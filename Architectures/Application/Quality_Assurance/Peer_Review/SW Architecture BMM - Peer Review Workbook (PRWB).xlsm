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My_sandboxes\DAI_MMA\Phase_02\View_Development\Architectures\Application\Quality_Assurance\Peer_Review\"/>
    </mc:Choice>
  </mc:AlternateContent>
  <xr:revisionPtr revIDLastSave="0" documentId="13_ncr:1_{DB9BBC17-199F-4D46-9AC7-85E253CE4BE2}" xr6:coauthVersionLast="47" xr6:coauthVersionMax="47" xr10:uidLastSave="{00000000-0000-0000-0000-000000000000}"/>
  <bookViews>
    <workbookView xWindow="28690" yWindow="-110" windowWidth="29020" windowHeight="15820" tabRatio="750" activeTab="4" xr2:uid="{00000000-000D-0000-FFFF-FFFF00000000}"/>
  </bookViews>
  <sheets>
    <sheet name="FrontPage" sheetId="38" r:id="rId1"/>
    <sheet name="General info" sheetId="39" r:id="rId2"/>
    <sheet name="Help" sheetId="15" r:id="rId3"/>
    <sheet name="Synthesis Charts" sheetId="16" r:id="rId4"/>
    <sheet name="Overview" sheetId="42" r:id="rId5"/>
    <sheet name="Review" sheetId="18" r:id="rId6"/>
    <sheet name="SAD checklist" sheetId="193" r:id="rId7"/>
  </sheets>
  <functionGroups builtInGroupCount="19"/>
  <externalReferences>
    <externalReference r:id="rId8"/>
    <externalReference r:id="rId9"/>
    <externalReference r:id="rId10"/>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'Synthesis Charts'!$C$40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info'!$AJ$78:$AJ$99</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 localSheetId="6">[1]FrontPage!$AB$5</definedName>
    <definedName name="MXActual_state_Released">FrontPage!$AB$5</definedName>
    <definedName name="MXAuthority" localSheetId="6">[1]FrontPage!$A$5</definedName>
    <definedName name="MXAuthority">FrontPage!$A$5</definedName>
    <definedName name="MXCurrent.Localized" localSheetId="6">[1]FrontPage!$W$5</definedName>
    <definedName name="MXCurrent.Localized">FrontPage!$W$5</definedName>
    <definedName name="MXName" localSheetId="6">[1]FrontPage!$A$7</definedName>
    <definedName name="MXName">FrontPage!$A$7</definedName>
    <definedName name="MXRevision" localSheetId="6">[1]FrontPage!$AB$7</definedName>
    <definedName name="MXRevision">FrontPage!$AB$7</definedName>
    <definedName name="MXTitle" localSheetId="6">[1]FrontPage!$E$7</definedName>
    <definedName name="MXTitle">FrontPage!$E$7</definedName>
    <definedName name="MXVersion" localSheetId="6">[1]FrontPage!$AE$7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Name">'[1]General info'!$AO$73:$AO$94</definedName>
    <definedName name="Option_Process">'[1]General info'!$AR$73:$AR$91</definedName>
    <definedName name="Option_ReviewEvaluationScale">'General info'!$AI$78:$AI$82</definedName>
    <definedName name="Option_Status">'[1]General info'!$BJ$73:$BJ$76</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erStatus">Review!$M$4</definedName>
    <definedName name="ReviewFilename">'[1]Generate checklists'!$Q$23</definedName>
    <definedName name="Sheet.ReviewTempate" localSheetId="6">'SAD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'Synthesis Charts'!$D$24</definedName>
    <definedName name="Synthesis_Status">'Synthesis Charts'!$C$31</definedName>
    <definedName name="TargetDate">Review!$K$4</definedName>
    <definedName name="Template.Name" localSheetId="6">'SAD checklist'!$B$2</definedName>
    <definedName name="TemplateColumn">'Synthesis Charts'!$B:$B</definedName>
    <definedName name="TemplateRef" localSheetId="6">[1]FrontPage!$W$7</definedName>
    <definedName name="TemplateRef">FrontPage!$W$7</definedName>
    <definedName name="Text.Released">'[1]General info'!$BJ$75</definedName>
    <definedName name="Text_AllChecklists">'General info'!$AJ$78</definedName>
    <definedName name="Title.Checklist.Guide.HowToRate" localSheetId="6">'SAD checklist'!$I$3</definedName>
    <definedName name="Title.Checklist.Guide.WhatToCheck" localSheetId="6">'SAD checklist'!$H$3</definedName>
    <definedName name="Title.Checklist.ManualQuestion" localSheetId="6">'SAD checklist'!$B$49</definedName>
    <definedName name="Title.Checklist.NoteForAuditor" localSheetId="6">'SAD checklist'!$H$2</definedName>
    <definedName name="Title.Checklist.Question" localSheetId="6">'SAD checklist'!$B$4</definedName>
    <definedName name="Title.Checklist.QuestionReference" localSheetId="6">'SAD checklist'!$A$2</definedName>
    <definedName name="TitleRow" localSheetId="6">'SAD checklist'!$2:$2</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 i="193" l="1"/>
  <c r="E3" i="193"/>
  <c r="E27" i="16"/>
  <c r="E7" i="38"/>
  <c r="W7" i="38"/>
  <c r="D3" i="193" l="1"/>
  <c r="A23" i="38" l="1"/>
  <c r="X27" i="16" l="1"/>
  <c r="W27" i="16"/>
  <c r="V27" i="16"/>
  <c r="U27" i="16"/>
  <c r="T27" i="16"/>
  <c r="S27" i="16"/>
  <c r="R27" i="16"/>
  <c r="Q27" i="16"/>
  <c r="P27" i="16"/>
  <c r="O27" i="16"/>
  <c r="N27" i="16"/>
  <c r="M27" i="16"/>
  <c r="L27" i="16"/>
  <c r="K27" i="16"/>
  <c r="J27" i="16"/>
  <c r="I27" i="16"/>
  <c r="H27" i="16"/>
  <c r="G27" i="16"/>
  <c r="F27" i="16"/>
  <c r="C3" i="193" l="1"/>
  <c r="Z27" i="16" l="1"/>
  <c r="Y27" i="16"/>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AEM_PROCESS_1.17.01
Last change : AEM_PROCESS_1.17.01</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0"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0" authorId="0" shapeId="0" xr:uid="{7D629A74-735C-4D9E-8E9C-382A2172CF1C}">
      <text>
        <r>
          <rPr>
            <sz val="8"/>
            <color indexed="81"/>
            <rFont val="Tahoma"/>
            <family val="2"/>
          </rPr>
          <t>Title of reference documents.</t>
        </r>
      </text>
    </comment>
    <comment ref="Y40" authorId="0" shapeId="0" xr:uid="{327A4027-E374-46EE-8F41-AAE7F5A68063}">
      <text>
        <r>
          <rPr>
            <sz val="8"/>
            <color indexed="81"/>
            <rFont val="Tahoma"/>
            <family val="2"/>
          </rPr>
          <t>Reference number, e.g. E123456 and revision of the reference.</t>
        </r>
      </text>
    </comment>
    <comment ref="B46"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46" authorId="0" shapeId="0" xr:uid="{EAF8F54A-6162-4D53-AD9B-58CDCD7A1B4D}">
      <text>
        <r>
          <rPr>
            <sz val="8"/>
            <color indexed="81"/>
            <rFont val="Tahoma"/>
            <family val="2"/>
          </rPr>
          <t>Title of reference documents.</t>
        </r>
      </text>
    </comment>
    <comment ref="Y46" authorId="0" shapeId="0" xr:uid="{AF9ABC4C-2372-4875-B9F9-B60698EAB986}">
      <text>
        <r>
          <rPr>
            <sz val="8"/>
            <color indexed="81"/>
            <rFont val="Tahoma"/>
            <family val="2"/>
          </rPr>
          <t>Reference number, e.g. E123456 and revision of the reference.</t>
        </r>
      </text>
    </comment>
    <comment ref="AJ77"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78" authorId="1" shapeId="0" xr:uid="{F17275A0-61EC-48C5-83D6-7710F1FB268A}">
      <text>
        <r>
          <rPr>
            <b/>
            <sz val="9"/>
            <color indexed="81"/>
            <rFont val="Tahoma"/>
            <family val="2"/>
          </rPr>
          <t>Don't change this cell</t>
        </r>
      </text>
    </comment>
    <comment ref="AJ78"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2" authorId="1" shapeId="0" xr:uid="{7EBCCB23-C7DD-49AE-A0C3-608CFE3FF3EB}">
      <text>
        <r>
          <rPr>
            <b/>
            <sz val="9"/>
            <color indexed="81"/>
            <rFont val="Tahoma"/>
            <family val="2"/>
          </rPr>
          <t>Don't change this cell</t>
        </r>
      </text>
    </comment>
    <comment ref="AJ99"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B49" authorId="0" shapeId="0" xr:uid="{BCF63F5F-5FFB-42A7-A318-BFB932234691}">
      <text>
        <r>
          <rPr>
            <b/>
            <sz val="9"/>
            <color indexed="81"/>
            <rFont val="Tahoma"/>
            <family val="2"/>
          </rPr>
          <t xml:space="preserve">Everything above this row is generated by Question Library (TEM486 - Master questions library.xlsm) </t>
        </r>
      </text>
    </comment>
  </commentList>
</comments>
</file>

<file path=xl/sharedStrings.xml><?xml version="1.0" encoding="utf-8"?>
<sst xmlns="http://schemas.openxmlformats.org/spreadsheetml/2006/main" count="598" uniqueCount="349">
  <si>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</si>
  <si>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</si>
  <si>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</si>
  <si>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</si>
  <si>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Project Number &amp; Name</t>
  </si>
  <si>
    <t>Document state</t>
  </si>
  <si>
    <t>Document id</t>
  </si>
  <si>
    <t>Document title</t>
  </si>
  <si>
    <t>Version</t>
  </si>
  <si>
    <t>Template</t>
  </si>
  <si>
    <t>NA</t>
  </si>
  <si>
    <t>Review</t>
  </si>
  <si>
    <t>General rules</t>
  </si>
  <si>
    <t>Creation, first release</t>
  </si>
  <si>
    <t>Help</t>
  </si>
  <si>
    <t>Abbreviations list</t>
  </si>
  <si>
    <t>Approval</t>
  </si>
  <si>
    <t>Open</t>
  </si>
  <si>
    <t>Fixed</t>
  </si>
  <si>
    <t>Postponed</t>
  </si>
  <si>
    <t>TOTAL</t>
  </si>
  <si>
    <t>No</t>
  </si>
  <si>
    <t>High</t>
  </si>
  <si>
    <t>Medium</t>
  </si>
  <si>
    <t>Low</t>
  </si>
  <si>
    <t>Will not be fixed</t>
  </si>
  <si>
    <t>Approved</t>
  </si>
  <si>
    <t>Rejected</t>
  </si>
  <si>
    <t>OIN</t>
  </si>
  <si>
    <t>Reviewer Name</t>
  </si>
  <si>
    <t>Actor Name</t>
  </si>
  <si>
    <t>Revision</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</si>
  <si>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</si>
  <si>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</si>
  <si>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</si>
  <si>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</si>
  <si>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</si>
  <si>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</si>
  <si>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</si>
  <si>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</si>
  <si>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</si>
  <si>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</si>
  <si>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</si>
  <si>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</si>
  <si>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</si>
  <si>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</si>
  <si>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</si>
  <si>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</si>
  <si>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</si>
  <si>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</si>
  <si>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</si>
  <si>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</si>
  <si>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</si>
  <si>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r>
      <t xml:space="preserve">The following rules shall be respected to garantee the </t>
    </r>
    <r>
      <rPr>
        <sz val="10"/>
        <color indexed="17"/>
        <rFont val="Arial"/>
        <family val="2"/>
      </rPr>
      <t xml:space="preserve">Synthesis Charts </t>
    </r>
    <r>
      <rPr>
        <sz val="10"/>
        <rFont val="Arial"/>
        <family val="2"/>
      </rPr>
      <t>accuracy:</t>
    </r>
  </si>
  <si>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</si>
  <si>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</si>
  <si>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</si>
  <si>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</si>
  <si>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</si>
  <si>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</si>
  <si>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</si>
  <si>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</si>
  <si>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</si>
  <si>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</si>
  <si>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</si>
  <si>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</si>
  <si>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</si>
  <si>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</si>
  <si>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</si>
  <si>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</si>
  <si>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</si>
  <si>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</si>
  <si>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</si>
  <si>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</si>
  <si>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</si>
  <si>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</si>
  <si>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</si>
  <si>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</si>
  <si>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</si>
  <si>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</si>
  <si>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</si>
  <si>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</si>
  <si>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</si>
  <si>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Review strategy</t>
  </si>
  <si>
    <t>Template column for format of checklist sheets</t>
  </si>
  <si>
    <t>Template column for format of review sheets</t>
  </si>
  <si>
    <t>Review duration</t>
  </si>
  <si>
    <t>Date</t>
  </si>
  <si>
    <t>For</t>
  </si>
  <si>
    <t>future</t>
  </si>
  <si>
    <t>use</t>
  </si>
  <si>
    <t>AAU</t>
  </si>
  <si>
    <t>Atomic Architectural Unit</t>
  </si>
  <si>
    <t>Not approved</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</si>
  <si>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</si>
  <si>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</si>
  <si>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</si>
  <si>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</si>
  <si>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</si>
  <si>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</si>
  <si>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</si>
  <si>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</si>
  <si>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</si>
  <si>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</si>
  <si>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</si>
  <si>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</si>
  <si>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</si>
  <si>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</si>
  <si>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</si>
  <si>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</si>
  <si>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</si>
  <si>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</si>
  <si>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</si>
  <si>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</si>
  <si>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</si>
  <si>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</si>
  <si>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</si>
  <si>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</si>
  <si>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</si>
  <si>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</si>
  <si>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</si>
  <si>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</si>
  <si>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</si>
  <si>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</si>
  <si>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To be fullfilled</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</si>
  <si>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</si>
  <si>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</si>
  <si>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</si>
  <si>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</si>
  <si>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</si>
  <si>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</si>
  <si>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</si>
  <si>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</si>
  <si>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</si>
  <si>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</si>
  <si>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</si>
  <si>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</si>
  <si>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</si>
  <si>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</si>
  <si>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</si>
  <si>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</si>
  <si>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</si>
  <si>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</si>
  <si>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</si>
  <si>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</si>
  <si>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</si>
  <si>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</si>
  <si>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</si>
  <si>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</si>
  <si>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</si>
  <si>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</si>
  <si>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</si>
  <si>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</si>
  <si>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</si>
  <si>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</si>
  <si>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</si>
  <si>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</si>
  <si>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</si>
  <si>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</si>
  <si>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</si>
  <si>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</si>
  <si>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</si>
  <si>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</si>
  <si>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</si>
  <si>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</si>
  <si>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</si>
  <si>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</si>
  <si>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</si>
  <si>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</si>
  <si>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</si>
  <si>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</si>
  <si>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</si>
  <si>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</si>
  <si>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</si>
  <si>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</si>
  <si>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</si>
  <si>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</si>
  <si>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</si>
  <si>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</si>
  <si>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</si>
  <si>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</si>
  <si>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</si>
  <si>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</si>
  <si>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</si>
  <si>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1</t>
  </si>
  <si>
    <t>Reviewer 2</t>
  </si>
  <si>
    <t>Reviewer 3</t>
  </si>
  <si>
    <t>Reviewer 4</t>
  </si>
  <si>
    <t>Reviewer 5</t>
  </si>
  <si>
    <t>Reviewer 6</t>
  </si>
  <si>
    <t>Reviewer 7</t>
  </si>
  <si>
    <t>Reviewer 8</t>
  </si>
  <si>
    <t>Reviewer 9</t>
  </si>
  <si>
    <t>Reviewer 10</t>
  </si>
  <si>
    <r>
      <t xml:space="preserve">Time spent by reviewers </t>
    </r>
    <r>
      <rPr>
        <sz val="16"/>
        <color theme="0"/>
        <rFont val="Calibri"/>
        <family val="2"/>
        <scheme val="minor"/>
      </rPr>
      <t>(in mn)</t>
    </r>
  </si>
  <si>
    <t>Rate</t>
  </si>
  <si>
    <t>Project specific questions</t>
  </si>
  <si>
    <t>XX-X-ALL-029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</si>
  <si>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</si>
  <si>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</si>
  <si>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</si>
  <si>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</si>
  <si>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</si>
  <si>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</si>
  <si>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</si>
  <si>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</si>
  <si>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</si>
  <si>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</si>
  <si>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Common document rules</t>
  </si>
  <si>
    <t>Common review process check</t>
  </si>
  <si>
    <t>REQ checklist</t>
  </si>
  <si>
    <t>What to check</t>
  </si>
  <si>
    <t>How to rate the question</t>
  </si>
  <si>
    <t>Process</t>
  </si>
  <si>
    <t>General questions</t>
  </si>
  <si>
    <t>Sequence diagram</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</si>
  <si>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</si>
  <si>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r>
      <rPr>
        <b/>
        <sz val="10"/>
        <rFont val="Arial"/>
        <family val="2"/>
      </rPr>
      <t>Dependencies</t>
    </r>
    <r>
      <rPr>
        <sz val="10"/>
        <rFont val="Arial"/>
        <family val="2"/>
      </rPr>
      <t xml:space="preserve">
Do the sequence diagrams create any dependencies from a lower level AAU to a higher level AAU as defined in the layered hierarchy ?</t>
    </r>
  </si>
  <si>
    <r>
      <rPr>
        <b/>
        <sz val="10"/>
        <rFont val="Arial"/>
        <family val="2"/>
      </rPr>
      <t xml:space="preserve">Circular dependencies
</t>
    </r>
    <r>
      <rPr>
        <sz val="10"/>
        <rFont val="Arial"/>
        <family val="2"/>
      </rPr>
      <t>Do the sequence diagrams avoid circular dependencies between the AAUs ?</t>
    </r>
  </si>
  <si>
    <t>SW-R-CM-396</t>
  </si>
  <si>
    <t>SW-R-PM-397</t>
  </si>
  <si>
    <t>SW-R-PM-398</t>
  </si>
  <si>
    <t>SW-R-CM-399</t>
  </si>
  <si>
    <t>SW-R-REV-400</t>
  </si>
  <si>
    <t>SW-R-REV-401</t>
  </si>
  <si>
    <t>Questions out of questions library</t>
  </si>
  <si>
    <t>Inputs</t>
  </si>
  <si>
    <r>
      <t xml:space="preserve">Justification
</t>
    </r>
    <r>
      <rPr>
        <sz val="10"/>
        <color theme="0"/>
        <rFont val="Arial"/>
        <family val="2"/>
      </rPr>
      <t>(if not OK)</t>
    </r>
  </si>
  <si>
    <t>XX-R-PM-512</t>
  </si>
  <si>
    <t>XX-R-PM-578</t>
  </si>
  <si>
    <t>XX-R-PM-514</t>
  </si>
  <si>
    <t>SW-R-ARC-577</t>
  </si>
  <si>
    <r>
      <rPr>
        <b/>
        <sz val="10"/>
        <rFont val="Arial"/>
        <family val="2"/>
      </rPr>
      <t xml:space="preserve">Consistency
</t>
    </r>
    <r>
      <rPr>
        <sz val="10"/>
        <rFont val="Arial"/>
        <family val="2"/>
      </rPr>
      <t>Has the consistency between software requirements (DES) and architecture elements been reviewed ?</t>
    </r>
  </si>
  <si>
    <t>XX-R-ARC-524</t>
  </si>
  <si>
    <t>XX-R-ARC-525</t>
  </si>
  <si>
    <t>XX-R-ARC-526</t>
  </si>
  <si>
    <t>AAUs (Atomic Archicture Units)</t>
  </si>
  <si>
    <t>SW-R-ARC-573</t>
  </si>
  <si>
    <t>SW-R-ARC-574</t>
  </si>
  <si>
    <r>
      <rPr>
        <b/>
        <sz val="10"/>
        <rFont val="Arial"/>
        <family val="2"/>
      </rPr>
      <t xml:space="preserve">Mission
</t>
    </r>
    <r>
      <rPr>
        <sz val="10"/>
        <rFont val="Arial"/>
        <family val="2"/>
      </rPr>
      <t xml:space="preserve">Has the mission of each AAU been clearly defined ? 
Does it encapsulate a well-defined set of functionality ?
</t>
    </r>
  </si>
  <si>
    <t>SW-R-ARC-575</t>
  </si>
  <si>
    <t>SW-R-ARC-576</t>
  </si>
  <si>
    <r>
      <rPr>
        <b/>
        <sz val="10"/>
        <rFont val="Arial"/>
        <family val="2"/>
      </rPr>
      <t xml:space="preserve">Layers
</t>
    </r>
    <r>
      <rPr>
        <sz val="10"/>
        <rFont val="Arial"/>
        <family val="2"/>
      </rPr>
      <t>Have the AAUs been organized in a layered hierarchy ?</t>
    </r>
  </si>
  <si>
    <t>Questions generated by questions library tool</t>
  </si>
  <si>
    <r>
      <rPr>
        <b/>
        <sz val="10"/>
        <rFont val="Arial"/>
        <family val="2"/>
      </rPr>
      <t xml:space="preserve">Reuse strategy/plan available
</t>
    </r>
    <r>
      <rPr>
        <sz val="10"/>
        <rFont val="Arial"/>
        <family val="2"/>
      </rPr>
      <t>Is architecture reuse strategy/plan available and uptodate for the scope of this architecture document ?</t>
    </r>
  </si>
  <si>
    <t>Review criteria for
Software architecture (SAD)</t>
  </si>
  <si>
    <t>SW-R-ARC-580</t>
  </si>
  <si>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</si>
  <si>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</si>
  <si>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</si>
  <si>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</si>
  <si>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</si>
  <si>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</si>
  <si>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</si>
  <si>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</si>
  <si>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</si>
  <si>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</si>
  <si>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</si>
  <si>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</si>
  <si>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</si>
  <si>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r>
      <rPr>
        <b/>
        <sz val="10"/>
        <rFont val="Arial"/>
        <family val="2"/>
      </rPr>
      <t xml:space="preserve">Reuse strategy/plan consistent
</t>
    </r>
    <r>
      <rPr>
        <sz val="10"/>
        <rFont val="Arial"/>
        <family val="2"/>
      </rPr>
      <t>Is SAD consistant with reuse strategy / plan ?</t>
    </r>
  </si>
  <si>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</si>
  <si>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</si>
  <si>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</si>
  <si>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r>
      <rPr>
        <b/>
        <sz val="10"/>
        <rFont val="Arial"/>
        <family val="2"/>
      </rPr>
      <t xml:space="preserve">Decomposition and traceability
</t>
    </r>
    <r>
      <rPr>
        <sz val="10"/>
        <rFont val="Arial"/>
        <family val="2"/>
      </rPr>
      <t>Have applicable requirements been decomposed into AAU requirements and traced to appropriate AAUs ?</t>
    </r>
  </si>
  <si>
    <r>
      <rPr>
        <b/>
        <sz val="10"/>
        <rFont val="Arial"/>
        <family val="2"/>
      </rPr>
      <t xml:space="preserve">AAUs identification
</t>
    </r>
    <r>
      <rPr>
        <sz val="10"/>
        <rFont val="Arial"/>
        <family val="2"/>
      </rPr>
      <t>Have the AAUs been identified or developed that can accomplish the scenarios ?</t>
    </r>
  </si>
  <si>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</si>
  <si>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</si>
  <si>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</si>
  <si>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</si>
  <si>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</si>
  <si>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</si>
  <si>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</si>
  <si>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</si>
  <si>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</si>
  <si>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</si>
  <si>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</si>
  <si>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</si>
  <si>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</si>
  <si>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</si>
  <si>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</si>
  <si>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</si>
  <si>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</si>
  <si>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</si>
  <si>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</si>
  <si>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Functional safety</t>
  </si>
  <si>
    <t>SW-R-ARC-754</t>
  </si>
  <si>
    <r>
      <rPr>
        <b/>
        <sz val="10"/>
        <rFont val="Arial"/>
        <family val="2"/>
      </rPr>
      <t>AAUs identification</t>
    </r>
    <r>
      <rPr>
        <sz val="10"/>
        <rFont val="Arial"/>
        <family val="2"/>
      </rPr>
      <t xml:space="preserve">
Is the software architectural design developed down to the level where all SW units are identifiable ? </t>
    </r>
  </si>
  <si>
    <t>SW-R-ARC-755</t>
  </si>
  <si>
    <r>
      <rPr>
        <b/>
        <sz val="10"/>
        <rFont val="Arial"/>
        <family val="2"/>
      </rPr>
      <t>Static design</t>
    </r>
    <r>
      <rPr>
        <sz val="10"/>
        <rFont val="Arial"/>
        <family val="2"/>
      </rPr>
      <t xml:space="preserve">
Are the static design aspects of SW components described ?</t>
    </r>
  </si>
  <si>
    <t>SW-R-ARC-756</t>
  </si>
  <si>
    <r>
      <rPr>
        <b/>
        <sz val="10"/>
        <rFont val="Arial"/>
        <family val="2"/>
      </rPr>
      <t>Dynamic design</t>
    </r>
    <r>
      <rPr>
        <sz val="10"/>
        <rFont val="Arial"/>
        <family val="2"/>
      </rPr>
      <t xml:space="preserve">
Are the dynamic design aspects of SW components described ?</t>
    </r>
  </si>
  <si>
    <t>SW-R-ARC-757</t>
  </si>
  <si>
    <r>
      <rPr>
        <b/>
        <sz val="10"/>
        <rFont val="Arial"/>
        <family val="2"/>
      </rPr>
      <t>Categorization</t>
    </r>
    <r>
      <rPr>
        <sz val="10"/>
        <rFont val="Arial"/>
        <family val="2"/>
      </rPr>
      <t xml:space="preserve">
Are SW components categorized as:
- newly developed ?
- reused with modification ?
- reused without modification ?</t>
    </r>
  </si>
  <si>
    <t>XX-R-ARC-629</t>
  </si>
  <si>
    <t>Interfaces
Are all interfaces defined for a component and well used to cover scenarios defined in SW architecture with only necessary set of information to be exchanged?</t>
  </si>
  <si>
    <t>SW-R-ARC-759</t>
  </si>
  <si>
    <r>
      <rPr>
        <b/>
        <sz val="10"/>
        <rFont val="Arial"/>
        <family val="2"/>
      </rPr>
      <t>Particioning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</si>
  <si>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SW-R-ARC-760</t>
  </si>
  <si>
    <r>
      <rPr>
        <b/>
        <sz val="10"/>
        <rFont val="Arial"/>
        <family val="2"/>
      </rPr>
      <t>AAUs identification</t>
    </r>
    <r>
      <rPr>
        <sz val="10"/>
        <rFont val="Arial"/>
        <family val="2"/>
      </rPr>
      <t xml:space="preserve">
Are software safety requirements derived from technical safety requirements available ?</t>
    </r>
  </si>
  <si>
    <t>SW-R-ARC-761</t>
  </si>
  <si>
    <r>
      <rPr>
        <b/>
        <sz val="10"/>
        <rFont val="Arial"/>
        <family val="2"/>
      </rPr>
      <t>Verifiability</t>
    </r>
    <r>
      <rPr>
        <sz val="10"/>
        <rFont val="Arial"/>
        <family val="2"/>
      </rPr>
      <t xml:space="preserve">
Is the software architectural design verifiable ?</t>
    </r>
  </si>
  <si>
    <t>SW-R-ARC-762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</si>
  <si>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</si>
  <si>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</si>
  <si>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</si>
  <si>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SW-R-ARC-764</t>
  </si>
  <si>
    <r>
      <rPr>
        <b/>
        <sz val="10"/>
        <rFont val="Arial"/>
        <family val="2"/>
      </rPr>
      <t>Safety Mechanism</t>
    </r>
    <r>
      <rPr>
        <sz val="10"/>
        <rFont val="Arial"/>
        <family val="2"/>
      </rPr>
      <t xml:space="preserve">
According to safety analysis, are safety mechanisms efficient ?</t>
    </r>
  </si>
  <si>
    <t>SW-R-ARC-765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</si>
  <si>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</si>
  <si>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</si>
  <si>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</si>
  <si>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SA-R-ARC-921</t>
  </si>
  <si>
    <r>
      <rPr>
        <b/>
        <sz val="10"/>
        <rFont val="Arial"/>
        <family val="2"/>
      </rPr>
      <t>Functional Safety</t>
    </r>
    <r>
      <rPr>
        <sz val="10"/>
        <rFont val="Arial"/>
        <family val="2"/>
      </rPr>
      <t xml:space="preserve">
Are SW components developed with the highest ASIL of any allocated requirement ?</t>
    </r>
  </si>
  <si>
    <t>SA-R-ARC-922</t>
  </si>
  <si>
    <r>
      <rPr>
        <b/>
        <sz val="10"/>
        <rFont val="Arial"/>
        <family val="2"/>
      </rPr>
      <t>Functional Safety</t>
    </r>
    <r>
      <rPr>
        <sz val="10"/>
        <rFont val="Arial"/>
        <family val="2"/>
      </rPr>
      <t xml:space="preserve">
Is the Software-FMEA considering the current Software Architecture version?</t>
    </r>
  </si>
  <si>
    <t>SA-R-ARC-923</t>
  </si>
  <si>
    <r>
      <rPr>
        <b/>
        <sz val="10"/>
        <rFont val="Arial"/>
        <family val="2"/>
      </rPr>
      <t>Functional Safety</t>
    </r>
    <r>
      <rPr>
        <sz val="10"/>
        <rFont val="Arial"/>
        <family val="2"/>
      </rPr>
      <t xml:space="preserve">
Has an appropriate architectural pattern been applied in the SW Safety Concept for each safety goal?</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</si>
  <si>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</si>
  <si>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</si>
  <si>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</si>
  <si>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</si>
  <si>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</si>
  <si>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</si>
  <si>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254888 MERCEDES BENZ AG MER W174W178 EL SB</t>
  </si>
  <si>
    <t>Initial revision</t>
  </si>
  <si>
    <t>CIL - Design Interface Description.docx</t>
  </si>
  <si>
    <t>1.1.1.3</t>
  </si>
  <si>
    <t>SW Architecture BMM - Peer Review Workbook (PRWB).xlsm</t>
  </si>
  <si>
    <t>SW Architecture BMM - Peer Review Workbook (PRWB)</t>
  </si>
  <si>
    <t>Septimiu Vintila</t>
  </si>
  <si>
    <t>BMM - Design Interface Description.docx</t>
  </si>
  <si>
    <t xml:space="preserve">At ARCH_SW_BMM_0020, change the runnable name from BMM_runGetPositionFromT0_deg to BMM_runGetPositionFromT0_mm </t>
  </si>
  <si>
    <t>Reformulate ARCH_SW_BMM_1200; Scope is to detect a no movement state; described functionality is made by another function (OS_ISR_BMM_HES_IT)</t>
  </si>
  <si>
    <t>1.1.3.4</t>
  </si>
  <si>
    <t>1.1.3.3</t>
  </si>
  <si>
    <t>Static description should contain names of runnables BMM_XYZ not RTE_CALL etc.</t>
  </si>
  <si>
    <t>Andreea Negrea</t>
  </si>
  <si>
    <t>BMM_autotest_checkHllefectsensor is missing from static view (called from ATM)</t>
  </si>
  <si>
    <t>BMM - Design Interface Description.docx 1.1.3.4</t>
  </si>
  <si>
    <t>Static description updated</t>
  </si>
  <si>
    <t>Stefan Dominte</t>
  </si>
  <si>
    <t>Runnable updated</t>
  </si>
  <si>
    <t>Requirement updated.</t>
  </si>
  <si>
    <t>1.1.3.5</t>
  </si>
  <si>
    <t>No findings</t>
  </si>
  <si>
    <t>BMM - Design Interface Description.docx 1.1.3.5</t>
  </si>
  <si>
    <t>1.1.3.7</t>
  </si>
  <si>
    <t>BMM - Design Interface Description.docx 1.1.3.7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</si>
</sst>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sz val="11"/>
      <color rgb="FFFA7D00"/>
      <name val="Calibri"/>
      <family val="2"/>
      <scheme val="minor"/>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s>
  <fills count="34">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7" tint="-0.249977111117893"/>
        <bgColor indexed="64"/>
      </patternFill>
    </fill>
    <fill>
      <patternFill patternType="solid">
        <fgColor theme="6" tint="-0.249977111117893"/>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diagonal/>
    </border>
  </borders>
  <cellStyleXfs count="31">
    <xf numFmtId="0" fontId="0" fillId="0" borderId="0"/>
    <xf numFmtId="0" fontId="53" fillId="6" borderId="14" applyNumberFormat="0" applyAlignment="0" applyProtection="0"/>
    <xf numFmtId="0" fontId="54" fillId="0" borderId="0" applyNumberFormat="0" applyFill="0" applyBorder="0" applyAlignment="0" applyProtection="0"/>
    <xf numFmtId="0" fontId="23" fillId="0" borderId="0"/>
    <xf numFmtId="0" fontId="48" fillId="0" borderId="0"/>
    <xf numFmtId="0" fontId="52" fillId="0" borderId="0"/>
    <xf numFmtId="0" fontId="23" fillId="0" borderId="0"/>
    <xf numFmtId="0" fontId="30" fillId="0" borderId="0"/>
    <xf numFmtId="0" fontId="56" fillId="6" borderId="15" applyNumberFormat="0" applyAlignment="0" applyProtection="0"/>
    <xf numFmtId="0" fontId="22" fillId="0" borderId="0"/>
    <xf numFmtId="0" fontId="21" fillId="0" borderId="0"/>
    <xf numFmtId="0" fontId="20" fillId="0" borderId="0"/>
    <xf numFmtId="0" fontId="81" fillId="25" borderId="14" applyNumberFormat="0" applyAlignment="0" applyProtection="0"/>
    <xf numFmtId="0" fontId="82" fillId="26" borderId="0" applyNumberFormat="0" applyBorder="0" applyAlignment="0" applyProtection="0"/>
    <xf numFmtId="0" fontId="19" fillId="27" borderId="0" applyNumberFormat="0" applyBorder="0" applyAlignment="0" applyProtection="0"/>
    <xf numFmtId="0" fontId="23" fillId="0" borderId="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27" borderId="0" applyNumberFormat="0" applyBorder="0" applyAlignment="0" applyProtection="0"/>
    <xf numFmtId="0" fontId="8" fillId="27" borderId="0" applyNumberFormat="0" applyBorder="0" applyAlignment="0" applyProtection="0"/>
    <xf numFmtId="0" fontId="7" fillId="0" borderId="0"/>
    <xf numFmtId="0" fontId="6" fillId="27" borderId="0" applyNumberFormat="0" applyBorder="0" applyAlignment="0" applyProtection="0"/>
    <xf numFmtId="0" fontId="5" fillId="27" borderId="0" applyNumberFormat="0" applyBorder="0" applyAlignment="0" applyProtection="0"/>
    <xf numFmtId="0" fontId="101" fillId="0" borderId="0" applyNumberFormat="0" applyFill="0" applyBorder="0" applyAlignment="0" applyProtection="0"/>
  </cellStyleXfs>
  <cellXfs count="317">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4" fillId="3" borderId="12" xfId="0" applyFont="1" applyFill="1" applyBorder="1" applyAlignment="1">
      <alignment horizontal="center" wrapText="1"/>
    </xf>
    <xf numFmtId="0" fontId="0" fillId="2" borderId="0" xfId="0" applyFill="1" applyAlignment="1">
      <alignment horizontal="center"/>
    </xf>
    <xf numFmtId="0" fontId="24"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3" fillId="0" borderId="1" xfId="0" applyFont="1" applyBorder="1" applyAlignment="1">
      <alignment vertical="center" wrapText="1"/>
    </xf>
    <xf numFmtId="0" fontId="23" fillId="3" borderId="1" xfId="0" applyFont="1" applyFill="1" applyBorder="1" applyAlignment="1">
      <alignment horizontal="center" vertical="center" wrapText="1"/>
    </xf>
    <xf numFmtId="0" fontId="23" fillId="2" borderId="0" xfId="0" applyFont="1" applyFill="1" applyBorder="1" applyAlignment="1">
      <alignment wrapText="1"/>
    </xf>
    <xf numFmtId="0" fontId="57" fillId="7" borderId="0" xfId="0" applyFont="1" applyFill="1" applyBorder="1" applyAlignment="1">
      <alignment horizontal="center" vertical="center" wrapText="1"/>
    </xf>
    <xf numFmtId="0" fontId="24" fillId="3" borderId="12" xfId="0" applyFont="1" applyFill="1" applyBorder="1" applyAlignment="1">
      <alignment horizontal="center" vertical="center" wrapText="1"/>
    </xf>
    <xf numFmtId="0" fontId="57" fillId="0" borderId="0" xfId="0" applyFont="1" applyFill="1" applyBorder="1" applyAlignment="1">
      <alignment horizontal="center" vertical="center" wrapText="1"/>
    </xf>
    <xf numFmtId="0" fontId="57" fillId="0" borderId="0" xfId="0" applyFont="1" applyFill="1" applyAlignment="1">
      <alignment vertical="center"/>
    </xf>
    <xf numFmtId="0" fontId="57" fillId="0" borderId="0" xfId="0" applyFont="1" applyFill="1" applyBorder="1" applyAlignment="1">
      <alignment vertical="center" wrapText="1"/>
    </xf>
    <xf numFmtId="0" fontId="45" fillId="2" borderId="2" xfId="0" applyFont="1" applyFill="1" applyBorder="1"/>
    <xf numFmtId="0" fontId="23" fillId="2" borderId="0" xfId="0" applyFont="1" applyFill="1" applyAlignment="1">
      <alignment horizontal="center"/>
    </xf>
    <xf numFmtId="0" fontId="0" fillId="8" borderId="0" xfId="0" applyFill="1" applyAlignment="1">
      <alignment horizontal="center"/>
    </xf>
    <xf numFmtId="0" fontId="23" fillId="2" borderId="1" xfId="0" applyFont="1" applyFill="1" applyBorder="1" applyAlignment="1">
      <alignment horizontal="center" wrapText="1"/>
    </xf>
    <xf numFmtId="0" fontId="23" fillId="2" borderId="1" xfId="0" applyFont="1" applyFill="1" applyBorder="1" applyAlignment="1">
      <alignment horizontal="center" vertical="center" wrapText="1"/>
    </xf>
    <xf numFmtId="0" fontId="23" fillId="0" borderId="1" xfId="0" applyFont="1" applyFill="1" applyBorder="1" applyAlignment="1">
      <alignment horizontal="center" vertical="center" wrapText="1"/>
    </xf>
    <xf numFmtId="0" fontId="0" fillId="2" borderId="5" xfId="0" applyFill="1" applyBorder="1" applyAlignment="1">
      <alignment wrapText="1"/>
    </xf>
    <xf numFmtId="0" fontId="23" fillId="2" borderId="0" xfId="0" applyFont="1" applyFill="1" applyBorder="1"/>
    <xf numFmtId="0" fontId="24" fillId="9" borderId="1" xfId="0" applyFont="1" applyFill="1" applyBorder="1" applyAlignment="1">
      <alignment horizontal="center" vertical="center" wrapText="1"/>
    </xf>
    <xf numFmtId="0" fontId="23" fillId="2" borderId="10" xfId="0" applyFont="1" applyFill="1" applyBorder="1"/>
    <xf numFmtId="0" fontId="57"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3" fillId="8" borderId="0" xfId="0" applyFont="1" applyFill="1" applyBorder="1" applyAlignment="1">
      <alignment horizontal="center" vertical="center"/>
    </xf>
    <xf numFmtId="0" fontId="23" fillId="8" borderId="1" xfId="0" applyFont="1" applyFill="1" applyBorder="1" applyAlignment="1">
      <alignment horizontal="center" vertical="center"/>
    </xf>
    <xf numFmtId="0" fontId="23" fillId="13" borderId="1" xfId="0" applyFont="1" applyFill="1" applyBorder="1" applyAlignment="1">
      <alignment horizontal="center" vertical="center" wrapText="1"/>
    </xf>
    <xf numFmtId="0" fontId="24" fillId="3" borderId="16" xfId="0" applyFont="1" applyFill="1" applyBorder="1" applyAlignment="1">
      <alignment horizontal="center" vertical="center" wrapText="1"/>
    </xf>
    <xf numFmtId="0" fontId="23"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7" fillId="8" borderId="0" xfId="0" applyFont="1" applyFill="1" applyBorder="1" applyAlignment="1">
      <alignment horizontal="center" vertical="center" wrapText="1"/>
    </xf>
    <xf numFmtId="0" fontId="57" fillId="8" borderId="0" xfId="0" applyFont="1" applyFill="1" applyAlignment="1">
      <alignment horizontal="center" vertical="center" wrapText="1"/>
    </xf>
    <xf numFmtId="0" fontId="57"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26" fillId="14" borderId="1" xfId="0" applyFont="1" applyFill="1" applyBorder="1" applyAlignment="1">
      <alignment horizontal="center" vertical="center" wrapText="1"/>
    </xf>
    <xf numFmtId="0" fontId="57"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29" fillId="13" borderId="1" xfId="0" applyFont="1" applyFill="1" applyBorder="1" applyAlignment="1">
      <alignment horizontal="center" vertical="center" wrapText="1"/>
    </xf>
    <xf numFmtId="0" fontId="0" fillId="0" borderId="0" xfId="0" applyFill="1" applyBorder="1" applyAlignment="1">
      <alignment horizontal="center"/>
    </xf>
    <xf numFmtId="0" fontId="23" fillId="13" borderId="1" xfId="0" applyFont="1" applyFill="1" applyBorder="1" applyAlignment="1">
      <alignment horizontal="center" vertical="center"/>
    </xf>
    <xf numFmtId="0" fontId="0" fillId="13" borderId="1" xfId="0" applyFill="1" applyBorder="1" applyAlignment="1">
      <alignment horizontal="center" vertical="center"/>
    </xf>
    <xf numFmtId="0" fontId="23" fillId="2" borderId="5" xfId="0" applyFont="1" applyFill="1" applyBorder="1" applyAlignment="1">
      <alignment wrapText="1"/>
    </xf>
    <xf numFmtId="0" fontId="23" fillId="10" borderId="0" xfId="0" applyFont="1" applyFill="1" applyBorder="1" applyAlignment="1">
      <alignment horizontal="left" vertical="center"/>
    </xf>
    <xf numFmtId="0" fontId="23" fillId="12" borderId="0" xfId="0" applyFont="1" applyFill="1" applyBorder="1" applyAlignment="1">
      <alignment horizontal="left" vertical="center"/>
    </xf>
    <xf numFmtId="0" fontId="23" fillId="15" borderId="0" xfId="0" applyFont="1" applyFill="1" applyBorder="1" applyAlignment="1">
      <alignment horizontal="left" vertical="center"/>
    </xf>
    <xf numFmtId="0" fontId="23" fillId="13" borderId="0" xfId="0" applyFont="1" applyFill="1" applyBorder="1" applyAlignment="1">
      <alignment horizontal="left" vertical="center"/>
    </xf>
    <xf numFmtId="0" fontId="23" fillId="2" borderId="1" xfId="0" applyFont="1" applyFill="1" applyBorder="1"/>
    <xf numFmtId="0" fontId="23" fillId="0" borderId="1" xfId="0" applyFont="1" applyBorder="1" applyAlignment="1">
      <alignment horizontal="center" vertical="center"/>
    </xf>
    <xf numFmtId="14" fontId="23"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53" fillId="6" borderId="16" xfId="1" applyBorder="1" applyAlignment="1">
      <alignment horizontal="center" vertical="center"/>
    </xf>
    <xf numFmtId="0" fontId="23" fillId="3" borderId="12" xfId="0" applyFont="1" applyFill="1" applyBorder="1" applyAlignment="1">
      <alignment horizontal="center" vertical="center" wrapText="1"/>
    </xf>
    <xf numFmtId="0" fontId="53" fillId="6" borderId="1" xfId="1" applyFont="1" applyBorder="1" applyAlignment="1">
      <alignment horizontal="center"/>
    </xf>
    <xf numFmtId="0" fontId="58" fillId="6" borderId="15" xfId="8" applyFont="1" applyAlignment="1">
      <alignment horizontal="center"/>
    </xf>
    <xf numFmtId="0" fontId="58" fillId="6" borderId="17" xfId="8" applyFont="1" applyBorder="1" applyAlignment="1">
      <alignment horizontal="center"/>
    </xf>
    <xf numFmtId="0" fontId="53" fillId="6" borderId="1" xfId="1" applyBorder="1" applyAlignment="1">
      <alignment horizontal="center" vertical="center"/>
    </xf>
    <xf numFmtId="0" fontId="55" fillId="6" borderId="16" xfId="1" applyFont="1" applyBorder="1" applyAlignment="1">
      <alignment horizontal="center" vertical="center"/>
    </xf>
    <xf numFmtId="0" fontId="24" fillId="3" borderId="1" xfId="0" applyFont="1" applyFill="1" applyBorder="1" applyAlignment="1">
      <alignment horizontal="center" vertical="center" wrapText="1"/>
    </xf>
    <xf numFmtId="0" fontId="23" fillId="2" borderId="1" xfId="0" applyFont="1" applyFill="1" applyBorder="1" applyAlignment="1">
      <alignment horizontal="center"/>
    </xf>
    <xf numFmtId="0" fontId="23"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3" fillId="2" borderId="8" xfId="0" applyFont="1" applyFill="1" applyBorder="1" applyAlignment="1">
      <alignment wrapText="1" shrinkToFit="1"/>
    </xf>
    <xf numFmtId="0" fontId="23" fillId="2" borderId="0" xfId="0" applyFont="1" applyFill="1"/>
    <xf numFmtId="0" fontId="23" fillId="2" borderId="0" xfId="0" applyFont="1" applyFill="1" applyAlignment="1">
      <alignment vertical="top"/>
    </xf>
    <xf numFmtId="0" fontId="23" fillId="0" borderId="0" xfId="3" applyAlignment="1">
      <alignment vertical="center"/>
    </xf>
    <xf numFmtId="0" fontId="27" fillId="0" borderId="0" xfId="3" applyFont="1" applyAlignment="1">
      <alignment vertical="center" wrapText="1"/>
    </xf>
    <xf numFmtId="164" fontId="27" fillId="0" borderId="0" xfId="3" applyNumberFormat="1" applyFont="1" applyAlignment="1">
      <alignment horizontal="center" vertical="center" wrapText="1"/>
    </xf>
    <xf numFmtId="20" fontId="27" fillId="0" borderId="0" xfId="3" applyNumberFormat="1" applyFont="1" applyAlignment="1">
      <alignment vertical="center" wrapText="1"/>
    </xf>
    <xf numFmtId="0" fontId="27" fillId="0" borderId="0" xfId="3" applyFont="1" applyAlignment="1">
      <alignment horizontal="left" vertical="center" wrapText="1"/>
    </xf>
    <xf numFmtId="0" fontId="59" fillId="0" borderId="0" xfId="3" quotePrefix="1" applyFont="1" applyAlignment="1">
      <alignment horizontal="right" vertical="center"/>
    </xf>
    <xf numFmtId="0" fontId="28" fillId="0" borderId="0" xfId="3" applyFont="1" applyAlignment="1">
      <alignment horizontal="left" vertical="center" wrapText="1"/>
    </xf>
    <xf numFmtId="0" fontId="23" fillId="0" borderId="0" xfId="3" applyAlignment="1">
      <alignment vertical="center" shrinkToFit="1"/>
    </xf>
    <xf numFmtId="0" fontId="61" fillId="0" borderId="0" xfId="3" applyFont="1" applyAlignment="1">
      <alignment horizontal="left" vertical="center" shrinkToFit="1"/>
    </xf>
    <xf numFmtId="0" fontId="24" fillId="0" borderId="0" xfId="3" applyFont="1" applyAlignment="1">
      <alignment horizontal="left" vertical="center" shrinkToFit="1"/>
    </xf>
    <xf numFmtId="0" fontId="23" fillId="0" borderId="0" xfId="3" applyAlignment="1" applyProtection="1">
      <alignment vertical="center"/>
      <protection locked="0"/>
    </xf>
    <xf numFmtId="0" fontId="23" fillId="0" borderId="0" xfId="3" applyAlignment="1" applyProtection="1">
      <alignment vertical="center" shrinkToFit="1"/>
      <protection locked="0"/>
    </xf>
    <xf numFmtId="0" fontId="66" fillId="0" borderId="2" xfId="3" applyFont="1" applyBorder="1" applyAlignment="1" applyProtection="1">
      <alignment horizontal="left" vertical="center" wrapText="1" shrinkToFit="1"/>
      <protection locked="0"/>
    </xf>
    <xf numFmtId="0" fontId="67" fillId="0" borderId="0" xfId="3" applyFont="1" applyAlignment="1" applyProtection="1">
      <alignment horizontal="left" vertical="center" shrinkToFit="1"/>
      <protection locked="0"/>
    </xf>
    <xf numFmtId="0" fontId="66" fillId="0" borderId="0" xfId="3" applyFont="1" applyAlignment="1" applyProtection="1">
      <alignment horizontal="left" vertical="center" wrapText="1" shrinkToFit="1"/>
      <protection locked="0"/>
    </xf>
    <xf numFmtId="0" fontId="67" fillId="0" borderId="3" xfId="3" applyFont="1" applyBorder="1" applyAlignment="1" applyProtection="1">
      <alignment horizontal="left" vertical="center" shrinkToFit="1"/>
      <protection locked="0"/>
    </xf>
    <xf numFmtId="0" fontId="70" fillId="0" borderId="0" xfId="3" applyFont="1" applyAlignment="1" applyProtection="1">
      <alignment vertical="center"/>
      <protection locked="0"/>
    </xf>
    <xf numFmtId="0" fontId="71" fillId="0" borderId="0" xfId="3" applyFont="1" applyAlignment="1" applyProtection="1">
      <alignment horizontal="center" vertical="center"/>
      <protection locked="0"/>
    </xf>
    <xf numFmtId="0" fontId="22" fillId="8" borderId="0" xfId="9" applyFill="1"/>
    <xf numFmtId="0" fontId="72" fillId="0" borderId="0" xfId="3" applyFont="1" applyAlignment="1">
      <alignment horizontal="right" vertical="center"/>
    </xf>
    <xf numFmtId="0" fontId="73" fillId="0" borderId="18" xfId="3" applyFont="1" applyBorder="1" applyAlignment="1" applyProtection="1">
      <alignment vertical="center"/>
      <protection locked="0"/>
    </xf>
    <xf numFmtId="0" fontId="23" fillId="0" borderId="18" xfId="3" applyBorder="1" applyAlignment="1" applyProtection="1">
      <alignment vertical="center"/>
      <protection locked="0"/>
    </xf>
    <xf numFmtId="0" fontId="74" fillId="0" borderId="0" xfId="3" applyFont="1" applyAlignment="1" applyProtection="1">
      <alignment horizontal="left" vertical="center"/>
      <protection locked="0"/>
    </xf>
    <xf numFmtId="0" fontId="32" fillId="0" borderId="0" xfId="3" applyFont="1" applyAlignment="1" applyProtection="1">
      <alignment horizontal="left" vertical="center"/>
      <protection locked="0"/>
    </xf>
    <xf numFmtId="0" fontId="51" fillId="0" borderId="0" xfId="3" applyFont="1" applyAlignment="1" applyProtection="1">
      <alignment vertical="center"/>
      <protection locked="0"/>
    </xf>
    <xf numFmtId="0" fontId="24" fillId="0" borderId="0" xfId="3" applyFont="1" applyAlignment="1" applyProtection="1">
      <alignment vertical="center"/>
      <protection locked="0"/>
    </xf>
    <xf numFmtId="49" fontId="75" fillId="0" borderId="0" xfId="3" applyNumberFormat="1" applyFont="1" applyAlignment="1" applyProtection="1">
      <alignment horizontal="left" vertical="center"/>
      <protection locked="0"/>
    </xf>
    <xf numFmtId="49" fontId="23" fillId="0" borderId="0" xfId="3" applyNumberFormat="1" applyAlignment="1">
      <alignment horizontal="center" vertical="center" wrapText="1"/>
    </xf>
    <xf numFmtId="49" fontId="23" fillId="0" borderId="0" xfId="3" applyNumberFormat="1" applyAlignment="1" applyProtection="1">
      <alignment horizontal="left" vertical="center" wrapText="1"/>
      <protection locked="0"/>
    </xf>
    <xf numFmtId="49" fontId="23" fillId="0" borderId="0" xfId="3" applyNumberFormat="1" applyAlignment="1">
      <alignment horizontal="left" vertical="center" wrapText="1"/>
    </xf>
    <xf numFmtId="14" fontId="23" fillId="0" borderId="0" xfId="3" applyNumberFormat="1" applyAlignment="1" applyProtection="1">
      <alignment vertical="center"/>
      <protection locked="0"/>
    </xf>
    <xf numFmtId="0" fontId="76" fillId="0" borderId="0" xfId="3" applyFont="1" applyAlignment="1" applyProtection="1">
      <alignment horizontal="left" vertical="center"/>
      <protection locked="0"/>
    </xf>
    <xf numFmtId="0" fontId="23" fillId="0" borderId="0" xfId="3" applyAlignment="1">
      <alignment horizontal="left" vertical="center" wrapText="1"/>
    </xf>
    <xf numFmtId="0" fontId="73" fillId="0" borderId="5" xfId="3" applyFont="1" applyBorder="1" applyAlignment="1" applyProtection="1">
      <alignment vertical="center"/>
      <protection locked="0"/>
    </xf>
    <xf numFmtId="49" fontId="23" fillId="0" borderId="5" xfId="3" applyNumberFormat="1" applyBorder="1" applyAlignment="1" applyProtection="1">
      <alignment horizontal="left" vertical="center" wrapText="1"/>
      <protection locked="0"/>
    </xf>
    <xf numFmtId="0" fontId="23" fillId="0" borderId="5" xfId="3" applyBorder="1" applyAlignment="1">
      <alignment horizontal="left" vertical="center" wrapText="1"/>
    </xf>
    <xf numFmtId="0" fontId="73" fillId="0" borderId="0" xfId="3" applyFont="1" applyAlignment="1" applyProtection="1">
      <alignment vertical="center"/>
      <protection locked="0"/>
    </xf>
    <xf numFmtId="49" fontId="23" fillId="0" borderId="0" xfId="3" applyNumberFormat="1" applyAlignment="1" applyProtection="1">
      <alignment horizontal="left" vertical="center"/>
      <protection locked="0"/>
    </xf>
    <xf numFmtId="0" fontId="23" fillId="0" borderId="0" xfId="3" applyAlignment="1">
      <alignment horizontal="left" vertical="center"/>
    </xf>
    <xf numFmtId="0" fontId="24" fillId="2" borderId="1" xfId="0" applyNumberFormat="1" applyFont="1" applyFill="1" applyBorder="1" applyAlignment="1">
      <alignment horizontal="center" vertical="center"/>
    </xf>
    <xf numFmtId="0" fontId="23" fillId="21" borderId="0" xfId="0" applyFont="1" applyFill="1" applyBorder="1" applyAlignment="1">
      <alignment horizontal="left" vertical="top" wrapText="1"/>
    </xf>
    <xf numFmtId="0" fontId="23" fillId="21" borderId="0" xfId="0" applyFont="1" applyFill="1" applyBorder="1" applyAlignment="1">
      <alignment wrapText="1"/>
    </xf>
    <xf numFmtId="0" fontId="0" fillId="21" borderId="0" xfId="0" applyFill="1" applyBorder="1" applyAlignment="1">
      <alignment wrapText="1"/>
    </xf>
    <xf numFmtId="0" fontId="23" fillId="9" borderId="0" xfId="0" applyFont="1" applyFill="1" applyBorder="1" applyAlignment="1">
      <alignment wrapText="1"/>
    </xf>
    <xf numFmtId="0" fontId="0" fillId="9" borderId="0" xfId="0" applyFill="1" applyBorder="1" applyAlignment="1">
      <alignment wrapText="1"/>
    </xf>
    <xf numFmtId="0" fontId="23" fillId="2" borderId="2" xfId="0" applyFont="1" applyFill="1" applyBorder="1" applyAlignment="1">
      <alignment horizontal="right"/>
    </xf>
    <xf numFmtId="0" fontId="0" fillId="2" borderId="4" xfId="0" applyFill="1" applyBorder="1" applyAlignment="1">
      <alignment horizontal="right"/>
    </xf>
    <xf numFmtId="0" fontId="20" fillId="0" borderId="0" xfId="11"/>
    <xf numFmtId="0" fontId="26" fillId="10" borderId="1" xfId="0" applyFont="1" applyFill="1" applyBorder="1" applyAlignment="1">
      <alignment horizontal="center" vertical="center" wrapText="1"/>
    </xf>
    <xf numFmtId="0" fontId="83" fillId="12" borderId="1" xfId="0" applyFont="1" applyFill="1" applyBorder="1" applyAlignment="1">
      <alignment horizontal="center" vertical="center" wrapText="1"/>
    </xf>
    <xf numFmtId="0" fontId="26" fillId="11" borderId="1" xfId="0" applyFont="1" applyFill="1" applyBorder="1" applyAlignment="1">
      <alignment horizontal="center" vertical="center" wrapText="1"/>
    </xf>
    <xf numFmtId="14" fontId="26" fillId="11" borderId="1" xfId="0" applyNumberFormat="1" applyFont="1" applyFill="1" applyBorder="1" applyAlignment="1">
      <alignment horizontal="center" vertical="center" wrapText="1"/>
    </xf>
    <xf numFmtId="0" fontId="47" fillId="8" borderId="0" xfId="0" applyFont="1" applyFill="1" applyAlignment="1">
      <alignment horizontal="center" vertical="center"/>
    </xf>
    <xf numFmtId="0" fontId="47" fillId="8" borderId="0" xfId="0" applyFont="1" applyFill="1" applyAlignment="1">
      <alignment vertical="center"/>
    </xf>
    <xf numFmtId="0" fontId="47" fillId="0" borderId="0" xfId="0" applyFont="1" applyAlignment="1">
      <alignment vertical="center"/>
    </xf>
    <xf numFmtId="0" fontId="26" fillId="0" borderId="0" xfId="0" applyFont="1" applyFill="1" applyAlignment="1">
      <alignment vertical="center"/>
    </xf>
    <xf numFmtId="0" fontId="53" fillId="6" borderId="14" xfId="1"/>
    <xf numFmtId="0" fontId="85" fillId="29" borderId="20" xfId="14" applyFont="1" applyFill="1" applyBorder="1" applyAlignment="1" applyProtection="1">
      <alignment horizontal="center" vertical="center" wrapText="1"/>
      <protection locked="0"/>
    </xf>
    <xf numFmtId="0" fontId="86" fillId="13" borderId="20" xfId="14" applyFont="1" applyFill="1" applyBorder="1" applyAlignment="1" applyProtection="1">
      <alignment horizontal="center" vertical="center" wrapText="1"/>
    </xf>
    <xf numFmtId="0" fontId="85" fillId="7" borderId="1" xfId="14" applyFont="1" applyFill="1" applyBorder="1" applyAlignment="1">
      <alignment horizontal="left" vertical="center"/>
    </xf>
    <xf numFmtId="0" fontId="81" fillId="25" borderId="14" xfId="12" applyAlignment="1">
      <alignment horizontal="center" vertical="center"/>
    </xf>
    <xf numFmtId="0" fontId="85" fillId="7" borderId="1" xfId="14" applyFont="1" applyFill="1" applyBorder="1" applyAlignment="1">
      <alignment horizontal="center" vertical="center"/>
    </xf>
    <xf numFmtId="0" fontId="23" fillId="5" borderId="0" xfId="15" applyFill="1" applyAlignment="1">
      <alignment vertical="center"/>
    </xf>
    <xf numFmtId="0" fontId="23" fillId="5" borderId="0" xfId="15" applyFill="1" applyAlignment="1">
      <alignment vertical="center" wrapText="1"/>
    </xf>
    <xf numFmtId="0" fontId="23" fillId="0" borderId="1" xfId="3" applyBorder="1" applyAlignment="1">
      <alignment vertical="center"/>
    </xf>
    <xf numFmtId="0" fontId="25" fillId="5" borderId="0" xfId="15" applyFont="1" applyFill="1" applyAlignment="1">
      <alignment vertical="center"/>
    </xf>
    <xf numFmtId="0" fontId="62" fillId="30" borderId="10" xfId="15" applyFont="1" applyFill="1" applyBorder="1" applyAlignment="1">
      <alignment vertical="center"/>
    </xf>
    <xf numFmtId="0" fontId="91" fillId="30" borderId="19" xfId="15" applyFont="1" applyFill="1" applyBorder="1" applyAlignment="1">
      <alignment vertical="center" wrapText="1"/>
    </xf>
    <xf numFmtId="0" fontId="91" fillId="30" borderId="11" xfId="15" applyFont="1" applyFill="1" applyBorder="1" applyAlignment="1">
      <alignment vertical="center" wrapText="1"/>
    </xf>
    <xf numFmtId="0" fontId="23" fillId="5" borderId="1" xfId="15" applyFill="1" applyBorder="1" applyAlignment="1">
      <alignment vertical="center"/>
    </xf>
    <xf numFmtId="0" fontId="23" fillId="0" borderId="12" xfId="3" applyBorder="1" applyAlignment="1">
      <alignment vertical="center"/>
    </xf>
    <xf numFmtId="0" fontId="23" fillId="0" borderId="7" xfId="3" applyBorder="1" applyAlignment="1">
      <alignment vertical="center"/>
    </xf>
    <xf numFmtId="0" fontId="92" fillId="5" borderId="1" xfId="15" applyFont="1" applyFill="1" applyBorder="1" applyAlignment="1">
      <alignment horizontal="center" vertical="center"/>
    </xf>
    <xf numFmtId="0" fontId="23" fillId="5" borderId="1" xfId="15" applyFill="1" applyBorder="1" applyAlignment="1">
      <alignment vertical="center" wrapText="1"/>
    </xf>
    <xf numFmtId="0" fontId="62" fillId="32" borderId="1" xfId="15" applyFont="1" applyFill="1" applyBorder="1" applyAlignment="1">
      <alignment horizontal="center" vertical="center" textRotation="45" wrapText="1"/>
    </xf>
    <xf numFmtId="0" fontId="89" fillId="32" borderId="1" xfId="15" applyFont="1" applyFill="1" applyBorder="1" applyAlignment="1">
      <alignment horizontal="center" vertical="center" wrapText="1"/>
    </xf>
    <xf numFmtId="0" fontId="77" fillId="32" borderId="1" xfId="15" applyFont="1" applyFill="1" applyBorder="1" applyAlignment="1">
      <alignment horizontal="center" vertical="center" textRotation="45"/>
    </xf>
    <xf numFmtId="0" fontId="62" fillId="32" borderId="13" xfId="15" applyFont="1" applyFill="1" applyBorder="1" applyAlignment="1">
      <alignment horizontal="center" vertical="center"/>
    </xf>
    <xf numFmtId="0" fontId="90" fillId="32" borderId="13" xfId="15" applyFont="1" applyFill="1" applyBorder="1" applyAlignment="1">
      <alignment horizontal="center" vertical="center" wrapText="1"/>
    </xf>
    <xf numFmtId="0" fontId="62" fillId="24" borderId="7" xfId="15" applyFont="1" applyFill="1" applyBorder="1" applyAlignment="1">
      <alignment horizontal="center" vertical="center"/>
    </xf>
    <xf numFmtId="0" fontId="93" fillId="24" borderId="8" xfId="15" applyFont="1" applyFill="1" applyBorder="1" applyAlignment="1">
      <alignment horizontal="center" vertical="center" wrapText="1"/>
    </xf>
    <xf numFmtId="0" fontId="90" fillId="24" borderId="8" xfId="15" applyFont="1" applyFill="1" applyBorder="1" applyAlignment="1">
      <alignment horizontal="center" vertical="center" wrapText="1"/>
    </xf>
    <xf numFmtId="0" fontId="90" fillId="24" borderId="9" xfId="15" applyFont="1" applyFill="1" applyBorder="1" applyAlignment="1">
      <alignment horizontal="center" vertical="center" wrapText="1"/>
    </xf>
    <xf numFmtId="0" fontId="33" fillId="30" borderId="19" xfId="15" applyFont="1" applyFill="1" applyBorder="1" applyAlignment="1">
      <alignment vertical="center" wrapText="1"/>
    </xf>
    <xf numFmtId="0" fontId="0" fillId="0" borderId="0" xfId="0" applyAlignment="1" applyProtection="1">
      <alignment vertical="center"/>
      <protection locked="0"/>
    </xf>
    <xf numFmtId="0" fontId="74" fillId="0" borderId="0" xfId="0" applyFont="1" applyAlignment="1" applyProtection="1">
      <alignment horizontal="left" vertical="center"/>
      <protection locked="0"/>
    </xf>
    <xf numFmtId="0" fontId="23" fillId="0" borderId="1" xfId="15" applyBorder="1" applyAlignment="1">
      <alignment vertical="center" wrapText="1"/>
    </xf>
    <xf numFmtId="0" fontId="33" fillId="31" borderId="0" xfId="3" applyFont="1" applyFill="1" applyAlignment="1">
      <alignment horizontal="center" wrapText="1"/>
    </xf>
    <xf numFmtId="0" fontId="45" fillId="31" borderId="0" xfId="3" applyFont="1" applyFill="1" applyAlignment="1">
      <alignment horizontal="center" wrapText="1"/>
    </xf>
    <xf numFmtId="0" fontId="85" fillId="29" borderId="12" xfId="29" applyFont="1" applyFill="1" applyBorder="1" applyAlignment="1">
      <alignment horizontal="center" vertical="center" wrapText="1"/>
    </xf>
    <xf numFmtId="0" fontId="98" fillId="0" borderId="2" xfId="0" applyFont="1" applyBorder="1" applyAlignment="1">
      <alignment horizontal="right" vertical="center"/>
    </xf>
    <xf numFmtId="0" fontId="100" fillId="0" borderId="0" xfId="0" applyFont="1" applyBorder="1" applyAlignment="1">
      <alignment wrapText="1"/>
    </xf>
    <xf numFmtId="0" fontId="82" fillId="7" borderId="1" xfId="14" applyFont="1" applyFill="1" applyBorder="1" applyAlignment="1">
      <alignment horizontal="center" vertical="center"/>
    </xf>
    <xf numFmtId="0" fontId="101" fillId="8" borderId="0" xfId="30" applyFill="1" applyAlignment="1">
      <alignment horizontal="center" wrapText="1"/>
    </xf>
    <xf numFmtId="14" fontId="20" fillId="0" borderId="0" xfId="11" applyNumberFormat="1"/>
    <xf numFmtId="0" fontId="77" fillId="32" borderId="1" xfId="15" applyFont="1" applyFill="1" applyBorder="1" applyAlignment="1">
      <alignment horizontal="right" vertical="center" wrapText="1"/>
    </xf>
    <xf numFmtId="0" fontId="20" fillId="0" borderId="0" xfId="11" applyFill="1" applyBorder="1"/>
    <xf numFmtId="0" fontId="23" fillId="0" borderId="0" xfId="0" applyFont="1" applyAlignment="1">
      <alignment wrapText="1"/>
    </xf>
    <xf numFmtId="0" fontId="53" fillId="6" borderId="21" xfId="1" applyBorder="1"/>
    <xf numFmtId="0" fontId="53" fillId="6" borderId="14" xfId="1" applyBorder="1"/>
    <xf numFmtId="0" fontId="4" fillId="0" borderId="0" xfId="11" applyFont="1" applyFill="1" applyBorder="1"/>
    <xf numFmtId="0" fontId="3" fillId="0" borderId="0" xfId="11" applyFont="1"/>
    <xf numFmtId="0" fontId="2" fillId="0" borderId="0" xfId="11" applyFont="1"/>
    <xf numFmtId="0" fontId="1" fillId="0" borderId="0" xfId="11" applyFont="1"/>
    <xf numFmtId="0" fontId="71" fillId="0" borderId="0" xfId="3" applyFont="1" applyAlignment="1" applyProtection="1">
      <alignment horizontal="center" vertical="center" wrapText="1"/>
      <protection locked="0"/>
    </xf>
    <xf numFmtId="0" fontId="23" fillId="0" borderId="0" xfId="3" applyAlignment="1">
      <alignment vertical="center" wrapText="1"/>
    </xf>
    <xf numFmtId="0" fontId="62" fillId="16" borderId="2" xfId="3" applyFont="1" applyFill="1" applyBorder="1" applyAlignment="1" applyProtection="1">
      <alignment horizontal="center" vertical="center" shrinkToFit="1"/>
      <protection locked="0"/>
    </xf>
    <xf numFmtId="0" fontId="62" fillId="16" borderId="0" xfId="3" applyFont="1" applyFill="1" applyAlignment="1" applyProtection="1">
      <alignment horizontal="center" vertical="center" shrinkToFit="1"/>
      <protection locked="0"/>
    </xf>
    <xf numFmtId="0" fontId="62" fillId="16" borderId="3" xfId="3" applyFont="1" applyFill="1" applyBorder="1" applyAlignment="1" applyProtection="1">
      <alignment horizontal="center" vertical="center" shrinkToFit="1"/>
      <protection locked="0"/>
    </xf>
    <xf numFmtId="0" fontId="23" fillId="0" borderId="4" xfId="3" applyBorder="1" applyAlignment="1" applyProtection="1">
      <alignment horizontal="right" vertical="top" wrapText="1" shrinkToFit="1"/>
      <protection locked="0"/>
    </xf>
    <xf numFmtId="0" fontId="23" fillId="0" borderId="5" xfId="3" applyBorder="1" applyAlignment="1" applyProtection="1">
      <alignment horizontal="right" vertical="top" wrapText="1" shrinkToFit="1"/>
      <protection locked="0"/>
    </xf>
    <xf numFmtId="0" fontId="63" fillId="0" borderId="5" xfId="0" applyFont="1" applyBorder="1" applyAlignment="1" applyProtection="1">
      <alignment horizontal="left" vertical="top" wrapText="1" shrinkToFit="1"/>
      <protection locked="0"/>
    </xf>
    <xf numFmtId="0" fontId="63" fillId="0" borderId="6" xfId="0" applyFont="1" applyBorder="1" applyAlignment="1" applyProtection="1">
      <alignment horizontal="left" vertical="top" wrapText="1" shrinkToFit="1"/>
      <protection locked="0"/>
    </xf>
    <xf numFmtId="0" fontId="25" fillId="0" borderId="5" xfId="3" applyFont="1" applyBorder="1" applyAlignment="1" applyProtection="1">
      <alignment horizontal="left" vertical="top" wrapText="1" shrinkToFit="1"/>
      <protection locked="0"/>
    </xf>
    <xf numFmtId="0" fontId="65" fillId="0" borderId="5" xfId="3" applyFont="1" applyBorder="1" applyAlignment="1" applyProtection="1">
      <alignment horizontal="left" vertical="top" shrinkToFit="1"/>
      <protection locked="0"/>
    </xf>
    <xf numFmtId="0" fontId="65" fillId="0" borderId="6" xfId="3" applyFont="1" applyBorder="1" applyAlignment="1" applyProtection="1">
      <alignment horizontal="left" vertical="top" shrinkToFit="1"/>
      <protection locked="0"/>
    </xf>
    <xf numFmtId="0" fontId="62" fillId="16" borderId="7" xfId="3" applyFont="1" applyFill="1" applyBorder="1" applyAlignment="1" applyProtection="1">
      <alignment horizontal="center" vertical="center" shrinkToFit="1"/>
      <protection locked="0"/>
    </xf>
    <xf numFmtId="0" fontId="62" fillId="16" borderId="8" xfId="3" applyFont="1" applyFill="1" applyBorder="1" applyAlignment="1" applyProtection="1">
      <alignment horizontal="center" vertical="center" shrinkToFit="1"/>
      <protection locked="0"/>
    </xf>
    <xf numFmtId="0" fontId="62" fillId="16" borderId="9" xfId="3" applyFont="1" applyFill="1" applyBorder="1" applyAlignment="1" applyProtection="1">
      <alignment horizontal="center" vertical="center" shrinkToFit="1"/>
      <protection locked="0"/>
    </xf>
    <xf numFmtId="0" fontId="23" fillId="0" borderId="4" xfId="3" applyBorder="1" applyAlignment="1" applyProtection="1">
      <alignment horizontal="center" vertical="top" wrapText="1" shrinkToFit="1"/>
      <protection locked="0"/>
    </xf>
    <xf numFmtId="0" fontId="23" fillId="0" borderId="5" xfId="3" applyBorder="1" applyAlignment="1" applyProtection="1">
      <alignment horizontal="center" vertical="top" wrapText="1" shrinkToFit="1"/>
      <protection locked="0"/>
    </xf>
    <xf numFmtId="0" fontId="23" fillId="0" borderId="6" xfId="3" applyBorder="1" applyAlignment="1" applyProtection="1">
      <alignment horizontal="center" vertical="top" wrapText="1" shrinkToFit="1"/>
      <protection locked="0"/>
    </xf>
    <xf numFmtId="0" fontId="62" fillId="16" borderId="8" xfId="3" applyFont="1" applyFill="1" applyBorder="1" applyAlignment="1" applyProtection="1">
      <alignment horizontal="center" vertical="center" wrapText="1"/>
      <protection locked="0"/>
    </xf>
    <xf numFmtId="0" fontId="62" fillId="16" borderId="0" xfId="3" applyFont="1" applyFill="1" applyAlignment="1" applyProtection="1">
      <alignment horizontal="center" vertical="center" wrapText="1"/>
      <protection locked="0"/>
    </xf>
    <xf numFmtId="0" fontId="23" fillId="0" borderId="7" xfId="3" applyBorder="1" applyAlignment="1" applyProtection="1">
      <alignment horizontal="left" vertical="top"/>
      <protection locked="0"/>
    </xf>
    <xf numFmtId="0" fontId="23" fillId="0" borderId="8" xfId="3" applyBorder="1" applyAlignment="1" applyProtection="1">
      <alignment horizontal="left" vertical="top"/>
      <protection locked="0"/>
    </xf>
    <xf numFmtId="0" fontId="23" fillId="0" borderId="9" xfId="3" applyBorder="1" applyAlignment="1" applyProtection="1">
      <alignment horizontal="left" vertical="top"/>
      <protection locked="0"/>
    </xf>
    <xf numFmtId="0" fontId="23" fillId="0" borderId="4" xfId="3" applyBorder="1" applyAlignment="1" applyProtection="1">
      <alignment horizontal="left" vertical="top"/>
      <protection locked="0"/>
    </xf>
    <xf numFmtId="0" fontId="23" fillId="0" borderId="5" xfId="3" applyBorder="1" applyAlignment="1" applyProtection="1">
      <alignment horizontal="left" vertical="top"/>
      <protection locked="0"/>
    </xf>
    <xf numFmtId="0" fontId="23" fillId="0" borderId="6" xfId="3" applyBorder="1" applyAlignment="1" applyProtection="1">
      <alignment horizontal="left" vertical="top"/>
      <protection locked="0"/>
    </xf>
    <xf numFmtId="0" fontId="62" fillId="16" borderId="2" xfId="3" applyFont="1" applyFill="1" applyBorder="1" applyAlignment="1" applyProtection="1">
      <alignment horizontal="center" vertical="center" wrapText="1" shrinkToFit="1"/>
      <protection locked="0"/>
    </xf>
    <xf numFmtId="0" fontId="62" fillId="16" borderId="0" xfId="3" applyFont="1" applyFill="1" applyAlignment="1" applyProtection="1">
      <alignment horizontal="center" vertical="center" wrapText="1" shrinkToFit="1"/>
      <protection locked="0"/>
    </xf>
    <xf numFmtId="0" fontId="81" fillId="25" borderId="14" xfId="12" applyAlignment="1" applyProtection="1">
      <alignment horizontal="center" vertical="center"/>
      <protection locked="0"/>
    </xf>
    <xf numFmtId="0" fontId="28" fillId="0" borderId="7" xfId="3" applyFont="1" applyBorder="1" applyAlignment="1">
      <alignment horizontal="left" vertical="center" wrapText="1"/>
    </xf>
    <xf numFmtId="0" fontId="28" fillId="0" borderId="8" xfId="3" applyFont="1" applyBorder="1" applyAlignment="1">
      <alignment horizontal="left" vertical="center" wrapText="1"/>
    </xf>
    <xf numFmtId="0" fontId="28" fillId="0" borderId="9" xfId="3" applyFont="1" applyBorder="1" applyAlignment="1">
      <alignment horizontal="left" vertical="center" wrapText="1"/>
    </xf>
    <xf numFmtId="0" fontId="28" fillId="0" borderId="7" xfId="3" applyFont="1" applyBorder="1" applyAlignment="1">
      <alignment horizontal="left" vertical="center" shrinkToFit="1"/>
    </xf>
    <xf numFmtId="0" fontId="28" fillId="0" borderId="8" xfId="3" applyFont="1" applyBorder="1" applyAlignment="1">
      <alignment horizontal="left" vertical="center" shrinkToFit="1"/>
    </xf>
    <xf numFmtId="0" fontId="28" fillId="0" borderId="9" xfId="3" applyFont="1" applyBorder="1" applyAlignment="1">
      <alignment horizontal="left" vertical="center" shrinkToFit="1"/>
    </xf>
    <xf numFmtId="0" fontId="60" fillId="0" borderId="4" xfId="0" applyFont="1" applyBorder="1" applyAlignment="1">
      <alignment horizontal="left" vertical="center" shrinkToFit="1"/>
    </xf>
    <xf numFmtId="0" fontId="60" fillId="0" borderId="5" xfId="0" applyFont="1" applyBorder="1" applyAlignment="1">
      <alignment horizontal="left" vertical="center" shrinkToFit="1"/>
    </xf>
    <xf numFmtId="0" fontId="60" fillId="0" borderId="6" xfId="0" applyFont="1" applyBorder="1" applyAlignment="1">
      <alignment horizontal="left" vertical="center" shrinkToFit="1"/>
    </xf>
    <xf numFmtId="0" fontId="60" fillId="0" borderId="4" xfId="3" applyFont="1" applyBorder="1" applyAlignment="1">
      <alignment horizontal="left" vertical="center" shrinkToFit="1"/>
    </xf>
    <xf numFmtId="0" fontId="60" fillId="0" borderId="5" xfId="3" applyFont="1" applyBorder="1" applyAlignment="1">
      <alignment horizontal="left" vertical="center" shrinkToFit="1"/>
    </xf>
    <xf numFmtId="0" fontId="60" fillId="0" borderId="6" xfId="3" applyFont="1" applyBorder="1" applyAlignment="1">
      <alignment horizontal="left" vertical="center" shrinkToFit="1"/>
    </xf>
    <xf numFmtId="2" fontId="60" fillId="0" borderId="4" xfId="0" applyNumberFormat="1" applyFont="1" applyBorder="1" applyAlignment="1">
      <alignment horizontal="left" vertical="center" shrinkToFit="1"/>
    </xf>
    <xf numFmtId="2" fontId="60" fillId="0" borderId="5" xfId="0" applyNumberFormat="1" applyFont="1" applyBorder="1" applyAlignment="1">
      <alignment horizontal="left" vertical="center" shrinkToFit="1"/>
    </xf>
    <xf numFmtId="2" fontId="60" fillId="0" borderId="6" xfId="0" applyNumberFormat="1" applyFont="1" applyBorder="1" applyAlignment="1">
      <alignment horizontal="left" vertical="center" shrinkToFit="1"/>
    </xf>
    <xf numFmtId="14" fontId="60" fillId="0" borderId="4" xfId="0" applyNumberFormat="1" applyFont="1" applyBorder="1" applyAlignment="1">
      <alignment horizontal="left" vertical="center" shrinkToFit="1"/>
    </xf>
    <xf numFmtId="49" fontId="23" fillId="0" borderId="10" xfId="3" applyNumberFormat="1" applyBorder="1" applyAlignment="1" applyProtection="1">
      <alignment horizontal="center" vertical="center" wrapText="1"/>
      <protection locked="0"/>
    </xf>
    <xf numFmtId="49" fontId="23" fillId="0" borderId="19" xfId="3" applyNumberFormat="1" applyBorder="1" applyAlignment="1" applyProtection="1">
      <alignment horizontal="center" vertical="center" wrapText="1"/>
      <protection locked="0"/>
    </xf>
    <xf numFmtId="49" fontId="23" fillId="0" borderId="11" xfId="3" applyNumberFormat="1" applyBorder="1" applyAlignment="1" applyProtection="1">
      <alignment horizontal="center" vertical="center" wrapText="1"/>
      <protection locked="0"/>
    </xf>
    <xf numFmtId="0" fontId="23" fillId="0" borderId="10" xfId="3" applyBorder="1" applyAlignment="1">
      <alignment horizontal="left" vertical="center" wrapText="1"/>
    </xf>
    <xf numFmtId="0" fontId="23" fillId="0" borderId="19" xfId="3" applyBorder="1" applyAlignment="1">
      <alignment horizontal="left" vertical="center" wrapText="1"/>
    </xf>
    <xf numFmtId="0" fontId="23" fillId="0" borderId="11" xfId="3" applyBorder="1" applyAlignment="1">
      <alignment horizontal="left" vertical="center" wrapText="1"/>
    </xf>
    <xf numFmtId="0" fontId="54" fillId="0" borderId="10" xfId="2" applyBorder="1" applyAlignment="1">
      <alignment horizontal="left" vertical="center" wrapText="1"/>
    </xf>
    <xf numFmtId="0" fontId="42" fillId="18" borderId="1" xfId="3" applyFont="1" applyFill="1" applyBorder="1" applyAlignment="1" applyProtection="1">
      <alignment horizontal="center" vertical="center" wrapText="1"/>
      <protection locked="0"/>
    </xf>
    <xf numFmtId="0" fontId="77" fillId="20" borderId="1" xfId="3" applyFont="1" applyFill="1" applyBorder="1" applyAlignment="1">
      <alignment horizontal="center" vertical="center" wrapText="1"/>
    </xf>
    <xf numFmtId="49" fontId="23" fillId="0" borderId="1" xfId="3" applyNumberFormat="1" applyBorder="1" applyAlignment="1" applyProtection="1">
      <alignment vertical="center" wrapText="1"/>
      <protection locked="0"/>
    </xf>
    <xf numFmtId="49" fontId="23" fillId="0" borderId="1" xfId="3" applyNumberFormat="1" applyBorder="1" applyAlignment="1" applyProtection="1">
      <alignment horizontal="left" vertical="center" wrapText="1"/>
      <protection locked="0"/>
    </xf>
    <xf numFmtId="0" fontId="23" fillId="0" borderId="1" xfId="3" applyBorder="1" applyAlignment="1">
      <alignment horizontal="left" vertical="center" wrapText="1"/>
    </xf>
    <xf numFmtId="0" fontId="23" fillId="0" borderId="1" xfId="3" applyBorder="1" applyAlignment="1">
      <alignment horizontal="center" vertical="center" wrapText="1"/>
    </xf>
    <xf numFmtId="14" fontId="23" fillId="0" borderId="10" xfId="3" applyNumberFormat="1" applyBorder="1" applyAlignment="1" applyProtection="1">
      <alignment horizontal="left" vertical="center" wrapText="1"/>
      <protection locked="0"/>
    </xf>
    <xf numFmtId="14" fontId="23" fillId="0" borderId="19" xfId="3" applyNumberFormat="1" applyBorder="1" applyAlignment="1" applyProtection="1">
      <alignment horizontal="left" vertical="center" wrapText="1"/>
      <protection locked="0"/>
    </xf>
    <xf numFmtId="14" fontId="23" fillId="0" borderId="11" xfId="3" applyNumberFormat="1" applyBorder="1" applyAlignment="1" applyProtection="1">
      <alignment horizontal="left" vertical="center" wrapText="1"/>
      <protection locked="0"/>
    </xf>
    <xf numFmtId="49" fontId="23" fillId="0" borderId="1" xfId="3" applyNumberFormat="1" applyBorder="1" applyAlignment="1">
      <alignment horizontal="left" vertical="center" wrapText="1"/>
    </xf>
    <xf numFmtId="49" fontId="23" fillId="0" borderId="1" xfId="3" applyNumberFormat="1" applyBorder="1" applyAlignment="1" applyProtection="1">
      <alignment horizontal="center" vertical="center" wrapText="1"/>
      <protection locked="0"/>
    </xf>
    <xf numFmtId="49" fontId="23" fillId="0" borderId="1" xfId="3" applyNumberFormat="1" applyBorder="1" applyAlignment="1">
      <alignment horizontal="center" vertical="center" wrapText="1"/>
    </xf>
    <xf numFmtId="49" fontId="23" fillId="22" borderId="1" xfId="3" applyNumberFormat="1" applyFill="1" applyBorder="1" applyAlignment="1" applyProtection="1">
      <alignment horizontal="center" vertical="center" wrapText="1"/>
      <protection locked="0"/>
    </xf>
    <xf numFmtId="49" fontId="23" fillId="33" borderId="1" xfId="3" applyNumberFormat="1" applyFont="1" applyFill="1" applyBorder="1" applyAlignment="1" applyProtection="1">
      <alignment horizontal="center" vertical="center" wrapText="1"/>
      <protection locked="0"/>
    </xf>
    <xf numFmtId="49" fontId="57" fillId="24" borderId="1" xfId="3" applyNumberFormat="1" applyFont="1" applyFill="1" applyBorder="1" applyAlignment="1" applyProtection="1">
      <alignment horizontal="center" vertical="center" wrapText="1"/>
      <protection locked="0"/>
    </xf>
    <xf numFmtId="0" fontId="28" fillId="17" borderId="7" xfId="3" applyFont="1" applyFill="1" applyBorder="1" applyAlignment="1">
      <alignment horizontal="left" vertical="center" shrinkToFit="1"/>
    </xf>
    <xf numFmtId="0" fontId="28" fillId="17" borderId="8" xfId="3" applyFont="1" applyFill="1" applyBorder="1" applyAlignment="1">
      <alignment horizontal="left" vertical="center" shrinkToFit="1"/>
    </xf>
    <xf numFmtId="0" fontId="28" fillId="17" borderId="9" xfId="3" applyFont="1" applyFill="1" applyBorder="1" applyAlignment="1">
      <alignment horizontal="left" vertical="center" shrinkToFit="1"/>
    </xf>
    <xf numFmtId="0" fontId="61" fillId="17" borderId="4" xfId="3" applyFont="1" applyFill="1" applyBorder="1" applyAlignment="1">
      <alignment horizontal="left" vertical="center" shrinkToFit="1"/>
    </xf>
    <xf numFmtId="0" fontId="61" fillId="17" borderId="5" xfId="3" applyFont="1" applyFill="1" applyBorder="1" applyAlignment="1">
      <alignment horizontal="left" vertical="center" shrinkToFit="1"/>
    </xf>
    <xf numFmtId="0" fontId="61" fillId="17" borderId="6" xfId="3" applyFont="1" applyFill="1" applyBorder="1" applyAlignment="1">
      <alignment horizontal="left" vertical="center" shrinkToFit="1"/>
    </xf>
    <xf numFmtId="0" fontId="23" fillId="18" borderId="1" xfId="3" applyFill="1" applyBorder="1" applyAlignment="1" applyProtection="1">
      <alignment horizontal="center" vertical="center" wrapText="1"/>
      <protection locked="0"/>
    </xf>
    <xf numFmtId="49" fontId="23" fillId="19" borderId="1" xfId="3" applyNumberFormat="1" applyFill="1" applyBorder="1" applyAlignment="1" applyProtection="1">
      <alignment horizontal="center" vertical="center" wrapText="1"/>
      <protection locked="0"/>
    </xf>
    <xf numFmtId="0" fontId="28" fillId="17" borderId="7" xfId="3" applyFont="1" applyFill="1" applyBorder="1" applyAlignment="1">
      <alignment horizontal="left" vertical="center" wrapText="1"/>
    </xf>
    <xf numFmtId="0" fontId="28" fillId="17" borderId="8" xfId="3" applyFont="1" applyFill="1" applyBorder="1" applyAlignment="1">
      <alignment horizontal="left" vertical="center" wrapText="1"/>
    </xf>
    <xf numFmtId="0" fontId="28" fillId="17" borderId="9" xfId="3" applyFont="1" applyFill="1" applyBorder="1" applyAlignment="1">
      <alignment horizontal="left" vertical="center" wrapText="1"/>
    </xf>
    <xf numFmtId="0" fontId="60" fillId="17" borderId="4" xfId="3" applyFont="1" applyFill="1" applyBorder="1" applyAlignment="1">
      <alignment horizontal="left" vertical="center" shrinkToFit="1"/>
    </xf>
    <xf numFmtId="0" fontId="60" fillId="17" borderId="5" xfId="3" applyFont="1" applyFill="1" applyBorder="1" applyAlignment="1">
      <alignment horizontal="left" vertical="center" shrinkToFit="1"/>
    </xf>
    <xf numFmtId="0" fontId="60" fillId="17" borderId="6" xfId="3" applyFont="1" applyFill="1" applyBorder="1" applyAlignment="1">
      <alignment horizontal="left" vertical="center" shrinkToFit="1"/>
    </xf>
    <xf numFmtId="14" fontId="60" fillId="0" borderId="4" xfId="3" applyNumberFormat="1" applyFont="1" applyBorder="1" applyAlignment="1">
      <alignment horizontal="left" vertical="center" shrinkToFit="1"/>
    </xf>
    <xf numFmtId="2" fontId="60" fillId="17" borderId="4" xfId="3" applyNumberFormat="1" applyFont="1" applyFill="1" applyBorder="1" applyAlignment="1">
      <alignment horizontal="left" vertical="center" shrinkToFit="1"/>
    </xf>
    <xf numFmtId="2" fontId="60" fillId="17" borderId="5" xfId="3" applyNumberFormat="1" applyFont="1" applyFill="1" applyBorder="1" applyAlignment="1">
      <alignment horizontal="left" vertical="center" shrinkToFit="1"/>
    </xf>
    <xf numFmtId="2" fontId="60" fillId="17" borderId="6" xfId="3" applyNumberFormat="1" applyFont="1" applyFill="1" applyBorder="1" applyAlignment="1">
      <alignment horizontal="left" vertical="center" shrinkToFit="1"/>
    </xf>
    <xf numFmtId="49" fontId="23" fillId="23" borderId="1" xfId="3" applyNumberFormat="1" applyFill="1" applyBorder="1" applyAlignment="1" applyProtection="1">
      <alignment horizontal="center" vertical="center" wrapText="1"/>
      <protection locked="0"/>
    </xf>
    <xf numFmtId="0" fontId="95" fillId="2" borderId="10" xfId="7" applyFont="1" applyFill="1" applyBorder="1" applyAlignment="1">
      <alignment horizontal="center" vertical="center"/>
    </xf>
    <xf numFmtId="0" fontId="95" fillId="2" borderId="19" xfId="7" applyFont="1" applyFill="1" applyBorder="1" applyAlignment="1">
      <alignment horizontal="center" vertical="center"/>
    </xf>
    <xf numFmtId="0" fontId="95" fillId="2" borderId="11" xfId="7" applyFont="1" applyFill="1" applyBorder="1" applyAlignment="1">
      <alignment horizontal="center" vertical="center"/>
    </xf>
    <xf numFmtId="0" fontId="30" fillId="2" borderId="10" xfId="7" applyFill="1" applyBorder="1" applyAlignment="1">
      <alignment horizontal="justify" vertical="center" wrapText="1"/>
    </xf>
    <xf numFmtId="0" fontId="30" fillId="2" borderId="19" xfId="7" applyFill="1" applyBorder="1" applyAlignment="1">
      <alignment horizontal="justify" vertical="center" wrapText="1"/>
    </xf>
    <xf numFmtId="0" fontId="30" fillId="2" borderId="11" xfId="7" applyFill="1" applyBorder="1" applyAlignment="1">
      <alignment horizontal="justify" vertical="center" wrapText="1"/>
    </xf>
    <xf numFmtId="0" fontId="24" fillId="21" borderId="2" xfId="0" applyFont="1" applyFill="1" applyBorder="1" applyAlignment="1">
      <alignment horizontal="center" vertical="top" textRotation="45"/>
    </xf>
    <xf numFmtId="0" fontId="24" fillId="9" borderId="2" xfId="0" applyFont="1" applyFill="1" applyBorder="1" applyAlignment="1">
      <alignment horizontal="center" vertical="center" textRotation="45"/>
    </xf>
    <xf numFmtId="0" fontId="31" fillId="3" borderId="7" xfId="7" applyFont="1" applyFill="1" applyBorder="1" applyAlignment="1">
      <alignment horizontal="center" vertical="distributed"/>
    </xf>
    <xf numFmtId="0" fontId="31" fillId="3" borderId="8" xfId="7" applyFont="1" applyFill="1" applyBorder="1" applyAlignment="1">
      <alignment horizontal="center" vertical="distributed"/>
    </xf>
    <xf numFmtId="0" fontId="31" fillId="3" borderId="9" xfId="7" applyFont="1" applyFill="1" applyBorder="1" applyAlignment="1">
      <alignment horizontal="center" vertical="distributed"/>
    </xf>
    <xf numFmtId="0" fontId="24" fillId="3" borderId="7" xfId="0" applyFont="1" applyFill="1" applyBorder="1" applyAlignment="1">
      <alignment horizontal="center" wrapText="1"/>
    </xf>
    <xf numFmtId="0" fontId="24" fillId="3" borderId="8" xfId="0" applyFont="1" applyFill="1" applyBorder="1" applyAlignment="1">
      <alignment horizontal="center" wrapText="1"/>
    </xf>
    <xf numFmtId="0" fontId="24" fillId="3" borderId="9" xfId="0" applyFont="1" applyFill="1" applyBorder="1" applyAlignment="1">
      <alignment horizontal="center" wrapText="1"/>
    </xf>
    <xf numFmtId="0" fontId="23" fillId="2" borderId="10" xfId="0" applyFont="1" applyFill="1" applyBorder="1" applyAlignment="1">
      <alignment horizontal="left" vertical="center" wrapText="1" shrinkToFit="1"/>
    </xf>
    <xf numFmtId="0" fontId="23" fillId="2" borderId="11" xfId="0" applyFont="1" applyFill="1" applyBorder="1" applyAlignment="1">
      <alignment horizontal="left" vertical="center" wrapText="1" shrinkToFit="1"/>
    </xf>
    <xf numFmtId="0" fontId="84" fillId="28" borderId="4" xfId="13" applyFont="1" applyFill="1" applyBorder="1" applyAlignment="1" applyProtection="1">
      <alignment horizontal="center" vertical="center" wrapText="1"/>
      <protection locked="0"/>
    </xf>
    <xf numFmtId="0" fontId="84" fillId="28" borderId="5" xfId="13" applyFont="1" applyFill="1" applyBorder="1" applyAlignment="1" applyProtection="1">
      <alignment horizontal="center" vertical="center" wrapText="1"/>
      <protection locked="0"/>
    </xf>
    <xf numFmtId="0" fontId="84" fillId="28" borderId="6" xfId="13" applyFont="1" applyFill="1" applyBorder="1" applyAlignment="1" applyProtection="1">
      <alignment horizontal="center" vertical="center" wrapText="1"/>
      <protection locked="0"/>
    </xf>
    <xf numFmtId="0" fontId="84" fillId="16" borderId="4" xfId="13" applyFont="1" applyFill="1" applyBorder="1" applyAlignment="1" applyProtection="1">
      <alignment horizontal="center" vertical="center" wrapText="1"/>
    </xf>
    <xf numFmtId="0" fontId="84" fillId="16" borderId="5" xfId="13" applyFont="1" applyFill="1" applyBorder="1" applyAlignment="1" applyProtection="1">
      <alignment horizontal="center" vertical="center" wrapText="1"/>
    </xf>
    <xf numFmtId="0" fontId="81" fillId="25" borderId="14" xfId="12" applyAlignment="1">
      <alignment horizontal="left" vertical="center"/>
    </xf>
    <xf numFmtId="0" fontId="33" fillId="8" borderId="5" xfId="0" applyFont="1" applyFill="1" applyBorder="1" applyAlignment="1">
      <alignment horizontal="center" vertical="center"/>
    </xf>
    <xf numFmtId="0" fontId="33" fillId="8" borderId="6" xfId="0" applyFont="1" applyFill="1" applyBorder="1" applyAlignment="1">
      <alignment horizontal="center" vertical="center"/>
    </xf>
    <xf numFmtId="0" fontId="89" fillId="28" borderId="10" xfId="2" applyFont="1" applyFill="1" applyBorder="1" applyAlignment="1" applyProtection="1">
      <alignment horizontal="center" vertical="center" wrapText="1"/>
      <protection locked="0"/>
    </xf>
    <xf numFmtId="0" fontId="89" fillId="28" borderId="11" xfId="2" applyFont="1" applyFill="1" applyBorder="1" applyAlignment="1" applyProtection="1">
      <alignment horizontal="center" vertical="center" wrapText="1"/>
      <protection locked="0"/>
    </xf>
  </cellXfs>
  <cellStyles count="31">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48">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3.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 analysis</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cat>
            <c:strRef>
              <c:f>'Synthesis Charts'!$C$25:$C$26</c:f>
              <c:strCache>
                <c:ptCount val="2"/>
                <c:pt idx="0">
                  <c:v>Conformities</c:v>
                </c:pt>
                <c:pt idx="1">
                  <c:v>Non conformities</c:v>
                </c:pt>
              </c:strCache>
            </c:strRef>
          </c:cat>
          <c:val>
            <c:numRef>
              <c:f>'Synthesis Charts'!$D$25:$D$26</c:f>
              <c:numCache>
                <c:formatCode>General</c:formatCode>
                <c:ptCount val="2"/>
                <c:pt idx="0">
                  <c:v>1</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Charts'!$C$32:$C$36</c:f>
              <c:strCache>
                <c:ptCount val="5"/>
                <c:pt idx="0">
                  <c:v>Open</c:v>
                </c:pt>
                <c:pt idx="1">
                  <c:v>To be fixed</c:v>
                </c:pt>
                <c:pt idx="2">
                  <c:v>Fixed</c:v>
                </c:pt>
                <c:pt idx="3">
                  <c:v>Postponed</c:v>
                </c:pt>
                <c:pt idx="4">
                  <c:v>Will not fixed (or invalid)</c:v>
                </c:pt>
              </c:strCache>
            </c:strRef>
          </c:cat>
          <c:val>
            <c:numRef>
              <c:f>'Synthesis Charts'!$D$32:$D$36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'Synthesis Charts'!$D$40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'Synthesis Charts'!$C$41:$C$43</c:f>
              <c:strCache>
                <c:ptCount val="3"/>
                <c:pt idx="0">
                  <c:v>Approved (closed)</c:v>
                </c:pt>
                <c:pt idx="1">
                  <c:v>Postponed and approved</c:v>
                </c:pt>
                <c:pt idx="2">
                  <c:v>Not approved</c:v>
                </c:pt>
              </c:strCache>
            </c:strRef>
          </c:cat>
          <c:val>
            <c:numRef>
              <c:f>'Synthesis Charts'!$D$41:$D$43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22127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4641850</xdr:colOff>
          <xdr:row>115</xdr:row>
          <xdr:rowOff>107950</xdr:rowOff>
        </xdr:from>
        <xdr:to>
          <xdr:col>2</xdr:col>
          <xdr:colOff>6527800</xdr:colOff>
          <xdr:row>117</xdr:row>
          <xdr:rowOff>50800</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123190</xdr:colOff>
      <xdr:row>2</xdr:row>
      <xdr:rowOff>105410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123190</xdr:colOff>
      <xdr:row>2</xdr:row>
      <xdr:rowOff>105410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tefan.dominte/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MilestoneOld"/>
      <sheetName val="Template.Audit"/>
      <sheetName val="Template.Review"/>
      <sheetName val="Quality criteria"/>
      <sheetName val="TEM486 - Master questions libra"/>
    </sheetNames>
    <sheetDataSet>
      <sheetData sheetId="0">
        <row r="5">
          <cell r="A5" t="str">
            <v>Process and method</v>
          </cell>
          <cell r="W5" t="str">
            <v>Draft</v>
          </cell>
          <cell r="AB5" t="str">
            <v>TBD</v>
          </cell>
        </row>
        <row r="7">
          <cell r="A7" t="str">
            <v>TBD</v>
          </cell>
          <cell r="E7" t="str">
            <v>Master questions library</v>
          </cell>
          <cell r="W7" t="str">
            <v>TEM486</v>
          </cell>
          <cell r="AB7" t="str">
            <v>TBD</v>
          </cell>
          <cell r="AE7" t="str">
            <v>TBD</v>
          </cell>
        </row>
      </sheetData>
      <sheetData sheetId="1">
        <row r="62">
          <cell r="V62">
            <v>1</v>
          </cell>
        </row>
        <row r="63">
          <cell r="V63">
            <v>0.7</v>
          </cell>
        </row>
        <row r="64">
          <cell r="V64">
            <v>0.4</v>
          </cell>
        </row>
        <row r="65">
          <cell r="V65">
            <v>0</v>
          </cell>
        </row>
        <row r="73">
          <cell r="B73">
            <v>971</v>
          </cell>
        </row>
        <row r="74">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Milestone</v>
          </cell>
          <cell r="AM75" t="str">
            <v>M</v>
          </cell>
          <cell r="AO75" t="str">
            <v>swM0 - Planning</v>
          </cell>
          <cell r="AR75" t="str">
            <v>Architecture</v>
          </cell>
          <cell r="AS75" t="str">
            <v>ARC</v>
          </cell>
          <cell r="AU75" t="str">
            <v>Code</v>
          </cell>
          <cell r="BA75" t="str">
            <v>Medium</v>
          </cell>
          <cell r="BJ75" t="str">
            <v>Released</v>
          </cell>
        </row>
        <row r="76">
          <cell r="AI76" t="str">
            <v>Functional safety</v>
          </cell>
          <cell r="AJ76" t="str">
            <v>SA</v>
          </cell>
          <cell r="AL76" t="str">
            <v>Review</v>
          </cell>
          <cell r="AM76" t="str">
            <v>R</v>
          </cell>
          <cell r="AO76" t="str">
            <v>swM1 - Qualification preparation</v>
          </cell>
          <cell r="AR76" t="str">
            <v>Configuration management</v>
          </cell>
          <cell r="AS76" t="str">
            <v>CM</v>
          </cell>
          <cell r="AU76" t="str">
            <v>Schedules (PS, DS, SPS, QS)</v>
          </cell>
          <cell r="BA76" t="str">
            <v>Low</v>
          </cell>
        </row>
        <row r="77">
          <cell r="AI77" t="str">
            <v>Mechanical</v>
          </cell>
          <cell r="AJ77" t="str">
            <v>ME</v>
          </cell>
          <cell r="AO77" t="str">
            <v>swM2 - Qualification execution</v>
          </cell>
          <cell r="AR77" t="str">
            <v>Construction</v>
          </cell>
          <cell r="AS77" t="str">
            <v>COD</v>
          </cell>
          <cell r="AU77" t="str">
            <v>Integration test plan (SW/SYS)</v>
          </cell>
        </row>
        <row r="78">
          <cell r="AI78" t="str">
            <v>Product</v>
          </cell>
          <cell r="AJ78" t="str">
            <v>PD</v>
          </cell>
          <cell r="AO78" t="str">
            <v>swM3 - End of release</v>
          </cell>
          <cell r="AR78" t="str">
            <v>Delivery and release</v>
          </cell>
          <cell r="AS78" t="str">
            <v>DLV</v>
          </cell>
          <cell r="AU78" t="str">
            <v>Integration tests specifications and report</v>
          </cell>
        </row>
        <row r="79">
          <cell r="AI79" t="str">
            <v>Project</v>
          </cell>
          <cell r="AJ79" t="str">
            <v>PJ</v>
          </cell>
          <cell r="AR79" t="str">
            <v>Design</v>
          </cell>
          <cell r="AS79" t="str">
            <v>DSG</v>
          </cell>
          <cell r="AU79" t="str">
            <v>Model-Based Design</v>
          </cell>
        </row>
        <row r="80">
          <cell r="AI80" t="str">
            <v>Quality assurance</v>
          </cell>
          <cell r="AJ80" t="str">
            <v>QA</v>
          </cell>
          <cell r="AO80" t="str">
            <v>sysMD - Delivery</v>
          </cell>
          <cell r="AR80" t="str">
            <v>Functional Safety</v>
          </cell>
          <cell r="AS80" t="str">
            <v>FUSA</v>
          </cell>
          <cell r="AU80" t="str">
            <v>Project Development Plan</v>
          </cell>
        </row>
        <row r="81">
          <cell r="AI81" t="str">
            <v>Software</v>
          </cell>
          <cell r="AJ81" t="str">
            <v>SW</v>
          </cell>
          <cell r="AO81" t="str">
            <v>sysMP - Planning</v>
          </cell>
          <cell r="AR81" t="str">
            <v>Integration tests</v>
          </cell>
          <cell r="AS81" t="str">
            <v>INT</v>
          </cell>
          <cell r="AU81" t="str">
            <v>Qualification plan (SW/SYS)</v>
          </cell>
        </row>
        <row r="82">
          <cell r="AI82" t="str">
            <v>System</v>
          </cell>
          <cell r="AJ82" t="str">
            <v>SY</v>
          </cell>
          <cell r="AO82" t="str">
            <v>sysMR - End of release</v>
          </cell>
          <cell r="AR82" t="str">
            <v>Project management</v>
          </cell>
          <cell r="AS82" t="str">
            <v>PM</v>
          </cell>
          <cell r="AU82" t="str">
            <v>Qualification Specification and Report</v>
          </cell>
        </row>
        <row r="83">
          <cell r="AR83" t="str">
            <v>Qualification</v>
          </cell>
          <cell r="AS83" t="str">
            <v>QAF</v>
          </cell>
          <cell r="AU83" t="str">
            <v>Quality assurance plan</v>
          </cell>
        </row>
        <row r="84">
          <cell r="AO84" t="str">
            <v>Major milestone 1.1</v>
          </cell>
          <cell r="AR84" t="str">
            <v>Quality assurance</v>
          </cell>
          <cell r="AS84" t="str">
            <v>QA</v>
          </cell>
          <cell r="AU84" t="str">
            <v>Requirements</v>
          </cell>
        </row>
        <row r="85">
          <cell r="AO85" t="str">
            <v>Major milestone 1.2</v>
          </cell>
          <cell r="AR85" t="str">
            <v>Requirement management</v>
          </cell>
          <cell r="AS85" t="str">
            <v>RQM</v>
          </cell>
          <cell r="AU85" t="str">
            <v>Reuse strategy definition / reuse plan</v>
          </cell>
        </row>
        <row r="86">
          <cell r="AI86" t="str">
            <v>Software</v>
          </cell>
          <cell r="AO86" t="str">
            <v>Major milestone 2.1</v>
          </cell>
          <cell r="AR86" t="str">
            <v>ReUse</v>
          </cell>
          <cell r="AS86" t="str">
            <v>REU</v>
          </cell>
          <cell r="AU86" t="str">
            <v>Software detailed design</v>
          </cell>
        </row>
        <row r="87">
          <cell r="AO87" t="str">
            <v>Major milestone 2.2</v>
          </cell>
          <cell r="AR87" t="str">
            <v>Review</v>
          </cell>
          <cell r="AS87" t="str">
            <v>REV</v>
          </cell>
          <cell r="AU87" t="str">
            <v>Software architecture</v>
          </cell>
        </row>
        <row r="88">
          <cell r="AO88" t="str">
            <v>Major milestone 3.1</v>
          </cell>
          <cell r="AR88" t="str">
            <v>Risk Management</v>
          </cell>
          <cell r="AS88" t="str">
            <v>RSK</v>
          </cell>
          <cell r="AU88" t="str">
            <v>Software development plan</v>
          </cell>
        </row>
        <row r="89">
          <cell r="AO89" t="str">
            <v>Major milestone 3.2</v>
          </cell>
          <cell r="AR89" t="str">
            <v>Supplier Management</v>
          </cell>
          <cell r="AS89" t="str">
            <v>SM</v>
          </cell>
          <cell r="AU89" t="str">
            <v>Software work-product follow-up</v>
          </cell>
        </row>
        <row r="90">
          <cell r="AR90" t="str">
            <v>Unit verification</v>
          </cell>
          <cell r="AS90" t="str">
            <v>UV</v>
          </cell>
          <cell r="AU90" t="str">
            <v>System architecture</v>
          </cell>
        </row>
        <row r="91">
          <cell r="AO91" t="str">
            <v>FUSA - Safety Milestone for TG1</v>
          </cell>
          <cell r="AU91" t="str">
            <v>Unit Test specifications and report</v>
          </cell>
        </row>
        <row r="92">
          <cell r="AO92" t="str">
            <v>FUSA - Safety Milestone for MM2.1</v>
          </cell>
        </row>
        <row r="93">
          <cell r="AO93" t="str">
            <v>FUSA -Safety Milestone for TG2</v>
          </cell>
        </row>
        <row r="94">
          <cell r="AO94" t="str">
            <v>FUSA - Safety Milestone for TG3</v>
          </cell>
        </row>
        <row r="95">
          <cell r="AU95" t="str">
            <v>Process assets (procedure, method and template)</v>
          </cell>
        </row>
        <row r="97">
          <cell r="AO97" t="str">
            <v>Current milestone</v>
          </cell>
          <cell r="AU97" t="str">
            <v>Other documents (when no specific checklist exists)</v>
          </cell>
        </row>
        <row r="98">
          <cell r="AO98" t="str">
            <v>FUSA - Safety Milestone for MM2.1</v>
          </cell>
        </row>
        <row r="100">
          <cell r="AU100" t="str">
            <v>Current review</v>
          </cell>
        </row>
        <row r="101">
          <cell r="AU101" t="str">
            <v>Process assets (procedure, method and template)</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TEM567 - Safety Milestone checklist</v>
          </cell>
          <cell r="J23" t="str">
            <v>TEM482 - Process audits.xlsm</v>
          </cell>
          <cell r="Q23" t="str">
            <v>AEF1007 - Peer Review Workbook (PRWB).xlsm</v>
          </cell>
        </row>
      </sheetData>
      <sheetData sheetId="4"/>
      <sheetData sheetId="5"/>
      <sheetData sheetId="6">
        <row r="16">
          <cell r="H16" t="str">
            <v>Check:
 o Based on the applicable template
 o Archived following configuration management rules 
 o Reviewed by relevant stakeholders with applicable verification criteria
 o Approved by relevant stakeholders
 o Informed/distributed to the relevant people</v>
          </cell>
        </row>
      </sheetData>
      <sheetData sheetId="7"/>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sheetData sheetId="12"/>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3" totalsRowShown="0" headerRowDxfId="47" headerRowBorderDxfId="46" tableBorderDxfId="45" headerRowCellStyle="40% - Accent5" dataCellStyle="Normal 4">
  <autoFilter ref="A2:O13"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tableColumn id="6" xr3:uid="{DD9655BE-E53F-4CA5-885B-7FC10F8D2395}" name="Reviewer 1" dataCellStyle="Normal 4"/>
    <tableColumn id="7" xr3:uid="{525D8884-0C8A-4478-BF05-7E1372CD45F9}" name="Reviewer 2"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opLeftCell="A20" zoomScale="130" zoomScaleNormal="130" workbookViewId="0">
      <selection activeCell="A13" sqref="A13:AG13"/>
    </sheetView>
  </sheetViews>
  <sheetFormatPr defaultColWidth="0" defaultRowHeight="12.75" customHeight="1" zeroHeight="1"/>
  <cols>
    <col min="1" max="3" width="2.81640625" style="111" customWidth="1"/>
    <col min="4" max="4" width="3.453125" style="111" customWidth="1"/>
    <col min="5" max="33" width="2.81640625" style="111" customWidth="1"/>
    <col min="34" max="34" width="1.453125" style="111" customWidth="1"/>
    <col min="35" max="60" width="3.453125" style="111" hidden="1" customWidth="1"/>
    <col min="61" max="16384" width="0" style="111" hidden="1"/>
  </cols>
  <sheetData>
    <row r="1" spans="1:37" s="101" customFormat="1" ht="12.5">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c r="AI1" s="105"/>
      <c r="AJ1" s="105"/>
      <c r="AK1" s="105"/>
    </row>
    <row r="2" spans="1:37" s="101" customFormat="1" ht="12.5"/>
    <row r="3" spans="1:37" s="101" customFormat="1" ht="12.5">
      <c r="AD3" s="106" t="s">
        <v>328</v>
      </c>
    </row>
    <row r="4" spans="1:37" s="101" customFormat="1" ht="11.15" customHeight="1">
      <c r="A4" s="237" t="s">
        <v>4</v>
      </c>
      <c r="B4" s="238"/>
      <c r="C4" s="238"/>
      <c r="D4" s="238"/>
      <c r="E4" s="238"/>
      <c r="F4" s="238"/>
      <c r="G4" s="238"/>
      <c r="H4" s="238"/>
      <c r="I4" s="238"/>
      <c r="J4" s="238"/>
      <c r="K4" s="238"/>
      <c r="L4" s="238"/>
      <c r="M4" s="238"/>
      <c r="N4" s="238"/>
      <c r="O4" s="238"/>
      <c r="P4" s="238"/>
      <c r="Q4" s="239"/>
      <c r="R4" s="234" t="s">
        <v>11</v>
      </c>
      <c r="S4" s="235"/>
      <c r="T4" s="235"/>
      <c r="U4" s="235"/>
      <c r="V4" s="236"/>
      <c r="W4" s="234" t="s">
        <v>5</v>
      </c>
      <c r="X4" s="235"/>
      <c r="Y4" s="235"/>
      <c r="Z4" s="235"/>
      <c r="AA4" s="236"/>
      <c r="AB4" s="237" t="s">
        <v>123</v>
      </c>
      <c r="AC4" s="238"/>
      <c r="AD4" s="238"/>
      <c r="AE4" s="238"/>
      <c r="AF4" s="238"/>
      <c r="AG4" s="239"/>
      <c r="AH4" s="107"/>
      <c r="AI4" s="107"/>
      <c r="AJ4" s="107"/>
    </row>
    <row r="5" spans="1:37" s="108" customFormat="1" ht="12.75" customHeight="1">
      <c r="A5" s="240" t="s">
        <v>324</v>
      </c>
      <c r="B5" s="241"/>
      <c r="C5" s="241"/>
      <c r="D5" s="241"/>
      <c r="E5" s="241"/>
      <c r="F5" s="241"/>
      <c r="G5" s="241"/>
      <c r="H5" s="241"/>
      <c r="I5" s="241"/>
      <c r="J5" s="241"/>
      <c r="K5" s="241"/>
      <c r="L5" s="241"/>
      <c r="M5" s="241"/>
      <c r="N5" s="241"/>
      <c r="O5" s="241"/>
      <c r="P5" s="241"/>
      <c r="Q5" s="242"/>
      <c r="R5" s="240" t="s">
        <v>124</v>
      </c>
      <c r="S5" s="241"/>
      <c r="T5" s="241"/>
      <c r="U5" s="241"/>
      <c r="V5" s="242"/>
      <c r="W5" s="240" t="s">
        <v>325</v>
      </c>
      <c r="X5" s="241"/>
      <c r="Y5" s="241"/>
      <c r="Z5" s="241"/>
      <c r="AA5" s="242"/>
      <c r="AB5" s="249">
        <v>44790</v>
      </c>
      <c r="AC5" s="241"/>
      <c r="AD5" s="241"/>
      <c r="AE5" s="241"/>
      <c r="AF5" s="241"/>
      <c r="AG5" s="242"/>
    </row>
    <row r="6" spans="1:37" s="101" customFormat="1" ht="11.15" customHeight="1">
      <c r="A6" s="234" t="s">
        <v>6</v>
      </c>
      <c r="B6" s="235"/>
      <c r="C6" s="235"/>
      <c r="D6" s="236"/>
      <c r="E6" s="234" t="s">
        <v>7</v>
      </c>
      <c r="F6" s="235"/>
      <c r="G6" s="235"/>
      <c r="H6" s="235"/>
      <c r="I6" s="235"/>
      <c r="J6" s="235"/>
      <c r="K6" s="235"/>
      <c r="L6" s="235"/>
      <c r="M6" s="235"/>
      <c r="N6" s="235"/>
      <c r="O6" s="235"/>
      <c r="P6" s="235"/>
      <c r="Q6" s="235"/>
      <c r="R6" s="235"/>
      <c r="S6" s="235"/>
      <c r="T6" s="235"/>
      <c r="U6" s="235"/>
      <c r="V6" s="236"/>
      <c r="W6" s="237" t="s">
        <v>9</v>
      </c>
      <c r="X6" s="238"/>
      <c r="Y6" s="238"/>
      <c r="Z6" s="238"/>
      <c r="AA6" s="239"/>
      <c r="AB6" s="234" t="s">
        <v>31</v>
      </c>
      <c r="AC6" s="235"/>
      <c r="AD6" s="236"/>
      <c r="AE6" s="234" t="s">
        <v>8</v>
      </c>
      <c r="AF6" s="235"/>
      <c r="AG6" s="236"/>
    </row>
    <row r="7" spans="1:37" s="108" customFormat="1" ht="12.75" customHeight="1">
      <c r="A7" s="240" t="s">
        <v>10</v>
      </c>
      <c r="B7" s="241"/>
      <c r="C7" s="241"/>
      <c r="D7" s="242"/>
      <c r="E7" s="240" t="str">
        <f ca="1" xml:space="preserve"> IFERROR(IF([2]!alvDocProperty("MXTitle")="","ATM - Peer Review Workbook (PRWB)",[2]!alvDocProperty("MXTitle")),"BMM -  Peer Review Workbook (PRWB)")</f>
        <v>BMM -  Peer Review Workbook (PRWB)</v>
      </c>
      <c r="F7" s="241"/>
      <c r="G7" s="241"/>
      <c r="H7" s="241"/>
      <c r="I7" s="241"/>
      <c r="J7" s="241"/>
      <c r="K7" s="241"/>
      <c r="L7" s="241"/>
      <c r="M7" s="241"/>
      <c r="N7" s="241"/>
      <c r="O7" s="241"/>
      <c r="P7" s="241"/>
      <c r="Q7" s="241"/>
      <c r="R7" s="241"/>
      <c r="S7" s="241"/>
      <c r="T7" s="241"/>
      <c r="U7" s="241"/>
      <c r="V7" s="242"/>
      <c r="W7" s="243" t="str">
        <f ca="1" xml:space="preserve"> IFERROR(IF([2]!alvDocProperty("MXDocTemplate_Name")="","AEF1007",[2]!alvDocProperty("MXDocTemplate_Name")),"AEF1007")</f>
        <v>AEF1007</v>
      </c>
      <c r="X7" s="244"/>
      <c r="Y7" s="244"/>
      <c r="Z7" s="244"/>
      <c r="AA7" s="245"/>
      <c r="AB7" s="246" t="s">
        <v>327</v>
      </c>
      <c r="AC7" s="247"/>
      <c r="AD7" s="248"/>
      <c r="AE7" s="240">
        <v>1</v>
      </c>
      <c r="AF7" s="241"/>
      <c r="AG7" s="242"/>
    </row>
    <row r="8" spans="1:37" s="108" customFormat="1" ht="13">
      <c r="A8" s="109"/>
      <c r="B8" s="109"/>
      <c r="C8" s="109"/>
      <c r="D8" s="109"/>
      <c r="E8" s="109"/>
      <c r="F8" s="109"/>
      <c r="G8" s="109"/>
      <c r="H8" s="109"/>
      <c r="I8" s="109"/>
      <c r="J8" s="109"/>
      <c r="K8" s="109"/>
      <c r="L8" s="109"/>
      <c r="M8" s="109"/>
      <c r="N8" s="109"/>
      <c r="O8" s="109"/>
      <c r="P8" s="109"/>
      <c r="Q8" s="109"/>
      <c r="R8" s="109"/>
      <c r="S8" s="109"/>
      <c r="T8" s="109"/>
      <c r="U8" s="109"/>
      <c r="V8" s="109"/>
      <c r="W8" s="110"/>
      <c r="X8" s="110"/>
      <c r="Y8" s="110"/>
      <c r="Z8" s="110"/>
      <c r="AA8" s="110"/>
      <c r="AB8" s="109"/>
      <c r="AC8" s="109"/>
      <c r="AD8" s="109"/>
      <c r="AE8" s="109"/>
      <c r="AF8" s="109"/>
      <c r="AG8" s="109"/>
    </row>
    <row r="9" spans="1:37" ht="11.15" customHeight="1">
      <c r="A9" s="207" t="s">
        <v>57</v>
      </c>
      <c r="B9" s="208"/>
      <c r="C9" s="208"/>
      <c r="D9" s="208"/>
      <c r="E9" s="208"/>
      <c r="F9" s="208"/>
      <c r="G9" s="208"/>
      <c r="H9" s="208"/>
      <c r="I9" s="208"/>
      <c r="J9" s="208"/>
      <c r="K9" s="209"/>
      <c r="L9" s="207" t="s">
        <v>11</v>
      </c>
      <c r="M9" s="208"/>
      <c r="N9" s="208"/>
      <c r="O9" s="208"/>
      <c r="P9" s="208"/>
      <c r="Q9" s="208"/>
      <c r="R9" s="208"/>
      <c r="S9" s="208"/>
      <c r="T9" s="208"/>
      <c r="U9" s="208"/>
      <c r="V9" s="209"/>
      <c r="W9" s="207" t="s">
        <v>16</v>
      </c>
      <c r="X9" s="208"/>
      <c r="Y9" s="208"/>
      <c r="Z9" s="208"/>
      <c r="AA9" s="208"/>
      <c r="AB9" s="208"/>
      <c r="AC9" s="208"/>
      <c r="AD9" s="208"/>
      <c r="AE9" s="208"/>
      <c r="AF9" s="208"/>
      <c r="AG9" s="209"/>
    </row>
    <row r="10" spans="1:37" s="112" customFormat="1" ht="39" customHeight="1">
      <c r="A10" s="210" t="s">
        <v>125</v>
      </c>
      <c r="B10" s="211"/>
      <c r="C10" s="211"/>
      <c r="D10" s="211"/>
      <c r="E10" s="211"/>
      <c r="F10" s="212" t="s">
        <v>330</v>
      </c>
      <c r="G10" s="212"/>
      <c r="H10" s="212"/>
      <c r="I10" s="212"/>
      <c r="J10" s="212"/>
      <c r="K10" s="213"/>
      <c r="L10" s="214" t="s">
        <v>126</v>
      </c>
      <c r="M10" s="215"/>
      <c r="N10" s="215"/>
      <c r="O10" s="215"/>
      <c r="P10" s="215"/>
      <c r="Q10" s="215"/>
      <c r="R10" s="215"/>
      <c r="S10" s="215"/>
      <c r="T10" s="215"/>
      <c r="U10" s="215"/>
      <c r="V10" s="216"/>
      <c r="W10" s="214" t="s">
        <v>126</v>
      </c>
      <c r="X10" s="215"/>
      <c r="Y10" s="215"/>
      <c r="Z10" s="215"/>
      <c r="AA10" s="215"/>
      <c r="AB10" s="215"/>
      <c r="AC10" s="215"/>
      <c r="AD10" s="215"/>
      <c r="AE10" s="215"/>
      <c r="AF10" s="215"/>
      <c r="AG10" s="216"/>
    </row>
    <row r="11" spans="1:37" s="112" customFormat="1" ht="4.5" customHeight="1">
      <c r="A11" s="113"/>
      <c r="B11" s="114"/>
      <c r="C11" s="114"/>
      <c r="D11" s="114"/>
      <c r="E11" s="114"/>
      <c r="F11" s="114"/>
      <c r="G11" s="114"/>
      <c r="H11" s="114"/>
      <c r="I11" s="114"/>
      <c r="J11" s="114"/>
      <c r="K11" s="114"/>
      <c r="L11" s="115"/>
      <c r="M11" s="114"/>
      <c r="N11" s="114"/>
      <c r="O11" s="114"/>
      <c r="P11" s="114"/>
      <c r="Q11" s="114"/>
      <c r="R11" s="114"/>
      <c r="S11" s="114"/>
      <c r="T11" s="114"/>
      <c r="U11" s="114"/>
      <c r="V11" s="114"/>
      <c r="W11" s="115"/>
      <c r="X11" s="114"/>
      <c r="Y11" s="114"/>
      <c r="Z11" s="114"/>
      <c r="AA11" s="114"/>
      <c r="AB11" s="114"/>
      <c r="AC11" s="114"/>
      <c r="AD11" s="114"/>
      <c r="AE11" s="114"/>
      <c r="AF11" s="114"/>
      <c r="AG11" s="116"/>
    </row>
    <row r="12" spans="1:37" ht="11.15" customHeight="1">
      <c r="A12" s="217" t="s">
        <v>127</v>
      </c>
      <c r="B12" s="218"/>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18"/>
      <c r="AA12" s="218"/>
      <c r="AB12" s="218"/>
      <c r="AC12" s="218"/>
      <c r="AD12" s="218"/>
      <c r="AE12" s="218"/>
      <c r="AF12" s="218"/>
      <c r="AG12" s="219"/>
    </row>
    <row r="13" spans="1:37" s="112" customFormat="1" ht="28.5" customHeight="1">
      <c r="A13" s="220" t="s">
        <v>128</v>
      </c>
      <c r="B13" s="221"/>
      <c r="C13" s="221"/>
      <c r="D13" s="221"/>
      <c r="E13" s="221"/>
      <c r="F13" s="221"/>
      <c r="G13" s="221"/>
      <c r="H13" s="221"/>
      <c r="I13" s="221"/>
      <c r="J13" s="221"/>
      <c r="K13" s="221"/>
      <c r="L13" s="221"/>
      <c r="M13" s="221"/>
      <c r="N13" s="221"/>
      <c r="O13" s="221"/>
      <c r="P13" s="221"/>
      <c r="Q13" s="221"/>
      <c r="R13" s="221"/>
      <c r="S13" s="221"/>
      <c r="T13" s="221"/>
      <c r="U13" s="221"/>
      <c r="V13" s="221"/>
      <c r="W13" s="221"/>
      <c r="X13" s="221"/>
      <c r="Y13" s="221"/>
      <c r="Z13" s="221"/>
      <c r="AA13" s="221"/>
      <c r="AB13" s="221"/>
      <c r="AC13" s="221"/>
      <c r="AD13" s="221"/>
      <c r="AE13" s="221"/>
      <c r="AF13" s="221"/>
      <c r="AG13" s="222"/>
    </row>
    <row r="14" spans="1:37" s="112" customFormat="1" ht="4.5" customHeight="1">
      <c r="A14" s="115"/>
      <c r="B14" s="114"/>
      <c r="C14" s="114"/>
      <c r="D14" s="114"/>
      <c r="E14" s="114"/>
      <c r="F14" s="114"/>
      <c r="G14" s="114"/>
      <c r="H14" s="114"/>
      <c r="I14" s="114"/>
      <c r="J14" s="114"/>
      <c r="K14" s="114"/>
      <c r="L14" s="115"/>
      <c r="M14" s="114"/>
      <c r="N14" s="114"/>
      <c r="O14" s="114"/>
      <c r="P14" s="114"/>
      <c r="Q14" s="114"/>
      <c r="R14" s="114"/>
      <c r="S14" s="114"/>
      <c r="T14" s="114"/>
      <c r="U14" s="114"/>
      <c r="V14" s="114"/>
      <c r="W14" s="115"/>
      <c r="X14" s="114"/>
      <c r="Y14" s="114"/>
      <c r="Z14" s="114"/>
      <c r="AA14" s="114"/>
      <c r="AB14" s="114"/>
      <c r="AC14" s="114"/>
      <c r="AD14" s="114"/>
      <c r="AE14" s="114"/>
      <c r="AF14" s="114"/>
      <c r="AG14" s="114"/>
    </row>
    <row r="15" spans="1:37" ht="37.5" customHeight="1">
      <c r="A15" s="223" t="s">
        <v>129</v>
      </c>
      <c r="B15" s="223"/>
      <c r="C15" s="223"/>
      <c r="D15" s="223"/>
      <c r="E15" s="225"/>
      <c r="F15" s="226"/>
      <c r="G15" s="226"/>
      <c r="H15" s="226"/>
      <c r="I15" s="226"/>
      <c r="J15" s="226"/>
      <c r="K15" s="226"/>
      <c r="L15" s="226"/>
      <c r="M15" s="226"/>
      <c r="N15" s="226"/>
      <c r="O15" s="226"/>
      <c r="P15" s="226"/>
      <c r="Q15" s="226"/>
      <c r="R15" s="226"/>
      <c r="S15" s="226"/>
      <c r="T15" s="226"/>
      <c r="U15" s="226"/>
      <c r="V15" s="226"/>
      <c r="W15" s="226"/>
      <c r="X15" s="226"/>
      <c r="Y15" s="226"/>
      <c r="Z15" s="226"/>
      <c r="AA15" s="226"/>
      <c r="AB15" s="226"/>
      <c r="AC15" s="226"/>
      <c r="AD15" s="226"/>
      <c r="AE15" s="226"/>
      <c r="AF15" s="226"/>
      <c r="AG15" s="227"/>
    </row>
    <row r="16" spans="1:37" ht="37.5" customHeight="1">
      <c r="A16" s="224"/>
      <c r="B16" s="224"/>
      <c r="C16" s="224"/>
      <c r="D16" s="224"/>
      <c r="E16" s="228"/>
      <c r="F16" s="229"/>
      <c r="G16" s="229"/>
      <c r="H16" s="229"/>
      <c r="I16" s="229"/>
      <c r="J16" s="229"/>
      <c r="K16" s="229"/>
      <c r="L16" s="229"/>
      <c r="M16" s="229"/>
      <c r="N16" s="229"/>
      <c r="O16" s="229"/>
      <c r="P16" s="229"/>
      <c r="Q16" s="229"/>
      <c r="R16" s="229"/>
      <c r="S16" s="229"/>
      <c r="T16" s="229"/>
      <c r="U16" s="229"/>
      <c r="V16" s="229"/>
      <c r="W16" s="229"/>
      <c r="X16" s="229"/>
      <c r="Y16" s="229"/>
      <c r="Z16" s="229"/>
      <c r="AA16" s="229"/>
      <c r="AB16" s="229"/>
      <c r="AC16" s="229"/>
      <c r="AD16" s="229"/>
      <c r="AE16" s="229"/>
      <c r="AF16" s="229"/>
      <c r="AG16" s="230"/>
    </row>
    <row r="17" spans="1:33" ht="12.5">
      <c r="A17" s="117"/>
    </row>
    <row r="18" spans="1:33" ht="26.25" customHeight="1">
      <c r="A18" s="231" t="s">
        <v>323</v>
      </c>
      <c r="B18" s="232"/>
      <c r="C18" s="232"/>
      <c r="D18" s="232"/>
      <c r="E18" s="233" t="s">
        <v>322</v>
      </c>
      <c r="F18" s="233"/>
      <c r="G18" s="233"/>
      <c r="H18" s="233"/>
      <c r="I18" s="233"/>
      <c r="J18" s="233"/>
      <c r="K18" s="233"/>
      <c r="L18" s="233"/>
      <c r="M18" s="233"/>
      <c r="N18" s="233"/>
      <c r="O18" s="233"/>
      <c r="P18" s="233"/>
    </row>
    <row r="19" spans="1:33" ht="12.5"/>
    <row r="20" spans="1:33" ht="12.5"/>
    <row r="21" spans="1:33" ht="15.75" customHeight="1">
      <c r="Q21" s="118"/>
    </row>
    <row r="22" spans="1:33" ht="12" customHeight="1">
      <c r="Q22" s="118"/>
    </row>
    <row r="23" spans="1:33" ht="60" customHeight="1">
      <c r="A23" s="205" t="str">
        <f ca="1">MXTitle</f>
        <v>BMM -  Peer Review Workbook (PRWB)</v>
      </c>
      <c r="B23" s="206"/>
      <c r="C23" s="206"/>
      <c r="D23" s="206"/>
      <c r="E23" s="206"/>
      <c r="F23" s="206"/>
      <c r="G23" s="206"/>
      <c r="H23" s="206"/>
      <c r="I23" s="206"/>
      <c r="J23" s="206"/>
      <c r="K23" s="206"/>
      <c r="L23" s="206"/>
      <c r="M23" s="206"/>
      <c r="N23" s="206"/>
      <c r="O23" s="206"/>
      <c r="P23" s="206"/>
      <c r="Q23" s="206"/>
      <c r="R23" s="206"/>
      <c r="S23" s="206"/>
      <c r="T23" s="206"/>
      <c r="U23" s="206"/>
      <c r="V23" s="206"/>
      <c r="W23" s="206"/>
      <c r="X23" s="206"/>
      <c r="Y23" s="206"/>
      <c r="Z23" s="206"/>
      <c r="AA23" s="206"/>
      <c r="AB23" s="206"/>
      <c r="AC23" s="206"/>
      <c r="AD23" s="206"/>
      <c r="AE23" s="206"/>
      <c r="AF23" s="206"/>
      <c r="AG23" s="206"/>
    </row>
    <row r="24" spans="1:33" ht="25">
      <c r="Q24" s="118"/>
    </row>
    <row r="25" spans="1:33" ht="12.5"/>
    <row r="26" spans="1:33" ht="12.5"/>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78" type="noConversion"/>
  <conditionalFormatting sqref="W5">
    <cfRule type="cellIs" dxfId="44" priority="23" operator="equal">
      <formula>"draft"</formula>
    </cfRule>
  </conditionalFormatting>
  <conditionalFormatting sqref="W5:AA5">
    <cfRule type="cellIs" dxfId="43" priority="1" operator="equal">
      <formula>"In-Work"</formula>
    </cfRule>
    <cfRule type="cellIs" dxfId="42" priority="2" stopIfTrue="1" operator="equal">
      <formula>"draft"</formula>
    </cfRule>
    <cfRule type="cellIs" dxfId="41" priority="3" operator="equal">
      <formula>"In-Work"</formula>
    </cfRule>
    <cfRule type="cellIs" dxfId="40" priority="4" stopIfTrue="1" operator="equal">
      <formula>"draft"</formula>
    </cfRule>
    <cfRule type="cellIs" dxfId="39" priority="5" operator="equal">
      <formula>"In-Work"</formula>
    </cfRule>
    <cfRule type="cellIs" dxfId="38" priority="6" stopIfTrue="1" operator="equal">
      <formula>"draft"</formula>
    </cfRule>
    <cfRule type="cellIs" dxfId="37" priority="7" operator="equal">
      <formula>"In-Work"</formula>
    </cfRule>
    <cfRule type="cellIs" dxfId="36" priority="8" stopIfTrue="1" operator="equal">
      <formula>"draft"</formula>
    </cfRule>
    <cfRule type="cellIs" dxfId="35" priority="9" operator="equal">
      <formula>"In-Work"</formula>
    </cfRule>
    <cfRule type="cellIs" dxfId="34" priority="10" stopIfTrue="1" operator="equal">
      <formula>"draft"</formula>
    </cfRule>
    <cfRule type="cellIs" dxfId="33" priority="11" operator="equal">
      <formula>"In-Work"</formula>
    </cfRule>
    <cfRule type="cellIs" dxfId="32" priority="12" stopIfTrue="1" operator="equal">
      <formula>"draft"</formula>
    </cfRule>
    <cfRule type="cellIs" dxfId="31" priority="13" operator="equal">
      <formula>"In-Work"</formula>
    </cfRule>
    <cfRule type="cellIs" dxfId="30" priority="14" stopIfTrue="1" operator="equal">
      <formula>"draft"</formula>
    </cfRule>
    <cfRule type="cellIs" dxfId="29" priority="15" operator="equal">
      <formula>"In-Work"</formula>
    </cfRule>
    <cfRule type="cellIs" dxfId="28" priority="16" stopIfTrue="1" operator="equal">
      <formula>"draft"</formula>
    </cfRule>
    <cfRule type="cellIs" dxfId="27" priority="17" operator="equal">
      <formula>"In-Work"</formula>
    </cfRule>
    <cfRule type="cellIs" dxfId="26" priority="18" stopIfTrue="1" operator="equal">
      <formula>"draft"</formula>
    </cfRule>
    <cfRule type="cellIs" dxfId="25" priority="19" operator="equal">
      <formula>"In-Work"</formula>
    </cfRule>
    <cfRule type="cellIs" dxfId="24" priority="20" stopIfTrue="1" operator="equal">
      <formula>"draft"</formula>
    </cfRule>
    <cfRule type="cellIs" dxfId="23" priority="21" operator="equal">
      <formula>"In-Work"</formula>
    </cfRule>
    <cfRule type="cellIs" dxfId="22" priority="22"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99"/>
  <sheetViews>
    <sheetView showGridLines="0" topLeftCell="A82" zoomScaleNormal="100" workbookViewId="0">
      <selection activeCell="AB11" sqref="AB11"/>
    </sheetView>
  </sheetViews>
  <sheetFormatPr defaultColWidth="9.1796875" defaultRowHeight="14.5"/>
  <cols>
    <col min="1" max="34" width="2.81640625" style="119" customWidth="1"/>
    <col min="35" max="35" width="9.1796875" style="119"/>
    <col min="36" max="36" width="22" style="119" customWidth="1"/>
    <col min="37" max="16384" width="9.1796875" style="119"/>
  </cols>
  <sheetData>
    <row r="1" spans="1:34">
      <c r="A1" s="101"/>
      <c r="B1" s="101"/>
      <c r="C1" s="102"/>
      <c r="D1" s="102"/>
      <c r="E1" s="102"/>
      <c r="F1" s="102"/>
      <c r="G1" s="103"/>
      <c r="H1" s="104"/>
      <c r="I1" s="104"/>
      <c r="J1" s="104"/>
      <c r="K1" s="104"/>
      <c r="L1" s="104"/>
      <c r="M1" s="104"/>
      <c r="N1" s="104"/>
      <c r="O1" s="104"/>
      <c r="P1" s="105"/>
      <c r="Q1" s="105"/>
      <c r="R1" s="105"/>
      <c r="S1" s="105"/>
      <c r="T1" s="105"/>
      <c r="U1" s="105"/>
      <c r="V1" s="105"/>
      <c r="W1" s="105"/>
      <c r="X1" s="105"/>
      <c r="Y1" s="105"/>
      <c r="Z1" s="105"/>
      <c r="AA1" s="105"/>
      <c r="AB1" s="105"/>
      <c r="AC1" s="105"/>
      <c r="AD1" s="105"/>
      <c r="AE1" s="105"/>
      <c r="AF1" s="105"/>
      <c r="AG1" s="105"/>
      <c r="AH1" s="105"/>
    </row>
    <row r="2" spans="1:34">
      <c r="A2" s="101"/>
      <c r="B2" s="101"/>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row>
    <row r="3" spans="1:34">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20" t="str">
        <f>FileName</f>
        <v>SW Architecture BMM - Peer Review Workbook (PRWB).xlsm</v>
      </c>
      <c r="AE3" s="101"/>
      <c r="AF3" s="101"/>
      <c r="AG3" s="101"/>
      <c r="AH3" s="101"/>
    </row>
    <row r="4" spans="1:34">
      <c r="A4" s="237" t="s">
        <v>4</v>
      </c>
      <c r="B4" s="238"/>
      <c r="C4" s="238"/>
      <c r="D4" s="238"/>
      <c r="E4" s="238"/>
      <c r="F4" s="238"/>
      <c r="G4" s="238"/>
      <c r="H4" s="238"/>
      <c r="I4" s="238"/>
      <c r="J4" s="238"/>
      <c r="K4" s="238"/>
      <c r="L4" s="238"/>
      <c r="M4" s="238"/>
      <c r="N4" s="238"/>
      <c r="O4" s="238"/>
      <c r="P4" s="238"/>
      <c r="Q4" s="238"/>
      <c r="R4" s="238"/>
      <c r="S4" s="238"/>
      <c r="T4" s="238"/>
      <c r="U4" s="238"/>
      <c r="V4" s="239"/>
      <c r="W4" s="280" t="s">
        <v>5</v>
      </c>
      <c r="X4" s="281"/>
      <c r="Y4" s="281"/>
      <c r="Z4" s="281"/>
      <c r="AA4" s="282"/>
      <c r="AB4" s="237" t="s">
        <v>123</v>
      </c>
      <c r="AC4" s="238"/>
      <c r="AD4" s="238"/>
      <c r="AE4" s="238"/>
      <c r="AF4" s="238"/>
      <c r="AG4" s="239"/>
      <c r="AH4" s="107"/>
    </row>
    <row r="5" spans="1:34">
      <c r="A5" s="243" t="s">
        <v>324</v>
      </c>
      <c r="B5" s="244"/>
      <c r="C5" s="244"/>
      <c r="D5" s="244"/>
      <c r="E5" s="244"/>
      <c r="F5" s="244"/>
      <c r="G5" s="244"/>
      <c r="H5" s="244"/>
      <c r="I5" s="244"/>
      <c r="J5" s="244"/>
      <c r="K5" s="244"/>
      <c r="L5" s="244"/>
      <c r="M5" s="244"/>
      <c r="N5" s="244"/>
      <c r="O5" s="244"/>
      <c r="P5" s="244"/>
      <c r="Q5" s="244"/>
      <c r="R5" s="244"/>
      <c r="S5" s="244"/>
      <c r="T5" s="244"/>
      <c r="U5" s="244"/>
      <c r="V5" s="245"/>
      <c r="W5" s="283" t="s">
        <v>325</v>
      </c>
      <c r="X5" s="284"/>
      <c r="Y5" s="284"/>
      <c r="Z5" s="284"/>
      <c r="AA5" s="285"/>
      <c r="AB5" s="286">
        <v>44790</v>
      </c>
      <c r="AC5" s="244"/>
      <c r="AD5" s="244"/>
      <c r="AE5" s="244"/>
      <c r="AF5" s="244"/>
      <c r="AG5" s="245"/>
      <c r="AH5" s="108"/>
    </row>
    <row r="6" spans="1:34">
      <c r="A6" s="272" t="s">
        <v>6</v>
      </c>
      <c r="B6" s="273"/>
      <c r="C6" s="273"/>
      <c r="D6" s="274"/>
      <c r="E6" s="272" t="s">
        <v>7</v>
      </c>
      <c r="F6" s="273"/>
      <c r="G6" s="273"/>
      <c r="H6" s="273"/>
      <c r="I6" s="273"/>
      <c r="J6" s="273"/>
      <c r="K6" s="273"/>
      <c r="L6" s="273"/>
      <c r="M6" s="273"/>
      <c r="N6" s="273"/>
      <c r="O6" s="273"/>
      <c r="P6" s="273"/>
      <c r="Q6" s="273"/>
      <c r="R6" s="273"/>
      <c r="S6" s="273"/>
      <c r="T6" s="273"/>
      <c r="U6" s="273"/>
      <c r="V6" s="274"/>
      <c r="W6" s="237" t="s">
        <v>9</v>
      </c>
      <c r="X6" s="238"/>
      <c r="Y6" s="238"/>
      <c r="Z6" s="238"/>
      <c r="AA6" s="239"/>
      <c r="AB6" s="280" t="s">
        <v>31</v>
      </c>
      <c r="AC6" s="281"/>
      <c r="AD6" s="282"/>
      <c r="AE6" s="280" t="s">
        <v>8</v>
      </c>
      <c r="AF6" s="281"/>
      <c r="AG6" s="282"/>
      <c r="AH6" s="101"/>
    </row>
    <row r="7" spans="1:34">
      <c r="A7" s="283" t="s">
        <v>10</v>
      </c>
      <c r="B7" s="284"/>
      <c r="C7" s="284"/>
      <c r="D7" s="285"/>
      <c r="E7" s="283" t="s">
        <v>329</v>
      </c>
      <c r="F7" s="284"/>
      <c r="G7" s="284"/>
      <c r="H7" s="284"/>
      <c r="I7" s="284"/>
      <c r="J7" s="284"/>
      <c r="K7" s="284"/>
      <c r="L7" s="284"/>
      <c r="M7" s="284"/>
      <c r="N7" s="284"/>
      <c r="O7" s="284"/>
      <c r="P7" s="284"/>
      <c r="Q7" s="284"/>
      <c r="R7" s="284"/>
      <c r="S7" s="284"/>
      <c r="T7" s="284"/>
      <c r="U7" s="284"/>
      <c r="V7" s="285"/>
      <c r="W7" s="283" t="str">
        <f ca="1">TemplateRef</f>
        <v>AEF1007</v>
      </c>
      <c r="X7" s="284"/>
      <c r="Y7" s="284"/>
      <c r="Z7" s="284"/>
      <c r="AA7" s="285"/>
      <c r="AB7" s="287">
        <v>1</v>
      </c>
      <c r="AC7" s="288"/>
      <c r="AD7" s="289"/>
      <c r="AE7" s="283">
        <v>1</v>
      </c>
      <c r="AF7" s="284"/>
      <c r="AG7" s="285"/>
      <c r="AH7" s="108"/>
    </row>
    <row r="8" spans="1:34">
      <c r="A8" s="272" t="s">
        <v>130</v>
      </c>
      <c r="B8" s="273"/>
      <c r="C8" s="273"/>
      <c r="D8" s="273"/>
      <c r="E8" s="273"/>
      <c r="F8" s="273"/>
      <c r="G8" s="273"/>
      <c r="H8" s="273"/>
      <c r="I8" s="273"/>
      <c r="J8" s="273"/>
      <c r="K8" s="273"/>
      <c r="L8" s="273"/>
      <c r="M8" s="273"/>
      <c r="N8" s="273"/>
      <c r="O8" s="273"/>
      <c r="P8" s="273"/>
      <c r="Q8" s="273"/>
      <c r="R8" s="273"/>
      <c r="S8" s="273"/>
      <c r="T8" s="273"/>
      <c r="U8" s="273"/>
      <c r="V8" s="273"/>
      <c r="W8" s="273"/>
      <c r="X8" s="273"/>
      <c r="Y8" s="273"/>
      <c r="Z8" s="273"/>
      <c r="AA8" s="273"/>
      <c r="AB8" s="273"/>
      <c r="AC8" s="273"/>
      <c r="AD8" s="273"/>
      <c r="AE8" s="273"/>
      <c r="AF8" s="273"/>
      <c r="AG8" s="274"/>
      <c r="AH8" s="111"/>
    </row>
    <row r="9" spans="1:34">
      <c r="A9" s="275" t="s">
        <v>131</v>
      </c>
      <c r="B9" s="276"/>
      <c r="C9" s="276"/>
      <c r="D9" s="276"/>
      <c r="E9" s="276"/>
      <c r="F9" s="276"/>
      <c r="G9" s="276"/>
      <c r="H9" s="276"/>
      <c r="I9" s="276"/>
      <c r="J9" s="276"/>
      <c r="K9" s="276"/>
      <c r="L9" s="276"/>
      <c r="M9" s="276"/>
      <c r="N9" s="276"/>
      <c r="O9" s="276"/>
      <c r="P9" s="276"/>
      <c r="Q9" s="276"/>
      <c r="R9" s="276"/>
      <c r="S9" s="276"/>
      <c r="T9" s="276"/>
      <c r="U9" s="276"/>
      <c r="V9" s="276"/>
      <c r="W9" s="276"/>
      <c r="X9" s="276"/>
      <c r="Y9" s="276"/>
      <c r="Z9" s="276"/>
      <c r="AA9" s="276"/>
      <c r="AB9" s="276"/>
      <c r="AC9" s="276"/>
      <c r="AD9" s="276"/>
      <c r="AE9" s="276"/>
      <c r="AF9" s="276"/>
      <c r="AG9" s="277"/>
      <c r="AH9" s="111"/>
    </row>
    <row r="10" spans="1:34">
      <c r="A10" s="111"/>
      <c r="B10" s="111"/>
      <c r="C10" s="111"/>
      <c r="D10" s="111"/>
      <c r="E10" s="111"/>
      <c r="F10" s="111"/>
      <c r="G10" s="111"/>
      <c r="H10" s="111"/>
      <c r="I10" s="111"/>
      <c r="J10" s="111"/>
      <c r="K10" s="111"/>
      <c r="L10" s="111"/>
      <c r="M10" s="111"/>
      <c r="N10" s="111"/>
      <c r="O10" s="111"/>
      <c r="P10" s="111"/>
      <c r="Q10" s="111"/>
      <c r="R10" s="111"/>
      <c r="S10" s="111"/>
      <c r="T10" s="111"/>
      <c r="U10" s="111"/>
      <c r="V10" s="111"/>
      <c r="W10" s="111"/>
      <c r="X10" s="111"/>
      <c r="Y10" s="111"/>
      <c r="Z10" s="111"/>
      <c r="AA10" s="111"/>
      <c r="AB10" s="111"/>
      <c r="AC10" s="111"/>
      <c r="AD10" s="111"/>
      <c r="AE10" s="111"/>
      <c r="AF10" s="111"/>
      <c r="AG10" s="111"/>
      <c r="AH10" s="111"/>
    </row>
    <row r="11" spans="1:34">
      <c r="A11" s="111"/>
      <c r="B11" s="111"/>
      <c r="C11" s="111"/>
      <c r="D11" s="111"/>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row>
    <row r="12" spans="1:34" ht="25">
      <c r="A12" s="111"/>
      <c r="B12" s="121" t="s">
        <v>132</v>
      </c>
      <c r="C12" s="122"/>
      <c r="D12" s="122"/>
      <c r="E12" s="122"/>
      <c r="F12" s="122"/>
      <c r="G12" s="122"/>
      <c r="H12" s="122"/>
      <c r="I12" s="122"/>
      <c r="J12" s="122"/>
      <c r="K12" s="122"/>
      <c r="L12" s="122"/>
      <c r="M12" s="122"/>
      <c r="N12" s="122"/>
      <c r="O12" s="122"/>
      <c r="P12" s="122"/>
      <c r="Q12" s="122"/>
      <c r="R12" s="122"/>
      <c r="S12" s="122"/>
      <c r="T12" s="122"/>
      <c r="U12" s="122"/>
      <c r="V12" s="122"/>
      <c r="W12" s="122"/>
      <c r="X12" s="122"/>
      <c r="Y12" s="122"/>
      <c r="Z12" s="122"/>
      <c r="AA12" s="122"/>
      <c r="AB12" s="122"/>
      <c r="AC12" s="122"/>
      <c r="AD12" s="122"/>
      <c r="AE12" s="122"/>
      <c r="AF12" s="122"/>
      <c r="AG12" s="111"/>
      <c r="AH12" s="111"/>
    </row>
    <row r="13" spans="1:34">
      <c r="A13" s="111"/>
      <c r="B13" s="111"/>
      <c r="C13" s="111"/>
      <c r="D13" s="111"/>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row>
    <row r="14" spans="1:34" ht="20">
      <c r="A14" s="111"/>
      <c r="B14" s="123" t="s">
        <v>133</v>
      </c>
      <c r="C14" s="124"/>
      <c r="D14" s="111"/>
      <c r="E14" s="111"/>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row>
    <row r="15" spans="1:34">
      <c r="A15" s="111"/>
      <c r="B15" s="257" t="s">
        <v>134</v>
      </c>
      <c r="C15" s="278"/>
      <c r="D15" s="278"/>
      <c r="E15" s="278"/>
      <c r="F15" s="278"/>
      <c r="G15" s="257" t="s">
        <v>135</v>
      </c>
      <c r="H15" s="257"/>
      <c r="I15" s="257"/>
      <c r="J15" s="257"/>
      <c r="K15" s="257"/>
      <c r="L15" s="257"/>
      <c r="M15" s="257"/>
      <c r="N15" s="257"/>
      <c r="O15" s="257"/>
      <c r="P15" s="257"/>
      <c r="Q15" s="257"/>
      <c r="R15" s="257"/>
      <c r="S15" s="257"/>
      <c r="T15" s="257"/>
      <c r="U15" s="257"/>
      <c r="V15" s="257"/>
      <c r="W15" s="257"/>
      <c r="X15" s="257"/>
      <c r="Y15" s="257"/>
      <c r="Z15" s="257"/>
      <c r="AA15" s="257"/>
      <c r="AB15" s="257"/>
      <c r="AC15" s="257"/>
      <c r="AD15" s="257"/>
      <c r="AE15" s="257"/>
      <c r="AF15" s="257"/>
      <c r="AG15" s="111"/>
      <c r="AH15" s="111"/>
    </row>
    <row r="16" spans="1:34" ht="55.5" customHeight="1">
      <c r="A16" s="111"/>
      <c r="B16" s="279" t="s">
        <v>136</v>
      </c>
      <c r="C16" s="279"/>
      <c r="D16" s="279"/>
      <c r="E16" s="279"/>
      <c r="F16" s="279"/>
      <c r="G16" s="260" t="s">
        <v>137</v>
      </c>
      <c r="H16" s="260"/>
      <c r="I16" s="260"/>
      <c r="J16" s="260"/>
      <c r="K16" s="260"/>
      <c r="L16" s="260"/>
      <c r="M16" s="260"/>
      <c r="N16" s="260"/>
      <c r="O16" s="260"/>
      <c r="P16" s="260"/>
      <c r="Q16" s="260"/>
      <c r="R16" s="260"/>
      <c r="S16" s="260"/>
      <c r="T16" s="260"/>
      <c r="U16" s="260"/>
      <c r="V16" s="260"/>
      <c r="W16" s="260"/>
      <c r="X16" s="260"/>
      <c r="Y16" s="260"/>
      <c r="Z16" s="260"/>
      <c r="AA16" s="260"/>
      <c r="AB16" s="260"/>
      <c r="AC16" s="260"/>
      <c r="AD16" s="260"/>
      <c r="AE16" s="260"/>
      <c r="AF16" s="260"/>
      <c r="AG16" s="111"/>
      <c r="AH16" s="111"/>
    </row>
    <row r="17" spans="1:34">
      <c r="A17" s="111"/>
      <c r="B17" s="279" t="s">
        <v>138</v>
      </c>
      <c r="C17" s="279"/>
      <c r="D17" s="279"/>
      <c r="E17" s="279"/>
      <c r="F17" s="279"/>
      <c r="G17" s="260" t="s">
        <v>139</v>
      </c>
      <c r="H17" s="260"/>
      <c r="I17" s="260"/>
      <c r="J17" s="260"/>
      <c r="K17" s="260"/>
      <c r="L17" s="260"/>
      <c r="M17" s="260"/>
      <c r="N17" s="260"/>
      <c r="O17" s="260"/>
      <c r="P17" s="260"/>
      <c r="Q17" s="260"/>
      <c r="R17" s="260"/>
      <c r="S17" s="260"/>
      <c r="T17" s="260"/>
      <c r="U17" s="260"/>
      <c r="V17" s="260"/>
      <c r="W17" s="260"/>
      <c r="X17" s="260"/>
      <c r="Y17" s="260"/>
      <c r="Z17" s="260"/>
      <c r="AA17" s="260"/>
      <c r="AB17" s="260"/>
      <c r="AC17" s="260"/>
      <c r="AD17" s="260"/>
      <c r="AE17" s="260"/>
      <c r="AF17" s="260"/>
      <c r="AG17" s="111"/>
      <c r="AH17" s="111"/>
    </row>
    <row r="18" spans="1:34" ht="15" customHeight="1">
      <c r="A18" s="111"/>
      <c r="B18" s="279" t="s">
        <v>14</v>
      </c>
      <c r="C18" s="279"/>
      <c r="D18" s="279"/>
      <c r="E18" s="279"/>
      <c r="F18" s="279"/>
      <c r="G18" s="260" t="s">
        <v>140</v>
      </c>
      <c r="H18" s="260"/>
      <c r="I18" s="260"/>
      <c r="J18" s="260"/>
      <c r="K18" s="260"/>
      <c r="L18" s="260"/>
      <c r="M18" s="260"/>
      <c r="N18" s="260"/>
      <c r="O18" s="260"/>
      <c r="P18" s="260"/>
      <c r="Q18" s="260"/>
      <c r="R18" s="260"/>
      <c r="S18" s="260"/>
      <c r="T18" s="260"/>
      <c r="U18" s="260"/>
      <c r="V18" s="260"/>
      <c r="W18" s="260"/>
      <c r="X18" s="260"/>
      <c r="Y18" s="260"/>
      <c r="Z18" s="260"/>
      <c r="AA18" s="260"/>
      <c r="AB18" s="260"/>
      <c r="AC18" s="260"/>
      <c r="AD18" s="260"/>
      <c r="AE18" s="260"/>
      <c r="AF18" s="260"/>
      <c r="AG18" s="111"/>
      <c r="AH18" s="111"/>
    </row>
    <row r="19" spans="1:34" ht="24" customHeight="1">
      <c r="A19" s="111"/>
      <c r="B19" s="269" t="s">
        <v>175</v>
      </c>
      <c r="C19" s="269"/>
      <c r="D19" s="269"/>
      <c r="E19" s="269"/>
      <c r="F19" s="269"/>
      <c r="G19" s="260" t="s">
        <v>140</v>
      </c>
      <c r="H19" s="260"/>
      <c r="I19" s="260"/>
      <c r="J19" s="260"/>
      <c r="K19" s="260"/>
      <c r="L19" s="260"/>
      <c r="M19" s="260"/>
      <c r="N19" s="260"/>
      <c r="O19" s="260"/>
      <c r="P19" s="260"/>
      <c r="Q19" s="260"/>
      <c r="R19" s="260"/>
      <c r="S19" s="260"/>
      <c r="T19" s="260"/>
      <c r="U19" s="260"/>
      <c r="V19" s="260"/>
      <c r="W19" s="260"/>
      <c r="X19" s="260"/>
      <c r="Y19" s="260"/>
      <c r="Z19" s="260"/>
      <c r="AA19" s="260"/>
      <c r="AB19" s="260"/>
      <c r="AC19" s="260"/>
      <c r="AD19" s="260"/>
      <c r="AE19" s="260"/>
      <c r="AF19" s="260"/>
      <c r="AG19" s="111"/>
      <c r="AH19" s="111"/>
    </row>
    <row r="20" spans="1:34">
      <c r="A20" s="111"/>
      <c r="B20" s="290" t="s">
        <v>176</v>
      </c>
      <c r="C20" s="290"/>
      <c r="D20" s="290"/>
      <c r="E20" s="290"/>
      <c r="F20" s="290"/>
      <c r="G20" s="260" t="s">
        <v>140</v>
      </c>
      <c r="H20" s="260"/>
      <c r="I20" s="260"/>
      <c r="J20" s="260"/>
      <c r="K20" s="260"/>
      <c r="L20" s="260"/>
      <c r="M20" s="260"/>
      <c r="N20" s="260"/>
      <c r="O20" s="260"/>
      <c r="P20" s="260"/>
      <c r="Q20" s="260"/>
      <c r="R20" s="260"/>
      <c r="S20" s="260"/>
      <c r="T20" s="260"/>
      <c r="U20" s="260"/>
      <c r="V20" s="260"/>
      <c r="W20" s="260"/>
      <c r="X20" s="260"/>
      <c r="Y20" s="260"/>
      <c r="Z20" s="260"/>
      <c r="AA20" s="260"/>
      <c r="AB20" s="260"/>
      <c r="AC20" s="260"/>
      <c r="AD20" s="260"/>
      <c r="AE20" s="260"/>
      <c r="AF20" s="260"/>
      <c r="AG20" s="111"/>
      <c r="AH20" s="111"/>
    </row>
    <row r="21" spans="1:34" ht="35.25" customHeight="1">
      <c r="A21" s="111"/>
      <c r="B21" s="270" t="s">
        <v>279</v>
      </c>
      <c r="C21" s="270"/>
      <c r="D21" s="270"/>
      <c r="E21" s="270"/>
      <c r="F21" s="270"/>
      <c r="G21" s="260" t="s">
        <v>280</v>
      </c>
      <c r="H21" s="260"/>
      <c r="I21" s="260"/>
      <c r="J21" s="260"/>
      <c r="K21" s="260"/>
      <c r="L21" s="260"/>
      <c r="M21" s="260"/>
      <c r="N21" s="260"/>
      <c r="O21" s="260"/>
      <c r="P21" s="260"/>
      <c r="Q21" s="260"/>
      <c r="R21" s="260"/>
      <c r="S21" s="260"/>
      <c r="T21" s="260"/>
      <c r="U21" s="260"/>
      <c r="V21" s="260"/>
      <c r="W21" s="260"/>
      <c r="X21" s="260"/>
      <c r="Y21" s="260"/>
      <c r="Z21" s="260"/>
      <c r="AA21" s="260"/>
      <c r="AB21" s="260"/>
      <c r="AC21" s="260"/>
      <c r="AD21" s="260"/>
      <c r="AE21" s="260"/>
      <c r="AF21" s="260"/>
      <c r="AG21" s="111"/>
      <c r="AH21" s="111"/>
    </row>
    <row r="22" spans="1:34" ht="28.5" customHeight="1">
      <c r="A22" s="111"/>
      <c r="B22" s="270" t="s">
        <v>281</v>
      </c>
      <c r="C22" s="270"/>
      <c r="D22" s="270"/>
      <c r="E22" s="270"/>
      <c r="F22" s="270"/>
      <c r="G22" s="260" t="s">
        <v>282</v>
      </c>
      <c r="H22" s="260"/>
      <c r="I22" s="260"/>
      <c r="J22" s="260"/>
      <c r="K22" s="260"/>
      <c r="L22" s="260"/>
      <c r="M22" s="260"/>
      <c r="N22" s="260"/>
      <c r="O22" s="260"/>
      <c r="P22" s="260"/>
      <c r="Q22" s="260"/>
      <c r="R22" s="260"/>
      <c r="S22" s="260"/>
      <c r="T22" s="260"/>
      <c r="U22" s="260"/>
      <c r="V22" s="260"/>
      <c r="W22" s="260"/>
      <c r="X22" s="260"/>
      <c r="Y22" s="260"/>
      <c r="Z22" s="260"/>
      <c r="AA22" s="260"/>
      <c r="AB22" s="260"/>
      <c r="AC22" s="260"/>
      <c r="AD22" s="260"/>
      <c r="AE22" s="260"/>
      <c r="AF22" s="260"/>
      <c r="AG22" s="111"/>
      <c r="AH22" s="111"/>
    </row>
    <row r="23" spans="1:34" ht="22.5" customHeight="1">
      <c r="A23" s="111"/>
      <c r="B23" s="270" t="s">
        <v>283</v>
      </c>
      <c r="C23" s="270"/>
      <c r="D23" s="270"/>
      <c r="E23" s="270"/>
      <c r="F23" s="270"/>
      <c r="G23" s="260" t="s">
        <v>284</v>
      </c>
      <c r="H23" s="260"/>
      <c r="I23" s="260"/>
      <c r="J23" s="260"/>
      <c r="K23" s="260"/>
      <c r="L23" s="260"/>
      <c r="M23" s="260"/>
      <c r="N23" s="260"/>
      <c r="O23" s="260"/>
      <c r="P23" s="260"/>
      <c r="Q23" s="260"/>
      <c r="R23" s="260"/>
      <c r="S23" s="260"/>
      <c r="T23" s="260"/>
      <c r="U23" s="260"/>
      <c r="V23" s="260"/>
      <c r="W23" s="260"/>
      <c r="X23" s="260"/>
      <c r="Y23" s="260"/>
      <c r="Z23" s="260"/>
      <c r="AA23" s="260"/>
      <c r="AB23" s="260"/>
      <c r="AC23" s="260"/>
      <c r="AD23" s="260"/>
      <c r="AE23" s="260"/>
      <c r="AF23" s="260"/>
      <c r="AG23" s="111"/>
      <c r="AH23" s="111"/>
    </row>
    <row r="24" spans="1:34" ht="45" customHeight="1">
      <c r="A24" s="111"/>
      <c r="B24" s="271" t="s">
        <v>177</v>
      </c>
      <c r="C24" s="271"/>
      <c r="D24" s="271"/>
      <c r="E24" s="271"/>
      <c r="F24" s="271"/>
      <c r="G24" s="260" t="s">
        <v>320</v>
      </c>
      <c r="H24" s="260"/>
      <c r="I24" s="260"/>
      <c r="J24" s="260"/>
      <c r="K24" s="260"/>
      <c r="L24" s="260"/>
      <c r="M24" s="260"/>
      <c r="N24" s="260"/>
      <c r="O24" s="260"/>
      <c r="P24" s="260"/>
      <c r="Q24" s="260"/>
      <c r="R24" s="260"/>
      <c r="S24" s="260"/>
      <c r="T24" s="260"/>
      <c r="U24" s="260"/>
      <c r="V24" s="260"/>
      <c r="W24" s="260"/>
      <c r="X24" s="260"/>
      <c r="Y24" s="260"/>
      <c r="Z24" s="260"/>
      <c r="AA24" s="260"/>
      <c r="AB24" s="260"/>
      <c r="AC24" s="260"/>
      <c r="AD24" s="260"/>
      <c r="AE24" s="260"/>
      <c r="AF24" s="260"/>
      <c r="AG24" s="111"/>
      <c r="AH24" s="111"/>
    </row>
    <row r="25" spans="1:34">
      <c r="A25" s="111"/>
      <c r="B25" s="111"/>
      <c r="C25" s="125"/>
      <c r="D25" s="111"/>
      <c r="E25" s="111"/>
      <c r="F25" s="111"/>
      <c r="G25" s="111"/>
      <c r="H25" s="111"/>
      <c r="I25" s="126"/>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row>
    <row r="26" spans="1:34" ht="20">
      <c r="A26" s="123"/>
      <c r="B26" s="123" t="s">
        <v>141</v>
      </c>
      <c r="C26" s="125"/>
      <c r="D26" s="111"/>
      <c r="E26" s="111"/>
      <c r="F26" s="111"/>
      <c r="G26" s="111"/>
      <c r="H26" s="111"/>
      <c r="I26" s="126"/>
      <c r="J26" s="111"/>
      <c r="K26" s="111"/>
      <c r="L26" s="111"/>
      <c r="M26" s="111"/>
      <c r="N26" s="111"/>
      <c r="O26" s="111"/>
      <c r="P26" s="111"/>
      <c r="Q26" s="111"/>
      <c r="R26" s="111"/>
      <c r="S26" s="111"/>
      <c r="T26" s="111"/>
      <c r="U26" s="111"/>
      <c r="V26" s="111"/>
      <c r="W26" s="111"/>
      <c r="X26" s="111"/>
      <c r="Y26" s="111"/>
      <c r="Z26" s="111"/>
      <c r="AA26" s="111"/>
      <c r="AB26" s="111"/>
      <c r="AC26" s="111"/>
      <c r="AD26" s="111"/>
      <c r="AE26" s="111"/>
      <c r="AF26" s="111"/>
      <c r="AG26" s="111"/>
      <c r="AH26" s="111"/>
    </row>
    <row r="27" spans="1:34">
      <c r="A27" s="111"/>
      <c r="B27" s="257" t="s">
        <v>31</v>
      </c>
      <c r="C27" s="262"/>
      <c r="D27" s="262"/>
      <c r="E27" s="257" t="s">
        <v>87</v>
      </c>
      <c r="F27" s="257"/>
      <c r="G27" s="257"/>
      <c r="H27" s="257"/>
      <c r="I27" s="257" t="s">
        <v>142</v>
      </c>
      <c r="J27" s="262"/>
      <c r="K27" s="262"/>
      <c r="L27" s="262"/>
      <c r="M27" s="262"/>
      <c r="N27" s="262"/>
      <c r="O27" s="262"/>
      <c r="P27" s="262"/>
      <c r="Q27" s="262"/>
      <c r="R27" s="257" t="s">
        <v>143</v>
      </c>
      <c r="S27" s="257"/>
      <c r="T27" s="257"/>
      <c r="U27" s="257"/>
      <c r="V27" s="257"/>
      <c r="W27" s="257"/>
      <c r="X27" s="257"/>
      <c r="Y27" s="257"/>
      <c r="Z27" s="257"/>
      <c r="AA27" s="257"/>
      <c r="AB27" s="257"/>
      <c r="AC27" s="257"/>
      <c r="AD27" s="257"/>
      <c r="AE27" s="257"/>
      <c r="AF27" s="257"/>
      <c r="AG27" s="111"/>
      <c r="AH27" s="111"/>
    </row>
    <row r="28" spans="1:34" ht="40.5" customHeight="1">
      <c r="A28" s="111"/>
      <c r="B28" s="250" t="s">
        <v>3</v>
      </c>
      <c r="C28" s="251" t="s">
        <v>3</v>
      </c>
      <c r="D28" s="252" t="s">
        <v>3</v>
      </c>
      <c r="E28" s="263"/>
      <c r="F28" s="264"/>
      <c r="G28" s="264"/>
      <c r="H28" s="265"/>
      <c r="I28" s="260"/>
      <c r="J28" s="266"/>
      <c r="K28" s="266"/>
      <c r="L28" s="266"/>
      <c r="M28" s="266"/>
      <c r="N28" s="266"/>
      <c r="O28" s="266"/>
      <c r="P28" s="266"/>
      <c r="Q28" s="266"/>
      <c r="R28" s="260" t="s">
        <v>13</v>
      </c>
      <c r="S28" s="260" t="s">
        <v>13</v>
      </c>
      <c r="T28" s="260" t="s">
        <v>13</v>
      </c>
      <c r="U28" s="260" t="s">
        <v>13</v>
      </c>
      <c r="V28" s="260" t="s">
        <v>13</v>
      </c>
      <c r="W28" s="260" t="s">
        <v>13</v>
      </c>
      <c r="X28" s="260" t="s">
        <v>13</v>
      </c>
      <c r="Y28" s="260" t="s">
        <v>13</v>
      </c>
      <c r="Z28" s="260" t="s">
        <v>13</v>
      </c>
      <c r="AA28" s="260" t="s">
        <v>13</v>
      </c>
      <c r="AB28" s="260" t="s">
        <v>13</v>
      </c>
      <c r="AC28" s="260" t="s">
        <v>13</v>
      </c>
      <c r="AD28" s="260" t="s">
        <v>13</v>
      </c>
      <c r="AE28" s="260" t="s">
        <v>13</v>
      </c>
      <c r="AF28" s="260" t="s">
        <v>13</v>
      </c>
      <c r="AG28" s="111"/>
      <c r="AH28" s="111"/>
    </row>
    <row r="29" spans="1:34" ht="60" customHeight="1">
      <c r="A29" s="111"/>
      <c r="B29" s="250"/>
      <c r="C29" s="251"/>
      <c r="D29" s="252"/>
      <c r="E29" s="263"/>
      <c r="F29" s="264"/>
      <c r="G29" s="264"/>
      <c r="H29" s="265"/>
      <c r="I29" s="260"/>
      <c r="J29" s="266"/>
      <c r="K29" s="266"/>
      <c r="L29" s="266"/>
      <c r="M29" s="266"/>
      <c r="N29" s="266"/>
      <c r="O29" s="266"/>
      <c r="P29" s="266"/>
      <c r="Q29" s="266"/>
      <c r="R29" s="260"/>
      <c r="S29" s="260"/>
      <c r="T29" s="260"/>
      <c r="U29" s="260"/>
      <c r="V29" s="260"/>
      <c r="W29" s="260"/>
      <c r="X29" s="260"/>
      <c r="Y29" s="260"/>
      <c r="Z29" s="260"/>
      <c r="AA29" s="260"/>
      <c r="AB29" s="260"/>
      <c r="AC29" s="260"/>
      <c r="AD29" s="260"/>
      <c r="AE29" s="260"/>
      <c r="AF29" s="260"/>
      <c r="AG29" s="111"/>
      <c r="AH29" s="111"/>
    </row>
    <row r="30" spans="1:34" ht="291" customHeight="1">
      <c r="A30" s="111"/>
      <c r="B30" s="250"/>
      <c r="C30" s="251"/>
      <c r="D30" s="252"/>
      <c r="E30" s="263"/>
      <c r="F30" s="264"/>
      <c r="G30" s="264"/>
      <c r="H30" s="265"/>
      <c r="I30" s="260"/>
      <c r="J30" s="266"/>
      <c r="K30" s="266"/>
      <c r="L30" s="266"/>
      <c r="M30" s="266"/>
      <c r="N30" s="266"/>
      <c r="O30" s="266"/>
      <c r="P30" s="266"/>
      <c r="Q30" s="266"/>
      <c r="R30" s="260"/>
      <c r="S30" s="260"/>
      <c r="T30" s="260"/>
      <c r="U30" s="260"/>
      <c r="V30" s="260"/>
      <c r="W30" s="260"/>
      <c r="X30" s="260"/>
      <c r="Y30" s="260"/>
      <c r="Z30" s="260"/>
      <c r="AA30" s="260"/>
      <c r="AB30" s="260"/>
      <c r="AC30" s="260"/>
      <c r="AD30" s="260"/>
      <c r="AE30" s="260"/>
      <c r="AF30" s="260"/>
      <c r="AG30" s="111"/>
      <c r="AH30" s="111"/>
    </row>
    <row r="31" spans="1:34" ht="40.5" customHeight="1">
      <c r="A31" s="111"/>
      <c r="B31" s="250"/>
      <c r="C31" s="251"/>
      <c r="D31" s="252"/>
      <c r="E31" s="263"/>
      <c r="F31" s="264"/>
      <c r="G31" s="264"/>
      <c r="H31" s="265"/>
      <c r="I31" s="260"/>
      <c r="J31" s="266"/>
      <c r="K31" s="266"/>
      <c r="L31" s="266"/>
      <c r="M31" s="266"/>
      <c r="N31" s="266"/>
      <c r="O31" s="266"/>
      <c r="P31" s="266"/>
      <c r="Q31" s="266"/>
      <c r="R31" s="260"/>
      <c r="S31" s="260"/>
      <c r="T31" s="260"/>
      <c r="U31" s="260"/>
      <c r="V31" s="260"/>
      <c r="W31" s="260"/>
      <c r="X31" s="260"/>
      <c r="Y31" s="260"/>
      <c r="Z31" s="260"/>
      <c r="AA31" s="260"/>
      <c r="AB31" s="260"/>
      <c r="AC31" s="260"/>
      <c r="AD31" s="260"/>
      <c r="AE31" s="260"/>
      <c r="AF31" s="260"/>
      <c r="AG31" s="111"/>
      <c r="AH31" s="111"/>
    </row>
    <row r="32" spans="1:34" ht="121.5" customHeight="1">
      <c r="A32" s="111"/>
      <c r="B32" s="250"/>
      <c r="C32" s="251"/>
      <c r="D32" s="252"/>
      <c r="E32" s="263"/>
      <c r="F32" s="264"/>
      <c r="G32" s="264"/>
      <c r="H32" s="265"/>
      <c r="I32" s="260"/>
      <c r="J32" s="266"/>
      <c r="K32" s="266"/>
      <c r="L32" s="266"/>
      <c r="M32" s="266"/>
      <c r="N32" s="266"/>
      <c r="O32" s="266"/>
      <c r="P32" s="266"/>
      <c r="Q32" s="266"/>
      <c r="R32" s="260"/>
      <c r="S32" s="260"/>
      <c r="T32" s="260"/>
      <c r="U32" s="260"/>
      <c r="V32" s="260"/>
      <c r="W32" s="260"/>
      <c r="X32" s="260"/>
      <c r="Y32" s="260"/>
      <c r="Z32" s="260"/>
      <c r="AA32" s="260"/>
      <c r="AB32" s="260"/>
      <c r="AC32" s="260"/>
      <c r="AD32" s="260"/>
      <c r="AE32" s="260"/>
      <c r="AF32" s="260"/>
      <c r="AG32" s="111"/>
      <c r="AH32" s="111"/>
    </row>
    <row r="33" spans="1:34" ht="114" customHeight="1">
      <c r="A33" s="111"/>
      <c r="B33" s="250"/>
      <c r="C33" s="251"/>
      <c r="D33" s="252"/>
      <c r="E33" s="263"/>
      <c r="F33" s="264"/>
      <c r="G33" s="264"/>
      <c r="H33" s="265"/>
      <c r="I33" s="260"/>
      <c r="J33" s="266"/>
      <c r="K33" s="266"/>
      <c r="L33" s="266"/>
      <c r="M33" s="266"/>
      <c r="N33" s="266"/>
      <c r="O33" s="266"/>
      <c r="P33" s="266"/>
      <c r="Q33" s="266"/>
      <c r="R33" s="260"/>
      <c r="S33" s="260"/>
      <c r="T33" s="260"/>
      <c r="U33" s="260"/>
      <c r="V33" s="260"/>
      <c r="W33" s="260"/>
      <c r="X33" s="260"/>
      <c r="Y33" s="260"/>
      <c r="Z33" s="260"/>
      <c r="AA33" s="260"/>
      <c r="AB33" s="260"/>
      <c r="AC33" s="260"/>
      <c r="AD33" s="260"/>
      <c r="AE33" s="260"/>
      <c r="AF33" s="260"/>
      <c r="AG33" s="111"/>
      <c r="AH33" s="111"/>
    </row>
    <row r="34" spans="1:34" ht="40.5" customHeight="1">
      <c r="A34" s="111"/>
      <c r="B34" s="267"/>
      <c r="C34" s="268"/>
      <c r="D34" s="268"/>
      <c r="E34" s="263"/>
      <c r="F34" s="264"/>
      <c r="G34" s="264"/>
      <c r="H34" s="265"/>
      <c r="I34" s="260"/>
      <c r="J34" s="266"/>
      <c r="K34" s="266"/>
      <c r="L34" s="266"/>
      <c r="M34" s="266"/>
      <c r="N34" s="266"/>
      <c r="O34" s="266"/>
      <c r="P34" s="266"/>
      <c r="Q34" s="266"/>
      <c r="R34" s="260"/>
      <c r="S34" s="260"/>
      <c r="T34" s="260"/>
      <c r="U34" s="260"/>
      <c r="V34" s="260"/>
      <c r="W34" s="260"/>
      <c r="X34" s="260"/>
      <c r="Y34" s="260"/>
      <c r="Z34" s="260"/>
      <c r="AA34" s="260"/>
      <c r="AB34" s="260"/>
      <c r="AC34" s="260"/>
      <c r="AD34" s="260"/>
      <c r="AE34" s="260"/>
      <c r="AF34" s="260"/>
      <c r="AG34" s="111"/>
      <c r="AH34" s="111"/>
    </row>
    <row r="35" spans="1:34">
      <c r="A35" s="111"/>
      <c r="B35" s="127" t="s">
        <v>144</v>
      </c>
      <c r="C35" s="128"/>
      <c r="D35" s="128"/>
      <c r="E35" s="129"/>
      <c r="F35" s="129"/>
      <c r="G35" s="129"/>
      <c r="H35" s="129"/>
      <c r="I35" s="129"/>
      <c r="J35" s="130"/>
      <c r="K35" s="130"/>
      <c r="L35" s="130"/>
      <c r="M35" s="130"/>
      <c r="N35" s="130"/>
      <c r="O35" s="130"/>
      <c r="P35" s="130"/>
      <c r="Q35" s="130"/>
      <c r="R35" s="129"/>
      <c r="S35" s="129"/>
      <c r="T35" s="129"/>
      <c r="U35" s="129"/>
      <c r="V35" s="129"/>
      <c r="W35" s="129"/>
      <c r="X35" s="129"/>
      <c r="Y35" s="129"/>
      <c r="Z35" s="129"/>
      <c r="AA35" s="129"/>
      <c r="AB35" s="129"/>
      <c r="AC35" s="129"/>
      <c r="AD35" s="129"/>
      <c r="AE35" s="129"/>
      <c r="AF35" s="129"/>
      <c r="AG35" s="111"/>
      <c r="AH35" s="111"/>
    </row>
    <row r="36" spans="1:34">
      <c r="A36" s="111"/>
      <c r="B36" s="111"/>
      <c r="C36" s="125"/>
      <c r="D36" s="111"/>
      <c r="E36" s="111"/>
      <c r="F36" s="111"/>
      <c r="G36" s="111"/>
      <c r="H36" s="111"/>
      <c r="I36" s="126"/>
      <c r="J36" s="111"/>
      <c r="K36" s="111"/>
      <c r="L36" s="111"/>
      <c r="M36" s="111"/>
      <c r="N36" s="111"/>
      <c r="O36" s="111"/>
      <c r="P36" s="111"/>
      <c r="Q36" s="111"/>
      <c r="R36" s="111"/>
      <c r="S36" s="111"/>
      <c r="T36" s="111"/>
      <c r="U36" s="111"/>
      <c r="V36" s="111"/>
      <c r="W36" s="111"/>
      <c r="X36" s="111"/>
      <c r="Y36" s="111"/>
      <c r="Z36" s="111"/>
      <c r="AA36" s="111"/>
      <c r="AB36" s="111"/>
      <c r="AC36" s="111"/>
      <c r="AD36" s="111"/>
      <c r="AE36" s="111"/>
      <c r="AF36" s="111"/>
      <c r="AG36" s="111"/>
      <c r="AH36" s="111"/>
    </row>
    <row r="37" spans="1:34">
      <c r="A37" s="111"/>
      <c r="B37" s="111"/>
      <c r="C37" s="111"/>
      <c r="D37" s="111"/>
      <c r="E37" s="111"/>
      <c r="F37" s="111"/>
      <c r="G37" s="111"/>
      <c r="H37" s="111"/>
      <c r="I37" s="111"/>
      <c r="J37" s="131"/>
      <c r="K37" s="111"/>
      <c r="L37" s="111"/>
      <c r="M37" s="111"/>
      <c r="N37" s="111"/>
      <c r="O37" s="111"/>
      <c r="P37" s="111"/>
      <c r="Q37" s="111"/>
      <c r="R37" s="111"/>
      <c r="S37" s="111"/>
      <c r="T37" s="111"/>
      <c r="U37" s="111"/>
      <c r="V37" s="111"/>
      <c r="W37" s="111"/>
      <c r="X37" s="111"/>
      <c r="Y37" s="111"/>
      <c r="Z37" s="111"/>
      <c r="AA37" s="111"/>
      <c r="AB37" s="111"/>
      <c r="AC37" s="111"/>
      <c r="AD37" s="111"/>
      <c r="AE37" s="111"/>
      <c r="AF37" s="111"/>
      <c r="AG37" s="111"/>
      <c r="AH37" s="111"/>
    </row>
    <row r="38" spans="1:34" ht="20">
      <c r="A38" s="111"/>
      <c r="B38" s="123" t="s">
        <v>145</v>
      </c>
      <c r="C38" s="124"/>
      <c r="D38" s="111"/>
      <c r="E38" s="111"/>
      <c r="F38" s="111"/>
      <c r="G38" s="111"/>
      <c r="H38" s="111"/>
      <c r="I38" s="126"/>
      <c r="J38" s="111"/>
      <c r="K38" s="111"/>
      <c r="L38" s="111"/>
      <c r="M38" s="111"/>
      <c r="N38" s="111"/>
      <c r="O38" s="111"/>
      <c r="P38" s="111"/>
      <c r="Q38" s="111"/>
      <c r="R38" s="111"/>
      <c r="S38" s="111"/>
      <c r="T38" s="111"/>
      <c r="U38" s="111"/>
      <c r="V38" s="111"/>
      <c r="W38" s="111"/>
      <c r="X38" s="111"/>
      <c r="Y38" s="111"/>
      <c r="Z38" s="111"/>
      <c r="AA38" s="111"/>
      <c r="AB38" s="111"/>
      <c r="AC38" s="111"/>
      <c r="AD38" s="111"/>
      <c r="AE38" s="111"/>
      <c r="AF38" s="111"/>
      <c r="AG38" s="111"/>
      <c r="AH38" s="111"/>
    </row>
    <row r="39" spans="1:34" ht="17.5">
      <c r="A39" s="111"/>
      <c r="B39" s="132" t="s">
        <v>146</v>
      </c>
      <c r="C39" s="124"/>
      <c r="D39" s="111"/>
      <c r="E39" s="111"/>
      <c r="F39" s="111"/>
      <c r="G39" s="111"/>
      <c r="H39" s="111"/>
      <c r="I39" s="126"/>
      <c r="J39" s="111"/>
      <c r="K39" s="111"/>
      <c r="L39" s="111"/>
      <c r="M39" s="111"/>
      <c r="N39" s="111"/>
      <c r="O39" s="111"/>
      <c r="P39" s="111"/>
      <c r="Q39" s="111"/>
      <c r="R39" s="111"/>
      <c r="S39" s="111"/>
      <c r="T39" s="111"/>
      <c r="U39" s="111"/>
      <c r="V39" s="111"/>
      <c r="W39" s="111"/>
      <c r="X39" s="111"/>
      <c r="Y39" s="111"/>
      <c r="Z39" s="111"/>
      <c r="AA39" s="111"/>
      <c r="AB39" s="111"/>
      <c r="AC39" s="111"/>
      <c r="AD39" s="111"/>
      <c r="AE39" s="111"/>
      <c r="AF39" s="111"/>
      <c r="AG39" s="111"/>
      <c r="AH39" s="111"/>
    </row>
    <row r="40" spans="1:34">
      <c r="A40" s="111"/>
      <c r="B40" s="257" t="s">
        <v>147</v>
      </c>
      <c r="C40" s="257"/>
      <c r="D40" s="257"/>
      <c r="E40" s="257" t="s">
        <v>148</v>
      </c>
      <c r="F40" s="262"/>
      <c r="G40" s="262"/>
      <c r="H40" s="262"/>
      <c r="I40" s="262"/>
      <c r="J40" s="262"/>
      <c r="K40" s="262"/>
      <c r="L40" s="262"/>
      <c r="M40" s="262"/>
      <c r="N40" s="262"/>
      <c r="O40" s="262"/>
      <c r="P40" s="262"/>
      <c r="Q40" s="262"/>
      <c r="R40" s="262"/>
      <c r="S40" s="262"/>
      <c r="T40" s="262"/>
      <c r="U40" s="262"/>
      <c r="V40" s="262"/>
      <c r="W40" s="262"/>
      <c r="X40" s="262"/>
      <c r="Y40" s="257" t="s">
        <v>149</v>
      </c>
      <c r="Z40" s="257"/>
      <c r="AA40" s="257"/>
      <c r="AB40" s="257"/>
      <c r="AC40" s="257"/>
      <c r="AD40" s="257"/>
      <c r="AE40" s="257"/>
      <c r="AF40" s="257"/>
      <c r="AG40" s="111"/>
      <c r="AH40" s="111"/>
    </row>
    <row r="41" spans="1:34">
      <c r="A41" s="111"/>
      <c r="B41" s="259"/>
      <c r="C41" s="259"/>
      <c r="D41" s="259"/>
      <c r="E41" s="260"/>
      <c r="F41" s="261"/>
      <c r="G41" s="261"/>
      <c r="H41" s="261"/>
      <c r="I41" s="261"/>
      <c r="J41" s="261"/>
      <c r="K41" s="261"/>
      <c r="L41" s="261"/>
      <c r="M41" s="261"/>
      <c r="N41" s="261"/>
      <c r="O41" s="261"/>
      <c r="P41" s="261"/>
      <c r="Q41" s="261"/>
      <c r="R41" s="261"/>
      <c r="S41" s="261"/>
      <c r="T41" s="261"/>
      <c r="U41" s="261"/>
      <c r="V41" s="261"/>
      <c r="W41" s="261"/>
      <c r="X41" s="261"/>
      <c r="Y41" s="260"/>
      <c r="Z41" s="261"/>
      <c r="AA41" s="261"/>
      <c r="AB41" s="261"/>
      <c r="AC41" s="261"/>
      <c r="AD41" s="261"/>
      <c r="AE41" s="261"/>
      <c r="AF41" s="261"/>
      <c r="AG41" s="111"/>
      <c r="AH41" s="111"/>
    </row>
    <row r="42" spans="1:34">
      <c r="A42" s="111"/>
      <c r="B42" s="259"/>
      <c r="C42" s="259"/>
      <c r="D42" s="259"/>
      <c r="E42" s="260"/>
      <c r="F42" s="261"/>
      <c r="G42" s="261"/>
      <c r="H42" s="261"/>
      <c r="I42" s="261"/>
      <c r="J42" s="261"/>
      <c r="K42" s="261"/>
      <c r="L42" s="261"/>
      <c r="M42" s="261"/>
      <c r="N42" s="261"/>
      <c r="O42" s="261"/>
      <c r="P42" s="261"/>
      <c r="Q42" s="261"/>
      <c r="R42" s="261"/>
      <c r="S42" s="261"/>
      <c r="T42" s="261"/>
      <c r="U42" s="261"/>
      <c r="V42" s="261"/>
      <c r="W42" s="261"/>
      <c r="X42" s="261"/>
      <c r="Y42" s="260"/>
      <c r="Z42" s="261"/>
      <c r="AA42" s="261"/>
      <c r="AB42" s="261"/>
      <c r="AC42" s="261"/>
      <c r="AD42" s="261"/>
      <c r="AE42" s="261"/>
      <c r="AF42" s="261"/>
      <c r="AG42" s="111"/>
      <c r="AH42" s="111"/>
    </row>
    <row r="43" spans="1:34">
      <c r="A43" s="111"/>
      <c r="B43" s="259"/>
      <c r="C43" s="259"/>
      <c r="D43" s="259"/>
      <c r="E43" s="260"/>
      <c r="F43" s="261"/>
      <c r="G43" s="261"/>
      <c r="H43" s="261"/>
      <c r="I43" s="261"/>
      <c r="J43" s="261"/>
      <c r="K43" s="261"/>
      <c r="L43" s="261"/>
      <c r="M43" s="261"/>
      <c r="N43" s="261"/>
      <c r="O43" s="261"/>
      <c r="P43" s="261"/>
      <c r="Q43" s="261"/>
      <c r="R43" s="261"/>
      <c r="S43" s="261"/>
      <c r="T43" s="261"/>
      <c r="U43" s="261"/>
      <c r="V43" s="261"/>
      <c r="W43" s="261"/>
      <c r="X43" s="261"/>
      <c r="Y43" s="260"/>
      <c r="Z43" s="261"/>
      <c r="AA43" s="261"/>
      <c r="AB43" s="261"/>
      <c r="AC43" s="261"/>
      <c r="AD43" s="261"/>
      <c r="AE43" s="261"/>
      <c r="AF43" s="261"/>
      <c r="AG43" s="111"/>
      <c r="AH43" s="111"/>
    </row>
    <row r="44" spans="1:34">
      <c r="A44" s="111"/>
      <c r="B44" s="259"/>
      <c r="C44" s="259"/>
      <c r="D44" s="259"/>
      <c r="E44" s="260"/>
      <c r="F44" s="261"/>
      <c r="G44" s="261"/>
      <c r="H44" s="261"/>
      <c r="I44" s="261"/>
      <c r="J44" s="261"/>
      <c r="K44" s="261"/>
      <c r="L44" s="261"/>
      <c r="M44" s="261"/>
      <c r="N44" s="261"/>
      <c r="O44" s="261"/>
      <c r="P44" s="261"/>
      <c r="Q44" s="261"/>
      <c r="R44" s="261"/>
      <c r="S44" s="261"/>
      <c r="T44" s="261"/>
      <c r="U44" s="261"/>
      <c r="V44" s="261"/>
      <c r="W44" s="261"/>
      <c r="X44" s="261"/>
      <c r="Y44" s="260"/>
      <c r="Z44" s="261"/>
      <c r="AA44" s="261"/>
      <c r="AB44" s="261"/>
      <c r="AC44" s="261"/>
      <c r="AD44" s="261"/>
      <c r="AE44" s="261"/>
      <c r="AF44" s="261"/>
      <c r="AG44" s="111"/>
      <c r="AH44" s="111"/>
    </row>
    <row r="45" spans="1:34" ht="17.5">
      <c r="A45" s="111"/>
      <c r="B45" s="132" t="s">
        <v>150</v>
      </c>
      <c r="C45" s="124"/>
      <c r="D45" s="111"/>
      <c r="E45" s="111"/>
      <c r="F45" s="111"/>
      <c r="G45" s="111"/>
      <c r="H45" s="111"/>
      <c r="I45" s="126"/>
      <c r="J45" s="111"/>
      <c r="K45" s="111"/>
      <c r="L45" s="111"/>
      <c r="M45" s="111"/>
      <c r="N45" s="111"/>
      <c r="O45" s="111"/>
      <c r="P45" s="111"/>
      <c r="Q45" s="111"/>
      <c r="R45" s="111"/>
      <c r="S45" s="111"/>
      <c r="T45" s="111"/>
      <c r="U45" s="111"/>
      <c r="V45" s="111"/>
      <c r="W45" s="111"/>
      <c r="X45" s="111"/>
      <c r="Y45" s="111"/>
      <c r="Z45" s="111"/>
      <c r="AA45" s="111"/>
      <c r="AB45" s="111"/>
      <c r="AC45" s="111"/>
      <c r="AD45" s="111"/>
      <c r="AE45" s="111"/>
      <c r="AF45" s="111"/>
      <c r="AG45" s="111"/>
      <c r="AH45" s="111"/>
    </row>
    <row r="46" spans="1:34">
      <c r="A46" s="111"/>
      <c r="B46" s="257" t="s">
        <v>147</v>
      </c>
      <c r="C46" s="257"/>
      <c r="D46" s="257"/>
      <c r="E46" s="257" t="s">
        <v>148</v>
      </c>
      <c r="F46" s="262"/>
      <c r="G46" s="262"/>
      <c r="H46" s="262"/>
      <c r="I46" s="262"/>
      <c r="J46" s="262"/>
      <c r="K46" s="262"/>
      <c r="L46" s="262"/>
      <c r="M46" s="262"/>
      <c r="N46" s="262"/>
      <c r="O46" s="262"/>
      <c r="P46" s="262"/>
      <c r="Q46" s="262"/>
      <c r="R46" s="262"/>
      <c r="S46" s="262"/>
      <c r="T46" s="262"/>
      <c r="U46" s="262"/>
      <c r="V46" s="262"/>
      <c r="W46" s="262"/>
      <c r="X46" s="262"/>
      <c r="Y46" s="257" t="s">
        <v>149</v>
      </c>
      <c r="Z46" s="257"/>
      <c r="AA46" s="257"/>
      <c r="AB46" s="257"/>
      <c r="AC46" s="257"/>
      <c r="AD46" s="257"/>
      <c r="AE46" s="257"/>
      <c r="AF46" s="257"/>
      <c r="AG46" s="111"/>
      <c r="AH46" s="111"/>
    </row>
    <row r="47" spans="1:34">
      <c r="A47" s="111"/>
      <c r="B47" s="259"/>
      <c r="C47" s="259"/>
      <c r="D47" s="259"/>
      <c r="E47" s="260"/>
      <c r="F47" s="261"/>
      <c r="G47" s="261"/>
      <c r="H47" s="261"/>
      <c r="I47" s="261"/>
      <c r="J47" s="261"/>
      <c r="K47" s="261"/>
      <c r="L47" s="261"/>
      <c r="M47" s="261"/>
      <c r="N47" s="261"/>
      <c r="O47" s="261"/>
      <c r="P47" s="261"/>
      <c r="Q47" s="261"/>
      <c r="R47" s="261"/>
      <c r="S47" s="261"/>
      <c r="T47" s="261"/>
      <c r="U47" s="261"/>
      <c r="V47" s="261"/>
      <c r="W47" s="261"/>
      <c r="X47" s="261"/>
      <c r="Y47" s="260"/>
      <c r="Z47" s="261"/>
      <c r="AA47" s="261"/>
      <c r="AB47" s="261"/>
      <c r="AC47" s="261"/>
      <c r="AD47" s="261"/>
      <c r="AE47" s="261"/>
      <c r="AF47" s="261"/>
      <c r="AG47" s="111"/>
      <c r="AH47" s="111"/>
    </row>
    <row r="48" spans="1:34">
      <c r="A48" s="111"/>
      <c r="B48" s="259"/>
      <c r="C48" s="259"/>
      <c r="D48" s="259"/>
      <c r="E48" s="260"/>
      <c r="F48" s="261"/>
      <c r="G48" s="261"/>
      <c r="H48" s="261"/>
      <c r="I48" s="261"/>
      <c r="J48" s="261"/>
      <c r="K48" s="261"/>
      <c r="L48" s="261"/>
      <c r="M48" s="261"/>
      <c r="N48" s="261"/>
      <c r="O48" s="261"/>
      <c r="P48" s="261"/>
      <c r="Q48" s="261"/>
      <c r="R48" s="261"/>
      <c r="S48" s="261"/>
      <c r="T48" s="261"/>
      <c r="U48" s="261"/>
      <c r="V48" s="261"/>
      <c r="W48" s="261"/>
      <c r="X48" s="261"/>
      <c r="Y48" s="260"/>
      <c r="Z48" s="261"/>
      <c r="AA48" s="261"/>
      <c r="AB48" s="261"/>
      <c r="AC48" s="261"/>
      <c r="AD48" s="261"/>
      <c r="AE48" s="261"/>
      <c r="AF48" s="261"/>
      <c r="AG48" s="111"/>
      <c r="AH48" s="111"/>
    </row>
    <row r="49" spans="1:34">
      <c r="A49" s="111"/>
      <c r="B49" s="259"/>
      <c r="C49" s="259"/>
      <c r="D49" s="259"/>
      <c r="E49" s="260"/>
      <c r="F49" s="261"/>
      <c r="G49" s="261"/>
      <c r="H49" s="261"/>
      <c r="I49" s="261"/>
      <c r="J49" s="261"/>
      <c r="K49" s="261"/>
      <c r="L49" s="261"/>
      <c r="M49" s="261"/>
      <c r="N49" s="261"/>
      <c r="O49" s="261"/>
      <c r="P49" s="261"/>
      <c r="Q49" s="261"/>
      <c r="R49" s="261"/>
      <c r="S49" s="261"/>
      <c r="T49" s="261"/>
      <c r="U49" s="261"/>
      <c r="V49" s="261"/>
      <c r="W49" s="261"/>
      <c r="X49" s="261"/>
      <c r="Y49" s="260"/>
      <c r="Z49" s="261"/>
      <c r="AA49" s="261"/>
      <c r="AB49" s="261"/>
      <c r="AC49" s="261"/>
      <c r="AD49" s="261"/>
      <c r="AE49" s="261"/>
      <c r="AF49" s="261"/>
      <c r="AG49" s="111"/>
      <c r="AH49" s="111"/>
    </row>
    <row r="50" spans="1:34">
      <c r="A50" s="111"/>
      <c r="B50" s="259"/>
      <c r="C50" s="259"/>
      <c r="D50" s="259"/>
      <c r="E50" s="260"/>
      <c r="F50" s="261"/>
      <c r="G50" s="261"/>
      <c r="H50" s="261"/>
      <c r="I50" s="261"/>
      <c r="J50" s="261"/>
      <c r="K50" s="261"/>
      <c r="L50" s="261"/>
      <c r="M50" s="261"/>
      <c r="N50" s="261"/>
      <c r="O50" s="261"/>
      <c r="P50" s="261"/>
      <c r="Q50" s="261"/>
      <c r="R50" s="261"/>
      <c r="S50" s="261"/>
      <c r="T50" s="261"/>
      <c r="U50" s="261"/>
      <c r="V50" s="261"/>
      <c r="W50" s="261"/>
      <c r="X50" s="261"/>
      <c r="Y50" s="260"/>
      <c r="Z50" s="261"/>
      <c r="AA50" s="261"/>
      <c r="AB50" s="261"/>
      <c r="AC50" s="261"/>
      <c r="AD50" s="261"/>
      <c r="AE50" s="261"/>
      <c r="AF50" s="261"/>
      <c r="AG50" s="111"/>
      <c r="AH50" s="111"/>
    </row>
    <row r="51" spans="1:34">
      <c r="A51" s="111"/>
      <c r="B51" s="111"/>
      <c r="C51" s="125"/>
      <c r="D51" s="111"/>
      <c r="E51" s="111"/>
      <c r="F51" s="111"/>
      <c r="G51" s="111"/>
      <c r="H51" s="111"/>
      <c r="I51" s="126"/>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row>
    <row r="52" spans="1:34" ht="20">
      <c r="A52" s="111"/>
      <c r="B52" s="123" t="s">
        <v>151</v>
      </c>
      <c r="C52" s="124"/>
      <c r="D52" s="111"/>
      <c r="E52" s="111"/>
      <c r="F52" s="111"/>
      <c r="G52" s="111"/>
      <c r="H52" s="111"/>
      <c r="I52" s="126"/>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row>
    <row r="53" spans="1:34">
      <c r="A53" s="111"/>
      <c r="B53" s="257" t="s">
        <v>152</v>
      </c>
      <c r="C53" s="257"/>
      <c r="D53" s="257"/>
      <c r="E53" s="257"/>
      <c r="F53" s="257"/>
      <c r="G53" s="257"/>
      <c r="H53" s="258"/>
      <c r="I53" s="258"/>
      <c r="J53" s="258"/>
      <c r="K53" s="258"/>
      <c r="L53" s="258"/>
      <c r="M53" s="258"/>
      <c r="N53" s="258"/>
      <c r="O53" s="258"/>
      <c r="P53" s="258"/>
      <c r="Q53" s="258"/>
      <c r="R53" s="258"/>
      <c r="S53" s="258"/>
      <c r="T53" s="258"/>
      <c r="U53" s="258"/>
      <c r="V53" s="258"/>
      <c r="W53" s="258"/>
      <c r="X53" s="258"/>
      <c r="Y53" s="258"/>
      <c r="Z53" s="258"/>
      <c r="AA53" s="258"/>
      <c r="AB53" s="258"/>
      <c r="AC53" s="258"/>
      <c r="AD53" s="258"/>
      <c r="AE53" s="258"/>
      <c r="AF53" s="258"/>
      <c r="AG53" s="111"/>
      <c r="AH53" s="111"/>
    </row>
    <row r="54" spans="1:34" ht="27.75" customHeight="1">
      <c r="A54" s="111"/>
      <c r="B54" s="250" t="s">
        <v>153</v>
      </c>
      <c r="C54" s="251"/>
      <c r="D54" s="251"/>
      <c r="E54" s="251"/>
      <c r="F54" s="251"/>
      <c r="G54" s="252"/>
      <c r="H54" s="256" t="s">
        <v>154</v>
      </c>
      <c r="I54" s="254"/>
      <c r="J54" s="254"/>
      <c r="K54" s="254"/>
      <c r="L54" s="254"/>
      <c r="M54" s="254"/>
      <c r="N54" s="254"/>
      <c r="O54" s="254"/>
      <c r="P54" s="254"/>
      <c r="Q54" s="254"/>
      <c r="R54" s="254"/>
      <c r="S54" s="254"/>
      <c r="T54" s="254"/>
      <c r="U54" s="254"/>
      <c r="V54" s="254"/>
      <c r="W54" s="254"/>
      <c r="X54" s="254"/>
      <c r="Y54" s="254"/>
      <c r="Z54" s="254"/>
      <c r="AA54" s="254"/>
      <c r="AB54" s="254"/>
      <c r="AC54" s="254"/>
      <c r="AD54" s="254"/>
      <c r="AE54" s="254"/>
      <c r="AF54" s="255"/>
      <c r="AG54" s="111"/>
      <c r="AH54" s="111"/>
    </row>
    <row r="55" spans="1:34">
      <c r="A55" s="111"/>
      <c r="B55" s="250"/>
      <c r="C55" s="251"/>
      <c r="D55" s="251"/>
      <c r="E55" s="251"/>
      <c r="F55" s="251"/>
      <c r="G55" s="252"/>
      <c r="H55" s="253"/>
      <c r="I55" s="254"/>
      <c r="J55" s="254"/>
      <c r="K55" s="254"/>
      <c r="L55" s="254"/>
      <c r="M55" s="254"/>
      <c r="N55" s="254"/>
      <c r="O55" s="254"/>
      <c r="P55" s="254"/>
      <c r="Q55" s="254"/>
      <c r="R55" s="254"/>
      <c r="S55" s="254"/>
      <c r="T55" s="254"/>
      <c r="U55" s="254"/>
      <c r="V55" s="254"/>
      <c r="W55" s="254"/>
      <c r="X55" s="254"/>
      <c r="Y55" s="254"/>
      <c r="Z55" s="254"/>
      <c r="AA55" s="254"/>
      <c r="AB55" s="254"/>
      <c r="AC55" s="254"/>
      <c r="AD55" s="254"/>
      <c r="AE55" s="254"/>
      <c r="AF55" s="255"/>
      <c r="AG55" s="111"/>
      <c r="AH55" s="111"/>
    </row>
    <row r="56" spans="1:34">
      <c r="A56" s="111"/>
      <c r="B56" s="250"/>
      <c r="C56" s="251"/>
      <c r="D56" s="251"/>
      <c r="E56" s="251"/>
      <c r="F56" s="251"/>
      <c r="G56" s="252"/>
      <c r="H56" s="253"/>
      <c r="I56" s="254"/>
      <c r="J56" s="254"/>
      <c r="K56" s="254"/>
      <c r="L56" s="254"/>
      <c r="M56" s="254"/>
      <c r="N56" s="254"/>
      <c r="O56" s="254"/>
      <c r="P56" s="254"/>
      <c r="Q56" s="254"/>
      <c r="R56" s="254"/>
      <c r="S56" s="254"/>
      <c r="T56" s="254"/>
      <c r="U56" s="254"/>
      <c r="V56" s="254"/>
      <c r="W56" s="254"/>
      <c r="X56" s="254"/>
      <c r="Y56" s="254"/>
      <c r="Z56" s="254"/>
      <c r="AA56" s="254"/>
      <c r="AB56" s="254"/>
      <c r="AC56" s="254"/>
      <c r="AD56" s="254"/>
      <c r="AE56" s="254"/>
      <c r="AF56" s="255"/>
      <c r="AG56" s="111"/>
      <c r="AH56" s="111"/>
    </row>
    <row r="57" spans="1:34">
      <c r="A57" s="111"/>
      <c r="B57" s="250"/>
      <c r="C57" s="251"/>
      <c r="D57" s="251"/>
      <c r="E57" s="251"/>
      <c r="F57" s="251"/>
      <c r="G57" s="252"/>
      <c r="H57" s="253"/>
      <c r="I57" s="254"/>
      <c r="J57" s="254"/>
      <c r="K57" s="254"/>
      <c r="L57" s="254"/>
      <c r="M57" s="254"/>
      <c r="N57" s="254"/>
      <c r="O57" s="254"/>
      <c r="P57" s="254"/>
      <c r="Q57" s="254"/>
      <c r="R57" s="254"/>
      <c r="S57" s="254"/>
      <c r="T57" s="254"/>
      <c r="U57" s="254"/>
      <c r="V57" s="254"/>
      <c r="W57" s="254"/>
      <c r="X57" s="254"/>
      <c r="Y57" s="254"/>
      <c r="Z57" s="254"/>
      <c r="AA57" s="254"/>
      <c r="AB57" s="254"/>
      <c r="AC57" s="254"/>
      <c r="AD57" s="254"/>
      <c r="AE57" s="254"/>
      <c r="AF57" s="255"/>
      <c r="AG57" s="111"/>
      <c r="AH57" s="111"/>
    </row>
    <row r="58" spans="1:34">
      <c r="A58" s="111"/>
      <c r="B58" s="250"/>
      <c r="C58" s="251"/>
      <c r="D58" s="251"/>
      <c r="E58" s="251"/>
      <c r="F58" s="251"/>
      <c r="G58" s="252"/>
      <c r="H58" s="253"/>
      <c r="I58" s="254"/>
      <c r="J58" s="254"/>
      <c r="K58" s="254"/>
      <c r="L58" s="254"/>
      <c r="M58" s="254"/>
      <c r="N58" s="254"/>
      <c r="O58" s="254"/>
      <c r="P58" s="254"/>
      <c r="Q58" s="254"/>
      <c r="R58" s="254"/>
      <c r="S58" s="254"/>
      <c r="T58" s="254"/>
      <c r="U58" s="254"/>
      <c r="V58" s="254"/>
      <c r="W58" s="254"/>
      <c r="X58" s="254"/>
      <c r="Y58" s="254"/>
      <c r="Z58" s="254"/>
      <c r="AA58" s="254"/>
      <c r="AB58" s="254"/>
      <c r="AC58" s="254"/>
      <c r="AD58" s="254"/>
      <c r="AE58" s="254"/>
      <c r="AF58" s="255"/>
      <c r="AG58" s="111"/>
      <c r="AH58" s="111"/>
    </row>
    <row r="59" spans="1:34">
      <c r="A59" s="111"/>
      <c r="B59" s="129"/>
      <c r="C59" s="129"/>
      <c r="D59" s="129"/>
      <c r="E59" s="129"/>
      <c r="F59" s="129"/>
      <c r="G59" s="129"/>
      <c r="H59" s="133"/>
      <c r="I59" s="133"/>
      <c r="J59" s="133"/>
      <c r="K59" s="133"/>
      <c r="L59" s="133"/>
      <c r="M59" s="133"/>
      <c r="N59" s="133"/>
      <c r="O59" s="133"/>
      <c r="P59" s="133"/>
      <c r="Q59" s="133"/>
      <c r="R59" s="133"/>
      <c r="S59" s="133"/>
      <c r="T59" s="133"/>
      <c r="U59" s="133"/>
      <c r="V59" s="133"/>
      <c r="W59" s="133"/>
      <c r="X59" s="133"/>
      <c r="Y59" s="133"/>
      <c r="Z59" s="133"/>
      <c r="AA59" s="133"/>
      <c r="AB59" s="133"/>
      <c r="AC59" s="133"/>
      <c r="AD59" s="133"/>
      <c r="AE59" s="133"/>
      <c r="AF59" s="133"/>
      <c r="AG59" s="111"/>
      <c r="AH59" s="111"/>
    </row>
    <row r="60" spans="1:34">
      <c r="A60" s="111"/>
      <c r="B60" s="129"/>
      <c r="C60" s="129"/>
      <c r="D60" s="129"/>
      <c r="E60" s="129"/>
      <c r="F60" s="129"/>
      <c r="G60" s="129"/>
      <c r="H60" s="133"/>
      <c r="I60" s="133"/>
      <c r="J60" s="133"/>
      <c r="K60" s="133"/>
      <c r="L60" s="133"/>
      <c r="M60" s="133"/>
      <c r="N60" s="133"/>
      <c r="O60" s="133"/>
      <c r="P60" s="133"/>
      <c r="Q60" s="133"/>
      <c r="R60" s="133"/>
      <c r="S60" s="133"/>
      <c r="T60" s="133"/>
      <c r="U60" s="133"/>
      <c r="V60" s="133"/>
      <c r="W60" s="133"/>
      <c r="X60" s="133"/>
      <c r="Y60" s="133"/>
      <c r="Z60" s="133"/>
      <c r="AA60" s="133"/>
      <c r="AB60" s="133"/>
      <c r="AC60" s="133"/>
      <c r="AD60" s="133"/>
      <c r="AE60" s="133"/>
      <c r="AF60" s="133"/>
      <c r="AG60" s="111"/>
      <c r="AH60" s="111"/>
    </row>
    <row r="61" spans="1:34" ht="25">
      <c r="A61" s="111"/>
      <c r="B61" s="134" t="s">
        <v>155</v>
      </c>
      <c r="C61" s="135"/>
      <c r="D61" s="135"/>
      <c r="E61" s="135"/>
      <c r="F61" s="135"/>
      <c r="G61" s="135"/>
      <c r="H61" s="136"/>
      <c r="I61" s="136"/>
      <c r="J61" s="136"/>
      <c r="K61" s="136"/>
      <c r="L61" s="136"/>
      <c r="M61" s="136"/>
      <c r="N61" s="136"/>
      <c r="O61" s="136"/>
      <c r="P61" s="136"/>
      <c r="Q61" s="136"/>
      <c r="R61" s="136"/>
      <c r="S61" s="136"/>
      <c r="T61" s="136"/>
      <c r="U61" s="136"/>
      <c r="V61" s="136"/>
      <c r="W61" s="136"/>
      <c r="X61" s="136"/>
      <c r="Y61" s="136"/>
      <c r="Z61" s="136"/>
      <c r="AA61" s="136"/>
      <c r="AB61" s="136"/>
      <c r="AC61" s="136"/>
      <c r="AD61" s="136"/>
      <c r="AE61" s="136"/>
      <c r="AF61" s="136"/>
      <c r="AG61" s="111"/>
      <c r="AH61" s="111"/>
    </row>
    <row r="62" spans="1:34" ht="25">
      <c r="A62" s="111"/>
      <c r="B62" s="137"/>
      <c r="C62" s="129"/>
      <c r="D62" s="129"/>
      <c r="E62" s="129"/>
      <c r="F62" s="129"/>
      <c r="G62" s="129"/>
      <c r="H62" s="133"/>
      <c r="I62" s="133"/>
      <c r="J62" s="133"/>
      <c r="K62" s="133"/>
      <c r="L62" s="133"/>
      <c r="M62" s="133"/>
      <c r="N62" s="133"/>
      <c r="O62" s="133"/>
      <c r="P62" s="133"/>
      <c r="Q62" s="133"/>
      <c r="R62" s="133"/>
      <c r="S62" s="133"/>
      <c r="T62" s="133"/>
      <c r="U62" s="133"/>
      <c r="V62" s="133"/>
      <c r="W62" s="133"/>
      <c r="X62" s="133"/>
      <c r="Y62" s="133"/>
      <c r="Z62" s="133"/>
      <c r="AA62" s="133"/>
      <c r="AB62" s="133"/>
      <c r="AC62" s="133"/>
      <c r="AD62" s="133"/>
      <c r="AE62" s="133"/>
      <c r="AF62" s="133"/>
      <c r="AG62" s="111"/>
      <c r="AH62" s="111"/>
    </row>
    <row r="63" spans="1:34" s="185" customFormat="1" ht="20">
      <c r="B63" s="186" t="s">
        <v>257</v>
      </c>
    </row>
    <row r="64" spans="1:34">
      <c r="A64" s="111"/>
      <c r="B64" s="138"/>
      <c r="C64" s="138"/>
      <c r="D64" s="138"/>
      <c r="E64" s="138"/>
      <c r="F64" s="138"/>
      <c r="G64" s="138"/>
      <c r="H64" s="139"/>
      <c r="I64" s="139"/>
      <c r="J64" s="139"/>
      <c r="K64" s="139"/>
      <c r="L64" s="139"/>
      <c r="M64" s="139"/>
      <c r="N64" s="139"/>
      <c r="O64" s="139"/>
      <c r="P64" s="139"/>
      <c r="Q64" s="139"/>
      <c r="R64" s="139"/>
      <c r="S64" s="139"/>
      <c r="T64" s="139"/>
      <c r="U64" s="139"/>
      <c r="V64" s="139"/>
      <c r="W64" s="139"/>
      <c r="X64" s="139"/>
      <c r="Y64" s="139"/>
      <c r="Z64" s="139"/>
      <c r="AA64" s="139"/>
      <c r="AB64" s="139"/>
      <c r="AC64" s="139"/>
      <c r="AD64" s="139"/>
      <c r="AE64" s="139"/>
      <c r="AF64" s="139"/>
      <c r="AG64" s="111"/>
      <c r="AH64" s="111"/>
    </row>
    <row r="65" spans="1:36" ht="52.5" customHeight="1">
      <c r="A65" s="111"/>
      <c r="B65" s="291" t="s">
        <v>253</v>
      </c>
      <c r="C65" s="292"/>
      <c r="D65" s="292"/>
      <c r="E65" s="292"/>
      <c r="F65" s="292"/>
      <c r="G65" s="293"/>
      <c r="H65" s="294" t="s">
        <v>248</v>
      </c>
      <c r="I65" s="295"/>
      <c r="J65" s="295"/>
      <c r="K65" s="295"/>
      <c r="L65" s="295"/>
      <c r="M65" s="295"/>
      <c r="N65" s="295"/>
      <c r="O65" s="295"/>
      <c r="P65" s="295"/>
      <c r="Q65" s="295"/>
      <c r="R65" s="295"/>
      <c r="S65" s="295"/>
      <c r="T65" s="295"/>
      <c r="U65" s="295"/>
      <c r="V65" s="295"/>
      <c r="W65" s="295"/>
      <c r="X65" s="295"/>
      <c r="Y65" s="295"/>
      <c r="Z65" s="295"/>
      <c r="AA65" s="295"/>
      <c r="AB65" s="295"/>
      <c r="AC65" s="295"/>
      <c r="AD65" s="295"/>
      <c r="AE65" s="295"/>
      <c r="AF65" s="296"/>
      <c r="AG65" s="111"/>
      <c r="AH65" s="111"/>
    </row>
    <row r="66" spans="1:36" ht="111" customHeight="1">
      <c r="A66" s="111"/>
      <c r="B66" s="291" t="s">
        <v>254</v>
      </c>
      <c r="C66" s="292"/>
      <c r="D66" s="292"/>
      <c r="E66" s="292"/>
      <c r="F66" s="292"/>
      <c r="G66" s="293"/>
      <c r="H66" s="294" t="s">
        <v>250</v>
      </c>
      <c r="I66" s="295"/>
      <c r="J66" s="295"/>
      <c r="K66" s="295"/>
      <c r="L66" s="295"/>
      <c r="M66" s="295"/>
      <c r="N66" s="295"/>
      <c r="O66" s="295"/>
      <c r="P66" s="295"/>
      <c r="Q66" s="295"/>
      <c r="R66" s="295"/>
      <c r="S66" s="295"/>
      <c r="T66" s="295"/>
      <c r="U66" s="295"/>
      <c r="V66" s="295"/>
      <c r="W66" s="295"/>
      <c r="X66" s="295"/>
      <c r="Y66" s="295"/>
      <c r="Z66" s="295"/>
      <c r="AA66" s="295"/>
      <c r="AB66" s="295"/>
      <c r="AC66" s="295"/>
      <c r="AD66" s="295"/>
      <c r="AE66" s="295"/>
      <c r="AF66" s="296"/>
      <c r="AG66" s="111"/>
      <c r="AH66" s="111"/>
    </row>
    <row r="67" spans="1:36" ht="52.5" customHeight="1">
      <c r="A67" s="111"/>
      <c r="B67" s="291" t="s">
        <v>255</v>
      </c>
      <c r="C67" s="292"/>
      <c r="D67" s="292"/>
      <c r="E67" s="292"/>
      <c r="F67" s="292"/>
      <c r="G67" s="293"/>
      <c r="H67" s="294" t="s">
        <v>258</v>
      </c>
      <c r="I67" s="295"/>
      <c r="J67" s="295"/>
      <c r="K67" s="295"/>
      <c r="L67" s="295"/>
      <c r="M67" s="295"/>
      <c r="N67" s="295"/>
      <c r="O67" s="295"/>
      <c r="P67" s="295"/>
      <c r="Q67" s="295"/>
      <c r="R67" s="295"/>
      <c r="S67" s="295"/>
      <c r="T67" s="295"/>
      <c r="U67" s="295"/>
      <c r="V67" s="295"/>
      <c r="W67" s="295"/>
      <c r="X67" s="295"/>
      <c r="Y67" s="295"/>
      <c r="Z67" s="295"/>
      <c r="AA67" s="295"/>
      <c r="AB67" s="295"/>
      <c r="AC67" s="295"/>
      <c r="AD67" s="295"/>
      <c r="AE67" s="295"/>
      <c r="AF67" s="296"/>
      <c r="AG67" s="111"/>
      <c r="AH67" s="111"/>
    </row>
    <row r="68" spans="1:36" ht="52.5" customHeight="1">
      <c r="A68" s="111"/>
      <c r="B68" s="291" t="s">
        <v>247</v>
      </c>
      <c r="C68" s="292"/>
      <c r="D68" s="292"/>
      <c r="E68" s="292"/>
      <c r="F68" s="292"/>
      <c r="G68" s="293"/>
      <c r="H68" s="294" t="s">
        <v>251</v>
      </c>
      <c r="I68" s="295"/>
      <c r="J68" s="295"/>
      <c r="K68" s="295"/>
      <c r="L68" s="295"/>
      <c r="M68" s="295"/>
      <c r="N68" s="295"/>
      <c r="O68" s="295"/>
      <c r="P68" s="295"/>
      <c r="Q68" s="295"/>
      <c r="R68" s="295"/>
      <c r="S68" s="295"/>
      <c r="T68" s="295"/>
      <c r="U68" s="295"/>
      <c r="V68" s="295"/>
      <c r="W68" s="295"/>
      <c r="X68" s="295"/>
      <c r="Y68" s="295"/>
      <c r="Z68" s="295"/>
      <c r="AA68" s="295"/>
      <c r="AB68" s="295"/>
      <c r="AC68" s="295"/>
      <c r="AD68" s="295"/>
      <c r="AE68" s="295"/>
      <c r="AF68" s="296"/>
      <c r="AG68" s="111"/>
      <c r="AH68" s="111"/>
    </row>
    <row r="69" spans="1:36" ht="81" customHeight="1">
      <c r="A69" s="111"/>
      <c r="B69" s="291" t="s">
        <v>256</v>
      </c>
      <c r="C69" s="292"/>
      <c r="D69" s="292"/>
      <c r="E69" s="292"/>
      <c r="F69" s="292"/>
      <c r="G69" s="293"/>
      <c r="H69" s="294" t="s">
        <v>259</v>
      </c>
      <c r="I69" s="295"/>
      <c r="J69" s="295"/>
      <c r="K69" s="295"/>
      <c r="L69" s="295"/>
      <c r="M69" s="295"/>
      <c r="N69" s="295"/>
      <c r="O69" s="295"/>
      <c r="P69" s="295"/>
      <c r="Q69" s="295"/>
      <c r="R69" s="295"/>
      <c r="S69" s="295"/>
      <c r="T69" s="295"/>
      <c r="U69" s="295"/>
      <c r="V69" s="295"/>
      <c r="W69" s="295"/>
      <c r="X69" s="295"/>
      <c r="Y69" s="295"/>
      <c r="Z69" s="295"/>
      <c r="AA69" s="295"/>
      <c r="AB69" s="295"/>
      <c r="AC69" s="295"/>
      <c r="AD69" s="295"/>
      <c r="AE69" s="295"/>
      <c r="AF69" s="296"/>
      <c r="AG69" s="111"/>
      <c r="AH69" s="111"/>
    </row>
    <row r="70" spans="1:36" ht="97.5" customHeight="1">
      <c r="A70" s="111"/>
      <c r="B70" s="291" t="s">
        <v>249</v>
      </c>
      <c r="C70" s="292"/>
      <c r="D70" s="292"/>
      <c r="E70" s="292"/>
      <c r="F70" s="292"/>
      <c r="G70" s="293"/>
      <c r="H70" s="294" t="s">
        <v>252</v>
      </c>
      <c r="I70" s="295"/>
      <c r="J70" s="295"/>
      <c r="K70" s="295"/>
      <c r="L70" s="295"/>
      <c r="M70" s="295"/>
      <c r="N70" s="295"/>
      <c r="O70" s="295"/>
      <c r="P70" s="295"/>
      <c r="Q70" s="295"/>
      <c r="R70" s="295"/>
      <c r="S70" s="295"/>
      <c r="T70" s="295"/>
      <c r="U70" s="295"/>
      <c r="V70" s="295"/>
      <c r="W70" s="295"/>
      <c r="X70" s="295"/>
      <c r="Y70" s="295"/>
      <c r="Z70" s="295"/>
      <c r="AA70" s="295"/>
      <c r="AB70" s="295"/>
      <c r="AC70" s="295"/>
      <c r="AD70" s="295"/>
      <c r="AE70" s="295"/>
      <c r="AF70" s="296"/>
      <c r="AG70" s="111"/>
      <c r="AH70" s="111"/>
    </row>
    <row r="71" spans="1:36">
      <c r="A71" s="111"/>
      <c r="B71" s="138"/>
      <c r="C71" s="138"/>
      <c r="D71" s="138"/>
      <c r="E71" s="138"/>
      <c r="F71" s="138"/>
      <c r="G71" s="138"/>
      <c r="H71" s="139"/>
      <c r="I71" s="139"/>
      <c r="J71" s="139"/>
      <c r="K71" s="139"/>
      <c r="L71" s="139"/>
      <c r="M71" s="139"/>
      <c r="N71" s="139"/>
      <c r="O71" s="139"/>
      <c r="P71" s="139"/>
      <c r="Q71" s="139"/>
      <c r="R71" s="139"/>
      <c r="S71" s="139"/>
      <c r="T71" s="139"/>
      <c r="U71" s="139"/>
      <c r="V71" s="139"/>
      <c r="W71" s="139"/>
      <c r="X71" s="139"/>
      <c r="Y71" s="139"/>
      <c r="Z71" s="139"/>
      <c r="AA71" s="139"/>
      <c r="AB71" s="139"/>
      <c r="AC71" s="139"/>
      <c r="AD71" s="139"/>
      <c r="AE71" s="139"/>
      <c r="AF71" s="139"/>
      <c r="AG71" s="111"/>
      <c r="AH71" s="111"/>
    </row>
    <row r="72" spans="1:36">
      <c r="A72" s="111"/>
      <c r="B72" s="138"/>
      <c r="C72" s="138"/>
      <c r="D72" s="138"/>
      <c r="E72" s="138"/>
      <c r="F72" s="138"/>
      <c r="G72" s="138"/>
      <c r="H72" s="139"/>
      <c r="I72" s="139"/>
      <c r="J72" s="139"/>
      <c r="K72" s="139"/>
      <c r="L72" s="139"/>
      <c r="M72" s="139"/>
      <c r="N72" s="139"/>
      <c r="O72" s="139"/>
      <c r="P72" s="139"/>
      <c r="Q72" s="139"/>
      <c r="R72" s="139"/>
      <c r="S72" s="139"/>
      <c r="T72" s="139"/>
      <c r="U72" s="139"/>
      <c r="V72" s="139"/>
      <c r="W72" s="139"/>
      <c r="X72" s="139"/>
      <c r="Y72" s="139"/>
      <c r="Z72" s="139"/>
      <c r="AA72" s="139"/>
      <c r="AB72" s="139"/>
      <c r="AC72" s="139"/>
      <c r="AD72" s="139"/>
      <c r="AE72" s="139"/>
      <c r="AF72" s="139"/>
      <c r="AG72" s="111"/>
      <c r="AH72" s="111"/>
    </row>
    <row r="73" spans="1:36">
      <c r="A73" s="111"/>
      <c r="B73" s="138"/>
      <c r="C73" s="138"/>
      <c r="D73" s="138"/>
      <c r="E73" s="138"/>
      <c r="F73" s="138"/>
      <c r="G73" s="138"/>
      <c r="H73" s="139"/>
      <c r="I73" s="139"/>
      <c r="J73" s="139"/>
      <c r="K73" s="139"/>
      <c r="L73" s="139"/>
      <c r="M73" s="139"/>
      <c r="N73" s="139"/>
      <c r="O73" s="139"/>
      <c r="P73" s="139"/>
      <c r="Q73" s="139"/>
      <c r="R73" s="139"/>
      <c r="S73" s="139"/>
      <c r="T73" s="139"/>
      <c r="U73" s="139"/>
      <c r="V73" s="139"/>
      <c r="W73" s="139"/>
      <c r="X73" s="139"/>
      <c r="Y73" s="139"/>
      <c r="Z73" s="139"/>
      <c r="AA73" s="139"/>
      <c r="AB73" s="139"/>
      <c r="AC73" s="139"/>
      <c r="AD73" s="139"/>
      <c r="AE73" s="139"/>
      <c r="AF73" s="139"/>
      <c r="AG73" s="111"/>
      <c r="AH73" s="111"/>
    </row>
    <row r="74" spans="1:36" ht="25">
      <c r="A74" s="111"/>
      <c r="B74" s="134" t="s">
        <v>156</v>
      </c>
      <c r="C74" s="135"/>
      <c r="D74" s="135"/>
      <c r="E74" s="135"/>
      <c r="F74" s="135"/>
      <c r="G74" s="135"/>
      <c r="H74" s="136"/>
      <c r="I74" s="136"/>
      <c r="J74" s="136"/>
      <c r="K74" s="136"/>
      <c r="L74" s="136"/>
      <c r="M74" s="136"/>
      <c r="N74" s="136"/>
      <c r="O74" s="136"/>
      <c r="P74" s="136"/>
      <c r="Q74" s="136"/>
      <c r="R74" s="136"/>
      <c r="S74" s="136"/>
      <c r="T74" s="136"/>
      <c r="U74" s="136"/>
      <c r="V74" s="136"/>
      <c r="W74" s="136"/>
      <c r="X74" s="136"/>
      <c r="Y74" s="136"/>
      <c r="Z74" s="136"/>
      <c r="AA74" s="136"/>
      <c r="AB74" s="136"/>
      <c r="AC74" s="136"/>
      <c r="AD74" s="136"/>
      <c r="AE74" s="136"/>
      <c r="AF74" s="136"/>
      <c r="AG74" s="111"/>
      <c r="AH74" s="111"/>
    </row>
    <row r="75" spans="1:36">
      <c r="A75" s="111"/>
      <c r="B75" s="138"/>
      <c r="C75" s="138"/>
      <c r="D75" s="138"/>
      <c r="E75" s="138"/>
      <c r="F75" s="138"/>
      <c r="G75" s="138"/>
      <c r="H75" s="139"/>
      <c r="I75" s="139"/>
      <c r="J75" s="139"/>
      <c r="K75" s="139"/>
      <c r="L75" s="139"/>
      <c r="M75" s="139"/>
      <c r="N75" s="139"/>
      <c r="O75" s="139"/>
      <c r="P75" s="139"/>
      <c r="Q75" s="139"/>
      <c r="R75" s="139"/>
      <c r="S75" s="139"/>
      <c r="T75" s="139"/>
      <c r="U75" s="139"/>
      <c r="V75" s="139"/>
      <c r="W75" s="139"/>
      <c r="X75" s="139"/>
      <c r="Y75" s="139"/>
      <c r="Z75" s="139"/>
      <c r="AA75" s="139"/>
      <c r="AB75" s="139"/>
      <c r="AC75" s="139"/>
      <c r="AD75" s="139"/>
      <c r="AE75" s="139"/>
      <c r="AF75" s="139"/>
      <c r="AG75" s="111"/>
      <c r="AH75" s="111"/>
    </row>
    <row r="76" spans="1:36">
      <c r="A76" s="111"/>
      <c r="B76" s="138" t="s">
        <v>157</v>
      </c>
      <c r="C76" s="138"/>
      <c r="D76" s="138"/>
      <c r="E76" s="138"/>
      <c r="F76" s="138"/>
      <c r="G76" s="138"/>
      <c r="H76" s="139"/>
      <c r="I76" s="139"/>
      <c r="J76" s="139"/>
      <c r="K76" s="139"/>
      <c r="L76" s="139"/>
      <c r="M76" s="139"/>
      <c r="N76" s="139"/>
      <c r="O76" s="139"/>
      <c r="P76" s="139"/>
      <c r="Q76" s="139"/>
      <c r="R76" s="139"/>
      <c r="S76" s="139"/>
      <c r="T76" s="139"/>
      <c r="U76" s="139"/>
      <c r="V76" s="139"/>
      <c r="W76" s="139"/>
      <c r="X76" s="139"/>
      <c r="Y76" s="139"/>
      <c r="Z76" s="139"/>
      <c r="AA76" s="139"/>
      <c r="AB76" s="139"/>
      <c r="AC76" s="139"/>
      <c r="AD76" s="139"/>
      <c r="AE76" s="139"/>
      <c r="AF76" s="139"/>
      <c r="AG76" s="111"/>
      <c r="AH76" s="111"/>
    </row>
    <row r="77" spans="1:36" ht="67.5">
      <c r="A77" s="111"/>
      <c r="B77" s="138"/>
      <c r="C77" s="138"/>
      <c r="D77" s="138"/>
      <c r="E77" s="138"/>
      <c r="F77" s="138"/>
      <c r="G77" s="138"/>
      <c r="H77" s="139"/>
      <c r="I77" s="139"/>
      <c r="J77" s="139"/>
      <c r="K77" s="139"/>
      <c r="L77" s="139"/>
      <c r="M77" s="139"/>
      <c r="N77" s="139"/>
      <c r="O77" s="139"/>
      <c r="P77" s="139"/>
      <c r="Q77" s="139"/>
      <c r="R77" s="139"/>
      <c r="S77" s="139"/>
      <c r="T77" s="139"/>
      <c r="U77" s="139"/>
      <c r="V77" s="139"/>
      <c r="W77" s="139"/>
      <c r="X77" s="139"/>
      <c r="Y77" s="139"/>
      <c r="Z77" s="139"/>
      <c r="AA77" s="139"/>
      <c r="AB77" s="139"/>
      <c r="AC77" s="139"/>
      <c r="AD77" s="139"/>
      <c r="AE77" s="139"/>
      <c r="AF77" s="139"/>
      <c r="AG77" s="111"/>
      <c r="AH77" s="111"/>
      <c r="AJ77" s="194" t="s">
        <v>321</v>
      </c>
    </row>
    <row r="78" spans="1:36" ht="18.5">
      <c r="A78" s="111"/>
      <c r="C78" s="138"/>
      <c r="D78" s="138"/>
      <c r="E78" s="138"/>
      <c r="F78" s="138"/>
      <c r="G78" s="138"/>
      <c r="H78" s="139"/>
      <c r="I78" s="139"/>
      <c r="J78" s="139"/>
      <c r="K78" s="139"/>
      <c r="L78" s="139"/>
      <c r="M78" s="139"/>
      <c r="N78" s="139"/>
      <c r="O78" s="139"/>
      <c r="P78" s="139"/>
      <c r="Q78" s="139"/>
      <c r="R78" s="139"/>
      <c r="S78" s="139"/>
      <c r="T78" s="139"/>
      <c r="U78" s="139"/>
      <c r="V78" s="139"/>
      <c r="W78" s="139"/>
      <c r="X78" s="139"/>
      <c r="Y78" s="139"/>
      <c r="Z78" s="139"/>
      <c r="AA78" s="139"/>
      <c r="AB78" s="139"/>
      <c r="AC78" s="139"/>
      <c r="AD78" s="139"/>
      <c r="AE78" s="139"/>
      <c r="AF78" s="139"/>
      <c r="AG78" s="111"/>
      <c r="AH78" s="111"/>
      <c r="AI78" s="160"/>
      <c r="AJ78" s="193" t="s">
        <v>322</v>
      </c>
    </row>
    <row r="79" spans="1:36">
      <c r="A79" s="111"/>
      <c r="C79" s="138"/>
      <c r="D79" s="138"/>
      <c r="E79" s="138"/>
      <c r="F79" s="138"/>
      <c r="G79" s="138"/>
      <c r="H79" s="139"/>
      <c r="I79" s="139"/>
      <c r="J79" s="139"/>
      <c r="K79" s="139"/>
      <c r="L79" s="139"/>
      <c r="M79" s="139"/>
      <c r="N79" s="139"/>
      <c r="O79" s="139"/>
      <c r="P79" s="139"/>
      <c r="Q79" s="139"/>
      <c r="R79" s="139"/>
      <c r="S79" s="139"/>
      <c r="T79" s="139"/>
      <c r="U79" s="139"/>
      <c r="V79" s="139"/>
      <c r="W79" s="139"/>
      <c r="X79" s="139"/>
      <c r="Y79" s="139"/>
      <c r="Z79" s="139"/>
      <c r="AA79" s="139"/>
      <c r="AB79" s="139"/>
      <c r="AC79" s="139"/>
      <c r="AD79" s="139"/>
      <c r="AE79" s="139"/>
      <c r="AF79" s="139"/>
      <c r="AG79" s="111"/>
      <c r="AH79" s="111"/>
      <c r="AI79" s="161" t="s">
        <v>205</v>
      </c>
      <c r="AJ79" s="161" t="s">
        <v>158</v>
      </c>
    </row>
    <row r="80" spans="1:36">
      <c r="A80" s="111"/>
      <c r="C80" s="138"/>
      <c r="D80" s="138"/>
      <c r="E80" s="138"/>
      <c r="F80" s="138"/>
      <c r="G80" s="138"/>
      <c r="H80" s="139"/>
      <c r="I80" s="139"/>
      <c r="J80" s="139"/>
      <c r="K80" s="139"/>
      <c r="L80" s="139"/>
      <c r="M80" s="139"/>
      <c r="N80" s="139"/>
      <c r="O80" s="139"/>
      <c r="P80" s="139"/>
      <c r="Q80" s="139"/>
      <c r="R80" s="139"/>
      <c r="S80" s="139"/>
      <c r="T80" s="139"/>
      <c r="U80" s="139"/>
      <c r="V80" s="139"/>
      <c r="W80" s="139"/>
      <c r="X80" s="139"/>
      <c r="Y80" s="139"/>
      <c r="Z80" s="139"/>
      <c r="AA80" s="139"/>
      <c r="AB80" s="139"/>
      <c r="AC80" s="139"/>
      <c r="AD80" s="139"/>
      <c r="AE80" s="139"/>
      <c r="AF80" s="139"/>
      <c r="AG80" s="111"/>
      <c r="AH80" s="111"/>
      <c r="AI80" s="161" t="s">
        <v>21</v>
      </c>
      <c r="AJ80" s="161" t="s">
        <v>160</v>
      </c>
    </row>
    <row r="81" spans="1:36">
      <c r="A81" s="111"/>
      <c r="C81" s="138"/>
      <c r="D81" s="138"/>
      <c r="E81" s="138"/>
      <c r="F81" s="138"/>
      <c r="G81" s="138"/>
      <c r="H81" s="139"/>
      <c r="I81" s="139"/>
      <c r="J81" s="139"/>
      <c r="K81" s="139"/>
      <c r="L81" s="139"/>
      <c r="M81" s="139"/>
      <c r="N81" s="139"/>
      <c r="O81" s="139"/>
      <c r="P81" s="139"/>
      <c r="Q81" s="139"/>
      <c r="R81" s="139"/>
      <c r="S81" s="139"/>
      <c r="T81" s="139"/>
      <c r="U81" s="139"/>
      <c r="V81" s="139"/>
      <c r="W81" s="139"/>
      <c r="X81" s="139"/>
      <c r="Y81" s="139"/>
      <c r="Z81" s="139"/>
      <c r="AA81" s="139"/>
      <c r="AB81" s="139"/>
      <c r="AC81" s="139"/>
      <c r="AD81" s="139"/>
      <c r="AE81" s="139"/>
      <c r="AF81" s="139"/>
      <c r="AG81" s="111"/>
      <c r="AH81" s="111"/>
      <c r="AI81" s="161" t="s">
        <v>10</v>
      </c>
      <c r="AJ81" s="161" t="s">
        <v>207</v>
      </c>
    </row>
    <row r="82" spans="1:36" ht="18.5">
      <c r="A82" s="111"/>
      <c r="C82" s="138"/>
      <c r="D82" s="138"/>
      <c r="E82" s="138"/>
      <c r="F82" s="138"/>
      <c r="G82" s="138"/>
      <c r="H82" s="139"/>
      <c r="I82" s="139"/>
      <c r="J82" s="139"/>
      <c r="K82" s="139"/>
      <c r="L82" s="139"/>
      <c r="M82" s="139"/>
      <c r="N82" s="139"/>
      <c r="O82" s="139"/>
      <c r="P82" s="139"/>
      <c r="Q82" s="139"/>
      <c r="R82" s="139"/>
      <c r="S82" s="139"/>
      <c r="T82" s="139"/>
      <c r="U82" s="139"/>
      <c r="V82" s="139"/>
      <c r="W82" s="139"/>
      <c r="X82" s="139"/>
      <c r="Y82" s="139"/>
      <c r="Z82" s="139"/>
      <c r="AA82" s="139"/>
      <c r="AB82" s="139"/>
      <c r="AC82" s="139"/>
      <c r="AD82" s="139"/>
      <c r="AE82" s="139"/>
      <c r="AF82" s="139"/>
      <c r="AG82" s="111"/>
      <c r="AH82" s="111"/>
      <c r="AI82" s="162"/>
      <c r="AJ82" s="161" t="s">
        <v>161</v>
      </c>
    </row>
    <row r="83" spans="1:36">
      <c r="A83" s="111"/>
      <c r="B83" s="138"/>
      <c r="C83" s="138"/>
      <c r="D83" s="138"/>
      <c r="E83" s="138"/>
      <c r="F83" s="138"/>
      <c r="G83" s="138"/>
      <c r="H83" s="139"/>
      <c r="I83" s="139"/>
      <c r="J83" s="139"/>
      <c r="K83" s="139"/>
      <c r="L83" s="139"/>
      <c r="M83" s="139"/>
      <c r="N83" s="139"/>
      <c r="O83" s="139"/>
      <c r="P83" s="139"/>
      <c r="Q83" s="139"/>
      <c r="R83" s="139"/>
      <c r="S83" s="139"/>
      <c r="T83" s="139"/>
      <c r="U83" s="139"/>
      <c r="V83" s="139"/>
      <c r="W83" s="139"/>
      <c r="X83" s="139"/>
      <c r="Y83" s="139"/>
      <c r="Z83" s="139"/>
      <c r="AA83" s="139"/>
      <c r="AB83" s="139"/>
      <c r="AC83" s="139"/>
      <c r="AD83" s="139"/>
      <c r="AE83" s="139"/>
      <c r="AF83" s="139"/>
      <c r="AG83" s="111"/>
      <c r="AH83" s="111"/>
      <c r="AJ83" s="161" t="s">
        <v>267</v>
      </c>
    </row>
    <row r="84" spans="1:36">
      <c r="A84" s="111"/>
      <c r="B84" s="111"/>
      <c r="C84" s="111"/>
      <c r="D84" s="111"/>
      <c r="E84" s="111"/>
      <c r="F84" s="111"/>
      <c r="G84" s="111"/>
      <c r="H84" s="111"/>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11"/>
      <c r="AH84" s="111"/>
      <c r="AJ84" s="161" t="s">
        <v>159</v>
      </c>
    </row>
    <row r="85" spans="1:36">
      <c r="AJ85" s="161" t="s">
        <v>210</v>
      </c>
    </row>
    <row r="86" spans="1:36">
      <c r="AJ86" s="161" t="s">
        <v>268</v>
      </c>
    </row>
    <row r="87" spans="1:36">
      <c r="AJ87" s="161" t="s">
        <v>269</v>
      </c>
    </row>
    <row r="88" spans="1:36">
      <c r="AJ88" s="161" t="s">
        <v>270</v>
      </c>
    </row>
    <row r="89" spans="1:36">
      <c r="AJ89" s="161" t="s">
        <v>271</v>
      </c>
    </row>
    <row r="90" spans="1:36">
      <c r="AJ90" s="161" t="s">
        <v>277</v>
      </c>
    </row>
    <row r="91" spans="1:36">
      <c r="AJ91" s="161" t="s">
        <v>162</v>
      </c>
    </row>
    <row r="92" spans="1:36">
      <c r="AJ92" s="161" t="s">
        <v>272</v>
      </c>
    </row>
    <row r="93" spans="1:36">
      <c r="AJ93" s="161" t="s">
        <v>273</v>
      </c>
    </row>
    <row r="94" spans="1:36">
      <c r="AJ94" s="161" t="s">
        <v>274</v>
      </c>
    </row>
    <row r="95" spans="1:36">
      <c r="AJ95" s="161" t="s">
        <v>275</v>
      </c>
    </row>
    <row r="96" spans="1:36">
      <c r="AJ96" s="161" t="s">
        <v>276</v>
      </c>
    </row>
    <row r="97" spans="36:36">
      <c r="AJ97" s="161" t="s">
        <v>163</v>
      </c>
    </row>
    <row r="98" spans="36:36">
      <c r="AJ98" s="161" t="s">
        <v>278</v>
      </c>
    </row>
    <row r="99" spans="36:36" ht="18.5">
      <c r="AJ99" s="162" t="s">
        <v>273</v>
      </c>
    </row>
  </sheetData>
  <mergeCells count="124">
    <mergeCell ref="B70:G70"/>
    <mergeCell ref="H70:AF70"/>
    <mergeCell ref="B65:G65"/>
    <mergeCell ref="H65:AF65"/>
    <mergeCell ref="B66:G66"/>
    <mergeCell ref="H66:AF66"/>
    <mergeCell ref="B67:G67"/>
    <mergeCell ref="H67:AF67"/>
    <mergeCell ref="B68:G68"/>
    <mergeCell ref="H68:AF68"/>
    <mergeCell ref="B69:G69"/>
    <mergeCell ref="H69:AF69"/>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40:D40"/>
    <mergeCell ref="E40:X40"/>
    <mergeCell ref="Y40:AF40"/>
    <mergeCell ref="B33:D33"/>
    <mergeCell ref="E33:H33"/>
    <mergeCell ref="I33:Q33"/>
    <mergeCell ref="R33:AF33"/>
    <mergeCell ref="B34:D34"/>
    <mergeCell ref="E34:H34"/>
    <mergeCell ref="I34:Q34"/>
    <mergeCell ref="R34:AF34"/>
    <mergeCell ref="B41:D41"/>
    <mergeCell ref="E41:X41"/>
    <mergeCell ref="Y41:AF41"/>
    <mergeCell ref="B42:D42"/>
    <mergeCell ref="E42:X42"/>
    <mergeCell ref="Y42:AF42"/>
    <mergeCell ref="B43:D43"/>
    <mergeCell ref="E43:X43"/>
    <mergeCell ref="Y43:AF43"/>
    <mergeCell ref="B53:G53"/>
    <mergeCell ref="H53:AF53"/>
    <mergeCell ref="B44:D44"/>
    <mergeCell ref="E44:X44"/>
    <mergeCell ref="Y44:AF44"/>
    <mergeCell ref="B46:D46"/>
    <mergeCell ref="E46:X46"/>
    <mergeCell ref="Y46:AF46"/>
    <mergeCell ref="B47:D47"/>
    <mergeCell ref="E47:X47"/>
    <mergeCell ref="Y47:AF47"/>
    <mergeCell ref="B48:D48"/>
    <mergeCell ref="E48:X48"/>
    <mergeCell ref="Y48:AF48"/>
    <mergeCell ref="B49:D49"/>
    <mergeCell ref="E49:X49"/>
    <mergeCell ref="Y49:AF49"/>
    <mergeCell ref="B50:D50"/>
    <mergeCell ref="E50:X50"/>
    <mergeCell ref="Y50:AF50"/>
    <mergeCell ref="B58:G58"/>
    <mergeCell ref="H58:AF58"/>
    <mergeCell ref="B55:G55"/>
    <mergeCell ref="H55:AF55"/>
    <mergeCell ref="B56:G56"/>
    <mergeCell ref="H56:AF56"/>
    <mergeCell ref="B57:G57"/>
    <mergeCell ref="H57:AF57"/>
    <mergeCell ref="B54:G54"/>
    <mergeCell ref="H54:AF54"/>
  </mergeCells>
  <phoneticPr fontId="78" type="noConversion"/>
  <hyperlinks>
    <hyperlink ref="H54"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2" activePane="bottomLeft" state="frozenSplit"/>
      <selection pane="bottomLeft" sqref="A1:D1"/>
    </sheetView>
  </sheetViews>
  <sheetFormatPr defaultColWidth="9.1796875" defaultRowHeight="12.5"/>
  <cols>
    <col min="1" max="1" width="3.54296875" style="1" customWidth="1"/>
    <col min="2" max="2" width="19.453125" style="1" customWidth="1"/>
    <col min="3" max="3" width="100.54296875" style="1" customWidth="1"/>
    <col min="4" max="16384" width="9.1796875" style="1"/>
  </cols>
  <sheetData>
    <row r="1" spans="1:8" ht="18">
      <c r="A1" s="299" t="s">
        <v>14</v>
      </c>
      <c r="B1" s="300"/>
      <c r="C1" s="300"/>
      <c r="D1" s="301"/>
    </row>
    <row r="3" spans="1:8" ht="13">
      <c r="B3" s="302" t="s">
        <v>15</v>
      </c>
      <c r="C3" s="303"/>
      <c r="D3" s="304"/>
    </row>
    <row r="4" spans="1:8">
      <c r="B4" s="94" t="s">
        <v>91</v>
      </c>
      <c r="C4" s="46" t="s">
        <v>92</v>
      </c>
      <c r="D4" s="13"/>
    </row>
    <row r="5" spans="1:8">
      <c r="B5" s="14" t="s">
        <v>32</v>
      </c>
      <c r="C5" s="12" t="s">
        <v>36</v>
      </c>
      <c r="D5" s="13"/>
    </row>
    <row r="6" spans="1:8">
      <c r="B6" s="14" t="s">
        <v>35</v>
      </c>
      <c r="C6" s="12" t="s">
        <v>37</v>
      </c>
      <c r="D6" s="13"/>
    </row>
    <row r="7" spans="1:8">
      <c r="B7" s="14" t="s">
        <v>34</v>
      </c>
      <c r="C7" s="12" t="s">
        <v>38</v>
      </c>
      <c r="D7" s="13"/>
    </row>
    <row r="8" spans="1:8">
      <c r="B8" s="11" t="s">
        <v>33</v>
      </c>
      <c r="C8" s="12" t="s">
        <v>39</v>
      </c>
      <c r="D8" s="13"/>
    </row>
    <row r="9" spans="1:8">
      <c r="B9" s="81" t="s">
        <v>80</v>
      </c>
      <c r="C9" s="46" t="s">
        <v>81</v>
      </c>
      <c r="D9" s="13"/>
    </row>
    <row r="10" spans="1:8">
      <c r="B10" s="81" t="s">
        <v>54</v>
      </c>
      <c r="C10" s="46" t="s">
        <v>55</v>
      </c>
      <c r="D10" s="13"/>
    </row>
    <row r="11" spans="1:8">
      <c r="B11" s="3"/>
      <c r="C11" s="3"/>
      <c r="D11" s="3"/>
    </row>
    <row r="12" spans="1:8" ht="13">
      <c r="B12" s="302" t="s">
        <v>171</v>
      </c>
      <c r="C12" s="303"/>
      <c r="D12" s="304"/>
    </row>
    <row r="13" spans="1:8" ht="24.75" customHeight="1">
      <c r="B13" s="140" t="s">
        <v>166</v>
      </c>
      <c r="C13" s="305" t="s">
        <v>168</v>
      </c>
      <c r="D13" s="306"/>
    </row>
    <row r="14" spans="1:8" ht="25.5" customHeight="1">
      <c r="B14" s="140" t="s">
        <v>95</v>
      </c>
      <c r="C14" s="305" t="s">
        <v>169</v>
      </c>
      <c r="D14" s="306"/>
      <c r="E14" s="95"/>
      <c r="F14" s="95"/>
      <c r="G14" s="95"/>
      <c r="H14" s="95"/>
    </row>
    <row r="15" spans="1:8" ht="49.5" customHeight="1">
      <c r="B15" s="140" t="s">
        <v>167</v>
      </c>
      <c r="C15" s="305" t="s">
        <v>170</v>
      </c>
      <c r="D15" s="306"/>
      <c r="F15" s="99" t="s">
        <v>122</v>
      </c>
    </row>
    <row r="17" spans="2:6" ht="13">
      <c r="B17" s="302" t="s">
        <v>12</v>
      </c>
      <c r="C17" s="303"/>
      <c r="D17" s="304"/>
    </row>
    <row r="18" spans="2:6">
      <c r="B18" s="2"/>
      <c r="C18" s="3"/>
      <c r="D18" s="4"/>
      <c r="F18" s="99" t="s">
        <v>119</v>
      </c>
    </row>
    <row r="19" spans="2:6" s="96" customFormat="1" ht="37.5">
      <c r="B19" s="297" t="s">
        <v>172</v>
      </c>
      <c r="C19" s="141" t="s">
        <v>96</v>
      </c>
      <c r="D19" s="97"/>
      <c r="F19" s="100" t="s">
        <v>120</v>
      </c>
    </row>
    <row r="20" spans="2:6">
      <c r="B20" s="297"/>
      <c r="C20" s="142"/>
      <c r="D20" s="4"/>
      <c r="F20" s="99" t="s">
        <v>121</v>
      </c>
    </row>
    <row r="21" spans="2:6" ht="25">
      <c r="B21" s="297"/>
      <c r="C21" s="143" t="s">
        <v>97</v>
      </c>
      <c r="D21" s="4"/>
    </row>
    <row r="22" spans="2:6" ht="25">
      <c r="B22" s="297"/>
      <c r="C22" s="143" t="s">
        <v>0</v>
      </c>
      <c r="D22" s="4"/>
    </row>
    <row r="23" spans="2:6">
      <c r="B23" s="297"/>
      <c r="C23" s="143" t="s">
        <v>1</v>
      </c>
      <c r="D23" s="4"/>
    </row>
    <row r="24" spans="2:6">
      <c r="B24" s="2"/>
      <c r="C24" s="27"/>
      <c r="D24" s="4"/>
    </row>
    <row r="25" spans="2:6">
      <c r="B25" s="298" t="s">
        <v>173</v>
      </c>
      <c r="C25" s="144" t="s">
        <v>53</v>
      </c>
      <c r="D25" s="4"/>
    </row>
    <row r="26" spans="2:6" ht="25">
      <c r="B26" s="298"/>
      <c r="C26" s="145" t="s">
        <v>2</v>
      </c>
      <c r="D26" s="4"/>
    </row>
    <row r="27" spans="2:6">
      <c r="B27" s="298"/>
      <c r="C27" s="144" t="s">
        <v>117</v>
      </c>
      <c r="D27" s="4"/>
    </row>
    <row r="28" spans="2:6">
      <c r="B28" s="2"/>
      <c r="C28" s="27"/>
      <c r="D28" s="4"/>
    </row>
    <row r="29" spans="2:6">
      <c r="B29" s="5"/>
      <c r="C29" s="6"/>
      <c r="D29" s="7"/>
    </row>
    <row r="30" spans="2:6">
      <c r="B30" s="3"/>
      <c r="C30" s="3"/>
      <c r="D30" s="3"/>
    </row>
    <row r="32" spans="2:6" ht="13">
      <c r="B32" s="15" t="s">
        <v>48</v>
      </c>
    </row>
    <row r="33" spans="2:4">
      <c r="B33" s="8"/>
      <c r="C33" s="9"/>
      <c r="D33" s="10"/>
    </row>
    <row r="34" spans="2:4" ht="18">
      <c r="B34" s="37" t="s">
        <v>51</v>
      </c>
      <c r="C34" s="3"/>
      <c r="D34" s="4"/>
    </row>
    <row r="35" spans="2:4" ht="25">
      <c r="B35" s="2"/>
      <c r="C35" s="31" t="s">
        <v>49</v>
      </c>
      <c r="D35" s="4"/>
    </row>
    <row r="36" spans="2:4">
      <c r="B36" s="5"/>
      <c r="C36" s="76"/>
      <c r="D36" s="7"/>
    </row>
    <row r="37" spans="2:4">
      <c r="B37" s="2"/>
      <c r="C37" s="31"/>
      <c r="D37" s="4"/>
    </row>
    <row r="38" spans="2:4" ht="18">
      <c r="B38" s="37" t="s">
        <v>83</v>
      </c>
      <c r="C38" s="31"/>
      <c r="D38" s="4"/>
    </row>
    <row r="39" spans="2:4" ht="18">
      <c r="B39" s="37"/>
      <c r="C39" s="31"/>
      <c r="D39" s="4"/>
    </row>
    <row r="40" spans="2:4" ht="18">
      <c r="B40" s="37"/>
      <c r="C40" s="31"/>
      <c r="D40" s="4"/>
    </row>
    <row r="41" spans="2:4" ht="18">
      <c r="B41" s="37"/>
      <c r="C41" s="31"/>
      <c r="D41" s="4"/>
    </row>
    <row r="42" spans="2:4" ht="18">
      <c r="B42" s="37"/>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91" t="s">
        <v>318</v>
      </c>
      <c r="C50" s="192" t="s">
        <v>319</v>
      </c>
      <c r="D50" s="4"/>
    </row>
    <row r="51" spans="2:4">
      <c r="B51" s="5"/>
      <c r="C51" s="43"/>
      <c r="D51" s="7"/>
    </row>
    <row r="52" spans="2:4">
      <c r="B52" s="2"/>
      <c r="C52" s="31"/>
      <c r="D52" s="4"/>
    </row>
    <row r="53" spans="2:4" ht="18">
      <c r="B53" s="37" t="s">
        <v>79</v>
      </c>
      <c r="C53" s="31"/>
      <c r="D53" s="4"/>
    </row>
    <row r="54" spans="2:4">
      <c r="B54" s="2"/>
      <c r="C54" s="77" t="s">
        <v>56</v>
      </c>
      <c r="D54" s="4"/>
    </row>
    <row r="55" spans="2:4">
      <c r="B55" s="2"/>
      <c r="C55" s="78" t="s">
        <v>57</v>
      </c>
      <c r="D55" s="4"/>
    </row>
    <row r="56" spans="2:4">
      <c r="B56" s="2"/>
      <c r="C56" s="79" t="s">
        <v>58</v>
      </c>
      <c r="D56" s="4"/>
    </row>
    <row r="57" spans="2:4">
      <c r="B57" s="2"/>
      <c r="C57" s="80" t="s">
        <v>118</v>
      </c>
      <c r="D57" s="4"/>
    </row>
    <row r="58" spans="2:4">
      <c r="B58" s="5"/>
      <c r="C58" s="43"/>
      <c r="D58" s="7"/>
    </row>
    <row r="59" spans="2:4">
      <c r="B59" s="2"/>
      <c r="C59" s="27"/>
      <c r="D59" s="4"/>
    </row>
    <row r="60" spans="2:4" ht="18">
      <c r="B60" s="37" t="s">
        <v>50</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3"/>
      <c r="D108" s="7"/>
    </row>
    <row r="111" spans="2:4" ht="26">
      <c r="B111" s="15" t="s">
        <v>52</v>
      </c>
    </row>
    <row r="112" spans="2:4">
      <c r="B112" s="8"/>
      <c r="C112" s="9"/>
      <c r="D112" s="10"/>
    </row>
    <row r="113" spans="2:4">
      <c r="B113" s="2"/>
      <c r="C113" s="3"/>
      <c r="D113" s="4"/>
    </row>
    <row r="114" spans="2:4">
      <c r="B114" s="2"/>
      <c r="C114" s="3"/>
      <c r="D114" s="4"/>
    </row>
    <row r="115" spans="2:4">
      <c r="B115" s="2"/>
      <c r="C115" s="44" t="s">
        <v>82</v>
      </c>
      <c r="D115" s="4"/>
    </row>
    <row r="116" spans="2:4">
      <c r="B116" s="2"/>
      <c r="C116" s="3"/>
      <c r="D116" s="4"/>
    </row>
    <row r="117" spans="2:4" ht="12.75" customHeight="1">
      <c r="B117" s="2"/>
      <c r="C117" s="44" t="s">
        <v>77</v>
      </c>
      <c r="D117" s="4"/>
    </row>
    <row r="118" spans="2:4" ht="12.75" customHeight="1">
      <c r="B118" s="2"/>
      <c r="C118" s="3"/>
      <c r="D118" s="4"/>
    </row>
    <row r="119" spans="2:4" ht="12.75" customHeight="1">
      <c r="B119" s="2"/>
      <c r="C119" s="3"/>
      <c r="D119" s="4"/>
    </row>
    <row r="120" spans="2:4">
      <c r="B120" s="5"/>
      <c r="C120" s="6"/>
      <c r="D120" s="7"/>
    </row>
    <row r="122" spans="2:4" ht="13">
      <c r="B122" s="15" t="s">
        <v>98</v>
      </c>
    </row>
    <row r="123" spans="2:4" ht="37.5">
      <c r="B123" s="8"/>
      <c r="C123" s="98" t="s">
        <v>100</v>
      </c>
      <c r="D123" s="10"/>
    </row>
    <row r="124" spans="2:4">
      <c r="B124" s="146" t="s">
        <v>174</v>
      </c>
      <c r="C124" s="1" t="s">
        <v>99</v>
      </c>
      <c r="D124" s="4"/>
    </row>
    <row r="125" spans="2:4">
      <c r="B125" s="146" t="s">
        <v>174</v>
      </c>
      <c r="C125" s="31" t="s">
        <v>103</v>
      </c>
      <c r="D125" s="4"/>
    </row>
    <row r="126" spans="2:4">
      <c r="B126" s="146" t="s">
        <v>174</v>
      </c>
      <c r="C126" s="27" t="s">
        <v>104</v>
      </c>
      <c r="D126" s="4"/>
    </row>
    <row r="127" spans="2:4">
      <c r="B127" s="146" t="s">
        <v>174</v>
      </c>
      <c r="C127" s="27" t="s">
        <v>105</v>
      </c>
      <c r="D127" s="4"/>
    </row>
    <row r="128" spans="2:4">
      <c r="B128" s="146" t="s">
        <v>174</v>
      </c>
      <c r="C128" s="27" t="s">
        <v>106</v>
      </c>
      <c r="D128" s="4"/>
    </row>
    <row r="129" spans="2:4">
      <c r="B129" s="146" t="s">
        <v>174</v>
      </c>
      <c r="C129" s="27" t="s">
        <v>110</v>
      </c>
      <c r="D129" s="4"/>
    </row>
    <row r="130" spans="2:4">
      <c r="B130" s="146" t="s">
        <v>174</v>
      </c>
      <c r="C130" s="27" t="s">
        <v>111</v>
      </c>
      <c r="D130" s="4"/>
    </row>
    <row r="131" spans="2:4">
      <c r="B131" s="146" t="s">
        <v>174</v>
      </c>
      <c r="C131" s="31" t="s">
        <v>113</v>
      </c>
      <c r="D131" s="4"/>
    </row>
    <row r="132" spans="2:4">
      <c r="B132" s="146" t="s">
        <v>174</v>
      </c>
      <c r="C132" s="31" t="s">
        <v>114</v>
      </c>
      <c r="D132" s="4"/>
    </row>
    <row r="133" spans="2:4">
      <c r="B133" s="146" t="s">
        <v>174</v>
      </c>
      <c r="C133" s="1" t="s">
        <v>112</v>
      </c>
      <c r="D133" s="4"/>
    </row>
    <row r="134" spans="2:4">
      <c r="B134" s="146" t="s">
        <v>174</v>
      </c>
      <c r="C134" s="27" t="s">
        <v>107</v>
      </c>
      <c r="D134" s="4"/>
    </row>
    <row r="135" spans="2:4">
      <c r="B135" s="146" t="s">
        <v>174</v>
      </c>
      <c r="C135" s="27" t="s">
        <v>102</v>
      </c>
      <c r="D135" s="4"/>
    </row>
    <row r="136" spans="2:4">
      <c r="B136" s="146" t="s">
        <v>174</v>
      </c>
      <c r="C136" s="31" t="s">
        <v>108</v>
      </c>
      <c r="D136" s="4"/>
    </row>
    <row r="137" spans="2:4">
      <c r="B137" s="146" t="s">
        <v>174</v>
      </c>
      <c r="C137" s="31" t="s">
        <v>116</v>
      </c>
      <c r="D137" s="4"/>
    </row>
    <row r="138" spans="2:4">
      <c r="B138" s="146" t="s">
        <v>174</v>
      </c>
      <c r="C138" s="31" t="s">
        <v>101</v>
      </c>
      <c r="D138" s="4"/>
    </row>
    <row r="139" spans="2:4">
      <c r="B139" s="146" t="s">
        <v>174</v>
      </c>
      <c r="C139" s="31" t="s">
        <v>115</v>
      </c>
      <c r="D139" s="4"/>
    </row>
    <row r="140" spans="2:4">
      <c r="B140" s="147" t="s">
        <v>174</v>
      </c>
      <c r="C140" s="6" t="s">
        <v>109</v>
      </c>
      <c r="D140" s="7"/>
    </row>
  </sheetData>
  <mergeCells count="9">
    <mergeCell ref="B19:B23"/>
    <mergeCell ref="B25:B27"/>
    <mergeCell ref="A1:D1"/>
    <mergeCell ref="B17:D17"/>
    <mergeCell ref="B3:D3"/>
    <mergeCell ref="B12:D12"/>
    <mergeCell ref="C14:D14"/>
    <mergeCell ref="C15:D15"/>
    <mergeCell ref="C13:D13"/>
  </mergeCells>
  <phoneticPr fontId="25"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4641850</xdr:colOff>
                    <xdr:row>115</xdr:row>
                    <xdr:rowOff>107950</xdr:rowOff>
                  </from>
                  <to>
                    <xdr:col>2</xdr:col>
                    <xdr:colOff>6527800</xdr:colOff>
                    <xdr:row>117</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9" activePane="bottomLeft" state="frozen"/>
      <selection pane="bottomLeft" activeCell="E24" sqref="E24:E27"/>
    </sheetView>
  </sheetViews>
  <sheetFormatPr defaultColWidth="9.1796875" defaultRowHeight="12.5" outlineLevelCol="1"/>
  <cols>
    <col min="1" max="1" width="9.1796875" style="16" collapsed="1"/>
    <col min="2" max="2" width="9.1796875" style="16" hidden="1" customWidth="1" outlineLevel="1"/>
    <col min="3" max="3" width="24" style="16" bestFit="1" customWidth="1"/>
    <col min="4" max="4" width="14.81640625" style="16" customWidth="1"/>
    <col min="5" max="5" width="10.1796875" style="16" customWidth="1"/>
    <col min="6" max="6" width="11.453125" style="16" customWidth="1"/>
    <col min="7" max="7" width="9.1796875" style="16" customWidth="1"/>
    <col min="8" max="8" width="10.54296875" style="16" customWidth="1"/>
    <col min="9" max="9" width="12.81640625" style="16" customWidth="1"/>
    <col min="10" max="10" width="13.54296875" style="16" customWidth="1"/>
    <col min="11" max="11" width="9.1796875" style="16" customWidth="1"/>
    <col min="12" max="12" width="12.1796875" style="16" customWidth="1"/>
    <col min="13" max="13" width="12.453125" style="16" customWidth="1"/>
    <col min="14" max="14" width="10.54296875" style="16" customWidth="1"/>
    <col min="15" max="15" width="9.453125" style="16" customWidth="1"/>
    <col min="16" max="16" width="10.1796875" style="16" customWidth="1"/>
    <col min="17" max="18" width="10" style="16" bestFit="1" customWidth="1"/>
    <col min="19" max="19" width="11.1796875" style="16" customWidth="1"/>
    <col min="20" max="16384" width="9.1796875" style="16"/>
  </cols>
  <sheetData>
    <row r="4" spans="3:17">
      <c r="C4" s="39"/>
      <c r="D4" s="39"/>
      <c r="E4" s="39"/>
      <c r="F4" s="39"/>
      <c r="G4" s="39"/>
      <c r="H4" s="39"/>
      <c r="I4" s="39"/>
      <c r="J4" s="39"/>
      <c r="K4" s="39"/>
      <c r="L4" s="39"/>
      <c r="M4" s="39"/>
      <c r="N4" s="39"/>
      <c r="O4" s="39"/>
      <c r="P4" s="39"/>
      <c r="Q4" s="39"/>
    </row>
    <row r="5" spans="3:17">
      <c r="C5" s="39"/>
      <c r="D5" s="39"/>
      <c r="E5" s="39"/>
      <c r="F5" s="39"/>
      <c r="G5" s="39"/>
      <c r="H5" s="38"/>
      <c r="I5" s="39"/>
      <c r="J5" s="39"/>
      <c r="K5" s="39"/>
      <c r="L5" s="39"/>
      <c r="M5" s="39"/>
      <c r="N5" s="39"/>
      <c r="O5" s="39"/>
      <c r="P5" s="39"/>
      <c r="Q5" s="39"/>
    </row>
    <row r="6" spans="3:17">
      <c r="C6" s="39"/>
      <c r="D6" s="39"/>
      <c r="E6" s="39"/>
      <c r="F6" s="39"/>
      <c r="G6" s="39"/>
      <c r="H6" s="38"/>
      <c r="I6" s="39"/>
      <c r="J6" s="39"/>
      <c r="K6" s="39"/>
      <c r="L6" s="39"/>
      <c r="M6" s="39"/>
      <c r="N6" s="39"/>
      <c r="O6" s="39"/>
      <c r="P6" s="39"/>
      <c r="Q6" s="39"/>
    </row>
    <row r="7" spans="3:17">
      <c r="C7" s="39"/>
      <c r="D7" s="39"/>
      <c r="E7" s="39"/>
      <c r="F7" s="39"/>
      <c r="G7" s="39"/>
      <c r="H7" s="38"/>
      <c r="I7" s="39"/>
      <c r="J7" s="39"/>
      <c r="K7" s="39"/>
      <c r="L7" s="39"/>
      <c r="M7" s="39"/>
      <c r="N7" s="39"/>
      <c r="O7" s="39"/>
      <c r="P7" s="39"/>
      <c r="Q7" s="39"/>
    </row>
    <row r="8" spans="3:17">
      <c r="C8" s="39"/>
      <c r="D8" s="39"/>
      <c r="E8" s="39"/>
      <c r="F8" s="39"/>
      <c r="G8" s="39"/>
      <c r="H8" s="38"/>
      <c r="I8" s="39"/>
      <c r="J8" s="39"/>
      <c r="K8" s="39"/>
      <c r="L8" s="39"/>
      <c r="M8" s="39"/>
      <c r="N8" s="39"/>
      <c r="O8" s="39"/>
      <c r="P8" s="39"/>
      <c r="Q8" s="39"/>
    </row>
    <row r="9" spans="3:17">
      <c r="C9" s="39"/>
      <c r="D9" s="39"/>
      <c r="E9" s="39"/>
      <c r="F9" s="39"/>
      <c r="G9" s="39"/>
      <c r="H9" s="38"/>
      <c r="I9" s="39"/>
      <c r="J9" s="39"/>
      <c r="K9" s="39"/>
      <c r="L9" s="39"/>
      <c r="M9" s="39"/>
      <c r="N9" s="39"/>
      <c r="O9" s="39"/>
      <c r="P9" s="39"/>
      <c r="Q9" s="39"/>
    </row>
    <row r="10" spans="3:17">
      <c r="C10" s="39"/>
      <c r="D10" s="39"/>
      <c r="E10" s="39"/>
      <c r="F10" s="39"/>
      <c r="G10" s="39"/>
      <c r="H10" s="38"/>
      <c r="I10" s="39"/>
      <c r="J10" s="39"/>
      <c r="K10" s="39"/>
      <c r="L10" s="39"/>
      <c r="M10" s="39"/>
      <c r="N10" s="39"/>
      <c r="O10" s="39"/>
      <c r="P10" s="39"/>
      <c r="Q10" s="39"/>
    </row>
    <row r="11" spans="3:17">
      <c r="C11" s="39"/>
      <c r="D11" s="39"/>
      <c r="E11" s="39"/>
      <c r="F11" s="39"/>
      <c r="G11" s="39"/>
      <c r="H11" s="38"/>
      <c r="I11" s="39"/>
      <c r="J11" s="39"/>
      <c r="K11" s="39"/>
      <c r="L11" s="39"/>
      <c r="M11" s="39"/>
      <c r="N11" s="39"/>
      <c r="O11" s="39"/>
      <c r="P11" s="39"/>
      <c r="Q11" s="39"/>
    </row>
    <row r="12" spans="3:17">
      <c r="C12" s="39"/>
      <c r="D12" s="39"/>
      <c r="E12" s="39"/>
      <c r="F12" s="39"/>
      <c r="G12" s="39"/>
      <c r="H12" s="38"/>
      <c r="I12" s="39"/>
      <c r="J12" s="39"/>
      <c r="K12" s="39"/>
      <c r="L12" s="39"/>
      <c r="M12" s="39"/>
      <c r="N12" s="39"/>
      <c r="O12" s="39"/>
      <c r="P12" s="39"/>
      <c r="Q12" s="39"/>
    </row>
    <row r="13" spans="3:17">
      <c r="C13" s="39"/>
      <c r="D13" s="39"/>
      <c r="E13" s="39"/>
      <c r="F13" s="39"/>
      <c r="G13" s="39"/>
      <c r="H13" s="38"/>
      <c r="I13" s="39"/>
      <c r="J13" s="39"/>
      <c r="K13" s="39"/>
      <c r="L13" s="39"/>
      <c r="M13" s="39"/>
      <c r="N13" s="39"/>
      <c r="O13" s="39"/>
      <c r="P13" s="39"/>
      <c r="Q13" s="39"/>
    </row>
    <row r="14" spans="3:17">
      <c r="C14" s="39"/>
      <c r="D14" s="39"/>
      <c r="E14" s="39"/>
      <c r="F14" s="39"/>
      <c r="G14" s="39"/>
      <c r="H14" s="38"/>
      <c r="I14" s="39"/>
      <c r="J14" s="39"/>
      <c r="K14" s="39"/>
      <c r="L14" s="39"/>
      <c r="M14" s="39"/>
      <c r="N14" s="39"/>
      <c r="O14" s="39"/>
      <c r="P14" s="39"/>
      <c r="Q14" s="39"/>
    </row>
    <row r="15" spans="3:17">
      <c r="C15" s="39"/>
      <c r="D15" s="39"/>
      <c r="E15" s="39"/>
      <c r="F15" s="39"/>
      <c r="G15" s="39"/>
      <c r="H15" s="38"/>
      <c r="I15" s="39"/>
      <c r="J15" s="39"/>
      <c r="K15" s="39"/>
      <c r="L15" s="39"/>
      <c r="M15" s="39"/>
      <c r="N15" s="39"/>
      <c r="O15" s="39"/>
      <c r="P15" s="39"/>
      <c r="Q15" s="39"/>
    </row>
    <row r="16" spans="3:17">
      <c r="C16" s="39"/>
      <c r="D16" s="39"/>
      <c r="E16" s="39"/>
      <c r="F16" s="39"/>
      <c r="G16" s="39"/>
      <c r="H16" s="38"/>
      <c r="I16" s="39"/>
      <c r="J16" s="39"/>
      <c r="K16" s="39"/>
      <c r="L16" s="39"/>
      <c r="M16" s="39"/>
      <c r="N16" s="39"/>
      <c r="O16" s="39"/>
      <c r="P16" s="39"/>
      <c r="Q16" s="39"/>
    </row>
    <row r="17" spans="2:52">
      <c r="C17" s="39"/>
      <c r="H17" s="38"/>
    </row>
    <row r="18" spans="2:52">
      <c r="C18" s="39"/>
      <c r="H18" s="38"/>
    </row>
    <row r="19" spans="2:52">
      <c r="C19" s="39"/>
      <c r="H19" s="38"/>
    </row>
    <row r="20" spans="2:52">
      <c r="C20" s="39"/>
      <c r="H20" s="38"/>
    </row>
    <row r="21" spans="2:52">
      <c r="C21" s="39"/>
      <c r="H21" s="38"/>
    </row>
    <row r="22" spans="2:52">
      <c r="C22" s="39"/>
      <c r="H22" s="38"/>
    </row>
    <row r="23" spans="2:52">
      <c r="H23" s="38"/>
    </row>
    <row r="24" spans="2:52" s="84" customFormat="1" ht="62.5">
      <c r="B24" s="86" t="s">
        <v>84</v>
      </c>
      <c r="C24" s="33" t="s">
        <v>47</v>
      </c>
      <c r="D24" s="55" t="s">
        <v>65</v>
      </c>
      <c r="E24" s="86" t="s">
        <v>269</v>
      </c>
      <c r="F24" s="86" t="s">
        <v>160</v>
      </c>
      <c r="G24" s="86" t="s">
        <v>207</v>
      </c>
      <c r="H24" s="86" t="s">
        <v>161</v>
      </c>
      <c r="I24" s="86" t="s">
        <v>267</v>
      </c>
      <c r="J24" s="86" t="s">
        <v>159</v>
      </c>
      <c r="K24" s="86" t="s">
        <v>210</v>
      </c>
      <c r="L24" s="86" t="s">
        <v>268</v>
      </c>
      <c r="M24" s="86" t="s">
        <v>269</v>
      </c>
      <c r="N24" s="86" t="s">
        <v>270</v>
      </c>
      <c r="O24" s="86" t="s">
        <v>271</v>
      </c>
      <c r="P24" s="86" t="s">
        <v>277</v>
      </c>
      <c r="Q24" s="86" t="s">
        <v>162</v>
      </c>
      <c r="R24" s="86" t="s">
        <v>272</v>
      </c>
      <c r="S24" s="86" t="s">
        <v>273</v>
      </c>
      <c r="T24" s="86" t="s">
        <v>274</v>
      </c>
      <c r="U24" s="86" t="s">
        <v>275</v>
      </c>
      <c r="V24" s="86" t="s">
        <v>276</v>
      </c>
      <c r="W24" s="86" t="s">
        <v>163</v>
      </c>
      <c r="X24" s="86" t="s">
        <v>278</v>
      </c>
      <c r="Y24" s="86" t="s">
        <v>159</v>
      </c>
      <c r="Z24" s="86" t="s">
        <v>210</v>
      </c>
    </row>
    <row r="25" spans="2:52" ht="14.5">
      <c r="B25" s="88"/>
      <c r="C25" s="40" t="s">
        <v>73</v>
      </c>
      <c r="D25" s="85">
        <f>SUM(E25:AA25)</f>
        <v>1</v>
      </c>
      <c r="E25" s="88">
        <v>0</v>
      </c>
      <c r="F25" s="88">
        <v>0</v>
      </c>
      <c r="G25" s="88">
        <v>0</v>
      </c>
      <c r="H25" s="88">
        <v>0</v>
      </c>
      <c r="I25" s="88">
        <v>0</v>
      </c>
      <c r="J25" s="88">
        <v>0</v>
      </c>
      <c r="K25" s="88">
        <v>0</v>
      </c>
      <c r="L25" s="88">
        <v>0</v>
      </c>
      <c r="M25" s="88">
        <v>0</v>
      </c>
      <c r="N25" s="88">
        <v>0</v>
      </c>
      <c r="O25" s="88">
        <v>0</v>
      </c>
      <c r="P25" s="88">
        <v>0</v>
      </c>
      <c r="Q25" s="88">
        <v>0</v>
      </c>
      <c r="R25" s="88">
        <v>0</v>
      </c>
      <c r="S25" s="88">
        <v>0</v>
      </c>
      <c r="T25" s="88">
        <v>0</v>
      </c>
      <c r="U25" s="88">
        <v>0</v>
      </c>
      <c r="V25" s="88">
        <v>0</v>
      </c>
      <c r="W25" s="88">
        <v>0</v>
      </c>
      <c r="X25" s="88">
        <v>0</v>
      </c>
      <c r="Y25" s="88">
        <v>0</v>
      </c>
      <c r="Z25" s="88">
        <v>1</v>
      </c>
    </row>
    <row r="26" spans="2:52" ht="14.5">
      <c r="B26" s="89"/>
      <c r="C26" s="41" t="s">
        <v>74</v>
      </c>
      <c r="D26" s="85">
        <f>SUM(E26:AA26)</f>
        <v>0</v>
      </c>
      <c r="E26" s="89">
        <v>0</v>
      </c>
      <c r="F26" s="89">
        <v>0</v>
      </c>
      <c r="G26" s="89">
        <v>0</v>
      </c>
      <c r="H26" s="89">
        <v>0</v>
      </c>
      <c r="I26" s="89">
        <v>0</v>
      </c>
      <c r="J26" s="89">
        <v>0</v>
      </c>
      <c r="K26" s="89">
        <v>0</v>
      </c>
      <c r="L26" s="89">
        <v>0</v>
      </c>
      <c r="M26" s="89">
        <v>0</v>
      </c>
      <c r="N26" s="89">
        <v>0</v>
      </c>
      <c r="O26" s="89">
        <v>0</v>
      </c>
      <c r="P26" s="89">
        <v>0</v>
      </c>
      <c r="Q26" s="89">
        <v>0</v>
      </c>
      <c r="R26" s="89">
        <v>0</v>
      </c>
      <c r="S26" s="89">
        <v>0</v>
      </c>
      <c r="T26" s="89">
        <v>0</v>
      </c>
      <c r="U26" s="89">
        <v>0</v>
      </c>
      <c r="V26" s="89">
        <v>0</v>
      </c>
      <c r="W26" s="89">
        <v>0</v>
      </c>
      <c r="X26" s="89">
        <v>0</v>
      </c>
      <c r="Y26" s="89">
        <v>0</v>
      </c>
      <c r="Z26" s="89">
        <v>0</v>
      </c>
    </row>
    <row r="27" spans="2:52" ht="14.5">
      <c r="B27" s="87">
        <f>B25+B26</f>
        <v>0</v>
      </c>
      <c r="C27" s="45" t="s">
        <v>20</v>
      </c>
      <c r="D27" s="87">
        <f t="shared" ref="D27" si="0">D25+D26</f>
        <v>1</v>
      </c>
      <c r="E27" s="87">
        <f>E25+E26</f>
        <v>0</v>
      </c>
      <c r="F27" s="87">
        <f t="shared" ref="F27:X27" si="1">F25+F26</f>
        <v>0</v>
      </c>
      <c r="G27" s="87">
        <f t="shared" si="1"/>
        <v>0</v>
      </c>
      <c r="H27" s="87">
        <f t="shared" si="1"/>
        <v>0</v>
      </c>
      <c r="I27" s="87">
        <f t="shared" si="1"/>
        <v>0</v>
      </c>
      <c r="J27" s="87">
        <f t="shared" si="1"/>
        <v>0</v>
      </c>
      <c r="K27" s="87">
        <f t="shared" si="1"/>
        <v>0</v>
      </c>
      <c r="L27" s="87">
        <f t="shared" si="1"/>
        <v>0</v>
      </c>
      <c r="M27" s="87">
        <f t="shared" si="1"/>
        <v>0</v>
      </c>
      <c r="N27" s="87">
        <f t="shared" si="1"/>
        <v>0</v>
      </c>
      <c r="O27" s="87">
        <f t="shared" si="1"/>
        <v>0</v>
      </c>
      <c r="P27" s="87">
        <f t="shared" si="1"/>
        <v>0</v>
      </c>
      <c r="Q27" s="87">
        <f t="shared" si="1"/>
        <v>0</v>
      </c>
      <c r="R27" s="87">
        <f t="shared" si="1"/>
        <v>0</v>
      </c>
      <c r="S27" s="87">
        <f t="shared" si="1"/>
        <v>0</v>
      </c>
      <c r="T27" s="87">
        <f t="shared" si="1"/>
        <v>0</v>
      </c>
      <c r="U27" s="87">
        <f t="shared" si="1"/>
        <v>0</v>
      </c>
      <c r="V27" s="87">
        <f t="shared" si="1"/>
        <v>0</v>
      </c>
      <c r="W27" s="87">
        <f t="shared" si="1"/>
        <v>0</v>
      </c>
      <c r="X27" s="87">
        <f t="shared" si="1"/>
        <v>0</v>
      </c>
      <c r="Y27" s="87">
        <f t="shared" ref="Y27:Z27" si="2">Y25+Y26</f>
        <v>0</v>
      </c>
      <c r="Z27" s="87">
        <f t="shared" si="2"/>
        <v>1</v>
      </c>
    </row>
    <row r="28" spans="2:52">
      <c r="H28" s="38"/>
    </row>
    <row r="29" spans="2:52">
      <c r="H29" s="38"/>
    </row>
    <row r="30" spans="2:52">
      <c r="H30" s="38"/>
    </row>
    <row r="31" spans="2:52" s="84" customFormat="1" ht="60" customHeight="1">
      <c r="B31" s="86" t="s">
        <v>85</v>
      </c>
      <c r="C31" s="33" t="s">
        <v>43</v>
      </c>
      <c r="D31" s="55" t="s">
        <v>65</v>
      </c>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8" customFormat="1" ht="14.5">
      <c r="B32" s="88"/>
      <c r="C32" s="41" t="s">
        <v>17</v>
      </c>
      <c r="D32" s="91">
        <f>SUM(E32:AA32)</f>
        <v>0</v>
      </c>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8" customFormat="1" ht="14.5">
      <c r="B33" s="89"/>
      <c r="C33" s="41" t="s">
        <v>40</v>
      </c>
      <c r="D33" s="91">
        <f>SUM(E33:AA33)</f>
        <v>0</v>
      </c>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8" customFormat="1" ht="14.5">
      <c r="B34" s="89"/>
      <c r="C34" s="41" t="s">
        <v>18</v>
      </c>
      <c r="D34" s="91">
        <f>SUM(E34:AA34)</f>
        <v>0</v>
      </c>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8" customFormat="1" ht="14.5">
      <c r="B35" s="89"/>
      <c r="C35" s="41" t="s">
        <v>19</v>
      </c>
      <c r="D35" s="91">
        <f>SUM(E35:AA35)</f>
        <v>0</v>
      </c>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8" customFormat="1" ht="14.5">
      <c r="B36" s="89"/>
      <c r="C36" s="41" t="s">
        <v>75</v>
      </c>
      <c r="D36" s="91">
        <f>SUM(E36:AA36)</f>
        <v>0</v>
      </c>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4.5">
      <c r="B37" s="90">
        <f>SUM(B32:B36)</f>
        <v>0</v>
      </c>
      <c r="C37" s="45" t="s">
        <v>20</v>
      </c>
      <c r="D37" s="90">
        <f>SUM(D32:D36)</f>
        <v>0</v>
      </c>
    </row>
    <row r="38" spans="2:52">
      <c r="H38" s="38"/>
    </row>
    <row r="39" spans="2:52">
      <c r="H39" s="38"/>
    </row>
    <row r="40" spans="2:52" s="84" customFormat="1" ht="62.5">
      <c r="B40" s="86" t="s">
        <v>85</v>
      </c>
      <c r="C40" s="33" t="s">
        <v>64</v>
      </c>
      <c r="D40" s="55" t="s">
        <v>65</v>
      </c>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4.5">
      <c r="B41" s="89"/>
      <c r="C41" s="41" t="s">
        <v>72</v>
      </c>
      <c r="D41" s="91">
        <f>SUM(E41:AA41)</f>
        <v>0</v>
      </c>
    </row>
    <row r="42" spans="2:52" ht="14.5">
      <c r="B42" s="89"/>
      <c r="C42" s="41" t="s">
        <v>71</v>
      </c>
      <c r="D42" s="91">
        <f>SUM(E42:AA42)</f>
        <v>0</v>
      </c>
    </row>
    <row r="43" spans="2:52" s="17" customFormat="1" ht="14.5">
      <c r="B43" s="89"/>
      <c r="C43" s="41" t="s">
        <v>93</v>
      </c>
      <c r="D43" s="91">
        <f>SUM(E43:AA43)</f>
        <v>0</v>
      </c>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4.5">
      <c r="B44" s="90">
        <f>SUM(B41:B43)</f>
        <v>0</v>
      </c>
      <c r="C44" s="45" t="s">
        <v>20</v>
      </c>
      <c r="D44" s="90">
        <f>SUM(D41:D43)</f>
        <v>0</v>
      </c>
    </row>
    <row r="47" spans="2:52" ht="25">
      <c r="C47" s="92" t="s">
        <v>56</v>
      </c>
      <c r="D47" s="30" t="s">
        <v>87</v>
      </c>
      <c r="E47" s="30" t="s">
        <v>86</v>
      </c>
    </row>
    <row r="48" spans="2:52">
      <c r="C48" s="93" t="s">
        <v>88</v>
      </c>
      <c r="D48" s="93" t="s">
        <v>89</v>
      </c>
      <c r="E48" s="93" t="s">
        <v>90</v>
      </c>
    </row>
  </sheetData>
  <phoneticPr fontId="25"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3"/>
  <sheetViews>
    <sheetView showGridLines="0" tabSelected="1" zoomScaleNormal="100" workbookViewId="0">
      <selection activeCell="E9" sqref="E9"/>
    </sheetView>
  </sheetViews>
  <sheetFormatPr defaultColWidth="8.81640625" defaultRowHeight="14.5" outlineLevelCol="1"/>
  <cols>
    <col min="1" max="1" width="39.453125" style="148" customWidth="1"/>
    <col min="2" max="2" width="21.453125" style="148" customWidth="1"/>
    <col min="3" max="3" width="43.453125" style="148" customWidth="1"/>
    <col min="4" max="4" width="13.453125" style="148" customWidth="1"/>
    <col min="5" max="5" width="18.1796875" style="148" customWidth="1"/>
    <col min="6" max="14" width="15.453125" style="148" customWidth="1" outlineLevel="1"/>
    <col min="15" max="15" width="16.54296875" style="148" customWidth="1" outlineLevel="1"/>
    <col min="16" max="16384" width="8.81640625" style="148"/>
  </cols>
  <sheetData>
    <row r="1" spans="1:15" ht="21" customHeight="1">
      <c r="A1" s="307" t="s">
        <v>179</v>
      </c>
      <c r="B1" s="308"/>
      <c r="C1" s="308"/>
      <c r="D1" s="308"/>
      <c r="E1" s="309"/>
      <c r="F1" s="310" t="s">
        <v>194</v>
      </c>
      <c r="G1" s="311"/>
      <c r="H1" s="311"/>
      <c r="I1" s="311"/>
      <c r="J1" s="311"/>
      <c r="K1" s="311"/>
      <c r="L1" s="311"/>
      <c r="M1" s="311"/>
      <c r="N1" s="311"/>
      <c r="O1" s="311"/>
    </row>
    <row r="2" spans="1:15" ht="18.5">
      <c r="A2" s="158" t="s">
        <v>182</v>
      </c>
      <c r="B2" s="158" t="s">
        <v>178</v>
      </c>
      <c r="C2" s="158" t="s">
        <v>180</v>
      </c>
      <c r="D2" s="158" t="s">
        <v>181</v>
      </c>
      <c r="E2" s="158" t="s">
        <v>183</v>
      </c>
      <c r="F2" s="159" t="s">
        <v>184</v>
      </c>
      <c r="G2" s="159" t="s">
        <v>185</v>
      </c>
      <c r="H2" s="159" t="s">
        <v>186</v>
      </c>
      <c r="I2" s="159" t="s">
        <v>187</v>
      </c>
      <c r="J2" s="159" t="s">
        <v>188</v>
      </c>
      <c r="K2" s="159" t="s">
        <v>189</v>
      </c>
      <c r="L2" s="159" t="s">
        <v>190</v>
      </c>
      <c r="M2" s="159" t="s">
        <v>191</v>
      </c>
      <c r="N2" s="159" t="s">
        <v>192</v>
      </c>
      <c r="O2" s="159" t="s">
        <v>193</v>
      </c>
    </row>
    <row r="3" spans="1:15">
      <c r="A3" s="203" t="s">
        <v>331</v>
      </c>
      <c r="B3" s="148" t="s">
        <v>95</v>
      </c>
      <c r="C3" s="195">
        <v>44804</v>
      </c>
      <c r="D3" s="195">
        <v>44804</v>
      </c>
      <c r="E3" s="157">
        <v>120</v>
      </c>
      <c r="F3" s="202" t="s">
        <v>330</v>
      </c>
    </row>
    <row r="4" spans="1:15">
      <c r="A4" s="203" t="s">
        <v>331</v>
      </c>
      <c r="B4" s="148" t="s">
        <v>166</v>
      </c>
      <c r="C4" s="195">
        <v>45110</v>
      </c>
      <c r="D4" s="195">
        <v>45110</v>
      </c>
      <c r="E4" s="157">
        <v>60</v>
      </c>
      <c r="F4" s="203" t="s">
        <v>337</v>
      </c>
      <c r="G4" s="197"/>
      <c r="H4" s="197"/>
      <c r="I4" s="197"/>
      <c r="J4" s="197"/>
      <c r="K4" s="197"/>
      <c r="L4" s="197"/>
      <c r="M4" s="197"/>
      <c r="N4" s="197"/>
      <c r="O4" s="197"/>
    </row>
    <row r="5" spans="1:15">
      <c r="A5" s="203" t="s">
        <v>331</v>
      </c>
      <c r="B5" s="148" t="s">
        <v>166</v>
      </c>
      <c r="C5" s="195">
        <v>45141</v>
      </c>
      <c r="D5" s="195">
        <v>45141</v>
      </c>
      <c r="E5" s="157">
        <v>30</v>
      </c>
      <c r="F5" s="204" t="s">
        <v>337</v>
      </c>
      <c r="G5" s="197"/>
      <c r="H5" s="197"/>
      <c r="I5" s="197"/>
      <c r="J5" s="197"/>
      <c r="K5" s="197"/>
      <c r="L5" s="197"/>
      <c r="M5" s="197"/>
      <c r="N5" s="197"/>
      <c r="O5" s="197"/>
    </row>
    <row r="6" spans="1:15">
      <c r="A6" s="203" t="s">
        <v>331</v>
      </c>
      <c r="B6" s="148" t="s">
        <v>166</v>
      </c>
      <c r="C6" s="195">
        <v>45172</v>
      </c>
      <c r="D6" s="195">
        <v>45172</v>
      </c>
      <c r="E6" s="157">
        <v>30</v>
      </c>
      <c r="F6" s="204" t="s">
        <v>337</v>
      </c>
      <c r="G6" s="197"/>
      <c r="H6" s="197"/>
      <c r="I6" s="197"/>
      <c r="J6" s="197"/>
      <c r="K6" s="197"/>
      <c r="L6" s="197"/>
      <c r="M6" s="197"/>
      <c r="N6" s="197"/>
      <c r="O6" s="197"/>
    </row>
    <row r="7" spans="1:15">
      <c r="A7" s="197"/>
      <c r="B7" s="197"/>
      <c r="C7" s="197"/>
      <c r="D7" s="197"/>
      <c r="E7" s="200"/>
      <c r="F7" s="197"/>
      <c r="G7" s="197"/>
      <c r="H7" s="197"/>
      <c r="I7" s="197"/>
      <c r="J7" s="197"/>
      <c r="K7" s="197"/>
      <c r="L7" s="197"/>
      <c r="M7" s="197"/>
      <c r="N7" s="197"/>
      <c r="O7" s="197"/>
    </row>
    <row r="8" spans="1:15">
      <c r="A8" s="197"/>
      <c r="B8" s="197"/>
      <c r="C8" s="197"/>
      <c r="D8" s="197"/>
      <c r="E8" s="200"/>
      <c r="F8" s="197"/>
      <c r="G8" s="197"/>
      <c r="H8" s="197"/>
      <c r="I8" s="197"/>
      <c r="J8" s="197"/>
      <c r="K8" s="197"/>
      <c r="L8" s="197"/>
      <c r="M8" s="197"/>
      <c r="N8" s="197"/>
      <c r="O8" s="197"/>
    </row>
    <row r="9" spans="1:15">
      <c r="A9" s="197"/>
      <c r="B9" s="197"/>
      <c r="C9" s="197"/>
      <c r="D9" s="197"/>
      <c r="E9" s="200"/>
      <c r="F9" s="197"/>
      <c r="G9" s="197"/>
      <c r="H9" s="197"/>
      <c r="I9" s="197"/>
      <c r="J9" s="197"/>
      <c r="K9" s="197"/>
      <c r="L9" s="197"/>
      <c r="M9" s="197"/>
      <c r="N9" s="197"/>
      <c r="O9" s="197"/>
    </row>
    <row r="10" spans="1:15">
      <c r="A10" s="197"/>
      <c r="B10" s="197"/>
      <c r="C10" s="197"/>
      <c r="D10" s="197"/>
      <c r="E10" s="200"/>
      <c r="F10" s="197"/>
      <c r="G10" s="197"/>
      <c r="H10" s="197"/>
      <c r="I10" s="197"/>
      <c r="J10" s="197"/>
      <c r="K10" s="197"/>
      <c r="L10" s="197"/>
      <c r="M10" s="197"/>
      <c r="N10" s="197"/>
      <c r="O10" s="197"/>
    </row>
    <row r="11" spans="1:15">
      <c r="A11" s="197"/>
      <c r="B11" s="197"/>
      <c r="C11" s="197"/>
      <c r="D11" s="197"/>
      <c r="E11" s="200"/>
      <c r="F11" s="201"/>
      <c r="G11" s="197"/>
      <c r="H11" s="197"/>
      <c r="I11" s="197"/>
      <c r="J11" s="197"/>
      <c r="K11" s="197"/>
      <c r="L11" s="197"/>
      <c r="M11" s="197"/>
      <c r="N11" s="197"/>
      <c r="O11" s="197"/>
    </row>
    <row r="12" spans="1:15">
      <c r="A12" s="197"/>
      <c r="B12" s="197"/>
      <c r="C12" s="197"/>
      <c r="D12" s="197"/>
      <c r="E12" s="200"/>
      <c r="F12" s="197"/>
      <c r="G12" s="197"/>
      <c r="H12" s="197"/>
      <c r="I12" s="197"/>
      <c r="J12" s="197"/>
      <c r="K12" s="197"/>
      <c r="L12" s="197"/>
      <c r="M12" s="197"/>
      <c r="N12" s="197"/>
      <c r="O12" s="197"/>
    </row>
    <row r="13" spans="1:15">
      <c r="A13" s="197"/>
      <c r="B13" s="197"/>
      <c r="C13" s="197"/>
      <c r="D13" s="197"/>
      <c r="E13" s="199"/>
      <c r="F13" s="197"/>
      <c r="G13" s="197"/>
      <c r="H13" s="197"/>
      <c r="I13" s="197"/>
      <c r="J13" s="197"/>
      <c r="K13" s="197"/>
      <c r="L13" s="197"/>
      <c r="M13" s="197"/>
      <c r="N13" s="197"/>
      <c r="O13" s="197"/>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90" zoomScaleNormal="90" workbookViewId="0">
      <pane xSplit="1" ySplit="4" topLeftCell="B5" activePane="bottomRight" state="frozenSplit"/>
      <selection activeCell="K17" sqref="K17"/>
      <selection pane="topRight" activeCell="K17" sqref="K17"/>
      <selection pane="bottomLeft" activeCell="K17" sqref="K17"/>
      <selection pane="bottomRight" activeCell="M10" sqref="M10"/>
    </sheetView>
  </sheetViews>
  <sheetFormatPr defaultRowHeight="12.5" outlineLevelRow="1" outlineLevelCol="1"/>
  <cols>
    <col min="1" max="1" width="5.453125" style="73" customWidth="1"/>
    <col min="2" max="2" width="9.81640625" style="48" customWidth="1"/>
    <col min="3" max="3" width="27.54296875" style="48" customWidth="1"/>
    <col min="4" max="4" width="94.1796875" style="49" customWidth="1"/>
    <col min="5" max="5" width="11" style="69" customWidth="1" outlineLevel="1"/>
    <col min="6" max="6" width="14.54296875" style="70" customWidth="1" outlineLevel="1"/>
    <col min="7" max="7" width="24.1796875" style="49" customWidth="1"/>
    <col min="8" max="9" width="11.453125" style="48" customWidth="1" outlineLevel="1"/>
    <col min="10" max="10" width="18.453125" style="48" customWidth="1" outlineLevel="1"/>
    <col min="11" max="11" width="12.54296875" style="50" customWidth="1"/>
    <col min="12" max="12" width="13.54296875" style="51" customWidth="1"/>
    <col min="13" max="13" width="13.1796875" style="51" customWidth="1"/>
    <col min="14" max="14" width="12" style="39" bestFit="1" customWidth="1"/>
    <col min="15" max="15" width="20.81640625" style="39" bestFit="1" customWidth="1"/>
    <col min="16" max="16" width="13.453125" style="39" bestFit="1" customWidth="1"/>
    <col min="17" max="22" width="11.453125" style="64" customWidth="1"/>
    <col min="23" max="23" width="11.81640625" style="64" bestFit="1" customWidth="1"/>
    <col min="24" max="24" width="15.54296875" bestFit="1" customWidth="1"/>
    <col min="25" max="25" width="15" bestFit="1" customWidth="1"/>
    <col min="26" max="26" width="9.54296875" bestFit="1" customWidth="1"/>
  </cols>
  <sheetData>
    <row r="1" spans="1:46" s="24" customFormat="1" ht="50" hidden="1">
      <c r="A1" s="68"/>
      <c r="B1" s="47"/>
      <c r="C1" s="47"/>
      <c r="D1" s="47" t="s">
        <v>46</v>
      </c>
      <c r="E1" s="68"/>
      <c r="F1" s="68"/>
      <c r="G1" s="47"/>
      <c r="H1" s="47" t="s">
        <v>46</v>
      </c>
      <c r="I1" s="47"/>
      <c r="J1" s="47"/>
      <c r="K1" s="47"/>
      <c r="L1" s="30" t="s">
        <v>61</v>
      </c>
      <c r="M1" s="30" t="s">
        <v>76</v>
      </c>
      <c r="N1" s="30" t="s">
        <v>62</v>
      </c>
      <c r="O1" s="30" t="s">
        <v>63</v>
      </c>
      <c r="P1" s="57"/>
      <c r="Q1" s="30" t="s">
        <v>40</v>
      </c>
      <c r="R1" s="30" t="s">
        <v>18</v>
      </c>
      <c r="S1" s="30" t="s">
        <v>19</v>
      </c>
      <c r="T1" s="30" t="s">
        <v>25</v>
      </c>
      <c r="U1" s="30" t="s">
        <v>17</v>
      </c>
      <c r="V1" s="58"/>
      <c r="W1" s="59"/>
      <c r="X1" s="30" t="s">
        <v>67</v>
      </c>
      <c r="Y1" s="30" t="s">
        <v>68</v>
      </c>
      <c r="Z1" s="30" t="s">
        <v>70</v>
      </c>
      <c r="AA1" s="30" t="s">
        <v>69</v>
      </c>
      <c r="AH1" s="19" t="s">
        <v>26</v>
      </c>
      <c r="AI1" s="19" t="s">
        <v>27</v>
      </c>
      <c r="AJ1" s="30" t="s">
        <v>59</v>
      </c>
      <c r="AO1" s="21"/>
      <c r="AP1" s="21"/>
      <c r="AQ1" s="20" t="s">
        <v>24</v>
      </c>
      <c r="AR1" s="20" t="s">
        <v>22</v>
      </c>
      <c r="AS1" s="20" t="s">
        <v>23</v>
      </c>
      <c r="AT1" s="20" t="s">
        <v>21</v>
      </c>
    </row>
    <row r="2" spans="1:46" s="35" customFormat="1" hidden="1">
      <c r="A2" s="68"/>
      <c r="B2" s="47"/>
      <c r="C2" s="32"/>
      <c r="D2" s="47" t="s">
        <v>41</v>
      </c>
      <c r="E2" s="68"/>
      <c r="F2" s="68"/>
      <c r="G2" s="32"/>
      <c r="H2" s="47" t="s">
        <v>41</v>
      </c>
      <c r="I2" s="47"/>
      <c r="J2" s="32"/>
      <c r="K2" s="32"/>
      <c r="L2" s="54">
        <f>COUNTA(D5:D500)+COUNTIF(L5:L500,"=Open")+COUNTIF(L5:L500,"=To be fixed")-COUNTA(L5:L500)</f>
        <v>0</v>
      </c>
      <c r="M2" s="54">
        <f>COUNTIF(M5:M500,"=Rejected")</f>
        <v>0</v>
      </c>
      <c r="N2" s="54">
        <f>COUNTA(D5:D500)-COUNTIF(M5:M500,"=Approved")</f>
        <v>0</v>
      </c>
      <c r="O2" s="54">
        <f>COUNTIFS(L5:L500,"=Postponed",M5:M500,"=Approved")</f>
        <v>0</v>
      </c>
      <c r="P2" s="60"/>
      <c r="Q2" s="54">
        <f>COUNTIF($L5:$L500,"=" &amp; Q1)</f>
        <v>0</v>
      </c>
      <c r="R2" s="54">
        <f>COUNTIF($L5:$L500,"=" &amp; R1)</f>
        <v>4</v>
      </c>
      <c r="S2" s="54">
        <f>COUNTIF($L5:$L500,"=" &amp; S1)</f>
        <v>0</v>
      </c>
      <c r="T2" s="54">
        <f>COUNTIF($L5:$L500,"=" &amp; T1)</f>
        <v>2</v>
      </c>
      <c r="U2" s="54">
        <f>COUNTIF($L5:$L500,"=" &amp; U1)+COUNTIFS($L5:$L500,"",$D5:$D500,"&lt;&gt;")</f>
        <v>0</v>
      </c>
      <c r="V2" s="61"/>
      <c r="W2" s="62"/>
      <c r="X2" s="54">
        <f>IF(OR(NbOfNotTreatedIssues&gt;0,NbOfRejectedIssues&gt;0),1,0)</f>
        <v>0</v>
      </c>
      <c r="Y2" s="54">
        <f>IF(AND(Issue_to_treat=0,NbOfNotApprovedIssues&gt;0),1,0)</f>
        <v>0</v>
      </c>
      <c r="Z2" s="54">
        <f>IF(AND(Issues_to_approve=0,NbOfNotApprovedAndPostponedIssues&gt;0),1,0)</f>
        <v>0</v>
      </c>
      <c r="AA2" s="54">
        <f>IF(AND(Issue_to_treat=0,Issues_to_approve=0,Issues_postponed=0),1,0)</f>
        <v>1</v>
      </c>
      <c r="AB2" s="34"/>
      <c r="AC2" s="34"/>
      <c r="AD2" s="34"/>
      <c r="AE2" s="34"/>
      <c r="AF2" s="34"/>
      <c r="AH2" s="54">
        <f>COUNTIF($M5:$M500,"=" &amp; AH1)</f>
        <v>6</v>
      </c>
      <c r="AI2" s="54">
        <f>COUNTIF($M5:$M500,"=" &amp; AI1)</f>
        <v>0</v>
      </c>
      <c r="AJ2" s="54">
        <f>COUNTIF($M5:$M500,"=" &amp; AJ1)</f>
        <v>0</v>
      </c>
      <c r="AM2" s="34"/>
      <c r="AN2" s="34"/>
      <c r="AO2" s="34"/>
      <c r="AP2" s="36"/>
      <c r="AQ2" s="36"/>
      <c r="AR2" s="34"/>
      <c r="AS2" s="36"/>
      <c r="AT2" s="36"/>
    </row>
    <row r="3" spans="1:46" s="53" customFormat="1" ht="25.5" customHeight="1" outlineLevel="1">
      <c r="A3" s="313" t="str">
        <f>IF(Issue_to_treat=1,NbOfNotTreatedIssues+NbOfRejectedIssues&amp;" issue(s) to treat",IF(Issues_to_approve=1,NbOfNotApprovedIssues&amp;" issue(s) to approve",IF(Issues_postponed=1,NbOfNotApprovedAndPostponedIssues&amp;" issue(s) postponed","Status OK")))</f>
        <v>Status OK</v>
      </c>
      <c r="B3" s="313"/>
      <c r="C3" s="314"/>
      <c r="D3" s="67" t="s">
        <v>60</v>
      </c>
      <c r="E3" s="312" t="s">
        <v>78</v>
      </c>
      <c r="F3" s="312"/>
      <c r="G3" s="312"/>
      <c r="H3" s="52"/>
      <c r="I3" s="52"/>
      <c r="J3" s="52"/>
      <c r="K3" s="52"/>
      <c r="L3" s="52"/>
      <c r="M3" s="52"/>
      <c r="N3" s="59"/>
      <c r="O3" s="59"/>
      <c r="P3" s="59"/>
      <c r="Q3" s="63"/>
      <c r="R3" s="63"/>
      <c r="S3" s="63"/>
      <c r="T3" s="63"/>
      <c r="U3" s="63"/>
      <c r="V3" s="63"/>
      <c r="W3" s="63"/>
      <c r="X3" s="25"/>
      <c r="Y3" s="25"/>
      <c r="Z3" s="25"/>
      <c r="AA3" s="25"/>
      <c r="AB3" s="25"/>
    </row>
    <row r="4" spans="1:46" s="156" customFormat="1" ht="31">
      <c r="A4" s="149" t="s">
        <v>28</v>
      </c>
      <c r="B4" s="149" t="s">
        <v>8</v>
      </c>
      <c r="C4" s="149" t="s">
        <v>326</v>
      </c>
      <c r="D4" s="149" t="s">
        <v>164</v>
      </c>
      <c r="E4" s="149" t="s">
        <v>66</v>
      </c>
      <c r="F4" s="149" t="s">
        <v>29</v>
      </c>
      <c r="G4" s="150" t="s">
        <v>42</v>
      </c>
      <c r="H4" s="151" t="s">
        <v>44</v>
      </c>
      <c r="I4" s="151" t="s">
        <v>94</v>
      </c>
      <c r="J4" s="151" t="s">
        <v>30</v>
      </c>
      <c r="K4" s="152" t="s">
        <v>45</v>
      </c>
      <c r="L4" s="151" t="s">
        <v>43</v>
      </c>
      <c r="M4" s="149" t="s">
        <v>165</v>
      </c>
      <c r="N4" s="153"/>
      <c r="O4" s="153"/>
      <c r="P4" s="153"/>
      <c r="Q4" s="154"/>
      <c r="R4" s="154"/>
      <c r="S4" s="154"/>
      <c r="T4" s="154"/>
      <c r="U4" s="154"/>
      <c r="V4" s="154"/>
      <c r="W4" s="154"/>
      <c r="X4" s="155"/>
      <c r="Y4" s="155"/>
      <c r="Z4" s="155"/>
      <c r="AA4" s="155"/>
      <c r="AB4" s="155"/>
    </row>
    <row r="5" spans="1:46" s="25" customFormat="1" ht="25">
      <c r="A5" s="74">
        <v>1</v>
      </c>
      <c r="B5" s="42" t="s">
        <v>335</v>
      </c>
      <c r="C5" s="42" t="s">
        <v>331</v>
      </c>
      <c r="D5" s="29" t="s">
        <v>332</v>
      </c>
      <c r="E5" s="71">
        <v>44804.437731481485</v>
      </c>
      <c r="F5" s="54" t="s">
        <v>330</v>
      </c>
      <c r="G5" s="29" t="s">
        <v>342</v>
      </c>
      <c r="H5" s="22"/>
      <c r="I5" s="22" t="s">
        <v>24</v>
      </c>
      <c r="J5" s="82" t="s">
        <v>341</v>
      </c>
      <c r="K5" s="23">
        <v>44992.670439814814</v>
      </c>
      <c r="L5" s="22" t="s">
        <v>18</v>
      </c>
      <c r="M5" s="82" t="s">
        <v>26</v>
      </c>
      <c r="N5" s="59"/>
      <c r="O5" s="59"/>
      <c r="P5" s="59"/>
      <c r="Q5" s="63"/>
      <c r="R5" s="63"/>
      <c r="S5" s="63"/>
      <c r="T5" s="63"/>
      <c r="U5" s="63"/>
      <c r="V5" s="63"/>
      <c r="W5" s="63"/>
    </row>
    <row r="6" spans="1:46" s="25" customFormat="1" ht="25">
      <c r="A6" s="75">
        <v>2</v>
      </c>
      <c r="B6" s="42" t="s">
        <v>335</v>
      </c>
      <c r="C6" s="42" t="s">
        <v>331</v>
      </c>
      <c r="D6" s="29" t="s">
        <v>333</v>
      </c>
      <c r="E6" s="71">
        <v>44804.469097222223</v>
      </c>
      <c r="F6" s="54" t="s">
        <v>330</v>
      </c>
      <c r="G6" s="29" t="s">
        <v>343</v>
      </c>
      <c r="H6" s="22"/>
      <c r="I6" s="22" t="s">
        <v>24</v>
      </c>
      <c r="J6" s="82" t="s">
        <v>341</v>
      </c>
      <c r="K6" s="23">
        <v>44992.671932870369</v>
      </c>
      <c r="L6" s="22" t="s">
        <v>18</v>
      </c>
      <c r="M6" s="22" t="s">
        <v>26</v>
      </c>
      <c r="N6" s="59"/>
      <c r="O6" s="59"/>
      <c r="P6" s="59"/>
      <c r="Q6" s="63"/>
      <c r="R6" s="63"/>
      <c r="S6" s="63"/>
      <c r="T6" s="63"/>
      <c r="U6" s="63"/>
      <c r="V6" s="63"/>
      <c r="W6" s="63"/>
    </row>
    <row r="7" spans="1:46" s="25" customFormat="1" ht="25">
      <c r="A7" s="75">
        <v>3</v>
      </c>
      <c r="B7" s="42" t="s">
        <v>334</v>
      </c>
      <c r="C7" s="42" t="s">
        <v>331</v>
      </c>
      <c r="D7" s="29" t="s">
        <v>336</v>
      </c>
      <c r="E7" s="71">
        <v>44992.62604166667</v>
      </c>
      <c r="F7" s="54" t="s">
        <v>337</v>
      </c>
      <c r="G7" s="29" t="s">
        <v>340</v>
      </c>
      <c r="H7" s="22"/>
      <c r="I7" s="22" t="s">
        <v>24</v>
      </c>
      <c r="J7" s="82" t="s">
        <v>341</v>
      </c>
      <c r="K7" s="23">
        <v>44992.670439814814</v>
      </c>
      <c r="L7" s="22" t="s">
        <v>18</v>
      </c>
      <c r="M7" s="22" t="s">
        <v>26</v>
      </c>
      <c r="N7" s="59"/>
      <c r="O7" s="59"/>
      <c r="P7" s="59"/>
      <c r="Q7" s="63"/>
      <c r="R7" s="63"/>
      <c r="S7" s="63"/>
      <c r="T7" s="63"/>
      <c r="U7" s="63"/>
      <c r="V7" s="63"/>
      <c r="W7" s="63"/>
    </row>
    <row r="8" spans="1:46" s="25" customFormat="1" ht="25">
      <c r="A8" s="75">
        <v>4</v>
      </c>
      <c r="B8" s="42" t="s">
        <v>334</v>
      </c>
      <c r="C8" s="42" t="s">
        <v>331</v>
      </c>
      <c r="D8" s="29" t="s">
        <v>338</v>
      </c>
      <c r="E8" s="71">
        <v>44992.632118055553</v>
      </c>
      <c r="F8" s="72" t="s">
        <v>337</v>
      </c>
      <c r="G8" s="29" t="s">
        <v>340</v>
      </c>
      <c r="H8" s="22"/>
      <c r="I8" s="22" t="s">
        <v>24</v>
      </c>
      <c r="J8" s="82" t="s">
        <v>341</v>
      </c>
      <c r="K8" s="23">
        <v>44992.670439814814</v>
      </c>
      <c r="L8" s="22" t="s">
        <v>18</v>
      </c>
      <c r="M8" s="22" t="s">
        <v>26</v>
      </c>
      <c r="N8" s="59"/>
      <c r="O8" s="59"/>
      <c r="P8" s="59"/>
      <c r="Q8" s="63"/>
      <c r="R8" s="63"/>
      <c r="S8" s="63"/>
      <c r="T8" s="63"/>
      <c r="U8" s="63"/>
      <c r="V8" s="63"/>
      <c r="W8" s="63"/>
    </row>
    <row r="9" spans="1:46" s="25" customFormat="1" ht="25">
      <c r="A9" s="75">
        <v>5</v>
      </c>
      <c r="B9" s="42" t="s">
        <v>344</v>
      </c>
      <c r="C9" s="42" t="s">
        <v>331</v>
      </c>
      <c r="D9" s="29" t="s">
        <v>345</v>
      </c>
      <c r="E9" s="71">
        <v>44993.394143518519</v>
      </c>
      <c r="F9" s="54" t="s">
        <v>337</v>
      </c>
      <c r="G9" s="29"/>
      <c r="H9" s="22"/>
      <c r="I9" s="22" t="s">
        <v>24</v>
      </c>
      <c r="J9" s="54" t="s">
        <v>337</v>
      </c>
      <c r="K9" s="71">
        <v>44993.394224537034</v>
      </c>
      <c r="L9" s="22" t="s">
        <v>25</v>
      </c>
      <c r="M9" s="22" t="s">
        <v>26</v>
      </c>
      <c r="N9" s="59"/>
      <c r="O9" s="59"/>
      <c r="P9" s="59"/>
      <c r="Q9" s="63"/>
      <c r="R9" s="63"/>
      <c r="S9" s="63"/>
      <c r="T9" s="63"/>
      <c r="U9" s="63"/>
      <c r="V9" s="63"/>
      <c r="W9" s="63"/>
    </row>
    <row r="10" spans="1:46" s="25" customFormat="1" ht="25">
      <c r="A10" s="75">
        <v>6</v>
      </c>
      <c r="B10" s="42" t="s">
        <v>347</v>
      </c>
      <c r="C10" s="42" t="s">
        <v>331</v>
      </c>
      <c r="D10" s="29" t="s">
        <v>345</v>
      </c>
      <c r="E10" s="71">
        <v>44994.520567129628</v>
      </c>
      <c r="F10" s="54" t="s">
        <v>337</v>
      </c>
      <c r="G10" s="29"/>
      <c r="H10" s="22"/>
      <c r="I10" s="22" t="s">
        <v>24</v>
      </c>
      <c r="J10" s="54" t="s">
        <v>337</v>
      </c>
      <c r="K10" s="71">
        <v>44994.520624999997</v>
      </c>
      <c r="L10" s="22" t="s">
        <v>25</v>
      </c>
      <c r="M10" s="22" t="s">
        <v>26</v>
      </c>
      <c r="N10" s="59"/>
      <c r="O10" s="59"/>
      <c r="P10" s="59"/>
      <c r="Q10" s="63"/>
      <c r="R10" s="63"/>
      <c r="S10" s="63"/>
      <c r="T10" s="63"/>
      <c r="U10" s="63"/>
      <c r="V10" s="63"/>
      <c r="W10" s="63"/>
    </row>
    <row r="11" spans="1:46" s="25" customFormat="1">
      <c r="A11" s="75"/>
      <c r="B11" s="42"/>
      <c r="C11" s="42"/>
      <c r="D11" s="29"/>
      <c r="E11" s="71"/>
      <c r="F11" s="72"/>
      <c r="G11" s="29"/>
      <c r="H11" s="22"/>
      <c r="I11" s="22"/>
      <c r="J11" s="22"/>
      <c r="K11" s="83"/>
      <c r="L11" s="22"/>
      <c r="M11" s="22"/>
      <c r="N11" s="59"/>
      <c r="O11" s="59"/>
      <c r="P11" s="59"/>
      <c r="Q11" s="63"/>
      <c r="R11" s="63"/>
      <c r="S11" s="63"/>
      <c r="T11" s="63"/>
      <c r="U11" s="63"/>
      <c r="V11" s="63"/>
      <c r="W11" s="63"/>
    </row>
    <row r="12" spans="1:46" s="25" customFormat="1">
      <c r="A12" s="75"/>
      <c r="B12" s="42"/>
      <c r="C12" s="42"/>
      <c r="D12" s="29"/>
      <c r="E12" s="71"/>
      <c r="F12" s="72"/>
      <c r="G12" s="29"/>
      <c r="H12" s="22"/>
      <c r="I12" s="22"/>
      <c r="J12" s="22"/>
      <c r="K12" s="23"/>
      <c r="L12" s="22"/>
      <c r="M12" s="22"/>
      <c r="N12" s="59"/>
      <c r="O12" s="59"/>
      <c r="P12" s="59"/>
      <c r="Q12" s="63"/>
      <c r="R12" s="63"/>
      <c r="S12" s="63"/>
      <c r="T12" s="63"/>
      <c r="U12" s="63"/>
      <c r="V12" s="63"/>
      <c r="W12" s="63"/>
    </row>
    <row r="13" spans="1:46" s="25" customFormat="1">
      <c r="A13" s="75"/>
      <c r="B13" s="42"/>
      <c r="C13" s="42"/>
      <c r="D13" s="29"/>
      <c r="E13" s="71"/>
      <c r="F13" s="72"/>
      <c r="G13" s="29"/>
      <c r="H13" s="22"/>
      <c r="I13" s="22"/>
      <c r="J13" s="22"/>
      <c r="K13" s="23"/>
      <c r="L13" s="22"/>
      <c r="M13" s="22"/>
      <c r="N13" s="59"/>
      <c r="O13" s="59"/>
      <c r="P13" s="59"/>
      <c r="Q13" s="63"/>
      <c r="R13" s="63"/>
      <c r="S13" s="63"/>
      <c r="T13" s="63"/>
      <c r="U13" s="63"/>
      <c r="V13" s="63"/>
      <c r="W13" s="63"/>
    </row>
    <row r="14" spans="1:46" s="25" customFormat="1">
      <c r="A14" s="75"/>
      <c r="B14" s="42"/>
      <c r="C14" s="42"/>
      <c r="D14" s="29"/>
      <c r="E14" s="71"/>
      <c r="F14" s="72"/>
      <c r="G14" s="29"/>
      <c r="H14" s="22"/>
      <c r="I14" s="22"/>
      <c r="J14" s="22"/>
      <c r="K14" s="23"/>
      <c r="L14" s="22"/>
      <c r="M14" s="22"/>
      <c r="N14" s="59"/>
      <c r="O14" s="59"/>
      <c r="P14" s="59"/>
      <c r="Q14" s="63"/>
      <c r="R14" s="63"/>
      <c r="S14" s="63"/>
      <c r="T14" s="63"/>
      <c r="U14" s="63"/>
      <c r="V14" s="63"/>
      <c r="W14" s="63"/>
    </row>
    <row r="15" spans="1:46" s="25" customFormat="1">
      <c r="A15" s="75"/>
      <c r="B15" s="42"/>
      <c r="C15" s="42"/>
      <c r="D15" s="29"/>
      <c r="E15" s="71"/>
      <c r="F15" s="72"/>
      <c r="G15" s="29"/>
      <c r="H15" s="22"/>
      <c r="I15" s="22"/>
      <c r="J15" s="22"/>
      <c r="K15" s="23"/>
      <c r="L15" s="22"/>
      <c r="M15" s="22"/>
      <c r="N15" s="59"/>
      <c r="O15" s="59"/>
      <c r="P15" s="59"/>
      <c r="Q15" s="63"/>
      <c r="R15" s="63"/>
      <c r="S15" s="63"/>
      <c r="T15" s="63"/>
      <c r="U15" s="63"/>
      <c r="V15" s="63"/>
      <c r="W15" s="63"/>
    </row>
    <row r="16" spans="1:46" s="25" customFormat="1">
      <c r="A16" s="75"/>
      <c r="B16" s="42"/>
      <c r="C16" s="42"/>
      <c r="D16" s="29"/>
      <c r="E16" s="71"/>
      <c r="F16" s="72"/>
      <c r="G16" s="29"/>
      <c r="H16" s="22"/>
      <c r="I16" s="22"/>
      <c r="J16" s="22"/>
      <c r="K16" s="71"/>
      <c r="L16" s="22"/>
      <c r="M16" s="22"/>
      <c r="N16" s="59"/>
      <c r="O16" s="59"/>
      <c r="P16" s="59"/>
      <c r="Q16" s="63"/>
      <c r="R16" s="63"/>
      <c r="S16" s="63"/>
      <c r="T16" s="63"/>
      <c r="U16" s="63"/>
      <c r="V16" s="63"/>
      <c r="W16" s="63"/>
    </row>
    <row r="17" spans="1:23" s="25" customFormat="1">
      <c r="A17" s="75"/>
      <c r="B17" s="42"/>
      <c r="C17" s="42"/>
      <c r="D17" s="29"/>
      <c r="E17" s="71"/>
      <c r="F17" s="72"/>
      <c r="G17" s="29"/>
      <c r="H17" s="22"/>
      <c r="I17" s="22"/>
      <c r="J17" s="22"/>
      <c r="K17" s="71"/>
      <c r="L17" s="22"/>
      <c r="M17" s="22"/>
      <c r="N17" s="59"/>
      <c r="O17" s="59"/>
      <c r="P17" s="59"/>
      <c r="Q17" s="63"/>
      <c r="R17" s="63"/>
      <c r="S17" s="63"/>
      <c r="T17" s="63"/>
      <c r="U17" s="63"/>
      <c r="V17" s="63"/>
      <c r="W17" s="63"/>
    </row>
    <row r="18" spans="1:23" s="25" customFormat="1">
      <c r="A18" s="75"/>
      <c r="B18" s="42"/>
      <c r="C18" s="42"/>
      <c r="D18" s="29"/>
      <c r="E18" s="71"/>
      <c r="F18" s="72"/>
      <c r="G18" s="29"/>
      <c r="H18" s="22"/>
      <c r="I18" s="22"/>
      <c r="J18" s="22"/>
      <c r="K18" s="71"/>
      <c r="L18" s="22"/>
      <c r="M18" s="22"/>
      <c r="N18" s="59"/>
      <c r="O18" s="59"/>
      <c r="P18" s="59"/>
      <c r="Q18" s="63"/>
      <c r="R18" s="63"/>
      <c r="S18" s="63"/>
      <c r="T18" s="63"/>
      <c r="U18" s="63"/>
      <c r="V18" s="63"/>
      <c r="W18" s="63"/>
    </row>
    <row r="19" spans="1:23" s="25" customFormat="1">
      <c r="A19" s="75"/>
      <c r="B19" s="42"/>
      <c r="C19" s="42"/>
      <c r="D19" s="29"/>
      <c r="E19" s="71"/>
      <c r="F19" s="72"/>
      <c r="G19" s="29"/>
      <c r="H19" s="22"/>
      <c r="I19" s="22"/>
      <c r="J19" s="22"/>
      <c r="K19" s="71"/>
      <c r="L19" s="22"/>
      <c r="M19" s="22"/>
      <c r="N19" s="59"/>
      <c r="O19" s="59"/>
      <c r="P19" s="59"/>
      <c r="Q19" s="63"/>
      <c r="R19" s="63"/>
      <c r="S19" s="63"/>
      <c r="T19" s="63"/>
      <c r="U19" s="63"/>
      <c r="V19" s="63"/>
      <c r="W19" s="63"/>
    </row>
    <row r="20" spans="1:23" s="25" customFormat="1">
      <c r="A20" s="75"/>
      <c r="B20" s="42"/>
      <c r="C20" s="42"/>
      <c r="D20" s="198"/>
      <c r="E20" s="71"/>
      <c r="F20" s="72"/>
      <c r="G20" s="29"/>
      <c r="H20" s="22"/>
      <c r="I20" s="22"/>
      <c r="J20" s="22"/>
      <c r="K20" s="71"/>
      <c r="L20" s="22"/>
      <c r="M20" s="22"/>
      <c r="N20" s="59"/>
      <c r="O20" s="59"/>
      <c r="P20" s="59"/>
      <c r="Q20" s="63"/>
      <c r="R20" s="63"/>
      <c r="S20" s="63"/>
      <c r="T20" s="63"/>
      <c r="U20" s="63"/>
      <c r="V20" s="63"/>
      <c r="W20" s="63"/>
    </row>
    <row r="21" spans="1:23" s="25" customFormat="1">
      <c r="A21" s="75"/>
      <c r="B21" s="42"/>
      <c r="C21" s="42"/>
      <c r="D21" s="198"/>
      <c r="E21" s="71"/>
      <c r="F21" s="72"/>
      <c r="G21" s="29"/>
      <c r="H21" s="22"/>
      <c r="I21" s="22"/>
      <c r="J21" s="22"/>
      <c r="K21" s="71"/>
      <c r="L21" s="22"/>
      <c r="M21" s="22"/>
      <c r="N21" s="59"/>
      <c r="O21" s="59"/>
      <c r="P21" s="59"/>
      <c r="Q21" s="63"/>
      <c r="R21" s="63"/>
      <c r="S21" s="63"/>
      <c r="T21" s="63"/>
      <c r="U21" s="63"/>
      <c r="V21" s="63"/>
      <c r="W21" s="63"/>
    </row>
    <row r="22" spans="1:23" s="25" customFormat="1">
      <c r="A22" s="75"/>
      <c r="B22" s="42"/>
      <c r="C22" s="42"/>
      <c r="D22" s="29"/>
      <c r="E22" s="71"/>
      <c r="F22" s="72"/>
      <c r="G22" s="29"/>
      <c r="H22" s="22"/>
      <c r="I22" s="22"/>
      <c r="J22" s="22"/>
      <c r="K22" s="22"/>
      <c r="L22" s="22"/>
      <c r="M22" s="22"/>
      <c r="N22" s="59"/>
      <c r="O22" s="59"/>
      <c r="P22" s="59"/>
      <c r="Q22" s="63"/>
      <c r="R22" s="63"/>
      <c r="S22" s="63"/>
      <c r="T22" s="63"/>
      <c r="U22" s="63"/>
      <c r="V22" s="63"/>
      <c r="W22" s="63"/>
    </row>
    <row r="23" spans="1:23" s="25" customFormat="1">
      <c r="A23" s="75"/>
      <c r="B23" s="42"/>
      <c r="C23" s="42"/>
      <c r="D23" s="29"/>
      <c r="E23" s="71"/>
      <c r="F23" s="72"/>
      <c r="G23" s="18"/>
      <c r="H23" s="22"/>
      <c r="I23" s="22"/>
      <c r="J23" s="22"/>
      <c r="K23" s="22"/>
      <c r="L23" s="22"/>
      <c r="M23" s="22"/>
      <c r="N23" s="59"/>
      <c r="O23" s="59"/>
      <c r="P23" s="59"/>
      <c r="Q23" s="63"/>
      <c r="R23" s="63"/>
      <c r="S23" s="63"/>
      <c r="T23" s="63"/>
      <c r="U23" s="63"/>
      <c r="V23" s="63"/>
      <c r="W23" s="63"/>
    </row>
    <row r="24" spans="1:23" s="25" customFormat="1">
      <c r="A24" s="75"/>
      <c r="B24" s="42"/>
      <c r="C24" s="42"/>
      <c r="D24" s="29"/>
      <c r="E24" s="71"/>
      <c r="F24" s="72"/>
      <c r="G24" s="29"/>
      <c r="H24" s="22"/>
      <c r="I24" s="22"/>
      <c r="J24" s="22"/>
      <c r="K24" s="22"/>
      <c r="L24" s="22"/>
      <c r="M24" s="22"/>
      <c r="N24" s="59"/>
      <c r="O24" s="59"/>
      <c r="P24" s="59"/>
      <c r="Q24" s="63"/>
      <c r="R24" s="63"/>
      <c r="S24" s="63"/>
      <c r="T24" s="63"/>
      <c r="U24" s="63"/>
      <c r="V24" s="63"/>
      <c r="W24" s="63"/>
    </row>
    <row r="25" spans="1:23" s="25" customFormat="1">
      <c r="A25" s="75">
        <v>21</v>
      </c>
      <c r="B25" s="42"/>
      <c r="C25" s="42"/>
      <c r="D25" s="29"/>
      <c r="E25" s="71"/>
      <c r="F25" s="72"/>
      <c r="G25" s="29"/>
      <c r="H25" s="22"/>
      <c r="I25" s="22"/>
      <c r="J25" s="22"/>
      <c r="K25" s="22"/>
      <c r="L25" s="22"/>
      <c r="M25" s="22"/>
      <c r="N25" s="59"/>
      <c r="O25" s="59"/>
      <c r="P25" s="59"/>
      <c r="Q25" s="63"/>
      <c r="R25" s="63"/>
      <c r="S25" s="63"/>
      <c r="T25" s="63"/>
      <c r="U25" s="63"/>
      <c r="V25" s="63"/>
      <c r="W25" s="63"/>
    </row>
    <row r="26" spans="1:23" s="25" customFormat="1">
      <c r="A26" s="75">
        <v>22</v>
      </c>
      <c r="B26" s="42"/>
      <c r="C26" s="42"/>
      <c r="D26" s="198"/>
      <c r="E26" s="71"/>
      <c r="F26" s="72"/>
      <c r="G26" s="29"/>
      <c r="H26" s="22"/>
      <c r="I26" s="22"/>
      <c r="J26" s="22"/>
      <c r="K26" s="22"/>
      <c r="L26" s="22"/>
      <c r="M26" s="22"/>
      <c r="N26" s="59"/>
      <c r="O26" s="59"/>
      <c r="P26" s="59"/>
      <c r="Q26" s="63"/>
      <c r="R26" s="63"/>
      <c r="S26" s="63"/>
      <c r="T26" s="63"/>
      <c r="U26" s="63"/>
      <c r="V26" s="63"/>
      <c r="W26" s="63"/>
    </row>
    <row r="27" spans="1:23" s="25" customFormat="1">
      <c r="A27" s="75">
        <v>23</v>
      </c>
      <c r="B27" s="42"/>
      <c r="C27" s="42"/>
      <c r="D27" s="29"/>
      <c r="E27" s="71"/>
      <c r="F27" s="72"/>
      <c r="G27" s="29"/>
      <c r="H27" s="22"/>
      <c r="I27" s="22"/>
      <c r="J27" s="22"/>
      <c r="K27" s="22"/>
      <c r="L27" s="22"/>
      <c r="M27" s="22"/>
      <c r="N27" s="59"/>
      <c r="O27" s="59"/>
      <c r="P27" s="59"/>
      <c r="Q27" s="63"/>
      <c r="R27" s="63"/>
      <c r="S27" s="63"/>
      <c r="T27" s="63"/>
      <c r="U27" s="63"/>
      <c r="V27" s="63"/>
      <c r="W27" s="63"/>
    </row>
    <row r="28" spans="1:23" s="25" customFormat="1">
      <c r="A28" s="75">
        <v>24</v>
      </c>
      <c r="B28" s="42"/>
      <c r="C28" s="42"/>
      <c r="D28" s="29"/>
      <c r="E28" s="71"/>
      <c r="F28" s="72"/>
      <c r="G28" s="29"/>
      <c r="H28" s="22"/>
      <c r="I28" s="22"/>
      <c r="J28" s="22"/>
      <c r="K28" s="22"/>
      <c r="L28" s="22"/>
      <c r="M28" s="22"/>
      <c r="N28" s="59"/>
      <c r="O28" s="59"/>
      <c r="P28" s="59"/>
      <c r="Q28" s="63"/>
      <c r="R28" s="63"/>
      <c r="S28" s="63"/>
      <c r="T28" s="63"/>
      <c r="U28" s="63"/>
      <c r="V28" s="63"/>
      <c r="W28" s="63"/>
    </row>
    <row r="29" spans="1:23" s="25" customFormat="1">
      <c r="A29" s="75">
        <v>25</v>
      </c>
      <c r="B29" s="42"/>
      <c r="C29" s="42"/>
      <c r="D29" s="29"/>
      <c r="E29" s="71"/>
      <c r="F29" s="72"/>
      <c r="G29" s="29"/>
      <c r="H29" s="22"/>
      <c r="I29" s="22"/>
      <c r="J29" s="22"/>
      <c r="K29" s="22"/>
      <c r="L29" s="22"/>
      <c r="M29" s="22"/>
      <c r="N29" s="59"/>
      <c r="O29" s="59"/>
      <c r="P29" s="59"/>
      <c r="Q29" s="63"/>
      <c r="R29" s="63"/>
      <c r="S29" s="63"/>
      <c r="T29" s="63"/>
      <c r="U29" s="63"/>
      <c r="V29" s="63"/>
      <c r="W29" s="63"/>
    </row>
    <row r="30" spans="1:23" s="25" customFormat="1">
      <c r="A30" s="75">
        <v>26</v>
      </c>
      <c r="B30" s="42"/>
      <c r="C30" s="42"/>
      <c r="D30" s="29"/>
      <c r="E30" s="71"/>
      <c r="F30" s="72"/>
      <c r="G30" s="29"/>
      <c r="H30" s="22"/>
      <c r="I30" s="22"/>
      <c r="J30" s="22"/>
      <c r="K30" s="22"/>
      <c r="L30" s="22"/>
      <c r="M30" s="22"/>
      <c r="N30" s="59"/>
      <c r="O30" s="59"/>
      <c r="P30" s="59"/>
      <c r="Q30" s="63"/>
      <c r="R30" s="63"/>
      <c r="S30" s="63"/>
      <c r="T30" s="63"/>
      <c r="U30" s="63"/>
      <c r="V30" s="63"/>
      <c r="W30" s="63"/>
    </row>
    <row r="31" spans="1:23" s="25" customFormat="1">
      <c r="A31" s="75">
        <v>27</v>
      </c>
      <c r="B31" s="28"/>
      <c r="C31" s="28"/>
      <c r="D31" s="18"/>
      <c r="E31" s="71"/>
      <c r="F31" s="72"/>
      <c r="G31" s="18"/>
      <c r="H31" s="22"/>
      <c r="I31" s="22"/>
      <c r="J31" s="22"/>
      <c r="K31" s="22"/>
      <c r="L31" s="22"/>
      <c r="M31" s="22"/>
      <c r="N31" s="59"/>
      <c r="O31" s="59"/>
      <c r="P31" s="59"/>
      <c r="Q31" s="63"/>
      <c r="R31" s="63"/>
      <c r="S31" s="63"/>
      <c r="T31" s="63"/>
      <c r="U31" s="63"/>
      <c r="V31" s="63"/>
      <c r="W31" s="63"/>
    </row>
    <row r="32" spans="1:23" s="25" customFormat="1">
      <c r="A32" s="75">
        <v>28</v>
      </c>
      <c r="B32" s="28"/>
      <c r="C32" s="28"/>
      <c r="D32" s="18"/>
      <c r="E32" s="71"/>
      <c r="F32" s="72"/>
      <c r="G32" s="18"/>
      <c r="H32" s="22"/>
      <c r="I32" s="22"/>
      <c r="J32" s="22"/>
      <c r="K32" s="22"/>
      <c r="L32" s="22"/>
      <c r="M32" s="22"/>
      <c r="N32" s="59"/>
      <c r="O32" s="59"/>
      <c r="P32" s="59"/>
      <c r="Q32" s="63"/>
      <c r="R32" s="63"/>
      <c r="S32" s="63"/>
      <c r="T32" s="63"/>
      <c r="U32" s="63"/>
      <c r="V32" s="63"/>
      <c r="W32" s="63"/>
    </row>
    <row r="33" spans="1:23" s="25" customFormat="1">
      <c r="A33" s="75">
        <v>29</v>
      </c>
      <c r="B33" s="28"/>
      <c r="C33" s="28"/>
      <c r="D33" s="18"/>
      <c r="E33" s="71"/>
      <c r="F33" s="72"/>
      <c r="G33" s="18"/>
      <c r="H33" s="22"/>
      <c r="I33" s="22"/>
      <c r="J33" s="22"/>
      <c r="K33" s="22"/>
      <c r="L33" s="22"/>
      <c r="M33" s="22"/>
      <c r="N33" s="59"/>
      <c r="O33" s="59"/>
      <c r="P33" s="59"/>
      <c r="Q33" s="63"/>
      <c r="R33" s="63"/>
      <c r="S33" s="63"/>
      <c r="T33" s="63"/>
      <c r="U33" s="63"/>
      <c r="V33" s="63"/>
      <c r="W33" s="63"/>
    </row>
    <row r="34" spans="1:23" s="25" customFormat="1">
      <c r="A34" s="75">
        <v>30</v>
      </c>
      <c r="B34" s="28"/>
      <c r="C34" s="28"/>
      <c r="D34" s="18"/>
      <c r="E34" s="71"/>
      <c r="F34" s="72"/>
      <c r="G34" s="18"/>
      <c r="H34" s="22"/>
      <c r="I34" s="22"/>
      <c r="J34" s="22"/>
      <c r="K34" s="22"/>
      <c r="L34" s="22"/>
      <c r="M34" s="22"/>
      <c r="N34" s="59"/>
      <c r="O34" s="59"/>
      <c r="P34" s="59"/>
      <c r="Q34" s="63"/>
      <c r="R34" s="63"/>
      <c r="S34" s="63"/>
      <c r="T34" s="63"/>
      <c r="U34" s="63"/>
      <c r="V34" s="63"/>
      <c r="W34" s="63"/>
    </row>
    <row r="35" spans="1:23" s="25" customFormat="1">
      <c r="A35" s="75">
        <v>31</v>
      </c>
      <c r="B35" s="28"/>
      <c r="C35" s="28"/>
      <c r="D35" s="18"/>
      <c r="E35" s="71"/>
      <c r="F35" s="72"/>
      <c r="G35" s="18"/>
      <c r="H35" s="22"/>
      <c r="I35" s="22"/>
      <c r="J35" s="22"/>
      <c r="K35" s="22"/>
      <c r="L35" s="22"/>
      <c r="M35" s="22"/>
      <c r="N35" s="59"/>
      <c r="O35" s="59"/>
      <c r="P35" s="59"/>
      <c r="Q35" s="63"/>
      <c r="R35" s="63"/>
      <c r="S35" s="63"/>
      <c r="T35" s="63"/>
      <c r="U35" s="63"/>
      <c r="V35" s="63"/>
      <c r="W35" s="63"/>
    </row>
    <row r="36" spans="1:23" s="25" customFormat="1">
      <c r="A36" s="75">
        <v>32</v>
      </c>
      <c r="B36" s="28"/>
      <c r="C36" s="28"/>
      <c r="D36" s="18"/>
      <c r="E36" s="71"/>
      <c r="F36" s="72"/>
      <c r="G36" s="18"/>
      <c r="H36" s="22"/>
      <c r="I36" s="22"/>
      <c r="J36" s="22"/>
      <c r="K36" s="22"/>
      <c r="L36" s="22"/>
      <c r="M36" s="22"/>
      <c r="N36" s="59"/>
      <c r="O36" s="59"/>
      <c r="P36" s="59"/>
      <c r="Q36" s="63"/>
      <c r="R36" s="63"/>
      <c r="S36" s="63"/>
      <c r="T36" s="63"/>
      <c r="U36" s="63"/>
      <c r="V36" s="63"/>
      <c r="W36" s="63"/>
    </row>
    <row r="37" spans="1:23" s="25" customFormat="1">
      <c r="A37" s="75">
        <v>33</v>
      </c>
      <c r="B37" s="28"/>
      <c r="C37" s="28"/>
      <c r="D37" s="18"/>
      <c r="E37" s="71"/>
      <c r="F37" s="72"/>
      <c r="G37" s="18"/>
      <c r="H37" s="22"/>
      <c r="I37" s="22"/>
      <c r="J37" s="22"/>
      <c r="K37" s="22"/>
      <c r="L37" s="22"/>
      <c r="M37" s="22"/>
      <c r="N37" s="59"/>
      <c r="O37" s="59"/>
      <c r="P37" s="59"/>
      <c r="Q37" s="63"/>
      <c r="R37" s="63"/>
      <c r="S37" s="63"/>
      <c r="T37" s="63"/>
      <c r="U37" s="63"/>
      <c r="V37" s="63"/>
      <c r="W37" s="63"/>
    </row>
    <row r="38" spans="1:23" s="25" customFormat="1">
      <c r="A38" s="75">
        <v>34</v>
      </c>
      <c r="B38" s="28"/>
      <c r="C38" s="28"/>
      <c r="D38" s="18"/>
      <c r="E38" s="71"/>
      <c r="F38" s="72"/>
      <c r="G38" s="18"/>
      <c r="H38" s="22"/>
      <c r="I38" s="22"/>
      <c r="J38" s="22"/>
      <c r="K38" s="23"/>
      <c r="L38" s="22"/>
      <c r="M38" s="22"/>
      <c r="N38" s="59"/>
      <c r="O38" s="59"/>
      <c r="P38" s="59"/>
      <c r="Q38" s="63"/>
      <c r="R38" s="63"/>
      <c r="S38" s="63"/>
      <c r="T38" s="63"/>
      <c r="U38" s="63"/>
      <c r="V38" s="63"/>
      <c r="W38" s="63"/>
    </row>
    <row r="39" spans="1:23" s="25" customFormat="1">
      <c r="A39" s="75">
        <v>35</v>
      </c>
      <c r="B39" s="28"/>
      <c r="C39" s="28"/>
      <c r="D39" s="18"/>
      <c r="E39" s="71"/>
      <c r="F39" s="72"/>
      <c r="G39" s="18"/>
      <c r="H39" s="22"/>
      <c r="I39" s="22"/>
      <c r="J39" s="22"/>
      <c r="K39" s="23"/>
      <c r="L39" s="22"/>
      <c r="M39" s="22"/>
      <c r="N39" s="59"/>
      <c r="O39" s="59"/>
      <c r="P39" s="59"/>
      <c r="Q39" s="63"/>
      <c r="R39" s="63"/>
      <c r="S39" s="63"/>
      <c r="T39" s="63"/>
      <c r="U39" s="63"/>
      <c r="V39" s="63"/>
      <c r="W39" s="63"/>
    </row>
    <row r="40" spans="1:23" s="25" customFormat="1">
      <c r="A40" s="75">
        <v>36</v>
      </c>
      <c r="B40" s="28"/>
      <c r="C40" s="28"/>
      <c r="D40" s="18"/>
      <c r="E40" s="71"/>
      <c r="F40" s="72"/>
      <c r="G40" s="18"/>
      <c r="H40" s="22"/>
      <c r="I40" s="22"/>
      <c r="J40" s="22"/>
      <c r="K40" s="23"/>
      <c r="L40" s="22"/>
      <c r="M40" s="22"/>
      <c r="N40" s="59"/>
      <c r="O40" s="59"/>
      <c r="P40" s="59"/>
      <c r="Q40" s="63"/>
      <c r="R40" s="63"/>
      <c r="S40" s="63"/>
      <c r="T40" s="63"/>
      <c r="U40" s="63"/>
      <c r="V40" s="63"/>
      <c r="W40" s="63"/>
    </row>
    <row r="41" spans="1:23" s="25" customFormat="1">
      <c r="A41" s="75">
        <v>37</v>
      </c>
      <c r="B41" s="28"/>
      <c r="C41" s="28"/>
      <c r="D41" s="18"/>
      <c r="E41" s="71"/>
      <c r="F41" s="72"/>
      <c r="G41" s="18"/>
      <c r="H41" s="22"/>
      <c r="I41" s="22"/>
      <c r="J41" s="22"/>
      <c r="K41" s="23"/>
      <c r="L41" s="22"/>
      <c r="M41" s="22"/>
      <c r="N41" s="59"/>
      <c r="O41" s="59"/>
      <c r="P41" s="59"/>
      <c r="Q41" s="63"/>
      <c r="R41" s="63"/>
      <c r="S41" s="63"/>
      <c r="T41" s="63"/>
      <c r="U41" s="63"/>
      <c r="V41" s="63"/>
      <c r="W41" s="63"/>
    </row>
    <row r="42" spans="1:23" s="25" customFormat="1">
      <c r="A42" s="75">
        <v>38</v>
      </c>
      <c r="B42" s="28"/>
      <c r="C42" s="28"/>
      <c r="D42" s="18"/>
      <c r="E42" s="71"/>
      <c r="F42" s="72"/>
      <c r="G42" s="18"/>
      <c r="H42" s="22"/>
      <c r="I42" s="22"/>
      <c r="J42" s="22"/>
      <c r="K42" s="23"/>
      <c r="L42" s="22"/>
      <c r="M42" s="22"/>
      <c r="N42" s="59"/>
      <c r="O42" s="59"/>
      <c r="P42" s="59"/>
      <c r="Q42" s="63"/>
      <c r="R42" s="63"/>
      <c r="S42" s="63"/>
      <c r="T42" s="63"/>
      <c r="U42" s="63"/>
      <c r="V42" s="63"/>
      <c r="W42" s="63"/>
    </row>
    <row r="43" spans="1:23" s="25" customFormat="1">
      <c r="A43" s="75">
        <v>39</v>
      </c>
      <c r="B43" s="28"/>
      <c r="C43" s="28"/>
      <c r="D43" s="18"/>
      <c r="E43" s="71"/>
      <c r="F43" s="72"/>
      <c r="G43" s="18"/>
      <c r="H43" s="22"/>
      <c r="I43" s="22"/>
      <c r="J43" s="22"/>
      <c r="K43" s="23"/>
      <c r="L43" s="22"/>
      <c r="M43" s="22"/>
      <c r="N43" s="59"/>
      <c r="O43" s="59"/>
      <c r="P43" s="59"/>
      <c r="Q43" s="63"/>
      <c r="R43" s="63"/>
      <c r="S43" s="63"/>
      <c r="T43" s="63"/>
      <c r="U43" s="63"/>
      <c r="V43" s="63"/>
      <c r="W43" s="63"/>
    </row>
    <row r="44" spans="1:23" s="25" customFormat="1">
      <c r="A44" s="75">
        <v>40</v>
      </c>
      <c r="B44" s="28"/>
      <c r="C44" s="28"/>
      <c r="D44" s="18"/>
      <c r="E44" s="71"/>
      <c r="F44" s="72"/>
      <c r="G44" s="18"/>
      <c r="H44" s="22"/>
      <c r="I44" s="22"/>
      <c r="J44" s="22"/>
      <c r="K44" s="23"/>
      <c r="L44" s="22"/>
      <c r="M44" s="22"/>
      <c r="N44" s="59"/>
      <c r="O44" s="59"/>
      <c r="P44" s="59"/>
      <c r="Q44" s="63"/>
      <c r="R44" s="63"/>
      <c r="S44" s="63"/>
      <c r="T44" s="63"/>
      <c r="U44" s="63"/>
      <c r="V44" s="63"/>
      <c r="W44" s="63"/>
    </row>
    <row r="45" spans="1:23" s="25" customFormat="1">
      <c r="A45" s="75">
        <v>41</v>
      </c>
      <c r="B45" s="28"/>
      <c r="C45" s="28"/>
      <c r="D45" s="18"/>
      <c r="E45" s="71"/>
      <c r="F45" s="72"/>
      <c r="G45" s="18"/>
      <c r="H45" s="22"/>
      <c r="I45" s="22"/>
      <c r="J45" s="22"/>
      <c r="K45" s="23"/>
      <c r="L45" s="22"/>
      <c r="M45" s="22"/>
      <c r="N45" s="59"/>
      <c r="O45" s="59"/>
      <c r="P45" s="59"/>
      <c r="Q45" s="63"/>
      <c r="R45" s="63"/>
      <c r="S45" s="63"/>
      <c r="T45" s="63"/>
      <c r="U45" s="63"/>
      <c r="V45" s="63"/>
      <c r="W45" s="63"/>
    </row>
    <row r="46" spans="1:23" s="25" customFormat="1">
      <c r="A46" s="75">
        <v>42</v>
      </c>
      <c r="B46" s="28"/>
      <c r="C46" s="28"/>
      <c r="D46" s="18"/>
      <c r="E46" s="71"/>
      <c r="F46" s="72"/>
      <c r="G46" s="18"/>
      <c r="H46" s="22"/>
      <c r="I46" s="22"/>
      <c r="J46" s="22"/>
      <c r="K46" s="23"/>
      <c r="L46" s="22"/>
      <c r="M46" s="22"/>
      <c r="N46" s="59"/>
      <c r="O46" s="59"/>
      <c r="P46" s="59"/>
      <c r="Q46" s="63"/>
      <c r="R46" s="63"/>
      <c r="S46" s="63"/>
      <c r="T46" s="63"/>
      <c r="U46" s="63"/>
      <c r="V46" s="63"/>
      <c r="W46" s="63"/>
    </row>
    <row r="47" spans="1:23" s="25" customFormat="1">
      <c r="A47" s="75">
        <v>43</v>
      </c>
      <c r="B47" s="28"/>
      <c r="C47" s="28"/>
      <c r="D47" s="18"/>
      <c r="E47" s="71"/>
      <c r="F47" s="72"/>
      <c r="G47" s="18"/>
      <c r="H47" s="22"/>
      <c r="I47" s="22"/>
      <c r="J47" s="22"/>
      <c r="K47" s="23"/>
      <c r="L47" s="22"/>
      <c r="M47" s="22"/>
      <c r="N47" s="59"/>
      <c r="O47" s="59"/>
      <c r="P47" s="59"/>
      <c r="Q47" s="63"/>
      <c r="R47" s="63"/>
      <c r="S47" s="63"/>
      <c r="T47" s="63"/>
      <c r="U47" s="63"/>
      <c r="V47" s="63"/>
      <c r="W47" s="63"/>
    </row>
    <row r="48" spans="1:23" s="25" customFormat="1">
      <c r="A48" s="75">
        <v>44</v>
      </c>
      <c r="B48" s="28"/>
      <c r="C48" s="28"/>
      <c r="D48" s="18"/>
      <c r="E48" s="71"/>
      <c r="F48" s="72"/>
      <c r="G48" s="18"/>
      <c r="H48" s="22"/>
      <c r="I48" s="22"/>
      <c r="J48" s="22"/>
      <c r="K48" s="23"/>
      <c r="L48" s="22"/>
      <c r="M48" s="22"/>
      <c r="N48" s="59"/>
      <c r="O48" s="59"/>
      <c r="P48" s="59"/>
      <c r="Q48" s="63"/>
      <c r="R48" s="63"/>
      <c r="S48" s="63"/>
      <c r="T48" s="63"/>
      <c r="U48" s="63"/>
      <c r="V48" s="63"/>
      <c r="W48" s="63"/>
    </row>
    <row r="49" spans="1:23" s="25" customFormat="1">
      <c r="A49" s="75">
        <v>45</v>
      </c>
      <c r="B49" s="28"/>
      <c r="C49" s="28"/>
      <c r="D49" s="18"/>
      <c r="E49" s="71"/>
      <c r="F49" s="72"/>
      <c r="G49" s="18"/>
      <c r="H49" s="22"/>
      <c r="I49" s="22"/>
      <c r="J49" s="22"/>
      <c r="K49" s="23"/>
      <c r="L49" s="22"/>
      <c r="M49" s="22"/>
      <c r="N49" s="59"/>
      <c r="O49" s="59"/>
      <c r="P49" s="59"/>
      <c r="Q49" s="63"/>
      <c r="R49" s="63"/>
      <c r="S49" s="63"/>
      <c r="T49" s="63"/>
      <c r="U49" s="63"/>
      <c r="V49" s="63"/>
      <c r="W49" s="63"/>
    </row>
    <row r="50" spans="1:23" s="25" customFormat="1">
      <c r="A50" s="75">
        <v>46</v>
      </c>
      <c r="B50" s="28"/>
      <c r="C50" s="28"/>
      <c r="D50" s="18"/>
      <c r="E50" s="71"/>
      <c r="F50" s="72"/>
      <c r="G50" s="18"/>
      <c r="H50" s="22"/>
      <c r="I50" s="22"/>
      <c r="J50" s="22"/>
      <c r="K50" s="23"/>
      <c r="L50" s="22"/>
      <c r="M50" s="22"/>
      <c r="N50" s="59"/>
      <c r="O50" s="59"/>
      <c r="P50" s="59"/>
      <c r="Q50" s="63"/>
      <c r="R50" s="63"/>
      <c r="S50" s="63"/>
      <c r="T50" s="63"/>
      <c r="U50" s="63"/>
      <c r="V50" s="63"/>
      <c r="W50" s="63"/>
    </row>
    <row r="51" spans="1:23" s="25" customFormat="1">
      <c r="A51" s="75">
        <v>47</v>
      </c>
      <c r="B51" s="28"/>
      <c r="C51" s="28"/>
      <c r="D51" s="18"/>
      <c r="E51" s="71"/>
      <c r="F51" s="72"/>
      <c r="G51" s="18"/>
      <c r="H51" s="22"/>
      <c r="I51" s="22"/>
      <c r="J51" s="22"/>
      <c r="K51" s="23"/>
      <c r="L51" s="22"/>
      <c r="M51" s="22"/>
      <c r="N51" s="59"/>
      <c r="O51" s="59"/>
      <c r="P51" s="59"/>
      <c r="Q51" s="63"/>
      <c r="R51" s="63"/>
      <c r="S51" s="63"/>
      <c r="T51" s="63"/>
      <c r="U51" s="63"/>
      <c r="V51" s="63"/>
      <c r="W51" s="63"/>
    </row>
    <row r="52" spans="1:23" s="25" customFormat="1">
      <c r="A52" s="75">
        <v>48</v>
      </c>
      <c r="B52" s="28"/>
      <c r="C52" s="28"/>
      <c r="D52" s="18"/>
      <c r="E52" s="71"/>
      <c r="F52" s="72"/>
      <c r="G52" s="18"/>
      <c r="H52" s="22"/>
      <c r="I52" s="22"/>
      <c r="J52" s="22"/>
      <c r="K52" s="23"/>
      <c r="L52" s="22"/>
      <c r="M52" s="22"/>
      <c r="N52" s="59"/>
      <c r="O52" s="59"/>
      <c r="P52" s="59"/>
      <c r="Q52" s="63"/>
      <c r="R52" s="63"/>
      <c r="S52" s="63"/>
      <c r="T52" s="63"/>
      <c r="U52" s="63"/>
      <c r="V52" s="63"/>
      <c r="W52" s="63"/>
    </row>
    <row r="53" spans="1:23" s="25" customFormat="1">
      <c r="A53" s="75">
        <v>49</v>
      </c>
      <c r="B53" s="28"/>
      <c r="C53" s="28"/>
      <c r="D53" s="18"/>
      <c r="E53" s="71"/>
      <c r="F53" s="72"/>
      <c r="G53" s="18"/>
      <c r="H53" s="22"/>
      <c r="I53" s="22"/>
      <c r="J53" s="22"/>
      <c r="K53" s="23"/>
      <c r="L53" s="22"/>
      <c r="M53" s="22"/>
      <c r="N53" s="59"/>
      <c r="O53" s="59"/>
      <c r="P53" s="59"/>
      <c r="Q53" s="63"/>
      <c r="R53" s="63"/>
      <c r="S53" s="63"/>
      <c r="T53" s="63"/>
      <c r="U53" s="63"/>
      <c r="V53" s="63"/>
      <c r="W53" s="63"/>
    </row>
    <row r="54" spans="1:23" s="25" customFormat="1">
      <c r="A54" s="75">
        <v>50</v>
      </c>
      <c r="B54" s="28"/>
      <c r="C54" s="28"/>
      <c r="D54" s="18"/>
      <c r="E54" s="71"/>
      <c r="F54" s="72"/>
      <c r="G54" s="18"/>
      <c r="H54" s="22"/>
      <c r="I54" s="22"/>
      <c r="J54" s="22"/>
      <c r="K54" s="23"/>
      <c r="L54" s="22"/>
      <c r="M54" s="22"/>
      <c r="N54" s="59"/>
      <c r="O54" s="59"/>
      <c r="P54" s="59"/>
      <c r="Q54" s="63"/>
      <c r="R54" s="63"/>
      <c r="S54" s="63"/>
      <c r="T54" s="63"/>
      <c r="U54" s="63"/>
      <c r="V54" s="63"/>
      <c r="W54" s="63"/>
    </row>
    <row r="55" spans="1:23" s="25" customFormat="1">
      <c r="A55" s="75">
        <v>51</v>
      </c>
      <c r="B55" s="28"/>
      <c r="C55" s="28"/>
      <c r="D55" s="18"/>
      <c r="E55" s="71"/>
      <c r="F55" s="72"/>
      <c r="G55" s="18"/>
      <c r="H55" s="22"/>
      <c r="I55" s="22"/>
      <c r="J55" s="22"/>
      <c r="K55" s="23"/>
      <c r="L55" s="22"/>
      <c r="M55" s="22"/>
      <c r="N55" s="59"/>
      <c r="O55" s="59"/>
      <c r="P55" s="59"/>
      <c r="Q55" s="63"/>
      <c r="R55" s="63"/>
      <c r="S55" s="63"/>
      <c r="T55" s="63"/>
      <c r="U55" s="63"/>
      <c r="V55" s="63"/>
      <c r="W55" s="63"/>
    </row>
    <row r="56" spans="1:23" s="25" customFormat="1">
      <c r="A56" s="75">
        <v>52</v>
      </c>
      <c r="B56" s="28"/>
      <c r="C56" s="28"/>
      <c r="D56" s="29"/>
      <c r="E56" s="71"/>
      <c r="F56" s="72"/>
      <c r="G56" s="18"/>
      <c r="H56" s="22"/>
      <c r="I56" s="22"/>
      <c r="J56" s="22"/>
      <c r="K56" s="23"/>
      <c r="L56" s="22"/>
      <c r="M56" s="22"/>
      <c r="N56" s="59"/>
      <c r="O56" s="59"/>
      <c r="P56" s="59"/>
      <c r="Q56" s="63"/>
      <c r="R56" s="63"/>
      <c r="S56" s="63"/>
      <c r="T56" s="63"/>
      <c r="U56" s="63"/>
      <c r="V56" s="63"/>
      <c r="W56" s="63"/>
    </row>
    <row r="57" spans="1:23" s="25" customFormat="1">
      <c r="A57" s="75">
        <v>53</v>
      </c>
      <c r="B57" s="28"/>
      <c r="C57" s="28"/>
      <c r="D57" s="18"/>
      <c r="E57" s="71"/>
      <c r="F57" s="72"/>
      <c r="G57" s="18"/>
      <c r="H57" s="22"/>
      <c r="I57" s="22"/>
      <c r="J57" s="22"/>
      <c r="K57" s="23"/>
      <c r="L57" s="22"/>
      <c r="M57" s="22"/>
      <c r="N57" s="59"/>
      <c r="O57" s="59"/>
      <c r="P57" s="59"/>
      <c r="Q57" s="63"/>
      <c r="R57" s="63"/>
      <c r="S57" s="63"/>
      <c r="T57" s="63"/>
      <c r="U57" s="63"/>
      <c r="V57" s="63"/>
      <c r="W57" s="63"/>
    </row>
    <row r="58" spans="1:23" s="25" customFormat="1">
      <c r="A58" s="75">
        <v>54</v>
      </c>
      <c r="B58" s="28"/>
      <c r="C58" s="28"/>
      <c r="D58" s="29"/>
      <c r="E58" s="71"/>
      <c r="F58" s="72"/>
      <c r="G58" s="18"/>
      <c r="H58" s="22"/>
      <c r="I58" s="22"/>
      <c r="J58" s="22"/>
      <c r="K58" s="23"/>
      <c r="L58" s="22"/>
      <c r="M58" s="22"/>
      <c r="N58" s="59"/>
      <c r="O58" s="59"/>
      <c r="P58" s="59"/>
      <c r="Q58" s="63"/>
      <c r="R58" s="63"/>
      <c r="S58" s="63"/>
      <c r="T58" s="63"/>
      <c r="U58" s="63"/>
      <c r="V58" s="63"/>
      <c r="W58" s="63"/>
    </row>
    <row r="59" spans="1:23" s="25" customFormat="1">
      <c r="A59" s="75">
        <v>55</v>
      </c>
      <c r="B59" s="28"/>
      <c r="C59" s="28"/>
      <c r="D59" s="18"/>
      <c r="E59" s="71"/>
      <c r="F59" s="72"/>
      <c r="G59" s="18"/>
      <c r="H59" s="22"/>
      <c r="I59" s="22"/>
      <c r="J59" s="22"/>
      <c r="K59" s="23"/>
      <c r="L59" s="22"/>
      <c r="M59" s="22"/>
      <c r="N59" s="59"/>
      <c r="O59" s="59"/>
      <c r="P59" s="59"/>
      <c r="Q59" s="63"/>
      <c r="R59" s="63"/>
      <c r="S59" s="63"/>
      <c r="T59" s="63"/>
      <c r="U59" s="63"/>
      <c r="V59" s="63"/>
      <c r="W59" s="63"/>
    </row>
    <row r="60" spans="1:23" s="25" customFormat="1">
      <c r="A60" s="75">
        <v>56</v>
      </c>
      <c r="B60" s="28"/>
      <c r="C60" s="28"/>
      <c r="D60" s="18"/>
      <c r="E60" s="71"/>
      <c r="F60" s="72"/>
      <c r="G60" s="18"/>
      <c r="H60" s="22"/>
      <c r="I60" s="22"/>
      <c r="J60" s="22"/>
      <c r="K60" s="23"/>
      <c r="L60" s="22"/>
      <c r="M60" s="22"/>
      <c r="N60" s="59"/>
      <c r="O60" s="59"/>
      <c r="P60" s="59"/>
      <c r="Q60" s="63"/>
      <c r="R60" s="63"/>
      <c r="S60" s="63"/>
      <c r="T60" s="63"/>
      <c r="U60" s="63"/>
      <c r="V60" s="63"/>
      <c r="W60" s="63"/>
    </row>
    <row r="61" spans="1:23" s="25" customFormat="1">
      <c r="A61" s="75">
        <v>57</v>
      </c>
      <c r="B61" s="28"/>
      <c r="C61" s="28"/>
      <c r="D61" s="18"/>
      <c r="E61" s="71"/>
      <c r="F61" s="72"/>
      <c r="G61" s="18"/>
      <c r="H61" s="22"/>
      <c r="I61" s="22"/>
      <c r="J61" s="22"/>
      <c r="K61" s="23"/>
      <c r="L61" s="22"/>
      <c r="M61" s="22"/>
      <c r="N61" s="59"/>
      <c r="O61" s="59"/>
      <c r="P61" s="59"/>
      <c r="Q61" s="63"/>
      <c r="R61" s="63"/>
      <c r="S61" s="63"/>
      <c r="T61" s="63"/>
      <c r="U61" s="63"/>
      <c r="V61" s="63"/>
      <c r="W61" s="63"/>
    </row>
    <row r="62" spans="1:23" s="25" customFormat="1">
      <c r="A62" s="75">
        <v>58</v>
      </c>
      <c r="B62" s="28"/>
      <c r="C62" s="28"/>
      <c r="D62" s="18"/>
      <c r="E62" s="71"/>
      <c r="F62" s="72"/>
      <c r="G62" s="18"/>
      <c r="H62" s="22"/>
      <c r="I62" s="22"/>
      <c r="J62" s="22"/>
      <c r="K62" s="23"/>
      <c r="L62" s="22"/>
      <c r="M62" s="22"/>
      <c r="N62" s="59"/>
      <c r="O62" s="59"/>
      <c r="P62" s="59"/>
      <c r="Q62" s="63"/>
      <c r="R62" s="63"/>
      <c r="S62" s="63"/>
      <c r="T62" s="63"/>
      <c r="U62" s="63"/>
      <c r="V62" s="63"/>
      <c r="W62" s="63"/>
    </row>
    <row r="63" spans="1:23" s="25" customFormat="1">
      <c r="A63" s="75">
        <v>59</v>
      </c>
      <c r="B63" s="28"/>
      <c r="C63" s="28"/>
      <c r="D63" s="18"/>
      <c r="E63" s="71"/>
      <c r="F63" s="72"/>
      <c r="G63" s="18"/>
      <c r="H63" s="22"/>
      <c r="I63" s="22"/>
      <c r="J63" s="22"/>
      <c r="K63" s="23"/>
      <c r="L63" s="22"/>
      <c r="M63" s="22"/>
      <c r="N63" s="59"/>
      <c r="O63" s="59"/>
      <c r="P63" s="59"/>
      <c r="Q63" s="63"/>
      <c r="R63" s="63"/>
      <c r="S63" s="63"/>
      <c r="T63" s="63"/>
      <c r="U63" s="63"/>
      <c r="V63" s="63"/>
      <c r="W63" s="63"/>
    </row>
    <row r="64" spans="1:23" s="25" customFormat="1">
      <c r="A64" s="75">
        <v>60</v>
      </c>
      <c r="B64" s="28"/>
      <c r="C64" s="28"/>
      <c r="D64" s="18"/>
      <c r="E64" s="71"/>
      <c r="F64" s="72"/>
      <c r="G64" s="18"/>
      <c r="H64" s="22"/>
      <c r="I64" s="22"/>
      <c r="J64" s="22"/>
      <c r="K64" s="23"/>
      <c r="L64" s="22"/>
      <c r="M64" s="22"/>
      <c r="N64" s="59"/>
      <c r="O64" s="59"/>
      <c r="P64" s="59"/>
      <c r="Q64" s="63"/>
      <c r="R64" s="63"/>
      <c r="S64" s="63"/>
      <c r="T64" s="63"/>
      <c r="U64" s="63"/>
      <c r="V64" s="63"/>
      <c r="W64" s="63"/>
    </row>
    <row r="65" spans="1:23" s="25" customFormat="1">
      <c r="A65" s="75">
        <v>61</v>
      </c>
      <c r="B65" s="28"/>
      <c r="C65" s="28"/>
      <c r="D65" s="18"/>
      <c r="E65" s="71"/>
      <c r="F65" s="72"/>
      <c r="G65" s="18"/>
      <c r="H65" s="22"/>
      <c r="I65" s="22"/>
      <c r="J65" s="22"/>
      <c r="K65" s="23"/>
      <c r="L65" s="22"/>
      <c r="M65" s="22"/>
      <c r="N65" s="59"/>
      <c r="O65" s="59"/>
      <c r="P65" s="59"/>
      <c r="Q65" s="63"/>
      <c r="R65" s="63"/>
      <c r="S65" s="63"/>
      <c r="T65" s="63"/>
      <c r="U65" s="63"/>
      <c r="V65" s="63"/>
      <c r="W65" s="63"/>
    </row>
    <row r="66" spans="1:23" s="25" customFormat="1">
      <c r="A66" s="75">
        <v>62</v>
      </c>
      <c r="B66" s="28"/>
      <c r="C66" s="28"/>
      <c r="D66" s="18"/>
      <c r="E66" s="71"/>
      <c r="F66" s="72"/>
      <c r="G66" s="18"/>
      <c r="H66" s="22"/>
      <c r="I66" s="22"/>
      <c r="J66" s="22"/>
      <c r="K66" s="23"/>
      <c r="L66" s="22"/>
      <c r="M66" s="22"/>
      <c r="N66" s="59"/>
      <c r="O66" s="59"/>
      <c r="P66" s="59"/>
      <c r="Q66" s="63"/>
      <c r="R66" s="63"/>
      <c r="S66" s="63"/>
      <c r="T66" s="63"/>
      <c r="U66" s="63"/>
      <c r="V66" s="63"/>
      <c r="W66" s="63"/>
    </row>
    <row r="67" spans="1:23" s="25" customFormat="1">
      <c r="A67" s="75">
        <v>63</v>
      </c>
      <c r="B67" s="28"/>
      <c r="C67" s="28"/>
      <c r="D67" s="18"/>
      <c r="E67" s="71"/>
      <c r="F67" s="72"/>
      <c r="G67" s="18"/>
      <c r="H67" s="22"/>
      <c r="I67" s="22"/>
      <c r="J67" s="22"/>
      <c r="K67" s="23"/>
      <c r="L67" s="22"/>
      <c r="M67" s="22"/>
      <c r="N67" s="59"/>
      <c r="O67" s="59"/>
      <c r="P67" s="59"/>
      <c r="Q67" s="63"/>
      <c r="R67" s="63"/>
      <c r="S67" s="63"/>
      <c r="T67" s="63"/>
      <c r="U67" s="63"/>
      <c r="V67" s="63"/>
      <c r="W67" s="63"/>
    </row>
    <row r="68" spans="1:23" s="25" customFormat="1">
      <c r="A68" s="75">
        <v>64</v>
      </c>
      <c r="B68" s="28"/>
      <c r="C68" s="28"/>
      <c r="D68" s="18"/>
      <c r="E68" s="71"/>
      <c r="F68" s="72"/>
      <c r="G68" s="18"/>
      <c r="H68" s="22"/>
      <c r="I68" s="22"/>
      <c r="J68" s="22"/>
      <c r="K68" s="23"/>
      <c r="L68" s="22"/>
      <c r="M68" s="22"/>
      <c r="N68" s="59"/>
      <c r="O68" s="59"/>
      <c r="P68" s="59"/>
      <c r="Q68" s="63"/>
      <c r="R68" s="63"/>
      <c r="S68" s="63"/>
      <c r="T68" s="63"/>
      <c r="U68" s="63"/>
      <c r="V68" s="63"/>
      <c r="W68" s="63"/>
    </row>
    <row r="69" spans="1:23" s="25" customFormat="1">
      <c r="A69" s="75">
        <v>65</v>
      </c>
      <c r="B69" s="28"/>
      <c r="C69" s="28"/>
      <c r="D69" s="18"/>
      <c r="E69" s="71"/>
      <c r="F69" s="72"/>
      <c r="G69" s="18"/>
      <c r="H69" s="22"/>
      <c r="I69" s="22"/>
      <c r="J69" s="22"/>
      <c r="K69" s="23"/>
      <c r="L69" s="22"/>
      <c r="M69" s="22"/>
      <c r="N69" s="59"/>
      <c r="O69" s="59"/>
      <c r="P69" s="59"/>
      <c r="Q69" s="63"/>
      <c r="R69" s="63"/>
      <c r="S69" s="63"/>
      <c r="T69" s="63"/>
      <c r="U69" s="63"/>
      <c r="V69" s="63"/>
      <c r="W69" s="63"/>
    </row>
    <row r="70" spans="1:23" s="25" customFormat="1">
      <c r="A70" s="75">
        <v>66</v>
      </c>
      <c r="B70" s="28"/>
      <c r="C70" s="28"/>
      <c r="D70" s="18"/>
      <c r="E70" s="71"/>
      <c r="F70" s="72"/>
      <c r="G70" s="18"/>
      <c r="H70" s="22"/>
      <c r="I70" s="22"/>
      <c r="J70" s="22"/>
      <c r="K70" s="23"/>
      <c r="L70" s="22"/>
      <c r="M70" s="22"/>
      <c r="N70" s="59"/>
      <c r="O70" s="59"/>
      <c r="P70" s="59"/>
      <c r="Q70" s="63"/>
      <c r="R70" s="63"/>
      <c r="S70" s="63"/>
      <c r="T70" s="63"/>
      <c r="U70" s="63"/>
      <c r="V70" s="63"/>
      <c r="W70" s="63"/>
    </row>
    <row r="71" spans="1:23" s="25" customFormat="1">
      <c r="A71" s="75">
        <v>67</v>
      </c>
      <c r="B71" s="28"/>
      <c r="C71" s="28"/>
      <c r="D71" s="18"/>
      <c r="E71" s="71"/>
      <c r="F71" s="72"/>
      <c r="G71" s="18"/>
      <c r="H71" s="22"/>
      <c r="I71" s="22"/>
      <c r="J71" s="22"/>
      <c r="K71" s="23"/>
      <c r="L71" s="22"/>
      <c r="M71" s="22"/>
      <c r="N71" s="59"/>
      <c r="O71" s="59"/>
      <c r="P71" s="59"/>
      <c r="Q71" s="63"/>
      <c r="R71" s="63"/>
      <c r="S71" s="63"/>
      <c r="T71" s="63"/>
      <c r="U71" s="63"/>
      <c r="V71" s="63"/>
      <c r="W71" s="63"/>
    </row>
    <row r="72" spans="1:23" s="25" customFormat="1">
      <c r="A72" s="75">
        <v>68</v>
      </c>
      <c r="B72" s="28"/>
      <c r="C72" s="28"/>
      <c r="D72" s="18"/>
      <c r="E72" s="71"/>
      <c r="F72" s="72"/>
      <c r="G72" s="18"/>
      <c r="H72" s="22"/>
      <c r="I72" s="22"/>
      <c r="J72" s="22"/>
      <c r="K72" s="23"/>
      <c r="L72" s="22"/>
      <c r="M72" s="22"/>
      <c r="N72" s="59"/>
      <c r="O72" s="59"/>
      <c r="P72" s="59"/>
      <c r="Q72" s="63"/>
      <c r="R72" s="63"/>
      <c r="S72" s="63"/>
      <c r="T72" s="63"/>
      <c r="U72" s="63"/>
      <c r="V72" s="63"/>
      <c r="W72" s="63"/>
    </row>
    <row r="73" spans="1:23" s="25" customFormat="1">
      <c r="A73" s="75">
        <v>69</v>
      </c>
      <c r="B73" s="28"/>
      <c r="C73" s="28"/>
      <c r="D73" s="18"/>
      <c r="E73" s="71"/>
      <c r="F73" s="72"/>
      <c r="G73" s="18"/>
      <c r="H73" s="22"/>
      <c r="I73" s="22"/>
      <c r="J73" s="22"/>
      <c r="K73" s="23"/>
      <c r="L73" s="22"/>
      <c r="M73" s="22"/>
      <c r="N73" s="59"/>
      <c r="O73" s="59"/>
      <c r="P73" s="59"/>
      <c r="Q73" s="63"/>
      <c r="R73" s="63"/>
      <c r="S73" s="63"/>
      <c r="T73" s="63"/>
      <c r="U73" s="63"/>
      <c r="V73" s="63"/>
      <c r="W73" s="63"/>
    </row>
    <row r="74" spans="1:23" s="25" customFormat="1">
      <c r="A74" s="75">
        <v>70</v>
      </c>
      <c r="B74" s="28"/>
      <c r="C74" s="28"/>
      <c r="D74" s="18"/>
      <c r="E74" s="71"/>
      <c r="F74" s="72"/>
      <c r="G74" s="18"/>
      <c r="H74" s="22"/>
      <c r="I74" s="22"/>
      <c r="J74" s="22"/>
      <c r="K74" s="23"/>
      <c r="L74" s="22"/>
      <c r="M74" s="22"/>
      <c r="N74" s="59"/>
      <c r="O74" s="59"/>
      <c r="P74" s="59"/>
      <c r="Q74" s="63"/>
      <c r="R74" s="63"/>
      <c r="S74" s="63"/>
      <c r="T74" s="63"/>
      <c r="U74" s="63"/>
      <c r="V74" s="63"/>
      <c r="W74" s="63"/>
    </row>
    <row r="75" spans="1:23" s="25" customFormat="1">
      <c r="A75" s="75">
        <v>71</v>
      </c>
      <c r="B75" s="28"/>
      <c r="C75" s="28"/>
      <c r="D75" s="18"/>
      <c r="E75" s="71"/>
      <c r="F75" s="72"/>
      <c r="G75" s="18"/>
      <c r="H75" s="22"/>
      <c r="I75" s="22"/>
      <c r="J75" s="22"/>
      <c r="K75" s="23"/>
      <c r="L75" s="22"/>
      <c r="M75" s="22"/>
      <c r="N75" s="59"/>
      <c r="O75" s="59"/>
      <c r="P75" s="59"/>
      <c r="Q75" s="63"/>
      <c r="R75" s="63"/>
      <c r="S75" s="63"/>
      <c r="T75" s="63"/>
      <c r="U75" s="63"/>
      <c r="V75" s="63"/>
      <c r="W75" s="63"/>
    </row>
    <row r="76" spans="1:23" s="25" customFormat="1">
      <c r="A76" s="75">
        <v>72</v>
      </c>
      <c r="B76" s="28"/>
      <c r="C76" s="28"/>
      <c r="D76" s="18"/>
      <c r="E76" s="71"/>
      <c r="F76" s="72"/>
      <c r="G76" s="18"/>
      <c r="H76" s="22"/>
      <c r="I76" s="22"/>
      <c r="J76" s="22"/>
      <c r="K76" s="23"/>
      <c r="L76" s="22"/>
      <c r="M76" s="22"/>
      <c r="N76" s="59"/>
      <c r="O76" s="59"/>
      <c r="P76" s="59"/>
      <c r="Q76" s="63"/>
      <c r="R76" s="63"/>
      <c r="S76" s="63"/>
      <c r="T76" s="63"/>
      <c r="U76" s="63"/>
      <c r="V76" s="63"/>
      <c r="W76" s="63"/>
    </row>
    <row r="77" spans="1:23" s="25" customFormat="1">
      <c r="A77" s="75">
        <v>73</v>
      </c>
      <c r="B77" s="28"/>
      <c r="C77" s="28"/>
      <c r="D77" s="18"/>
      <c r="E77" s="71"/>
      <c r="F77" s="72"/>
      <c r="G77" s="18"/>
      <c r="H77" s="22"/>
      <c r="I77" s="22"/>
      <c r="J77" s="22"/>
      <c r="K77" s="23"/>
      <c r="L77" s="22"/>
      <c r="M77" s="22"/>
      <c r="N77" s="59"/>
      <c r="O77" s="59"/>
      <c r="P77" s="59"/>
      <c r="Q77" s="63"/>
      <c r="R77" s="63"/>
      <c r="S77" s="63"/>
      <c r="T77" s="63"/>
      <c r="U77" s="63"/>
      <c r="V77" s="63"/>
      <c r="W77" s="63"/>
    </row>
    <row r="78" spans="1:23" s="25" customFormat="1">
      <c r="A78" s="75">
        <v>74</v>
      </c>
      <c r="B78" s="28"/>
      <c r="C78" s="28"/>
      <c r="D78" s="18"/>
      <c r="E78" s="71"/>
      <c r="F78" s="72"/>
      <c r="G78" s="18"/>
      <c r="H78" s="22"/>
      <c r="I78" s="22"/>
      <c r="J78" s="22"/>
      <c r="K78" s="23"/>
      <c r="L78" s="22"/>
      <c r="M78" s="22"/>
      <c r="N78" s="59"/>
      <c r="O78" s="59"/>
      <c r="P78" s="59"/>
      <c r="Q78" s="63"/>
      <c r="R78" s="63"/>
      <c r="S78" s="63"/>
      <c r="T78" s="63"/>
      <c r="U78" s="63"/>
      <c r="V78" s="63"/>
      <c r="W78" s="63"/>
    </row>
    <row r="79" spans="1:23" s="25" customFormat="1">
      <c r="A79" s="75">
        <v>75</v>
      </c>
      <c r="B79" s="28"/>
      <c r="C79" s="28"/>
      <c r="D79" s="18"/>
      <c r="E79" s="71"/>
      <c r="F79" s="72"/>
      <c r="G79" s="18"/>
      <c r="H79" s="22"/>
      <c r="I79" s="22"/>
      <c r="J79" s="22"/>
      <c r="K79" s="23"/>
      <c r="L79" s="22"/>
      <c r="M79" s="22"/>
      <c r="N79" s="59"/>
      <c r="O79" s="59"/>
      <c r="P79" s="59"/>
      <c r="Q79" s="63"/>
      <c r="R79" s="63"/>
      <c r="S79" s="63"/>
      <c r="T79" s="63"/>
      <c r="U79" s="63"/>
      <c r="V79" s="63"/>
      <c r="W79" s="63"/>
    </row>
    <row r="80" spans="1:23" s="25" customFormat="1">
      <c r="A80" s="75">
        <v>76</v>
      </c>
      <c r="B80" s="28"/>
      <c r="C80" s="28"/>
      <c r="D80" s="18"/>
      <c r="E80" s="71"/>
      <c r="F80" s="72"/>
      <c r="G80" s="18"/>
      <c r="H80" s="22"/>
      <c r="I80" s="22"/>
      <c r="J80" s="22"/>
      <c r="K80" s="23"/>
      <c r="L80" s="22"/>
      <c r="M80" s="22"/>
      <c r="N80" s="59"/>
      <c r="O80" s="59"/>
      <c r="P80" s="59"/>
      <c r="Q80" s="63"/>
      <c r="R80" s="63"/>
      <c r="S80" s="63"/>
      <c r="T80" s="63"/>
      <c r="U80" s="63"/>
      <c r="V80" s="63"/>
      <c r="W80" s="63"/>
    </row>
    <row r="81" spans="1:23" s="25" customFormat="1">
      <c r="A81" s="75">
        <v>77</v>
      </c>
      <c r="B81" s="28"/>
      <c r="C81" s="28"/>
      <c r="D81" s="18"/>
      <c r="E81" s="71"/>
      <c r="F81" s="72"/>
      <c r="G81" s="18"/>
      <c r="H81" s="22"/>
      <c r="I81" s="22"/>
      <c r="J81" s="22"/>
      <c r="K81" s="23"/>
      <c r="L81" s="22"/>
      <c r="M81" s="22"/>
      <c r="N81" s="59"/>
      <c r="O81" s="59"/>
      <c r="P81" s="59"/>
      <c r="Q81" s="63"/>
      <c r="R81" s="63"/>
      <c r="S81" s="63"/>
      <c r="T81" s="63"/>
      <c r="U81" s="63"/>
      <c r="V81" s="63"/>
      <c r="W81" s="63"/>
    </row>
    <row r="82" spans="1:23" s="25" customFormat="1">
      <c r="A82" s="75">
        <v>78</v>
      </c>
      <c r="B82" s="28"/>
      <c r="C82" s="28"/>
      <c r="D82" s="18"/>
      <c r="E82" s="71"/>
      <c r="F82" s="72"/>
      <c r="G82" s="18"/>
      <c r="H82" s="22"/>
      <c r="I82" s="22"/>
      <c r="J82" s="22"/>
      <c r="K82" s="23"/>
      <c r="L82" s="22"/>
      <c r="M82" s="22"/>
      <c r="N82" s="59"/>
      <c r="O82" s="59"/>
      <c r="P82" s="59"/>
      <c r="Q82" s="63"/>
      <c r="R82" s="63"/>
      <c r="S82" s="63"/>
      <c r="T82" s="63"/>
      <c r="U82" s="63"/>
      <c r="V82" s="63"/>
      <c r="W82" s="63"/>
    </row>
    <row r="83" spans="1:23" s="25" customFormat="1">
      <c r="A83" s="75">
        <v>79</v>
      </c>
      <c r="B83" s="28"/>
      <c r="C83" s="28"/>
      <c r="D83" s="18"/>
      <c r="E83" s="71"/>
      <c r="F83" s="72"/>
      <c r="G83" s="18"/>
      <c r="H83" s="22"/>
      <c r="I83" s="22"/>
      <c r="J83" s="22"/>
      <c r="K83" s="23"/>
      <c r="L83" s="22"/>
      <c r="M83" s="22"/>
      <c r="N83" s="59"/>
      <c r="O83" s="59"/>
      <c r="P83" s="59"/>
      <c r="Q83" s="63"/>
      <c r="R83" s="63"/>
      <c r="S83" s="63"/>
      <c r="T83" s="63"/>
      <c r="U83" s="63"/>
      <c r="V83" s="63"/>
      <c r="W83" s="63"/>
    </row>
    <row r="84" spans="1:23" s="25" customFormat="1">
      <c r="A84" s="75">
        <v>80</v>
      </c>
      <c r="B84" s="28"/>
      <c r="C84" s="28"/>
      <c r="D84" s="18"/>
      <c r="E84" s="71"/>
      <c r="F84" s="72"/>
      <c r="G84" s="18"/>
      <c r="H84" s="22"/>
      <c r="I84" s="22"/>
      <c r="J84" s="22"/>
      <c r="K84" s="23"/>
      <c r="L84" s="22"/>
      <c r="M84" s="22"/>
      <c r="N84" s="59"/>
      <c r="O84" s="59"/>
      <c r="P84" s="59"/>
      <c r="Q84" s="63"/>
      <c r="R84" s="63"/>
      <c r="S84" s="63"/>
      <c r="T84" s="63"/>
      <c r="U84" s="63"/>
      <c r="V84" s="63"/>
      <c r="W84" s="63"/>
    </row>
    <row r="85" spans="1:23" s="25" customFormat="1">
      <c r="A85" s="75">
        <v>81</v>
      </c>
      <c r="B85" s="28"/>
      <c r="C85" s="28"/>
      <c r="D85" s="18"/>
      <c r="E85" s="71"/>
      <c r="F85" s="72"/>
      <c r="G85" s="18"/>
      <c r="H85" s="22"/>
      <c r="I85" s="22"/>
      <c r="J85" s="22"/>
      <c r="K85" s="23"/>
      <c r="L85" s="22"/>
      <c r="M85" s="22"/>
      <c r="N85" s="59"/>
      <c r="O85" s="59"/>
      <c r="P85" s="59"/>
      <c r="Q85" s="63"/>
      <c r="R85" s="63"/>
      <c r="S85" s="63"/>
      <c r="T85" s="63"/>
      <c r="U85" s="63"/>
      <c r="V85" s="63"/>
      <c r="W85" s="63"/>
    </row>
    <row r="86" spans="1:23" s="25" customFormat="1">
      <c r="A86" s="75">
        <v>82</v>
      </c>
      <c r="B86" s="28"/>
      <c r="C86" s="28"/>
      <c r="D86" s="18"/>
      <c r="E86" s="71"/>
      <c r="F86" s="72"/>
      <c r="G86" s="18"/>
      <c r="H86" s="22"/>
      <c r="I86" s="22"/>
      <c r="J86" s="22"/>
      <c r="K86" s="23"/>
      <c r="L86" s="22"/>
      <c r="M86" s="22"/>
      <c r="N86" s="59"/>
      <c r="O86" s="59"/>
      <c r="P86" s="59"/>
      <c r="Q86" s="63"/>
      <c r="R86" s="63"/>
      <c r="S86" s="63"/>
      <c r="T86" s="63"/>
      <c r="U86" s="63"/>
      <c r="V86" s="63"/>
      <c r="W86" s="63"/>
    </row>
    <row r="87" spans="1:23" s="25" customFormat="1">
      <c r="A87" s="75">
        <v>83</v>
      </c>
      <c r="B87" s="28"/>
      <c r="C87" s="28"/>
      <c r="D87" s="18"/>
      <c r="E87" s="71"/>
      <c r="F87" s="72"/>
      <c r="G87" s="18"/>
      <c r="H87" s="22"/>
      <c r="I87" s="22"/>
      <c r="J87" s="22"/>
      <c r="K87" s="23"/>
      <c r="L87" s="22"/>
      <c r="M87" s="22"/>
      <c r="N87" s="59"/>
      <c r="O87" s="59"/>
      <c r="P87" s="59"/>
      <c r="Q87" s="63"/>
      <c r="R87" s="63"/>
      <c r="S87" s="63"/>
      <c r="T87" s="63"/>
      <c r="U87" s="63"/>
      <c r="V87" s="63"/>
      <c r="W87" s="63"/>
    </row>
    <row r="88" spans="1:23" s="25" customFormat="1">
      <c r="A88" s="75">
        <v>84</v>
      </c>
      <c r="B88" s="28"/>
      <c r="C88" s="28"/>
      <c r="D88" s="18"/>
      <c r="E88" s="71"/>
      <c r="F88" s="72"/>
      <c r="G88" s="18"/>
      <c r="H88" s="22"/>
      <c r="I88" s="22"/>
      <c r="J88" s="22"/>
      <c r="K88" s="23"/>
      <c r="L88" s="22"/>
      <c r="M88" s="22"/>
      <c r="N88" s="59"/>
      <c r="O88" s="59"/>
      <c r="P88" s="59"/>
      <c r="Q88" s="63"/>
      <c r="R88" s="63"/>
      <c r="S88" s="63"/>
      <c r="T88" s="63"/>
      <c r="U88" s="63"/>
      <c r="V88" s="63"/>
      <c r="W88" s="63"/>
    </row>
    <row r="89" spans="1:23" s="25" customFormat="1">
      <c r="A89" s="75">
        <v>85</v>
      </c>
      <c r="B89" s="28"/>
      <c r="C89" s="28"/>
      <c r="D89" s="18"/>
      <c r="E89" s="71"/>
      <c r="F89" s="72"/>
      <c r="G89" s="18"/>
      <c r="H89" s="22"/>
      <c r="I89" s="22"/>
      <c r="J89" s="22"/>
      <c r="K89" s="23"/>
      <c r="L89" s="22"/>
      <c r="M89" s="22"/>
      <c r="N89" s="59"/>
      <c r="O89" s="59"/>
      <c r="P89" s="59"/>
      <c r="Q89" s="63"/>
      <c r="R89" s="63"/>
      <c r="S89" s="63"/>
      <c r="T89" s="63"/>
      <c r="U89" s="63"/>
      <c r="V89" s="63"/>
      <c r="W89" s="63"/>
    </row>
    <row r="90" spans="1:23" s="25" customFormat="1">
      <c r="A90" s="75">
        <v>86</v>
      </c>
      <c r="B90" s="28"/>
      <c r="C90" s="28"/>
      <c r="D90" s="18"/>
      <c r="E90" s="71"/>
      <c r="F90" s="72"/>
      <c r="G90" s="18"/>
      <c r="H90" s="22"/>
      <c r="I90" s="22"/>
      <c r="J90" s="22"/>
      <c r="K90" s="23"/>
      <c r="L90" s="22"/>
      <c r="M90" s="22"/>
      <c r="N90" s="59"/>
      <c r="O90" s="59"/>
      <c r="P90" s="59"/>
      <c r="Q90" s="63"/>
      <c r="R90" s="63"/>
      <c r="S90" s="63"/>
      <c r="T90" s="63"/>
      <c r="U90" s="63"/>
      <c r="V90" s="63"/>
      <c r="W90" s="63"/>
    </row>
    <row r="91" spans="1:23" s="25" customFormat="1">
      <c r="A91" s="75">
        <v>87</v>
      </c>
      <c r="B91" s="28"/>
      <c r="C91" s="28"/>
      <c r="D91" s="18"/>
      <c r="E91" s="71"/>
      <c r="F91" s="72"/>
      <c r="G91" s="18"/>
      <c r="H91" s="22"/>
      <c r="I91" s="22"/>
      <c r="J91" s="22"/>
      <c r="K91" s="23"/>
      <c r="L91" s="22"/>
      <c r="M91" s="22"/>
      <c r="N91" s="59"/>
      <c r="O91" s="59"/>
      <c r="P91" s="59"/>
      <c r="Q91" s="63"/>
      <c r="R91" s="63"/>
      <c r="S91" s="63"/>
      <c r="T91" s="63"/>
      <c r="U91" s="63"/>
      <c r="V91" s="63"/>
      <c r="W91" s="63"/>
    </row>
    <row r="92" spans="1:23" s="25" customFormat="1">
      <c r="A92" s="75">
        <v>88</v>
      </c>
      <c r="B92" s="28"/>
      <c r="C92" s="28"/>
      <c r="D92" s="18"/>
      <c r="E92" s="71"/>
      <c r="F92" s="72"/>
      <c r="G92" s="18"/>
      <c r="H92" s="22"/>
      <c r="I92" s="22"/>
      <c r="J92" s="22"/>
      <c r="K92" s="23"/>
      <c r="L92" s="22"/>
      <c r="M92" s="22"/>
      <c r="N92" s="59"/>
      <c r="O92" s="59"/>
      <c r="P92" s="59"/>
      <c r="Q92" s="63"/>
      <c r="R92" s="63"/>
      <c r="S92" s="63"/>
      <c r="T92" s="63"/>
      <c r="U92" s="63"/>
      <c r="V92" s="63"/>
      <c r="W92" s="63"/>
    </row>
    <row r="93" spans="1:23" s="25" customFormat="1">
      <c r="A93" s="75">
        <v>89</v>
      </c>
      <c r="B93" s="28"/>
      <c r="C93" s="28"/>
      <c r="D93" s="18"/>
      <c r="E93" s="71"/>
      <c r="F93" s="72"/>
      <c r="G93" s="18"/>
      <c r="H93" s="22"/>
      <c r="I93" s="22"/>
      <c r="J93" s="22"/>
      <c r="K93" s="23"/>
      <c r="L93" s="22"/>
      <c r="M93" s="22"/>
      <c r="N93" s="59"/>
      <c r="O93" s="59"/>
      <c r="P93" s="59"/>
      <c r="Q93" s="63"/>
      <c r="R93" s="63"/>
      <c r="S93" s="63"/>
      <c r="T93" s="63"/>
      <c r="U93" s="63"/>
      <c r="V93" s="63"/>
      <c r="W93" s="63"/>
    </row>
    <row r="94" spans="1:23">
      <c r="A94" s="75">
        <v>90</v>
      </c>
      <c r="B94" s="28"/>
      <c r="C94" s="28"/>
      <c r="D94" s="18"/>
      <c r="E94" s="71"/>
      <c r="F94" s="72"/>
      <c r="G94" s="18"/>
      <c r="H94" s="22"/>
      <c r="I94" s="22"/>
      <c r="J94" s="22"/>
      <c r="K94" s="23"/>
      <c r="L94" s="22"/>
      <c r="M94" s="22"/>
      <c r="N94" s="59"/>
      <c r="O94" s="59"/>
      <c r="P94" s="59"/>
    </row>
    <row r="95" spans="1:23">
      <c r="A95" s="75">
        <v>91</v>
      </c>
      <c r="B95" s="28"/>
      <c r="C95" s="28"/>
      <c r="D95" s="18"/>
      <c r="E95" s="71"/>
      <c r="F95" s="72"/>
      <c r="G95" s="18"/>
      <c r="H95" s="22"/>
      <c r="I95" s="22"/>
      <c r="J95" s="22"/>
      <c r="K95" s="23"/>
      <c r="L95" s="22"/>
      <c r="M95" s="22"/>
      <c r="N95" s="59"/>
      <c r="O95" s="59"/>
      <c r="P95" s="59"/>
    </row>
    <row r="96" spans="1:23">
      <c r="A96" s="75">
        <v>92</v>
      </c>
      <c r="B96" s="28"/>
      <c r="C96" s="28"/>
      <c r="D96" s="18"/>
      <c r="E96" s="71"/>
      <c r="F96" s="72"/>
      <c r="G96" s="18"/>
      <c r="H96" s="22"/>
      <c r="I96" s="22"/>
      <c r="J96" s="22"/>
      <c r="K96" s="23"/>
      <c r="L96" s="22"/>
      <c r="M96" s="22"/>
      <c r="N96" s="59"/>
      <c r="O96" s="59"/>
      <c r="P96" s="59"/>
    </row>
    <row r="97" spans="1:23">
      <c r="A97" s="75">
        <v>93</v>
      </c>
      <c r="B97" s="28"/>
      <c r="C97" s="28"/>
      <c r="D97" s="18"/>
      <c r="E97" s="71"/>
      <c r="F97" s="72"/>
      <c r="G97" s="18"/>
      <c r="H97" s="22"/>
      <c r="I97" s="22"/>
      <c r="J97" s="22"/>
      <c r="K97" s="23"/>
      <c r="L97" s="22"/>
      <c r="M97" s="22"/>
      <c r="N97" s="59"/>
      <c r="O97" s="59"/>
      <c r="P97" s="59"/>
    </row>
    <row r="98" spans="1:23">
      <c r="A98" s="75">
        <v>94</v>
      </c>
      <c r="B98" s="28"/>
      <c r="C98" s="28"/>
      <c r="D98" s="18"/>
      <c r="E98" s="71"/>
      <c r="F98" s="72"/>
      <c r="G98" s="18"/>
      <c r="H98" s="22"/>
      <c r="I98" s="22"/>
      <c r="J98" s="22"/>
      <c r="K98" s="23"/>
      <c r="L98" s="22"/>
      <c r="M98" s="22"/>
      <c r="N98" s="59"/>
      <c r="O98" s="59"/>
      <c r="P98" s="59"/>
    </row>
    <row r="99" spans="1:23">
      <c r="A99" s="75">
        <v>95</v>
      </c>
      <c r="B99" s="28"/>
      <c r="C99" s="28"/>
      <c r="D99" s="18"/>
      <c r="E99" s="71"/>
      <c r="F99" s="72"/>
      <c r="G99" s="18"/>
      <c r="H99" s="22"/>
      <c r="I99" s="22"/>
      <c r="J99" s="22"/>
      <c r="K99" s="23"/>
      <c r="L99" s="22"/>
      <c r="M99" s="22"/>
      <c r="N99" s="59"/>
      <c r="O99" s="59"/>
      <c r="P99" s="59"/>
    </row>
    <row r="100" spans="1:23">
      <c r="A100" s="75">
        <v>96</v>
      </c>
      <c r="B100" s="28"/>
      <c r="C100" s="28"/>
      <c r="D100" s="18"/>
      <c r="E100" s="71"/>
      <c r="F100" s="72"/>
      <c r="G100" s="18"/>
      <c r="H100" s="22"/>
      <c r="I100" s="22"/>
      <c r="J100" s="22"/>
      <c r="K100" s="23"/>
      <c r="L100" s="22"/>
      <c r="M100" s="22"/>
      <c r="N100" s="59"/>
      <c r="O100" s="59"/>
      <c r="P100" s="59"/>
    </row>
    <row r="101" spans="1:23">
      <c r="A101" s="75">
        <v>97</v>
      </c>
      <c r="B101" s="28"/>
      <c r="C101" s="28"/>
      <c r="D101" s="18"/>
      <c r="E101" s="71"/>
      <c r="F101" s="72"/>
      <c r="G101" s="18"/>
      <c r="H101" s="22"/>
      <c r="I101" s="22"/>
      <c r="J101" s="22"/>
      <c r="K101" s="23"/>
      <c r="L101" s="22"/>
      <c r="M101" s="22"/>
      <c r="N101" s="59"/>
      <c r="O101" s="59"/>
      <c r="P101" s="59"/>
    </row>
    <row r="102" spans="1:23">
      <c r="A102" s="75">
        <v>98</v>
      </c>
      <c r="B102" s="28"/>
      <c r="C102" s="28"/>
      <c r="D102" s="18"/>
      <c r="E102" s="71"/>
      <c r="F102" s="72"/>
      <c r="G102" s="18"/>
      <c r="H102" s="22"/>
      <c r="I102" s="22"/>
      <c r="J102" s="22"/>
      <c r="K102" s="23"/>
      <c r="L102" s="22"/>
      <c r="M102" s="22"/>
      <c r="N102" s="59"/>
      <c r="O102" s="59"/>
      <c r="P102" s="59"/>
    </row>
    <row r="103" spans="1:23">
      <c r="A103" s="75">
        <v>99</v>
      </c>
      <c r="B103" s="28"/>
      <c r="C103" s="28"/>
      <c r="D103" s="18"/>
      <c r="E103" s="71"/>
      <c r="F103" s="72"/>
      <c r="G103" s="18"/>
      <c r="H103" s="22"/>
      <c r="I103" s="22"/>
      <c r="J103" s="22"/>
      <c r="K103" s="23"/>
      <c r="L103" s="22"/>
      <c r="M103" s="22"/>
      <c r="N103" s="59"/>
      <c r="O103" s="59"/>
      <c r="P103" s="59"/>
    </row>
    <row r="104" spans="1:23" s="26" customFormat="1">
      <c r="A104" s="75">
        <v>100</v>
      </c>
      <c r="B104" s="28"/>
      <c r="C104" s="28"/>
      <c r="D104" s="18"/>
      <c r="E104" s="71"/>
      <c r="F104" s="72"/>
      <c r="G104" s="18"/>
      <c r="H104" s="22"/>
      <c r="I104" s="22"/>
      <c r="J104" s="22"/>
      <c r="K104" s="23"/>
      <c r="L104" s="22"/>
      <c r="M104" s="22"/>
      <c r="N104" s="65"/>
      <c r="O104" s="65"/>
      <c r="P104" s="65"/>
      <c r="Q104" s="66"/>
      <c r="R104" s="66"/>
      <c r="S104" s="66"/>
      <c r="T104" s="66"/>
      <c r="U104" s="66"/>
      <c r="V104" s="66"/>
      <c r="W104" s="66"/>
    </row>
    <row r="105" spans="1:23">
      <c r="A105" s="75">
        <v>101</v>
      </c>
      <c r="B105" s="28"/>
      <c r="C105" s="28"/>
      <c r="D105" s="18"/>
      <c r="E105" s="71"/>
      <c r="F105" s="72"/>
      <c r="G105" s="18"/>
      <c r="H105" s="22"/>
      <c r="I105" s="22"/>
      <c r="J105" s="22"/>
      <c r="K105" s="23"/>
      <c r="L105" s="22"/>
      <c r="M105" s="22"/>
      <c r="N105" s="65"/>
      <c r="O105" s="65"/>
      <c r="P105" s="65"/>
    </row>
    <row r="106" spans="1:23">
      <c r="A106" s="75">
        <v>102</v>
      </c>
      <c r="B106" s="28"/>
      <c r="C106" s="28"/>
      <c r="D106" s="18"/>
      <c r="E106" s="71"/>
      <c r="F106" s="72"/>
      <c r="G106" s="18"/>
      <c r="H106" s="22"/>
      <c r="I106" s="22"/>
      <c r="J106" s="22"/>
      <c r="K106" s="23"/>
      <c r="L106" s="22"/>
      <c r="M106" s="22"/>
    </row>
    <row r="107" spans="1:23">
      <c r="A107" s="75">
        <v>103</v>
      </c>
      <c r="B107" s="28"/>
      <c r="C107" s="28"/>
      <c r="D107" s="18"/>
      <c r="E107" s="71"/>
      <c r="F107" s="72"/>
      <c r="G107" s="18"/>
      <c r="H107" s="22"/>
      <c r="I107" s="22"/>
      <c r="J107" s="22"/>
      <c r="K107" s="23"/>
      <c r="L107" s="22"/>
      <c r="M107" s="22"/>
    </row>
    <row r="108" spans="1:23">
      <c r="A108" s="75">
        <v>104</v>
      </c>
      <c r="B108" s="28"/>
      <c r="C108" s="28"/>
      <c r="D108" s="18"/>
      <c r="E108" s="71"/>
      <c r="F108" s="72"/>
      <c r="G108" s="18"/>
      <c r="H108" s="22"/>
      <c r="I108" s="22"/>
      <c r="J108" s="22"/>
      <c r="K108" s="23"/>
      <c r="L108" s="22"/>
      <c r="M108" s="22"/>
    </row>
    <row r="109" spans="1:23">
      <c r="A109" s="75">
        <v>105</v>
      </c>
      <c r="B109" s="28"/>
      <c r="C109" s="28"/>
      <c r="D109" s="18"/>
      <c r="E109" s="71"/>
      <c r="F109" s="72"/>
      <c r="G109" s="18"/>
      <c r="H109" s="22"/>
      <c r="I109" s="22"/>
      <c r="J109" s="22"/>
      <c r="K109" s="23"/>
      <c r="L109" s="22"/>
      <c r="M109" s="22"/>
    </row>
    <row r="110" spans="1:23">
      <c r="A110" s="75">
        <v>106</v>
      </c>
      <c r="B110" s="28"/>
      <c r="C110" s="28"/>
      <c r="D110" s="18"/>
      <c r="E110" s="71"/>
      <c r="F110" s="72"/>
      <c r="G110" s="18"/>
      <c r="H110" s="22"/>
      <c r="I110" s="22"/>
      <c r="J110" s="22"/>
      <c r="K110" s="23"/>
      <c r="L110" s="22"/>
      <c r="M110" s="22"/>
    </row>
    <row r="111" spans="1:23">
      <c r="A111" s="75">
        <v>107</v>
      </c>
      <c r="B111" s="28"/>
      <c r="C111" s="28"/>
      <c r="D111" s="18"/>
      <c r="E111" s="71"/>
      <c r="F111" s="72"/>
      <c r="G111" s="18"/>
      <c r="H111" s="22"/>
      <c r="I111" s="22"/>
      <c r="J111" s="22"/>
      <c r="K111" s="23"/>
      <c r="L111" s="22"/>
      <c r="M111" s="22"/>
    </row>
    <row r="112" spans="1:23">
      <c r="A112" s="75">
        <v>108</v>
      </c>
      <c r="B112" s="28"/>
      <c r="C112" s="28"/>
      <c r="D112" s="18"/>
      <c r="E112" s="71"/>
      <c r="F112" s="72"/>
      <c r="G112" s="18"/>
      <c r="H112" s="22"/>
      <c r="I112" s="22"/>
      <c r="J112" s="22"/>
      <c r="K112" s="23"/>
      <c r="L112" s="22"/>
      <c r="M112" s="22"/>
    </row>
    <row r="113" spans="1:13">
      <c r="A113" s="75">
        <v>109</v>
      </c>
      <c r="B113" s="28"/>
      <c r="C113" s="28"/>
      <c r="D113" s="18"/>
      <c r="E113" s="71"/>
      <c r="F113" s="72"/>
      <c r="G113" s="18"/>
      <c r="H113" s="22"/>
      <c r="I113" s="22"/>
      <c r="J113" s="22"/>
      <c r="K113" s="23"/>
      <c r="L113" s="22"/>
      <c r="M113" s="22"/>
    </row>
    <row r="114" spans="1:13">
      <c r="A114" s="75">
        <v>110</v>
      </c>
      <c r="B114" s="28"/>
      <c r="C114" s="28"/>
      <c r="D114" s="18"/>
      <c r="E114" s="71"/>
      <c r="F114" s="72"/>
      <c r="G114" s="18"/>
      <c r="H114" s="22"/>
      <c r="I114" s="22"/>
      <c r="J114" s="22"/>
      <c r="K114" s="23"/>
      <c r="L114" s="22"/>
      <c r="M114" s="22"/>
    </row>
    <row r="115" spans="1:13">
      <c r="A115" s="75">
        <v>111</v>
      </c>
      <c r="B115" s="28"/>
      <c r="C115" s="28"/>
      <c r="D115" s="18"/>
      <c r="E115" s="71"/>
      <c r="F115" s="72"/>
      <c r="G115" s="18"/>
      <c r="H115" s="22"/>
      <c r="I115" s="22"/>
      <c r="J115" s="22"/>
      <c r="K115" s="23"/>
      <c r="L115" s="22"/>
      <c r="M115" s="22"/>
    </row>
    <row r="116" spans="1:13">
      <c r="A116" s="75">
        <v>112</v>
      </c>
      <c r="B116" s="28"/>
      <c r="C116" s="28"/>
      <c r="D116" s="18"/>
      <c r="E116" s="71"/>
      <c r="F116" s="72"/>
      <c r="G116" s="18"/>
      <c r="H116" s="22"/>
      <c r="I116" s="22"/>
      <c r="J116" s="22"/>
      <c r="K116" s="23"/>
      <c r="L116" s="22"/>
      <c r="M116" s="22"/>
    </row>
    <row r="117" spans="1:13">
      <c r="A117" s="75">
        <v>113</v>
      </c>
      <c r="B117" s="28"/>
      <c r="C117" s="28"/>
      <c r="D117" s="18"/>
      <c r="E117" s="71"/>
      <c r="F117" s="72"/>
      <c r="G117" s="18"/>
      <c r="H117" s="22"/>
      <c r="I117" s="22"/>
      <c r="J117" s="22"/>
      <c r="K117" s="23"/>
      <c r="L117" s="22"/>
      <c r="M117" s="22"/>
    </row>
    <row r="118" spans="1:13">
      <c r="A118" s="75">
        <v>114</v>
      </c>
      <c r="B118" s="28"/>
      <c r="C118" s="28"/>
      <c r="D118" s="18"/>
      <c r="E118" s="71"/>
      <c r="F118" s="72"/>
      <c r="G118" s="18"/>
      <c r="H118" s="22"/>
      <c r="I118" s="22"/>
      <c r="J118" s="22"/>
      <c r="K118" s="23"/>
      <c r="L118" s="22"/>
      <c r="M118" s="22"/>
    </row>
    <row r="119" spans="1:13">
      <c r="A119" s="75">
        <v>115</v>
      </c>
      <c r="B119" s="28"/>
      <c r="C119" s="28"/>
      <c r="D119" s="18"/>
      <c r="E119" s="71"/>
      <c r="F119" s="72"/>
      <c r="G119" s="18"/>
      <c r="H119" s="22"/>
      <c r="I119" s="22"/>
      <c r="J119" s="22"/>
      <c r="K119" s="23"/>
      <c r="L119" s="22"/>
      <c r="M119" s="22"/>
    </row>
    <row r="120" spans="1:13">
      <c r="A120" s="75">
        <v>116</v>
      </c>
      <c r="B120" s="28"/>
      <c r="C120" s="28"/>
      <c r="D120" s="18"/>
      <c r="E120" s="71"/>
      <c r="F120" s="72"/>
      <c r="G120" s="18"/>
      <c r="H120" s="22"/>
      <c r="I120" s="22"/>
      <c r="J120" s="22"/>
      <c r="K120" s="23"/>
      <c r="L120" s="22"/>
      <c r="M120" s="22"/>
    </row>
    <row r="121" spans="1:13">
      <c r="A121" s="75">
        <v>117</v>
      </c>
      <c r="B121" s="28"/>
      <c r="C121" s="28"/>
      <c r="D121" s="18"/>
      <c r="E121" s="71"/>
      <c r="F121" s="72"/>
      <c r="G121" s="18"/>
      <c r="H121" s="22"/>
      <c r="I121" s="22"/>
      <c r="J121" s="22"/>
      <c r="K121" s="23"/>
      <c r="L121" s="22"/>
      <c r="M121" s="22"/>
    </row>
    <row r="122" spans="1:13">
      <c r="A122" s="75">
        <v>118</v>
      </c>
      <c r="B122" s="28"/>
      <c r="C122" s="28"/>
      <c r="D122" s="18"/>
      <c r="E122" s="71"/>
      <c r="F122" s="72"/>
      <c r="G122" s="18"/>
      <c r="H122" s="22"/>
      <c r="I122" s="22"/>
      <c r="J122" s="22"/>
      <c r="K122" s="23"/>
      <c r="L122" s="22"/>
      <c r="M122" s="22"/>
    </row>
    <row r="123" spans="1:13">
      <c r="A123" s="75">
        <v>119</v>
      </c>
      <c r="B123" s="28"/>
      <c r="C123" s="28"/>
      <c r="D123" s="18"/>
      <c r="E123" s="71"/>
      <c r="F123" s="72"/>
      <c r="G123" s="18"/>
      <c r="H123" s="22"/>
      <c r="I123" s="22"/>
      <c r="J123" s="22"/>
      <c r="K123" s="23"/>
      <c r="L123" s="22"/>
      <c r="M123" s="22"/>
    </row>
    <row r="124" spans="1:13">
      <c r="A124" s="75">
        <v>120</v>
      </c>
      <c r="B124" s="28"/>
      <c r="C124" s="28"/>
      <c r="D124" s="18"/>
      <c r="E124" s="71"/>
      <c r="F124" s="72"/>
      <c r="G124" s="18"/>
      <c r="H124" s="22"/>
      <c r="I124" s="22"/>
      <c r="J124" s="22"/>
      <c r="K124" s="23"/>
      <c r="L124" s="22"/>
      <c r="M124" s="22"/>
    </row>
    <row r="125" spans="1:13">
      <c r="A125" s="75">
        <v>121</v>
      </c>
      <c r="B125" s="28"/>
      <c r="C125" s="28"/>
      <c r="D125" s="18"/>
      <c r="E125" s="71"/>
      <c r="F125" s="72"/>
      <c r="G125" s="18"/>
      <c r="H125" s="22"/>
      <c r="I125" s="22"/>
      <c r="J125" s="22"/>
      <c r="K125" s="23"/>
      <c r="L125" s="22"/>
      <c r="M125" s="22"/>
    </row>
    <row r="126" spans="1:13">
      <c r="A126" s="75">
        <v>122</v>
      </c>
      <c r="B126" s="28"/>
      <c r="C126" s="28"/>
      <c r="D126" s="18"/>
      <c r="E126" s="71"/>
      <c r="F126" s="72"/>
      <c r="G126" s="18"/>
      <c r="H126" s="22"/>
      <c r="I126" s="22"/>
      <c r="J126" s="22"/>
      <c r="K126" s="23"/>
      <c r="L126" s="22"/>
      <c r="M126" s="22"/>
    </row>
    <row r="127" spans="1:13">
      <c r="A127" s="75">
        <v>123</v>
      </c>
      <c r="B127" s="28"/>
      <c r="C127" s="28"/>
      <c r="D127" s="18"/>
      <c r="E127" s="71"/>
      <c r="F127" s="72"/>
      <c r="G127" s="18"/>
      <c r="H127" s="22"/>
      <c r="I127" s="22"/>
      <c r="J127" s="22"/>
      <c r="K127" s="23"/>
      <c r="L127" s="22"/>
      <c r="M127" s="22"/>
    </row>
    <row r="128" spans="1:13">
      <c r="A128" s="75">
        <v>124</v>
      </c>
      <c r="B128" s="28"/>
      <c r="C128" s="28"/>
      <c r="D128" s="18"/>
      <c r="E128" s="71"/>
      <c r="F128" s="72"/>
      <c r="G128" s="18"/>
      <c r="H128" s="22"/>
      <c r="I128" s="22"/>
      <c r="J128" s="22"/>
      <c r="K128" s="23"/>
      <c r="L128" s="22"/>
      <c r="M128" s="22"/>
    </row>
    <row r="129" spans="1:13">
      <c r="A129" s="75">
        <v>125</v>
      </c>
      <c r="B129" s="28"/>
      <c r="C129" s="28"/>
      <c r="D129" s="18"/>
      <c r="E129" s="71"/>
      <c r="F129" s="72"/>
      <c r="G129" s="18"/>
      <c r="H129" s="22"/>
      <c r="I129" s="22"/>
      <c r="J129" s="22"/>
      <c r="K129" s="23"/>
      <c r="L129" s="22"/>
      <c r="M129" s="22"/>
    </row>
    <row r="130" spans="1:13">
      <c r="A130" s="75">
        <v>126</v>
      </c>
      <c r="B130" s="28"/>
      <c r="C130" s="28"/>
      <c r="D130" s="18"/>
      <c r="E130" s="71"/>
      <c r="F130" s="72"/>
      <c r="G130" s="18"/>
      <c r="H130" s="22"/>
      <c r="I130" s="22"/>
      <c r="J130" s="22"/>
      <c r="K130" s="23"/>
      <c r="L130" s="22"/>
      <c r="M130" s="22"/>
    </row>
    <row r="131" spans="1:13">
      <c r="A131" s="75">
        <v>127</v>
      </c>
      <c r="B131" s="28"/>
      <c r="C131" s="28"/>
      <c r="D131" s="18"/>
      <c r="E131" s="71"/>
      <c r="F131" s="72"/>
      <c r="G131" s="18"/>
      <c r="H131" s="22"/>
      <c r="I131" s="22"/>
      <c r="J131" s="22"/>
      <c r="K131" s="23"/>
      <c r="L131" s="22"/>
      <c r="M131" s="22"/>
    </row>
    <row r="132" spans="1:13">
      <c r="A132" s="75">
        <v>128</v>
      </c>
      <c r="B132" s="28"/>
      <c r="C132" s="28"/>
      <c r="D132" s="18"/>
      <c r="E132" s="71"/>
      <c r="F132" s="72"/>
      <c r="G132" s="18"/>
      <c r="H132" s="22"/>
      <c r="I132" s="22"/>
      <c r="J132" s="22"/>
      <c r="K132" s="23"/>
      <c r="L132" s="22"/>
      <c r="M132" s="22"/>
    </row>
    <row r="133" spans="1:13">
      <c r="A133" s="75">
        <v>129</v>
      </c>
      <c r="B133" s="28"/>
      <c r="C133" s="28"/>
      <c r="D133" s="18"/>
      <c r="E133" s="71"/>
      <c r="F133" s="72"/>
      <c r="G133" s="18"/>
      <c r="H133" s="22"/>
      <c r="I133" s="22"/>
      <c r="J133" s="22"/>
      <c r="K133" s="23"/>
      <c r="L133" s="22"/>
      <c r="M133" s="22"/>
    </row>
    <row r="134" spans="1:13">
      <c r="A134" s="75">
        <v>130</v>
      </c>
      <c r="B134" s="28"/>
      <c r="C134" s="28"/>
      <c r="D134" s="18"/>
      <c r="E134" s="71"/>
      <c r="F134" s="72"/>
      <c r="G134" s="18"/>
      <c r="H134" s="22"/>
      <c r="I134" s="22"/>
      <c r="J134" s="22"/>
      <c r="K134" s="23"/>
      <c r="L134" s="22"/>
      <c r="M134" s="22"/>
    </row>
    <row r="135" spans="1:13">
      <c r="A135" s="75">
        <v>131</v>
      </c>
      <c r="B135" s="28"/>
      <c r="C135" s="28"/>
      <c r="D135" s="18"/>
      <c r="E135" s="71"/>
      <c r="F135" s="72"/>
      <c r="G135" s="18"/>
      <c r="H135" s="22"/>
      <c r="I135" s="22"/>
      <c r="J135" s="22"/>
      <c r="K135" s="23"/>
      <c r="L135" s="22"/>
      <c r="M135" s="22"/>
    </row>
    <row r="136" spans="1:13">
      <c r="A136" s="75">
        <v>132</v>
      </c>
      <c r="B136" s="28"/>
      <c r="C136" s="28"/>
      <c r="D136" s="18"/>
      <c r="E136" s="71"/>
      <c r="F136" s="72"/>
      <c r="G136" s="18"/>
      <c r="H136" s="22"/>
      <c r="I136" s="22"/>
      <c r="J136" s="22"/>
      <c r="K136" s="23"/>
      <c r="L136" s="22"/>
      <c r="M136" s="22"/>
    </row>
    <row r="137" spans="1:13">
      <c r="A137" s="75">
        <v>133</v>
      </c>
      <c r="B137" s="28"/>
      <c r="C137" s="28"/>
      <c r="D137" s="18"/>
      <c r="E137" s="71"/>
      <c r="F137" s="72"/>
      <c r="G137" s="18"/>
      <c r="H137" s="22"/>
      <c r="I137" s="22"/>
      <c r="J137" s="22"/>
      <c r="K137" s="23"/>
      <c r="L137" s="22"/>
      <c r="M137" s="22"/>
    </row>
    <row r="138" spans="1:13">
      <c r="A138" s="75">
        <v>134</v>
      </c>
      <c r="B138" s="28"/>
      <c r="C138" s="28"/>
      <c r="D138" s="18"/>
      <c r="E138" s="71"/>
      <c r="F138" s="72"/>
      <c r="G138" s="18"/>
      <c r="H138" s="22"/>
      <c r="I138" s="22"/>
      <c r="J138" s="22"/>
      <c r="K138" s="23"/>
      <c r="L138" s="22"/>
      <c r="M138" s="22"/>
    </row>
    <row r="139" spans="1:13">
      <c r="A139" s="75">
        <v>135</v>
      </c>
      <c r="B139" s="28"/>
      <c r="C139" s="28"/>
      <c r="D139" s="18"/>
      <c r="E139" s="71"/>
      <c r="F139" s="72"/>
      <c r="G139" s="18"/>
      <c r="H139" s="22"/>
      <c r="I139" s="22"/>
      <c r="J139" s="22"/>
      <c r="K139" s="23"/>
      <c r="L139" s="22"/>
      <c r="M139" s="22"/>
    </row>
    <row r="140" spans="1:13">
      <c r="A140" s="75">
        <v>136</v>
      </c>
      <c r="B140" s="28"/>
      <c r="C140" s="28"/>
      <c r="D140" s="18"/>
      <c r="E140" s="71"/>
      <c r="F140" s="72"/>
      <c r="G140" s="18"/>
      <c r="H140" s="22"/>
      <c r="I140" s="22"/>
      <c r="J140" s="22"/>
      <c r="K140" s="23"/>
      <c r="L140" s="22"/>
      <c r="M140" s="22"/>
    </row>
    <row r="141" spans="1:13">
      <c r="A141" s="75">
        <v>137</v>
      </c>
      <c r="B141" s="28"/>
      <c r="C141" s="28"/>
      <c r="D141" s="18"/>
      <c r="E141" s="71"/>
      <c r="F141" s="72"/>
      <c r="G141" s="18"/>
      <c r="H141" s="22"/>
      <c r="I141" s="22"/>
      <c r="J141" s="22"/>
      <c r="K141" s="23"/>
      <c r="L141" s="22"/>
      <c r="M141" s="22"/>
    </row>
    <row r="142" spans="1:13">
      <c r="A142" s="75">
        <v>138</v>
      </c>
      <c r="B142" s="28"/>
      <c r="C142" s="28"/>
      <c r="D142" s="18"/>
      <c r="E142" s="71"/>
      <c r="F142" s="72"/>
      <c r="G142" s="18"/>
      <c r="H142" s="22"/>
      <c r="I142" s="22"/>
      <c r="J142" s="22"/>
      <c r="K142" s="23"/>
      <c r="L142" s="22"/>
      <c r="M142" s="22"/>
    </row>
    <row r="143" spans="1:13">
      <c r="A143" s="75">
        <v>139</v>
      </c>
      <c r="B143" s="28"/>
      <c r="C143" s="28"/>
      <c r="D143" s="18"/>
      <c r="E143" s="71"/>
      <c r="F143" s="72"/>
      <c r="G143" s="18"/>
      <c r="H143" s="22"/>
      <c r="I143" s="22"/>
      <c r="J143" s="22"/>
      <c r="K143" s="23"/>
      <c r="L143" s="22"/>
      <c r="M143" s="22"/>
    </row>
    <row r="144" spans="1:13">
      <c r="A144" s="75">
        <v>140</v>
      </c>
      <c r="B144" s="28"/>
      <c r="C144" s="28"/>
      <c r="D144" s="18"/>
      <c r="E144" s="71"/>
      <c r="F144" s="72"/>
      <c r="G144" s="18"/>
      <c r="H144" s="22"/>
      <c r="I144" s="22"/>
      <c r="J144" s="22"/>
      <c r="K144" s="23"/>
      <c r="L144" s="22"/>
      <c r="M144" s="22"/>
    </row>
    <row r="145" spans="1:13">
      <c r="A145" s="75">
        <v>141</v>
      </c>
      <c r="B145" s="28"/>
      <c r="C145" s="28"/>
      <c r="D145" s="18"/>
      <c r="E145" s="71"/>
      <c r="F145" s="72"/>
      <c r="G145" s="18"/>
      <c r="H145" s="22"/>
      <c r="I145" s="22"/>
      <c r="J145" s="22"/>
      <c r="K145" s="23"/>
      <c r="L145" s="22"/>
      <c r="M145" s="22"/>
    </row>
    <row r="146" spans="1:13">
      <c r="A146" s="75">
        <v>142</v>
      </c>
      <c r="B146" s="28"/>
      <c r="C146" s="28"/>
      <c r="D146" s="18"/>
      <c r="E146" s="71"/>
      <c r="F146" s="72"/>
      <c r="G146" s="18"/>
      <c r="H146" s="22"/>
      <c r="I146" s="22"/>
      <c r="J146" s="22"/>
      <c r="K146" s="23"/>
      <c r="L146" s="22"/>
      <c r="M146" s="22"/>
    </row>
    <row r="147" spans="1:13">
      <c r="A147" s="75">
        <v>143</v>
      </c>
      <c r="B147" s="28"/>
      <c r="C147" s="28"/>
      <c r="D147" s="18"/>
      <c r="E147" s="71"/>
      <c r="F147" s="72"/>
      <c r="G147" s="18"/>
      <c r="H147" s="22"/>
      <c r="I147" s="22"/>
      <c r="J147" s="22"/>
      <c r="K147" s="23"/>
      <c r="L147" s="22"/>
      <c r="M147" s="22"/>
    </row>
    <row r="148" spans="1:13">
      <c r="A148" s="75">
        <v>144</v>
      </c>
      <c r="B148" s="28"/>
      <c r="C148" s="28"/>
      <c r="D148" s="18"/>
      <c r="E148" s="71"/>
      <c r="F148" s="72"/>
      <c r="G148" s="18"/>
      <c r="H148" s="22"/>
      <c r="I148" s="22"/>
      <c r="J148" s="22"/>
      <c r="K148" s="23"/>
      <c r="L148" s="22"/>
      <c r="M148" s="22"/>
    </row>
    <row r="149" spans="1:13">
      <c r="A149" s="75">
        <v>145</v>
      </c>
      <c r="B149" s="28"/>
      <c r="C149" s="28"/>
      <c r="D149" s="18"/>
      <c r="E149" s="71"/>
      <c r="F149" s="72"/>
      <c r="G149" s="18"/>
      <c r="H149" s="22"/>
      <c r="I149" s="22"/>
      <c r="J149" s="22"/>
      <c r="K149" s="23"/>
      <c r="L149" s="22"/>
      <c r="M149" s="22"/>
    </row>
    <row r="150" spans="1:13">
      <c r="A150" s="75">
        <v>146</v>
      </c>
      <c r="B150" s="28"/>
      <c r="C150" s="28"/>
      <c r="D150" s="18"/>
      <c r="E150" s="71"/>
      <c r="F150" s="72"/>
      <c r="G150" s="18"/>
      <c r="H150" s="22"/>
      <c r="I150" s="22"/>
      <c r="J150" s="22"/>
      <c r="K150" s="23"/>
      <c r="L150" s="22"/>
      <c r="M150" s="22"/>
    </row>
    <row r="151" spans="1:13">
      <c r="A151" s="75">
        <v>147</v>
      </c>
      <c r="B151" s="28"/>
      <c r="C151" s="28"/>
      <c r="D151" s="18"/>
      <c r="E151" s="71"/>
      <c r="F151" s="72"/>
      <c r="G151" s="18"/>
      <c r="H151" s="22"/>
      <c r="I151" s="22"/>
      <c r="J151" s="22"/>
      <c r="K151" s="23"/>
      <c r="L151" s="22"/>
      <c r="M151" s="22"/>
    </row>
    <row r="152" spans="1:13">
      <c r="A152" s="75">
        <v>148</v>
      </c>
      <c r="B152" s="28"/>
      <c r="C152" s="28"/>
      <c r="D152" s="18"/>
      <c r="E152" s="71"/>
      <c r="F152" s="72"/>
      <c r="G152" s="18"/>
      <c r="H152" s="22"/>
      <c r="I152" s="22"/>
      <c r="J152" s="22"/>
      <c r="K152" s="23"/>
      <c r="L152" s="22"/>
      <c r="M152" s="22"/>
    </row>
    <row r="153" spans="1:13">
      <c r="A153" s="75">
        <v>149</v>
      </c>
      <c r="B153" s="28"/>
      <c r="C153" s="28"/>
      <c r="D153" s="18"/>
      <c r="E153" s="71"/>
      <c r="F153" s="72"/>
      <c r="G153" s="18"/>
      <c r="H153" s="22"/>
      <c r="I153" s="22"/>
      <c r="J153" s="22"/>
      <c r="K153" s="23"/>
      <c r="L153" s="22"/>
      <c r="M153" s="22"/>
    </row>
    <row r="154" spans="1:13">
      <c r="A154" s="75">
        <v>150</v>
      </c>
      <c r="B154" s="28"/>
      <c r="C154" s="28"/>
      <c r="D154" s="18"/>
      <c r="E154" s="71"/>
      <c r="F154" s="72"/>
      <c r="G154" s="18"/>
      <c r="H154" s="22"/>
      <c r="I154" s="22"/>
      <c r="J154" s="22"/>
      <c r="K154" s="23"/>
      <c r="L154" s="22"/>
      <c r="M154" s="22"/>
    </row>
    <row r="155" spans="1:13">
      <c r="A155" s="75">
        <v>151</v>
      </c>
      <c r="B155" s="28"/>
      <c r="C155" s="28"/>
      <c r="D155" s="18"/>
      <c r="E155" s="71"/>
      <c r="F155" s="72"/>
      <c r="G155" s="18"/>
      <c r="H155" s="22"/>
      <c r="I155" s="22"/>
      <c r="J155" s="22"/>
      <c r="K155" s="23"/>
      <c r="L155" s="22"/>
      <c r="M155" s="22"/>
    </row>
    <row r="156" spans="1:13">
      <c r="A156" s="75">
        <v>152</v>
      </c>
      <c r="B156" s="28"/>
      <c r="C156" s="28"/>
      <c r="D156" s="18"/>
      <c r="E156" s="71"/>
      <c r="F156" s="72"/>
      <c r="G156" s="18"/>
      <c r="H156" s="22"/>
      <c r="I156" s="22"/>
      <c r="J156" s="22"/>
      <c r="K156" s="23"/>
      <c r="L156" s="22"/>
      <c r="M156" s="22"/>
    </row>
    <row r="157" spans="1:13">
      <c r="A157" s="75">
        <v>153</v>
      </c>
      <c r="B157" s="28"/>
      <c r="C157" s="28"/>
      <c r="D157" s="18"/>
      <c r="E157" s="71"/>
      <c r="F157" s="72"/>
      <c r="G157" s="18"/>
      <c r="H157" s="22"/>
      <c r="I157" s="22"/>
      <c r="J157" s="22"/>
      <c r="K157" s="23"/>
      <c r="L157" s="22"/>
      <c r="M157" s="22"/>
    </row>
    <row r="158" spans="1:13">
      <c r="A158" s="75">
        <v>154</v>
      </c>
      <c r="B158" s="28"/>
      <c r="C158" s="28"/>
      <c r="D158" s="18"/>
      <c r="E158" s="71"/>
      <c r="F158" s="72"/>
      <c r="G158" s="18"/>
      <c r="H158" s="22"/>
      <c r="I158" s="22"/>
      <c r="J158" s="22"/>
      <c r="K158" s="23"/>
      <c r="L158" s="22"/>
      <c r="M158" s="22"/>
    </row>
    <row r="159" spans="1:13">
      <c r="A159" s="75">
        <v>155</v>
      </c>
      <c r="B159" s="28"/>
      <c r="C159" s="28"/>
      <c r="D159" s="18"/>
      <c r="E159" s="71"/>
      <c r="F159" s="72"/>
      <c r="G159" s="18"/>
      <c r="H159" s="22"/>
      <c r="I159" s="22"/>
      <c r="J159" s="22"/>
      <c r="K159" s="23"/>
      <c r="L159" s="22"/>
      <c r="M159" s="22"/>
    </row>
    <row r="160" spans="1:13">
      <c r="A160" s="75">
        <v>156</v>
      </c>
      <c r="B160" s="28"/>
      <c r="C160" s="28"/>
      <c r="D160" s="18"/>
      <c r="E160" s="71"/>
      <c r="F160" s="72"/>
      <c r="G160" s="18"/>
      <c r="H160" s="22"/>
      <c r="I160" s="22"/>
      <c r="J160" s="22"/>
      <c r="K160" s="23"/>
      <c r="L160" s="22"/>
      <c r="M160" s="22"/>
    </row>
    <row r="161" spans="1:13">
      <c r="A161" s="75">
        <v>157</v>
      </c>
      <c r="B161" s="28"/>
      <c r="C161" s="28"/>
      <c r="D161" s="18"/>
      <c r="E161" s="71"/>
      <c r="F161" s="72"/>
      <c r="G161" s="18"/>
      <c r="H161" s="22"/>
      <c r="I161" s="22"/>
      <c r="J161" s="22"/>
      <c r="K161" s="23"/>
      <c r="L161" s="22"/>
      <c r="M161" s="22"/>
    </row>
    <row r="162" spans="1:13">
      <c r="A162" s="75">
        <v>158</v>
      </c>
      <c r="B162" s="28"/>
      <c r="C162" s="28"/>
      <c r="D162" s="18"/>
      <c r="E162" s="71"/>
      <c r="F162" s="72"/>
      <c r="G162" s="18"/>
      <c r="H162" s="22"/>
      <c r="I162" s="22"/>
      <c r="J162" s="22"/>
      <c r="K162" s="23"/>
      <c r="L162" s="22"/>
      <c r="M162" s="22"/>
    </row>
    <row r="163" spans="1:13">
      <c r="A163" s="75">
        <v>159</v>
      </c>
      <c r="B163" s="28"/>
      <c r="C163" s="28"/>
      <c r="D163" s="18"/>
      <c r="E163" s="71"/>
      <c r="F163" s="72"/>
      <c r="G163" s="18"/>
      <c r="H163" s="22"/>
      <c r="I163" s="22"/>
      <c r="J163" s="22"/>
      <c r="K163" s="23"/>
      <c r="L163" s="22"/>
      <c r="M163" s="22"/>
    </row>
    <row r="164" spans="1:13">
      <c r="A164" s="75">
        <v>160</v>
      </c>
      <c r="B164" s="28"/>
      <c r="C164" s="28"/>
      <c r="D164" s="18"/>
      <c r="E164" s="71"/>
      <c r="F164" s="72"/>
      <c r="G164" s="18"/>
      <c r="H164" s="22"/>
      <c r="I164" s="22"/>
      <c r="J164" s="22"/>
      <c r="K164" s="23"/>
      <c r="L164" s="22"/>
      <c r="M164" s="22"/>
    </row>
    <row r="165" spans="1:13">
      <c r="A165" s="75">
        <v>161</v>
      </c>
      <c r="B165" s="28"/>
      <c r="C165" s="28"/>
      <c r="D165" s="18"/>
      <c r="E165" s="71"/>
      <c r="F165" s="72"/>
      <c r="G165" s="18"/>
      <c r="H165" s="22"/>
      <c r="I165" s="22"/>
      <c r="J165" s="22"/>
      <c r="K165" s="23"/>
      <c r="L165" s="22"/>
      <c r="M165" s="22"/>
    </row>
    <row r="166" spans="1:13">
      <c r="A166" s="75">
        <v>162</v>
      </c>
      <c r="B166" s="28"/>
      <c r="C166" s="28"/>
      <c r="D166" s="18"/>
      <c r="E166" s="71"/>
      <c r="F166" s="72"/>
      <c r="G166" s="18"/>
      <c r="H166" s="22"/>
      <c r="I166" s="22"/>
      <c r="J166" s="22"/>
      <c r="K166" s="23"/>
      <c r="L166" s="22"/>
      <c r="M166" s="22"/>
    </row>
    <row r="167" spans="1:13">
      <c r="A167" s="75">
        <v>163</v>
      </c>
      <c r="B167" s="28"/>
      <c r="C167" s="28"/>
      <c r="D167" s="18"/>
      <c r="E167" s="71"/>
      <c r="F167" s="72"/>
      <c r="G167" s="18"/>
      <c r="H167" s="22"/>
      <c r="I167" s="22"/>
      <c r="J167" s="22"/>
      <c r="K167" s="23"/>
      <c r="L167" s="22"/>
      <c r="M167" s="22"/>
    </row>
    <row r="168" spans="1:13">
      <c r="A168" s="75">
        <v>164</v>
      </c>
      <c r="B168" s="28"/>
      <c r="C168" s="28"/>
      <c r="D168" s="18"/>
      <c r="E168" s="71"/>
      <c r="F168" s="72"/>
      <c r="G168" s="18"/>
      <c r="H168" s="22"/>
      <c r="I168" s="22"/>
      <c r="J168" s="22"/>
      <c r="K168" s="23"/>
      <c r="L168" s="22"/>
      <c r="M168" s="22"/>
    </row>
    <row r="169" spans="1:13">
      <c r="A169" s="75">
        <v>165</v>
      </c>
      <c r="B169" s="28"/>
      <c r="C169" s="28"/>
      <c r="D169" s="18"/>
      <c r="E169" s="71"/>
      <c r="F169" s="72"/>
      <c r="G169" s="18"/>
      <c r="H169" s="22"/>
      <c r="I169" s="22"/>
      <c r="J169" s="22"/>
      <c r="K169" s="23"/>
      <c r="L169" s="22"/>
      <c r="M169" s="22"/>
    </row>
    <row r="170" spans="1:13">
      <c r="A170" s="75">
        <v>166</v>
      </c>
      <c r="B170" s="28"/>
      <c r="C170" s="28"/>
      <c r="D170" s="18"/>
      <c r="E170" s="71"/>
      <c r="F170" s="72"/>
      <c r="G170" s="18"/>
      <c r="H170" s="22"/>
      <c r="I170" s="22"/>
      <c r="J170" s="22"/>
      <c r="K170" s="23"/>
      <c r="L170" s="22"/>
      <c r="M170" s="22"/>
    </row>
    <row r="171" spans="1:13">
      <c r="A171" s="75">
        <v>167</v>
      </c>
      <c r="B171" s="28"/>
      <c r="C171" s="28"/>
      <c r="D171" s="18"/>
      <c r="E171" s="71"/>
      <c r="F171" s="72"/>
      <c r="G171" s="18"/>
      <c r="H171" s="22"/>
      <c r="I171" s="22"/>
      <c r="J171" s="22"/>
      <c r="K171" s="23"/>
      <c r="L171" s="22"/>
      <c r="M171" s="22"/>
    </row>
    <row r="172" spans="1:13">
      <c r="A172" s="75">
        <v>168</v>
      </c>
      <c r="B172" s="28"/>
      <c r="C172" s="28"/>
      <c r="D172" s="18"/>
      <c r="E172" s="71"/>
      <c r="F172" s="72"/>
      <c r="G172" s="18"/>
      <c r="H172" s="22"/>
      <c r="I172" s="22"/>
      <c r="J172" s="22"/>
      <c r="K172" s="23"/>
      <c r="L172" s="22"/>
      <c r="M172" s="22"/>
    </row>
    <row r="173" spans="1:13">
      <c r="A173" s="75">
        <v>169</v>
      </c>
      <c r="B173" s="28"/>
      <c r="C173" s="28"/>
      <c r="D173" s="18"/>
      <c r="E173" s="71"/>
      <c r="F173" s="72"/>
      <c r="G173" s="18"/>
      <c r="H173" s="22"/>
      <c r="I173" s="22"/>
      <c r="J173" s="22"/>
      <c r="K173" s="23"/>
      <c r="L173" s="22"/>
      <c r="M173" s="22"/>
    </row>
    <row r="174" spans="1:13">
      <c r="A174" s="75">
        <v>170</v>
      </c>
      <c r="B174" s="28"/>
      <c r="C174" s="28"/>
      <c r="D174" s="18"/>
      <c r="E174" s="71"/>
      <c r="F174" s="72"/>
      <c r="G174" s="18"/>
      <c r="H174" s="22"/>
      <c r="I174" s="22"/>
      <c r="J174" s="22"/>
      <c r="K174" s="23"/>
      <c r="L174" s="22"/>
      <c r="M174" s="22"/>
    </row>
    <row r="175" spans="1:13">
      <c r="A175" s="75">
        <v>171</v>
      </c>
      <c r="B175" s="28"/>
      <c r="C175" s="28"/>
      <c r="D175" s="18"/>
      <c r="E175" s="71"/>
      <c r="F175" s="72"/>
      <c r="G175" s="18"/>
      <c r="H175" s="22"/>
      <c r="I175" s="22"/>
      <c r="J175" s="22"/>
      <c r="K175" s="23"/>
      <c r="L175" s="22"/>
      <c r="M175" s="22"/>
    </row>
    <row r="176" spans="1:13">
      <c r="A176" s="75">
        <v>172</v>
      </c>
      <c r="B176" s="28"/>
      <c r="C176" s="28"/>
      <c r="D176" s="18"/>
      <c r="E176" s="71"/>
      <c r="F176" s="72"/>
      <c r="G176" s="18"/>
      <c r="H176" s="22"/>
      <c r="I176" s="22"/>
      <c r="J176" s="22"/>
      <c r="K176" s="23"/>
      <c r="L176" s="22"/>
      <c r="M176" s="22"/>
    </row>
    <row r="177" spans="1:13">
      <c r="A177" s="75">
        <v>173</v>
      </c>
      <c r="B177" s="28"/>
      <c r="C177" s="28"/>
      <c r="D177" s="18"/>
      <c r="E177" s="71"/>
      <c r="F177" s="72"/>
      <c r="G177" s="18"/>
      <c r="H177" s="22"/>
      <c r="I177" s="22"/>
      <c r="J177" s="22"/>
      <c r="K177" s="23"/>
      <c r="L177" s="22"/>
      <c r="M177" s="22"/>
    </row>
    <row r="178" spans="1:13">
      <c r="A178" s="75">
        <v>174</v>
      </c>
      <c r="B178" s="28"/>
      <c r="C178" s="28"/>
      <c r="D178" s="18"/>
      <c r="E178" s="71"/>
      <c r="F178" s="72"/>
      <c r="G178" s="18"/>
      <c r="H178" s="22"/>
      <c r="I178" s="22"/>
      <c r="J178" s="22"/>
      <c r="K178" s="23"/>
      <c r="L178" s="22"/>
      <c r="M178" s="22"/>
    </row>
    <row r="179" spans="1:13">
      <c r="A179" s="75">
        <v>175</v>
      </c>
      <c r="B179" s="28"/>
      <c r="C179" s="28"/>
      <c r="D179" s="18"/>
      <c r="E179" s="71"/>
      <c r="F179" s="72"/>
      <c r="G179" s="18"/>
      <c r="H179" s="22"/>
      <c r="I179" s="22"/>
      <c r="J179" s="22"/>
      <c r="K179" s="23"/>
      <c r="L179" s="22"/>
      <c r="M179" s="22"/>
    </row>
    <row r="180" spans="1:13">
      <c r="A180" s="75">
        <v>176</v>
      </c>
      <c r="B180" s="28"/>
      <c r="C180" s="28"/>
      <c r="D180" s="18"/>
      <c r="E180" s="71"/>
      <c r="F180" s="72"/>
      <c r="G180" s="18"/>
      <c r="H180" s="22"/>
      <c r="I180" s="22"/>
      <c r="J180" s="22"/>
      <c r="K180" s="23"/>
      <c r="L180" s="22"/>
      <c r="M180" s="22"/>
    </row>
    <row r="181" spans="1:13">
      <c r="A181" s="75">
        <v>177</v>
      </c>
      <c r="B181" s="28"/>
      <c r="C181" s="28"/>
      <c r="D181" s="18"/>
      <c r="E181" s="71"/>
      <c r="F181" s="72"/>
      <c r="G181" s="18"/>
      <c r="H181" s="22"/>
      <c r="I181" s="22"/>
      <c r="J181" s="22"/>
      <c r="K181" s="23"/>
      <c r="L181" s="22"/>
      <c r="M181" s="22"/>
    </row>
    <row r="182" spans="1:13">
      <c r="A182" s="75">
        <v>178</v>
      </c>
      <c r="B182" s="28"/>
      <c r="C182" s="28"/>
      <c r="D182" s="18"/>
      <c r="E182" s="71"/>
      <c r="F182" s="72"/>
      <c r="G182" s="18"/>
      <c r="H182" s="22"/>
      <c r="I182" s="22"/>
      <c r="J182" s="22"/>
      <c r="K182" s="23"/>
      <c r="L182" s="22"/>
      <c r="M182" s="22"/>
    </row>
    <row r="183" spans="1:13">
      <c r="A183" s="75">
        <v>179</v>
      </c>
      <c r="B183" s="28"/>
      <c r="C183" s="28"/>
      <c r="D183" s="18"/>
      <c r="E183" s="71"/>
      <c r="F183" s="72"/>
      <c r="G183" s="18"/>
      <c r="H183" s="22"/>
      <c r="I183" s="22"/>
      <c r="J183" s="22"/>
      <c r="K183" s="23"/>
      <c r="L183" s="22"/>
      <c r="M183" s="22"/>
    </row>
    <row r="184" spans="1:13">
      <c r="A184" s="75">
        <v>180</v>
      </c>
      <c r="B184" s="28"/>
      <c r="C184" s="28"/>
      <c r="D184" s="18"/>
      <c r="E184" s="71"/>
      <c r="F184" s="72"/>
      <c r="G184" s="18"/>
      <c r="H184" s="22"/>
      <c r="I184" s="22"/>
      <c r="J184" s="22"/>
      <c r="K184" s="23"/>
      <c r="L184" s="22"/>
      <c r="M184" s="22"/>
    </row>
    <row r="185" spans="1:13">
      <c r="A185" s="75">
        <v>181</v>
      </c>
      <c r="B185" s="28"/>
      <c r="C185" s="28"/>
      <c r="D185" s="18"/>
      <c r="E185" s="71"/>
      <c r="F185" s="72"/>
      <c r="G185" s="18"/>
      <c r="H185" s="22"/>
      <c r="I185" s="22"/>
      <c r="J185" s="22"/>
      <c r="K185" s="23"/>
      <c r="L185" s="22"/>
      <c r="M185" s="22"/>
    </row>
    <row r="186" spans="1:13">
      <c r="A186" s="75">
        <v>182</v>
      </c>
      <c r="B186" s="28"/>
      <c r="C186" s="28"/>
      <c r="D186" s="18"/>
      <c r="E186" s="71"/>
      <c r="F186" s="72"/>
      <c r="G186" s="18"/>
      <c r="H186" s="22"/>
      <c r="I186" s="22"/>
      <c r="J186" s="22"/>
      <c r="K186" s="23"/>
      <c r="L186" s="22"/>
      <c r="M186" s="22"/>
    </row>
    <row r="187" spans="1:13">
      <c r="A187" s="75">
        <v>183</v>
      </c>
      <c r="B187" s="28"/>
      <c r="C187" s="28"/>
      <c r="D187" s="18"/>
      <c r="E187" s="71"/>
      <c r="F187" s="72"/>
      <c r="G187" s="18"/>
      <c r="H187" s="22"/>
      <c r="I187" s="22"/>
      <c r="J187" s="22"/>
      <c r="K187" s="23"/>
      <c r="L187" s="22"/>
      <c r="M187" s="22"/>
    </row>
    <row r="188" spans="1:13">
      <c r="A188" s="75">
        <v>184</v>
      </c>
      <c r="B188" s="28"/>
      <c r="C188" s="28"/>
      <c r="D188" s="18"/>
      <c r="E188" s="71"/>
      <c r="F188" s="72"/>
      <c r="G188" s="18"/>
      <c r="H188" s="22"/>
      <c r="I188" s="22"/>
      <c r="J188" s="22"/>
      <c r="K188" s="23"/>
      <c r="L188" s="22"/>
      <c r="M188" s="22"/>
    </row>
    <row r="189" spans="1:13">
      <c r="A189" s="75">
        <v>185</v>
      </c>
      <c r="B189" s="28"/>
      <c r="C189" s="28"/>
      <c r="D189" s="18"/>
      <c r="E189" s="71"/>
      <c r="F189" s="72"/>
      <c r="G189" s="18"/>
      <c r="H189" s="22"/>
      <c r="I189" s="22"/>
      <c r="J189" s="22"/>
      <c r="K189" s="23"/>
      <c r="L189" s="22"/>
      <c r="M189" s="22"/>
    </row>
    <row r="190" spans="1:13">
      <c r="A190" s="75">
        <v>186</v>
      </c>
      <c r="B190" s="28"/>
      <c r="C190" s="28"/>
      <c r="D190" s="18"/>
      <c r="E190" s="71"/>
      <c r="F190" s="72"/>
      <c r="G190" s="18"/>
      <c r="H190" s="22"/>
      <c r="I190" s="22"/>
      <c r="J190" s="22"/>
      <c r="K190" s="23"/>
      <c r="L190" s="22"/>
      <c r="M190" s="22"/>
    </row>
    <row r="191" spans="1:13">
      <c r="A191" s="75">
        <v>187</v>
      </c>
      <c r="B191" s="28"/>
      <c r="C191" s="28"/>
      <c r="D191" s="18"/>
      <c r="E191" s="71"/>
      <c r="F191" s="72"/>
      <c r="G191" s="18"/>
      <c r="H191" s="22"/>
      <c r="I191" s="22"/>
      <c r="J191" s="22"/>
      <c r="K191" s="23"/>
      <c r="L191" s="22"/>
      <c r="M191" s="22"/>
    </row>
    <row r="192" spans="1:13">
      <c r="A192" s="75">
        <v>188</v>
      </c>
      <c r="B192" s="28"/>
      <c r="C192" s="28"/>
      <c r="D192" s="18"/>
      <c r="E192" s="71"/>
      <c r="F192" s="72"/>
      <c r="G192" s="18"/>
      <c r="H192" s="22"/>
      <c r="I192" s="22"/>
      <c r="J192" s="22"/>
      <c r="K192" s="23"/>
      <c r="L192" s="22"/>
      <c r="M192" s="22"/>
    </row>
    <row r="193" spans="1:13">
      <c r="A193" s="75">
        <v>189</v>
      </c>
      <c r="B193" s="28"/>
      <c r="C193" s="28"/>
      <c r="D193" s="18"/>
      <c r="E193" s="71"/>
      <c r="F193" s="72"/>
      <c r="G193" s="18"/>
      <c r="H193" s="22"/>
      <c r="I193" s="22"/>
      <c r="J193" s="22"/>
      <c r="K193" s="23"/>
      <c r="L193" s="22"/>
      <c r="M193" s="22"/>
    </row>
    <row r="194" spans="1:13">
      <c r="A194" s="75">
        <v>190</v>
      </c>
      <c r="B194" s="28"/>
      <c r="C194" s="28"/>
      <c r="D194" s="18"/>
      <c r="E194" s="71"/>
      <c r="F194" s="72"/>
      <c r="G194" s="18"/>
      <c r="H194" s="22"/>
      <c r="I194" s="22"/>
      <c r="J194" s="22"/>
      <c r="K194" s="23"/>
      <c r="L194" s="22"/>
      <c r="M194" s="22"/>
    </row>
    <row r="195" spans="1:13">
      <c r="A195" s="75">
        <v>191</v>
      </c>
      <c r="B195" s="28"/>
      <c r="C195" s="28"/>
      <c r="D195" s="18"/>
      <c r="E195" s="71"/>
      <c r="F195" s="72"/>
      <c r="G195" s="18"/>
      <c r="H195" s="22"/>
      <c r="I195" s="22"/>
      <c r="J195" s="22"/>
      <c r="K195" s="23"/>
      <c r="L195" s="22"/>
      <c r="M195" s="22"/>
    </row>
    <row r="196" spans="1:13">
      <c r="A196" s="75">
        <v>192</v>
      </c>
      <c r="B196" s="28"/>
      <c r="C196" s="28"/>
      <c r="D196" s="18"/>
      <c r="E196" s="71"/>
      <c r="F196" s="72"/>
      <c r="G196" s="18"/>
      <c r="H196" s="22"/>
      <c r="I196" s="22"/>
      <c r="J196" s="22"/>
      <c r="K196" s="23"/>
      <c r="L196" s="22"/>
      <c r="M196" s="22"/>
    </row>
    <row r="197" spans="1:13">
      <c r="A197" s="75">
        <v>193</v>
      </c>
      <c r="B197" s="28"/>
      <c r="C197" s="28"/>
      <c r="D197" s="18"/>
      <c r="E197" s="71"/>
      <c r="F197" s="72"/>
      <c r="G197" s="18"/>
      <c r="H197" s="22"/>
      <c r="I197" s="22"/>
      <c r="J197" s="22"/>
      <c r="K197" s="23"/>
      <c r="L197" s="22"/>
      <c r="M197" s="22"/>
    </row>
    <row r="198" spans="1:13">
      <c r="A198" s="75">
        <v>194</v>
      </c>
      <c r="B198" s="28"/>
      <c r="C198" s="28"/>
      <c r="D198" s="18"/>
      <c r="E198" s="71"/>
      <c r="F198" s="72"/>
      <c r="G198" s="18"/>
      <c r="H198" s="22"/>
      <c r="I198" s="22"/>
      <c r="J198" s="22"/>
      <c r="K198" s="23"/>
      <c r="L198" s="22"/>
      <c r="M198" s="22"/>
    </row>
    <row r="199" spans="1:13">
      <c r="A199" s="75">
        <v>195</v>
      </c>
      <c r="B199" s="28"/>
      <c r="C199" s="28"/>
      <c r="D199" s="18"/>
      <c r="E199" s="71"/>
      <c r="F199" s="72"/>
      <c r="G199" s="18"/>
      <c r="H199" s="22"/>
      <c r="I199" s="22"/>
      <c r="J199" s="22"/>
      <c r="K199" s="23"/>
      <c r="L199" s="22"/>
      <c r="M199" s="22"/>
    </row>
    <row r="200" spans="1:13">
      <c r="A200" s="75">
        <v>196</v>
      </c>
      <c r="B200" s="28"/>
      <c r="C200" s="28"/>
      <c r="D200" s="18"/>
      <c r="E200" s="71"/>
      <c r="F200" s="72"/>
      <c r="G200" s="18"/>
      <c r="H200" s="22"/>
      <c r="I200" s="22"/>
      <c r="J200" s="22"/>
      <c r="K200" s="23"/>
      <c r="L200" s="22"/>
      <c r="M200" s="22"/>
    </row>
    <row r="201" spans="1:13">
      <c r="A201" s="75">
        <v>197</v>
      </c>
      <c r="B201" s="28"/>
      <c r="C201" s="28"/>
      <c r="D201" s="18"/>
      <c r="E201" s="71"/>
      <c r="F201" s="72"/>
      <c r="G201" s="18"/>
      <c r="H201" s="22"/>
      <c r="I201" s="22"/>
      <c r="J201" s="22"/>
      <c r="K201" s="23"/>
      <c r="L201" s="22"/>
      <c r="M201" s="22"/>
    </row>
    <row r="202" spans="1:13">
      <c r="A202" s="75">
        <v>198</v>
      </c>
      <c r="B202" s="28"/>
      <c r="C202" s="28"/>
      <c r="D202" s="18"/>
      <c r="E202" s="71"/>
      <c r="F202" s="72"/>
      <c r="G202" s="18"/>
      <c r="H202" s="22"/>
      <c r="I202" s="22"/>
      <c r="J202" s="22"/>
      <c r="K202" s="23"/>
      <c r="L202" s="22"/>
      <c r="M202" s="22"/>
    </row>
    <row r="203" spans="1:13">
      <c r="A203" s="75">
        <v>199</v>
      </c>
      <c r="B203" s="28"/>
      <c r="C203" s="28"/>
      <c r="D203" s="18"/>
      <c r="E203" s="71"/>
      <c r="F203" s="72"/>
      <c r="G203" s="18"/>
      <c r="H203" s="22"/>
      <c r="I203" s="22"/>
      <c r="J203" s="22"/>
      <c r="K203" s="23"/>
      <c r="L203" s="22"/>
      <c r="M203" s="22"/>
    </row>
    <row r="204" spans="1:13">
      <c r="A204" s="75">
        <v>200</v>
      </c>
      <c r="B204" s="28"/>
      <c r="C204" s="28"/>
      <c r="D204" s="18"/>
      <c r="E204" s="71"/>
      <c r="F204" s="72"/>
      <c r="G204" s="18"/>
      <c r="H204" s="22"/>
      <c r="I204" s="22"/>
      <c r="J204" s="22"/>
      <c r="K204" s="23"/>
      <c r="L204" s="22"/>
      <c r="M204" s="22"/>
    </row>
    <row r="205" spans="1:13">
      <c r="D205" s="56"/>
    </row>
  </sheetData>
  <autoFilter ref="A4:M204" xr:uid="{00000000-0009-0000-0000-000003000000}"/>
  <dataConsolidate/>
  <mergeCells count="2">
    <mergeCell ref="E3:G3"/>
    <mergeCell ref="A3:C3"/>
  </mergeCells>
  <phoneticPr fontId="25" type="noConversion"/>
  <conditionalFormatting sqref="L205:L65536 P1:P2">
    <cfRule type="cellIs" dxfId="21" priority="16" stopIfTrue="1" operator="equal">
      <formula>"Fixed"</formula>
    </cfRule>
    <cfRule type="cellIs" dxfId="20" priority="17" stopIfTrue="1" operator="equal">
      <formula>"Open"</formula>
    </cfRule>
  </conditionalFormatting>
  <conditionalFormatting sqref="L4">
    <cfRule type="cellIs" dxfId="19" priority="18" stopIfTrue="1" operator="equal">
      <formula>"Open"</formula>
    </cfRule>
    <cfRule type="cellIs" dxfId="18" priority="19" stopIfTrue="1" operator="equal">
      <formula>"Fixed"</formula>
    </cfRule>
  </conditionalFormatting>
  <conditionalFormatting sqref="L5:L204">
    <cfRule type="expression" dxfId="17" priority="20" stopIfTrue="1">
      <formula>AND($M5="Approved",$L5="Fixed")</formula>
    </cfRule>
    <cfRule type="cellIs" dxfId="16" priority="21" stopIfTrue="1" operator="equal">
      <formula>"Fixed"</formula>
    </cfRule>
    <cfRule type="cellIs" dxfId="15" priority="22" stopIfTrue="1" operator="equal">
      <formula>"Open"</formula>
    </cfRule>
  </conditionalFormatting>
  <conditionalFormatting sqref="M5:M204">
    <cfRule type="expression" dxfId="14" priority="23" stopIfTrue="1">
      <formula>OR(M5="Fixed",M5="Approved")</formula>
    </cfRule>
    <cfRule type="cellIs" dxfId="13" priority="24" stopIfTrue="1" operator="equal">
      <formula>"Rejected"</formula>
    </cfRule>
  </conditionalFormatting>
  <conditionalFormatting sqref="A3">
    <cfRule type="expression" dxfId="12" priority="10" stopIfTrue="1">
      <formula>$X$2=1</formula>
    </cfRule>
    <cfRule type="expression" dxfId="11" priority="11" stopIfTrue="1">
      <formula>$Y$2=1</formula>
    </cfRule>
    <cfRule type="expression" dxfId="10" priority="13" stopIfTrue="1">
      <formula>$AA$2=1</formula>
    </cfRule>
  </conditionalFormatting>
  <conditionalFormatting sqref="A3:C3">
    <cfRule type="expression" dxfId="9" priority="12" stopIfTrue="1">
      <formula>$Z$2=1</formula>
    </cfRule>
  </conditionalFormatting>
  <conditionalFormatting sqref="A38:K204 E26:H26 D22:H25 D17:H19 K16:K21 E20:H21 D27:H30 A5:K5 A17:C30 A31:J37 A6:H7 A8:C8 E8:H8 J6:K15 I6:I8 A9:H16">
    <cfRule type="expression" dxfId="8" priority="194" stopIfTrue="1">
      <formula>AND($M5="Approved",OR($L5=$R$1,$L5=$T$1))</formula>
    </cfRule>
  </conditionalFormatting>
  <conditionalFormatting sqref="J16:J30">
    <cfRule type="expression" dxfId="7" priority="9" stopIfTrue="1">
      <formula>AND($M16="Approved",OR($L16=$R$1,$L16=$T$1))</formula>
    </cfRule>
  </conditionalFormatting>
  <conditionalFormatting sqref="I22:I30">
    <cfRule type="expression" dxfId="6" priority="8" stopIfTrue="1">
      <formula>AND($M22="Approved",OR($L22=$R$1,$L22=$T$1))</formula>
    </cfRule>
  </conditionalFormatting>
  <conditionalFormatting sqref="D8">
    <cfRule type="expression" dxfId="5" priority="7" stopIfTrue="1">
      <formula>AND($M8="Approved",OR($L8=$R$1,$L8=$T$1))</formula>
    </cfRule>
  </conditionalFormatting>
  <conditionalFormatting sqref="I9:I21">
    <cfRule type="expression" dxfId="4" priority="5" stopIfTrue="1">
      <formula>AND($M9="Approved",OR($L9=$R$1,$L9=$T$1))</formula>
    </cfRule>
  </conditionalFormatting>
  <conditionalFormatting sqref="K29">
    <cfRule type="expression" dxfId="3" priority="4" stopIfTrue="1">
      <formula>AND($M29="Approved",OR($L29=$R$1,$L29=$T$1))</formula>
    </cfRule>
  </conditionalFormatting>
  <conditionalFormatting sqref="K22:K28">
    <cfRule type="expression" dxfId="2" priority="3" stopIfTrue="1">
      <formula>AND($M22="Approved",OR($L22=$R$1,$L22=$T$1))</formula>
    </cfRule>
  </conditionalFormatting>
  <conditionalFormatting sqref="K37">
    <cfRule type="expression" dxfId="1" priority="2" stopIfTrue="1">
      <formula>AND($M37="Approved",OR($L37=$R$1,$L37=$T$1))</formula>
    </cfRule>
  </conditionalFormatting>
  <conditionalFormatting sqref="K30:K36">
    <cfRule type="expression" dxfId="0" priority="1" stopIfTrue="1">
      <formula>AND($M30="Approved",OR($L30=$R$1,$L30=$T$1))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BE90D4-56E6-46D1-A4C1-1B320F2F49D9}">
  <sheetPr codeName="Feuil28">
    <tabColor theme="7"/>
    <pageSetUpPr fitToPage="1"/>
  </sheetPr>
  <dimension ref="A2:J49"/>
  <sheetViews>
    <sheetView zoomScaleNormal="100" workbookViewId="0">
      <pane xSplit="1" ySplit="3" topLeftCell="B4" activePane="bottomRight" state="frozen"/>
      <selection pane="topRight" activeCell="B1" sqref="B1"/>
      <selection pane="bottomLeft" activeCell="A4" sqref="A4"/>
      <selection pane="bottomRight" activeCell="F8" sqref="F8"/>
    </sheetView>
  </sheetViews>
  <sheetFormatPr defaultColWidth="9.453125" defaultRowHeight="12.5"/>
  <cols>
    <col min="1" max="1" width="10.81640625" style="166" bestFit="1" customWidth="1"/>
    <col min="2" max="2" width="61" style="164" customWidth="1"/>
    <col min="3" max="6" width="4.453125" style="163" bestFit="1" customWidth="1"/>
    <col min="7" max="9" width="30.54296875" style="163" customWidth="1"/>
    <col min="10" max="16384" width="9.453125" style="163"/>
  </cols>
  <sheetData>
    <row r="2" spans="1:10" ht="173.5">
      <c r="A2" s="175" t="s">
        <v>206</v>
      </c>
      <c r="B2" s="176" t="s">
        <v>245</v>
      </c>
      <c r="C2" s="177" t="s">
        <v>195</v>
      </c>
      <c r="D2" s="177" t="s">
        <v>339</v>
      </c>
      <c r="E2" s="177" t="s">
        <v>346</v>
      </c>
      <c r="F2" s="177" t="s">
        <v>348</v>
      </c>
      <c r="G2" s="196" t="s">
        <v>227</v>
      </c>
      <c r="H2" s="315" t="s">
        <v>173</v>
      </c>
      <c r="I2" s="316"/>
    </row>
    <row r="3" spans="1:10" ht="18.5">
      <c r="A3" s="178"/>
      <c r="B3" s="179"/>
      <c r="C3" s="179">
        <f t="shared" ref="C3" si="0">COUNTIF(C5:C49,"Yes")</f>
        <v>0</v>
      </c>
      <c r="D3" s="179">
        <f t="shared" ref="D3:E3" si="1">COUNTIF(D5:D49,"Yes")</f>
        <v>22</v>
      </c>
      <c r="E3" s="179">
        <f t="shared" si="1"/>
        <v>23</v>
      </c>
      <c r="F3" s="179">
        <f t="shared" ref="F3" si="2">COUNTIF(F5:F49,"Yes")</f>
        <v>23</v>
      </c>
      <c r="G3" s="171"/>
      <c r="H3" s="190" t="s">
        <v>211</v>
      </c>
      <c r="I3" s="190" t="s">
        <v>212</v>
      </c>
      <c r="J3" s="172"/>
    </row>
    <row r="4" spans="1:10" ht="18">
      <c r="A4" s="180"/>
      <c r="B4" s="181" t="s">
        <v>243</v>
      </c>
      <c r="C4" s="182"/>
      <c r="D4" s="182"/>
      <c r="E4" s="182"/>
      <c r="F4" s="182"/>
      <c r="G4" s="182"/>
      <c r="H4" s="182"/>
      <c r="I4" s="183"/>
      <c r="J4" s="101"/>
    </row>
    <row r="5" spans="1:10" ht="14">
      <c r="A5" s="167"/>
      <c r="B5" s="184" t="s">
        <v>226</v>
      </c>
      <c r="C5" s="168"/>
      <c r="D5" s="168"/>
      <c r="E5" s="168"/>
      <c r="F5" s="168"/>
      <c r="G5" s="168"/>
      <c r="H5" s="168"/>
      <c r="I5" s="169"/>
    </row>
    <row r="6" spans="1:10" ht="38">
      <c r="A6" s="173" t="s">
        <v>228</v>
      </c>
      <c r="B6" s="187" t="s">
        <v>244</v>
      </c>
      <c r="C6" s="165"/>
      <c r="D6" s="165" t="s">
        <v>205</v>
      </c>
      <c r="E6" s="165" t="s">
        <v>205</v>
      </c>
      <c r="F6" s="165" t="s">
        <v>205</v>
      </c>
      <c r="G6" s="165"/>
      <c r="H6" s="170"/>
      <c r="I6" s="170"/>
    </row>
    <row r="7" spans="1:10" ht="14">
      <c r="A7" s="167"/>
      <c r="B7" s="184" t="s">
        <v>213</v>
      </c>
      <c r="C7" s="168"/>
      <c r="D7" s="168"/>
      <c r="E7" s="168"/>
      <c r="F7" s="168"/>
      <c r="G7" s="168"/>
      <c r="H7" s="168"/>
      <c r="I7" s="169"/>
    </row>
    <row r="8" spans="1:10" ht="25.5">
      <c r="A8" s="173" t="s">
        <v>229</v>
      </c>
      <c r="B8" s="187" t="s">
        <v>260</v>
      </c>
      <c r="C8" s="165"/>
      <c r="D8" s="165" t="s">
        <v>205</v>
      </c>
      <c r="E8" s="165" t="s">
        <v>205</v>
      </c>
      <c r="F8" s="165" t="s">
        <v>205</v>
      </c>
      <c r="G8" s="165"/>
      <c r="H8" s="170"/>
      <c r="I8" s="170"/>
    </row>
    <row r="9" spans="1:10" ht="75">
      <c r="A9" s="173" t="s">
        <v>230</v>
      </c>
      <c r="B9" s="187" t="s">
        <v>261</v>
      </c>
      <c r="C9" s="165"/>
      <c r="D9" s="165" t="s">
        <v>205</v>
      </c>
      <c r="E9" s="165" t="s">
        <v>205</v>
      </c>
      <c r="F9" s="165" t="s">
        <v>205</v>
      </c>
      <c r="G9" s="165"/>
      <c r="H9" s="174" t="s">
        <v>262</v>
      </c>
      <c r="I9" s="170"/>
    </row>
    <row r="10" spans="1:10" ht="14">
      <c r="A10" s="167"/>
      <c r="B10" s="184" t="s">
        <v>214</v>
      </c>
      <c r="C10" s="168"/>
      <c r="D10" s="168"/>
      <c r="E10" s="168"/>
      <c r="F10" s="168"/>
      <c r="G10" s="168"/>
      <c r="H10" s="168"/>
      <c r="I10" s="169"/>
    </row>
    <row r="11" spans="1:10" ht="38">
      <c r="A11" s="173" t="s">
        <v>246</v>
      </c>
      <c r="B11" s="187" t="s">
        <v>264</v>
      </c>
      <c r="C11" s="165"/>
      <c r="D11" s="165" t="s">
        <v>205</v>
      </c>
      <c r="E11" s="165" t="s">
        <v>205</v>
      </c>
      <c r="F11" s="165" t="s">
        <v>205</v>
      </c>
      <c r="G11" s="165"/>
      <c r="H11" s="170"/>
      <c r="I11" s="170"/>
    </row>
    <row r="12" spans="1:10" ht="38">
      <c r="A12" s="173" t="s">
        <v>231</v>
      </c>
      <c r="B12" s="187" t="s">
        <v>232</v>
      </c>
      <c r="C12" s="165"/>
      <c r="D12" s="165" t="s">
        <v>205</v>
      </c>
      <c r="E12" s="165" t="s">
        <v>205</v>
      </c>
      <c r="F12" s="165" t="s">
        <v>205</v>
      </c>
      <c r="G12" s="165"/>
      <c r="H12" s="170"/>
      <c r="I12" s="170"/>
    </row>
    <row r="13" spans="1:10" ht="38">
      <c r="A13" s="173" t="s">
        <v>286</v>
      </c>
      <c r="B13" s="187" t="s">
        <v>287</v>
      </c>
      <c r="C13" s="165"/>
      <c r="D13" s="165" t="s">
        <v>205</v>
      </c>
      <c r="E13" s="165" t="s">
        <v>205</v>
      </c>
      <c r="F13" s="165" t="s">
        <v>205</v>
      </c>
      <c r="G13" s="165"/>
      <c r="H13" s="170"/>
      <c r="I13" s="170"/>
    </row>
    <row r="14" spans="1:10" ht="25.5">
      <c r="A14" s="173" t="s">
        <v>288</v>
      </c>
      <c r="B14" s="187" t="s">
        <v>289</v>
      </c>
      <c r="C14" s="165"/>
      <c r="D14" s="165" t="s">
        <v>205</v>
      </c>
      <c r="E14" s="165" t="s">
        <v>205</v>
      </c>
      <c r="F14" s="165" t="s">
        <v>205</v>
      </c>
      <c r="G14" s="165"/>
      <c r="H14" s="170"/>
      <c r="I14" s="170"/>
    </row>
    <row r="15" spans="1:10" ht="25.5">
      <c r="A15" s="173" t="s">
        <v>290</v>
      </c>
      <c r="B15" s="187" t="s">
        <v>291</v>
      </c>
      <c r="C15" s="165"/>
      <c r="D15" s="165" t="s">
        <v>10</v>
      </c>
      <c r="E15" s="165" t="s">
        <v>10</v>
      </c>
      <c r="F15" s="165" t="s">
        <v>10</v>
      </c>
      <c r="G15" s="165"/>
      <c r="H15" s="170"/>
      <c r="I15" s="170"/>
    </row>
    <row r="16" spans="1:10" ht="63">
      <c r="A16" s="173" t="s">
        <v>292</v>
      </c>
      <c r="B16" s="187" t="s">
        <v>293</v>
      </c>
      <c r="C16" s="165"/>
      <c r="D16" s="165" t="s">
        <v>205</v>
      </c>
      <c r="E16" s="165" t="s">
        <v>205</v>
      </c>
      <c r="F16" s="165" t="s">
        <v>205</v>
      </c>
      <c r="G16" s="165"/>
      <c r="H16" s="170"/>
      <c r="I16" s="170"/>
    </row>
    <row r="17" spans="1:9" ht="14">
      <c r="A17" s="167"/>
      <c r="B17" s="184" t="s">
        <v>215</v>
      </c>
      <c r="C17" s="168"/>
      <c r="D17" s="168"/>
      <c r="E17" s="168"/>
      <c r="F17" s="168"/>
      <c r="G17" s="168"/>
      <c r="H17" s="168"/>
      <c r="I17" s="169"/>
    </row>
    <row r="18" spans="1:9" ht="50.5">
      <c r="A18" s="173" t="s">
        <v>233</v>
      </c>
      <c r="B18" s="187" t="s">
        <v>216</v>
      </c>
      <c r="C18" s="165"/>
      <c r="D18" s="165" t="s">
        <v>205</v>
      </c>
      <c r="E18" s="165" t="s">
        <v>205</v>
      </c>
      <c r="F18" s="165" t="s">
        <v>205</v>
      </c>
      <c r="G18" s="165"/>
      <c r="H18" s="170"/>
      <c r="I18" s="170"/>
    </row>
    <row r="19" spans="1:9" ht="38">
      <c r="A19" s="173" t="s">
        <v>234</v>
      </c>
      <c r="B19" s="187" t="s">
        <v>217</v>
      </c>
      <c r="C19" s="165"/>
      <c r="D19" s="165" t="s">
        <v>10</v>
      </c>
      <c r="E19" s="165" t="s">
        <v>10</v>
      </c>
      <c r="F19" s="165" t="s">
        <v>10</v>
      </c>
      <c r="G19" s="165"/>
      <c r="H19" s="170"/>
      <c r="I19" s="170"/>
    </row>
    <row r="20" spans="1:9" ht="175">
      <c r="A20" s="173" t="s">
        <v>235</v>
      </c>
      <c r="B20" s="187" t="s">
        <v>218</v>
      </c>
      <c r="C20" s="165"/>
      <c r="D20" s="165" t="s">
        <v>10</v>
      </c>
      <c r="E20" s="165" t="s">
        <v>10</v>
      </c>
      <c r="F20" s="165" t="s">
        <v>10</v>
      </c>
      <c r="G20" s="165"/>
      <c r="H20" s="174" t="s">
        <v>263</v>
      </c>
      <c r="I20" s="170"/>
    </row>
    <row r="21" spans="1:9" ht="14">
      <c r="A21" s="167"/>
      <c r="B21" s="184" t="s">
        <v>236</v>
      </c>
      <c r="C21" s="168"/>
      <c r="D21" s="168"/>
      <c r="E21" s="168"/>
      <c r="F21" s="168"/>
      <c r="G21" s="168"/>
      <c r="H21" s="168"/>
      <c r="I21" s="169"/>
    </row>
    <row r="22" spans="1:9" ht="38">
      <c r="A22" s="173" t="s">
        <v>237</v>
      </c>
      <c r="B22" s="187" t="s">
        <v>265</v>
      </c>
      <c r="C22" s="165"/>
      <c r="D22" s="165" t="s">
        <v>21</v>
      </c>
      <c r="E22" s="165" t="s">
        <v>205</v>
      </c>
      <c r="F22" s="165" t="s">
        <v>205</v>
      </c>
      <c r="G22" s="165"/>
      <c r="H22" s="170"/>
      <c r="I22" s="170"/>
    </row>
    <row r="23" spans="1:9" ht="50.5">
      <c r="A23" s="173" t="s">
        <v>238</v>
      </c>
      <c r="B23" s="187" t="s">
        <v>239</v>
      </c>
      <c r="C23" s="165"/>
      <c r="D23" s="165" t="s">
        <v>205</v>
      </c>
      <c r="E23" s="165" t="s">
        <v>205</v>
      </c>
      <c r="F23" s="165" t="s">
        <v>205</v>
      </c>
      <c r="G23" s="165"/>
      <c r="H23" s="170"/>
      <c r="I23" s="170"/>
    </row>
    <row r="24" spans="1:9" ht="88">
      <c r="A24" s="173" t="s">
        <v>240</v>
      </c>
      <c r="B24" s="187" t="s">
        <v>266</v>
      </c>
      <c r="C24" s="165"/>
      <c r="D24" s="165" t="s">
        <v>205</v>
      </c>
      <c r="E24" s="165" t="s">
        <v>205</v>
      </c>
      <c r="F24" s="165" t="s">
        <v>205</v>
      </c>
      <c r="G24" s="165"/>
      <c r="H24" s="170"/>
      <c r="I24" s="170"/>
    </row>
    <row r="25" spans="1:9" ht="50">
      <c r="A25" s="173" t="s">
        <v>294</v>
      </c>
      <c r="B25" s="187" t="s">
        <v>295</v>
      </c>
      <c r="C25" s="165"/>
      <c r="D25" s="165" t="s">
        <v>205</v>
      </c>
      <c r="E25" s="165" t="s">
        <v>205</v>
      </c>
      <c r="F25" s="165" t="s">
        <v>205</v>
      </c>
      <c r="G25" s="165"/>
      <c r="H25" s="170"/>
      <c r="I25" s="170"/>
    </row>
    <row r="26" spans="1:9" ht="25.5">
      <c r="A26" s="173" t="s">
        <v>241</v>
      </c>
      <c r="B26" s="187" t="s">
        <v>242</v>
      </c>
      <c r="C26" s="165"/>
      <c r="D26" s="165" t="s">
        <v>205</v>
      </c>
      <c r="E26" s="165" t="s">
        <v>205</v>
      </c>
      <c r="F26" s="165" t="s">
        <v>205</v>
      </c>
      <c r="G26" s="165"/>
      <c r="H26" s="170"/>
      <c r="I26" s="170"/>
    </row>
    <row r="27" spans="1:9" ht="14">
      <c r="A27" s="167"/>
      <c r="B27" s="184" t="s">
        <v>285</v>
      </c>
      <c r="C27" s="168"/>
      <c r="D27" s="168"/>
      <c r="E27" s="168"/>
      <c r="F27" s="168"/>
      <c r="G27" s="168"/>
      <c r="H27" s="168"/>
      <c r="I27" s="169"/>
    </row>
    <row r="28" spans="1:9" ht="113">
      <c r="A28" s="173" t="s">
        <v>296</v>
      </c>
      <c r="B28" s="187" t="s">
        <v>297</v>
      </c>
      <c r="C28" s="165"/>
      <c r="D28" s="165" t="s">
        <v>205</v>
      </c>
      <c r="E28" s="165" t="s">
        <v>205</v>
      </c>
      <c r="F28" s="165" t="s">
        <v>205</v>
      </c>
      <c r="G28" s="165"/>
      <c r="H28" s="170"/>
      <c r="I28" s="170"/>
    </row>
    <row r="29" spans="1:9" ht="38">
      <c r="A29" s="173" t="s">
        <v>298</v>
      </c>
      <c r="B29" s="187" t="s">
        <v>299</v>
      </c>
      <c r="C29" s="165"/>
      <c r="D29" s="165" t="s">
        <v>205</v>
      </c>
      <c r="E29" s="165" t="s">
        <v>205</v>
      </c>
      <c r="F29" s="165" t="s">
        <v>205</v>
      </c>
      <c r="G29" s="165"/>
      <c r="H29" s="170"/>
      <c r="I29" s="170"/>
    </row>
    <row r="30" spans="1:9" ht="25.5">
      <c r="A30" s="173" t="s">
        <v>300</v>
      </c>
      <c r="B30" s="187" t="s">
        <v>301</v>
      </c>
      <c r="C30" s="165"/>
      <c r="D30" s="165" t="s">
        <v>205</v>
      </c>
      <c r="E30" s="165" t="s">
        <v>205</v>
      </c>
      <c r="F30" s="165" t="s">
        <v>205</v>
      </c>
      <c r="G30" s="165"/>
      <c r="H30" s="170"/>
      <c r="I30" s="170"/>
    </row>
    <row r="31" spans="1:9" ht="38">
      <c r="A31" s="173" t="s">
        <v>302</v>
      </c>
      <c r="B31" s="187" t="s">
        <v>303</v>
      </c>
      <c r="C31" s="165"/>
      <c r="D31" s="165" t="s">
        <v>205</v>
      </c>
      <c r="E31" s="165" t="s">
        <v>205</v>
      </c>
      <c r="F31" s="165" t="s">
        <v>205</v>
      </c>
      <c r="G31" s="165"/>
      <c r="H31" s="170"/>
      <c r="I31" s="170"/>
    </row>
    <row r="32" spans="1:9" ht="38">
      <c r="A32" s="173" t="s">
        <v>304</v>
      </c>
      <c r="B32" s="187" t="s">
        <v>305</v>
      </c>
      <c r="C32" s="165"/>
      <c r="D32" s="165" t="s">
        <v>10</v>
      </c>
      <c r="E32" s="165" t="s">
        <v>10</v>
      </c>
      <c r="F32" s="165" t="s">
        <v>10</v>
      </c>
      <c r="G32" s="165"/>
      <c r="H32" s="170"/>
      <c r="I32" s="170"/>
    </row>
    <row r="33" spans="1:9" ht="25.5">
      <c r="A33" s="173" t="s">
        <v>306</v>
      </c>
      <c r="B33" s="187" t="s">
        <v>307</v>
      </c>
      <c r="C33" s="165"/>
      <c r="D33" s="165" t="s">
        <v>10</v>
      </c>
      <c r="E33" s="165" t="s">
        <v>10</v>
      </c>
      <c r="F33" s="165" t="s">
        <v>10</v>
      </c>
      <c r="G33" s="165"/>
      <c r="H33" s="170"/>
      <c r="I33" s="170"/>
    </row>
    <row r="34" spans="1:9" ht="50.5">
      <c r="A34" s="173" t="s">
        <v>308</v>
      </c>
      <c r="B34" s="187" t="s">
        <v>309</v>
      </c>
      <c r="C34" s="165"/>
      <c r="D34" s="165" t="s">
        <v>10</v>
      </c>
      <c r="E34" s="165" t="s">
        <v>10</v>
      </c>
      <c r="F34" s="165" t="s">
        <v>10</v>
      </c>
      <c r="G34" s="165"/>
      <c r="H34" s="170"/>
      <c r="I34" s="170"/>
    </row>
    <row r="35" spans="1:9" ht="50.5">
      <c r="A35" s="173" t="s">
        <v>310</v>
      </c>
      <c r="B35" s="187" t="s">
        <v>311</v>
      </c>
      <c r="C35" s="165"/>
      <c r="D35" s="165" t="s">
        <v>10</v>
      </c>
      <c r="E35" s="165" t="s">
        <v>10</v>
      </c>
      <c r="F35" s="165" t="s">
        <v>10</v>
      </c>
      <c r="G35" s="165"/>
      <c r="H35" s="170"/>
      <c r="I35" s="170"/>
    </row>
    <row r="36" spans="1:9" ht="38">
      <c r="A36" s="173" t="s">
        <v>312</v>
      </c>
      <c r="B36" s="187" t="s">
        <v>313</v>
      </c>
      <c r="C36" s="165"/>
      <c r="D36" s="165" t="s">
        <v>10</v>
      </c>
      <c r="E36" s="165" t="s">
        <v>10</v>
      </c>
      <c r="F36" s="165" t="s">
        <v>10</v>
      </c>
      <c r="G36" s="165"/>
      <c r="H36" s="170"/>
      <c r="I36" s="170"/>
    </row>
    <row r="37" spans="1:9" ht="38">
      <c r="A37" s="173" t="s">
        <v>314</v>
      </c>
      <c r="B37" s="187" t="s">
        <v>315</v>
      </c>
      <c r="C37" s="165"/>
      <c r="D37" s="165" t="s">
        <v>10</v>
      </c>
      <c r="E37" s="165" t="s">
        <v>10</v>
      </c>
      <c r="F37" s="165" t="s">
        <v>10</v>
      </c>
      <c r="G37" s="165"/>
      <c r="H37" s="170"/>
      <c r="I37" s="170"/>
    </row>
    <row r="38" spans="1:9" ht="38">
      <c r="A38" s="173" t="s">
        <v>316</v>
      </c>
      <c r="B38" s="187" t="s">
        <v>317</v>
      </c>
      <c r="C38" s="165"/>
      <c r="D38" s="165" t="s">
        <v>10</v>
      </c>
      <c r="E38" s="165" t="s">
        <v>10</v>
      </c>
      <c r="F38" s="165" t="s">
        <v>10</v>
      </c>
      <c r="G38" s="165"/>
      <c r="H38" s="170"/>
      <c r="I38" s="170"/>
    </row>
    <row r="39" spans="1:9" ht="14">
      <c r="A39" s="167"/>
      <c r="B39" s="184" t="s">
        <v>208</v>
      </c>
      <c r="C39" s="168"/>
      <c r="D39" s="168"/>
      <c r="E39" s="168"/>
      <c r="F39" s="168"/>
      <c r="G39" s="168"/>
      <c r="H39" s="168"/>
      <c r="I39" s="169"/>
    </row>
    <row r="40" spans="1:9" ht="38">
      <c r="A40" s="173" t="s">
        <v>219</v>
      </c>
      <c r="B40" s="187" t="s">
        <v>199</v>
      </c>
      <c r="C40" s="165"/>
      <c r="D40" s="165" t="s">
        <v>205</v>
      </c>
      <c r="E40" s="165" t="s">
        <v>205</v>
      </c>
      <c r="F40" s="165" t="s">
        <v>205</v>
      </c>
      <c r="G40" s="165"/>
      <c r="H40" s="170"/>
      <c r="I40" s="170"/>
    </row>
    <row r="41" spans="1:9" ht="25.5">
      <c r="A41" s="173" t="s">
        <v>220</v>
      </c>
      <c r="B41" s="187" t="s">
        <v>200</v>
      </c>
      <c r="C41" s="165"/>
      <c r="D41" s="165" t="s">
        <v>205</v>
      </c>
      <c r="E41" s="165" t="s">
        <v>205</v>
      </c>
      <c r="F41" s="165" t="s">
        <v>205</v>
      </c>
      <c r="G41" s="165"/>
      <c r="H41" s="170"/>
      <c r="I41" s="170"/>
    </row>
    <row r="42" spans="1:9" ht="38">
      <c r="A42" s="173" t="s">
        <v>221</v>
      </c>
      <c r="B42" s="187" t="s">
        <v>201</v>
      </c>
      <c r="C42" s="165"/>
      <c r="D42" s="165" t="s">
        <v>205</v>
      </c>
      <c r="E42" s="165" t="s">
        <v>205</v>
      </c>
      <c r="F42" s="165" t="s">
        <v>205</v>
      </c>
      <c r="G42" s="165"/>
      <c r="H42" s="170"/>
      <c r="I42" s="170"/>
    </row>
    <row r="43" spans="1:9" ht="38">
      <c r="A43" s="173" t="s">
        <v>222</v>
      </c>
      <c r="B43" s="187" t="s">
        <v>202</v>
      </c>
      <c r="C43" s="165"/>
      <c r="D43" s="165" t="s">
        <v>21</v>
      </c>
      <c r="E43" s="165" t="s">
        <v>21</v>
      </c>
      <c r="F43" s="165" t="s">
        <v>21</v>
      </c>
      <c r="G43" s="165"/>
      <c r="H43" s="170"/>
      <c r="I43" s="170"/>
    </row>
    <row r="44" spans="1:9" ht="14">
      <c r="A44" s="167"/>
      <c r="B44" s="184" t="s">
        <v>209</v>
      </c>
      <c r="C44" s="168"/>
      <c r="D44" s="168"/>
      <c r="E44" s="168"/>
      <c r="F44" s="168"/>
      <c r="G44" s="168"/>
      <c r="H44" s="168"/>
      <c r="I44" s="169"/>
    </row>
    <row r="45" spans="1:9" ht="38">
      <c r="A45" s="173" t="s">
        <v>223</v>
      </c>
      <c r="B45" s="187" t="s">
        <v>203</v>
      </c>
      <c r="C45" s="165"/>
      <c r="D45" s="165" t="s">
        <v>205</v>
      </c>
      <c r="E45" s="165" t="s">
        <v>205</v>
      </c>
      <c r="F45" s="165" t="s">
        <v>205</v>
      </c>
      <c r="G45" s="165"/>
      <c r="H45" s="170"/>
      <c r="I45" s="170"/>
    </row>
    <row r="46" spans="1:9" ht="38">
      <c r="A46" s="173" t="s">
        <v>224</v>
      </c>
      <c r="B46" s="187" t="s">
        <v>204</v>
      </c>
      <c r="C46" s="165"/>
      <c r="D46" s="165" t="s">
        <v>205</v>
      </c>
      <c r="E46" s="165" t="s">
        <v>205</v>
      </c>
      <c r="F46" s="165" t="s">
        <v>205</v>
      </c>
      <c r="G46" s="165"/>
      <c r="H46" s="170"/>
      <c r="I46" s="170"/>
    </row>
    <row r="47" spans="1:9" ht="14">
      <c r="A47" s="167"/>
      <c r="B47" s="184" t="s">
        <v>196</v>
      </c>
      <c r="C47" s="168"/>
      <c r="D47" s="168"/>
      <c r="E47" s="168"/>
      <c r="F47" s="168"/>
      <c r="G47" s="168"/>
      <c r="H47" s="168"/>
      <c r="I47" s="169"/>
    </row>
    <row r="48" spans="1:9" ht="50.5">
      <c r="A48" s="173" t="s">
        <v>197</v>
      </c>
      <c r="B48" s="187" t="s">
        <v>198</v>
      </c>
      <c r="C48" s="165"/>
      <c r="D48" s="165" t="s">
        <v>10</v>
      </c>
      <c r="E48" s="165" t="s">
        <v>10</v>
      </c>
      <c r="F48" s="165" t="s">
        <v>10</v>
      </c>
      <c r="G48" s="165"/>
      <c r="H48" s="170"/>
      <c r="I48" s="170"/>
    </row>
    <row r="49" spans="1:9" ht="18">
      <c r="A49" s="188"/>
      <c r="B49" s="189" t="s">
        <v>225</v>
      </c>
      <c r="C49" s="188"/>
      <c r="D49" s="188"/>
      <c r="E49" s="188"/>
      <c r="F49" s="188"/>
      <c r="G49" s="188"/>
      <c r="H49" s="188"/>
      <c r="I49" s="188"/>
    </row>
  </sheetData>
  <mergeCells count="1">
    <mergeCell ref="H2:I2"/>
  </mergeCells>
  <dataValidations count="1">
    <dataValidation type="list" allowBlank="1" showInputMessage="1" showErrorMessage="1" sqref="C28:F38 C40:F43 C45:F46 C48:F48 C6:F6 C8:F9 C11:F16 C18:F20 C22:F26" xr:uid="{B90351A3-5E67-4875-A003-DFDC208ADE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2.xml><?xml version="1.0" encoding="utf-8"?>
<ds:datastoreItem xmlns:ds="http://schemas.openxmlformats.org/officeDocument/2006/customXml" ds:itemID="{E2965021-A51C-4AA2-B873-44DEF42FF54E}">
  <ds:schemaRefs>
    <ds:schemaRef ds:uri="http://schemas.openxmlformats.org/package/2006/metadata/core-properties"/>
    <ds:schemaRef ds:uri="http://purl.org/dc/terms/"/>
    <ds:schemaRef ds:uri="34c9bd9a-5a71-426a-ab93-6fe2caeb5e9e"/>
    <ds:schemaRef ds:uri="http://schemas.microsoft.com/office/infopath/2007/PartnerControls"/>
    <ds:schemaRef ds:uri="http://schemas.microsoft.com/office/2006/documentManagement/types"/>
    <ds:schemaRef ds:uri="46fc4dd3-b727-4544-ab7c-0ad95d465289"/>
    <ds:schemaRef ds:uri="http://schemas.microsoft.com/office/2006/metadata/properties"/>
    <ds:schemaRef ds:uri="http://purl.org/dc/elements/1.1/"/>
    <ds:schemaRef ds:uri="http://schemas.microsoft.com/sharepoint/v3"/>
    <ds:schemaRef ds:uri="http://www.w3.org/XML/1998/namespace"/>
    <ds:schemaRef ds:uri="http://purl.org/dc/dcmitype/"/>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98C16EC5-0551-401D-A254-E7E6FEBE4ED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FrontPage</vt:lpstr>
      <vt:lpstr>General info</vt:lpstr>
      <vt:lpstr>Help</vt:lpstr>
      <vt:lpstr>Synthesis Charts</vt:lpstr>
      <vt:lpstr>Overview</vt:lpstr>
      <vt:lpstr>Review</vt:lpstr>
      <vt:lpstr>SAD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ReviewerStatus</vt:lpstr>
      <vt:lpstr>'SAD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'SAD checklist'!Template.Name</vt:lpstr>
      <vt:lpstr>TemplateColumn</vt:lpstr>
      <vt:lpstr>TemplateRef</vt:lpstr>
      <vt:lpstr>Text_AllChecklists</vt:lpstr>
      <vt:lpstr>'SAD checklist'!Title.Checklist.Guide.HowToRate</vt:lpstr>
      <vt:lpstr>'SAD checklist'!Title.Checklist.Guide.WhatToCheck</vt:lpstr>
      <vt:lpstr>'SAD checklist'!Title.Checklist.ManualQuestion</vt:lpstr>
      <vt:lpstr>'SAD checklist'!Title.Checklist.NoteForAuditor</vt:lpstr>
      <vt:lpstr>'SAD checklist'!Title.Checklist.Question</vt:lpstr>
      <vt:lpstr>'SAD checklist'!Title.Checklist.QuestionReference</vt:lpstr>
      <vt:lpstr>'SAD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Andreea Negrea</cp:lastModifiedBy>
  <dcterms:created xsi:type="dcterms:W3CDTF">1996-10-21T11:03:58Z</dcterms:created>
  <dcterms:modified xsi:type="dcterms:W3CDTF">2023-03-09T10:30:16Z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ies>
</file>