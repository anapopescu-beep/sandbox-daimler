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My_sandboxes\DAI_MMA\Phase_02\View_Development\Architectures\Application\Quality_Assurance\Peer_Review\"/>
    </mc:Choice>
  </mc:AlternateContent>
  <xr:revisionPtr revIDLastSave="0" documentId="13_ncr:1_{7D75CB2C-E266-452A-8175-753A4BFEBE6F}" xr6:coauthVersionLast="47" xr6:coauthVersionMax="47" xr10:uidLastSave="{00000000-0000-0000-0000-000000000000}"/>
  <bookViews>
    <workbookView xWindow="28690" yWindow="-110" windowWidth="29020" windowHeight="1642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checklist'!$O$3</definedName>
    <definedName name="Title.Checklist.Guide.WhatToCheck" localSheetId="6">'SAD checklist'!$N$3</definedName>
    <definedName name="Title.Checklist.ManualQuestion" localSheetId="6">'SAD checklist'!$B$49</definedName>
    <definedName name="Title.Checklist.NoteForAuditor" localSheetId="6">'SAD checklist'!$N$2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193" l="1"/>
  <c r="J3" i="193"/>
  <c r="I3" i="193"/>
  <c r="H3" i="193" l="1"/>
  <c r="F3" i="193"/>
  <c r="E3" i="193"/>
  <c r="G3" i="193"/>
  <c r="D3" i="193"/>
  <c r="E27" i="16"/>
  <c r="E7" i="38"/>
  <c r="AB5" i="38"/>
  <c r="W7" i="38"/>
  <c r="W5" i="38"/>
  <c r="C3" i="193" l="1"/>
  <c r="L3" i="193"/>
  <c r="X27" i="16" l="1"/>
  <c r="W27" i="16"/>
  <c r="V27" i="16"/>
  <c r="U27" i="16"/>
  <c r="T27" i="16"/>
  <c r="S27" i="16"/>
  <c r="R27" i="16"/>
  <c r="Q27" i="16"/>
  <c r="P27" i="16"/>
  <c r="O27" i="16"/>
  <c r="N27" i="16"/>
  <c r="M27" i="16"/>
  <c r="L27" i="16"/>
  <c r="K27" i="16"/>
  <c r="J27" i="16"/>
  <c r="I27" i="16"/>
  <c r="H27" i="16"/>
  <c r="G27" i="16"/>
  <c r="F27" i="16"/>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<sst xmlns="http://schemas.openxmlformats.org/spreadsheetml/2006/main" count="1115" uniqueCount="411">
  <si>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</si>
  <si>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</si>
  <si>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</si>
  <si>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</si>
  <si>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</si>
  <si>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</si>
  <si>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</si>
  <si>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</si>
  <si>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</si>
  <si>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</si>
  <si>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</si>
  <si>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</si>
  <si>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</si>
  <si>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</si>
  <si>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</si>
  <si>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</si>
  <si>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</si>
  <si>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</si>
  <si>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</si>
  <si>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</si>
  <si>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</si>
  <si>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</si>
  <si>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</si>
  <si>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</si>
  <si>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</si>
  <si>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</si>
  <si>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</si>
  <si>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</si>
  <si>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</si>
  <si>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</si>
  <si>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</si>
  <si>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</si>
  <si>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</si>
  <si>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</si>
  <si>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</si>
  <si>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</si>
  <si>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</si>
  <si>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</si>
  <si>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</si>
  <si>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</si>
  <si>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</si>
  <si>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</si>
  <si>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</si>
  <si>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</si>
  <si>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</si>
  <si>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</si>
  <si>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</si>
  <si>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</si>
  <si>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</si>
  <si>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</si>
  <si>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</si>
  <si>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</si>
  <si>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</si>
  <si>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</si>
  <si>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</si>
  <si>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</si>
  <si>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</si>
  <si>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</si>
  <si>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</si>
  <si>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</si>
  <si>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</si>
  <si>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</si>
  <si>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</si>
  <si>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</si>
  <si>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</si>
  <si>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</si>
  <si>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</si>
  <si>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</si>
  <si>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</si>
  <si>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</si>
  <si>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</si>
  <si>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</si>
  <si>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</si>
  <si>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</si>
  <si>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</si>
  <si>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</si>
  <si>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</si>
  <si>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</si>
  <si>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</si>
  <si>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</si>
  <si>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</si>
  <si>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</si>
  <si>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</si>
  <si>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</si>
  <si>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</si>
  <si>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</si>
  <si>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</si>
  <si>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</si>
  <si>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</si>
  <si>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</si>
  <si>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</si>
  <si>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</si>
  <si>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</si>
  <si>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</si>
  <si>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</si>
  <si>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</si>
  <si>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</si>
  <si>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</si>
  <si>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</si>
  <si>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</si>
  <si>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</si>
  <si>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</si>
  <si>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</si>
  <si>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</si>
  <si>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</si>
  <si>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</si>
  <si>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</si>
  <si>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</si>
  <si>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</si>
  <si>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</si>
  <si>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</si>
  <si>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</si>
  <si>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</si>
  <si>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</si>
  <si>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</si>
  <si>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</si>
  <si>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</si>
  <si>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</si>
  <si>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</si>
  <si>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</si>
  <si>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</si>
  <si>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</si>
  <si>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</si>
  <si>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</si>
  <si>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</si>
  <si>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</si>
  <si>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</si>
  <si>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</si>
  <si>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</si>
  <si>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</si>
  <si>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</si>
  <si>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</si>
  <si>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</si>
  <si>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</si>
  <si>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</si>
  <si>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</si>
  <si>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</si>
  <si>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</si>
  <si>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</si>
  <si>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</si>
  <si>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</si>
  <si>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</si>
  <si>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</si>
  <si>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</si>
  <si>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</si>
  <si>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</si>
  <si>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</si>
  <si>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</si>
  <si>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</si>
  <si>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</si>
  <si>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</si>
  <si>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</si>
  <si>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</si>
  <si>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</si>
  <si>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</si>
  <si>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</si>
  <si>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</si>
  <si>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</si>
  <si>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</si>
  <si>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</si>
  <si>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</si>
  <si>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</si>
  <si>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</si>
  <si>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</si>
  <si>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</si>
  <si>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</si>
  <si>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</si>
  <si>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</si>
  <si>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</si>
  <si>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</si>
  <si>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</si>
  <si>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</si>
  <si>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</si>
  <si>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</si>
  <si>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</si>
  <si>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</si>
  <si>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</si>
  <si>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</si>
  <si>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</si>
  <si>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</si>
  <si>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</si>
  <si>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</si>
  <si>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</si>
  <si>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</si>
  <si>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</si>
  <si>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</si>
  <si>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</si>
  <si>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</si>
  <si>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</si>
  <si>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</si>
  <si>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</si>
  <si>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</si>
  <si>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</si>
  <si>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</si>
  <si>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</si>
  <si>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</si>
  <si>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</si>
  <si>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</si>
  <si>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</si>
  <si>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</si>
  <si>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</si>
  <si>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</si>
  <si>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</si>
  <si>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</si>
  <si>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</si>
  <si>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</si>
  <si>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</si>
  <si>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</si>
  <si>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</si>
  <si>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</si>
  <si>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</si>
  <si>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</si>
  <si>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</si>
  <si>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</si>
  <si>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</si>
  <si>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</si>
  <si>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</si>
  <si>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</si>
  <si>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</si>
  <si>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</si>
  <si>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</si>
  <si>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</si>
  <si>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</si>
  <si>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</si>
  <si>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</si>
  <si>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</si>
  <si>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</si>
  <si>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</si>
  <si>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</si>
  <si>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</si>
  <si>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</si>
  <si>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</si>
  <si>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</si>
  <si>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</si>
  <si>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</si>
  <si>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</si>
  <si>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</si>
  <si>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</si>
  <si>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</si>
  <si>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</si>
  <si>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</si>
  <si>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</si>
  <si>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</si>
  <si>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</si>
  <si>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</si>
  <si>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</si>
  <si>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</si>
  <si>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</si>
  <si>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</si>
  <si>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</si>
  <si>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</si>
  <si>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</si>
  <si>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</si>
  <si>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</si>
  <si>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</si>
  <si>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</si>
  <si>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</si>
  <si>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</si>
  <si>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</si>
  <si>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</si>
  <si>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</si>
  <si>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</si>
  <si>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</si>
  <si>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</si>
  <si>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</si>
  <si>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</si>
  <si>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</si>
  <si>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</si>
  <si>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</si>
  <si>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</si>
  <si>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</si>
  <si>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</si>
  <si>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</si>
  <si>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</si>
  <si>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</si>
  <si>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</si>
  <si>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</si>
  <si>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</si>
  <si>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</si>
  <si>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</si>
  <si>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</si>
  <si>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</si>
  <si>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</si>
  <si>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</si>
  <si>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</si>
  <si>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</si>
  <si>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</si>
  <si>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</si>
  <si>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</si>
  <si>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</si>
  <si>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</si>
  <si>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</si>
  <si>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</si>
  <si>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</si>
  <si>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</si>
  <si>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</si>
  <si>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</si>
  <si>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</si>
  <si>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</si>
  <si>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</si>
  <si>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</si>
  <si>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</si>
  <si>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</si>
  <si>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</si>
  <si>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</si>
  <si>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</si>
  <si>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</si>
  <si>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</si>
  <si>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</si>
  <si>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</si>
  <si>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</si>
  <si>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</si>
  <si>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</si>
  <si>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</si>
  <si>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</si>
  <si>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</si>
  <si>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</si>
  <si>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</si>
  <si>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</si>
  <si>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</si>
  <si>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</si>
  <si>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</si>
  <si>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</si>
  <si>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</si>
  <si>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</si>
  <si>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</si>
  <si>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</si>
  <si>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</si>
  <si>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</si>
  <si>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</si>
  <si>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</si>
  <si>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</si>
  <si>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</si>
  <si>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</si>
  <si>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</si>
  <si>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</si>
  <si>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</si>
  <si>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</si>
  <si>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</si>
  <si>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</si>
  <si>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</si>
  <si>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</si>
  <si>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</si>
  <si>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</si>
  <si>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</si>
  <si>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</si>
  <si>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DAIMLER MMA</t>
  </si>
  <si>
    <t>Andreea Negrea</t>
  </si>
  <si>
    <t>SW Architecture EOL - Peer Review Workbook (PRWB).xlsm</t>
  </si>
  <si>
    <t>Update the applicable release to the correct one ( 2.0)</t>
  </si>
  <si>
    <t>1.1.4.2</t>
  </si>
  <si>
    <t>EOL - Desing Interface description.docx</t>
  </si>
  <si>
    <t>Update evolution of the document with corect revision</t>
  </si>
  <si>
    <t>Update number of pages</t>
  </si>
  <si>
    <t>Update chapters for Design Interface description documents (1.2) and Design Specification documents (1.3)</t>
  </si>
  <si>
    <t>Remove chapter for freescale documents</t>
  </si>
  <si>
    <t>Update 1.5 chapter HW data</t>
  </si>
  <si>
    <t>Delete UML reference</t>
  </si>
  <si>
    <t>Please update static description Figure( Use Umlet tool ) and remove SCH -&gt; OS tasks. Also update naming for  read counters from NVP</t>
  </si>
  <si>
    <t>Remove Dynamic descriptions since ATM is not  used .</t>
  </si>
  <si>
    <t>Rephrase architecture elements for autotests , since inhibiton of belt cycles is not EOL job ( ARCH_SW_EOL_0004; ARCH_SW_EOL_0005; ARCH_SW_EOL_0006)</t>
  </si>
  <si>
    <t>Specify which cycles incrementd which counters and function used for signaling that one NVP block has chenged and needs to be saved.</t>
  </si>
  <si>
    <t>Remove empty chapters : 6.1.2, 6.2.2 ,  6.3.2</t>
  </si>
  <si>
    <t>Update MCU resources to Rom : 1.0 k bytes .</t>
  </si>
  <si>
    <t>EOL - Design Interface Description.docx - 1.1.4.2</t>
  </si>
  <si>
    <t>EOL - Desing Interface Description.docx</t>
  </si>
  <si>
    <t>14.06.2022</t>
  </si>
  <si>
    <t>Release updated.</t>
  </si>
  <si>
    <t>Stefan Dominte</t>
  </si>
  <si>
    <t>Revision updated.</t>
  </si>
  <si>
    <t>Chapters updated.</t>
  </si>
  <si>
    <t>Chapter removed.</t>
  </si>
  <si>
    <t>Chapters removed.</t>
  </si>
  <si>
    <t>Resource updated.</t>
  </si>
  <si>
    <t>Dynamic description removed.</t>
  </si>
  <si>
    <t>Update {A13} refercne since it's not in scope</t>
  </si>
  <si>
    <t>Reference removed.</t>
  </si>
  <si>
    <t>Elements rephrased.</t>
  </si>
  <si>
    <t>Chapter updated.</t>
  </si>
  <si>
    <t>Elements updated.</t>
  </si>
  <si>
    <t>Number updated.</t>
  </si>
  <si>
    <t>Static description updated.</t>
  </si>
  <si>
    <t>1.1.4.5</t>
  </si>
  <si>
    <t>No findings</t>
  </si>
  <si>
    <t>15.06.2022</t>
  </si>
  <si>
    <t>EOL - Design Interface Description.docx - 1.1.4.5</t>
  </si>
  <si>
    <t>26.08.2022</t>
  </si>
  <si>
    <t>1.1.4.8</t>
  </si>
  <si>
    <t>EOL - Design Interface Description.docx - 1.1.4.8</t>
  </si>
  <si>
    <t>15.11.2022</t>
  </si>
  <si>
    <t>EOL - Design Interface Description.docx - 1.1.4.9</t>
  </si>
  <si>
    <t>1.1.4.9</t>
  </si>
  <si>
    <t>Update the table of contents.</t>
  </si>
  <si>
    <t>1.1.4</t>
  </si>
  <si>
    <t>1.1.4.10</t>
  </si>
  <si>
    <t>18.11.2022</t>
  </si>
  <si>
    <t>EOL - Design Interface Description.docx - 1.1.4.10</t>
  </si>
  <si>
    <t>Update chapter 1.2 and 1.3</t>
  </si>
  <si>
    <t>Mirela Obada</t>
  </si>
  <si>
    <t>Update static description</t>
  </si>
  <si>
    <t>Update with all runnables</t>
  </si>
  <si>
    <t>1.1.4.13</t>
  </si>
  <si>
    <t>1.1.4.14</t>
  </si>
  <si>
    <t>08.02.2022</t>
  </si>
  <si>
    <t>EOL - Design Interface Description.docx - 1.1.4.12</t>
  </si>
  <si>
    <t>Runnable list updated.</t>
  </si>
  <si>
    <t>EOL - Design Interface Description.docx - 1.1.4.14</t>
  </si>
  <si>
    <t>EOL - Design Interface Description.docx - 1.1.4.15</t>
  </si>
  <si>
    <t>1.1.4.15</t>
  </si>
  <si>
    <t>1.1.4.17</t>
  </si>
  <si>
    <t>EOL - Design Interface Description.docx - 1.1.4.17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</si>
</sst>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5" fillId="6" borderId="14" applyNumberFormat="0" applyAlignment="0" applyProtection="0"/>
    <xf numFmtId="0" fontId="56" fillId="0" borderId="0" applyNumberFormat="0" applyFill="0" applyBorder="0" applyAlignment="0" applyProtection="0"/>
    <xf numFmtId="0" fontId="25" fillId="0" borderId="0"/>
    <xf numFmtId="0" fontId="50" fillId="0" borderId="0"/>
    <xf numFmtId="0" fontId="54" fillId="0" borderId="0"/>
    <xf numFmtId="0" fontId="25" fillId="0" borderId="0"/>
    <xf numFmtId="0" fontId="32" fillId="0" borderId="0"/>
    <xf numFmtId="0" fontId="58" fillId="6" borderId="15" applyNumberFormat="0" applyAlignment="0" applyProtection="0"/>
    <xf numFmtId="0" fontId="24" fillId="0" borderId="0"/>
    <xf numFmtId="0" fontId="23" fillId="0" borderId="0"/>
    <xf numFmtId="0" fontId="22" fillId="0" borderId="0"/>
    <xf numFmtId="0" fontId="83" fillId="25" borderId="14" applyNumberFormat="0" applyAlignment="0" applyProtection="0"/>
    <xf numFmtId="0" fontId="84"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 fillId="27" borderId="0" applyNumberFormat="0" applyBorder="0" applyAlignment="0" applyProtection="0"/>
    <xf numFmtId="0" fontId="7" fillId="27" borderId="0" applyNumberFormat="0" applyBorder="0" applyAlignment="0" applyProtection="0"/>
    <xf numFmtId="0" fontId="103" fillId="0" borderId="0" applyNumberFormat="0" applyFill="0" applyBorder="0" applyAlignment="0" applyProtection="0"/>
  </cellStyleXfs>
  <cellXfs count="311">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Border="1" applyAlignment="1">
      <alignment wrapText="1"/>
    </xf>
    <xf numFmtId="0" fontId="59" fillId="7" borderId="0" xfId="0" applyFont="1" applyFill="1" applyBorder="1" applyAlignment="1">
      <alignment horizontal="center" vertical="center" wrapText="1"/>
    </xf>
    <xf numFmtId="0" fontId="26" fillId="3" borderId="12"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Font="1" applyFill="1" applyAlignment="1">
      <alignment vertical="center"/>
    </xf>
    <xf numFmtId="0" fontId="59" fillId="0" borderId="0" xfId="0" applyFont="1" applyFill="1" applyBorder="1" applyAlignment="1">
      <alignment vertical="center" wrapText="1"/>
    </xf>
    <xf numFmtId="0" fontId="47"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0" fontId="0" fillId="2" borderId="5" xfId="0" applyFill="1" applyBorder="1" applyAlignment="1">
      <alignment wrapText="1"/>
    </xf>
    <xf numFmtId="0" fontId="25" fillId="2" borderId="0" xfId="0" applyFont="1" applyFill="1" applyBorder="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5" fillId="8" borderId="0" xfId="0" applyFont="1" applyFill="1" applyBorder="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6" fillId="3" borderId="16" xfId="0" applyFont="1" applyFill="1" applyBorder="1" applyAlignment="1">
      <alignment horizontal="center" vertical="center" wrapText="1"/>
    </xf>
    <xf numFmtId="0" fontId="25"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Border="1" applyAlignment="1">
      <alignment horizontal="center" vertical="center" wrapText="1"/>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8" fillId="14" borderId="1" xfId="0" applyFont="1" applyFill="1" applyBorder="1" applyAlignment="1">
      <alignment horizontal="center" vertical="center" wrapText="1"/>
    </xf>
    <xf numFmtId="0" fontId="5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1" fillId="13" borderId="1" xfId="0" applyFont="1" applyFill="1" applyBorder="1" applyAlignment="1">
      <alignment horizontal="center" vertical="center" wrapText="1"/>
    </xf>
    <xf numFmtId="0" fontId="0" fillId="0" borderId="0" xfId="0" applyFill="1" applyBorder="1" applyAlignment="1">
      <alignment horizontal="center"/>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Border="1" applyAlignment="1">
      <alignment horizontal="left" vertical="center"/>
    </xf>
    <xf numFmtId="0" fontId="25" fillId="12" borderId="0" xfId="0" applyFont="1" applyFill="1" applyBorder="1" applyAlignment="1">
      <alignment horizontal="left" vertical="center"/>
    </xf>
    <xf numFmtId="0" fontId="25" fillId="15" borderId="0" xfId="0" applyFont="1" applyFill="1" applyBorder="1" applyAlignment="1">
      <alignment horizontal="left" vertical="center"/>
    </xf>
    <xf numFmtId="0" fontId="25" fillId="13" borderId="0" xfId="0" applyFont="1" applyFill="1" applyBorder="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5" fillId="6" borderId="16" xfId="1" applyBorder="1" applyAlignment="1">
      <alignment horizontal="center" vertical="center"/>
    </xf>
    <xf numFmtId="0" fontId="25" fillId="3" borderId="12" xfId="0" applyFont="1" applyFill="1" applyBorder="1" applyAlignment="1">
      <alignment horizontal="center" vertical="center" wrapText="1"/>
    </xf>
    <xf numFmtId="0" fontId="55" fillId="6" borderId="1" xfId="1" applyFont="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5" fillId="6" borderId="1" xfId="1" applyBorder="1" applyAlignment="1">
      <alignment horizontal="center" vertical="center"/>
    </xf>
    <xf numFmtId="0" fontId="57" fillId="6" borderId="16" xfId="1" applyFont="1" applyBorder="1" applyAlignment="1">
      <alignment horizontal="center" vertical="center"/>
    </xf>
    <xf numFmtId="0" fontId="26" fillId="3" borderId="1" xfId="0" applyFont="1" applyFill="1" applyBorder="1" applyAlignment="1">
      <alignment horizontal="center" vertical="center" wrapText="1"/>
    </xf>
    <xf numFmtId="0" fontId="25" fillId="2" borderId="1" xfId="0" applyFont="1" applyFill="1" applyBorder="1" applyAlignment="1">
      <alignment horizontal="center"/>
    </xf>
    <xf numFmtId="0" fontId="25"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2" borderId="0" xfId="0" applyFont="1" applyFill="1"/>
    <xf numFmtId="0" fontId="25" fillId="2" borderId="0" xfId="0" applyFont="1" applyFill="1" applyAlignment="1">
      <alignment vertical="top"/>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4"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NumberFormat="1" applyFont="1" applyFill="1" applyBorder="1" applyAlignment="1">
      <alignment horizontal="center" vertical="center"/>
    </xf>
    <xf numFmtId="0" fontId="25" fillId="21" borderId="0" xfId="0" applyFont="1" applyFill="1" applyBorder="1" applyAlignment="1">
      <alignment horizontal="left" vertical="top" wrapText="1"/>
    </xf>
    <xf numFmtId="0" fontId="25" fillId="21" borderId="0" xfId="0" applyFont="1" applyFill="1" applyBorder="1" applyAlignment="1">
      <alignment wrapText="1"/>
    </xf>
    <xf numFmtId="0" fontId="0" fillId="21" borderId="0" xfId="0" applyFill="1" applyBorder="1" applyAlignment="1">
      <alignment wrapText="1"/>
    </xf>
    <xf numFmtId="0" fontId="25" fillId="9" borderId="0" xfId="0" applyFont="1" applyFill="1" applyBorder="1" applyAlignment="1">
      <alignment wrapText="1"/>
    </xf>
    <xf numFmtId="0" fontId="0" fillId="9" borderId="0" xfId="0" applyFill="1" applyBorder="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5"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9" fillId="8" borderId="0" xfId="0" applyFont="1" applyFill="1" applyAlignment="1">
      <alignment horizontal="center" vertical="center"/>
    </xf>
    <xf numFmtId="0" fontId="49" fillId="8" borderId="0" xfId="0" applyFont="1" applyFill="1" applyAlignment="1">
      <alignment vertical="center"/>
    </xf>
    <xf numFmtId="0" fontId="49" fillId="0" borderId="0" xfId="0" applyFont="1" applyAlignment="1">
      <alignment vertical="center"/>
    </xf>
    <xf numFmtId="0" fontId="28" fillId="0" borderId="0" xfId="0" applyFont="1" applyFill="1" applyAlignment="1">
      <alignment vertical="center"/>
    </xf>
    <xf numFmtId="0" fontId="55" fillId="6" borderId="14" xfId="1"/>
    <xf numFmtId="0" fontId="87" fillId="29" borderId="20" xfId="14" applyFont="1" applyFill="1" applyBorder="1" applyAlignment="1" applyProtection="1">
      <alignment horizontal="center" vertical="center" wrapText="1"/>
      <protection locked="0"/>
    </xf>
    <xf numFmtId="0" fontId="88" fillId="13" borderId="20" xfId="14" applyFont="1" applyFill="1" applyBorder="1" applyAlignment="1" applyProtection="1">
      <alignment horizontal="center" vertical="center" wrapText="1"/>
    </xf>
    <xf numFmtId="0" fontId="87" fillId="7" borderId="1" xfId="14" applyFont="1" applyFill="1" applyBorder="1" applyAlignment="1">
      <alignment horizontal="left" vertical="center"/>
    </xf>
    <xf numFmtId="0" fontId="83" fillId="25" borderId="14" xfId="12" applyAlignment="1">
      <alignment horizontal="center" vertical="center"/>
    </xf>
    <xf numFmtId="0" fontId="87"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3" fillId="30" borderId="19" xfId="15" applyFont="1" applyFill="1" applyBorder="1" applyAlignment="1">
      <alignment vertical="center" wrapText="1"/>
    </xf>
    <xf numFmtId="0" fontId="93" fillId="30" borderId="11" xfId="15" applyFont="1" applyFill="1" applyBorder="1" applyAlignment="1">
      <alignment vertical="center" wrapText="1"/>
    </xf>
    <xf numFmtId="0" fontId="25" fillId="5" borderId="1" xfId="15" applyFill="1" applyBorder="1" applyAlignment="1">
      <alignment vertical="center"/>
    </xf>
    <xf numFmtId="0" fontId="25" fillId="0" borderId="12" xfId="3" applyBorder="1" applyAlignment="1">
      <alignment vertical="center"/>
    </xf>
    <xf numFmtId="0" fontId="25" fillId="0" borderId="7" xfId="3" applyBorder="1" applyAlignment="1">
      <alignment vertical="center"/>
    </xf>
    <xf numFmtId="0" fontId="94" fillId="5" borderId="1" xfId="15" applyFont="1" applyFill="1" applyBorder="1" applyAlignment="1">
      <alignment horizontal="center" vertical="center"/>
    </xf>
    <xf numFmtId="0" fontId="25" fillId="5" borderId="1" xfId="15" applyFill="1" applyBorder="1" applyAlignment="1">
      <alignment vertical="center" wrapText="1"/>
    </xf>
    <xf numFmtId="0" fontId="64" fillId="32" borderId="1" xfId="15" applyFont="1" applyFill="1" applyBorder="1" applyAlignment="1">
      <alignment horizontal="center" vertical="center" textRotation="45" wrapText="1"/>
    </xf>
    <xf numFmtId="0" fontId="91" fillId="32" borderId="1" xfId="15" applyFont="1" applyFill="1" applyBorder="1" applyAlignment="1">
      <alignment horizontal="center" vertical="center" wrapText="1"/>
    </xf>
    <xf numFmtId="0" fontId="79" fillId="32" borderId="1" xfId="15" applyFont="1" applyFill="1" applyBorder="1" applyAlignment="1">
      <alignment horizontal="center" vertical="center" textRotation="45"/>
    </xf>
    <xf numFmtId="0" fontId="79" fillId="32" borderId="1" xfId="15" applyFont="1" applyFill="1" applyBorder="1" applyAlignment="1">
      <alignment horizontal="center" vertical="center" wrapText="1"/>
    </xf>
    <xf numFmtId="0" fontId="64" fillId="32" borderId="13" xfId="15" applyFont="1" applyFill="1" applyBorder="1" applyAlignment="1">
      <alignment horizontal="center" vertical="center"/>
    </xf>
    <xf numFmtId="0" fontId="92" fillId="32" borderId="13" xfId="15" applyFont="1" applyFill="1" applyBorder="1" applyAlignment="1">
      <alignment horizontal="center" vertical="center" wrapText="1"/>
    </xf>
    <xf numFmtId="0" fontId="64" fillId="24" borderId="7" xfId="15" applyFont="1" applyFill="1" applyBorder="1" applyAlignment="1">
      <alignment horizontal="center" vertical="center"/>
    </xf>
    <xf numFmtId="0" fontId="95" fillId="24" borderId="8" xfId="15" applyFont="1" applyFill="1" applyBorder="1" applyAlignment="1">
      <alignment horizontal="center" vertical="center" wrapText="1"/>
    </xf>
    <xf numFmtId="0" fontId="92" fillId="24" borderId="8" xfId="15" applyFont="1" applyFill="1" applyBorder="1" applyAlignment="1">
      <alignment horizontal="center" vertical="center" wrapText="1"/>
    </xf>
    <xf numFmtId="0" fontId="92" fillId="24" borderId="9" xfId="15" applyFont="1" applyFill="1" applyBorder="1" applyAlignment="1">
      <alignment horizontal="center" vertical="center" wrapText="1"/>
    </xf>
    <xf numFmtId="0" fontId="35"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35" fillId="31" borderId="0" xfId="3" applyFont="1" applyFill="1" applyAlignment="1">
      <alignment horizontal="center" wrapText="1"/>
    </xf>
    <xf numFmtId="0" fontId="47" fillId="31" borderId="0" xfId="3" applyFont="1" applyFill="1" applyAlignment="1">
      <alignment horizontal="center" wrapText="1"/>
    </xf>
    <xf numFmtId="0" fontId="87" fillId="29" borderId="12" xfId="29" applyFont="1" applyFill="1" applyBorder="1" applyAlignment="1">
      <alignment horizontal="center" vertical="center" wrapText="1"/>
    </xf>
    <xf numFmtId="0" fontId="100" fillId="0" borderId="2" xfId="0" applyFont="1" applyBorder="1" applyAlignment="1">
      <alignment horizontal="right" vertical="center"/>
    </xf>
    <xf numFmtId="0" fontId="102" fillId="0" borderId="0" xfId="0" applyFont="1" applyBorder="1" applyAlignment="1">
      <alignment wrapText="1"/>
    </xf>
    <xf numFmtId="0" fontId="84" fillId="7" borderId="1" xfId="14" applyFont="1" applyFill="1" applyBorder="1" applyAlignment="1">
      <alignment horizontal="center" vertical="center"/>
    </xf>
    <xf numFmtId="0" fontId="103" fillId="8" borderId="0" xfId="30" applyFill="1" applyAlignment="1">
      <alignment horizontal="center" wrapText="1"/>
    </xf>
    <xf numFmtId="0" fontId="25" fillId="0" borderId="1" xfId="0" applyFont="1" applyBorder="1" applyAlignment="1">
      <alignment horizontal="center" vertical="center" wrapText="1"/>
    </xf>
    <xf numFmtId="0" fontId="6" fillId="0" borderId="0" xfId="11" applyFont="1"/>
    <xf numFmtId="0" fontId="22" fillId="0" borderId="0" xfId="11" applyFill="1" applyBorder="1"/>
    <xf numFmtId="0" fontId="5" fillId="0" borderId="0" xfId="11" applyFont="1" applyFill="1" applyBorder="1"/>
    <xf numFmtId="0" fontId="55" fillId="6" borderId="21" xfId="1" applyBorder="1"/>
    <xf numFmtId="0" fontId="22" fillId="0" borderId="0" xfId="11" applyFill="1"/>
    <xf numFmtId="0" fontId="4" fillId="0" borderId="0" xfId="11" applyFont="1" applyFill="1"/>
    <xf numFmtId="0" fontId="3" fillId="0" borderId="0" xfId="11" applyFont="1" applyFill="1" applyBorder="1"/>
    <xf numFmtId="0" fontId="2" fillId="0" borderId="0" xfId="11" applyFont="1" applyFill="1" applyBorder="1"/>
    <xf numFmtId="0" fontId="55" fillId="6" borderId="0" xfId="1" applyBorder="1"/>
    <xf numFmtId="0" fontId="1" fillId="0" borderId="0" xfId="11" applyFont="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3"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6" fillId="0" borderId="10" xfId="2" applyBorder="1" applyAlignment="1">
      <alignment horizontal="left" vertical="center" wrapText="1"/>
    </xf>
    <xf numFmtId="0" fontId="44" fillId="18" borderId="1" xfId="3"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0" fontId="25" fillId="0" borderId="1" xfId="3"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49" fontId="25" fillId="22" borderId="1" xfId="3" applyNumberFormat="1" applyFill="1" applyBorder="1" applyAlignment="1" applyProtection="1">
      <alignment horizontal="center" vertical="center" wrapText="1"/>
      <protection locked="0"/>
    </xf>
    <xf numFmtId="49" fontId="25" fillId="33" borderId="1" xfId="3" applyNumberFormat="1" applyFon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49" fontId="25" fillId="19"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49" fontId="25" fillId="23" borderId="1" xfId="3" applyNumberFormat="1"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2" fillId="2" borderId="10" xfId="7" applyFill="1" applyBorder="1" applyAlignment="1">
      <alignment horizontal="justify" vertical="center" wrapText="1"/>
    </xf>
    <xf numFmtId="0" fontId="32" fillId="2" borderId="19" xfId="7" applyFill="1" applyBorder="1" applyAlignment="1">
      <alignment horizontal="justify" vertical="center" wrapText="1"/>
    </xf>
    <xf numFmtId="0" fontId="32" fillId="2" borderId="11" xfId="7" applyFill="1" applyBorder="1" applyAlignment="1">
      <alignment horizontal="justify" vertical="center" wrapText="1"/>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3" fillId="3" borderId="7" xfId="7" applyFont="1" applyFill="1" applyBorder="1" applyAlignment="1">
      <alignment horizontal="center" vertical="distributed"/>
    </xf>
    <xf numFmtId="0" fontId="33" fillId="3" borderId="8" xfId="7" applyFont="1" applyFill="1" applyBorder="1" applyAlignment="1">
      <alignment horizontal="center" vertical="distributed"/>
    </xf>
    <xf numFmtId="0" fontId="33"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6" fillId="28" borderId="4" xfId="13" applyFont="1" applyFill="1" applyBorder="1" applyAlignment="1" applyProtection="1">
      <alignment horizontal="center" vertical="center" wrapText="1"/>
      <protection locked="0"/>
    </xf>
    <xf numFmtId="0" fontId="86" fillId="28" borderId="5" xfId="13" applyFont="1" applyFill="1" applyBorder="1" applyAlignment="1" applyProtection="1">
      <alignment horizontal="center" vertical="center" wrapText="1"/>
      <protection locked="0"/>
    </xf>
    <xf numFmtId="0" fontId="86" fillId="28" borderId="6" xfId="13" applyFont="1" applyFill="1" applyBorder="1" applyAlignment="1" applyProtection="1">
      <alignment horizontal="center" vertical="center" wrapText="1"/>
      <protection locked="0"/>
    </xf>
    <xf numFmtId="0" fontId="86" fillId="16" borderId="4" xfId="13" applyFont="1" applyFill="1" applyBorder="1" applyAlignment="1" applyProtection="1">
      <alignment horizontal="center" vertical="center" wrapText="1"/>
    </xf>
    <xf numFmtId="0" fontId="86" fillId="16" borderId="5" xfId="13" applyFont="1" applyFill="1" applyBorder="1" applyAlignment="1" applyProtection="1">
      <alignment horizontal="center" vertical="center" wrapText="1"/>
    </xf>
    <xf numFmtId="0" fontId="83" fillId="25" borderId="14" xfId="12" applyAlignment="1">
      <alignment horizontal="left" vertical="center"/>
    </xf>
    <xf numFmtId="0" fontId="35" fillId="8" borderId="5" xfId="0" applyFont="1" applyFill="1" applyBorder="1" applyAlignment="1">
      <alignment horizontal="center" vertical="center"/>
    </xf>
    <xf numFmtId="0" fontId="35" fillId="8" borderId="6" xfId="0" applyFont="1" applyFill="1" applyBorder="1" applyAlignment="1">
      <alignment horizontal="center" vertical="center"/>
    </xf>
    <xf numFmtId="0" fontId="91" fillId="28" borderId="10" xfId="2" applyFont="1" applyFill="1" applyBorder="1" applyAlignment="1" applyProtection="1">
      <alignment horizontal="center" vertical="center" wrapText="1"/>
      <protection locked="0"/>
    </xf>
    <xf numFmtId="0" fontId="91"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8">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9</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6540500</xdr:colOff>
          <xdr:row>117</xdr:row>
          <xdr:rowOff>63500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8" totalsRowShown="0" headerRowDxfId="47" headerRowBorderDxfId="46" tableBorderDxfId="45" headerRowCellStyle="40% - Accent5" dataCellStyle="Normal 4">
  <autoFilter ref="A2:O8"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44"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5" sqref="E15:AG15"/>
    </sheetView>
  </sheetViews>
  <sheetFormatPr defaultColWidth="0" defaultRowHeight="12.75" customHeight="1" zeroHeight="1"/>
  <cols>
    <col min="1" max="3" width="2.6328125" style="111" customWidth="1"/>
    <col min="4" max="4" width="3.36328125" style="111" customWidth="1"/>
    <col min="5" max="33" width="2.6328125" style="111" customWidth="1"/>
    <col min="34" max="34" width="1.36328125" style="111" customWidth="1"/>
    <col min="35" max="60" width="3.36328125" style="111" hidden="1" customWidth="1"/>
    <col min="61" max="16384" width="0" style="111" hidden="1"/>
  </cols>
  <sheetData>
    <row r="1" spans="1:37" s="101" customFormat="1" ht="12.5">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2.5"/>
    <row r="3" spans="1:37" s="101" customFormat="1" ht="12.5">
      <c r="AD3" s="106" t="s">
        <v>348</v>
      </c>
    </row>
    <row r="4" spans="1:37" s="101" customFormat="1" ht="11.15" customHeight="1">
      <c r="A4" s="239" t="s">
        <v>5</v>
      </c>
      <c r="B4" s="240"/>
      <c r="C4" s="240"/>
      <c r="D4" s="240"/>
      <c r="E4" s="240"/>
      <c r="F4" s="240"/>
      <c r="G4" s="240"/>
      <c r="H4" s="240"/>
      <c r="I4" s="240"/>
      <c r="J4" s="240"/>
      <c r="K4" s="240"/>
      <c r="L4" s="240"/>
      <c r="M4" s="240"/>
      <c r="N4" s="240"/>
      <c r="O4" s="240"/>
      <c r="P4" s="240"/>
      <c r="Q4" s="241"/>
      <c r="R4" s="236" t="s">
        <v>12</v>
      </c>
      <c r="S4" s="237"/>
      <c r="T4" s="237"/>
      <c r="U4" s="237"/>
      <c r="V4" s="238"/>
      <c r="W4" s="236" t="s">
        <v>6</v>
      </c>
      <c r="X4" s="237"/>
      <c r="Y4" s="237"/>
      <c r="Z4" s="237"/>
      <c r="AA4" s="238"/>
      <c r="AB4" s="239" t="s">
        <v>137</v>
      </c>
      <c r="AC4" s="240"/>
      <c r="AD4" s="240"/>
      <c r="AE4" s="240"/>
      <c r="AF4" s="240"/>
      <c r="AG4" s="241"/>
      <c r="AH4" s="107"/>
      <c r="AI4" s="107"/>
      <c r="AJ4" s="107"/>
    </row>
    <row r="5" spans="1:37" s="108" customFormat="1" ht="12.75" customHeight="1">
      <c r="A5" s="242" t="s">
        <v>346</v>
      </c>
      <c r="B5" s="243"/>
      <c r="C5" s="243"/>
      <c r="D5" s="243"/>
      <c r="E5" s="243"/>
      <c r="F5" s="243"/>
      <c r="G5" s="243"/>
      <c r="H5" s="243"/>
      <c r="I5" s="243"/>
      <c r="J5" s="243"/>
      <c r="K5" s="243"/>
      <c r="L5" s="243"/>
      <c r="M5" s="243"/>
      <c r="N5" s="243"/>
      <c r="O5" s="243"/>
      <c r="P5" s="243"/>
      <c r="Q5" s="244"/>
      <c r="R5" s="242" t="s">
        <v>138</v>
      </c>
      <c r="S5" s="243"/>
      <c r="T5" s="243"/>
      <c r="U5" s="243"/>
      <c r="V5" s="244"/>
      <c r="W5" s="242" t="str">
        <f ca="1" xml:space="preserve"> IFERROR(IF([2]!alvDocProperty("MXCurrent.Localized")="","Template released",[2]!alvDocProperty("MXCurrent.Localized")),"Template released")</f>
        <v>Template released</v>
      </c>
      <c r="X5" s="243"/>
      <c r="Y5" s="243"/>
      <c r="Z5" s="243"/>
      <c r="AA5" s="244"/>
      <c r="AB5" s="242" t="str">
        <f ca="1" xml:space="preserve"> IFERROR(IF([2]!alvDocProperty("MXActual_state_Released")="","TBD",[2]!alvDocProperty("MXActual_state_Released")),"TBD")</f>
        <v>TBD</v>
      </c>
      <c r="AC5" s="243"/>
      <c r="AD5" s="243"/>
      <c r="AE5" s="243"/>
      <c r="AF5" s="243"/>
      <c r="AG5" s="244"/>
    </row>
    <row r="6" spans="1:37" s="101" customFormat="1" ht="11.15" customHeight="1">
      <c r="A6" s="236" t="s">
        <v>7</v>
      </c>
      <c r="B6" s="237"/>
      <c r="C6" s="237"/>
      <c r="D6" s="238"/>
      <c r="E6" s="236" t="s">
        <v>8</v>
      </c>
      <c r="F6" s="237"/>
      <c r="G6" s="237"/>
      <c r="H6" s="237"/>
      <c r="I6" s="237"/>
      <c r="J6" s="237"/>
      <c r="K6" s="237"/>
      <c r="L6" s="237"/>
      <c r="M6" s="237"/>
      <c r="N6" s="237"/>
      <c r="O6" s="237"/>
      <c r="P6" s="237"/>
      <c r="Q6" s="237"/>
      <c r="R6" s="237"/>
      <c r="S6" s="237"/>
      <c r="T6" s="237"/>
      <c r="U6" s="237"/>
      <c r="V6" s="238"/>
      <c r="W6" s="239" t="s">
        <v>10</v>
      </c>
      <c r="X6" s="240"/>
      <c r="Y6" s="240"/>
      <c r="Z6" s="240"/>
      <c r="AA6" s="241"/>
      <c r="AB6" s="236" t="s">
        <v>34</v>
      </c>
      <c r="AC6" s="237"/>
      <c r="AD6" s="238"/>
      <c r="AE6" s="236" t="s">
        <v>9</v>
      </c>
      <c r="AF6" s="237"/>
      <c r="AG6" s="238"/>
    </row>
    <row r="7" spans="1:37" s="108" customFormat="1" ht="12.75" customHeight="1">
      <c r="A7" s="242" t="s">
        <v>11</v>
      </c>
      <c r="B7" s="243"/>
      <c r="C7" s="243"/>
      <c r="D7" s="244"/>
      <c r="E7" s="242" t="str">
        <f ca="1" xml:space="preserve"> IFERROR(IF([2]!alvDocProperty("MXTitle")="","EOL - Peer Review Workbook (PRWB)",[2]!alvDocProperty("MXTitle")),"EOL - Peer Review Workbook (PRWB)")</f>
        <v>EOL - Peer Review Workbook (PRWB)</v>
      </c>
      <c r="F7" s="243"/>
      <c r="G7" s="243"/>
      <c r="H7" s="243"/>
      <c r="I7" s="243"/>
      <c r="J7" s="243"/>
      <c r="K7" s="243"/>
      <c r="L7" s="243"/>
      <c r="M7" s="243"/>
      <c r="N7" s="243"/>
      <c r="O7" s="243"/>
      <c r="P7" s="243"/>
      <c r="Q7" s="243"/>
      <c r="R7" s="243"/>
      <c r="S7" s="243"/>
      <c r="T7" s="243"/>
      <c r="U7" s="243"/>
      <c r="V7" s="244"/>
      <c r="W7" s="245" t="str">
        <f ca="1" xml:space="preserve"> IFERROR(IF([2]!alvDocProperty("MXDocTemplate_Name")="","AEF1007",[2]!alvDocProperty("MXDocTemplate_Name")),"AEF1007")</f>
        <v>AEF1007</v>
      </c>
      <c r="X7" s="246"/>
      <c r="Y7" s="246"/>
      <c r="Z7" s="246"/>
      <c r="AA7" s="247"/>
      <c r="AB7" s="242" t="s">
        <v>393</v>
      </c>
      <c r="AC7" s="243"/>
      <c r="AD7" s="244"/>
      <c r="AE7" s="242">
        <v>9</v>
      </c>
      <c r="AF7" s="243"/>
      <c r="AG7" s="244"/>
    </row>
    <row r="8" spans="1:37" s="108" customFormat="1" ht="13">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5" customHeight="1">
      <c r="A9" s="209" t="s">
        <v>61</v>
      </c>
      <c r="B9" s="210"/>
      <c r="C9" s="210"/>
      <c r="D9" s="210"/>
      <c r="E9" s="210"/>
      <c r="F9" s="210"/>
      <c r="G9" s="210"/>
      <c r="H9" s="210"/>
      <c r="I9" s="210"/>
      <c r="J9" s="210"/>
      <c r="K9" s="211"/>
      <c r="L9" s="209" t="s">
        <v>12</v>
      </c>
      <c r="M9" s="210"/>
      <c r="N9" s="210"/>
      <c r="O9" s="210"/>
      <c r="P9" s="210"/>
      <c r="Q9" s="210"/>
      <c r="R9" s="210"/>
      <c r="S9" s="210"/>
      <c r="T9" s="210"/>
      <c r="U9" s="210"/>
      <c r="V9" s="211"/>
      <c r="W9" s="209" t="s">
        <v>17</v>
      </c>
      <c r="X9" s="210"/>
      <c r="Y9" s="210"/>
      <c r="Z9" s="210"/>
      <c r="AA9" s="210"/>
      <c r="AB9" s="210"/>
      <c r="AC9" s="210"/>
      <c r="AD9" s="210"/>
      <c r="AE9" s="210"/>
      <c r="AF9" s="210"/>
      <c r="AG9" s="211"/>
    </row>
    <row r="10" spans="1:37" s="112" customFormat="1" ht="39" customHeight="1">
      <c r="A10" s="212" t="s">
        <v>139</v>
      </c>
      <c r="B10" s="213"/>
      <c r="C10" s="213"/>
      <c r="D10" s="213"/>
      <c r="E10" s="213"/>
      <c r="F10" s="214" t="s">
        <v>347</v>
      </c>
      <c r="G10" s="214"/>
      <c r="H10" s="214"/>
      <c r="I10" s="214"/>
      <c r="J10" s="214"/>
      <c r="K10" s="215"/>
      <c r="L10" s="216" t="s">
        <v>140</v>
      </c>
      <c r="M10" s="217"/>
      <c r="N10" s="217"/>
      <c r="O10" s="217"/>
      <c r="P10" s="217"/>
      <c r="Q10" s="217"/>
      <c r="R10" s="217"/>
      <c r="S10" s="217"/>
      <c r="T10" s="217"/>
      <c r="U10" s="217"/>
      <c r="V10" s="218"/>
      <c r="W10" s="216" t="s">
        <v>140</v>
      </c>
      <c r="X10" s="217"/>
      <c r="Y10" s="217"/>
      <c r="Z10" s="217"/>
      <c r="AA10" s="217"/>
      <c r="AB10" s="217"/>
      <c r="AC10" s="217"/>
      <c r="AD10" s="217"/>
      <c r="AE10" s="217"/>
      <c r="AF10" s="217"/>
      <c r="AG10" s="218"/>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5" customHeight="1">
      <c r="A12" s="219" t="s">
        <v>141</v>
      </c>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1"/>
    </row>
    <row r="13" spans="1:37" s="112" customFormat="1" ht="28.5" customHeight="1">
      <c r="A13" s="222" t="s">
        <v>142</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4"/>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25" t="s">
        <v>143</v>
      </c>
      <c r="B15" s="225"/>
      <c r="C15" s="225"/>
      <c r="D15" s="225"/>
      <c r="E15" s="227"/>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9"/>
    </row>
    <row r="16" spans="1:37" ht="37.5" customHeight="1">
      <c r="A16" s="226"/>
      <c r="B16" s="226"/>
      <c r="C16" s="226"/>
      <c r="D16" s="226"/>
      <c r="E16" s="230"/>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1"/>
      <c r="AD16" s="231"/>
      <c r="AE16" s="231"/>
      <c r="AF16" s="231"/>
      <c r="AG16" s="232"/>
    </row>
    <row r="17" spans="1:33" ht="12.5">
      <c r="A17" s="117"/>
    </row>
    <row r="18" spans="1:33" ht="26.25" customHeight="1">
      <c r="A18" s="233" t="s">
        <v>345</v>
      </c>
      <c r="B18" s="234"/>
      <c r="C18" s="234"/>
      <c r="D18" s="234"/>
      <c r="E18" s="235" t="s">
        <v>344</v>
      </c>
      <c r="F18" s="235"/>
      <c r="G18" s="235"/>
      <c r="H18" s="235"/>
      <c r="I18" s="235"/>
      <c r="J18" s="235"/>
      <c r="K18" s="235"/>
      <c r="L18" s="235"/>
      <c r="M18" s="235"/>
      <c r="N18" s="235"/>
      <c r="O18" s="235"/>
      <c r="P18" s="235"/>
    </row>
    <row r="19" spans="1:33" ht="12.5"/>
    <row r="20" spans="1:33" ht="12.5"/>
    <row r="21" spans="1:33" ht="15.75" customHeight="1">
      <c r="Q21" s="118"/>
    </row>
    <row r="22" spans="1:33" ht="12" customHeight="1">
      <c r="Q22" s="118"/>
    </row>
    <row r="23" spans="1:33" ht="60" customHeight="1">
      <c r="A23" s="207" t="str">
        <f ca="1">MXTitle</f>
        <v>EOL - Peer Review Workbook (PRWB)</v>
      </c>
      <c r="B23" s="208"/>
      <c r="C23" s="208"/>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8"/>
      <c r="AB23" s="208"/>
      <c r="AC23" s="208"/>
      <c r="AD23" s="208"/>
      <c r="AE23" s="208"/>
      <c r="AF23" s="208"/>
      <c r="AG23" s="208"/>
    </row>
    <row r="24" spans="1:33" ht="25">
      <c r="Q24" s="118"/>
    </row>
    <row r="25" spans="1:33" ht="12.5"/>
    <row r="26" spans="1:33" ht="12.5"/>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43" priority="23" operator="equal">
      <formula>"draft"</formula>
    </cfRule>
  </conditionalFormatting>
  <conditionalFormatting sqref="W5:AA5">
    <cfRule type="cellIs" dxfId="42" priority="1" operator="equal">
      <formula>"In-Work"</formula>
    </cfRule>
    <cfRule type="cellIs" dxfId="41" priority="2" stopIfTrue="1" operator="equal">
      <formula>"draft"</formula>
    </cfRule>
    <cfRule type="cellIs" dxfId="40" priority="3" operator="equal">
      <formula>"In-Work"</formula>
    </cfRule>
    <cfRule type="cellIs" dxfId="39" priority="4" stopIfTrue="1" operator="equal">
      <formula>"draft"</formula>
    </cfRule>
    <cfRule type="cellIs" dxfId="38" priority="5" operator="equal">
      <formula>"In-Work"</formula>
    </cfRule>
    <cfRule type="cellIs" dxfId="37" priority="6" stopIfTrue="1" operator="equal">
      <formula>"draft"</formula>
    </cfRule>
    <cfRule type="cellIs" dxfId="36" priority="7" operator="equal">
      <formula>"In-Work"</formula>
    </cfRule>
    <cfRule type="cellIs" dxfId="35" priority="8" stopIfTrue="1" operator="equal">
      <formula>"draft"</formula>
    </cfRule>
    <cfRule type="cellIs" dxfId="34" priority="9" operator="equal">
      <formula>"In-Work"</formula>
    </cfRule>
    <cfRule type="cellIs" dxfId="33" priority="10" stopIfTrue="1" operator="equal">
      <formula>"draft"</formula>
    </cfRule>
    <cfRule type="cellIs" dxfId="32" priority="11" operator="equal">
      <formula>"In-Work"</formula>
    </cfRule>
    <cfRule type="cellIs" dxfId="31" priority="12" stopIfTrue="1" operator="equal">
      <formula>"draft"</formula>
    </cfRule>
    <cfRule type="cellIs" dxfId="30" priority="13" operator="equal">
      <formula>"In-Work"</formula>
    </cfRule>
    <cfRule type="cellIs" dxfId="29" priority="14" stopIfTrue="1" operator="equal">
      <formula>"draft"</formula>
    </cfRule>
    <cfRule type="cellIs" dxfId="28" priority="15" operator="equal">
      <formula>"In-Work"</formula>
    </cfRule>
    <cfRule type="cellIs" dxfId="27" priority="16" stopIfTrue="1" operator="equal">
      <formula>"draft"</formula>
    </cfRule>
    <cfRule type="cellIs" dxfId="26" priority="17" operator="equal">
      <formula>"In-Work"</formula>
    </cfRule>
    <cfRule type="cellIs" dxfId="25" priority="18" stopIfTrue="1" operator="equal">
      <formula>"draft"</formula>
    </cfRule>
    <cfRule type="cellIs" dxfId="24" priority="19" operator="equal">
      <formula>"In-Work"</formula>
    </cfRule>
    <cfRule type="cellIs" dxfId="23" priority="20" stopIfTrue="1" operator="equal">
      <formula>"draft"</formula>
    </cfRule>
    <cfRule type="cellIs" dxfId="22" priority="21" operator="equal">
      <formula>"In-Work"</formula>
    </cfRule>
    <cfRule type="cellIs" dxfId="21"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heetViews>
  <sheetFormatPr defaultColWidth="9.36328125" defaultRowHeight="14.5"/>
  <cols>
    <col min="1" max="34" width="2.6328125" style="119" customWidth="1"/>
    <col min="35" max="35" width="9.36328125" style="119"/>
    <col min="36" max="36" width="22" style="119" customWidth="1"/>
    <col min="37" max="16384" width="9.3632812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EOL - Peer Review Workbook (PRWB).xlsm</v>
      </c>
      <c r="AE3" s="101"/>
      <c r="AF3" s="101"/>
      <c r="AG3" s="101"/>
      <c r="AH3" s="101"/>
    </row>
    <row r="4" spans="1:34">
      <c r="A4" s="239" t="s">
        <v>5</v>
      </c>
      <c r="B4" s="240"/>
      <c r="C4" s="240"/>
      <c r="D4" s="240"/>
      <c r="E4" s="240"/>
      <c r="F4" s="240"/>
      <c r="G4" s="240"/>
      <c r="H4" s="240"/>
      <c r="I4" s="240"/>
      <c r="J4" s="240"/>
      <c r="K4" s="240"/>
      <c r="L4" s="240"/>
      <c r="M4" s="240"/>
      <c r="N4" s="240"/>
      <c r="O4" s="240"/>
      <c r="P4" s="240"/>
      <c r="Q4" s="240"/>
      <c r="R4" s="240"/>
      <c r="S4" s="240"/>
      <c r="T4" s="240"/>
      <c r="U4" s="240"/>
      <c r="V4" s="241"/>
      <c r="W4" s="278" t="s">
        <v>6</v>
      </c>
      <c r="X4" s="279"/>
      <c r="Y4" s="279"/>
      <c r="Z4" s="279"/>
      <c r="AA4" s="280"/>
      <c r="AB4" s="239" t="s">
        <v>137</v>
      </c>
      <c r="AC4" s="240"/>
      <c r="AD4" s="240"/>
      <c r="AE4" s="240"/>
      <c r="AF4" s="240"/>
      <c r="AG4" s="241"/>
      <c r="AH4" s="107"/>
    </row>
    <row r="5" spans="1:34">
      <c r="A5" s="245" t="s">
        <v>214</v>
      </c>
      <c r="B5" s="246"/>
      <c r="C5" s="246"/>
      <c r="D5" s="246"/>
      <c r="E5" s="246"/>
      <c r="F5" s="246"/>
      <c r="G5" s="246"/>
      <c r="H5" s="246"/>
      <c r="I5" s="246"/>
      <c r="J5" s="246"/>
      <c r="K5" s="246"/>
      <c r="L5" s="246"/>
      <c r="M5" s="246"/>
      <c r="N5" s="246"/>
      <c r="O5" s="246"/>
      <c r="P5" s="246"/>
      <c r="Q5" s="246"/>
      <c r="R5" s="246"/>
      <c r="S5" s="246"/>
      <c r="T5" s="246"/>
      <c r="U5" s="246"/>
      <c r="V5" s="247"/>
      <c r="W5" s="281" t="s">
        <v>213</v>
      </c>
      <c r="X5" s="282"/>
      <c r="Y5" s="282"/>
      <c r="Z5" s="282"/>
      <c r="AA5" s="283"/>
      <c r="AB5" s="245" t="s">
        <v>212</v>
      </c>
      <c r="AC5" s="246"/>
      <c r="AD5" s="246"/>
      <c r="AE5" s="246"/>
      <c r="AF5" s="246"/>
      <c r="AG5" s="247"/>
      <c r="AH5" s="108"/>
    </row>
    <row r="6" spans="1:34">
      <c r="A6" s="270" t="s">
        <v>7</v>
      </c>
      <c r="B6" s="271"/>
      <c r="C6" s="271"/>
      <c r="D6" s="272"/>
      <c r="E6" s="270" t="s">
        <v>8</v>
      </c>
      <c r="F6" s="271"/>
      <c r="G6" s="271"/>
      <c r="H6" s="271"/>
      <c r="I6" s="271"/>
      <c r="J6" s="271"/>
      <c r="K6" s="271"/>
      <c r="L6" s="271"/>
      <c r="M6" s="271"/>
      <c r="N6" s="271"/>
      <c r="O6" s="271"/>
      <c r="P6" s="271"/>
      <c r="Q6" s="271"/>
      <c r="R6" s="271"/>
      <c r="S6" s="271"/>
      <c r="T6" s="271"/>
      <c r="U6" s="271"/>
      <c r="V6" s="272"/>
      <c r="W6" s="239" t="s">
        <v>10</v>
      </c>
      <c r="X6" s="240"/>
      <c r="Y6" s="240"/>
      <c r="Z6" s="240"/>
      <c r="AA6" s="241"/>
      <c r="AB6" s="278" t="s">
        <v>34</v>
      </c>
      <c r="AC6" s="279"/>
      <c r="AD6" s="280"/>
      <c r="AE6" s="278" t="s">
        <v>9</v>
      </c>
      <c r="AF6" s="279"/>
      <c r="AG6" s="280"/>
      <c r="AH6" s="101"/>
    </row>
    <row r="7" spans="1:34">
      <c r="A7" s="281" t="s">
        <v>211</v>
      </c>
      <c r="B7" s="282"/>
      <c r="C7" s="282"/>
      <c r="D7" s="283"/>
      <c r="E7" s="281" t="s">
        <v>216</v>
      </c>
      <c r="F7" s="282"/>
      <c r="G7" s="282"/>
      <c r="H7" s="282"/>
      <c r="I7" s="282"/>
      <c r="J7" s="282"/>
      <c r="K7" s="282"/>
      <c r="L7" s="282"/>
      <c r="M7" s="282"/>
      <c r="N7" s="282"/>
      <c r="O7" s="282"/>
      <c r="P7" s="282"/>
      <c r="Q7" s="282"/>
      <c r="R7" s="282"/>
      <c r="S7" s="282"/>
      <c r="T7" s="282"/>
      <c r="U7" s="282"/>
      <c r="V7" s="283"/>
      <c r="W7" s="281" t="str">
        <f ca="1">TemplateRef</f>
        <v>AEF1007</v>
      </c>
      <c r="X7" s="282"/>
      <c r="Y7" s="282"/>
      <c r="Z7" s="282"/>
      <c r="AA7" s="283"/>
      <c r="AB7" s="281" t="s">
        <v>215</v>
      </c>
      <c r="AC7" s="282"/>
      <c r="AD7" s="283"/>
      <c r="AE7" s="281" t="s">
        <v>215</v>
      </c>
      <c r="AF7" s="282"/>
      <c r="AG7" s="283"/>
      <c r="AH7" s="108"/>
    </row>
    <row r="8" spans="1:34">
      <c r="A8" s="270" t="s">
        <v>144</v>
      </c>
      <c r="B8" s="271"/>
      <c r="C8" s="271"/>
      <c r="D8" s="271"/>
      <c r="E8" s="271"/>
      <c r="F8" s="271"/>
      <c r="G8" s="271"/>
      <c r="H8" s="271"/>
      <c r="I8" s="271"/>
      <c r="J8" s="271"/>
      <c r="K8" s="271"/>
      <c r="L8" s="271"/>
      <c r="M8" s="271"/>
      <c r="N8" s="271"/>
      <c r="O8" s="271"/>
      <c r="P8" s="271"/>
      <c r="Q8" s="271"/>
      <c r="R8" s="271"/>
      <c r="S8" s="271"/>
      <c r="T8" s="271"/>
      <c r="U8" s="271"/>
      <c r="V8" s="271"/>
      <c r="W8" s="271"/>
      <c r="X8" s="271"/>
      <c r="Y8" s="271"/>
      <c r="Z8" s="271"/>
      <c r="AA8" s="271"/>
      <c r="AB8" s="271"/>
      <c r="AC8" s="271"/>
      <c r="AD8" s="271"/>
      <c r="AE8" s="271"/>
      <c r="AF8" s="271"/>
      <c r="AG8" s="272"/>
      <c r="AH8" s="111"/>
    </row>
    <row r="9" spans="1:34">
      <c r="A9" s="273" t="s">
        <v>145</v>
      </c>
      <c r="B9" s="274"/>
      <c r="C9" s="274"/>
      <c r="D9" s="274"/>
      <c r="E9" s="274"/>
      <c r="F9" s="274"/>
      <c r="G9" s="274"/>
      <c r="H9" s="274"/>
      <c r="I9" s="274"/>
      <c r="J9" s="274"/>
      <c r="K9" s="274"/>
      <c r="L9" s="274"/>
      <c r="M9" s="274"/>
      <c r="N9" s="274"/>
      <c r="O9" s="274"/>
      <c r="P9" s="274"/>
      <c r="Q9" s="274"/>
      <c r="R9" s="274"/>
      <c r="S9" s="274"/>
      <c r="T9" s="274"/>
      <c r="U9" s="274"/>
      <c r="V9" s="274"/>
      <c r="W9" s="274"/>
      <c r="X9" s="274"/>
      <c r="Y9" s="274"/>
      <c r="Z9" s="274"/>
      <c r="AA9" s="274"/>
      <c r="AB9" s="274"/>
      <c r="AC9" s="274"/>
      <c r="AD9" s="274"/>
      <c r="AE9" s="274"/>
      <c r="AF9" s="274"/>
      <c r="AG9" s="275"/>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5">
      <c r="A12" s="111"/>
      <c r="B12" s="121" t="s">
        <v>146</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
      <c r="A14" s="111"/>
      <c r="B14" s="123" t="s">
        <v>147</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55" t="s">
        <v>148</v>
      </c>
      <c r="C15" s="276"/>
      <c r="D15" s="276"/>
      <c r="E15" s="276"/>
      <c r="F15" s="276"/>
      <c r="G15" s="255" t="s">
        <v>149</v>
      </c>
      <c r="H15" s="255"/>
      <c r="I15" s="255"/>
      <c r="J15" s="255"/>
      <c r="K15" s="255"/>
      <c r="L15" s="255"/>
      <c r="M15" s="255"/>
      <c r="N15" s="255"/>
      <c r="O15" s="255"/>
      <c r="P15" s="255"/>
      <c r="Q15" s="255"/>
      <c r="R15" s="255"/>
      <c r="S15" s="255"/>
      <c r="T15" s="255"/>
      <c r="U15" s="255"/>
      <c r="V15" s="255"/>
      <c r="W15" s="255"/>
      <c r="X15" s="255"/>
      <c r="Y15" s="255"/>
      <c r="Z15" s="255"/>
      <c r="AA15" s="255"/>
      <c r="AB15" s="255"/>
      <c r="AC15" s="255"/>
      <c r="AD15" s="255"/>
      <c r="AE15" s="255"/>
      <c r="AF15" s="255"/>
      <c r="AG15" s="111"/>
      <c r="AH15" s="111"/>
    </row>
    <row r="16" spans="1:34" ht="55.5" customHeight="1">
      <c r="A16" s="111"/>
      <c r="B16" s="277" t="s">
        <v>150</v>
      </c>
      <c r="C16" s="277"/>
      <c r="D16" s="277"/>
      <c r="E16" s="277"/>
      <c r="F16" s="277"/>
      <c r="G16" s="258" t="s">
        <v>151</v>
      </c>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c r="AE16" s="258"/>
      <c r="AF16" s="258"/>
      <c r="AG16" s="111"/>
      <c r="AH16" s="111"/>
    </row>
    <row r="17" spans="1:34">
      <c r="A17" s="111"/>
      <c r="B17" s="277" t="s">
        <v>152</v>
      </c>
      <c r="C17" s="277"/>
      <c r="D17" s="277"/>
      <c r="E17" s="277"/>
      <c r="F17" s="277"/>
      <c r="G17" s="258" t="s">
        <v>153</v>
      </c>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111"/>
      <c r="AH17" s="111"/>
    </row>
    <row r="18" spans="1:34" ht="15" customHeight="1">
      <c r="A18" s="111"/>
      <c r="B18" s="277" t="s">
        <v>15</v>
      </c>
      <c r="C18" s="277"/>
      <c r="D18" s="277"/>
      <c r="E18" s="277"/>
      <c r="F18" s="277"/>
      <c r="G18" s="258" t="s">
        <v>154</v>
      </c>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111"/>
      <c r="AH18" s="111"/>
    </row>
    <row r="19" spans="1:34" ht="24" customHeight="1">
      <c r="A19" s="111"/>
      <c r="B19" s="267" t="s">
        <v>189</v>
      </c>
      <c r="C19" s="267"/>
      <c r="D19" s="267"/>
      <c r="E19" s="267"/>
      <c r="F19" s="267"/>
      <c r="G19" s="258" t="s">
        <v>154</v>
      </c>
      <c r="H19" s="258"/>
      <c r="I19" s="258"/>
      <c r="J19" s="258"/>
      <c r="K19" s="258"/>
      <c r="L19" s="258"/>
      <c r="M19" s="258"/>
      <c r="N19" s="258"/>
      <c r="O19" s="258"/>
      <c r="P19" s="258"/>
      <c r="Q19" s="258"/>
      <c r="R19" s="258"/>
      <c r="S19" s="258"/>
      <c r="T19" s="258"/>
      <c r="U19" s="258"/>
      <c r="V19" s="258"/>
      <c r="W19" s="258"/>
      <c r="X19" s="258"/>
      <c r="Y19" s="258"/>
      <c r="Z19" s="258"/>
      <c r="AA19" s="258"/>
      <c r="AB19" s="258"/>
      <c r="AC19" s="258"/>
      <c r="AD19" s="258"/>
      <c r="AE19" s="258"/>
      <c r="AF19" s="258"/>
      <c r="AG19" s="111"/>
      <c r="AH19" s="111"/>
    </row>
    <row r="20" spans="1:34">
      <c r="A20" s="111"/>
      <c r="B20" s="284" t="s">
        <v>190</v>
      </c>
      <c r="C20" s="284"/>
      <c r="D20" s="284"/>
      <c r="E20" s="284"/>
      <c r="F20" s="284"/>
      <c r="G20" s="258" t="s">
        <v>154</v>
      </c>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111"/>
      <c r="AH20" s="111"/>
    </row>
    <row r="21" spans="1:34" ht="35.25" customHeight="1">
      <c r="A21" s="111"/>
      <c r="B21" s="268" t="s">
        <v>301</v>
      </c>
      <c r="C21" s="268"/>
      <c r="D21" s="268"/>
      <c r="E21" s="268"/>
      <c r="F21" s="268"/>
      <c r="G21" s="258" t="s">
        <v>302</v>
      </c>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111"/>
      <c r="AH21" s="111"/>
    </row>
    <row r="22" spans="1:34" ht="28.5" customHeight="1">
      <c r="A22" s="111"/>
      <c r="B22" s="268" t="s">
        <v>303</v>
      </c>
      <c r="C22" s="268"/>
      <c r="D22" s="268"/>
      <c r="E22" s="268"/>
      <c r="F22" s="268"/>
      <c r="G22" s="258" t="s">
        <v>304</v>
      </c>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111"/>
      <c r="AH22" s="111"/>
    </row>
    <row r="23" spans="1:34" ht="22.5" customHeight="1">
      <c r="A23" s="111"/>
      <c r="B23" s="268" t="s">
        <v>305</v>
      </c>
      <c r="C23" s="268"/>
      <c r="D23" s="268"/>
      <c r="E23" s="268"/>
      <c r="F23" s="268"/>
      <c r="G23" s="258" t="s">
        <v>306</v>
      </c>
      <c r="H23" s="258"/>
      <c r="I23" s="258"/>
      <c r="J23" s="258"/>
      <c r="K23" s="258"/>
      <c r="L23" s="258"/>
      <c r="M23" s="258"/>
      <c r="N23" s="258"/>
      <c r="O23" s="258"/>
      <c r="P23" s="258"/>
      <c r="Q23" s="258"/>
      <c r="R23" s="258"/>
      <c r="S23" s="258"/>
      <c r="T23" s="258"/>
      <c r="U23" s="258"/>
      <c r="V23" s="258"/>
      <c r="W23" s="258"/>
      <c r="X23" s="258"/>
      <c r="Y23" s="258"/>
      <c r="Z23" s="258"/>
      <c r="AA23" s="258"/>
      <c r="AB23" s="258"/>
      <c r="AC23" s="258"/>
      <c r="AD23" s="258"/>
      <c r="AE23" s="258"/>
      <c r="AF23" s="258"/>
      <c r="AG23" s="111"/>
      <c r="AH23" s="111"/>
    </row>
    <row r="24" spans="1:34" ht="45" customHeight="1">
      <c r="A24" s="111"/>
      <c r="B24" s="269" t="s">
        <v>191</v>
      </c>
      <c r="C24" s="269"/>
      <c r="D24" s="269"/>
      <c r="E24" s="269"/>
      <c r="F24" s="269"/>
      <c r="G24" s="258" t="s">
        <v>342</v>
      </c>
      <c r="H24" s="258"/>
      <c r="I24" s="258"/>
      <c r="J24" s="258"/>
      <c r="K24" s="258"/>
      <c r="L24" s="258"/>
      <c r="M24" s="258"/>
      <c r="N24" s="258"/>
      <c r="O24" s="258"/>
      <c r="P24" s="258"/>
      <c r="Q24" s="258"/>
      <c r="R24" s="258"/>
      <c r="S24" s="258"/>
      <c r="T24" s="258"/>
      <c r="U24" s="258"/>
      <c r="V24" s="258"/>
      <c r="W24" s="258"/>
      <c r="X24" s="258"/>
      <c r="Y24" s="258"/>
      <c r="Z24" s="258"/>
      <c r="AA24" s="258"/>
      <c r="AB24" s="258"/>
      <c r="AC24" s="258"/>
      <c r="AD24" s="258"/>
      <c r="AE24" s="258"/>
      <c r="AF24" s="258"/>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
      <c r="A26" s="123"/>
      <c r="B26" s="123" t="s">
        <v>155</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55" t="s">
        <v>34</v>
      </c>
      <c r="C27" s="260"/>
      <c r="D27" s="260"/>
      <c r="E27" s="255" t="s">
        <v>93</v>
      </c>
      <c r="F27" s="255"/>
      <c r="G27" s="255"/>
      <c r="H27" s="255"/>
      <c r="I27" s="255" t="s">
        <v>156</v>
      </c>
      <c r="J27" s="260"/>
      <c r="K27" s="260"/>
      <c r="L27" s="260"/>
      <c r="M27" s="260"/>
      <c r="N27" s="260"/>
      <c r="O27" s="260"/>
      <c r="P27" s="260"/>
      <c r="Q27" s="260"/>
      <c r="R27" s="255" t="s">
        <v>157</v>
      </c>
      <c r="S27" s="255"/>
      <c r="T27" s="255"/>
      <c r="U27" s="255"/>
      <c r="V27" s="255"/>
      <c r="W27" s="255"/>
      <c r="X27" s="255"/>
      <c r="Y27" s="255"/>
      <c r="Z27" s="255"/>
      <c r="AA27" s="255"/>
      <c r="AB27" s="255"/>
      <c r="AC27" s="255"/>
      <c r="AD27" s="255"/>
      <c r="AE27" s="255"/>
      <c r="AF27" s="255"/>
      <c r="AG27" s="111"/>
      <c r="AH27" s="111"/>
    </row>
    <row r="28" spans="1:34" ht="40.5" customHeight="1">
      <c r="A28" s="111"/>
      <c r="B28" s="248" t="s">
        <v>3</v>
      </c>
      <c r="C28" s="249" t="s">
        <v>3</v>
      </c>
      <c r="D28" s="250" t="s">
        <v>3</v>
      </c>
      <c r="E28" s="261"/>
      <c r="F28" s="262"/>
      <c r="G28" s="262"/>
      <c r="H28" s="263"/>
      <c r="I28" s="258"/>
      <c r="J28" s="264"/>
      <c r="K28" s="264"/>
      <c r="L28" s="264"/>
      <c r="M28" s="264"/>
      <c r="N28" s="264"/>
      <c r="O28" s="264"/>
      <c r="P28" s="264"/>
      <c r="Q28" s="264"/>
      <c r="R28" s="258" t="s">
        <v>14</v>
      </c>
      <c r="S28" s="258" t="s">
        <v>14</v>
      </c>
      <c r="T28" s="258" t="s">
        <v>14</v>
      </c>
      <c r="U28" s="258" t="s">
        <v>14</v>
      </c>
      <c r="V28" s="258" t="s">
        <v>14</v>
      </c>
      <c r="W28" s="258" t="s">
        <v>14</v>
      </c>
      <c r="X28" s="258" t="s">
        <v>14</v>
      </c>
      <c r="Y28" s="258" t="s">
        <v>14</v>
      </c>
      <c r="Z28" s="258" t="s">
        <v>14</v>
      </c>
      <c r="AA28" s="258" t="s">
        <v>14</v>
      </c>
      <c r="AB28" s="258" t="s">
        <v>14</v>
      </c>
      <c r="AC28" s="258" t="s">
        <v>14</v>
      </c>
      <c r="AD28" s="258" t="s">
        <v>14</v>
      </c>
      <c r="AE28" s="258" t="s">
        <v>14</v>
      </c>
      <c r="AF28" s="258" t="s">
        <v>14</v>
      </c>
      <c r="AG28" s="111"/>
      <c r="AH28" s="111"/>
    </row>
    <row r="29" spans="1:34" ht="60" customHeight="1">
      <c r="A29" s="111"/>
      <c r="B29" s="248" t="s">
        <v>18</v>
      </c>
      <c r="C29" s="249" t="s">
        <v>18</v>
      </c>
      <c r="D29" s="250" t="s">
        <v>18</v>
      </c>
      <c r="E29" s="261">
        <v>40591.490486111114</v>
      </c>
      <c r="F29" s="262">
        <v>40591.490486111114</v>
      </c>
      <c r="G29" s="262">
        <v>40591.490486111114</v>
      </c>
      <c r="H29" s="263">
        <v>40591.490486111114</v>
      </c>
      <c r="I29" s="258" t="s">
        <v>4</v>
      </c>
      <c r="J29" s="264" t="s">
        <v>4</v>
      </c>
      <c r="K29" s="264" t="s">
        <v>4</v>
      </c>
      <c r="L29" s="264" t="s">
        <v>4</v>
      </c>
      <c r="M29" s="264" t="s">
        <v>4</v>
      </c>
      <c r="N29" s="264" t="s">
        <v>4</v>
      </c>
      <c r="O29" s="264" t="s">
        <v>4</v>
      </c>
      <c r="P29" s="264" t="s">
        <v>4</v>
      </c>
      <c r="Q29" s="264" t="s">
        <v>4</v>
      </c>
      <c r="R29" s="258" t="s">
        <v>35</v>
      </c>
      <c r="S29" s="258" t="s">
        <v>35</v>
      </c>
      <c r="T29" s="258" t="s">
        <v>35</v>
      </c>
      <c r="U29" s="258" t="s">
        <v>35</v>
      </c>
      <c r="V29" s="258" t="s">
        <v>35</v>
      </c>
      <c r="W29" s="258" t="s">
        <v>35</v>
      </c>
      <c r="X29" s="258" t="s">
        <v>35</v>
      </c>
      <c r="Y29" s="258" t="s">
        <v>35</v>
      </c>
      <c r="Z29" s="258" t="s">
        <v>35</v>
      </c>
      <c r="AA29" s="258" t="s">
        <v>35</v>
      </c>
      <c r="AB29" s="258" t="s">
        <v>35</v>
      </c>
      <c r="AC29" s="258" t="s">
        <v>35</v>
      </c>
      <c r="AD29" s="258" t="s">
        <v>35</v>
      </c>
      <c r="AE29" s="258" t="s">
        <v>35</v>
      </c>
      <c r="AF29" s="258" t="s">
        <v>35</v>
      </c>
      <c r="AG29" s="111"/>
      <c r="AH29" s="111"/>
    </row>
    <row r="30" spans="1:34" ht="291" customHeight="1">
      <c r="A30" s="111"/>
      <c r="B30" s="248" t="s">
        <v>99</v>
      </c>
      <c r="C30" s="249" t="s">
        <v>99</v>
      </c>
      <c r="D30" s="250" t="s">
        <v>99</v>
      </c>
      <c r="E30" s="261">
        <v>41071.656145833331</v>
      </c>
      <c r="F30" s="262">
        <v>41071.656145833331</v>
      </c>
      <c r="G30" s="262">
        <v>41071.656145833331</v>
      </c>
      <c r="H30" s="263">
        <v>41071.656145833331</v>
      </c>
      <c r="I30" s="258" t="s">
        <v>4</v>
      </c>
      <c r="J30" s="264" t="s">
        <v>4</v>
      </c>
      <c r="K30" s="264" t="s">
        <v>4</v>
      </c>
      <c r="L30" s="264" t="s">
        <v>4</v>
      </c>
      <c r="M30" s="264" t="s">
        <v>4</v>
      </c>
      <c r="N30" s="264" t="s">
        <v>4</v>
      </c>
      <c r="O30" s="264" t="s">
        <v>4</v>
      </c>
      <c r="P30" s="264" t="s">
        <v>4</v>
      </c>
      <c r="Q30" s="264" t="s">
        <v>4</v>
      </c>
      <c r="R30" s="258" t="s">
        <v>130</v>
      </c>
      <c r="S30" s="258" t="s">
        <v>130</v>
      </c>
      <c r="T30" s="258" t="s">
        <v>130</v>
      </c>
      <c r="U30" s="258" t="s">
        <v>130</v>
      </c>
      <c r="V30" s="258" t="s">
        <v>130</v>
      </c>
      <c r="W30" s="258" t="s">
        <v>130</v>
      </c>
      <c r="X30" s="258" t="s">
        <v>130</v>
      </c>
      <c r="Y30" s="258" t="s">
        <v>130</v>
      </c>
      <c r="Z30" s="258" t="s">
        <v>130</v>
      </c>
      <c r="AA30" s="258" t="s">
        <v>130</v>
      </c>
      <c r="AB30" s="258" t="s">
        <v>130</v>
      </c>
      <c r="AC30" s="258" t="s">
        <v>130</v>
      </c>
      <c r="AD30" s="258" t="s">
        <v>130</v>
      </c>
      <c r="AE30" s="258" t="s">
        <v>130</v>
      </c>
      <c r="AF30" s="258" t="s">
        <v>130</v>
      </c>
      <c r="AG30" s="111"/>
      <c r="AH30" s="111"/>
    </row>
    <row r="31" spans="1:34" ht="40.5" customHeight="1">
      <c r="A31" s="111"/>
      <c r="B31" s="248" t="s">
        <v>87</v>
      </c>
      <c r="C31" s="249" t="s">
        <v>87</v>
      </c>
      <c r="D31" s="250" t="s">
        <v>87</v>
      </c>
      <c r="E31" s="261">
        <v>41071.656145833331</v>
      </c>
      <c r="F31" s="262">
        <v>41071.656145833331</v>
      </c>
      <c r="G31" s="262">
        <v>41071.656145833331</v>
      </c>
      <c r="H31" s="263">
        <v>41071.656145833331</v>
      </c>
      <c r="I31" s="258" t="s">
        <v>88</v>
      </c>
      <c r="J31" s="264" t="s">
        <v>88</v>
      </c>
      <c r="K31" s="264" t="s">
        <v>88</v>
      </c>
      <c r="L31" s="264" t="s">
        <v>88</v>
      </c>
      <c r="M31" s="264" t="s">
        <v>88</v>
      </c>
      <c r="N31" s="264" t="s">
        <v>88</v>
      </c>
      <c r="O31" s="264" t="s">
        <v>88</v>
      </c>
      <c r="P31" s="264" t="s">
        <v>88</v>
      </c>
      <c r="Q31" s="264" t="s">
        <v>88</v>
      </c>
      <c r="R31" s="258" t="s">
        <v>101</v>
      </c>
      <c r="S31" s="258" t="s">
        <v>101</v>
      </c>
      <c r="T31" s="258" t="s">
        <v>101</v>
      </c>
      <c r="U31" s="258" t="s">
        <v>101</v>
      </c>
      <c r="V31" s="258" t="s">
        <v>101</v>
      </c>
      <c r="W31" s="258" t="s">
        <v>101</v>
      </c>
      <c r="X31" s="258" t="s">
        <v>101</v>
      </c>
      <c r="Y31" s="258" t="s">
        <v>101</v>
      </c>
      <c r="Z31" s="258" t="s">
        <v>101</v>
      </c>
      <c r="AA31" s="258" t="s">
        <v>101</v>
      </c>
      <c r="AB31" s="258" t="s">
        <v>101</v>
      </c>
      <c r="AC31" s="258" t="s">
        <v>101</v>
      </c>
      <c r="AD31" s="258" t="s">
        <v>101</v>
      </c>
      <c r="AE31" s="258" t="s">
        <v>101</v>
      </c>
      <c r="AF31" s="258" t="s">
        <v>101</v>
      </c>
      <c r="AG31" s="111"/>
      <c r="AH31" s="111"/>
    </row>
    <row r="32" spans="1:34" ht="121.5" customHeight="1">
      <c r="A32" s="111"/>
      <c r="B32" s="248"/>
      <c r="C32" s="249"/>
      <c r="D32" s="250"/>
      <c r="E32" s="261">
        <v>42195</v>
      </c>
      <c r="F32" s="262">
        <v>42195</v>
      </c>
      <c r="G32" s="262">
        <v>42195</v>
      </c>
      <c r="H32" s="263">
        <v>42195</v>
      </c>
      <c r="I32" s="258" t="s">
        <v>100</v>
      </c>
      <c r="J32" s="264" t="s">
        <v>100</v>
      </c>
      <c r="K32" s="264" t="s">
        <v>100</v>
      </c>
      <c r="L32" s="264" t="s">
        <v>100</v>
      </c>
      <c r="M32" s="264" t="s">
        <v>100</v>
      </c>
      <c r="N32" s="264" t="s">
        <v>100</v>
      </c>
      <c r="O32" s="264" t="s">
        <v>100</v>
      </c>
      <c r="P32" s="264" t="s">
        <v>100</v>
      </c>
      <c r="Q32" s="264" t="s">
        <v>100</v>
      </c>
      <c r="R32" s="258" t="s">
        <v>103</v>
      </c>
      <c r="S32" s="258" t="s">
        <v>103</v>
      </c>
      <c r="T32" s="258" t="s">
        <v>103</v>
      </c>
      <c r="U32" s="258" t="s">
        <v>103</v>
      </c>
      <c r="V32" s="258" t="s">
        <v>103</v>
      </c>
      <c r="W32" s="258" t="s">
        <v>103</v>
      </c>
      <c r="X32" s="258" t="s">
        <v>103</v>
      </c>
      <c r="Y32" s="258" t="s">
        <v>103</v>
      </c>
      <c r="Z32" s="258" t="s">
        <v>103</v>
      </c>
      <c r="AA32" s="258" t="s">
        <v>103</v>
      </c>
      <c r="AB32" s="258" t="s">
        <v>103</v>
      </c>
      <c r="AC32" s="258" t="s">
        <v>103</v>
      </c>
      <c r="AD32" s="258" t="s">
        <v>103</v>
      </c>
      <c r="AE32" s="258" t="s">
        <v>103</v>
      </c>
      <c r="AF32" s="258" t="s">
        <v>103</v>
      </c>
      <c r="AG32" s="111"/>
      <c r="AH32" s="111"/>
    </row>
    <row r="33" spans="1:34" ht="114" customHeight="1">
      <c r="A33" s="111"/>
      <c r="B33" s="248" t="s">
        <v>104</v>
      </c>
      <c r="C33" s="249" t="s">
        <v>104</v>
      </c>
      <c r="D33" s="250" t="s">
        <v>104</v>
      </c>
      <c r="E33" s="261">
        <v>42391.634837962964</v>
      </c>
      <c r="F33" s="262">
        <v>42391.634837962964</v>
      </c>
      <c r="G33" s="262">
        <v>42391.634837962964</v>
      </c>
      <c r="H33" s="263">
        <v>42391.634837962964</v>
      </c>
      <c r="I33" s="258" t="s">
        <v>105</v>
      </c>
      <c r="J33" s="264" t="s">
        <v>105</v>
      </c>
      <c r="K33" s="264" t="s">
        <v>105</v>
      </c>
      <c r="L33" s="264" t="s">
        <v>105</v>
      </c>
      <c r="M33" s="264" t="s">
        <v>105</v>
      </c>
      <c r="N33" s="264" t="s">
        <v>105</v>
      </c>
      <c r="O33" s="264" t="s">
        <v>105</v>
      </c>
      <c r="P33" s="264" t="s">
        <v>105</v>
      </c>
      <c r="Q33" s="264" t="s">
        <v>105</v>
      </c>
      <c r="R33" s="258" t="s">
        <v>129</v>
      </c>
      <c r="S33" s="258" t="s">
        <v>129</v>
      </c>
      <c r="T33" s="258" t="s">
        <v>129</v>
      </c>
      <c r="U33" s="258" t="s">
        <v>129</v>
      </c>
      <c r="V33" s="258" t="s">
        <v>129</v>
      </c>
      <c r="W33" s="258" t="s">
        <v>129</v>
      </c>
      <c r="X33" s="258" t="s">
        <v>129</v>
      </c>
      <c r="Y33" s="258" t="s">
        <v>129</v>
      </c>
      <c r="Z33" s="258" t="s">
        <v>129</v>
      </c>
      <c r="AA33" s="258" t="s">
        <v>129</v>
      </c>
      <c r="AB33" s="258" t="s">
        <v>129</v>
      </c>
      <c r="AC33" s="258" t="s">
        <v>129</v>
      </c>
      <c r="AD33" s="258" t="s">
        <v>129</v>
      </c>
      <c r="AE33" s="258" t="s">
        <v>129</v>
      </c>
      <c r="AF33" s="258" t="s">
        <v>129</v>
      </c>
      <c r="AG33" s="111"/>
      <c r="AH33" s="111"/>
    </row>
    <row r="34" spans="1:34" ht="40.5" customHeight="1">
      <c r="A34" s="111"/>
      <c r="B34" s="265" t="s">
        <v>192</v>
      </c>
      <c r="C34" s="266"/>
      <c r="D34" s="266"/>
      <c r="E34" s="261"/>
      <c r="F34" s="262"/>
      <c r="G34" s="262"/>
      <c r="H34" s="263"/>
      <c r="I34" s="258"/>
      <c r="J34" s="264"/>
      <c r="K34" s="264"/>
      <c r="L34" s="264"/>
      <c r="M34" s="264"/>
      <c r="N34" s="264"/>
      <c r="O34" s="264"/>
      <c r="P34" s="264"/>
      <c r="Q34" s="264"/>
      <c r="R34" s="258" t="s">
        <v>193</v>
      </c>
      <c r="S34" s="258"/>
      <c r="T34" s="258"/>
      <c r="U34" s="258"/>
      <c r="V34" s="258"/>
      <c r="W34" s="258"/>
      <c r="X34" s="258"/>
      <c r="Y34" s="258"/>
      <c r="Z34" s="258"/>
      <c r="AA34" s="258"/>
      <c r="AB34" s="258"/>
      <c r="AC34" s="258"/>
      <c r="AD34" s="258"/>
      <c r="AE34" s="258"/>
      <c r="AF34" s="258"/>
      <c r="AG34" s="111"/>
      <c r="AH34" s="111"/>
    </row>
    <row r="35" spans="1:34">
      <c r="A35" s="111"/>
      <c r="B35" s="127" t="s">
        <v>158</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
      <c r="A38" s="111"/>
      <c r="B38" s="123" t="s">
        <v>159</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7.5">
      <c r="A39" s="111"/>
      <c r="B39" s="132" t="s">
        <v>160</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55" t="s">
        <v>161</v>
      </c>
      <c r="C40" s="255"/>
      <c r="D40" s="255"/>
      <c r="E40" s="255" t="s">
        <v>162</v>
      </c>
      <c r="F40" s="260"/>
      <c r="G40" s="260"/>
      <c r="H40" s="260"/>
      <c r="I40" s="260"/>
      <c r="J40" s="260"/>
      <c r="K40" s="260"/>
      <c r="L40" s="260"/>
      <c r="M40" s="260"/>
      <c r="N40" s="260"/>
      <c r="O40" s="260"/>
      <c r="P40" s="260"/>
      <c r="Q40" s="260"/>
      <c r="R40" s="260"/>
      <c r="S40" s="260"/>
      <c r="T40" s="260"/>
      <c r="U40" s="260"/>
      <c r="V40" s="260"/>
      <c r="W40" s="260"/>
      <c r="X40" s="260"/>
      <c r="Y40" s="255" t="s">
        <v>163</v>
      </c>
      <c r="Z40" s="255"/>
      <c r="AA40" s="255"/>
      <c r="AB40" s="255"/>
      <c r="AC40" s="255"/>
      <c r="AD40" s="255"/>
      <c r="AE40" s="255"/>
      <c r="AF40" s="255"/>
      <c r="AG40" s="111"/>
      <c r="AH40" s="111"/>
    </row>
    <row r="41" spans="1:34">
      <c r="A41" s="111"/>
      <c r="B41" s="257"/>
      <c r="C41" s="257"/>
      <c r="D41" s="257"/>
      <c r="E41" s="258"/>
      <c r="F41" s="259"/>
      <c r="G41" s="259"/>
      <c r="H41" s="259"/>
      <c r="I41" s="259"/>
      <c r="J41" s="259"/>
      <c r="K41" s="259"/>
      <c r="L41" s="259"/>
      <c r="M41" s="259"/>
      <c r="N41" s="259"/>
      <c r="O41" s="259"/>
      <c r="P41" s="259"/>
      <c r="Q41" s="259"/>
      <c r="R41" s="259"/>
      <c r="S41" s="259"/>
      <c r="T41" s="259"/>
      <c r="U41" s="259"/>
      <c r="V41" s="259"/>
      <c r="W41" s="259"/>
      <c r="X41" s="259"/>
      <c r="Y41" s="258"/>
      <c r="Z41" s="259"/>
      <c r="AA41" s="259"/>
      <c r="AB41" s="259"/>
      <c r="AC41" s="259"/>
      <c r="AD41" s="259"/>
      <c r="AE41" s="259"/>
      <c r="AF41" s="259"/>
      <c r="AG41" s="111"/>
      <c r="AH41" s="111"/>
    </row>
    <row r="42" spans="1:34">
      <c r="A42" s="111"/>
      <c r="B42" s="257"/>
      <c r="C42" s="257"/>
      <c r="D42" s="257"/>
      <c r="E42" s="258"/>
      <c r="F42" s="259"/>
      <c r="G42" s="259"/>
      <c r="H42" s="259"/>
      <c r="I42" s="259"/>
      <c r="J42" s="259"/>
      <c r="K42" s="259"/>
      <c r="L42" s="259"/>
      <c r="M42" s="259"/>
      <c r="N42" s="259"/>
      <c r="O42" s="259"/>
      <c r="P42" s="259"/>
      <c r="Q42" s="259"/>
      <c r="R42" s="259"/>
      <c r="S42" s="259"/>
      <c r="T42" s="259"/>
      <c r="U42" s="259"/>
      <c r="V42" s="259"/>
      <c r="W42" s="259"/>
      <c r="X42" s="259"/>
      <c r="Y42" s="258"/>
      <c r="Z42" s="259"/>
      <c r="AA42" s="259"/>
      <c r="AB42" s="259"/>
      <c r="AC42" s="259"/>
      <c r="AD42" s="259"/>
      <c r="AE42" s="259"/>
      <c r="AF42" s="259"/>
      <c r="AG42" s="111"/>
      <c r="AH42" s="111"/>
    </row>
    <row r="43" spans="1:34">
      <c r="A43" s="111"/>
      <c r="B43" s="257"/>
      <c r="C43" s="257"/>
      <c r="D43" s="257"/>
      <c r="E43" s="258"/>
      <c r="F43" s="259"/>
      <c r="G43" s="259"/>
      <c r="H43" s="259"/>
      <c r="I43" s="259"/>
      <c r="J43" s="259"/>
      <c r="K43" s="259"/>
      <c r="L43" s="259"/>
      <c r="M43" s="259"/>
      <c r="N43" s="259"/>
      <c r="O43" s="259"/>
      <c r="P43" s="259"/>
      <c r="Q43" s="259"/>
      <c r="R43" s="259"/>
      <c r="S43" s="259"/>
      <c r="T43" s="259"/>
      <c r="U43" s="259"/>
      <c r="V43" s="259"/>
      <c r="W43" s="259"/>
      <c r="X43" s="259"/>
      <c r="Y43" s="258"/>
      <c r="Z43" s="259"/>
      <c r="AA43" s="259"/>
      <c r="AB43" s="259"/>
      <c r="AC43" s="259"/>
      <c r="AD43" s="259"/>
      <c r="AE43" s="259"/>
      <c r="AF43" s="259"/>
      <c r="AG43" s="111"/>
      <c r="AH43" s="111"/>
    </row>
    <row r="44" spans="1:34">
      <c r="A44" s="111"/>
      <c r="B44" s="257"/>
      <c r="C44" s="257"/>
      <c r="D44" s="257"/>
      <c r="E44" s="258"/>
      <c r="F44" s="259"/>
      <c r="G44" s="259"/>
      <c r="H44" s="259"/>
      <c r="I44" s="259"/>
      <c r="J44" s="259"/>
      <c r="K44" s="259"/>
      <c r="L44" s="259"/>
      <c r="M44" s="259"/>
      <c r="N44" s="259"/>
      <c r="O44" s="259"/>
      <c r="P44" s="259"/>
      <c r="Q44" s="259"/>
      <c r="R44" s="259"/>
      <c r="S44" s="259"/>
      <c r="T44" s="259"/>
      <c r="U44" s="259"/>
      <c r="V44" s="259"/>
      <c r="W44" s="259"/>
      <c r="X44" s="259"/>
      <c r="Y44" s="258"/>
      <c r="Z44" s="259"/>
      <c r="AA44" s="259"/>
      <c r="AB44" s="259"/>
      <c r="AC44" s="259"/>
      <c r="AD44" s="259"/>
      <c r="AE44" s="259"/>
      <c r="AF44" s="259"/>
      <c r="AG44" s="111"/>
      <c r="AH44" s="111"/>
    </row>
    <row r="45" spans="1:34" ht="17.5">
      <c r="A45" s="111"/>
      <c r="B45" s="132" t="s">
        <v>164</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55" t="s">
        <v>161</v>
      </c>
      <c r="C46" s="255"/>
      <c r="D46" s="255"/>
      <c r="E46" s="255" t="s">
        <v>162</v>
      </c>
      <c r="F46" s="260"/>
      <c r="G46" s="260"/>
      <c r="H46" s="260"/>
      <c r="I46" s="260"/>
      <c r="J46" s="260"/>
      <c r="K46" s="260"/>
      <c r="L46" s="260"/>
      <c r="M46" s="260"/>
      <c r="N46" s="260"/>
      <c r="O46" s="260"/>
      <c r="P46" s="260"/>
      <c r="Q46" s="260"/>
      <c r="R46" s="260"/>
      <c r="S46" s="260"/>
      <c r="T46" s="260"/>
      <c r="U46" s="260"/>
      <c r="V46" s="260"/>
      <c r="W46" s="260"/>
      <c r="X46" s="260"/>
      <c r="Y46" s="255" t="s">
        <v>163</v>
      </c>
      <c r="Z46" s="255"/>
      <c r="AA46" s="255"/>
      <c r="AB46" s="255"/>
      <c r="AC46" s="255"/>
      <c r="AD46" s="255"/>
      <c r="AE46" s="255"/>
      <c r="AF46" s="255"/>
      <c r="AG46" s="111"/>
      <c r="AH46" s="111"/>
    </row>
    <row r="47" spans="1:34">
      <c r="A47" s="111"/>
      <c r="B47" s="257"/>
      <c r="C47" s="257"/>
      <c r="D47" s="257"/>
      <c r="E47" s="258"/>
      <c r="F47" s="259"/>
      <c r="G47" s="259"/>
      <c r="H47" s="259"/>
      <c r="I47" s="259"/>
      <c r="J47" s="259"/>
      <c r="K47" s="259"/>
      <c r="L47" s="259"/>
      <c r="M47" s="259"/>
      <c r="N47" s="259"/>
      <c r="O47" s="259"/>
      <c r="P47" s="259"/>
      <c r="Q47" s="259"/>
      <c r="R47" s="259"/>
      <c r="S47" s="259"/>
      <c r="T47" s="259"/>
      <c r="U47" s="259"/>
      <c r="V47" s="259"/>
      <c r="W47" s="259"/>
      <c r="X47" s="259"/>
      <c r="Y47" s="258"/>
      <c r="Z47" s="259"/>
      <c r="AA47" s="259"/>
      <c r="AB47" s="259"/>
      <c r="AC47" s="259"/>
      <c r="AD47" s="259"/>
      <c r="AE47" s="259"/>
      <c r="AF47" s="259"/>
      <c r="AG47" s="111"/>
      <c r="AH47" s="111"/>
    </row>
    <row r="48" spans="1:34">
      <c r="A48" s="111"/>
      <c r="B48" s="257"/>
      <c r="C48" s="257"/>
      <c r="D48" s="257"/>
      <c r="E48" s="258"/>
      <c r="F48" s="259"/>
      <c r="G48" s="259"/>
      <c r="H48" s="259"/>
      <c r="I48" s="259"/>
      <c r="J48" s="259"/>
      <c r="K48" s="259"/>
      <c r="L48" s="259"/>
      <c r="M48" s="259"/>
      <c r="N48" s="259"/>
      <c r="O48" s="259"/>
      <c r="P48" s="259"/>
      <c r="Q48" s="259"/>
      <c r="R48" s="259"/>
      <c r="S48" s="259"/>
      <c r="T48" s="259"/>
      <c r="U48" s="259"/>
      <c r="V48" s="259"/>
      <c r="W48" s="259"/>
      <c r="X48" s="259"/>
      <c r="Y48" s="258"/>
      <c r="Z48" s="259"/>
      <c r="AA48" s="259"/>
      <c r="AB48" s="259"/>
      <c r="AC48" s="259"/>
      <c r="AD48" s="259"/>
      <c r="AE48" s="259"/>
      <c r="AF48" s="259"/>
      <c r="AG48" s="111"/>
      <c r="AH48" s="111"/>
    </row>
    <row r="49" spans="1:34">
      <c r="A49" s="111"/>
      <c r="B49" s="257"/>
      <c r="C49" s="257"/>
      <c r="D49" s="257"/>
      <c r="E49" s="258"/>
      <c r="F49" s="259"/>
      <c r="G49" s="259"/>
      <c r="H49" s="259"/>
      <c r="I49" s="259"/>
      <c r="J49" s="259"/>
      <c r="K49" s="259"/>
      <c r="L49" s="259"/>
      <c r="M49" s="259"/>
      <c r="N49" s="259"/>
      <c r="O49" s="259"/>
      <c r="P49" s="259"/>
      <c r="Q49" s="259"/>
      <c r="R49" s="259"/>
      <c r="S49" s="259"/>
      <c r="T49" s="259"/>
      <c r="U49" s="259"/>
      <c r="V49" s="259"/>
      <c r="W49" s="259"/>
      <c r="X49" s="259"/>
      <c r="Y49" s="258"/>
      <c r="Z49" s="259"/>
      <c r="AA49" s="259"/>
      <c r="AB49" s="259"/>
      <c r="AC49" s="259"/>
      <c r="AD49" s="259"/>
      <c r="AE49" s="259"/>
      <c r="AF49" s="259"/>
      <c r="AG49" s="111"/>
      <c r="AH49" s="111"/>
    </row>
    <row r="50" spans="1:34">
      <c r="A50" s="111"/>
      <c r="B50" s="257"/>
      <c r="C50" s="257"/>
      <c r="D50" s="257"/>
      <c r="E50" s="258"/>
      <c r="F50" s="259"/>
      <c r="G50" s="259"/>
      <c r="H50" s="259"/>
      <c r="I50" s="259"/>
      <c r="J50" s="259"/>
      <c r="K50" s="259"/>
      <c r="L50" s="259"/>
      <c r="M50" s="259"/>
      <c r="N50" s="259"/>
      <c r="O50" s="259"/>
      <c r="P50" s="259"/>
      <c r="Q50" s="259"/>
      <c r="R50" s="259"/>
      <c r="S50" s="259"/>
      <c r="T50" s="259"/>
      <c r="U50" s="259"/>
      <c r="V50" s="259"/>
      <c r="W50" s="259"/>
      <c r="X50" s="259"/>
      <c r="Y50" s="258"/>
      <c r="Z50" s="259"/>
      <c r="AA50" s="259"/>
      <c r="AB50" s="259"/>
      <c r="AC50" s="259"/>
      <c r="AD50" s="259"/>
      <c r="AE50" s="259"/>
      <c r="AF50" s="259"/>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
      <c r="A52" s="111"/>
      <c r="B52" s="123" t="s">
        <v>165</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55" t="s">
        <v>166</v>
      </c>
      <c r="C53" s="255"/>
      <c r="D53" s="255"/>
      <c r="E53" s="255"/>
      <c r="F53" s="255"/>
      <c r="G53" s="255"/>
      <c r="H53" s="256"/>
      <c r="I53" s="256"/>
      <c r="J53" s="256"/>
      <c r="K53" s="256"/>
      <c r="L53" s="256"/>
      <c r="M53" s="256"/>
      <c r="N53" s="256"/>
      <c r="O53" s="256"/>
      <c r="P53" s="256"/>
      <c r="Q53" s="256"/>
      <c r="R53" s="256"/>
      <c r="S53" s="256"/>
      <c r="T53" s="256"/>
      <c r="U53" s="256"/>
      <c r="V53" s="256"/>
      <c r="W53" s="256"/>
      <c r="X53" s="256"/>
      <c r="Y53" s="256"/>
      <c r="Z53" s="256"/>
      <c r="AA53" s="256"/>
      <c r="AB53" s="256"/>
      <c r="AC53" s="256"/>
      <c r="AD53" s="256"/>
      <c r="AE53" s="256"/>
      <c r="AF53" s="256"/>
      <c r="AG53" s="111"/>
      <c r="AH53" s="111"/>
    </row>
    <row r="54" spans="1:34" ht="27.75" customHeight="1">
      <c r="A54" s="111"/>
      <c r="B54" s="248" t="s">
        <v>167</v>
      </c>
      <c r="C54" s="249"/>
      <c r="D54" s="249"/>
      <c r="E54" s="249"/>
      <c r="F54" s="249"/>
      <c r="G54" s="250"/>
      <c r="H54" s="254" t="s">
        <v>168</v>
      </c>
      <c r="I54" s="252"/>
      <c r="J54" s="252"/>
      <c r="K54" s="252"/>
      <c r="L54" s="252"/>
      <c r="M54" s="252"/>
      <c r="N54" s="252"/>
      <c r="O54" s="252"/>
      <c r="P54" s="252"/>
      <c r="Q54" s="252"/>
      <c r="R54" s="252"/>
      <c r="S54" s="252"/>
      <c r="T54" s="252"/>
      <c r="U54" s="252"/>
      <c r="V54" s="252"/>
      <c r="W54" s="252"/>
      <c r="X54" s="252"/>
      <c r="Y54" s="252"/>
      <c r="Z54" s="252"/>
      <c r="AA54" s="252"/>
      <c r="AB54" s="252"/>
      <c r="AC54" s="252"/>
      <c r="AD54" s="252"/>
      <c r="AE54" s="252"/>
      <c r="AF54" s="253"/>
      <c r="AG54" s="111"/>
      <c r="AH54" s="111"/>
    </row>
    <row r="55" spans="1:34">
      <c r="A55" s="111"/>
      <c r="B55" s="248"/>
      <c r="C55" s="249"/>
      <c r="D55" s="249"/>
      <c r="E55" s="249"/>
      <c r="F55" s="249"/>
      <c r="G55" s="250"/>
      <c r="H55" s="251"/>
      <c r="I55" s="252"/>
      <c r="J55" s="252"/>
      <c r="K55" s="252"/>
      <c r="L55" s="252"/>
      <c r="M55" s="252"/>
      <c r="N55" s="252"/>
      <c r="O55" s="252"/>
      <c r="P55" s="252"/>
      <c r="Q55" s="252"/>
      <c r="R55" s="252"/>
      <c r="S55" s="252"/>
      <c r="T55" s="252"/>
      <c r="U55" s="252"/>
      <c r="V55" s="252"/>
      <c r="W55" s="252"/>
      <c r="X55" s="252"/>
      <c r="Y55" s="252"/>
      <c r="Z55" s="252"/>
      <c r="AA55" s="252"/>
      <c r="AB55" s="252"/>
      <c r="AC55" s="252"/>
      <c r="AD55" s="252"/>
      <c r="AE55" s="252"/>
      <c r="AF55" s="253"/>
      <c r="AG55" s="111"/>
      <c r="AH55" s="111"/>
    </row>
    <row r="56" spans="1:34">
      <c r="A56" s="111"/>
      <c r="B56" s="248"/>
      <c r="C56" s="249"/>
      <c r="D56" s="249"/>
      <c r="E56" s="249"/>
      <c r="F56" s="249"/>
      <c r="G56" s="250"/>
      <c r="H56" s="251"/>
      <c r="I56" s="252"/>
      <c r="J56" s="252"/>
      <c r="K56" s="252"/>
      <c r="L56" s="252"/>
      <c r="M56" s="252"/>
      <c r="N56" s="252"/>
      <c r="O56" s="252"/>
      <c r="P56" s="252"/>
      <c r="Q56" s="252"/>
      <c r="R56" s="252"/>
      <c r="S56" s="252"/>
      <c r="T56" s="252"/>
      <c r="U56" s="252"/>
      <c r="V56" s="252"/>
      <c r="W56" s="252"/>
      <c r="X56" s="252"/>
      <c r="Y56" s="252"/>
      <c r="Z56" s="252"/>
      <c r="AA56" s="252"/>
      <c r="AB56" s="252"/>
      <c r="AC56" s="252"/>
      <c r="AD56" s="252"/>
      <c r="AE56" s="252"/>
      <c r="AF56" s="253"/>
      <c r="AG56" s="111"/>
      <c r="AH56" s="111"/>
    </row>
    <row r="57" spans="1:34">
      <c r="A57" s="111"/>
      <c r="B57" s="248"/>
      <c r="C57" s="249"/>
      <c r="D57" s="249"/>
      <c r="E57" s="249"/>
      <c r="F57" s="249"/>
      <c r="G57" s="250"/>
      <c r="H57" s="251"/>
      <c r="I57" s="252"/>
      <c r="J57" s="252"/>
      <c r="K57" s="252"/>
      <c r="L57" s="252"/>
      <c r="M57" s="252"/>
      <c r="N57" s="252"/>
      <c r="O57" s="252"/>
      <c r="P57" s="252"/>
      <c r="Q57" s="252"/>
      <c r="R57" s="252"/>
      <c r="S57" s="252"/>
      <c r="T57" s="252"/>
      <c r="U57" s="252"/>
      <c r="V57" s="252"/>
      <c r="W57" s="252"/>
      <c r="X57" s="252"/>
      <c r="Y57" s="252"/>
      <c r="Z57" s="252"/>
      <c r="AA57" s="252"/>
      <c r="AB57" s="252"/>
      <c r="AC57" s="252"/>
      <c r="AD57" s="252"/>
      <c r="AE57" s="252"/>
      <c r="AF57" s="253"/>
      <c r="AG57" s="111"/>
      <c r="AH57" s="111"/>
    </row>
    <row r="58" spans="1:34">
      <c r="A58" s="111"/>
      <c r="B58" s="248"/>
      <c r="C58" s="249"/>
      <c r="D58" s="249"/>
      <c r="E58" s="249"/>
      <c r="F58" s="249"/>
      <c r="G58" s="250"/>
      <c r="H58" s="251"/>
      <c r="I58" s="252"/>
      <c r="J58" s="252"/>
      <c r="K58" s="252"/>
      <c r="L58" s="252"/>
      <c r="M58" s="252"/>
      <c r="N58" s="252"/>
      <c r="O58" s="252"/>
      <c r="P58" s="252"/>
      <c r="Q58" s="252"/>
      <c r="R58" s="252"/>
      <c r="S58" s="252"/>
      <c r="T58" s="252"/>
      <c r="U58" s="252"/>
      <c r="V58" s="252"/>
      <c r="W58" s="252"/>
      <c r="X58" s="252"/>
      <c r="Y58" s="252"/>
      <c r="Z58" s="252"/>
      <c r="AA58" s="252"/>
      <c r="AB58" s="252"/>
      <c r="AC58" s="252"/>
      <c r="AD58" s="252"/>
      <c r="AE58" s="252"/>
      <c r="AF58" s="253"/>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5">
      <c r="A61" s="111"/>
      <c r="B61" s="134" t="s">
        <v>169</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5">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6" customFormat="1" ht="20">
      <c r="B63" s="187" t="s">
        <v>279</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85" t="s">
        <v>275</v>
      </c>
      <c r="C65" s="286"/>
      <c r="D65" s="286"/>
      <c r="E65" s="286"/>
      <c r="F65" s="286"/>
      <c r="G65" s="287"/>
      <c r="H65" s="288" t="s">
        <v>270</v>
      </c>
      <c r="I65" s="289"/>
      <c r="J65" s="289"/>
      <c r="K65" s="289"/>
      <c r="L65" s="289"/>
      <c r="M65" s="289"/>
      <c r="N65" s="289"/>
      <c r="O65" s="289"/>
      <c r="P65" s="289"/>
      <c r="Q65" s="289"/>
      <c r="R65" s="289"/>
      <c r="S65" s="289"/>
      <c r="T65" s="289"/>
      <c r="U65" s="289"/>
      <c r="V65" s="289"/>
      <c r="W65" s="289"/>
      <c r="X65" s="289"/>
      <c r="Y65" s="289"/>
      <c r="Z65" s="289"/>
      <c r="AA65" s="289"/>
      <c r="AB65" s="289"/>
      <c r="AC65" s="289"/>
      <c r="AD65" s="289"/>
      <c r="AE65" s="289"/>
      <c r="AF65" s="290"/>
      <c r="AG65" s="111"/>
      <c r="AH65" s="111"/>
    </row>
    <row r="66" spans="1:36" ht="111" customHeight="1">
      <c r="A66" s="111"/>
      <c r="B66" s="285" t="s">
        <v>276</v>
      </c>
      <c r="C66" s="286"/>
      <c r="D66" s="286"/>
      <c r="E66" s="286"/>
      <c r="F66" s="286"/>
      <c r="G66" s="287"/>
      <c r="H66" s="288" t="s">
        <v>272</v>
      </c>
      <c r="I66" s="289"/>
      <c r="J66" s="289"/>
      <c r="K66" s="289"/>
      <c r="L66" s="289"/>
      <c r="M66" s="289"/>
      <c r="N66" s="289"/>
      <c r="O66" s="289"/>
      <c r="P66" s="289"/>
      <c r="Q66" s="289"/>
      <c r="R66" s="289"/>
      <c r="S66" s="289"/>
      <c r="T66" s="289"/>
      <c r="U66" s="289"/>
      <c r="V66" s="289"/>
      <c r="W66" s="289"/>
      <c r="X66" s="289"/>
      <c r="Y66" s="289"/>
      <c r="Z66" s="289"/>
      <c r="AA66" s="289"/>
      <c r="AB66" s="289"/>
      <c r="AC66" s="289"/>
      <c r="AD66" s="289"/>
      <c r="AE66" s="289"/>
      <c r="AF66" s="290"/>
      <c r="AG66" s="111"/>
      <c r="AH66" s="111"/>
    </row>
    <row r="67" spans="1:36" ht="52.5" customHeight="1">
      <c r="A67" s="111"/>
      <c r="B67" s="285" t="s">
        <v>277</v>
      </c>
      <c r="C67" s="286"/>
      <c r="D67" s="286"/>
      <c r="E67" s="286"/>
      <c r="F67" s="286"/>
      <c r="G67" s="287"/>
      <c r="H67" s="288" t="s">
        <v>280</v>
      </c>
      <c r="I67" s="289"/>
      <c r="J67" s="289"/>
      <c r="K67" s="289"/>
      <c r="L67" s="289"/>
      <c r="M67" s="289"/>
      <c r="N67" s="289"/>
      <c r="O67" s="289"/>
      <c r="P67" s="289"/>
      <c r="Q67" s="289"/>
      <c r="R67" s="289"/>
      <c r="S67" s="289"/>
      <c r="T67" s="289"/>
      <c r="U67" s="289"/>
      <c r="V67" s="289"/>
      <c r="W67" s="289"/>
      <c r="X67" s="289"/>
      <c r="Y67" s="289"/>
      <c r="Z67" s="289"/>
      <c r="AA67" s="289"/>
      <c r="AB67" s="289"/>
      <c r="AC67" s="289"/>
      <c r="AD67" s="289"/>
      <c r="AE67" s="289"/>
      <c r="AF67" s="290"/>
      <c r="AG67" s="111"/>
      <c r="AH67" s="111"/>
    </row>
    <row r="68" spans="1:36" ht="52.5" customHeight="1">
      <c r="A68" s="111"/>
      <c r="B68" s="285" t="s">
        <v>269</v>
      </c>
      <c r="C68" s="286"/>
      <c r="D68" s="286"/>
      <c r="E68" s="286"/>
      <c r="F68" s="286"/>
      <c r="G68" s="287"/>
      <c r="H68" s="288" t="s">
        <v>273</v>
      </c>
      <c r="I68" s="289"/>
      <c r="J68" s="289"/>
      <c r="K68" s="289"/>
      <c r="L68" s="289"/>
      <c r="M68" s="289"/>
      <c r="N68" s="289"/>
      <c r="O68" s="289"/>
      <c r="P68" s="289"/>
      <c r="Q68" s="289"/>
      <c r="R68" s="289"/>
      <c r="S68" s="289"/>
      <c r="T68" s="289"/>
      <c r="U68" s="289"/>
      <c r="V68" s="289"/>
      <c r="W68" s="289"/>
      <c r="X68" s="289"/>
      <c r="Y68" s="289"/>
      <c r="Z68" s="289"/>
      <c r="AA68" s="289"/>
      <c r="AB68" s="289"/>
      <c r="AC68" s="289"/>
      <c r="AD68" s="289"/>
      <c r="AE68" s="289"/>
      <c r="AF68" s="290"/>
      <c r="AG68" s="111"/>
      <c r="AH68" s="111"/>
    </row>
    <row r="69" spans="1:36" ht="81" customHeight="1">
      <c r="A69" s="111"/>
      <c r="B69" s="285" t="s">
        <v>278</v>
      </c>
      <c r="C69" s="286"/>
      <c r="D69" s="286"/>
      <c r="E69" s="286"/>
      <c r="F69" s="286"/>
      <c r="G69" s="287"/>
      <c r="H69" s="288" t="s">
        <v>281</v>
      </c>
      <c r="I69" s="289"/>
      <c r="J69" s="289"/>
      <c r="K69" s="289"/>
      <c r="L69" s="289"/>
      <c r="M69" s="289"/>
      <c r="N69" s="289"/>
      <c r="O69" s="289"/>
      <c r="P69" s="289"/>
      <c r="Q69" s="289"/>
      <c r="R69" s="289"/>
      <c r="S69" s="289"/>
      <c r="T69" s="289"/>
      <c r="U69" s="289"/>
      <c r="V69" s="289"/>
      <c r="W69" s="289"/>
      <c r="X69" s="289"/>
      <c r="Y69" s="289"/>
      <c r="Z69" s="289"/>
      <c r="AA69" s="289"/>
      <c r="AB69" s="289"/>
      <c r="AC69" s="289"/>
      <c r="AD69" s="289"/>
      <c r="AE69" s="289"/>
      <c r="AF69" s="290"/>
      <c r="AG69" s="111"/>
      <c r="AH69" s="111"/>
    </row>
    <row r="70" spans="1:36" ht="97.5" customHeight="1">
      <c r="A70" s="111"/>
      <c r="B70" s="285" t="s">
        <v>271</v>
      </c>
      <c r="C70" s="286"/>
      <c r="D70" s="286"/>
      <c r="E70" s="286"/>
      <c r="F70" s="286"/>
      <c r="G70" s="287"/>
      <c r="H70" s="288" t="s">
        <v>274</v>
      </c>
      <c r="I70" s="289"/>
      <c r="J70" s="289"/>
      <c r="K70" s="289"/>
      <c r="L70" s="289"/>
      <c r="M70" s="289"/>
      <c r="N70" s="289"/>
      <c r="O70" s="289"/>
      <c r="P70" s="289"/>
      <c r="Q70" s="289"/>
      <c r="R70" s="289"/>
      <c r="S70" s="289"/>
      <c r="T70" s="289"/>
      <c r="U70" s="289"/>
      <c r="V70" s="289"/>
      <c r="W70" s="289"/>
      <c r="X70" s="289"/>
      <c r="Y70" s="289"/>
      <c r="Z70" s="289"/>
      <c r="AA70" s="289"/>
      <c r="AB70" s="289"/>
      <c r="AC70" s="289"/>
      <c r="AD70" s="289"/>
      <c r="AE70" s="289"/>
      <c r="AF70" s="290"/>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5">
      <c r="A74" s="111"/>
      <c r="B74" s="134" t="s">
        <v>170</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171</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7.5">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5" t="s">
        <v>343</v>
      </c>
    </row>
    <row r="78" spans="1:36" ht="18.5">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4" t="s">
        <v>344</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227</v>
      </c>
      <c r="AJ79" s="161" t="s">
        <v>172</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174</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229</v>
      </c>
    </row>
    <row r="82" spans="1:36" ht="18.5">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175</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289</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173</v>
      </c>
    </row>
    <row r="85" spans="1:36">
      <c r="AJ85" s="161" t="s">
        <v>232</v>
      </c>
    </row>
    <row r="86" spans="1:36">
      <c r="AJ86" s="161" t="s">
        <v>290</v>
      </c>
    </row>
    <row r="87" spans="1:36">
      <c r="AJ87" s="161" t="s">
        <v>291</v>
      </c>
    </row>
    <row r="88" spans="1:36">
      <c r="AJ88" s="161" t="s">
        <v>292</v>
      </c>
    </row>
    <row r="89" spans="1:36">
      <c r="AJ89" s="161" t="s">
        <v>293</v>
      </c>
    </row>
    <row r="90" spans="1:36">
      <c r="AJ90" s="161" t="s">
        <v>299</v>
      </c>
    </row>
    <row r="91" spans="1:36">
      <c r="AJ91" s="161" t="s">
        <v>176</v>
      </c>
    </row>
    <row r="92" spans="1:36">
      <c r="AJ92" s="161" t="s">
        <v>294</v>
      </c>
    </row>
    <row r="93" spans="1:36">
      <c r="AJ93" s="161" t="s">
        <v>295</v>
      </c>
    </row>
    <row r="94" spans="1:36">
      <c r="AJ94" s="161" t="s">
        <v>296</v>
      </c>
    </row>
    <row r="95" spans="1:36">
      <c r="AJ95" s="161" t="s">
        <v>297</v>
      </c>
    </row>
    <row r="96" spans="1:36">
      <c r="AJ96" s="161" t="s">
        <v>298</v>
      </c>
    </row>
    <row r="97" spans="36:36">
      <c r="AJ97" s="161" t="s">
        <v>177</v>
      </c>
    </row>
    <row r="98" spans="36:36">
      <c r="AJ98" s="161" t="s">
        <v>300</v>
      </c>
    </row>
    <row r="99" spans="36:36" ht="18.5">
      <c r="AJ99" s="162" t="s">
        <v>295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0"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36328125" defaultRowHeight="12.5"/>
  <cols>
    <col min="1" max="1" width="3.6328125" style="1" customWidth="1"/>
    <col min="2" max="2" width="19.453125" style="1" customWidth="1"/>
    <col min="3" max="3" width="100.6328125" style="1" customWidth="1"/>
    <col min="4" max="16384" width="9.36328125" style="1"/>
  </cols>
  <sheetData>
    <row r="1" spans="1:8" ht="18">
      <c r="A1" s="293" t="s">
        <v>15</v>
      </c>
      <c r="B1" s="294"/>
      <c r="C1" s="294"/>
      <c r="D1" s="295"/>
    </row>
    <row r="3" spans="1:8" ht="13">
      <c r="B3" s="296" t="s">
        <v>16</v>
      </c>
      <c r="C3" s="297"/>
      <c r="D3" s="298"/>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ht="13">
      <c r="B12" s="296" t="s">
        <v>185</v>
      </c>
      <c r="C12" s="297"/>
      <c r="D12" s="298"/>
    </row>
    <row r="13" spans="1:8" ht="24.75" customHeight="1">
      <c r="B13" s="140" t="s">
        <v>180</v>
      </c>
      <c r="C13" s="299" t="s">
        <v>182</v>
      </c>
      <c r="D13" s="300"/>
    </row>
    <row r="14" spans="1:8" ht="25.5" customHeight="1">
      <c r="B14" s="140" t="s">
        <v>107</v>
      </c>
      <c r="C14" s="299" t="s">
        <v>183</v>
      </c>
      <c r="D14" s="300"/>
      <c r="E14" s="95"/>
      <c r="F14" s="95"/>
      <c r="G14" s="95"/>
      <c r="H14" s="95"/>
    </row>
    <row r="15" spans="1:8" ht="49.5" customHeight="1">
      <c r="B15" s="140" t="s">
        <v>181</v>
      </c>
      <c r="C15" s="299" t="s">
        <v>184</v>
      </c>
      <c r="D15" s="300"/>
      <c r="F15" s="99" t="s">
        <v>136</v>
      </c>
    </row>
    <row r="17" spans="2:6" ht="13">
      <c r="B17" s="296" t="s">
        <v>13</v>
      </c>
      <c r="C17" s="297"/>
      <c r="D17" s="298"/>
    </row>
    <row r="18" spans="2:6">
      <c r="B18" s="2"/>
      <c r="C18" s="3"/>
      <c r="D18" s="4"/>
      <c r="F18" s="99" t="s">
        <v>133</v>
      </c>
    </row>
    <row r="19" spans="2:6" s="96" customFormat="1" ht="37.5">
      <c r="B19" s="291" t="s">
        <v>186</v>
      </c>
      <c r="C19" s="141" t="s">
        <v>108</v>
      </c>
      <c r="D19" s="97"/>
      <c r="F19" s="100" t="s">
        <v>134</v>
      </c>
    </row>
    <row r="20" spans="2:6">
      <c r="B20" s="291"/>
      <c r="C20" s="142"/>
      <c r="D20" s="4"/>
      <c r="F20" s="99" t="s">
        <v>135</v>
      </c>
    </row>
    <row r="21" spans="2:6" ht="25">
      <c r="B21" s="291"/>
      <c r="C21" s="143" t="s">
        <v>109</v>
      </c>
      <c r="D21" s="4"/>
    </row>
    <row r="22" spans="2:6" ht="25">
      <c r="B22" s="291"/>
      <c r="C22" s="143" t="s">
        <v>0</v>
      </c>
      <c r="D22" s="4"/>
    </row>
    <row r="23" spans="2:6">
      <c r="B23" s="291"/>
      <c r="C23" s="143" t="s">
        <v>1</v>
      </c>
      <c r="D23" s="4"/>
    </row>
    <row r="24" spans="2:6">
      <c r="B24" s="2"/>
      <c r="C24" s="27"/>
      <c r="D24" s="4"/>
    </row>
    <row r="25" spans="2:6">
      <c r="B25" s="292" t="s">
        <v>187</v>
      </c>
      <c r="C25" s="144" t="s">
        <v>57</v>
      </c>
      <c r="D25" s="4"/>
    </row>
    <row r="26" spans="2:6" ht="25">
      <c r="B26" s="292"/>
      <c r="C26" s="145" t="s">
        <v>2</v>
      </c>
      <c r="D26" s="4"/>
    </row>
    <row r="27" spans="2:6">
      <c r="B27" s="292"/>
      <c r="C27" s="144" t="s">
        <v>131</v>
      </c>
      <c r="D27" s="4"/>
    </row>
    <row r="28" spans="2:6">
      <c r="B28" s="2"/>
      <c r="C28" s="27"/>
      <c r="D28" s="4"/>
    </row>
    <row r="29" spans="2:6">
      <c r="B29" s="5"/>
      <c r="C29" s="6"/>
      <c r="D29" s="7"/>
    </row>
    <row r="30" spans="2:6">
      <c r="B30" s="3"/>
      <c r="C30" s="3"/>
      <c r="D30" s="3"/>
    </row>
    <row r="32" spans="2:6" ht="13">
      <c r="B32" s="15" t="s">
        <v>52</v>
      </c>
    </row>
    <row r="33" spans="2:4">
      <c r="B33" s="8"/>
      <c r="C33" s="9"/>
      <c r="D33" s="10"/>
    </row>
    <row r="34" spans="2:4" ht="18">
      <c r="B34" s="37" t="s">
        <v>55</v>
      </c>
      <c r="C34" s="3"/>
      <c r="D34" s="4"/>
    </row>
    <row r="35" spans="2:4" ht="25">
      <c r="B35" s="2"/>
      <c r="C35" s="31" t="s">
        <v>53</v>
      </c>
      <c r="D35" s="4"/>
    </row>
    <row r="36" spans="2:4">
      <c r="B36" s="5"/>
      <c r="C36" s="76"/>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2" t="s">
        <v>340</v>
      </c>
      <c r="C50" s="193" t="s">
        <v>341</v>
      </c>
      <c r="D50" s="4"/>
    </row>
    <row r="51" spans="2:4">
      <c r="B51" s="5"/>
      <c r="C51" s="43"/>
      <c r="D51" s="7"/>
    </row>
    <row r="52" spans="2:4">
      <c r="B52" s="2"/>
      <c r="C52" s="31"/>
      <c r="D52" s="4"/>
    </row>
    <row r="53" spans="2:4" ht="18">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ht="13">
      <c r="B122" s="15" t="s">
        <v>110</v>
      </c>
    </row>
    <row r="123" spans="2:4" ht="37.5">
      <c r="B123" s="8"/>
      <c r="C123" s="98" t="s">
        <v>112</v>
      </c>
      <c r="D123" s="10"/>
    </row>
    <row r="124" spans="2:4">
      <c r="B124" s="146" t="s">
        <v>188</v>
      </c>
      <c r="C124" s="1" t="s">
        <v>111</v>
      </c>
      <c r="D124" s="4"/>
    </row>
    <row r="125" spans="2:4">
      <c r="B125" s="146" t="s">
        <v>188</v>
      </c>
      <c r="C125" s="31" t="s">
        <v>115</v>
      </c>
      <c r="D125" s="4"/>
    </row>
    <row r="126" spans="2:4">
      <c r="B126" s="146" t="s">
        <v>188</v>
      </c>
      <c r="C126" s="27" t="s">
        <v>116</v>
      </c>
      <c r="D126" s="4"/>
    </row>
    <row r="127" spans="2:4">
      <c r="B127" s="146" t="s">
        <v>188</v>
      </c>
      <c r="C127" s="27" t="s">
        <v>117</v>
      </c>
      <c r="D127" s="4"/>
    </row>
    <row r="128" spans="2:4">
      <c r="B128" s="146" t="s">
        <v>188</v>
      </c>
      <c r="C128" s="27" t="s">
        <v>118</v>
      </c>
      <c r="D128" s="4"/>
    </row>
    <row r="129" spans="2:4">
      <c r="B129" s="146" t="s">
        <v>188</v>
      </c>
      <c r="C129" s="27" t="s">
        <v>122</v>
      </c>
      <c r="D129" s="4"/>
    </row>
    <row r="130" spans="2:4">
      <c r="B130" s="146" t="s">
        <v>188</v>
      </c>
      <c r="C130" s="27" t="s">
        <v>123</v>
      </c>
      <c r="D130" s="4"/>
    </row>
    <row r="131" spans="2:4">
      <c r="B131" s="146" t="s">
        <v>188</v>
      </c>
      <c r="C131" s="31" t="s">
        <v>125</v>
      </c>
      <c r="D131" s="4"/>
    </row>
    <row r="132" spans="2:4">
      <c r="B132" s="146" t="s">
        <v>188</v>
      </c>
      <c r="C132" s="31" t="s">
        <v>126</v>
      </c>
      <c r="D132" s="4"/>
    </row>
    <row r="133" spans="2:4">
      <c r="B133" s="146" t="s">
        <v>188</v>
      </c>
      <c r="C133" s="1" t="s">
        <v>124</v>
      </c>
      <c r="D133" s="4"/>
    </row>
    <row r="134" spans="2:4">
      <c r="B134" s="146" t="s">
        <v>188</v>
      </c>
      <c r="C134" s="27" t="s">
        <v>119</v>
      </c>
      <c r="D134" s="4"/>
    </row>
    <row r="135" spans="2:4">
      <c r="B135" s="146" t="s">
        <v>188</v>
      </c>
      <c r="C135" s="27" t="s">
        <v>114</v>
      </c>
      <c r="D135" s="4"/>
    </row>
    <row r="136" spans="2:4">
      <c r="B136" s="146" t="s">
        <v>188</v>
      </c>
      <c r="C136" s="31" t="s">
        <v>120</v>
      </c>
      <c r="D136" s="4"/>
    </row>
    <row r="137" spans="2:4">
      <c r="B137" s="146" t="s">
        <v>188</v>
      </c>
      <c r="C137" s="31" t="s">
        <v>128</v>
      </c>
      <c r="D137" s="4"/>
    </row>
    <row r="138" spans="2:4">
      <c r="B138" s="146" t="s">
        <v>188</v>
      </c>
      <c r="C138" s="31" t="s">
        <v>113</v>
      </c>
      <c r="D138" s="4"/>
    </row>
    <row r="139" spans="2:4">
      <c r="B139" s="146" t="s">
        <v>188</v>
      </c>
      <c r="C139" s="31" t="s">
        <v>127</v>
      </c>
      <c r="D139" s="4"/>
    </row>
    <row r="140" spans="2:4">
      <c r="B140" s="147" t="s">
        <v>188</v>
      </c>
      <c r="C140" s="6" t="s">
        <v>121</v>
      </c>
      <c r="D140" s="7"/>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6540500</xdr:colOff>
                    <xdr:row>117</xdr:row>
                    <xdr:rowOff>63500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36328125" defaultRowHeight="12.5" outlineLevelCol="1"/>
  <cols>
    <col min="1" max="1" width="9.36328125" style="16" collapsed="1"/>
    <col min="2" max="2" width="9.36328125" style="16" hidden="1" customWidth="1" outlineLevel="1"/>
    <col min="3" max="3" width="24" style="16" bestFit="1" customWidth="1"/>
    <col min="4" max="4" width="14.6328125" style="16" customWidth="1"/>
    <col min="5" max="5" width="10.36328125" style="16" customWidth="1"/>
    <col min="6" max="6" width="11.453125" style="16" customWidth="1"/>
    <col min="7" max="7" width="9.36328125" style="16" customWidth="1"/>
    <col min="8" max="8" width="10.54296875" style="16" customWidth="1"/>
    <col min="9" max="9" width="12.6328125" style="16" customWidth="1"/>
    <col min="10" max="10" width="13.54296875" style="16" customWidth="1"/>
    <col min="11" max="11" width="9.36328125" style="16" customWidth="1"/>
    <col min="12" max="13" width="12.36328125" style="16" customWidth="1"/>
    <col min="14" max="14" width="10.54296875" style="16" customWidth="1"/>
    <col min="15" max="15" width="9.36328125" style="16" customWidth="1"/>
    <col min="16" max="16" width="10.36328125" style="16" customWidth="1"/>
    <col min="17" max="18" width="10" style="16" bestFit="1" customWidth="1"/>
    <col min="19" max="19" width="11.36328125" style="16" customWidth="1"/>
    <col min="20" max="16384" width="9.3632812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62.5">
      <c r="B24" s="86" t="s">
        <v>90</v>
      </c>
      <c r="C24" s="33" t="s">
        <v>51</v>
      </c>
      <c r="D24" s="55" t="s">
        <v>69</v>
      </c>
      <c r="E24" s="86" t="s">
        <v>291</v>
      </c>
      <c r="F24" s="86" t="s">
        <v>174</v>
      </c>
      <c r="G24" s="86" t="s">
        <v>229</v>
      </c>
      <c r="H24" s="86" t="s">
        <v>175</v>
      </c>
      <c r="I24" s="86" t="s">
        <v>289</v>
      </c>
      <c r="J24" s="86" t="s">
        <v>173</v>
      </c>
      <c r="K24" s="86" t="s">
        <v>232</v>
      </c>
      <c r="L24" s="86" t="s">
        <v>290</v>
      </c>
      <c r="M24" s="86" t="s">
        <v>291</v>
      </c>
      <c r="N24" s="86" t="s">
        <v>292</v>
      </c>
      <c r="O24" s="86" t="s">
        <v>293</v>
      </c>
      <c r="P24" s="86" t="s">
        <v>299</v>
      </c>
      <c r="Q24" s="86" t="s">
        <v>176</v>
      </c>
      <c r="R24" s="86" t="s">
        <v>294</v>
      </c>
      <c r="S24" s="86" t="s">
        <v>295</v>
      </c>
      <c r="T24" s="86" t="s">
        <v>296</v>
      </c>
      <c r="U24" s="86" t="s">
        <v>297</v>
      </c>
      <c r="V24" s="86" t="s">
        <v>298</v>
      </c>
      <c r="W24" s="86" t="s">
        <v>177</v>
      </c>
      <c r="X24" s="86" t="s">
        <v>300</v>
      </c>
      <c r="Y24" s="86" t="s">
        <v>173</v>
      </c>
      <c r="Z24" s="86" t="s">
        <v>232</v>
      </c>
    </row>
    <row r="25" spans="2:52" ht="14.5">
      <c r="B25" s="88"/>
      <c r="C25" s="40" t="s">
        <v>77</v>
      </c>
      <c r="D25" s="85">
        <f>SUM(E25:AA25)</f>
        <v>9</v>
      </c>
      <c r="E25" s="88">
        <v>8</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5">
      <c r="B26" s="89"/>
      <c r="C26" s="41" t="s">
        <v>78</v>
      </c>
      <c r="D26" s="85">
        <f>SUM(E26:AA26)</f>
        <v>2</v>
      </c>
      <c r="E26" s="89">
        <v>2</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5">
      <c r="B27" s="87">
        <f>B25+B26</f>
        <v>0</v>
      </c>
      <c r="C27" s="45" t="s">
        <v>22</v>
      </c>
      <c r="D27" s="87">
        <f t="shared" ref="D27" si="0">D25+D26</f>
        <v>11</v>
      </c>
      <c r="E27" s="87">
        <f>E25+E26</f>
        <v>10</v>
      </c>
      <c r="F27" s="87">
        <f t="shared" ref="F27:X27" si="1">F25+F26</f>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5">
      <c r="B32" s="88"/>
      <c r="C32" s="41" t="s">
        <v>19</v>
      </c>
      <c r="D32" s="91">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5">
      <c r="B33" s="89"/>
      <c r="C33" s="41" t="s">
        <v>44</v>
      </c>
      <c r="D33" s="91">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5">
      <c r="B34" s="89"/>
      <c r="C34" s="41" t="s">
        <v>20</v>
      </c>
      <c r="D34" s="91">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5">
      <c r="B35" s="89"/>
      <c r="C35" s="41" t="s">
        <v>21</v>
      </c>
      <c r="D35" s="91">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5">
      <c r="B36" s="89"/>
      <c r="C36" s="41" t="s">
        <v>79</v>
      </c>
      <c r="D36" s="91">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5">
      <c r="B37" s="90">
        <f>SUM(B32:B36)</f>
        <v>0</v>
      </c>
      <c r="C37" s="45" t="s">
        <v>22</v>
      </c>
      <c r="D37" s="90">
        <f>SUM(D32:D36)</f>
        <v>0</v>
      </c>
    </row>
    <row r="38" spans="2:52">
      <c r="H38" s="38"/>
    </row>
    <row r="39" spans="2:52">
      <c r="H39" s="38"/>
    </row>
    <row r="40" spans="2:52" s="84" customFormat="1" ht="62.5">
      <c r="B40" s="86" t="s">
        <v>91</v>
      </c>
      <c r="C40" s="33" t="s">
        <v>68</v>
      </c>
      <c r="D40" s="55" t="s">
        <v>69</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5">
      <c r="B41" s="89"/>
      <c r="C41" s="41" t="s">
        <v>76</v>
      </c>
      <c r="D41" s="91">
        <f>SUM(E41:AA41)</f>
        <v>0</v>
      </c>
    </row>
    <row r="42" spans="2:52" ht="14.5">
      <c r="B42" s="89"/>
      <c r="C42" s="41" t="s">
        <v>75</v>
      </c>
      <c r="D42" s="91">
        <f>SUM(E42:AA42)</f>
        <v>0</v>
      </c>
    </row>
    <row r="43" spans="2:52" s="17" customFormat="1" ht="14.5">
      <c r="B43" s="89"/>
      <c r="C43" s="41" t="s">
        <v>102</v>
      </c>
      <c r="D43" s="91">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5">
      <c r="B44" s="90">
        <f>SUM(B41:B43)</f>
        <v>0</v>
      </c>
      <c r="C44" s="45" t="s">
        <v>22</v>
      </c>
      <c r="D44" s="90">
        <f>SUM(D41:D43)</f>
        <v>0</v>
      </c>
    </row>
    <row r="47" spans="2:52" ht="25">
      <c r="C47" s="92" t="s">
        <v>60</v>
      </c>
      <c r="D47" s="30" t="s">
        <v>93</v>
      </c>
      <c r="E47" s="30" t="s">
        <v>92</v>
      </c>
    </row>
    <row r="48" spans="2:52">
      <c r="C48" s="93" t="s">
        <v>94</v>
      </c>
      <c r="D48" s="93" t="s">
        <v>95</v>
      </c>
      <c r="E48" s="93" t="s">
        <v>96</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9"/>
  <sheetViews>
    <sheetView showGridLines="0" zoomScaleNormal="100" workbookViewId="0">
      <selection activeCell="E14" sqref="E14"/>
    </sheetView>
  </sheetViews>
  <sheetFormatPr defaultColWidth="8.6328125" defaultRowHeight="14.5" outlineLevelCol="1"/>
  <cols>
    <col min="1" max="2" width="31.54296875" style="148" customWidth="1"/>
    <col min="3" max="3" width="43.36328125" style="148" customWidth="1"/>
    <col min="4" max="4" width="13.453125" style="148" customWidth="1"/>
    <col min="5" max="5" width="18.36328125" style="148" customWidth="1"/>
    <col min="6" max="14" width="15.36328125" style="148" customWidth="1" outlineLevel="1"/>
    <col min="15" max="15" width="16.6328125" style="148" customWidth="1" outlineLevel="1"/>
    <col min="16" max="16384" width="8.6328125" style="148"/>
  </cols>
  <sheetData>
    <row r="1" spans="1:15" ht="21" customHeight="1">
      <c r="A1" s="301" t="s">
        <v>195</v>
      </c>
      <c r="B1" s="302"/>
      <c r="C1" s="302"/>
      <c r="D1" s="302"/>
      <c r="E1" s="303"/>
      <c r="F1" s="304" t="s">
        <v>210</v>
      </c>
      <c r="G1" s="305"/>
      <c r="H1" s="305"/>
      <c r="I1" s="305"/>
      <c r="J1" s="305"/>
      <c r="K1" s="305"/>
      <c r="L1" s="305"/>
      <c r="M1" s="305"/>
      <c r="N1" s="305"/>
      <c r="O1" s="305"/>
    </row>
    <row r="2" spans="1:15" ht="18.5">
      <c r="A2" s="158" t="s">
        <v>198</v>
      </c>
      <c r="B2" s="158" t="s">
        <v>194</v>
      </c>
      <c r="C2" s="158" t="s">
        <v>196</v>
      </c>
      <c r="D2" s="158" t="s">
        <v>197</v>
      </c>
      <c r="E2" s="158" t="s">
        <v>199</v>
      </c>
      <c r="F2" s="159" t="s">
        <v>200</v>
      </c>
      <c r="G2" s="159" t="s">
        <v>201</v>
      </c>
      <c r="H2" s="159" t="s">
        <v>202</v>
      </c>
      <c r="I2" s="159" t="s">
        <v>203</v>
      </c>
      <c r="J2" s="159" t="s">
        <v>204</v>
      </c>
      <c r="K2" s="159" t="s">
        <v>205</v>
      </c>
      <c r="L2" s="159" t="s">
        <v>206</v>
      </c>
      <c r="M2" s="159" t="s">
        <v>207</v>
      </c>
      <c r="N2" s="159" t="s">
        <v>208</v>
      </c>
      <c r="O2" s="159" t="s">
        <v>209</v>
      </c>
    </row>
    <row r="3" spans="1:15">
      <c r="A3" s="197" t="s">
        <v>365</v>
      </c>
      <c r="B3" s="148" t="s">
        <v>180</v>
      </c>
      <c r="C3" s="197" t="s">
        <v>366</v>
      </c>
      <c r="D3" s="197" t="s">
        <v>366</v>
      </c>
      <c r="E3" s="157">
        <v>120</v>
      </c>
      <c r="F3" s="197" t="s">
        <v>347</v>
      </c>
    </row>
    <row r="4" spans="1:15">
      <c r="A4" s="198" t="s">
        <v>365</v>
      </c>
      <c r="B4" s="198" t="s">
        <v>180</v>
      </c>
      <c r="C4" s="199" t="s">
        <v>384</v>
      </c>
      <c r="D4" s="199" t="s">
        <v>384</v>
      </c>
      <c r="E4" s="200">
        <v>30</v>
      </c>
      <c r="F4" s="198" t="s">
        <v>347</v>
      </c>
      <c r="G4" s="198"/>
      <c r="H4" s="198"/>
      <c r="I4" s="198"/>
      <c r="J4" s="198"/>
      <c r="K4" s="198"/>
      <c r="L4" s="198"/>
      <c r="M4" s="198"/>
      <c r="N4" s="198"/>
      <c r="O4" s="198"/>
    </row>
    <row r="5" spans="1:15">
      <c r="A5" s="198" t="s">
        <v>365</v>
      </c>
      <c r="B5" s="198" t="s">
        <v>180</v>
      </c>
      <c r="C5" s="202" t="s">
        <v>386</v>
      </c>
      <c r="D5" s="202" t="s">
        <v>386</v>
      </c>
      <c r="E5" s="157">
        <v>30</v>
      </c>
      <c r="F5" s="198" t="s">
        <v>347</v>
      </c>
      <c r="G5" s="201"/>
      <c r="H5" s="201"/>
      <c r="I5" s="201"/>
      <c r="J5" s="201"/>
      <c r="K5" s="201"/>
      <c r="L5" s="201"/>
      <c r="M5" s="201"/>
      <c r="N5" s="201"/>
      <c r="O5" s="201"/>
    </row>
    <row r="6" spans="1:15">
      <c r="A6" s="198" t="s">
        <v>365</v>
      </c>
      <c r="B6" s="198" t="s">
        <v>180</v>
      </c>
      <c r="C6" s="203" t="s">
        <v>389</v>
      </c>
      <c r="D6" s="203" t="s">
        <v>389</v>
      </c>
      <c r="E6" s="200">
        <v>30</v>
      </c>
      <c r="F6" s="203" t="s">
        <v>368</v>
      </c>
      <c r="G6" s="198"/>
      <c r="H6" s="198"/>
      <c r="I6" s="198"/>
      <c r="J6" s="198"/>
      <c r="K6" s="198"/>
      <c r="L6" s="198"/>
      <c r="M6" s="198"/>
      <c r="N6" s="198"/>
      <c r="O6" s="198"/>
    </row>
    <row r="7" spans="1:15">
      <c r="A7" s="198" t="s">
        <v>365</v>
      </c>
      <c r="B7" s="198" t="s">
        <v>180</v>
      </c>
      <c r="C7" s="204" t="s">
        <v>395</v>
      </c>
      <c r="D7" s="204" t="s">
        <v>395</v>
      </c>
      <c r="E7" s="200">
        <v>30</v>
      </c>
      <c r="F7" s="198" t="s">
        <v>368</v>
      </c>
      <c r="G7" s="198"/>
      <c r="H7" s="198"/>
      <c r="I7" s="198"/>
      <c r="J7" s="198"/>
      <c r="K7" s="198"/>
      <c r="L7" s="198"/>
      <c r="M7" s="198"/>
      <c r="N7" s="198"/>
      <c r="O7" s="198"/>
    </row>
    <row r="8" spans="1:15">
      <c r="A8" s="198" t="s">
        <v>365</v>
      </c>
      <c r="B8" s="198" t="s">
        <v>180</v>
      </c>
      <c r="C8" s="206" t="s">
        <v>403</v>
      </c>
      <c r="D8" s="206" t="s">
        <v>403</v>
      </c>
      <c r="E8" s="148">
        <v>30</v>
      </c>
      <c r="F8" s="206" t="s">
        <v>398</v>
      </c>
    </row>
    <row r="9" spans="1:15">
      <c r="A9" s="198"/>
      <c r="B9" s="198"/>
      <c r="C9" s="204"/>
      <c r="D9" s="204"/>
      <c r="E9" s="205"/>
      <c r="F9" s="198"/>
      <c r="G9" s="198"/>
      <c r="H9" s="198"/>
      <c r="I9" s="198"/>
      <c r="J9" s="198"/>
      <c r="K9" s="198"/>
      <c r="L9" s="198"/>
      <c r="M9" s="198"/>
      <c r="N9" s="198"/>
      <c r="O9" s="198"/>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80" zoomScaleNormal="80" workbookViewId="0">
      <pane xSplit="1" ySplit="4" topLeftCell="B11" activePane="bottomRight" state="frozenSplit"/>
      <selection activeCell="K17" sqref="K17"/>
      <selection pane="topRight" activeCell="K17" sqref="K17"/>
      <selection pane="bottomLeft" activeCell="K17" sqref="K17"/>
      <selection pane="bottomRight" activeCell="M31" sqref="M31"/>
    </sheetView>
  </sheetViews>
  <sheetFormatPr defaultRowHeight="12.5" outlineLevelRow="1" outlineLevelCol="1"/>
  <cols>
    <col min="1" max="1" width="5.36328125" style="73" customWidth="1"/>
    <col min="2" max="2" width="9.6328125" style="48" customWidth="1"/>
    <col min="3" max="3" width="23.453125" style="48" customWidth="1"/>
    <col min="4" max="4" width="63.08984375" style="49" customWidth="1"/>
    <col min="5" max="5" width="11" style="69" customWidth="1" outlineLevel="1"/>
    <col min="6" max="6" width="14.54296875" style="70" customWidth="1" outlineLevel="1"/>
    <col min="7" max="7" width="33.6328125" style="49" customWidth="1"/>
    <col min="8" max="9" width="11.36328125" style="48" customWidth="1" outlineLevel="1"/>
    <col min="10" max="10" width="18.36328125" style="48" customWidth="1" outlineLevel="1"/>
    <col min="11" max="11" width="12.54296875" style="50" customWidth="1"/>
    <col min="12" max="12" width="13.6328125" style="51" customWidth="1"/>
    <col min="13" max="13" width="13.36328125" style="51" customWidth="1"/>
    <col min="14" max="14" width="12" style="39" bestFit="1" customWidth="1"/>
    <col min="15" max="15" width="20.6328125" style="39" bestFit="1" customWidth="1"/>
    <col min="16" max="16" width="13.36328125" style="39" bestFit="1" customWidth="1"/>
    <col min="17" max="22" width="11.453125" style="64" customWidth="1"/>
    <col min="23" max="23" width="11.6328125" style="64" bestFit="1" customWidth="1"/>
    <col min="24" max="24" width="15.54296875" bestFit="1" customWidth="1"/>
    <col min="25" max="25" width="15" bestFit="1" customWidth="1"/>
    <col min="26" max="26" width="9.6328125" bestFit="1" customWidth="1"/>
  </cols>
  <sheetData>
    <row r="1" spans="1:46" s="24" customFormat="1" ht="50"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20</v>
      </c>
      <c r="S2" s="54">
        <f>COUNTIF($L5:$L500,"=" &amp; S1)</f>
        <v>0</v>
      </c>
      <c r="T2" s="54">
        <f>COUNTIF($L5:$L500,"=" &amp; T1)</f>
        <v>4</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24</v>
      </c>
      <c r="AI2" s="54">
        <f>COUNTIF($M5:$M500,"=" &amp; AI1)</f>
        <v>0</v>
      </c>
      <c r="AJ2" s="54">
        <f>COUNTIF($M5:$M500,"=" &amp; AJ1)</f>
        <v>0</v>
      </c>
      <c r="AM2" s="34"/>
      <c r="AN2" s="34"/>
      <c r="AO2" s="34"/>
      <c r="AP2" s="36"/>
      <c r="AQ2" s="36"/>
      <c r="AR2" s="34"/>
      <c r="AS2" s="36"/>
      <c r="AT2" s="36"/>
    </row>
    <row r="3" spans="1:46" s="53" customFormat="1" ht="25.5" customHeight="1" outlineLevel="1">
      <c r="A3" s="307" t="str">
        <f>IF(Issue_to_treat=1,NbOfNotTreatedIssues+NbOfRejectedIssues&amp;" issue(s) to treat",IF(Issues_to_approve=1,NbOfNotApprovedIssues&amp;" issue(s) to approve",IF(Issues_postponed=1,NbOfNotApprovedAndPostponedIssues&amp;" issue(s) postponed","Status OK")))</f>
        <v>Status OK</v>
      </c>
      <c r="B3" s="307"/>
      <c r="C3" s="308"/>
      <c r="D3" s="67" t="s">
        <v>64</v>
      </c>
      <c r="E3" s="306" t="s">
        <v>82</v>
      </c>
      <c r="F3" s="306"/>
      <c r="G3" s="306"/>
      <c r="H3" s="52"/>
      <c r="I3" s="52"/>
      <c r="J3" s="52"/>
      <c r="K3" s="52"/>
      <c r="L3" s="52"/>
      <c r="M3" s="52"/>
      <c r="N3" s="59"/>
      <c r="O3" s="59"/>
      <c r="P3" s="59"/>
      <c r="Q3" s="63"/>
      <c r="R3" s="63"/>
      <c r="S3" s="63"/>
      <c r="T3" s="63"/>
      <c r="U3" s="63"/>
      <c r="V3" s="63"/>
      <c r="W3" s="63"/>
      <c r="X3" s="25"/>
      <c r="Y3" s="25"/>
      <c r="Z3" s="25"/>
      <c r="AA3" s="25"/>
      <c r="AB3" s="25"/>
    </row>
    <row r="4" spans="1:46" s="156" customFormat="1" ht="31">
      <c r="A4" s="149" t="s">
        <v>30</v>
      </c>
      <c r="B4" s="149" t="s">
        <v>9</v>
      </c>
      <c r="C4" s="149" t="s">
        <v>32</v>
      </c>
      <c r="D4" s="149" t="s">
        <v>178</v>
      </c>
      <c r="E4" s="149" t="s">
        <v>70</v>
      </c>
      <c r="F4" s="149" t="s">
        <v>31</v>
      </c>
      <c r="G4" s="150" t="s">
        <v>46</v>
      </c>
      <c r="H4" s="151" t="s">
        <v>48</v>
      </c>
      <c r="I4" s="151" t="s">
        <v>106</v>
      </c>
      <c r="J4" s="151" t="s">
        <v>33</v>
      </c>
      <c r="K4" s="152" t="s">
        <v>49</v>
      </c>
      <c r="L4" s="151" t="s">
        <v>47</v>
      </c>
      <c r="M4" s="149" t="s">
        <v>179</v>
      </c>
      <c r="N4" s="153"/>
      <c r="O4" s="153"/>
      <c r="P4" s="153"/>
      <c r="Q4" s="154"/>
      <c r="R4" s="154"/>
      <c r="S4" s="154"/>
      <c r="T4" s="154"/>
      <c r="U4" s="154"/>
      <c r="V4" s="154"/>
      <c r="W4" s="154"/>
      <c r="X4" s="155"/>
      <c r="Y4" s="155"/>
      <c r="Z4" s="155"/>
      <c r="AA4" s="155"/>
      <c r="AB4" s="155"/>
    </row>
    <row r="5" spans="1:46" s="25" customFormat="1" ht="25">
      <c r="A5" s="74">
        <v>1</v>
      </c>
      <c r="B5" s="196" t="s">
        <v>350</v>
      </c>
      <c r="C5" s="42" t="s">
        <v>351</v>
      </c>
      <c r="D5" s="29" t="s">
        <v>349</v>
      </c>
      <c r="E5" s="71">
        <v>44726.585648148146</v>
      </c>
      <c r="F5" s="72" t="s">
        <v>347</v>
      </c>
      <c r="G5" s="29" t="s">
        <v>367</v>
      </c>
      <c r="H5" s="22"/>
      <c r="I5" s="22" t="s">
        <v>26</v>
      </c>
      <c r="J5" s="82" t="s">
        <v>368</v>
      </c>
      <c r="K5" s="83">
        <v>44726.662986111114</v>
      </c>
      <c r="L5" s="22" t="s">
        <v>20</v>
      </c>
      <c r="M5" s="82" t="s">
        <v>28</v>
      </c>
      <c r="N5" s="59"/>
      <c r="O5" s="59"/>
      <c r="P5" s="59"/>
      <c r="Q5" s="63"/>
      <c r="R5" s="63"/>
      <c r="S5" s="63"/>
      <c r="T5" s="63"/>
      <c r="U5" s="63"/>
      <c r="V5" s="63"/>
      <c r="W5" s="63"/>
    </row>
    <row r="6" spans="1:46" s="25" customFormat="1" ht="25">
      <c r="A6" s="75">
        <v>2</v>
      </c>
      <c r="B6" s="196" t="s">
        <v>350</v>
      </c>
      <c r="C6" s="42" t="s">
        <v>351</v>
      </c>
      <c r="D6" s="29" t="s">
        <v>352</v>
      </c>
      <c r="E6" s="71">
        <v>44726.587534722225</v>
      </c>
      <c r="F6" s="72" t="s">
        <v>347</v>
      </c>
      <c r="G6" s="29" t="s">
        <v>369</v>
      </c>
      <c r="H6" s="22"/>
      <c r="I6" s="22" t="s">
        <v>26</v>
      </c>
      <c r="J6" s="82" t="s">
        <v>368</v>
      </c>
      <c r="K6" s="83">
        <v>44726.664085648146</v>
      </c>
      <c r="L6" s="22" t="s">
        <v>20</v>
      </c>
      <c r="M6" s="82" t="s">
        <v>28</v>
      </c>
      <c r="N6" s="59"/>
      <c r="O6" s="59"/>
      <c r="P6" s="59"/>
      <c r="Q6" s="63"/>
      <c r="R6" s="63"/>
      <c r="S6" s="63"/>
      <c r="T6" s="63"/>
      <c r="U6" s="63"/>
      <c r="V6" s="63"/>
      <c r="W6" s="63"/>
    </row>
    <row r="7" spans="1:46" s="25" customFormat="1" ht="25">
      <c r="A7" s="75">
        <v>3</v>
      </c>
      <c r="B7" s="196" t="s">
        <v>350</v>
      </c>
      <c r="C7" s="42" t="s">
        <v>351</v>
      </c>
      <c r="D7" s="29" t="s">
        <v>353</v>
      </c>
      <c r="E7" s="71">
        <v>44726.587708333333</v>
      </c>
      <c r="F7" s="72" t="s">
        <v>347</v>
      </c>
      <c r="G7" s="18" t="s">
        <v>380</v>
      </c>
      <c r="H7" s="22"/>
      <c r="I7" s="22" t="s">
        <v>26</v>
      </c>
      <c r="J7" s="82" t="s">
        <v>368</v>
      </c>
      <c r="K7" s="83">
        <v>44726.706134259257</v>
      </c>
      <c r="L7" s="22" t="s">
        <v>20</v>
      </c>
      <c r="M7" s="82" t="s">
        <v>28</v>
      </c>
      <c r="N7" s="59"/>
      <c r="O7" s="59"/>
      <c r="P7" s="59"/>
      <c r="Q7" s="63"/>
      <c r="R7" s="63"/>
      <c r="S7" s="63"/>
      <c r="T7" s="63"/>
      <c r="U7" s="63"/>
      <c r="V7" s="63"/>
      <c r="W7" s="63"/>
    </row>
    <row r="8" spans="1:46" s="25" customFormat="1" ht="25">
      <c r="A8" s="75">
        <v>4</v>
      </c>
      <c r="B8" s="196" t="s">
        <v>350</v>
      </c>
      <c r="C8" s="42" t="s">
        <v>351</v>
      </c>
      <c r="D8" s="29" t="s">
        <v>354</v>
      </c>
      <c r="E8" s="71">
        <v>44726.589386574073</v>
      </c>
      <c r="F8" s="72" t="s">
        <v>347</v>
      </c>
      <c r="G8" s="18" t="s">
        <v>370</v>
      </c>
      <c r="H8" s="22"/>
      <c r="I8" s="22" t="s">
        <v>26</v>
      </c>
      <c r="J8" s="82" t="s">
        <v>368</v>
      </c>
      <c r="K8" s="23">
        <v>44726.667604166665</v>
      </c>
      <c r="L8" s="22" t="s">
        <v>20</v>
      </c>
      <c r="M8" s="82" t="s">
        <v>28</v>
      </c>
      <c r="N8" s="59"/>
      <c r="O8" s="59"/>
      <c r="P8" s="59"/>
      <c r="Q8" s="63"/>
      <c r="R8" s="63"/>
      <c r="S8" s="63"/>
      <c r="T8" s="63"/>
      <c r="U8" s="63"/>
      <c r="V8" s="63"/>
      <c r="W8" s="63"/>
    </row>
    <row r="9" spans="1:46" s="25" customFormat="1" ht="25">
      <c r="A9" s="75">
        <v>5</v>
      </c>
      <c r="B9" s="196" t="s">
        <v>350</v>
      </c>
      <c r="C9" s="42" t="s">
        <v>351</v>
      </c>
      <c r="D9" s="29" t="s">
        <v>355</v>
      </c>
      <c r="E9" s="71">
        <v>44726.590567129628</v>
      </c>
      <c r="F9" s="72" t="s">
        <v>347</v>
      </c>
      <c r="G9" s="18" t="s">
        <v>371</v>
      </c>
      <c r="H9" s="22"/>
      <c r="I9" s="22" t="s">
        <v>26</v>
      </c>
      <c r="J9" s="82" t="s">
        <v>368</v>
      </c>
      <c r="K9" s="23">
        <v>44726.66783564815</v>
      </c>
      <c r="L9" s="22" t="s">
        <v>20</v>
      </c>
      <c r="M9" s="82" t="s">
        <v>28</v>
      </c>
      <c r="N9" s="59"/>
      <c r="O9" s="59"/>
      <c r="P9" s="59"/>
      <c r="Q9" s="63"/>
      <c r="R9" s="63"/>
      <c r="S9" s="63"/>
      <c r="T9" s="63"/>
      <c r="U9" s="63"/>
      <c r="V9" s="63"/>
      <c r="W9" s="63"/>
    </row>
    <row r="10" spans="1:46" s="25" customFormat="1" ht="25">
      <c r="A10" s="75">
        <v>6</v>
      </c>
      <c r="B10" s="196" t="s">
        <v>350</v>
      </c>
      <c r="C10" s="42" t="s">
        <v>351</v>
      </c>
      <c r="D10" s="29" t="s">
        <v>356</v>
      </c>
      <c r="E10" s="71">
        <v>44726.59070601852</v>
      </c>
      <c r="F10" s="72" t="s">
        <v>347</v>
      </c>
      <c r="G10" s="18" t="s">
        <v>378</v>
      </c>
      <c r="H10" s="22"/>
      <c r="I10" s="22" t="s">
        <v>26</v>
      </c>
      <c r="J10" s="22" t="s">
        <v>368</v>
      </c>
      <c r="K10" s="23">
        <v>44726.687627314815</v>
      </c>
      <c r="L10" s="22" t="s">
        <v>20</v>
      </c>
      <c r="M10" s="82" t="s">
        <v>28</v>
      </c>
      <c r="N10" s="59"/>
      <c r="O10" s="59"/>
      <c r="P10" s="59"/>
      <c r="Q10" s="63"/>
      <c r="R10" s="63"/>
      <c r="S10" s="63"/>
      <c r="T10" s="63"/>
      <c r="U10" s="63"/>
      <c r="V10" s="63"/>
      <c r="W10" s="63"/>
    </row>
    <row r="11" spans="1:46" s="25" customFormat="1" ht="25">
      <c r="A11" s="75">
        <v>7</v>
      </c>
      <c r="B11" s="196" t="s">
        <v>350</v>
      </c>
      <c r="C11" s="42" t="s">
        <v>351</v>
      </c>
      <c r="D11" s="29" t="s">
        <v>357</v>
      </c>
      <c r="E11" s="71">
        <v>44726.590833333335</v>
      </c>
      <c r="F11" s="72" t="s">
        <v>347</v>
      </c>
      <c r="G11" s="18" t="s">
        <v>376</v>
      </c>
      <c r="H11" s="22"/>
      <c r="I11" s="22" t="s">
        <v>26</v>
      </c>
      <c r="J11" s="22" t="s">
        <v>368</v>
      </c>
      <c r="K11" s="83">
        <v>44726.687731481485</v>
      </c>
      <c r="L11" s="22" t="s">
        <v>20</v>
      </c>
      <c r="M11" s="82" t="s">
        <v>28</v>
      </c>
      <c r="N11" s="59"/>
      <c r="O11" s="59"/>
      <c r="P11" s="59"/>
      <c r="Q11" s="63"/>
      <c r="R11" s="63"/>
      <c r="S11" s="63"/>
      <c r="T11" s="63"/>
      <c r="U11" s="63"/>
      <c r="V11" s="63"/>
      <c r="W11" s="63"/>
    </row>
    <row r="12" spans="1:46" s="25" customFormat="1" ht="25">
      <c r="A12" s="75">
        <v>8</v>
      </c>
      <c r="B12" s="196" t="s">
        <v>350</v>
      </c>
      <c r="C12" s="42" t="s">
        <v>351</v>
      </c>
      <c r="D12" s="29" t="s">
        <v>358</v>
      </c>
      <c r="E12" s="71">
        <v>44726.591874999998</v>
      </c>
      <c r="F12" s="72" t="s">
        <v>347</v>
      </c>
      <c r="G12" s="18" t="s">
        <v>381</v>
      </c>
      <c r="H12" s="22"/>
      <c r="I12" s="22" t="s">
        <v>26</v>
      </c>
      <c r="J12" s="22" t="s">
        <v>368</v>
      </c>
      <c r="K12" s="23">
        <v>44726.706273148149</v>
      </c>
      <c r="L12" s="22" t="s">
        <v>20</v>
      </c>
      <c r="M12" s="82" t="s">
        <v>28</v>
      </c>
      <c r="N12" s="59"/>
      <c r="O12" s="59"/>
      <c r="P12" s="59"/>
      <c r="Q12" s="63"/>
      <c r="R12" s="63"/>
      <c r="S12" s="63"/>
      <c r="T12" s="63"/>
      <c r="U12" s="63"/>
      <c r="V12" s="63"/>
      <c r="W12" s="63"/>
    </row>
    <row r="13" spans="1:46" s="25" customFormat="1" ht="25">
      <c r="A13" s="75">
        <v>9</v>
      </c>
      <c r="B13" s="196" t="s">
        <v>350</v>
      </c>
      <c r="C13" s="42" t="s">
        <v>351</v>
      </c>
      <c r="D13" s="29" t="s">
        <v>359</v>
      </c>
      <c r="E13" s="71">
        <v>44726.592395833337</v>
      </c>
      <c r="F13" s="72" t="s">
        <v>347</v>
      </c>
      <c r="G13" s="18" t="s">
        <v>374</v>
      </c>
      <c r="H13" s="22"/>
      <c r="I13" s="22" t="s">
        <v>26</v>
      </c>
      <c r="J13" s="22" t="s">
        <v>368</v>
      </c>
      <c r="K13" s="23">
        <v>44726.671967592592</v>
      </c>
      <c r="L13" s="22" t="s">
        <v>20</v>
      </c>
      <c r="M13" s="82" t="s">
        <v>28</v>
      </c>
      <c r="N13" s="59"/>
      <c r="O13" s="59"/>
      <c r="P13" s="59"/>
      <c r="Q13" s="63"/>
      <c r="R13" s="63"/>
      <c r="S13" s="63"/>
      <c r="T13" s="63"/>
      <c r="U13" s="63"/>
      <c r="V13" s="63"/>
      <c r="W13" s="63"/>
    </row>
    <row r="14" spans="1:46" s="25" customFormat="1" ht="37.5">
      <c r="A14" s="75">
        <v>10</v>
      </c>
      <c r="B14" s="196" t="s">
        <v>350</v>
      </c>
      <c r="C14" s="42" t="s">
        <v>351</v>
      </c>
      <c r="D14" s="18" t="s">
        <v>360</v>
      </c>
      <c r="E14" s="71">
        <v>44726.59611111111</v>
      </c>
      <c r="F14" s="72" t="s">
        <v>347</v>
      </c>
      <c r="G14" s="18" t="s">
        <v>377</v>
      </c>
      <c r="H14" s="22"/>
      <c r="I14" s="22" t="s">
        <v>26</v>
      </c>
      <c r="J14" s="22" t="s">
        <v>368</v>
      </c>
      <c r="K14" s="23">
        <v>44726.677106481482</v>
      </c>
      <c r="L14" s="22" t="s">
        <v>20</v>
      </c>
      <c r="M14" s="82" t="s">
        <v>28</v>
      </c>
      <c r="N14" s="59"/>
      <c r="O14" s="59"/>
      <c r="P14" s="59"/>
      <c r="Q14" s="63"/>
      <c r="R14" s="63"/>
      <c r="S14" s="63"/>
      <c r="T14" s="63"/>
      <c r="U14" s="63"/>
      <c r="V14" s="63"/>
      <c r="W14" s="63"/>
    </row>
    <row r="15" spans="1:46" s="25" customFormat="1" ht="25">
      <c r="A15" s="75">
        <v>11</v>
      </c>
      <c r="B15" s="196" t="s">
        <v>350</v>
      </c>
      <c r="C15" s="42" t="s">
        <v>351</v>
      </c>
      <c r="D15" s="18" t="s">
        <v>375</v>
      </c>
      <c r="E15" s="71">
        <v>44726.597407407404</v>
      </c>
      <c r="F15" s="72" t="s">
        <v>347</v>
      </c>
      <c r="G15" s="18" t="s">
        <v>376</v>
      </c>
      <c r="H15" s="22"/>
      <c r="I15" s="22" t="s">
        <v>26</v>
      </c>
      <c r="J15" s="22" t="s">
        <v>368</v>
      </c>
      <c r="K15" s="23">
        <v>44726.672962962963</v>
      </c>
      <c r="L15" s="22" t="s">
        <v>20</v>
      </c>
      <c r="M15" s="82" t="s">
        <v>28</v>
      </c>
      <c r="N15" s="59"/>
      <c r="O15" s="59"/>
      <c r="P15" s="59"/>
      <c r="Q15" s="63"/>
      <c r="R15" s="63"/>
      <c r="S15" s="63"/>
      <c r="T15" s="63"/>
      <c r="U15" s="63"/>
      <c r="V15" s="63"/>
      <c r="W15" s="63"/>
    </row>
    <row r="16" spans="1:46" s="25" customFormat="1" ht="25">
      <c r="A16" s="75">
        <v>12</v>
      </c>
      <c r="B16" s="196" t="s">
        <v>350</v>
      </c>
      <c r="C16" s="42" t="s">
        <v>351</v>
      </c>
      <c r="D16" s="18" t="s">
        <v>361</v>
      </c>
      <c r="E16" s="71">
        <v>44726.59878472222</v>
      </c>
      <c r="F16" s="72" t="s">
        <v>347</v>
      </c>
      <c r="G16" s="18" t="s">
        <v>379</v>
      </c>
      <c r="H16" s="22"/>
      <c r="I16" s="22" t="s">
        <v>26</v>
      </c>
      <c r="J16" s="22" t="s">
        <v>368</v>
      </c>
      <c r="K16" s="23">
        <v>44726.691990740743</v>
      </c>
      <c r="L16" s="22" t="s">
        <v>20</v>
      </c>
      <c r="M16" s="82" t="s">
        <v>28</v>
      </c>
      <c r="N16" s="59"/>
      <c r="O16" s="59"/>
      <c r="P16" s="59"/>
      <c r="Q16" s="63"/>
      <c r="R16" s="63"/>
      <c r="S16" s="63"/>
      <c r="T16" s="63"/>
      <c r="U16" s="63"/>
      <c r="V16" s="63"/>
      <c r="W16" s="63"/>
    </row>
    <row r="17" spans="1:23" s="25" customFormat="1" ht="25">
      <c r="A17" s="75">
        <v>13</v>
      </c>
      <c r="B17" s="196" t="s">
        <v>350</v>
      </c>
      <c r="C17" s="42" t="s">
        <v>351</v>
      </c>
      <c r="D17" s="18" t="s">
        <v>362</v>
      </c>
      <c r="E17" s="71">
        <v>44726.599537037036</v>
      </c>
      <c r="F17" s="72" t="s">
        <v>347</v>
      </c>
      <c r="G17" s="18" t="s">
        <v>372</v>
      </c>
      <c r="H17" s="22"/>
      <c r="I17" s="22" t="s">
        <v>26</v>
      </c>
      <c r="J17" s="22" t="s">
        <v>368</v>
      </c>
      <c r="K17" s="23">
        <v>44726.67732638889</v>
      </c>
      <c r="L17" s="22" t="s">
        <v>20</v>
      </c>
      <c r="M17" s="82" t="s">
        <v>28</v>
      </c>
      <c r="N17" s="59"/>
      <c r="O17" s="59"/>
      <c r="P17" s="59"/>
      <c r="Q17" s="63"/>
      <c r="R17" s="63"/>
      <c r="S17" s="63"/>
      <c r="T17" s="63"/>
      <c r="U17" s="63"/>
      <c r="V17" s="63"/>
      <c r="W17" s="63"/>
    </row>
    <row r="18" spans="1:23" s="25" customFormat="1" ht="25">
      <c r="A18" s="75">
        <v>14</v>
      </c>
      <c r="B18" s="196" t="s">
        <v>350</v>
      </c>
      <c r="C18" s="42" t="s">
        <v>351</v>
      </c>
      <c r="D18" s="18" t="s">
        <v>363</v>
      </c>
      <c r="E18" s="71">
        <v>44726.61037037037</v>
      </c>
      <c r="F18" s="72" t="s">
        <v>347</v>
      </c>
      <c r="G18" s="18" t="s">
        <v>373</v>
      </c>
      <c r="H18" s="22"/>
      <c r="I18" s="22" t="s">
        <v>26</v>
      </c>
      <c r="J18" s="22" t="s">
        <v>368</v>
      </c>
      <c r="K18" s="23">
        <v>44726.677349537036</v>
      </c>
      <c r="L18" s="22" t="s">
        <v>20</v>
      </c>
      <c r="M18" s="82" t="s">
        <v>28</v>
      </c>
      <c r="N18" s="59"/>
      <c r="O18" s="59"/>
      <c r="P18" s="59"/>
      <c r="Q18" s="63"/>
      <c r="R18" s="63"/>
      <c r="S18" s="63"/>
      <c r="T18" s="63"/>
      <c r="U18" s="63"/>
      <c r="V18" s="63"/>
      <c r="W18" s="63"/>
    </row>
    <row r="19" spans="1:23" s="25" customFormat="1" ht="25">
      <c r="A19" s="75">
        <v>15</v>
      </c>
      <c r="B19" s="28" t="s">
        <v>382</v>
      </c>
      <c r="C19" s="42" t="s">
        <v>351</v>
      </c>
      <c r="D19" s="18" t="s">
        <v>383</v>
      </c>
      <c r="E19" s="71">
        <v>44727.612314814818</v>
      </c>
      <c r="F19" s="72" t="s">
        <v>347</v>
      </c>
      <c r="G19" s="18"/>
      <c r="H19" s="22"/>
      <c r="I19" s="22" t="s">
        <v>26</v>
      </c>
      <c r="J19" s="22" t="s">
        <v>347</v>
      </c>
      <c r="K19" s="23">
        <v>44727.612361111111</v>
      </c>
      <c r="L19" s="22" t="s">
        <v>20</v>
      </c>
      <c r="M19" s="22" t="s">
        <v>28</v>
      </c>
      <c r="N19" s="59"/>
      <c r="O19" s="59"/>
      <c r="P19" s="59"/>
      <c r="Q19" s="63"/>
      <c r="R19" s="63"/>
      <c r="S19" s="63"/>
      <c r="T19" s="63"/>
      <c r="U19" s="63"/>
      <c r="V19" s="63"/>
      <c r="W19" s="63"/>
    </row>
    <row r="20" spans="1:23" s="25" customFormat="1" ht="25">
      <c r="A20" s="75">
        <v>16</v>
      </c>
      <c r="B20" s="42" t="s">
        <v>387</v>
      </c>
      <c r="C20" s="42" t="s">
        <v>351</v>
      </c>
      <c r="D20" s="29" t="s">
        <v>383</v>
      </c>
      <c r="E20" s="71">
        <v>44799.488576388889</v>
      </c>
      <c r="F20" s="72" t="s">
        <v>347</v>
      </c>
      <c r="G20" s="18"/>
      <c r="H20" s="22"/>
      <c r="I20" s="22" t="s">
        <v>26</v>
      </c>
      <c r="J20" s="22" t="s">
        <v>347</v>
      </c>
      <c r="K20" s="23">
        <v>44799.488668981481</v>
      </c>
      <c r="L20" s="22" t="s">
        <v>20</v>
      </c>
      <c r="M20" s="22" t="s">
        <v>28</v>
      </c>
      <c r="N20" s="59"/>
      <c r="O20" s="59"/>
      <c r="P20" s="59"/>
      <c r="Q20" s="63"/>
      <c r="R20" s="63"/>
      <c r="S20" s="63"/>
      <c r="T20" s="63"/>
      <c r="U20" s="63"/>
      <c r="V20" s="63"/>
      <c r="W20" s="63"/>
    </row>
    <row r="21" spans="1:23" s="25" customFormat="1" ht="25">
      <c r="A21" s="75">
        <v>17</v>
      </c>
      <c r="B21" s="42" t="s">
        <v>391</v>
      </c>
      <c r="C21" s="42" t="s">
        <v>351</v>
      </c>
      <c r="D21" s="29" t="s">
        <v>392</v>
      </c>
      <c r="E21" s="71">
        <v>44880.453240740739</v>
      </c>
      <c r="F21" s="72" t="s">
        <v>368</v>
      </c>
      <c r="G21" s="18"/>
      <c r="H21" s="22"/>
      <c r="I21" s="22" t="s">
        <v>26</v>
      </c>
      <c r="J21" s="22" t="s">
        <v>347</v>
      </c>
      <c r="K21" s="23">
        <v>44883.397673611114</v>
      </c>
      <c r="L21" s="22" t="s">
        <v>20</v>
      </c>
      <c r="M21" s="22" t="s">
        <v>28</v>
      </c>
      <c r="N21" s="59"/>
      <c r="O21" s="59"/>
      <c r="P21" s="59"/>
      <c r="Q21" s="63"/>
      <c r="R21" s="63"/>
      <c r="S21" s="63"/>
      <c r="T21" s="63"/>
      <c r="U21" s="63"/>
      <c r="V21" s="63"/>
      <c r="W21" s="63"/>
    </row>
    <row r="22" spans="1:23" s="25" customFormat="1" ht="25">
      <c r="A22" s="75">
        <v>18</v>
      </c>
      <c r="B22" s="42" t="s">
        <v>394</v>
      </c>
      <c r="C22" s="42" t="s">
        <v>351</v>
      </c>
      <c r="D22" s="29" t="s">
        <v>383</v>
      </c>
      <c r="E22" s="71">
        <v>44883.488506944443</v>
      </c>
      <c r="F22" s="72" t="s">
        <v>368</v>
      </c>
      <c r="G22" s="18"/>
      <c r="H22" s="22"/>
      <c r="I22" s="22" t="s">
        <v>26</v>
      </c>
      <c r="J22" s="22" t="s">
        <v>368</v>
      </c>
      <c r="K22" s="23">
        <v>44883.488553240742</v>
      </c>
      <c r="L22" s="22" t="s">
        <v>27</v>
      </c>
      <c r="M22" s="22" t="s">
        <v>28</v>
      </c>
      <c r="N22" s="59"/>
      <c r="O22" s="59"/>
      <c r="P22" s="59"/>
      <c r="Q22" s="63"/>
      <c r="R22" s="63"/>
      <c r="S22" s="63"/>
      <c r="T22" s="63"/>
      <c r="U22" s="63"/>
      <c r="V22" s="63"/>
      <c r="W22" s="63"/>
    </row>
    <row r="23" spans="1:23" s="25" customFormat="1" ht="25">
      <c r="A23" s="75">
        <v>19</v>
      </c>
      <c r="B23" s="42" t="s">
        <v>401</v>
      </c>
      <c r="C23" s="42" t="s">
        <v>351</v>
      </c>
      <c r="D23" s="29" t="s">
        <v>397</v>
      </c>
      <c r="E23" s="71">
        <v>44965.375104166669</v>
      </c>
      <c r="F23" s="72" t="s">
        <v>398</v>
      </c>
      <c r="G23" s="29" t="s">
        <v>370</v>
      </c>
      <c r="H23" s="22"/>
      <c r="I23" s="22" t="s">
        <v>26</v>
      </c>
      <c r="J23" s="22" t="s">
        <v>368</v>
      </c>
      <c r="K23" s="23">
        <v>44965.401226851849</v>
      </c>
      <c r="L23" s="22" t="s">
        <v>20</v>
      </c>
      <c r="M23" s="22" t="s">
        <v>28</v>
      </c>
      <c r="N23" s="59"/>
      <c r="O23" s="59"/>
      <c r="P23" s="59"/>
      <c r="Q23" s="63"/>
      <c r="R23" s="63"/>
      <c r="S23" s="63"/>
      <c r="T23" s="63"/>
      <c r="U23" s="63"/>
      <c r="V23" s="63"/>
      <c r="W23" s="63"/>
    </row>
    <row r="24" spans="1:23" s="25" customFormat="1" ht="25">
      <c r="A24" s="75">
        <v>20</v>
      </c>
      <c r="B24" s="42" t="s">
        <v>401</v>
      </c>
      <c r="C24" s="42" t="s">
        <v>351</v>
      </c>
      <c r="D24" s="29" t="s">
        <v>399</v>
      </c>
      <c r="E24" s="71">
        <v>44965.375196759262</v>
      </c>
      <c r="F24" s="72" t="s">
        <v>398</v>
      </c>
      <c r="G24" s="29" t="s">
        <v>381</v>
      </c>
      <c r="H24" s="22"/>
      <c r="I24" s="22" t="s">
        <v>26</v>
      </c>
      <c r="J24" s="22" t="s">
        <v>368</v>
      </c>
      <c r="K24" s="23">
        <v>44965.421111111114</v>
      </c>
      <c r="L24" s="22" t="s">
        <v>20</v>
      </c>
      <c r="M24" s="22" t="s">
        <v>28</v>
      </c>
      <c r="N24" s="59"/>
      <c r="O24" s="59"/>
      <c r="P24" s="59"/>
      <c r="Q24" s="63"/>
      <c r="R24" s="63"/>
      <c r="S24" s="63"/>
      <c r="T24" s="63"/>
      <c r="U24" s="63"/>
      <c r="V24" s="63"/>
      <c r="W24" s="63"/>
    </row>
    <row r="25" spans="1:23" s="25" customFormat="1" ht="25">
      <c r="A25" s="75">
        <v>21</v>
      </c>
      <c r="B25" s="42" t="s">
        <v>401</v>
      </c>
      <c r="C25" s="42" t="s">
        <v>351</v>
      </c>
      <c r="D25" s="29" t="s">
        <v>400</v>
      </c>
      <c r="E25" s="71">
        <v>44965.377974537034</v>
      </c>
      <c r="F25" s="72" t="s">
        <v>398</v>
      </c>
      <c r="G25" s="29" t="s">
        <v>405</v>
      </c>
      <c r="H25" s="22"/>
      <c r="I25" s="22" t="s">
        <v>26</v>
      </c>
      <c r="J25" s="22" t="s">
        <v>368</v>
      </c>
      <c r="K25" s="23">
        <v>44965.431354166663</v>
      </c>
      <c r="L25" s="22" t="s">
        <v>20</v>
      </c>
      <c r="M25" s="22" t="s">
        <v>28</v>
      </c>
      <c r="N25" s="59"/>
      <c r="O25" s="59"/>
      <c r="P25" s="59"/>
      <c r="Q25" s="63"/>
      <c r="R25" s="63"/>
      <c r="S25" s="63"/>
      <c r="T25" s="63"/>
      <c r="U25" s="63"/>
      <c r="V25" s="63"/>
      <c r="W25" s="63"/>
    </row>
    <row r="26" spans="1:23" s="25" customFormat="1" ht="25">
      <c r="A26" s="75">
        <v>22</v>
      </c>
      <c r="B26" s="42" t="s">
        <v>402</v>
      </c>
      <c r="C26" s="42" t="s">
        <v>351</v>
      </c>
      <c r="D26" s="29" t="s">
        <v>383</v>
      </c>
      <c r="E26" s="71">
        <v>44966.426678240743</v>
      </c>
      <c r="F26" s="72" t="s">
        <v>398</v>
      </c>
      <c r="G26" s="18"/>
      <c r="H26" s="22"/>
      <c r="I26" s="22"/>
      <c r="J26" s="22" t="s">
        <v>398</v>
      </c>
      <c r="K26" s="23">
        <v>44966.426724537036</v>
      </c>
      <c r="L26" s="22" t="s">
        <v>27</v>
      </c>
      <c r="M26" s="22" t="s">
        <v>28</v>
      </c>
      <c r="N26" s="59"/>
      <c r="O26" s="59"/>
      <c r="P26" s="59"/>
      <c r="Q26" s="63"/>
      <c r="R26" s="63"/>
      <c r="S26" s="63"/>
      <c r="T26" s="63"/>
      <c r="U26" s="63"/>
      <c r="V26" s="63"/>
      <c r="W26" s="63"/>
    </row>
    <row r="27" spans="1:23" s="25" customFormat="1" ht="25">
      <c r="A27" s="75">
        <v>23</v>
      </c>
      <c r="B27" s="42" t="s">
        <v>408</v>
      </c>
      <c r="C27" s="42" t="s">
        <v>351</v>
      </c>
      <c r="D27" s="29" t="s">
        <v>383</v>
      </c>
      <c r="E27" s="71">
        <v>45048.660914351851</v>
      </c>
      <c r="F27" s="72" t="s">
        <v>347</v>
      </c>
      <c r="G27" s="18"/>
      <c r="H27" s="22"/>
      <c r="I27" s="22" t="s">
        <v>26</v>
      </c>
      <c r="J27" s="22" t="s">
        <v>347</v>
      </c>
      <c r="K27" s="23">
        <v>45048.660983796297</v>
      </c>
      <c r="L27" s="22" t="s">
        <v>27</v>
      </c>
      <c r="M27" s="22" t="s">
        <v>28</v>
      </c>
      <c r="N27" s="59"/>
      <c r="O27" s="59"/>
      <c r="P27" s="59"/>
      <c r="Q27" s="63"/>
      <c r="R27" s="63"/>
      <c r="S27" s="63"/>
      <c r="T27" s="63"/>
      <c r="U27" s="63"/>
      <c r="V27" s="63"/>
      <c r="W27" s="63"/>
    </row>
    <row r="28" spans="1:23" s="25" customFormat="1" ht="25">
      <c r="A28" s="75">
        <v>24</v>
      </c>
      <c r="B28" s="42" t="s">
        <v>409</v>
      </c>
      <c r="C28" s="42" t="s">
        <v>351</v>
      </c>
      <c r="D28" s="29" t="s">
        <v>383</v>
      </c>
      <c r="E28" s="71">
        <v>45099.395613425928</v>
      </c>
      <c r="F28" s="72" t="s">
        <v>347</v>
      </c>
      <c r="G28" s="18"/>
      <c r="H28" s="22"/>
      <c r="I28" s="22" t="s">
        <v>26</v>
      </c>
      <c r="J28" s="22" t="s">
        <v>347</v>
      </c>
      <c r="K28" s="23">
        <v>45099.39570601852</v>
      </c>
      <c r="L28" s="22" t="s">
        <v>27</v>
      </c>
      <c r="M28" s="22" t="s">
        <v>28</v>
      </c>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7" type="noConversion"/>
  <conditionalFormatting sqref="L205:L65536 P1:P2">
    <cfRule type="cellIs" dxfId="20" priority="14" stopIfTrue="1" operator="equal">
      <formula>"Fixed"</formula>
    </cfRule>
    <cfRule type="cellIs" dxfId="19" priority="15" stopIfTrue="1" operator="equal">
      <formula>"Open"</formula>
    </cfRule>
  </conditionalFormatting>
  <conditionalFormatting sqref="L4">
    <cfRule type="cellIs" dxfId="18" priority="16" stopIfTrue="1" operator="equal">
      <formula>"Open"</formula>
    </cfRule>
    <cfRule type="cellIs" dxfId="17" priority="17" stopIfTrue="1" operator="equal">
      <formula>"Fixed"</formula>
    </cfRule>
  </conditionalFormatting>
  <conditionalFormatting sqref="L5:L204">
    <cfRule type="expression" dxfId="16" priority="18" stopIfTrue="1">
      <formula>AND($M5="Approved",$L5="Fixed")</formula>
    </cfRule>
    <cfRule type="cellIs" dxfId="15" priority="19" stopIfTrue="1" operator="equal">
      <formula>"Fixed"</formula>
    </cfRule>
    <cfRule type="cellIs" dxfId="14" priority="20" stopIfTrue="1" operator="equal">
      <formula>"Open"</formula>
    </cfRule>
  </conditionalFormatting>
  <conditionalFormatting sqref="M5:M204">
    <cfRule type="expression" dxfId="13" priority="21" stopIfTrue="1">
      <formula>OR(M5="Fixed",M5="Approved")</formula>
    </cfRule>
    <cfRule type="cellIs" dxfId="12" priority="22" stopIfTrue="1" operator="equal">
      <formula>"Rejected"</formula>
    </cfRule>
  </conditionalFormatting>
  <conditionalFormatting sqref="A3">
    <cfRule type="expression" dxfId="11" priority="8" stopIfTrue="1">
      <formula>$X$2=1</formula>
    </cfRule>
    <cfRule type="expression" dxfId="10" priority="9" stopIfTrue="1">
      <formula>$Y$2=1</formula>
    </cfRule>
    <cfRule type="expression" dxfId="9" priority="11" stopIfTrue="1">
      <formula>$AA$2=1</formula>
    </cfRule>
  </conditionalFormatting>
  <conditionalFormatting sqref="A3:C3">
    <cfRule type="expression" dxfId="8" priority="10" stopIfTrue="1">
      <formula>$Z$2=1</formula>
    </cfRule>
  </conditionalFormatting>
  <conditionalFormatting sqref="E5:K5 A5:A18 D7:H18 E6:H6 C5:C20 I6:K18 A19:I19 K19 A20:K204">
    <cfRule type="expression" dxfId="7" priority="192" stopIfTrue="1">
      <formula>AND($M5="Approved",OR($L5=$R$1,$L5=$T$1))</formula>
    </cfRule>
  </conditionalFormatting>
  <conditionalFormatting sqref="B5 B7 B9 B11 B13 B15 B17">
    <cfRule type="expression" dxfId="6" priority="7" stopIfTrue="1">
      <formula>AND($M5="Approved",OR($L5=$R$1,$L5=$T$1))</formula>
    </cfRule>
  </conditionalFormatting>
  <conditionalFormatting sqref="D5">
    <cfRule type="expression" dxfId="5" priority="6" stopIfTrue="1">
      <formula>AND($M5="Approved",OR($L5=$R$1,$L5=$T$1))</formula>
    </cfRule>
  </conditionalFormatting>
  <conditionalFormatting sqref="B6 B8 B10 B12 B14 B16 B18">
    <cfRule type="expression" dxfId="4" priority="5" stopIfTrue="1">
      <formula>AND($M6="Approved",OR($L6=$R$1,$L6=$T$1))</formula>
    </cfRule>
  </conditionalFormatting>
  <conditionalFormatting sqref="D6">
    <cfRule type="expression" dxfId="3" priority="4" stopIfTrue="1">
      <formula>AND($M6="Approved",OR($L6=$R$1,$L6=$T$1))</formula>
    </cfRule>
  </conditionalFormatting>
  <conditionalFormatting sqref="J20">
    <cfRule type="expression" dxfId="2" priority="194" stopIfTrue="1">
      <formula>AND($M19="Approved",OR($L19=$R$1,$L19=$T$1))</formula>
    </cfRule>
  </conditionalFormatting>
  <conditionalFormatting sqref="J19">
    <cfRule type="expression" dxfId="1" priority="1" stopIfTrue="1">
      <formula>AND($M19="Approved",OR($L19=$R$1,$L19=$T$1))</formula>
    </cfRule>
  </conditionalFormatting>
  <conditionalFormatting sqref="J19">
    <cfRule type="expression" dxfId="0" priority="2" stopIfTrue="1">
      <formula>AND($M18="Approved",OR($L18=$R$1,$L18=$T$1))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P49"/>
  <sheetViews>
    <sheetView zoomScale="90" zoomScaleNormal="90" workbookViewId="0">
      <pane xSplit="1" ySplit="3" topLeftCell="B7" activePane="bottomRight" state="frozen"/>
      <selection pane="topRight" activeCell="B1" sqref="B1"/>
      <selection pane="bottomLeft" activeCell="A4" sqref="A4"/>
      <selection pane="bottomRight" activeCell="K2" sqref="K2"/>
    </sheetView>
  </sheetViews>
  <sheetFormatPr defaultColWidth="9.36328125" defaultRowHeight="12.5"/>
  <cols>
    <col min="1" max="1" width="10.6328125" style="166" bestFit="1" customWidth="1"/>
    <col min="2" max="2" width="61" style="164" customWidth="1"/>
    <col min="3" max="12" width="4.453125" style="163" bestFit="1" customWidth="1"/>
    <col min="13" max="15" width="30.6328125" style="163" customWidth="1"/>
    <col min="16" max="16384" width="9.36328125" style="163"/>
  </cols>
  <sheetData>
    <row r="2" spans="1:16" ht="177" customHeight="1">
      <c r="A2" s="175" t="s">
        <v>228</v>
      </c>
      <c r="B2" s="176" t="s">
        <v>267</v>
      </c>
      <c r="C2" s="177" t="s">
        <v>364</v>
      </c>
      <c r="D2" s="177" t="s">
        <v>385</v>
      </c>
      <c r="E2" s="177" t="s">
        <v>388</v>
      </c>
      <c r="F2" s="177" t="s">
        <v>390</v>
      </c>
      <c r="G2" s="177" t="s">
        <v>396</v>
      </c>
      <c r="H2" s="177" t="s">
        <v>404</v>
      </c>
      <c r="I2" s="177" t="s">
        <v>406</v>
      </c>
      <c r="J2" s="177" t="s">
        <v>407</v>
      </c>
      <c r="K2" s="177" t="s">
        <v>410</v>
      </c>
      <c r="L2" s="177" t="s">
        <v>217</v>
      </c>
      <c r="M2" s="178" t="s">
        <v>249</v>
      </c>
      <c r="N2" s="309" t="s">
        <v>187</v>
      </c>
      <c r="O2" s="310"/>
    </row>
    <row r="3" spans="1:16" ht="18.5">
      <c r="A3" s="179"/>
      <c r="B3" s="180"/>
      <c r="C3" s="180">
        <f t="shared" ref="C3:G3" si="0">COUNTIF(C5:C49,"Yes")</f>
        <v>11</v>
      </c>
      <c r="D3" s="180">
        <f t="shared" si="0"/>
        <v>15</v>
      </c>
      <c r="E3" s="180">
        <f t="shared" si="0"/>
        <v>15</v>
      </c>
      <c r="F3" s="180">
        <f t="shared" si="0"/>
        <v>15</v>
      </c>
      <c r="G3" s="180">
        <f t="shared" si="0"/>
        <v>15</v>
      </c>
      <c r="H3" s="180">
        <f t="shared" ref="H3" si="1">COUNTIF(H5:H49,"Yes")</f>
        <v>13</v>
      </c>
      <c r="I3" s="180">
        <f t="shared" ref="I3:J3" si="2">COUNTIF(I5:I49,"Yes")</f>
        <v>15</v>
      </c>
      <c r="J3" s="180">
        <f t="shared" si="2"/>
        <v>16</v>
      </c>
      <c r="K3" s="180">
        <f t="shared" ref="K3" si="3">COUNTIF(K5:K49,"Yes")</f>
        <v>16</v>
      </c>
      <c r="L3" s="180">
        <f>COUNTIF(L5:L49,"Yes")</f>
        <v>0</v>
      </c>
      <c r="M3" s="171"/>
      <c r="N3" s="191" t="s">
        <v>233</v>
      </c>
      <c r="O3" s="191" t="s">
        <v>234</v>
      </c>
      <c r="P3" s="172"/>
    </row>
    <row r="4" spans="1:16" ht="18">
      <c r="A4" s="181"/>
      <c r="B4" s="182" t="s">
        <v>265</v>
      </c>
      <c r="C4" s="183"/>
      <c r="D4" s="183"/>
      <c r="E4" s="183"/>
      <c r="F4" s="183"/>
      <c r="G4" s="183"/>
      <c r="H4" s="183"/>
      <c r="I4" s="183"/>
      <c r="J4" s="183"/>
      <c r="K4" s="183"/>
      <c r="L4" s="183"/>
      <c r="M4" s="183"/>
      <c r="N4" s="183"/>
      <c r="O4" s="184"/>
      <c r="P4" s="101"/>
    </row>
    <row r="5" spans="1:16" ht="14">
      <c r="A5" s="167"/>
      <c r="B5" s="185" t="s">
        <v>248</v>
      </c>
      <c r="C5" s="168"/>
      <c r="D5" s="168"/>
      <c r="E5" s="168"/>
      <c r="F5" s="168"/>
      <c r="G5" s="168"/>
      <c r="H5" s="168"/>
      <c r="I5" s="168"/>
      <c r="J5" s="168"/>
      <c r="K5" s="168"/>
      <c r="L5" s="168"/>
      <c r="M5" s="168"/>
      <c r="N5" s="168"/>
      <c r="O5" s="169"/>
    </row>
    <row r="6" spans="1:16" ht="38">
      <c r="A6" s="173" t="s">
        <v>250</v>
      </c>
      <c r="B6" s="188" t="s">
        <v>266</v>
      </c>
      <c r="C6" s="165" t="s">
        <v>227</v>
      </c>
      <c r="D6" s="165" t="s">
        <v>227</v>
      </c>
      <c r="E6" s="165" t="s">
        <v>227</v>
      </c>
      <c r="F6" s="165" t="s">
        <v>227</v>
      </c>
      <c r="G6" s="165" t="s">
        <v>227</v>
      </c>
      <c r="H6" s="165" t="s">
        <v>227</v>
      </c>
      <c r="I6" s="165" t="s">
        <v>227</v>
      </c>
      <c r="J6" s="165" t="s">
        <v>227</v>
      </c>
      <c r="K6" s="165" t="s">
        <v>227</v>
      </c>
      <c r="L6" s="165"/>
      <c r="M6" s="165"/>
      <c r="N6" s="170"/>
      <c r="O6" s="170"/>
    </row>
    <row r="7" spans="1:16" ht="14">
      <c r="A7" s="167"/>
      <c r="B7" s="185" t="s">
        <v>235</v>
      </c>
      <c r="C7" s="168"/>
      <c r="D7" s="168"/>
      <c r="E7" s="168"/>
      <c r="F7" s="168"/>
      <c r="G7" s="168"/>
      <c r="H7" s="168"/>
      <c r="I7" s="168"/>
      <c r="J7" s="168"/>
      <c r="K7" s="168"/>
      <c r="L7" s="168"/>
      <c r="M7" s="168"/>
      <c r="N7" s="168"/>
      <c r="O7" s="169"/>
    </row>
    <row r="8" spans="1:16" ht="25.5">
      <c r="A8" s="173" t="s">
        <v>251</v>
      </c>
      <c r="B8" s="188" t="s">
        <v>282</v>
      </c>
      <c r="C8" s="165" t="s">
        <v>227</v>
      </c>
      <c r="D8" s="165" t="s">
        <v>227</v>
      </c>
      <c r="E8" s="165" t="s">
        <v>227</v>
      </c>
      <c r="F8" s="165" t="s">
        <v>227</v>
      </c>
      <c r="G8" s="165" t="s">
        <v>227</v>
      </c>
      <c r="H8" s="165" t="s">
        <v>227</v>
      </c>
      <c r="I8" s="165" t="s">
        <v>227</v>
      </c>
      <c r="J8" s="165" t="s">
        <v>227</v>
      </c>
      <c r="K8" s="165" t="s">
        <v>227</v>
      </c>
      <c r="L8" s="165"/>
      <c r="M8" s="165"/>
      <c r="N8" s="170"/>
      <c r="O8" s="170"/>
    </row>
    <row r="9" spans="1:16" ht="75">
      <c r="A9" s="173" t="s">
        <v>252</v>
      </c>
      <c r="B9" s="188" t="s">
        <v>283</v>
      </c>
      <c r="C9" s="165" t="s">
        <v>227</v>
      </c>
      <c r="D9" s="165" t="s">
        <v>227</v>
      </c>
      <c r="E9" s="165" t="s">
        <v>227</v>
      </c>
      <c r="F9" s="165" t="s">
        <v>227</v>
      </c>
      <c r="G9" s="165" t="s">
        <v>227</v>
      </c>
      <c r="H9" s="165" t="s">
        <v>227</v>
      </c>
      <c r="I9" s="165" t="s">
        <v>227</v>
      </c>
      <c r="J9" s="165" t="s">
        <v>227</v>
      </c>
      <c r="K9" s="165" t="s">
        <v>227</v>
      </c>
      <c r="L9" s="165"/>
      <c r="M9" s="165"/>
      <c r="N9" s="174" t="s">
        <v>284</v>
      </c>
      <c r="O9" s="170"/>
    </row>
    <row r="10" spans="1:16" ht="14">
      <c r="A10" s="167"/>
      <c r="B10" s="185" t="s">
        <v>236</v>
      </c>
      <c r="C10" s="168"/>
      <c r="D10" s="168"/>
      <c r="E10" s="168"/>
      <c r="F10" s="168"/>
      <c r="G10" s="168"/>
      <c r="H10" s="168"/>
      <c r="I10" s="168"/>
      <c r="J10" s="168"/>
      <c r="K10" s="168"/>
      <c r="L10" s="168"/>
      <c r="M10" s="168"/>
      <c r="N10" s="168"/>
      <c r="O10" s="169"/>
    </row>
    <row r="11" spans="1:16" ht="38">
      <c r="A11" s="173" t="s">
        <v>268</v>
      </c>
      <c r="B11" s="188" t="s">
        <v>286</v>
      </c>
      <c r="C11" s="165" t="s">
        <v>227</v>
      </c>
      <c r="D11" s="165" t="s">
        <v>227</v>
      </c>
      <c r="E11" s="165" t="s">
        <v>227</v>
      </c>
      <c r="F11" s="165" t="s">
        <v>227</v>
      </c>
      <c r="G11" s="165" t="s">
        <v>227</v>
      </c>
      <c r="H11" s="165" t="s">
        <v>227</v>
      </c>
      <c r="I11" s="165" t="s">
        <v>227</v>
      </c>
      <c r="J11" s="165" t="s">
        <v>227</v>
      </c>
      <c r="K11" s="165" t="s">
        <v>227</v>
      </c>
      <c r="L11" s="165"/>
      <c r="M11" s="165"/>
      <c r="N11" s="170"/>
      <c r="O11" s="170"/>
    </row>
    <row r="12" spans="1:16" ht="38">
      <c r="A12" s="173" t="s">
        <v>253</v>
      </c>
      <c r="B12" s="188" t="s">
        <v>254</v>
      </c>
      <c r="C12" s="165" t="s">
        <v>227</v>
      </c>
      <c r="D12" s="165" t="s">
        <v>227</v>
      </c>
      <c r="E12" s="165" t="s">
        <v>227</v>
      </c>
      <c r="F12" s="165" t="s">
        <v>227</v>
      </c>
      <c r="G12" s="165" t="s">
        <v>227</v>
      </c>
      <c r="H12" s="165" t="s">
        <v>227</v>
      </c>
      <c r="I12" s="165" t="s">
        <v>227</v>
      </c>
      <c r="J12" s="165" t="s">
        <v>227</v>
      </c>
      <c r="K12" s="165" t="s">
        <v>227</v>
      </c>
      <c r="L12" s="165"/>
      <c r="M12" s="165"/>
      <c r="N12" s="170"/>
      <c r="O12" s="170"/>
    </row>
    <row r="13" spans="1:16" ht="38">
      <c r="A13" s="173" t="s">
        <v>308</v>
      </c>
      <c r="B13" s="188" t="s">
        <v>309</v>
      </c>
      <c r="C13" s="165" t="s">
        <v>227</v>
      </c>
      <c r="D13" s="165" t="s">
        <v>227</v>
      </c>
      <c r="E13" s="165" t="s">
        <v>227</v>
      </c>
      <c r="F13" s="165" t="s">
        <v>227</v>
      </c>
      <c r="G13" s="165" t="s">
        <v>227</v>
      </c>
      <c r="H13" s="165" t="s">
        <v>227</v>
      </c>
      <c r="I13" s="165" t="s">
        <v>227</v>
      </c>
      <c r="J13" s="165" t="s">
        <v>227</v>
      </c>
      <c r="K13" s="165" t="s">
        <v>227</v>
      </c>
      <c r="L13" s="165"/>
      <c r="M13" s="165"/>
      <c r="N13" s="170"/>
      <c r="O13" s="170"/>
    </row>
    <row r="14" spans="1:16" ht="25.5">
      <c r="A14" s="173" t="s">
        <v>310</v>
      </c>
      <c r="B14" s="188" t="s">
        <v>311</v>
      </c>
      <c r="C14" s="165" t="s">
        <v>23</v>
      </c>
      <c r="D14" s="165" t="s">
        <v>227</v>
      </c>
      <c r="E14" s="165" t="s">
        <v>227</v>
      </c>
      <c r="F14" s="165" t="s">
        <v>227</v>
      </c>
      <c r="G14" s="165" t="s">
        <v>227</v>
      </c>
      <c r="H14" s="165" t="s">
        <v>23</v>
      </c>
      <c r="I14" s="165" t="s">
        <v>227</v>
      </c>
      <c r="J14" s="165" t="s">
        <v>227</v>
      </c>
      <c r="K14" s="165" t="s">
        <v>227</v>
      </c>
      <c r="L14" s="165"/>
      <c r="M14" s="165"/>
      <c r="N14" s="170"/>
      <c r="O14" s="170"/>
    </row>
    <row r="15" spans="1:16" ht="25.5">
      <c r="A15" s="173" t="s">
        <v>312</v>
      </c>
      <c r="B15" s="188" t="s">
        <v>313</v>
      </c>
      <c r="C15" s="165" t="s">
        <v>11</v>
      </c>
      <c r="D15" s="165" t="s">
        <v>11</v>
      </c>
      <c r="E15" s="165" t="s">
        <v>11</v>
      </c>
      <c r="F15" s="165" t="s">
        <v>11</v>
      </c>
      <c r="G15" s="165" t="s">
        <v>11</v>
      </c>
      <c r="H15" s="165" t="s">
        <v>11</v>
      </c>
      <c r="I15" s="165" t="s">
        <v>11</v>
      </c>
      <c r="J15" s="165" t="s">
        <v>11</v>
      </c>
      <c r="K15" s="165" t="s">
        <v>11</v>
      </c>
      <c r="L15" s="165"/>
      <c r="M15" s="165"/>
      <c r="N15" s="170"/>
      <c r="O15" s="170"/>
    </row>
    <row r="16" spans="1:16" ht="63">
      <c r="A16" s="173" t="s">
        <v>314</v>
      </c>
      <c r="B16" s="188" t="s">
        <v>315</v>
      </c>
      <c r="C16" s="165" t="s">
        <v>11</v>
      </c>
      <c r="D16" s="165" t="s">
        <v>11</v>
      </c>
      <c r="E16" s="165" t="s">
        <v>11</v>
      </c>
      <c r="F16" s="165" t="s">
        <v>11</v>
      </c>
      <c r="G16" s="165" t="s">
        <v>11</v>
      </c>
      <c r="H16" s="165" t="s">
        <v>11</v>
      </c>
      <c r="I16" s="165" t="s">
        <v>11</v>
      </c>
      <c r="J16" s="165" t="s">
        <v>11</v>
      </c>
      <c r="K16" s="165" t="s">
        <v>11</v>
      </c>
      <c r="L16" s="165"/>
      <c r="M16" s="165"/>
      <c r="N16" s="170"/>
      <c r="O16" s="170"/>
    </row>
    <row r="17" spans="1:15" ht="14">
      <c r="A17" s="167"/>
      <c r="B17" s="185" t="s">
        <v>237</v>
      </c>
      <c r="C17" s="168"/>
      <c r="D17" s="168"/>
      <c r="E17" s="168"/>
      <c r="F17" s="168"/>
      <c r="G17" s="168"/>
      <c r="H17" s="168"/>
      <c r="I17" s="168"/>
      <c r="J17" s="168"/>
      <c r="K17" s="168"/>
      <c r="L17" s="168"/>
      <c r="M17" s="168"/>
      <c r="N17" s="168"/>
      <c r="O17" s="169"/>
    </row>
    <row r="18" spans="1:15" ht="50.5">
      <c r="A18" s="173" t="s">
        <v>255</v>
      </c>
      <c r="B18" s="188" t="s">
        <v>238</v>
      </c>
      <c r="C18" s="165" t="s">
        <v>11</v>
      </c>
      <c r="D18" s="165" t="s">
        <v>11</v>
      </c>
      <c r="E18" s="165" t="s">
        <v>11</v>
      </c>
      <c r="F18" s="165" t="s">
        <v>11</v>
      </c>
      <c r="G18" s="165" t="s">
        <v>11</v>
      </c>
      <c r="H18" s="165" t="s">
        <v>11</v>
      </c>
      <c r="I18" s="165" t="s">
        <v>11</v>
      </c>
      <c r="J18" s="165" t="s">
        <v>11</v>
      </c>
      <c r="K18" s="165" t="s">
        <v>11</v>
      </c>
      <c r="L18" s="165"/>
      <c r="M18" s="165"/>
      <c r="N18" s="170"/>
      <c r="O18" s="170"/>
    </row>
    <row r="19" spans="1:15" ht="38">
      <c r="A19" s="173" t="s">
        <v>256</v>
      </c>
      <c r="B19" s="188" t="s">
        <v>239</v>
      </c>
      <c r="C19" s="165" t="s">
        <v>11</v>
      </c>
      <c r="D19" s="165" t="s">
        <v>11</v>
      </c>
      <c r="E19" s="165" t="s">
        <v>11</v>
      </c>
      <c r="F19" s="165" t="s">
        <v>11</v>
      </c>
      <c r="G19" s="165" t="s">
        <v>11</v>
      </c>
      <c r="H19" s="165" t="s">
        <v>11</v>
      </c>
      <c r="I19" s="165" t="s">
        <v>11</v>
      </c>
      <c r="J19" s="165" t="s">
        <v>11</v>
      </c>
      <c r="K19" s="165" t="s">
        <v>11</v>
      </c>
      <c r="L19" s="165"/>
      <c r="M19" s="165"/>
      <c r="N19" s="170"/>
      <c r="O19" s="170"/>
    </row>
    <row r="20" spans="1:15" ht="175">
      <c r="A20" s="173" t="s">
        <v>257</v>
      </c>
      <c r="B20" s="188" t="s">
        <v>240</v>
      </c>
      <c r="C20" s="165" t="s">
        <v>11</v>
      </c>
      <c r="D20" s="165" t="s">
        <v>11</v>
      </c>
      <c r="E20" s="165" t="s">
        <v>11</v>
      </c>
      <c r="F20" s="165" t="s">
        <v>11</v>
      </c>
      <c r="G20" s="165" t="s">
        <v>11</v>
      </c>
      <c r="H20" s="165" t="s">
        <v>11</v>
      </c>
      <c r="I20" s="165" t="s">
        <v>11</v>
      </c>
      <c r="J20" s="165" t="s">
        <v>11</v>
      </c>
      <c r="K20" s="165" t="s">
        <v>11</v>
      </c>
      <c r="L20" s="165"/>
      <c r="M20" s="165"/>
      <c r="N20" s="174" t="s">
        <v>285</v>
      </c>
      <c r="O20" s="170"/>
    </row>
    <row r="21" spans="1:15" ht="14">
      <c r="A21" s="167"/>
      <c r="B21" s="185" t="s">
        <v>258</v>
      </c>
      <c r="C21" s="168"/>
      <c r="D21" s="168"/>
      <c r="E21" s="168"/>
      <c r="F21" s="168"/>
      <c r="G21" s="168"/>
      <c r="H21" s="168"/>
      <c r="I21" s="168"/>
      <c r="J21" s="168"/>
      <c r="K21" s="168"/>
      <c r="L21" s="168"/>
      <c r="M21" s="168"/>
      <c r="N21" s="168"/>
      <c r="O21" s="169"/>
    </row>
    <row r="22" spans="1:15" ht="38">
      <c r="A22" s="173" t="s">
        <v>259</v>
      </c>
      <c r="B22" s="188" t="s">
        <v>287</v>
      </c>
      <c r="C22" s="165" t="s">
        <v>227</v>
      </c>
      <c r="D22" s="165" t="s">
        <v>227</v>
      </c>
      <c r="E22" s="165" t="s">
        <v>227</v>
      </c>
      <c r="F22" s="165" t="s">
        <v>227</v>
      </c>
      <c r="G22" s="165" t="s">
        <v>227</v>
      </c>
      <c r="H22" s="165" t="s">
        <v>227</v>
      </c>
      <c r="I22" s="165" t="s">
        <v>227</v>
      </c>
      <c r="J22" s="165" t="s">
        <v>227</v>
      </c>
      <c r="K22" s="165" t="s">
        <v>227</v>
      </c>
      <c r="L22" s="165"/>
      <c r="M22" s="165"/>
      <c r="N22" s="170"/>
      <c r="O22" s="170"/>
    </row>
    <row r="23" spans="1:15" ht="50.5">
      <c r="A23" s="173" t="s">
        <v>260</v>
      </c>
      <c r="B23" s="188" t="s">
        <v>261</v>
      </c>
      <c r="C23" s="165" t="s">
        <v>227</v>
      </c>
      <c r="D23" s="165" t="s">
        <v>227</v>
      </c>
      <c r="E23" s="165" t="s">
        <v>227</v>
      </c>
      <c r="F23" s="165" t="s">
        <v>227</v>
      </c>
      <c r="G23" s="165" t="s">
        <v>227</v>
      </c>
      <c r="H23" s="165" t="s">
        <v>227</v>
      </c>
      <c r="I23" s="165" t="s">
        <v>227</v>
      </c>
      <c r="J23" s="165" t="s">
        <v>227</v>
      </c>
      <c r="K23" s="165" t="s">
        <v>227</v>
      </c>
      <c r="L23" s="165"/>
      <c r="M23" s="165"/>
      <c r="N23" s="170"/>
      <c r="O23" s="170"/>
    </row>
    <row r="24" spans="1:15" ht="88">
      <c r="A24" s="173" t="s">
        <v>262</v>
      </c>
      <c r="B24" s="188" t="s">
        <v>288</v>
      </c>
      <c r="C24" s="165" t="s">
        <v>23</v>
      </c>
      <c r="D24" s="165" t="s">
        <v>23</v>
      </c>
      <c r="E24" s="165" t="s">
        <v>23</v>
      </c>
      <c r="F24" s="165" t="s">
        <v>23</v>
      </c>
      <c r="G24" s="165" t="s">
        <v>23</v>
      </c>
      <c r="H24" s="165" t="s">
        <v>23</v>
      </c>
      <c r="I24" s="165" t="s">
        <v>23</v>
      </c>
      <c r="J24" s="165" t="s">
        <v>227</v>
      </c>
      <c r="K24" s="165" t="s">
        <v>227</v>
      </c>
      <c r="L24" s="165"/>
      <c r="M24" s="165"/>
      <c r="N24" s="170"/>
      <c r="O24" s="170"/>
    </row>
    <row r="25" spans="1:15" ht="50">
      <c r="A25" s="173" t="s">
        <v>316</v>
      </c>
      <c r="B25" s="188" t="s">
        <v>317</v>
      </c>
      <c r="C25" s="165" t="s">
        <v>23</v>
      </c>
      <c r="D25" s="165" t="s">
        <v>227</v>
      </c>
      <c r="E25" s="165" t="s">
        <v>227</v>
      </c>
      <c r="F25" s="165" t="s">
        <v>227</v>
      </c>
      <c r="G25" s="165" t="s">
        <v>227</v>
      </c>
      <c r="H25" s="165" t="s">
        <v>23</v>
      </c>
      <c r="I25" s="165" t="s">
        <v>227</v>
      </c>
      <c r="J25" s="165" t="s">
        <v>227</v>
      </c>
      <c r="K25" s="165" t="s">
        <v>227</v>
      </c>
      <c r="L25" s="165"/>
      <c r="M25" s="165"/>
      <c r="N25" s="170"/>
      <c r="O25" s="170"/>
    </row>
    <row r="26" spans="1:15" ht="25.5">
      <c r="A26" s="173" t="s">
        <v>263</v>
      </c>
      <c r="B26" s="188" t="s">
        <v>264</v>
      </c>
      <c r="C26" s="165" t="s">
        <v>11</v>
      </c>
      <c r="D26" s="165" t="s">
        <v>11</v>
      </c>
      <c r="E26" s="165" t="s">
        <v>11</v>
      </c>
      <c r="F26" s="165" t="s">
        <v>11</v>
      </c>
      <c r="G26" s="165" t="s">
        <v>11</v>
      </c>
      <c r="H26" s="165" t="s">
        <v>11</v>
      </c>
      <c r="I26" s="165" t="s">
        <v>11</v>
      </c>
      <c r="J26" s="165" t="s">
        <v>11</v>
      </c>
      <c r="K26" s="165" t="s">
        <v>11</v>
      </c>
      <c r="L26" s="165"/>
      <c r="M26" s="165"/>
      <c r="N26" s="170"/>
      <c r="O26" s="170"/>
    </row>
    <row r="27" spans="1:15" ht="14">
      <c r="A27" s="167"/>
      <c r="B27" s="185" t="s">
        <v>307</v>
      </c>
      <c r="C27" s="168"/>
      <c r="D27" s="168"/>
      <c r="E27" s="168"/>
      <c r="F27" s="168"/>
      <c r="G27" s="168"/>
      <c r="H27" s="168"/>
      <c r="I27" s="168"/>
      <c r="J27" s="168"/>
      <c r="K27" s="168"/>
      <c r="L27" s="168"/>
      <c r="M27" s="168"/>
      <c r="N27" s="168"/>
      <c r="O27" s="169"/>
    </row>
    <row r="28" spans="1:15" ht="113">
      <c r="A28" s="173" t="s">
        <v>318</v>
      </c>
      <c r="B28" s="188" t="s">
        <v>319</v>
      </c>
      <c r="C28" s="165" t="s">
        <v>11</v>
      </c>
      <c r="D28" s="165" t="s">
        <v>11</v>
      </c>
      <c r="E28" s="165" t="s">
        <v>11</v>
      </c>
      <c r="F28" s="165" t="s">
        <v>11</v>
      </c>
      <c r="G28" s="165" t="s">
        <v>11</v>
      </c>
      <c r="H28" s="165" t="s">
        <v>11</v>
      </c>
      <c r="I28" s="165" t="s">
        <v>11</v>
      </c>
      <c r="J28" s="165" t="s">
        <v>11</v>
      </c>
      <c r="K28" s="165" t="s">
        <v>11</v>
      </c>
      <c r="L28" s="165"/>
      <c r="M28" s="165"/>
      <c r="N28" s="170"/>
      <c r="O28" s="170"/>
    </row>
    <row r="29" spans="1:15" ht="38">
      <c r="A29" s="173" t="s">
        <v>320</v>
      </c>
      <c r="B29" s="188" t="s">
        <v>321</v>
      </c>
      <c r="C29" s="165" t="s">
        <v>11</v>
      </c>
      <c r="D29" s="165" t="s">
        <v>11</v>
      </c>
      <c r="E29" s="165" t="s">
        <v>11</v>
      </c>
      <c r="F29" s="165" t="s">
        <v>11</v>
      </c>
      <c r="G29" s="165" t="s">
        <v>11</v>
      </c>
      <c r="H29" s="165" t="s">
        <v>11</v>
      </c>
      <c r="I29" s="165" t="s">
        <v>11</v>
      </c>
      <c r="J29" s="165" t="s">
        <v>11</v>
      </c>
      <c r="K29" s="165" t="s">
        <v>11</v>
      </c>
      <c r="L29" s="165"/>
      <c r="M29" s="165"/>
      <c r="N29" s="170"/>
      <c r="O29" s="170"/>
    </row>
    <row r="30" spans="1:15" ht="25.5">
      <c r="A30" s="173" t="s">
        <v>322</v>
      </c>
      <c r="B30" s="188" t="s">
        <v>323</v>
      </c>
      <c r="C30" s="165" t="s">
        <v>11</v>
      </c>
      <c r="D30" s="165" t="s">
        <v>11</v>
      </c>
      <c r="E30" s="165" t="s">
        <v>11</v>
      </c>
      <c r="F30" s="165" t="s">
        <v>11</v>
      </c>
      <c r="G30" s="165" t="s">
        <v>11</v>
      </c>
      <c r="H30" s="165" t="s">
        <v>11</v>
      </c>
      <c r="I30" s="165" t="s">
        <v>11</v>
      </c>
      <c r="J30" s="165" t="s">
        <v>11</v>
      </c>
      <c r="K30" s="165" t="s">
        <v>11</v>
      </c>
      <c r="L30" s="165"/>
      <c r="M30" s="165"/>
      <c r="N30" s="170"/>
      <c r="O30" s="170"/>
    </row>
    <row r="31" spans="1:15" ht="38">
      <c r="A31" s="173" t="s">
        <v>324</v>
      </c>
      <c r="B31" s="188" t="s">
        <v>325</v>
      </c>
      <c r="C31" s="165" t="s">
        <v>11</v>
      </c>
      <c r="D31" s="165" t="s">
        <v>11</v>
      </c>
      <c r="E31" s="165" t="s">
        <v>11</v>
      </c>
      <c r="F31" s="165" t="s">
        <v>11</v>
      </c>
      <c r="G31" s="165" t="s">
        <v>11</v>
      </c>
      <c r="H31" s="165" t="s">
        <v>11</v>
      </c>
      <c r="I31" s="165" t="s">
        <v>11</v>
      </c>
      <c r="J31" s="165" t="s">
        <v>11</v>
      </c>
      <c r="K31" s="165" t="s">
        <v>11</v>
      </c>
      <c r="L31" s="165"/>
      <c r="M31" s="165"/>
      <c r="N31" s="170"/>
      <c r="O31" s="170"/>
    </row>
    <row r="32" spans="1:15" ht="38">
      <c r="A32" s="173" t="s">
        <v>326</v>
      </c>
      <c r="B32" s="188" t="s">
        <v>327</v>
      </c>
      <c r="C32" s="165" t="s">
        <v>11</v>
      </c>
      <c r="D32" s="165" t="s">
        <v>11</v>
      </c>
      <c r="E32" s="165" t="s">
        <v>11</v>
      </c>
      <c r="F32" s="165" t="s">
        <v>11</v>
      </c>
      <c r="G32" s="165" t="s">
        <v>11</v>
      </c>
      <c r="H32" s="165" t="s">
        <v>11</v>
      </c>
      <c r="I32" s="165" t="s">
        <v>11</v>
      </c>
      <c r="J32" s="165" t="s">
        <v>11</v>
      </c>
      <c r="K32" s="165" t="s">
        <v>11</v>
      </c>
      <c r="L32" s="165"/>
      <c r="M32" s="165"/>
      <c r="N32" s="170"/>
      <c r="O32" s="170"/>
    </row>
    <row r="33" spans="1:15" ht="25.5">
      <c r="A33" s="173" t="s">
        <v>328</v>
      </c>
      <c r="B33" s="188" t="s">
        <v>329</v>
      </c>
      <c r="C33" s="165" t="s">
        <v>11</v>
      </c>
      <c r="D33" s="165" t="s">
        <v>11</v>
      </c>
      <c r="E33" s="165" t="s">
        <v>11</v>
      </c>
      <c r="F33" s="165" t="s">
        <v>11</v>
      </c>
      <c r="G33" s="165" t="s">
        <v>11</v>
      </c>
      <c r="H33" s="165" t="s">
        <v>11</v>
      </c>
      <c r="I33" s="165" t="s">
        <v>11</v>
      </c>
      <c r="J33" s="165" t="s">
        <v>11</v>
      </c>
      <c r="K33" s="165" t="s">
        <v>11</v>
      </c>
      <c r="L33" s="165"/>
      <c r="M33" s="165"/>
      <c r="N33" s="170"/>
      <c r="O33" s="170"/>
    </row>
    <row r="34" spans="1:15" ht="50.5">
      <c r="A34" s="173" t="s">
        <v>330</v>
      </c>
      <c r="B34" s="188" t="s">
        <v>331</v>
      </c>
      <c r="C34" s="165" t="s">
        <v>11</v>
      </c>
      <c r="D34" s="165" t="s">
        <v>11</v>
      </c>
      <c r="E34" s="165" t="s">
        <v>11</v>
      </c>
      <c r="F34" s="165" t="s">
        <v>11</v>
      </c>
      <c r="G34" s="165" t="s">
        <v>11</v>
      </c>
      <c r="H34" s="165" t="s">
        <v>11</v>
      </c>
      <c r="I34" s="165" t="s">
        <v>11</v>
      </c>
      <c r="J34" s="165" t="s">
        <v>11</v>
      </c>
      <c r="K34" s="165" t="s">
        <v>11</v>
      </c>
      <c r="L34" s="165"/>
      <c r="M34" s="165"/>
      <c r="N34" s="170"/>
      <c r="O34" s="170"/>
    </row>
    <row r="35" spans="1:15" ht="50.5">
      <c r="A35" s="173" t="s">
        <v>332</v>
      </c>
      <c r="B35" s="188" t="s">
        <v>333</v>
      </c>
      <c r="C35" s="165" t="s">
        <v>11</v>
      </c>
      <c r="D35" s="165" t="s">
        <v>11</v>
      </c>
      <c r="E35" s="165" t="s">
        <v>11</v>
      </c>
      <c r="F35" s="165" t="s">
        <v>11</v>
      </c>
      <c r="G35" s="165" t="s">
        <v>11</v>
      </c>
      <c r="H35" s="165" t="s">
        <v>11</v>
      </c>
      <c r="I35" s="165" t="s">
        <v>11</v>
      </c>
      <c r="J35" s="165" t="s">
        <v>11</v>
      </c>
      <c r="K35" s="165" t="s">
        <v>11</v>
      </c>
      <c r="L35" s="165"/>
      <c r="M35" s="165"/>
      <c r="N35" s="170"/>
      <c r="O35" s="170"/>
    </row>
    <row r="36" spans="1:15" ht="38">
      <c r="A36" s="173" t="s">
        <v>334</v>
      </c>
      <c r="B36" s="188" t="s">
        <v>335</v>
      </c>
      <c r="C36" s="165" t="s">
        <v>11</v>
      </c>
      <c r="D36" s="165" t="s">
        <v>11</v>
      </c>
      <c r="E36" s="165" t="s">
        <v>11</v>
      </c>
      <c r="F36" s="165" t="s">
        <v>11</v>
      </c>
      <c r="G36" s="165" t="s">
        <v>11</v>
      </c>
      <c r="H36" s="165" t="s">
        <v>11</v>
      </c>
      <c r="I36" s="165" t="s">
        <v>11</v>
      </c>
      <c r="J36" s="165" t="s">
        <v>11</v>
      </c>
      <c r="K36" s="165" t="s">
        <v>11</v>
      </c>
      <c r="L36" s="165"/>
      <c r="M36" s="165"/>
      <c r="N36" s="170"/>
      <c r="O36" s="170"/>
    </row>
    <row r="37" spans="1:15" ht="38">
      <c r="A37" s="173" t="s">
        <v>336</v>
      </c>
      <c r="B37" s="188" t="s">
        <v>337</v>
      </c>
      <c r="C37" s="165" t="s">
        <v>11</v>
      </c>
      <c r="D37" s="165" t="s">
        <v>11</v>
      </c>
      <c r="E37" s="165" t="s">
        <v>11</v>
      </c>
      <c r="F37" s="165" t="s">
        <v>11</v>
      </c>
      <c r="G37" s="165" t="s">
        <v>11</v>
      </c>
      <c r="H37" s="165" t="s">
        <v>11</v>
      </c>
      <c r="I37" s="165" t="s">
        <v>11</v>
      </c>
      <c r="J37" s="165" t="s">
        <v>11</v>
      </c>
      <c r="K37" s="165" t="s">
        <v>11</v>
      </c>
      <c r="L37" s="165"/>
      <c r="M37" s="165"/>
      <c r="N37" s="170"/>
      <c r="O37" s="170"/>
    </row>
    <row r="38" spans="1:15" ht="38">
      <c r="A38" s="173" t="s">
        <v>338</v>
      </c>
      <c r="B38" s="188" t="s">
        <v>339</v>
      </c>
      <c r="C38" s="165" t="s">
        <v>11</v>
      </c>
      <c r="D38" s="165" t="s">
        <v>11</v>
      </c>
      <c r="E38" s="165" t="s">
        <v>11</v>
      </c>
      <c r="F38" s="165" t="s">
        <v>11</v>
      </c>
      <c r="G38" s="165" t="s">
        <v>11</v>
      </c>
      <c r="H38" s="165" t="s">
        <v>11</v>
      </c>
      <c r="I38" s="165" t="s">
        <v>11</v>
      </c>
      <c r="J38" s="165" t="s">
        <v>11</v>
      </c>
      <c r="K38" s="165" t="s">
        <v>11</v>
      </c>
      <c r="L38" s="165"/>
      <c r="M38" s="165"/>
      <c r="N38" s="170"/>
      <c r="O38" s="170"/>
    </row>
    <row r="39" spans="1:15" ht="14">
      <c r="A39" s="167"/>
      <c r="B39" s="185" t="s">
        <v>230</v>
      </c>
      <c r="C39" s="168"/>
      <c r="D39" s="168"/>
      <c r="E39" s="168"/>
      <c r="F39" s="168"/>
      <c r="G39" s="168"/>
      <c r="H39" s="168"/>
      <c r="I39" s="168"/>
      <c r="J39" s="168"/>
      <c r="K39" s="168"/>
      <c r="L39" s="168"/>
      <c r="M39" s="168"/>
      <c r="N39" s="168"/>
      <c r="O39" s="169"/>
    </row>
    <row r="40" spans="1:15" ht="38">
      <c r="A40" s="173" t="s">
        <v>241</v>
      </c>
      <c r="B40" s="188" t="s">
        <v>221</v>
      </c>
      <c r="C40" s="165" t="s">
        <v>23</v>
      </c>
      <c r="D40" s="165" t="s">
        <v>227</v>
      </c>
      <c r="E40" s="165" t="s">
        <v>227</v>
      </c>
      <c r="F40" s="165" t="s">
        <v>227</v>
      </c>
      <c r="G40" s="165" t="s">
        <v>227</v>
      </c>
      <c r="H40" s="165" t="s">
        <v>227</v>
      </c>
      <c r="I40" s="165" t="s">
        <v>227</v>
      </c>
      <c r="J40" s="165" t="s">
        <v>227</v>
      </c>
      <c r="K40" s="165" t="s">
        <v>227</v>
      </c>
      <c r="L40" s="165"/>
      <c r="M40" s="165"/>
      <c r="N40" s="170"/>
      <c r="O40" s="170"/>
    </row>
    <row r="41" spans="1:15" ht="25.5">
      <c r="A41" s="173" t="s">
        <v>242</v>
      </c>
      <c r="B41" s="188" t="s">
        <v>222</v>
      </c>
      <c r="C41" s="165" t="s">
        <v>227</v>
      </c>
      <c r="D41" s="165" t="s">
        <v>227</v>
      </c>
      <c r="E41" s="165" t="s">
        <v>227</v>
      </c>
      <c r="F41" s="165" t="s">
        <v>227</v>
      </c>
      <c r="G41" s="165" t="s">
        <v>227</v>
      </c>
      <c r="H41" s="165" t="s">
        <v>227</v>
      </c>
      <c r="I41" s="165" t="s">
        <v>227</v>
      </c>
      <c r="J41" s="165" t="s">
        <v>227</v>
      </c>
      <c r="K41" s="165" t="s">
        <v>227</v>
      </c>
      <c r="L41" s="165"/>
      <c r="M41" s="165"/>
      <c r="N41" s="170"/>
      <c r="O41" s="170"/>
    </row>
    <row r="42" spans="1:15" ht="38">
      <c r="A42" s="173" t="s">
        <v>243</v>
      </c>
      <c r="B42" s="188" t="s">
        <v>223</v>
      </c>
      <c r="C42" s="165" t="s">
        <v>227</v>
      </c>
      <c r="D42" s="165" t="s">
        <v>227</v>
      </c>
      <c r="E42" s="165" t="s">
        <v>227</v>
      </c>
      <c r="F42" s="165" t="s">
        <v>227</v>
      </c>
      <c r="G42" s="165" t="s">
        <v>227</v>
      </c>
      <c r="H42" s="165" t="s">
        <v>227</v>
      </c>
      <c r="I42" s="165" t="s">
        <v>227</v>
      </c>
      <c r="J42" s="165" t="s">
        <v>227</v>
      </c>
      <c r="K42" s="165" t="s">
        <v>227</v>
      </c>
      <c r="L42" s="165"/>
      <c r="M42" s="165"/>
      <c r="N42" s="170"/>
      <c r="O42" s="170"/>
    </row>
    <row r="43" spans="1:15" ht="38">
      <c r="A43" s="173" t="s">
        <v>244</v>
      </c>
      <c r="B43" s="188" t="s">
        <v>224</v>
      </c>
      <c r="C43" s="165" t="s">
        <v>23</v>
      </c>
      <c r="D43" s="165" t="s">
        <v>227</v>
      </c>
      <c r="E43" s="165" t="s">
        <v>227</v>
      </c>
      <c r="F43" s="165" t="s">
        <v>227</v>
      </c>
      <c r="G43" s="165" t="s">
        <v>227</v>
      </c>
      <c r="H43" s="165" t="s">
        <v>227</v>
      </c>
      <c r="I43" s="165" t="s">
        <v>227</v>
      </c>
      <c r="J43" s="165" t="s">
        <v>227</v>
      </c>
      <c r="K43" s="165" t="s">
        <v>227</v>
      </c>
      <c r="L43" s="165"/>
      <c r="M43" s="165"/>
      <c r="N43" s="170"/>
      <c r="O43" s="170"/>
    </row>
    <row r="44" spans="1:15" ht="14">
      <c r="A44" s="167"/>
      <c r="B44" s="185" t="s">
        <v>231</v>
      </c>
      <c r="C44" s="168"/>
      <c r="D44" s="168"/>
      <c r="E44" s="168"/>
      <c r="F44" s="168"/>
      <c r="G44" s="168"/>
      <c r="H44" s="168"/>
      <c r="I44" s="168"/>
      <c r="J44" s="168"/>
      <c r="K44" s="168"/>
      <c r="L44" s="168"/>
      <c r="M44" s="168"/>
      <c r="N44" s="168"/>
      <c r="O44" s="169"/>
    </row>
    <row r="45" spans="1:15" ht="38">
      <c r="A45" s="173" t="s">
        <v>245</v>
      </c>
      <c r="B45" s="188" t="s">
        <v>225</v>
      </c>
      <c r="C45" s="165" t="s">
        <v>227</v>
      </c>
      <c r="D45" s="165" t="s">
        <v>227</v>
      </c>
      <c r="E45" s="165" t="s">
        <v>227</v>
      </c>
      <c r="F45" s="165" t="s">
        <v>227</v>
      </c>
      <c r="G45" s="165" t="s">
        <v>227</v>
      </c>
      <c r="H45" s="165" t="s">
        <v>227</v>
      </c>
      <c r="I45" s="165" t="s">
        <v>227</v>
      </c>
      <c r="J45" s="165" t="s">
        <v>227</v>
      </c>
      <c r="K45" s="165" t="s">
        <v>227</v>
      </c>
      <c r="L45" s="165"/>
      <c r="M45" s="165"/>
      <c r="N45" s="170"/>
      <c r="O45" s="170"/>
    </row>
    <row r="46" spans="1:15" ht="38">
      <c r="A46" s="173" t="s">
        <v>246</v>
      </c>
      <c r="B46" s="188" t="s">
        <v>226</v>
      </c>
      <c r="C46" s="165" t="s">
        <v>11</v>
      </c>
      <c r="D46" s="165" t="s">
        <v>11</v>
      </c>
      <c r="E46" s="165" t="s">
        <v>11</v>
      </c>
      <c r="F46" s="165" t="s">
        <v>11</v>
      </c>
      <c r="G46" s="165" t="s">
        <v>11</v>
      </c>
      <c r="H46" s="165" t="s">
        <v>11</v>
      </c>
      <c r="I46" s="165" t="s">
        <v>11</v>
      </c>
      <c r="J46" s="165" t="s">
        <v>11</v>
      </c>
      <c r="K46" s="165" t="s">
        <v>11</v>
      </c>
      <c r="L46" s="165"/>
      <c r="M46" s="165"/>
      <c r="N46" s="170"/>
      <c r="O46" s="170"/>
    </row>
    <row r="47" spans="1:15" ht="14">
      <c r="A47" s="167"/>
      <c r="B47" s="185" t="s">
        <v>218</v>
      </c>
      <c r="C47" s="168"/>
      <c r="D47" s="168"/>
      <c r="E47" s="168"/>
      <c r="F47" s="168"/>
      <c r="G47" s="168"/>
      <c r="H47" s="168"/>
      <c r="I47" s="168"/>
      <c r="J47" s="168"/>
      <c r="K47" s="168"/>
      <c r="L47" s="168"/>
      <c r="M47" s="168"/>
      <c r="N47" s="168"/>
      <c r="O47" s="169"/>
    </row>
    <row r="48" spans="1:15" ht="50.5">
      <c r="A48" s="173" t="s">
        <v>219</v>
      </c>
      <c r="B48" s="188" t="s">
        <v>220</v>
      </c>
      <c r="C48" s="165"/>
      <c r="D48" s="165"/>
      <c r="E48" s="165"/>
      <c r="F48" s="165"/>
      <c r="G48" s="165"/>
      <c r="H48" s="165"/>
      <c r="I48" s="165"/>
      <c r="J48" s="165"/>
      <c r="K48" s="165"/>
      <c r="L48" s="165"/>
      <c r="M48" s="165"/>
      <c r="N48" s="170"/>
      <c r="O48" s="170"/>
    </row>
    <row r="49" spans="1:15" ht="18">
      <c r="A49" s="189"/>
      <c r="B49" s="190" t="s">
        <v>247</v>
      </c>
      <c r="C49" s="189"/>
      <c r="D49" s="189"/>
      <c r="E49" s="189"/>
      <c r="F49" s="189"/>
      <c r="G49" s="189"/>
      <c r="H49" s="189"/>
      <c r="I49" s="189"/>
      <c r="J49" s="189"/>
      <c r="K49" s="189"/>
      <c r="L49" s="189"/>
      <c r="M49" s="189"/>
      <c r="N49" s="189"/>
      <c r="O49" s="189"/>
    </row>
  </sheetData>
  <mergeCells count="1">
    <mergeCell ref="N2:O2"/>
  </mergeCells>
  <dataValidations count="1">
    <dataValidation type="list" allowBlank="1" showInputMessage="1" showErrorMessage="1" sqref="C6:L6 C48:L48 C45:L46 C40:L43 C28:L38 C22:L26 C18:L20 C11:L16 C8:L9" xr:uid="{60A85533-D21C-4625-BA2C-7CFF5555717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Andreea Negrea</cp:lastModifiedBy>
  <dcterms:created xsi:type="dcterms:W3CDTF">1996-10-21T11:03:58Z</dcterms:created>
  <dcterms:modified xsi:type="dcterms:W3CDTF">2023-06-22T06:30:11Z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