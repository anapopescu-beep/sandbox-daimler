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InkAnnotation="0" updateLinks="never" codeName="ThisWorkbook" defaultThemeVersion="124226"/>
  <mc:AlternateContent xmlns:mc="http://schemas.openxmlformats.org/markup-compatibility/2006">
    <mc:Choice Requires="x15">
      <x15ac:absPath xmlns:x15ac="http://schemas.microsoft.com/office/spreadsheetml/2010/11/ac" url="C:\Users\andreea.negrea\Documents\"/>
    </mc:Choice>
  </mc:AlternateContent>
  <xr:revisionPtr revIDLastSave="0" documentId="13_ncr:1_{9DC5FB6B-FAA9-4064-99C0-AD9B8B29EB76}" xr6:coauthVersionLast="46" xr6:coauthVersionMax="46" xr10:uidLastSave="{00000000-0000-0000-0000-000000000000}"/>
  <bookViews>
    <workbookView xWindow="-110" yWindow="-110" windowWidth="19420" windowHeight="10420" tabRatio="821" activeTab="8" xr2:uid="{00000000-000D-0000-FFFF-FFFF00000000}"/>
  </bookViews>
  <sheets>
    <sheet name="FrontPage" sheetId="22" r:id="rId1"/>
    <sheet name="General info" sheetId="30" r:id="rId2"/>
    <sheet name="Documentation" sheetId="16" r:id="rId3"/>
    <sheet name="COTS" sheetId="17" r:id="rId4"/>
    <sheet name="Customer deliveries" sheetId="18" r:id="rId5"/>
    <sheet name="Maturity - Metrics" sheetId="28" r:id="rId6"/>
    <sheet name="Tools-Sources-NVM APP" sheetId="19" r:id="rId7"/>
    <sheet name="Tools-Sources-NVM BOOT" sheetId="31" r:id="rId8"/>
    <sheet name="Maturity - Design &amp; Code" sheetId="24" r:id="rId9"/>
    <sheet name="Maturity - Architecture" sheetId="27" r:id="rId10"/>
    <sheet name="Maturity - Func System Req " sheetId="25" r:id="rId11"/>
    <sheet name="Maturity - Func Domain Req" sheetId="26" r:id="rId12"/>
    <sheet name="Maturity - Tools &amp; Methods" sheetId="32" r:id="rId13"/>
    <sheet name="History" sheetId="13" r:id="rId14"/>
  </sheets>
  <externalReferences>
    <externalReference r:id="rId15"/>
    <externalReference r:id="rId16"/>
    <externalReference r:id="rId17"/>
    <externalReference r:id="rId18"/>
  </externalReferences>
  <definedNames>
    <definedName name="_xlnm._FilterDatabase" localSheetId="9" hidden="1">'Maturity - Architecture'!$A$1:$L$5</definedName>
    <definedName name="_xlnm._FilterDatabase" localSheetId="8" hidden="1">'Maturity - Design &amp; Code'!$A$1:$P$5</definedName>
    <definedName name="_xlnm._FilterDatabase" localSheetId="11" hidden="1">'Maturity - Func Domain Req'!$A$1:$J$5</definedName>
    <definedName name="_xlnm._FilterDatabase" localSheetId="10" hidden="1">'Maturity - Func System Req '!$A$1:$J$5</definedName>
    <definedName name="_xlnm._FilterDatabase" localSheetId="12" hidden="1">'Maturity - Tools &amp; Methods'!$A$1:$L$2</definedName>
    <definedName name="_ftnref1" localSheetId="6">'Tools-Sources-NVM APP'!$A$36</definedName>
    <definedName name="_ftnref1" localSheetId="7">'Tools-Sources-NVM BOOT'!$A$32</definedName>
    <definedName name="Column_CodeAvailability" localSheetId="12">'Maturity - Tools &amp; Methods'!$L:$L</definedName>
    <definedName name="Column_CodeAvailability">'Maturity - Design &amp; Code'!$O:$O</definedName>
    <definedName name="Column_CodeReview" localSheetId="12">'Maturity - Tools &amp; Methods'!#REF!</definedName>
    <definedName name="Column_CodeReview">'Maturity - Design &amp; Code'!$P:$P</definedName>
    <definedName name="Column_DDAvailability" localSheetId="12">'Maturity - Tools &amp; Methods'!$I:$I</definedName>
    <definedName name="Column_DDAvailability">'Maturity - Design &amp; Code'!$I:$I</definedName>
    <definedName name="Column_DDReview" localSheetId="12">'Maturity - Tools &amp; Methods'!$J:$J</definedName>
    <definedName name="Column_DDReview">'Maturity - Design &amp; Code'!$J:$J</definedName>
    <definedName name="Column_DESAvailability" localSheetId="12">'[1]Maturity - Func Domain Req'!$G:$G</definedName>
    <definedName name="Column_DESAvailability">'Maturity - Func Domain Req'!$G:$G</definedName>
    <definedName name="Column_DESReview" localSheetId="12">'[1]Maturity - Func Domain Req'!$H:$H</definedName>
    <definedName name="Column_DESReview">'Maturity - Func Domain Req'!$H:$H</definedName>
    <definedName name="Column_MaturityArchitecture_InfoType" localSheetId="12">'[1]Maturity - Architecture'!$G:$G</definedName>
    <definedName name="Column_MaturityArchitecture_InfoType">'Maturity - Architecture'!$G:$G</definedName>
    <definedName name="Column_MaturityDesignCode_InfoType" localSheetId="12">'Maturity - Tools &amp; Methods'!$H:$H</definedName>
    <definedName name="Column_MaturityDesignCode_InfoType">'Maturity - Design &amp; Code'!$H:$H</definedName>
    <definedName name="Column_MaturityDomainReq_InfoType" localSheetId="12">'[1]Maturity - Func Domain Req'!$F:$F</definedName>
    <definedName name="Column_MaturityDomainReq_InfoType">'Maturity - Func Domain Req'!$F:$F</definedName>
    <definedName name="Column_SADAvailability" localSheetId="12">'[1]Maturity - Architecture'!$H:$H</definedName>
    <definedName name="Column_SADAvailability">'Maturity - Architecture'!$H:$H</definedName>
    <definedName name="Column_SADReview" localSheetId="12">'[1]Maturity - Architecture'!$I:$I</definedName>
    <definedName name="Column_SADReview">'Maturity - Architecture'!$I:$I</definedName>
    <definedName name="Essai" localSheetId="11">'Maturity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definedName>
    <definedName name="Essai" localSheetId="10">'Maturity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definedName>
    <definedName name="FileName" localSheetId="0">FrontPage!$AD$3</definedName>
    <definedName name="FileName">[2]FrontPage!$AD$3</definedName>
    <definedName name="FollowUp_Average" localSheetId="9">'Maturity - Architecture'!#REF!,'Maturity - Architecture'!#REF!,'Maturity - Architecture'!#REF!,'Maturity - Architecture'!#REF!,'Maturity - Architecture'!#REF!,'Maturity - Architecture'!#REF!</definedName>
    <definedName name="FollowUp_Average" localSheetId="8">'Maturity - Design &amp; Code'!#REF!,'Maturity - Design &amp; Code'!#REF!,'Maturity - Design &amp; Code'!#REF!,'Maturity - Design &amp; Code'!#REF!,'Maturity - Design &amp; Code'!#REF!,'Maturity - Design &amp; Code'!#REF!</definedName>
    <definedName name="FollowUp_Average" localSheetId="11">'Maturity - Func Domain Req'!#REF!,'Maturity - Func Domain Req'!#REF!,'Maturity - Func Domain Req'!#REF!,'Maturity - Func Domain Req'!#REF!,'Maturity - Func Domain Req'!#REF!,'Maturity - Func Domain Req'!#REF!</definedName>
    <definedName name="FollowUp_Average" localSheetId="10">'Maturity - Func System Req '!#REF!,'Maturity - Func System Req '!#REF!,'Maturity - Func System Req '!#REF!,'Maturity - Func System Req '!#REF!,'Maturity - Func System Req '!#REF!,'Maturity - Func System Req '!#REF!</definedName>
    <definedName name="FollowUp_Average" localSheetId="12">'Maturity - Tools &amp; Methods'!#REF!,'Maturity - Tools &amp; Methods'!#REF!,'Maturity - Tools &amp; Methods'!#REF!,'Maturity - Tools &amp; Methods'!#REF!,'Maturity - Tools &amp; Methods'!#REF!,'Maturity - Tools &amp; Methods'!#REF!</definedName>
    <definedName name="FollowUp_Details" localSheetId="9">'Maturity - Architecture'!#REF!,'Maturity - Architecture'!#REF!,'Maturity - Architecture'!#REF!,'Maturity - Architecture'!#REF!,'Maturity - Architecture'!#REF!,'Maturity - Architecture'!#REF!</definedName>
    <definedName name="FollowUp_Details" localSheetId="8">'Maturity - Design &amp; Code'!#REF!,'Maturity - Design &amp; Code'!#REF!,'Maturity - Design &amp; Code'!$I$4:$L$5,'Maturity - Design &amp; Code'!$O$4:$P$5,'Maturity - Design &amp; Code'!#REF!,'Maturity - Design &amp; Code'!#REF!</definedName>
    <definedName name="FollowUp_Details" localSheetId="11">'Maturity - Func Domain Req'!#REF!,'Maturity - Func Domain Req'!#REF!,'Maturity - Func Domain Req'!#REF!,'Maturity - Func Domain Req'!#REF!,'Maturity - Func Domain Req'!#REF!,'Maturity - Func Domain Req'!#REF!</definedName>
    <definedName name="FollowUp_Details" localSheetId="10">'Maturity - Func System Req '!#REF!,'Maturity - Func System Req '!#REF!,'Maturity - Func System Req '!#REF!,'Maturity - Func System Req '!#REF!,'Maturity - Func System Req '!#REF!,'Maturity - Func System Req '!#REF!</definedName>
    <definedName name="FollowUp_Details" localSheetId="12">'Maturity - Tools &amp; Methods'!#REF!,'Maturity - Tools &amp; Methods'!#REF!,'Maturity - Tools &amp; Methods'!#REF!,'Maturity - Tools &amp; Methods'!#REF!,'Maturity - Tools &amp; Methods'!#REF!,'Maturity - Tools &amp; Methods'!#REF!</definedName>
    <definedName name="FWUP_Details" localSheetId="11">'Maturity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definedName>
    <definedName name="FWUP_Details" localSheetId="10">'Maturity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definedName>
    <definedName name="FWUP_Total_Per_Column" localSheetId="11">'Maturity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definedName>
    <definedName name="FWUP_Total_Per_Column" localSheetId="10">'Maturity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definedName>
    <definedName name="FWUP_Total_Per_Line" localSheetId="11">'Maturity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definedName>
    <definedName name="FWUP_Total_Per_Line" localSheetId="10">'Maturity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definedName>
    <definedName name="list_strategy" localSheetId="12">'[1]General info'!$C$151:$C$155</definedName>
    <definedName name="list_strategy">'General info'!$C$151:$C$155</definedName>
    <definedName name="MXActual_state_Released" localSheetId="1">[2]FrontPage!$AB$5</definedName>
    <definedName name="MXActual_state_Released">FrontPage!$AB$5</definedName>
    <definedName name="MXAuthority" localSheetId="1">[2]FrontPage!$A$5</definedName>
    <definedName name="MXAuthority">FrontPage!$A$5</definedName>
    <definedName name="MXCurrent.Localized" localSheetId="1">[2]FrontPage!$W$5</definedName>
    <definedName name="MXCurrent.Localized">FrontPage!$W$5</definedName>
    <definedName name="MXName" localSheetId="1">[2]FrontPage!$A$7</definedName>
    <definedName name="MXName">FrontPage!$A$7</definedName>
    <definedName name="MXRevision" localSheetId="1">[2]FrontPage!$AB$7</definedName>
    <definedName name="MXRevision">FrontPage!$AB$7</definedName>
    <definedName name="MXTitle" localSheetId="1">[2]FrontPage!$E$7</definedName>
    <definedName name="MXTitle" localSheetId="12">[1]FrontPage!$E$7</definedName>
    <definedName name="MXTitle">FrontPage!$E$7</definedName>
    <definedName name="MXVersion" localSheetId="1">[2]FrontPage!$AE$7</definedName>
    <definedName name="MXVersion">FrontPage!$AE$7</definedName>
    <definedName name="Options.Approach">'[3]General info'!$AI$63:$AI$67</definedName>
    <definedName name="Options_PrefilledStrategies">'[3]General info'!$AK$63:$AK$69</definedName>
    <definedName name="PLMDocAuthor" localSheetId="0">FrontPage!$F$10</definedName>
    <definedName name="_xlnm.Print_Area" localSheetId="3">COTS!$A$1:$D$12</definedName>
    <definedName name="_xlnm.Print_Area" localSheetId="4">'Customer deliveries'!$A$1:$E$12</definedName>
    <definedName name="_xlnm.Print_Area" localSheetId="6">'Tools-Sources-NVM APP'!$A$4:$E$46</definedName>
    <definedName name="_xlnm.Print_Area" localSheetId="7">'Tools-Sources-NVM BOOT'!$A$4:$E$42</definedName>
    <definedName name="Strategy_Buy">'General info'!$C$154</definedName>
    <definedName name="Strategy_Make">'General info'!$C$152</definedName>
    <definedName name="Strategy_Reuse">'General info'!$C$153</definedName>
    <definedName name="TemplateRef" localSheetId="0">FrontPage!$W$7</definedName>
    <definedName name="TemplateRef">[2]FrontPage!$W$7</definedName>
    <definedName name="Text_Plan" localSheetId="12">'[1]General info'!$E$135</definedName>
    <definedName name="Text_Plan">'General info'!$E$135</definedName>
    <definedName name="Text_Status" localSheetId="12">'[1]General info'!$E$136</definedName>
    <definedName name="Text_Status">'General info'!$E$136</definedName>
    <definedName name="Titi" localSheetId="11">'Maturity - Func Domain Req'!#REF!</definedName>
    <definedName name="Titi" localSheetId="10">'Maturity - Func System Req '!#REF!</definedName>
    <definedName name="Tutu" localSheetId="9">'Maturity - Architecture'!Titi,'Maturity - Architecture'!Toto</definedName>
    <definedName name="Tutu" localSheetId="11">'Maturity - Func Domain Req'!Titi,'Maturity - Func Domain Req'!Toto</definedName>
    <definedName name="Tutu" localSheetId="10">'Maturity - Func System Req '!Titi,'Maturity - Func System Req '!Toto</definedName>
    <definedName name="Tutu" localSheetId="5">Titi,Toto</definedName>
    <definedName name="Tutu" localSheetId="12">#N/A</definedName>
    <definedName name="Tutu" localSheetId="7">#N/A</definedName>
    <definedName name="Tutu">'Maturity - Func Domain Req'!Titi,Toto</definedName>
    <definedName name="Whole_Table" localSheetId="9">'Maturity - Architecture'!#REF!</definedName>
    <definedName name="Whole_Table" localSheetId="8">'Maturity - Design &amp; Code'!$I$4:$P$5</definedName>
    <definedName name="Whole_Table" localSheetId="11">'Maturity - Func Domain Req'!#REF!</definedName>
    <definedName name="Whole_Table" localSheetId="10">'Maturity - Func System Req '!#REF!</definedName>
    <definedName name="Whole_Table" localSheetId="12">'Maturity - Tools &amp; Methods'!#REF!</definedName>
    <definedName name="WorkPackages" localSheetId="11">'Maturity - Func Domain Req'!#REF!,'Maturity - Func Domain Req'!#REF!,'Maturity - Func Domain Req'!#REF!,'Maturity - Func Domain Req'!#REF!,'Maturity - Func Domain Req'!#REF!,'Maturity - Func Domain Req'!#REF!,'Maturity - Func Domain Req'!#REF!,'Maturity - Func Domain Req'!#REF!,'Maturity - Func Domain Req'!#REF!,'Maturity - Func Domain Req'!#REF!</definedName>
    <definedName name="WorkPackages" localSheetId="10">'Maturity - Func System Req '!#REF!,'Maturity - Func System Req '!#REF!,'Maturity - Func System Req '!#REF!,'Maturity - Func System Req '!#REF!,'Maturity - Func System Req '!#REF!,'Maturity - Func System Req '!#REF!,'Maturity - Func System Req '!#REF!,'Maturity - Func System Req '!#REF!,'Maturity - Func System Req '!#REF!,'Maturity - Func System Req '!#REF!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5" i="22" l="1"/>
  <c r="W5" i="22"/>
  <c r="F10" i="22"/>
  <c r="W7" i="22"/>
  <c r="E7" i="22"/>
  <c r="A7" i="22"/>
  <c r="AE7" i="22"/>
  <c r="AB7" i="22"/>
  <c r="A5" i="22"/>
  <c r="P16" i="28"/>
  <c r="O16" i="28"/>
  <c r="R16" i="28" s="1"/>
  <c r="P15" i="28"/>
  <c r="O15" i="28"/>
  <c r="R15" i="28" s="1"/>
  <c r="P14" i="28"/>
  <c r="O14" i="28"/>
  <c r="P13" i="28"/>
  <c r="O13" i="28"/>
  <c r="R13" i="28" s="1"/>
  <c r="R14" i="28" l="1"/>
  <c r="Q14" i="28"/>
  <c r="P17" i="28"/>
  <c r="O17" i="28"/>
  <c r="Q13" i="28"/>
  <c r="Q15" i="28"/>
  <c r="Q16" i="28"/>
  <c r="AE7" i="30"/>
  <c r="E7" i="30"/>
  <c r="A7" i="30"/>
  <c r="AB7" i="30"/>
  <c r="W5" i="30"/>
  <c r="W7" i="30"/>
  <c r="A5" i="30"/>
  <c r="AB5" i="30"/>
  <c r="AD3" i="30"/>
  <c r="R17" i="28" l="1"/>
  <c r="Q17" i="28"/>
  <c r="D3" i="18"/>
  <c r="B3" i="28" l="1"/>
  <c r="AD3" i="22"/>
  <c r="A23"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R5" authorId="0" shapeId="0" xr:uid="{C4D812E7-5DA7-4D7B-B2B8-FA3666B787DD}">
      <text>
        <r>
          <rPr>
            <b/>
            <sz val="9"/>
            <color indexed="81"/>
            <rFont val="Tahoma"/>
            <family val="2"/>
          </rPr>
          <t>Fill here the reference of the project review findings : peer review workbook or equivalent</t>
        </r>
      </text>
    </comment>
    <comment ref="AB6" authorId="0" shapeId="0" xr:uid="{E2B03817-D598-4230-910F-A6ADA56636D0}">
      <text>
        <r>
          <rPr>
            <sz val="9"/>
            <color indexed="81"/>
            <rFont val="Tahoma"/>
            <family val="2"/>
          </rPr>
          <t>This field is only for PLM document</t>
        </r>
      </text>
    </comment>
    <comment ref="W7" authorId="0" shapeId="0" xr:uid="{07BA96AB-E43A-4EAE-B98B-DAFABFB631FE}">
      <text>
        <r>
          <rPr>
            <sz val="9"/>
            <color indexed="81"/>
            <rFont val="Tahoma"/>
            <family val="2"/>
          </rPr>
          <t>Template from process AEM_PROCESS_1.17.00 Last change : AEM_PROCESS_1.11.00</t>
        </r>
      </text>
    </comment>
    <comment ref="L9" authorId="0" shapeId="0" xr:uid="{19B49BC8-7477-452A-AF14-D5A7E7D353A4}">
      <text>
        <r>
          <rPr>
            <sz val="9"/>
            <color indexed="81"/>
            <rFont val="Tahoma"/>
            <family val="2"/>
          </rPr>
          <t>If the document Project list members (TEM461) is not used, please write the reviewers names</t>
        </r>
      </text>
    </comment>
    <comment ref="W9" authorId="0" shapeId="0" xr:uid="{19C60DA5-1327-4302-BD9B-A6838ECCD4C0}">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96F1B5DE-12D0-4AD4-99A6-5FFF84E2CD2D}">
      <text>
        <r>
          <rPr>
            <sz val="8"/>
            <color indexed="81"/>
            <rFont val="Tahoma"/>
            <family val="2"/>
          </rPr>
          <t>Insert name of tabs included in the document</t>
        </r>
        <r>
          <rPr>
            <sz val="8"/>
            <color indexed="81"/>
            <rFont val="Tahoma"/>
            <family val="2"/>
          </rPr>
          <t xml:space="preserve">
</t>
        </r>
      </text>
    </comment>
    <comment ref="G15" authorId="0" shapeId="0" xr:uid="{A04BDB81-D2C1-4133-82F3-E51FD1B250B7}">
      <text>
        <r>
          <rPr>
            <sz val="8"/>
            <color indexed="81"/>
            <rFont val="Tahoma"/>
            <family val="2"/>
          </rPr>
          <t>Describe each Tab.</t>
        </r>
      </text>
    </comment>
    <comment ref="B29" authorId="0" shapeId="0" xr:uid="{D3348C97-A48E-4F49-8FE5-DC6912CEAA35}">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9" authorId="0" shapeId="0" xr:uid="{402B5862-2C68-4EFF-BD0E-1018B3447581}">
      <text>
        <r>
          <rPr>
            <sz val="8"/>
            <color indexed="81"/>
            <rFont val="Tahoma"/>
            <family val="2"/>
          </rPr>
          <t>Date when the Revision is released</t>
        </r>
      </text>
    </comment>
    <comment ref="I29" authorId="0" shapeId="0" xr:uid="{351722FD-2210-40F5-9F3D-B092527D6810}">
      <text>
        <r>
          <rPr>
            <sz val="8"/>
            <color indexed="81"/>
            <rFont val="Tahoma"/>
            <family val="2"/>
          </rPr>
          <t>Author of the document. Authors if several.</t>
        </r>
      </text>
    </comment>
    <comment ref="R29" authorId="0" shapeId="0" xr:uid="{250AFF11-3F75-49D6-B545-9013064DD762}">
      <text>
        <r>
          <rPr>
            <sz val="8"/>
            <color indexed="81"/>
            <rFont val="Tahoma"/>
            <family val="2"/>
          </rPr>
          <t>Description or comment on the version. E.g. updated after meeting etc.</t>
        </r>
      </text>
    </comment>
    <comment ref="B39" authorId="0" shapeId="0" xr:uid="{9EC04303-B7AE-4378-9E3C-89EDFB899E99}">
      <text>
        <r>
          <rPr>
            <sz val="8"/>
            <color indexed="81"/>
            <rFont val="Tahoma"/>
            <family val="2"/>
          </rPr>
          <t>ID of possible reference documents. Any ID can be used, suggestion is [Int1], [Int2] etc. for internal references and [Ext1], [Ext2] etc. for external references</t>
        </r>
      </text>
    </comment>
    <comment ref="E39" authorId="0" shapeId="0" xr:uid="{113F0549-26F3-4B3A-A83C-58063D9A7509}">
      <text>
        <r>
          <rPr>
            <sz val="8"/>
            <color indexed="81"/>
            <rFont val="Tahoma"/>
            <family val="2"/>
          </rPr>
          <t>Title of reference documents.</t>
        </r>
      </text>
    </comment>
    <comment ref="Y39" authorId="0" shapeId="0" xr:uid="{EAB01148-A3E2-4E85-A7FF-55E810399DBD}">
      <text>
        <r>
          <rPr>
            <sz val="8"/>
            <color indexed="81"/>
            <rFont val="Tahoma"/>
            <family val="2"/>
          </rPr>
          <t>Reference number, e.g. E123456 and revision of the reference.</t>
        </r>
      </text>
    </comment>
    <comment ref="B45" authorId="0" shapeId="0" xr:uid="{6AE25C82-C7A8-46EE-A88D-28DC7EFE8221}">
      <text>
        <r>
          <rPr>
            <sz val="8"/>
            <color indexed="81"/>
            <rFont val="Tahoma"/>
            <family val="2"/>
          </rPr>
          <t>ID of possible reference documents. Any ID can be used, suggestion is [Int1], [Int2] etc. for internal references and [Ext1], [Ext2] etc. for external references</t>
        </r>
      </text>
    </comment>
    <comment ref="E45" authorId="0" shapeId="0" xr:uid="{FEC907A1-62EA-4EA5-9176-FE861C6A6D89}">
      <text>
        <r>
          <rPr>
            <sz val="8"/>
            <color indexed="81"/>
            <rFont val="Tahoma"/>
            <family val="2"/>
          </rPr>
          <t>Title of reference documents.</t>
        </r>
      </text>
    </comment>
    <comment ref="Y45" authorId="0" shapeId="0" xr:uid="{B3D53821-789B-47B5-A28A-E2951DC5B04B}">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E7" authorId="0" shapeId="0" xr:uid="{00000000-0006-0000-0100-000001000000}">
      <text>
        <r>
          <rPr>
            <b/>
            <sz val="9"/>
            <color indexed="81"/>
            <rFont val="Tahoma"/>
            <family val="2"/>
          </rPr>
          <t>Define here what is the current version or revision of the document inherited from the template
Practices of best projects :</t>
        </r>
        <r>
          <rPr>
            <sz val="9"/>
            <color indexed="81"/>
            <rFont val="Tahoma"/>
            <family val="2"/>
          </rPr>
          <t xml:space="preserve">
o Baselines are recommanded
o Create hyperlinks for one-click access to documents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A2" authorId="0" shapeId="0" xr:uid="{4299BF65-4816-496B-BA65-8D0283B05736}">
      <text>
        <r>
          <rPr>
            <b/>
            <sz val="9"/>
            <color indexed="81"/>
            <rFont val="Tahoma"/>
            <family val="2"/>
          </rPr>
          <t>(ACU reference, software version, customer number,…)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francine.chambin</author>
  </authors>
  <commentList>
    <comment ref="A49" authorId="0" shapeId="0" xr:uid="{00000000-0006-0000-0400-000001000000}">
      <text>
        <r>
          <rPr>
            <b/>
            <sz val="8"/>
            <color indexed="81"/>
            <rFont val="Tahoma"/>
            <family val="2"/>
          </rPr>
          <t>If the project uses SEW2, see the example and modify it to become the compilation procedure of the project.
If the project doesn't use SEW2, establish a procedure.
The procedure must explain:
- how to install the tools to compile,
- how to configure the environment variables,
- how to configure the tools to compile the application,
- …</t>
        </r>
        <r>
          <rPr>
            <sz val="8"/>
            <color indexed="81"/>
            <rFont val="Tahoma"/>
            <family val="2"/>
          </rPr>
          <t xml:space="preserve">
</t>
        </r>
      </text>
    </comment>
    <comment ref="D49" authorId="0" shapeId="0" xr:uid="{00000000-0006-0000-0400-000002000000}">
      <text>
        <r>
          <rPr>
            <b/>
            <sz val="8"/>
            <color indexed="81"/>
            <rFont val="Tahoma"/>
            <family val="2"/>
          </rPr>
          <t>WARNING: the documents checkpointed must be in accordance with the Source Code (checkpoint done on Development_View)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francine.chambin</author>
  </authors>
  <commentList>
    <comment ref="A45" authorId="0" shapeId="0" xr:uid="{EA02025C-E0C1-47F0-A7EF-04727C0B7644}">
      <text>
        <r>
          <rPr>
            <b/>
            <sz val="8"/>
            <color indexed="81"/>
            <rFont val="Tahoma"/>
            <family val="2"/>
          </rPr>
          <t>If the project uses SEW2, see the example and modify it to become the compilation procedure of the project.
If the project doesn't use SEW2, establish a procedure.
The procedure must explain:
- how to install the tools to compile,
- how to configure the environment variables,
- how to configure the tools to compile the application,
- …</t>
        </r>
        <r>
          <rPr>
            <sz val="8"/>
            <color indexed="81"/>
            <rFont val="Tahoma"/>
            <family val="2"/>
          </rPr>
          <t xml:space="preserve">
</t>
        </r>
      </text>
    </comment>
    <comment ref="D45" authorId="0" shapeId="0" xr:uid="{F31DFBDF-8500-414F-946F-6C9839830FDE}">
      <text>
        <r>
          <rPr>
            <b/>
            <sz val="8"/>
            <color indexed="81"/>
            <rFont val="Tahoma"/>
            <family val="2"/>
          </rPr>
          <t>WARNING: the documents checkpointed must be in accordance with the Source Code (checkpoint done on Development_View)</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laurent.perron</author>
  </authors>
  <commentList>
    <comment ref="D1" authorId="0" shapeId="0" xr:uid="{FEDC09DE-7ABA-4C0B-AD0A-E5ED9A4E8E67}">
      <text>
        <r>
          <rPr>
            <sz val="11"/>
            <color indexed="81"/>
            <rFont val="Tahoma"/>
            <family val="2"/>
          </rPr>
          <t xml:space="preserve">What is the general approach ?
o Mainly </t>
        </r>
        <r>
          <rPr>
            <b/>
            <sz val="11"/>
            <color indexed="81"/>
            <rFont val="Tahoma"/>
            <family val="2"/>
          </rPr>
          <t>make</t>
        </r>
        <r>
          <rPr>
            <sz val="11"/>
            <color indexed="81"/>
            <rFont val="Tahoma"/>
            <family val="2"/>
          </rPr>
          <t xml:space="preserve"> by the project
o Mainly </t>
        </r>
        <r>
          <rPr>
            <b/>
            <sz val="11"/>
            <color indexed="81"/>
            <rFont val="Tahoma"/>
            <family val="2"/>
          </rPr>
          <t>reused</t>
        </r>
        <r>
          <rPr>
            <sz val="11"/>
            <color indexed="81"/>
            <rFont val="Tahoma"/>
            <family val="2"/>
          </rPr>
          <t xml:space="preserve"> from a project (</t>
        </r>
        <r>
          <rPr>
            <b/>
            <sz val="11"/>
            <color indexed="81"/>
            <rFont val="Tahoma"/>
            <family val="2"/>
          </rPr>
          <t>carry over</t>
        </r>
        <r>
          <rPr>
            <sz val="11"/>
            <color indexed="81"/>
            <rFont val="Tahoma"/>
            <family val="2"/>
          </rPr>
          <t>) or platform (</t>
        </r>
        <r>
          <rPr>
            <b/>
            <sz val="11"/>
            <color indexed="81"/>
            <rFont val="Tahoma"/>
            <family val="2"/>
          </rPr>
          <t>reuse</t>
        </r>
        <r>
          <rPr>
            <sz val="11"/>
            <color indexed="81"/>
            <rFont val="Tahoma"/>
            <family val="2"/>
          </rPr>
          <t xml:space="preserve">)
o Mainly </t>
        </r>
        <r>
          <rPr>
            <b/>
            <sz val="11"/>
            <color indexed="81"/>
            <rFont val="Tahoma"/>
            <family val="2"/>
          </rPr>
          <t>bought</t>
        </r>
        <r>
          <rPr>
            <sz val="11"/>
            <color indexed="81"/>
            <rFont val="Tahoma"/>
            <family val="2"/>
          </rPr>
          <t xml:space="preserve"> : some parts can be developped, parameterized by Autoliv</t>
        </r>
      </text>
    </comment>
    <comment ref="E1" authorId="0" shapeId="0" xr:uid="{53494795-E15C-408F-8B10-D7510FE6D72B}">
      <text>
        <r>
          <rPr>
            <sz val="11"/>
            <color indexed="81"/>
            <rFont val="Tahoma"/>
            <family val="2"/>
          </rPr>
          <t>If reused, identifies :
o the project name if the approach is a carry over
o the platform if the approach is reuse</t>
        </r>
      </text>
    </comment>
    <comment ref="F1" authorId="0" shapeId="0" xr:uid="{CC4C3C8A-8FD2-4B1A-98F0-9B169D722CEA}">
      <text>
        <r>
          <rPr>
            <sz val="11"/>
            <color indexed="81"/>
            <rFont val="Tahoma"/>
            <family val="2"/>
          </rPr>
          <t xml:space="preserve">Identifies the software and/or system </t>
        </r>
        <r>
          <rPr>
            <b/>
            <sz val="11"/>
            <color indexed="81"/>
            <rFont val="Tahoma"/>
            <family val="2"/>
          </rPr>
          <t>architecture</t>
        </r>
        <r>
          <rPr>
            <sz val="11"/>
            <color indexed="81"/>
            <rFont val="Tahoma"/>
            <family val="2"/>
          </rPr>
          <t xml:space="preserve"> linked to the reused component
</t>
        </r>
        <r>
          <rPr>
            <u/>
            <sz val="11"/>
            <color indexed="81"/>
            <rFont val="Tahoma"/>
            <family val="2"/>
          </rPr>
          <t>Example:</t>
        </r>
        <r>
          <rPr>
            <sz val="11"/>
            <color indexed="81"/>
            <rFont val="Tahoma"/>
            <family val="2"/>
          </rPr>
          <t xml:space="preserve"> PP4G, Autosar 4.0.3</t>
        </r>
      </text>
    </comment>
    <comment ref="G1" authorId="0" shapeId="0" xr:uid="{4DA1AB38-0BA5-405A-A03A-F5CF7EE8F1E4}">
      <text>
        <r>
          <rPr>
            <sz val="11"/>
            <color indexed="81"/>
            <rFont val="Tahoma"/>
            <family val="2"/>
          </rPr>
          <t xml:space="preserve">Identifies the </t>
        </r>
        <r>
          <rPr>
            <b/>
            <sz val="11"/>
            <color indexed="81"/>
            <rFont val="Tahoma"/>
            <family val="2"/>
          </rPr>
          <t xml:space="preserve">version </t>
        </r>
        <r>
          <rPr>
            <sz val="11"/>
            <color indexed="81"/>
            <rFont val="Tahoma"/>
            <family val="2"/>
          </rPr>
          <t>of the files in configuration management tools (PTC, Doors, ....
E</t>
        </r>
        <r>
          <rPr>
            <u/>
            <sz val="11"/>
            <color indexed="81"/>
            <rFont val="Tahoma"/>
            <family val="2"/>
          </rPr>
          <t>xample:</t>
        </r>
        <r>
          <rPr>
            <sz val="11"/>
            <color indexed="81"/>
            <rFont val="Tahoma"/>
            <family val="2"/>
          </rPr>
          <t xml:space="preserve"> </t>
        </r>
        <r>
          <rPr>
            <b/>
            <sz val="11"/>
            <color indexed="81"/>
            <rFont val="Tahoma"/>
            <family val="2"/>
          </rPr>
          <t>PTC Chekpoint Label: 
FORD_V36x_P20APPLICATION_P12BOOT</t>
        </r>
        <r>
          <rPr>
            <sz val="11"/>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laurent.perron</author>
  </authors>
  <commentList>
    <comment ref="C1" authorId="0" shapeId="0" xr:uid="{57764887-3886-4152-A135-B5029E2A323C}">
      <text>
        <r>
          <rPr>
            <sz val="11"/>
            <color indexed="81"/>
            <rFont val="Tahoma"/>
            <family val="2"/>
          </rPr>
          <t xml:space="preserve">What is the general approach ?
o Mainly </t>
        </r>
        <r>
          <rPr>
            <b/>
            <sz val="11"/>
            <color indexed="81"/>
            <rFont val="Tahoma"/>
            <family val="2"/>
          </rPr>
          <t>make</t>
        </r>
        <r>
          <rPr>
            <sz val="11"/>
            <color indexed="81"/>
            <rFont val="Tahoma"/>
            <family val="2"/>
          </rPr>
          <t xml:space="preserve"> by the project
o Mainly </t>
        </r>
        <r>
          <rPr>
            <b/>
            <sz val="11"/>
            <color indexed="81"/>
            <rFont val="Tahoma"/>
            <family val="2"/>
          </rPr>
          <t>reused</t>
        </r>
        <r>
          <rPr>
            <sz val="11"/>
            <color indexed="81"/>
            <rFont val="Tahoma"/>
            <family val="2"/>
          </rPr>
          <t xml:space="preserve"> from a project (</t>
        </r>
        <r>
          <rPr>
            <b/>
            <sz val="11"/>
            <color indexed="81"/>
            <rFont val="Tahoma"/>
            <family val="2"/>
          </rPr>
          <t>carry over</t>
        </r>
        <r>
          <rPr>
            <sz val="11"/>
            <color indexed="81"/>
            <rFont val="Tahoma"/>
            <family val="2"/>
          </rPr>
          <t>) or platform (</t>
        </r>
        <r>
          <rPr>
            <b/>
            <sz val="11"/>
            <color indexed="81"/>
            <rFont val="Tahoma"/>
            <family val="2"/>
          </rPr>
          <t>reuse</t>
        </r>
        <r>
          <rPr>
            <sz val="11"/>
            <color indexed="81"/>
            <rFont val="Tahoma"/>
            <family val="2"/>
          </rPr>
          <t xml:space="preserve">)
o Mainly </t>
        </r>
        <r>
          <rPr>
            <b/>
            <sz val="11"/>
            <color indexed="81"/>
            <rFont val="Tahoma"/>
            <family val="2"/>
          </rPr>
          <t>bought</t>
        </r>
        <r>
          <rPr>
            <sz val="11"/>
            <color indexed="81"/>
            <rFont val="Tahoma"/>
            <family val="2"/>
          </rPr>
          <t xml:space="preserve"> : some parts can be developped, parameterized by Autoliv</t>
        </r>
      </text>
    </comment>
    <comment ref="D1" authorId="0" shapeId="0" xr:uid="{AF3E2E71-26BE-48C5-AF5C-F53E932FF397}">
      <text>
        <r>
          <rPr>
            <sz val="11"/>
            <color indexed="81"/>
            <rFont val="Tahoma"/>
            <family val="2"/>
          </rPr>
          <t>If reused, identifies :
o the project name if the approach is a carry over
o the platform if the approach is reuse</t>
        </r>
      </text>
    </comment>
    <comment ref="E1" authorId="0" shapeId="0" xr:uid="{D0546752-1164-4950-AFDA-6A5DB60174A4}">
      <text>
        <r>
          <rPr>
            <sz val="11"/>
            <color indexed="81"/>
            <rFont val="Tahoma"/>
            <family val="2"/>
          </rPr>
          <t xml:space="preserve">Identifies the software and/or system </t>
        </r>
        <r>
          <rPr>
            <b/>
            <sz val="11"/>
            <color indexed="81"/>
            <rFont val="Tahoma"/>
            <family val="2"/>
          </rPr>
          <t>architecture</t>
        </r>
        <r>
          <rPr>
            <sz val="11"/>
            <color indexed="81"/>
            <rFont val="Tahoma"/>
            <family val="2"/>
          </rPr>
          <t xml:space="preserve"> linked to the reused component
</t>
        </r>
        <r>
          <rPr>
            <u/>
            <sz val="11"/>
            <color indexed="81"/>
            <rFont val="Tahoma"/>
            <family val="2"/>
          </rPr>
          <t>Example:</t>
        </r>
        <r>
          <rPr>
            <sz val="11"/>
            <color indexed="81"/>
            <rFont val="Tahoma"/>
            <family val="2"/>
          </rPr>
          <t xml:space="preserve"> PP4G, Autosar 4.0.3</t>
        </r>
      </text>
    </comment>
    <comment ref="F1" authorId="0" shapeId="0" xr:uid="{60A76A38-06B5-4CCD-847C-27F346256630}">
      <text>
        <r>
          <rPr>
            <sz val="11"/>
            <color indexed="81"/>
            <rFont val="Tahoma"/>
            <family val="2"/>
          </rPr>
          <t xml:space="preserve">Identifies the </t>
        </r>
        <r>
          <rPr>
            <b/>
            <sz val="11"/>
            <color indexed="81"/>
            <rFont val="Tahoma"/>
            <family val="2"/>
          </rPr>
          <t xml:space="preserve">version </t>
        </r>
        <r>
          <rPr>
            <sz val="11"/>
            <color indexed="81"/>
            <rFont val="Tahoma"/>
            <family val="2"/>
          </rPr>
          <t>of the files in configuration management tools (PTC, Doors, ....
E</t>
        </r>
        <r>
          <rPr>
            <u/>
            <sz val="11"/>
            <color indexed="81"/>
            <rFont val="Tahoma"/>
            <family val="2"/>
          </rPr>
          <t>xample:</t>
        </r>
        <r>
          <rPr>
            <sz val="11"/>
            <color indexed="81"/>
            <rFont val="Tahoma"/>
            <family val="2"/>
          </rPr>
          <t xml:space="preserve"> </t>
        </r>
        <r>
          <rPr>
            <b/>
            <sz val="11"/>
            <color indexed="81"/>
            <rFont val="Tahoma"/>
            <family val="2"/>
          </rPr>
          <t>PTC Chekpoint Label: 
FORD_V36x_P20APPLICATION_P12BOOT</t>
        </r>
        <r>
          <rPr>
            <sz val="11"/>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laurent.perron</author>
  </authors>
  <commentList>
    <comment ref="C1" authorId="0" shapeId="0" xr:uid="{9BA14FDC-33A7-4959-83F8-15268B777A60}">
      <text>
        <r>
          <rPr>
            <sz val="11"/>
            <color indexed="81"/>
            <rFont val="Tahoma"/>
            <family val="2"/>
          </rPr>
          <t xml:space="preserve">What is the general approach ?
o Mainly </t>
        </r>
        <r>
          <rPr>
            <b/>
            <sz val="11"/>
            <color indexed="81"/>
            <rFont val="Tahoma"/>
            <family val="2"/>
          </rPr>
          <t>make</t>
        </r>
        <r>
          <rPr>
            <sz val="11"/>
            <color indexed="81"/>
            <rFont val="Tahoma"/>
            <family val="2"/>
          </rPr>
          <t xml:space="preserve"> by the project
o Mainly </t>
        </r>
        <r>
          <rPr>
            <b/>
            <sz val="11"/>
            <color indexed="81"/>
            <rFont val="Tahoma"/>
            <family val="2"/>
          </rPr>
          <t>reused</t>
        </r>
        <r>
          <rPr>
            <sz val="11"/>
            <color indexed="81"/>
            <rFont val="Tahoma"/>
            <family val="2"/>
          </rPr>
          <t xml:space="preserve"> from a project (</t>
        </r>
        <r>
          <rPr>
            <b/>
            <sz val="11"/>
            <color indexed="81"/>
            <rFont val="Tahoma"/>
            <family val="2"/>
          </rPr>
          <t>carry over</t>
        </r>
        <r>
          <rPr>
            <sz val="11"/>
            <color indexed="81"/>
            <rFont val="Tahoma"/>
            <family val="2"/>
          </rPr>
          <t>) or platform (</t>
        </r>
        <r>
          <rPr>
            <b/>
            <sz val="11"/>
            <color indexed="81"/>
            <rFont val="Tahoma"/>
            <family val="2"/>
          </rPr>
          <t>reuse</t>
        </r>
        <r>
          <rPr>
            <sz val="11"/>
            <color indexed="81"/>
            <rFont val="Tahoma"/>
            <family val="2"/>
          </rPr>
          <t xml:space="preserve">)
o Mainly </t>
        </r>
        <r>
          <rPr>
            <b/>
            <sz val="11"/>
            <color indexed="81"/>
            <rFont val="Tahoma"/>
            <family val="2"/>
          </rPr>
          <t>bought</t>
        </r>
        <r>
          <rPr>
            <sz val="11"/>
            <color indexed="81"/>
            <rFont val="Tahoma"/>
            <family val="2"/>
          </rPr>
          <t xml:space="preserve"> : some parts can be developped, parameterized by Autoliv</t>
        </r>
      </text>
    </comment>
    <comment ref="D1" authorId="0" shapeId="0" xr:uid="{6D4074AC-2868-4855-AEF5-21EA1605FF61}">
      <text>
        <r>
          <rPr>
            <sz val="11"/>
            <color indexed="81"/>
            <rFont val="Tahoma"/>
            <family val="2"/>
          </rPr>
          <t>If reused, identifies :
o the project name if the approach is a carry over
o the platform if the approach is reuse</t>
        </r>
      </text>
    </comment>
    <comment ref="E1" authorId="0" shapeId="0" xr:uid="{79A98784-3C26-4D50-946A-0037BC6B323A}">
      <text>
        <r>
          <rPr>
            <sz val="11"/>
            <color indexed="81"/>
            <rFont val="Tahoma"/>
            <family val="2"/>
          </rPr>
          <t xml:space="preserve">Identifies the </t>
        </r>
        <r>
          <rPr>
            <b/>
            <sz val="11"/>
            <color indexed="81"/>
            <rFont val="Tahoma"/>
            <family val="2"/>
          </rPr>
          <t xml:space="preserve">version </t>
        </r>
        <r>
          <rPr>
            <sz val="11"/>
            <color indexed="81"/>
            <rFont val="Tahoma"/>
            <family val="2"/>
          </rPr>
          <t>of the files in configuration management tools (PTC, Doors, ....
E</t>
        </r>
        <r>
          <rPr>
            <u/>
            <sz val="11"/>
            <color indexed="81"/>
            <rFont val="Tahoma"/>
            <family val="2"/>
          </rPr>
          <t>xample:</t>
        </r>
        <r>
          <rPr>
            <sz val="11"/>
            <color indexed="81"/>
            <rFont val="Tahoma"/>
            <family val="2"/>
          </rPr>
          <t xml:space="preserve"> </t>
        </r>
        <r>
          <rPr>
            <b/>
            <sz val="11"/>
            <color indexed="81"/>
            <rFont val="Tahoma"/>
            <family val="2"/>
          </rPr>
          <t>PTC Chekpoint Label: 
FORD_V36x_P20APPLICATION_P12BOOT</t>
        </r>
        <r>
          <rPr>
            <sz val="11"/>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laurent.perron</author>
    <author>Aymeric Diankouika</author>
  </authors>
  <commentList>
    <comment ref="C1" authorId="0" shapeId="0" xr:uid="{1AA07172-5779-4C82-8967-68E4A798028A}">
      <text>
        <r>
          <rPr>
            <sz val="11"/>
            <color indexed="81"/>
            <rFont val="Tahoma"/>
            <family val="2"/>
          </rPr>
          <t xml:space="preserve">What is the general approach ?
o Mainly </t>
        </r>
        <r>
          <rPr>
            <b/>
            <sz val="11"/>
            <color indexed="81"/>
            <rFont val="Tahoma"/>
            <family val="2"/>
          </rPr>
          <t>make</t>
        </r>
        <r>
          <rPr>
            <sz val="11"/>
            <color indexed="81"/>
            <rFont val="Tahoma"/>
            <family val="2"/>
          </rPr>
          <t xml:space="preserve"> by the project
o Mainly </t>
        </r>
        <r>
          <rPr>
            <b/>
            <sz val="11"/>
            <color indexed="81"/>
            <rFont val="Tahoma"/>
            <family val="2"/>
          </rPr>
          <t>reused</t>
        </r>
        <r>
          <rPr>
            <sz val="11"/>
            <color indexed="81"/>
            <rFont val="Tahoma"/>
            <family val="2"/>
          </rPr>
          <t xml:space="preserve"> from a project (</t>
        </r>
        <r>
          <rPr>
            <b/>
            <sz val="11"/>
            <color indexed="81"/>
            <rFont val="Tahoma"/>
            <family val="2"/>
          </rPr>
          <t>carry over</t>
        </r>
        <r>
          <rPr>
            <sz val="11"/>
            <color indexed="81"/>
            <rFont val="Tahoma"/>
            <family val="2"/>
          </rPr>
          <t>) or platform (</t>
        </r>
        <r>
          <rPr>
            <b/>
            <sz val="11"/>
            <color indexed="81"/>
            <rFont val="Tahoma"/>
            <family val="2"/>
          </rPr>
          <t>reuse</t>
        </r>
        <r>
          <rPr>
            <sz val="11"/>
            <color indexed="81"/>
            <rFont val="Tahoma"/>
            <family val="2"/>
          </rPr>
          <t xml:space="preserve">)
o Mainly </t>
        </r>
        <r>
          <rPr>
            <b/>
            <sz val="11"/>
            <color indexed="81"/>
            <rFont val="Tahoma"/>
            <family val="2"/>
          </rPr>
          <t>bought</t>
        </r>
        <r>
          <rPr>
            <sz val="11"/>
            <color indexed="81"/>
            <rFont val="Tahoma"/>
            <family val="2"/>
          </rPr>
          <t xml:space="preserve"> : some parts can be developped, parameterized by Autoliv</t>
        </r>
      </text>
    </comment>
    <comment ref="D1" authorId="0" shapeId="0" xr:uid="{D636AB62-8316-41C4-A0CB-2D3558895868}">
      <text>
        <r>
          <rPr>
            <sz val="11"/>
            <color indexed="81"/>
            <rFont val="Tahoma"/>
            <family val="2"/>
          </rPr>
          <t>If reused, identifies :
o the project name if the approach is a carry over
o the platform if the approach is reuse</t>
        </r>
      </text>
    </comment>
    <comment ref="E1" authorId="0" shapeId="0" xr:uid="{43A9401D-4534-4390-85EE-716C51503EBC}">
      <text>
        <r>
          <rPr>
            <sz val="11"/>
            <color indexed="81"/>
            <rFont val="Tahoma"/>
            <family val="2"/>
          </rPr>
          <t xml:space="preserve">Identifies the </t>
        </r>
        <r>
          <rPr>
            <b/>
            <sz val="11"/>
            <color indexed="81"/>
            <rFont val="Tahoma"/>
            <family val="2"/>
          </rPr>
          <t xml:space="preserve">version </t>
        </r>
        <r>
          <rPr>
            <sz val="11"/>
            <color indexed="81"/>
            <rFont val="Tahoma"/>
            <family val="2"/>
          </rPr>
          <t>of the files in configuration management tools (PTC, Doors, ....
E</t>
        </r>
        <r>
          <rPr>
            <u/>
            <sz val="11"/>
            <color indexed="81"/>
            <rFont val="Tahoma"/>
            <family val="2"/>
          </rPr>
          <t>xample:</t>
        </r>
        <r>
          <rPr>
            <sz val="11"/>
            <color indexed="81"/>
            <rFont val="Tahoma"/>
            <family val="2"/>
          </rPr>
          <t xml:space="preserve"> </t>
        </r>
        <r>
          <rPr>
            <b/>
            <sz val="11"/>
            <color indexed="81"/>
            <rFont val="Tahoma"/>
            <family val="2"/>
          </rPr>
          <t>PTC Chekpoint Label: 
FORD_V36x_P20APPLICATION_P12BOOT</t>
        </r>
        <r>
          <rPr>
            <sz val="11"/>
            <color indexed="81"/>
            <rFont val="Tahoma"/>
            <family val="2"/>
          </rPr>
          <t xml:space="preserve">
</t>
        </r>
      </text>
    </comment>
    <comment ref="L1" authorId="1" shapeId="0" xr:uid="{8E48B5F8-0036-4735-B3B1-5E3AA61DBF42}">
      <text>
        <r>
          <rPr>
            <b/>
            <sz val="9"/>
            <color indexed="81"/>
            <rFont val="Tahoma"/>
            <family val="2"/>
          </rPr>
          <t>Aymeric Diankouika: Coverage plan is Black+ White box tests</t>
        </r>
        <r>
          <rPr>
            <sz val="9"/>
            <color indexed="81"/>
            <rFont val="Tahoma"/>
            <family val="2"/>
          </rPr>
          <t xml:space="preserve">
</t>
        </r>
      </text>
    </comment>
    <comment ref="M1" authorId="1" shapeId="0" xr:uid="{D3F0C245-FE63-4D65-8DAB-F481CEC48FB7}">
      <text>
        <r>
          <rPr>
            <b/>
            <sz val="9"/>
            <color indexed="81"/>
            <rFont val="Tahoma"/>
            <family val="2"/>
          </rPr>
          <t>Aymeric Diankouika: Coverage plan is Black+ White box tests</t>
        </r>
        <r>
          <rPr>
            <sz val="9"/>
            <color indexed="81"/>
            <rFont val="Tahoma"/>
            <family val="2"/>
          </rPr>
          <t xml:space="preserve">
</t>
        </r>
      </text>
    </comment>
    <comment ref="N1" authorId="1" shapeId="0" xr:uid="{4E4009D3-B944-41EE-9C34-8D9A68079B62}">
      <text>
        <r>
          <rPr>
            <b/>
            <sz val="9"/>
            <color indexed="81"/>
            <rFont val="Tahoma"/>
            <family val="2"/>
          </rPr>
          <t>Aymeric Diankouika: Coverage plan is Black+ White box tests</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laurent.perron</author>
  </authors>
  <commentList>
    <comment ref="D1" authorId="0" shapeId="0" xr:uid="{C1A4D5AB-8A5E-45DD-83E3-C26E3C69BF8C}">
      <text>
        <r>
          <rPr>
            <sz val="11"/>
            <color indexed="81"/>
            <rFont val="Tahoma"/>
            <family val="2"/>
          </rPr>
          <t xml:space="preserve">What is the general approach ?
o Mainly </t>
        </r>
        <r>
          <rPr>
            <b/>
            <sz val="11"/>
            <color indexed="81"/>
            <rFont val="Tahoma"/>
            <family val="2"/>
          </rPr>
          <t>make</t>
        </r>
        <r>
          <rPr>
            <sz val="11"/>
            <color indexed="81"/>
            <rFont val="Tahoma"/>
            <family val="2"/>
          </rPr>
          <t xml:space="preserve"> by the project
o Mainly </t>
        </r>
        <r>
          <rPr>
            <b/>
            <sz val="11"/>
            <color indexed="81"/>
            <rFont val="Tahoma"/>
            <family val="2"/>
          </rPr>
          <t>reused</t>
        </r>
        <r>
          <rPr>
            <sz val="11"/>
            <color indexed="81"/>
            <rFont val="Tahoma"/>
            <family val="2"/>
          </rPr>
          <t xml:space="preserve"> from a project (</t>
        </r>
        <r>
          <rPr>
            <b/>
            <sz val="11"/>
            <color indexed="81"/>
            <rFont val="Tahoma"/>
            <family val="2"/>
          </rPr>
          <t>carry over</t>
        </r>
        <r>
          <rPr>
            <sz val="11"/>
            <color indexed="81"/>
            <rFont val="Tahoma"/>
            <family val="2"/>
          </rPr>
          <t>) or platform (</t>
        </r>
        <r>
          <rPr>
            <b/>
            <sz val="11"/>
            <color indexed="81"/>
            <rFont val="Tahoma"/>
            <family val="2"/>
          </rPr>
          <t>reuse</t>
        </r>
        <r>
          <rPr>
            <sz val="11"/>
            <color indexed="81"/>
            <rFont val="Tahoma"/>
            <family val="2"/>
          </rPr>
          <t xml:space="preserve">)
o Mainly </t>
        </r>
        <r>
          <rPr>
            <b/>
            <sz val="11"/>
            <color indexed="81"/>
            <rFont val="Tahoma"/>
            <family val="2"/>
          </rPr>
          <t>bought</t>
        </r>
        <r>
          <rPr>
            <sz val="11"/>
            <color indexed="81"/>
            <rFont val="Tahoma"/>
            <family val="2"/>
          </rPr>
          <t xml:space="preserve"> : some parts can be developped, parameterized by Autoliv</t>
        </r>
      </text>
    </comment>
    <comment ref="E1" authorId="0" shapeId="0" xr:uid="{EDCD17F6-C4FE-4C37-8218-C86757AF247C}">
      <text>
        <r>
          <rPr>
            <sz val="11"/>
            <color indexed="81"/>
            <rFont val="Tahoma"/>
            <family val="2"/>
          </rPr>
          <t>If reused, identifies :
o the project name if the approach is a carry over
o the platform if the approach is reuse</t>
        </r>
      </text>
    </comment>
    <comment ref="F1" authorId="0" shapeId="0" xr:uid="{EBE14399-BEA9-4925-8533-E56AC497DC4B}">
      <text>
        <r>
          <rPr>
            <sz val="11"/>
            <color indexed="81"/>
            <rFont val="Tahoma"/>
            <family val="2"/>
          </rPr>
          <t xml:space="preserve">Identifies the software and/or system </t>
        </r>
        <r>
          <rPr>
            <b/>
            <sz val="11"/>
            <color indexed="81"/>
            <rFont val="Tahoma"/>
            <family val="2"/>
          </rPr>
          <t>architecture</t>
        </r>
        <r>
          <rPr>
            <sz val="11"/>
            <color indexed="81"/>
            <rFont val="Tahoma"/>
            <family val="2"/>
          </rPr>
          <t xml:space="preserve"> linked to the reused component
</t>
        </r>
        <r>
          <rPr>
            <u/>
            <sz val="11"/>
            <color indexed="81"/>
            <rFont val="Tahoma"/>
            <family val="2"/>
          </rPr>
          <t>Example:</t>
        </r>
        <r>
          <rPr>
            <sz val="11"/>
            <color indexed="81"/>
            <rFont val="Tahoma"/>
            <family val="2"/>
          </rPr>
          <t xml:space="preserve"> PP4G, Autosar 4.0.3</t>
        </r>
      </text>
    </comment>
    <comment ref="G1" authorId="0" shapeId="0" xr:uid="{A52112FB-C3B5-426F-A546-130F3C69D237}">
      <text>
        <r>
          <rPr>
            <sz val="11"/>
            <color indexed="81"/>
            <rFont val="Tahoma"/>
            <family val="2"/>
          </rPr>
          <t xml:space="preserve">Identifies the </t>
        </r>
        <r>
          <rPr>
            <b/>
            <sz val="11"/>
            <color indexed="81"/>
            <rFont val="Tahoma"/>
            <family val="2"/>
          </rPr>
          <t xml:space="preserve">version </t>
        </r>
        <r>
          <rPr>
            <sz val="11"/>
            <color indexed="81"/>
            <rFont val="Tahoma"/>
            <family val="2"/>
          </rPr>
          <t>of the files in configuration management tools (PTC, Doors, ....
E</t>
        </r>
        <r>
          <rPr>
            <u/>
            <sz val="11"/>
            <color indexed="81"/>
            <rFont val="Tahoma"/>
            <family val="2"/>
          </rPr>
          <t>xample:</t>
        </r>
        <r>
          <rPr>
            <sz val="11"/>
            <color indexed="81"/>
            <rFont val="Tahoma"/>
            <family val="2"/>
          </rPr>
          <t xml:space="preserve"> </t>
        </r>
        <r>
          <rPr>
            <b/>
            <sz val="11"/>
            <color indexed="81"/>
            <rFont val="Tahoma"/>
            <family val="2"/>
          </rPr>
          <t>PTC Chekpoint Label: 
FORD_V36x_P20APPLICATION_P12BOOT</t>
        </r>
        <r>
          <rPr>
            <sz val="11"/>
            <color indexed="81"/>
            <rFont val="Tahoma"/>
            <family val="2"/>
          </rPr>
          <t xml:space="preserve">
</t>
        </r>
      </text>
    </comment>
  </commentList>
</comments>
</file>

<file path=xl/sharedStrings.xml><?xml version="1.0" encoding="utf-8"?>
<sst xmlns="http://schemas.openxmlformats.org/spreadsheetml/2006/main" count="1051" uniqueCount="373">
  <si>
    <t>Project Number &amp; Name</t>
  </si>
  <si>
    <t>Document state</t>
  </si>
  <si>
    <t>Document id</t>
  </si>
  <si>
    <t>Document title</t>
  </si>
  <si>
    <t>Version</t>
  </si>
  <si>
    <t>Template</t>
  </si>
  <si>
    <t>Document history</t>
  </si>
  <si>
    <t>version</t>
  </si>
  <si>
    <t>author</t>
  </si>
  <si>
    <t>date</t>
  </si>
  <si>
    <t>Review</t>
  </si>
  <si>
    <t>comments</t>
  </si>
  <si>
    <t>Approval</t>
  </si>
  <si>
    <t>Documentation</t>
  </si>
  <si>
    <t>Reference</t>
  </si>
  <si>
    <t>Description</t>
  </si>
  <si>
    <t>Rev</t>
  </si>
  <si>
    <t xml:space="preserve">Checkpoint name </t>
  </si>
  <si>
    <t>Commercial Off The Shelf</t>
  </si>
  <si>
    <t>fin</t>
  </si>
  <si>
    <t>COTS name</t>
  </si>
  <si>
    <t>Supplier</t>
  </si>
  <si>
    <t>Exxxxxx_COTSspecification_COTSName</t>
  </si>
  <si>
    <t>SW COTS Specification - COTS Name</t>
  </si>
  <si>
    <t>Product deliveries</t>
  </si>
  <si>
    <t>Calibration</t>
  </si>
  <si>
    <t>Delivery date</t>
  </si>
  <si>
    <t>Specific files</t>
  </si>
  <si>
    <t>XXXXXX</t>
  </si>
  <si>
    <t>at address</t>
  </si>
  <si>
    <t>YYYYYYY</t>
  </si>
  <si>
    <t>Comments</t>
  </si>
  <si>
    <t>Compiler and Linker (Patch level)</t>
  </si>
  <si>
    <t>Revision manager tool: XXX</t>
  </si>
  <si>
    <t>Operating system generator: XXX</t>
  </si>
  <si>
    <t>EEPROM Excel macro</t>
  </si>
  <si>
    <t>Excel</t>
  </si>
  <si>
    <t>Microsoft</t>
  </si>
  <si>
    <t>PC operating system[1]: XXX</t>
  </si>
  <si>
    <t>Compilation Procedure:</t>
  </si>
  <si>
    <t>Procedure Name</t>
  </si>
  <si>
    <t>Exxxxxx_SW Compilation Procedure</t>
  </si>
  <si>
    <t>P</t>
  </si>
  <si>
    <t>Francine Chambin</t>
  </si>
  <si>
    <t>Use of AEF 1126 M for the first page (the fields are automatically filled if the document is stored under PLM).
Update taking into account MKS checkpoints, DOORS baseline, PLM, …</t>
  </si>
  <si>
    <t>18-March-2011</t>
  </si>
  <si>
    <t>MRA</t>
  </si>
  <si>
    <t>Updated following the peer review work book remarks</t>
  </si>
  <si>
    <t>Customer deliveries</t>
  </si>
  <si>
    <t>COTS</t>
  </si>
  <si>
    <t>The purpose of this file is to have all informations attached to this SW release Pxx.</t>
  </si>
  <si>
    <t>Software Version  (checkpoint):</t>
  </si>
  <si>
    <t xml:space="preserve">NVM </t>
  </si>
  <si>
    <t>give Delivered Binary file:</t>
  </si>
  <si>
    <t>Q</t>
  </si>
  <si>
    <t>PL, MRA</t>
  </si>
  <si>
    <r>
      <t xml:space="preserve">Modify the </t>
    </r>
    <r>
      <rPr>
        <b/>
        <u/>
        <sz val="10"/>
        <rFont val="Arial"/>
        <family val="2"/>
      </rPr>
      <t>ROM checksum</t>
    </r>
    <r>
      <rPr>
        <sz val="10"/>
        <rFont val="Arial"/>
        <family val="2"/>
      </rPr>
      <t xml:space="preserve"> area of </t>
    </r>
    <r>
      <rPr>
        <b/>
        <sz val="10"/>
        <rFont val="Arial"/>
        <family val="2"/>
      </rPr>
      <t>Tools-Sources-NVM -App-</t>
    </r>
    <r>
      <rPr>
        <sz val="10"/>
        <rFont val="Arial"/>
        <family val="2"/>
      </rPr>
      <t xml:space="preserve">, </t>
    </r>
    <r>
      <rPr>
        <b/>
        <sz val="10"/>
        <rFont val="Arial"/>
        <family val="2"/>
      </rPr>
      <t>Tools-Sources-NVM -Boot-</t>
    </r>
    <r>
      <rPr>
        <sz val="10"/>
        <rFont val="Arial"/>
        <family val="2"/>
      </rPr>
      <t xml:space="preserve"> and </t>
    </r>
    <r>
      <rPr>
        <b/>
        <sz val="10"/>
        <rFont val="Arial"/>
        <family val="2"/>
      </rPr>
      <t>Tools-Sources-NVM -Safe-</t>
    </r>
    <r>
      <rPr>
        <sz val="10"/>
        <rFont val="Arial"/>
        <family val="2"/>
      </rPr>
      <t xml:space="preserve"> tabs, to indicate that the corresponding delivered binary files must now be provided</t>
    </r>
  </si>
  <si>
    <t>Project work-products</t>
  </si>
  <si>
    <t>Reference in the project</t>
  </si>
  <si>
    <t>Project version</t>
  </si>
  <si>
    <t>Column M</t>
  </si>
  <si>
    <t>Column N</t>
  </si>
  <si>
    <t xml:space="preserve">This sheet is now replaced by :
TEM466 - Project Master document (PMD).xlsm
</t>
  </si>
  <si>
    <t>Extract of TEM466 - Project Master document (PMD).xlsm :</t>
  </si>
  <si>
    <t>Date of release</t>
  </si>
  <si>
    <t>To be fullfilled</t>
  </si>
  <si>
    <t>Revision</t>
  </si>
  <si>
    <t>Author</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</si>
  <si>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</si>
  <si>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</si>
  <si>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</si>
  <si>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</si>
  <si>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</si>
  <si>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HowTo use Maturity sheets</t>
  </si>
  <si>
    <t>1. Sheets description</t>
  </si>
  <si>
    <t>1.4.1. Functional Req</t>
  </si>
  <si>
    <t>Sheet containing the list of design specifications for the product</t>
  </si>
  <si>
    <t>The diverse columns shall be filled as described below:</t>
  </si>
  <si>
    <t>Prefix</t>
  </si>
  <si>
    <t>Shall indicate the number of design specification (ex: TF01)</t>
  </si>
  <si>
    <t>Shall indicate the description of the system specification (ex: To_Communicate_With_Tools)</t>
  </si>
  <si>
    <t>Info type</t>
  </si>
  <si>
    <t>Column to indicate if the corresponding line describes the plan or the status. 
Only possible values are:
- Plan
- Status</t>
  </si>
  <si>
    <t>Document availability</t>
  </si>
  <si>
    <t>Shall contain the availability information of the document for both plan and status lines.
Possible values are: F, P, N, D and NA</t>
  </si>
  <si>
    <t>Shall contain the review availability information of the document for both plan and status lines.
Possible values are: F, P, N, D and NA</t>
  </si>
  <si>
    <t>SW architecture coverage</t>
  </si>
  <si>
    <t>Shall contain the percentage (for both plan and status lines) of coverage by SW architecture to the corresponding DES specification.</t>
  </si>
  <si>
    <t>software qualification tests coverage</t>
  </si>
  <si>
    <t>Shall contain the percentage (for both plan and status lines) of coverage by software qualification tests to the corresponding DES specification.
If tests won't be performed at all, indicate it with "D" (Deviation) letter</t>
  </si>
  <si>
    <r>
      <rPr>
        <b/>
        <u/>
        <sz val="11"/>
        <color theme="1"/>
        <rFont val="Calibri"/>
        <family val="2"/>
        <scheme val="minor"/>
      </rPr>
      <t>Note:</t>
    </r>
    <r>
      <rPr>
        <sz val="11"/>
        <color theme="1"/>
        <rFont val="Calibri"/>
        <family val="2"/>
        <scheme val="minor"/>
      </rPr>
      <t xml:space="preserve"> Description of F, P, N and D status is detailed in paragraphe 2 below. </t>
    </r>
  </si>
  <si>
    <t>1.4.2. Architecture</t>
  </si>
  <si>
    <t>Sheet containing the list of components described at architecture level</t>
  </si>
  <si>
    <t>Shall indicate the trigram of the component (ex: ATM)</t>
  </si>
  <si>
    <t>Shall indicate the description of the component (ex: Auto Test Manager)</t>
  </si>
  <si>
    <t>package</t>
  </si>
  <si>
    <t>Shall indicate the groupment of components to which this component is assigned (ex: MCAL)</t>
  </si>
  <si>
    <t>Detailed Design coverage</t>
  </si>
  <si>
    <t>Shall contain the percentage (for both plan and status lines) of coverage by SW Detailed design document to the corresponding component architecture requirements.</t>
  </si>
  <si>
    <t>Integration test coverage</t>
  </si>
  <si>
    <t>Shall contain the percentage (for both plan and status lines) of coverage by software integration tests to the corresponding component architecture requirements.
If tests won't be performed at all, indicate it with "D" (Deviation) letter</t>
  </si>
  <si>
    <t>1.4.3. Detailed Design - Code</t>
  </si>
  <si>
    <t xml:space="preserve">
</t>
  </si>
  <si>
    <t>Sheet containing the list of components described in the SW</t>
  </si>
  <si>
    <t>Code coverage</t>
  </si>
  <si>
    <t>Shall contain the percentage (for both plan and status lines) of coverage by SW code to the corresponding component design requirements.</t>
  </si>
  <si>
    <t>Unit test coverage</t>
  </si>
  <si>
    <t>Shall contain the percentage (for both plan and status lines) of coverage by software unit tests to the corresponding component design requirements.
If tests won't be performed at all, indicate it with "D" (Deviation) letter</t>
  </si>
  <si>
    <t>Code availability</t>
  </si>
  <si>
    <t>Code review</t>
  </si>
  <si>
    <t>Shall contain the review availability information of the document for both plan and status lines.
Possible values are:  F, P, N, D and NA</t>
  </si>
  <si>
    <t>Notation</t>
  </si>
  <si>
    <t>Meanings of notation</t>
  </si>
  <si>
    <r>
      <rPr>
        <b/>
        <u/>
        <sz val="11"/>
        <color theme="1"/>
        <rFont val="Calibri"/>
        <family val="2"/>
        <scheme val="minor"/>
      </rPr>
      <t>Fully:</t>
    </r>
    <r>
      <rPr>
        <sz val="11"/>
        <color theme="1"/>
        <rFont val="Calibri"/>
        <family val="2"/>
        <scheme val="minor"/>
      </rPr>
      <t xml:space="preserve">
- Availability: Document up to date
- Review: Review done, corrections done and approved</t>
    </r>
  </si>
  <si>
    <r>
      <rPr>
        <b/>
        <u/>
        <sz val="11"/>
        <color theme="1"/>
        <rFont val="Calibri"/>
        <family val="2"/>
        <scheme val="minor"/>
      </rPr>
      <t>Partially:</t>
    </r>
    <r>
      <rPr>
        <sz val="11"/>
        <color theme="1"/>
        <rFont val="Calibri"/>
        <family val="2"/>
        <scheme val="minor"/>
      </rPr>
      <t xml:space="preserve">
- Availability: Document available, but not up to date
- review partially done or corrections not done/approved</t>
    </r>
  </si>
  <si>
    <r>
      <rPr>
        <b/>
        <u/>
        <sz val="11"/>
        <color theme="1"/>
        <rFont val="Calibri"/>
        <family val="2"/>
        <scheme val="minor"/>
      </rPr>
      <t>Not:</t>
    </r>
    <r>
      <rPr>
        <sz val="11"/>
        <color theme="1"/>
        <rFont val="Calibri"/>
        <family val="2"/>
        <scheme val="minor"/>
      </rPr>
      <t xml:space="preserve">
- Availability: Document not available
- Review not done</t>
    </r>
  </si>
  <si>
    <t>D</t>
  </si>
  <si>
    <r>
      <rPr>
        <b/>
        <u/>
        <sz val="11"/>
        <color theme="1"/>
        <rFont val="Calibri"/>
        <family val="2"/>
        <scheme val="minor"/>
      </rPr>
      <t>Deviation:</t>
    </r>
    <r>
      <rPr>
        <sz val="11"/>
        <color theme="1"/>
        <rFont val="Calibri"/>
        <family val="2"/>
        <scheme val="minor"/>
      </rPr>
      <t xml:space="preserve">
- Availability: Document will not be considered for this project (all SW releases included)
- Review: Review will not be considered for this project (all SW releases included)</t>
    </r>
  </si>
  <si>
    <t>NA</t>
  </si>
  <si>
    <r>
      <rPr>
        <b/>
        <u/>
        <sz val="11"/>
        <color theme="1"/>
        <rFont val="Calibri"/>
        <family val="2"/>
        <scheme val="minor"/>
      </rPr>
      <t>Not Applicable:</t>
    </r>
    <r>
      <rPr>
        <sz val="11"/>
        <color theme="1"/>
        <rFont val="Calibri"/>
        <family val="2"/>
        <scheme val="minor"/>
      </rPr>
      <t xml:space="preserve">
Item is not applicable for the project</t>
    </r>
  </si>
  <si>
    <t>HIGH</t>
  </si>
  <si>
    <t>MEDIUM</t>
  </si>
  <si>
    <t>LOW</t>
  </si>
  <si>
    <t>Package</t>
  </si>
  <si>
    <t>Code availability (change request)</t>
  </si>
  <si>
    <t>Code Review</t>
  </si>
  <si>
    <t>Remaining activities</t>
  </si>
  <si>
    <t>AdcIf</t>
  </si>
  <si>
    <t>Analog digital converter Interface</t>
  </si>
  <si>
    <t>I/O HW Abstraction</t>
  </si>
  <si>
    <t>Plan</t>
  </si>
  <si>
    <t>Status</t>
  </si>
  <si>
    <t>Domain coverage</t>
  </si>
  <si>
    <t>Comment (*)</t>
  </si>
  <si>
    <t>System qualification tests coverage</t>
  </si>
  <si>
    <t>EFA</t>
  </si>
  <si>
    <t>External Function Analysis</t>
  </si>
  <si>
    <t>Architecture coverage</t>
  </si>
  <si>
    <t>software white box qualification tests coverage</t>
  </si>
  <si>
    <t>software black box qualification tests coverage</t>
  </si>
  <si>
    <t>software Review tests coverage</t>
  </si>
  <si>
    <t>IFA</t>
  </si>
  <si>
    <t>Internal Function Analysis</t>
  </si>
  <si>
    <t>Priority 2</t>
  </si>
  <si>
    <t>Comments (*)</t>
  </si>
  <si>
    <t xml:space="preserve">Global Architecture </t>
  </si>
  <si>
    <t xml:space="preserve">SW Architecture Main document </t>
  </si>
  <si>
    <t>% Document Achieved</t>
  </si>
  <si>
    <t>Global status</t>
  </si>
  <si>
    <t>DES specifications</t>
  </si>
  <si>
    <t>Architecture</t>
  </si>
  <si>
    <t>Detailed Design</t>
  </si>
  <si>
    <t>Code</t>
  </si>
  <si>
    <t>Version NVM</t>
  </si>
  <si>
    <t>Directory in local PC to receive the PTC Sandbox</t>
  </si>
  <si>
    <t>PTC Source Integrity location</t>
  </si>
  <si>
    <t>PTC SI projet path (.pj)</t>
  </si>
  <si>
    <t>PTC SI project path</t>
  </si>
  <si>
    <t>PTC number revision</t>
  </si>
  <si>
    <t>PTC SI projet path (.pj)\Project_Information</t>
  </si>
  <si>
    <t>FCE</t>
  </si>
  <si>
    <t>Name</t>
  </si>
  <si>
    <t>Full path (in text)</t>
  </si>
  <si>
    <t>Company</t>
  </si>
  <si>
    <t>Tool</t>
  </si>
  <si>
    <t>Main baseline and source files</t>
  </si>
  <si>
    <t>APPLICATION software</t>
  </si>
  <si>
    <t>BOOTLOADER software</t>
  </si>
  <si>
    <t>Strategy</t>
  </si>
  <si>
    <t>Make</t>
  </si>
  <si>
    <t>Project name</t>
  </si>
  <si>
    <t>Baseline</t>
  </si>
  <si>
    <t>Identification</t>
  </si>
  <si>
    <t>Reuse plan</t>
  </si>
  <si>
    <t>Section 1</t>
  </si>
  <si>
    <t>Section 2</t>
  </si>
  <si>
    <t>PP5G</t>
  </si>
  <si>
    <t>Autosar 3.1</t>
  </si>
  <si>
    <t>PP5G_V056546546464</t>
  </si>
  <si>
    <t>Id / Prefix</t>
  </si>
  <si>
    <t>Reuse</t>
  </si>
  <si>
    <t>Some prefilled strategies :</t>
  </si>
  <si>
    <t>To develop from scratch</t>
  </si>
  <si>
    <t>To develop from an empty template</t>
  </si>
  <si>
    <t>Buy</t>
  </si>
  <si>
    <t>Few parts come from … (TBD)</t>
  </si>
  <si>
    <t>Reused with some configurations / parameters</t>
  </si>
  <si>
    <t>Fully reuse. Nothing to do</t>
  </si>
  <si>
    <t>Plan / Status</t>
  </si>
  <si>
    <t>Customer
release note</t>
  </si>
  <si>
    <t>Done</t>
  </si>
  <si>
    <t>Todo</t>
  </si>
  <si>
    <t>Not yet planed</t>
  </si>
  <si>
    <t>Data</t>
  </si>
  <si>
    <t>FLASH checksum is equal to</t>
  </si>
  <si>
    <t>EEPROM / DFLASH</t>
  </si>
  <si>
    <t>Configuration file</t>
  </si>
  <si>
    <t>CALIBRATION</t>
  </si>
  <si>
    <t>APPLICATION</t>
  </si>
  <si>
    <t>Cyclone file (SAP)</t>
  </si>
  <si>
    <t>Executable file</t>
  </si>
  <si>
    <t>SW execution file</t>
  </si>
  <si>
    <t>Full application executable file</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</si>
  <si>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</si>
  <si>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</si>
  <si>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</si>
  <si>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</si>
  <si>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</si>
  <si>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</si>
  <si>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</si>
  <si>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</si>
  <si>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</si>
  <si>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</si>
  <si>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1.2. Revision History *</t>
  </si>
  <si>
    <t>Date</t>
  </si>
  <si>
    <t>Author(s)</t>
  </si>
  <si>
    <t>Description/Comment</t>
  </si>
  <si>
    <t>Title: Name</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</si>
  <si>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</si>
  <si>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</si>
  <si>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</si>
  <si>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</si>
  <si>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</si>
  <si>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</si>
  <si>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</si>
  <si>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</si>
  <si>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</si>
  <si>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</si>
  <si>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</si>
  <si>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</si>
  <si>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</si>
  <si>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BOOTLOADER</t>
  </si>
  <si>
    <t>FLASH checksum</t>
  </si>
  <si>
    <t>Status description</t>
  </si>
  <si>
    <t>Priority</t>
  </si>
  <si>
    <r>
      <rPr>
        <b/>
        <u/>
        <sz val="11"/>
        <color theme="1"/>
        <rFont val="Calibri"/>
        <family val="2"/>
        <scheme val="minor"/>
      </rPr>
      <t>Largelly:</t>
    </r>
    <r>
      <rPr>
        <sz val="11"/>
        <color theme="1"/>
        <rFont val="Calibri"/>
        <family val="2"/>
        <scheme val="minor"/>
      </rPr>
      <t xml:space="preserve">
- Availability: Document available, but not up to date
- review partially done or corrections not done/approved
</t>
    </r>
    <r>
      <rPr>
        <b/>
        <sz val="11"/>
        <color rgb="FFFF0000"/>
        <rFont val="Calibri"/>
        <family val="2"/>
        <scheme val="minor"/>
      </rPr>
      <t>- Can only be used for: 
. The Plan when actual status is P and an remaining activities has been identified
. The Status at the end of a release if the plan is P</t>
    </r>
  </si>
  <si>
    <r>
      <rPr>
        <b/>
        <u/>
        <sz val="11"/>
        <color theme="1"/>
        <rFont val="Calibri"/>
        <family val="2"/>
        <scheme val="minor"/>
      </rPr>
      <t>Few:</t>
    </r>
    <r>
      <rPr>
        <sz val="11"/>
        <color theme="1"/>
        <rFont val="Calibri"/>
        <family val="2"/>
        <scheme val="minor"/>
      </rPr>
      <t xml:space="preserve">
- Availability: Document partially available, in draft
- review just started</t>
    </r>
  </si>
  <si>
    <t>Actions</t>
  </si>
  <si>
    <t>Action</t>
  </si>
  <si>
    <t>DD availability</t>
  </si>
  <si>
    <t>DD review</t>
  </si>
  <si>
    <t>Metrics for documentation</t>
  </si>
  <si>
    <t>The following metrics are based on the work-products (architecture, DD, code and reviews). Traceability and tests are not included so far.</t>
  </si>
  <si>
    <t>SAD availability</t>
  </si>
  <si>
    <t>SAD Action</t>
  </si>
  <si>
    <t>SAD review</t>
  </si>
  <si>
    <t>SAD</t>
  </si>
  <si>
    <t>DD actions</t>
  </si>
  <si>
    <t>Unit test</t>
  </si>
  <si>
    <t>Domain requirements</t>
  </si>
  <si>
    <t>DES availability</t>
  </si>
  <si>
    <t>DES review</t>
  </si>
  <si>
    <t>DES action</t>
  </si>
  <si>
    <r>
      <rPr>
        <b/>
        <sz val="16"/>
        <color theme="1"/>
        <rFont val="Calibri"/>
        <family val="2"/>
        <scheme val="minor"/>
      </rPr>
      <t>Comments :</t>
    </r>
    <r>
      <rPr>
        <sz val="11"/>
        <color theme="1"/>
        <rFont val="Calibri"/>
        <family val="2"/>
        <scheme val="minor"/>
      </rPr>
      <t xml:space="preserve">
[write here your comments if you want to highlight something]</t>
    </r>
  </si>
  <si>
    <r>
      <t xml:space="preserve">How to fullfill the document and when ?
</t>
    </r>
    <r>
      <rPr>
        <b/>
        <sz val="10"/>
        <rFont val="Arial"/>
        <family val="2"/>
      </rPr>
      <t>At M1:</t>
    </r>
    <r>
      <rPr>
        <sz val="10"/>
        <rFont val="Arial"/>
        <family val="2"/>
      </rPr>
      <t xml:space="preserve"> all components or software from supplier to re-use in the Autoliv software must be listed and ensure that are validated</t>
    </r>
  </si>
  <si>
    <t>Black box tests and review actions</t>
  </si>
  <si>
    <t>IT tests action</t>
  </si>
  <si>
    <t>How to fullfill the document and when ?
At M1: Give all softwares version during the development to deliver to the customer eventhough all softwares delivered a posteriori. It allows to show all deliveries.</t>
  </si>
  <si>
    <r>
      <t xml:space="preserve">How to fullfill the document and when ?
</t>
    </r>
    <r>
      <rPr>
        <b/>
        <sz val="10"/>
        <rFont val="Arial"/>
        <family val="2"/>
      </rPr>
      <t>At the M0:</t>
    </r>
    <r>
      <rPr>
        <sz val="10"/>
        <rFont val="Arial"/>
        <family val="2"/>
      </rPr>
      <t xml:space="preserve"> TBD</t>
    </r>
  </si>
  <si>
    <r>
      <rPr>
        <b/>
        <sz val="10"/>
        <rFont val="Arial"/>
        <family val="2"/>
      </rPr>
      <t>At the M1:</t>
    </r>
    <r>
      <rPr>
        <sz val="10"/>
        <rFont val="Arial"/>
        <family val="2"/>
      </rPr>
      <t xml:space="preserve">
                 Customer Specification documents =&gt; based on "Applicable customer document.xls” that the number of the document comes from PLM and must be defined in the SWPF
                 Project management documents =&gt; from PLM and stored in PLM
                 Product Specification document or Product Requirements =&gt; based on requirements written in Doors which act as the first major baseline after Design team review done (at Cergy)
                 "Requirements" management documents =&gt; based on the first baseline about product or software requirements and extract with reqtify
Progress meetings: ProjectName\Communication\=&gt; give only the link or the way to find the document
Milestones=&gt; give only the link or the way to find the document
Process Deviations=&gt; give only the link or the way to find the document
Process Evaluation Checklist Audits=&gt; give only the link or the way to find the document
Work-Product Audits minutes=&gt; give only the link or the way to find the document</t>
    </r>
  </si>
  <si>
    <r>
      <rPr>
        <b/>
        <sz val="10"/>
        <rFont val="Arial"/>
        <family val="2"/>
      </rPr>
      <t xml:space="preserve">At the M2: </t>
    </r>
    <r>
      <rPr>
        <sz val="10"/>
        <rFont val="Arial"/>
        <family val="2"/>
      </rPr>
      <t xml:space="preserve">
                  Product Specification document or Product Requirements =&gt; completed and act as the second baseline in Doors after Test team review (at Timisoara)
                  SW Development documents =&gt; based on the checkpoint with label in PTC SI
                  "Requirements" management documents =&gt;based on the second baseline and extracted from reqtify</t>
    </r>
  </si>
  <si>
    <r>
      <rPr>
        <b/>
        <sz val="10"/>
        <rFont val="Arial"/>
        <family val="2"/>
      </rPr>
      <t>At the M3</t>
    </r>
    <r>
      <rPr>
        <sz val="10"/>
        <rFont val="Arial"/>
        <family val="2"/>
      </rPr>
      <t>: "Requirements" management documents =&gt;based on the second baseline and extracted from reqtify with all test results.
                 SW Development documents =&gt; based on the checkpoint with label in PTC SI</t>
    </r>
  </si>
  <si>
    <t>Tools-Sources-NVM -App-
and
Tools-Sources-NVM BOOT</t>
  </si>
  <si>
    <t xml:space="preserve">How to fullfill the document and when ?
Between M2 and M3
The purpose of this file is to have all informations to allow to re-generate (or to re-build) the software bootloader:
- and then it's necessary to have the tools which allow the compilation 
- and then all files generated after compilation to allow the comparison (by binary files)
- and then where we can find the delivery package (binary file to compare) or the way to find all files to deliver </t>
  </si>
  <si>
    <t>Maturity - Metrics</t>
  </si>
  <si>
    <t>Maturity - XXXX</t>
  </si>
  <si>
    <t>Metrics from the Maturity sheets</t>
  </si>
  <si>
    <t>Plan and follow-up of all activities</t>
  </si>
  <si>
    <t>Document review</t>
  </si>
  <si>
    <t>Document actions</t>
  </si>
  <si>
    <t>Tool / configuration availability</t>
  </si>
  <si>
    <t>Document</t>
  </si>
  <si>
    <t>Methods</t>
  </si>
  <si>
    <t>HowTo</t>
  </si>
  <si>
    <t>HowTo_BuildSW</t>
  </si>
  <si>
    <t>Method</t>
  </si>
  <si>
    <t>S32K144 dev kit</t>
  </si>
  <si>
    <t>Autosar 4.2</t>
  </si>
  <si>
    <t>DEV_KIT_S32K_V1.2</t>
  </si>
  <si>
    <t>Tools</t>
  </si>
  <si>
    <t>ARIA</t>
  </si>
  <si>
    <t>NvmIf</t>
  </si>
  <si>
    <t>Nvm Interface</t>
  </si>
  <si>
    <t>SpiIf</t>
  </si>
  <si>
    <t>Spi Interface</t>
  </si>
  <si>
    <t>BMM</t>
  </si>
  <si>
    <t>Bobbin Movement Monitoring</t>
  </si>
  <si>
    <t>Interface</t>
  </si>
  <si>
    <t>PP4G</t>
  </si>
  <si>
    <t>The whole component will be retrieved and shared with PP4G extended platform</t>
  </si>
  <si>
    <t>PAL</t>
  </si>
  <si>
    <t>Power Abstraction Layer</t>
  </si>
  <si>
    <t>PMP</t>
  </si>
  <si>
    <t>Physical measures provider</t>
  </si>
  <si>
    <t>BFE</t>
  </si>
  <si>
    <t>Belt Function Execution</t>
  </si>
  <si>
    <t>Belt functions</t>
  </si>
  <si>
    <t>SIL&amp;MIL tests</t>
  </si>
  <si>
    <t>BPA</t>
  </si>
  <si>
    <t>Belt Parking Algorithm</t>
  </si>
  <si>
    <t>Will not be used.</t>
  </si>
  <si>
    <t>BSR</t>
  </si>
  <si>
    <t>Belt Slack Reduction</t>
  </si>
  <si>
    <t>The whole component will be retrieved and shared with PP4G extended platform on the third release.</t>
  </si>
  <si>
    <t>MBD component</t>
  </si>
  <si>
    <t>EOL</t>
  </si>
  <si>
    <t>End of Life Management</t>
  </si>
  <si>
    <t>Not planned on first release</t>
  </si>
  <si>
    <t>HWA</t>
  </si>
  <si>
    <t>Haptic Warning</t>
  </si>
  <si>
    <t>PCM</t>
  </si>
  <si>
    <t>Pre-Crash Master</t>
  </si>
  <si>
    <t>PRO</t>
  </si>
  <si>
    <t>Production cycle</t>
  </si>
  <si>
    <t>PRE</t>
  </si>
  <si>
    <t>Pre pre-tensioning algorithm</t>
  </si>
  <si>
    <t>SFR</t>
  </si>
  <si>
    <t>Standard Function Recovery</t>
  </si>
  <si>
    <t>VDA</t>
  </si>
  <si>
    <t>Vehicle Dynamics Algorithm</t>
  </si>
  <si>
    <t>CIL</t>
  </si>
  <si>
    <t>Communication Interaction Layer</t>
  </si>
  <si>
    <t>PP4G platform communication interfaces and signal management to be replaced by DAI MMA ones</t>
  </si>
  <si>
    <t>Vehicle bus abstraction</t>
  </si>
  <si>
    <t>ATM</t>
  </si>
  <si>
    <t>Auto-Test Manager</t>
  </si>
  <si>
    <t>Auto-test / Error handling</t>
  </si>
  <si>
    <t>ERH</t>
  </si>
  <si>
    <t>Error Handler</t>
  </si>
  <si>
    <t>MMG</t>
  </si>
  <si>
    <t>System Mode Management</t>
  </si>
  <si>
    <t>DIA</t>
  </si>
  <si>
    <t>DiagOnCAN</t>
  </si>
  <si>
    <t>Diagnostics</t>
  </si>
  <si>
    <t>STM</t>
  </si>
  <si>
    <t>System Time Management</t>
  </si>
  <si>
    <t>Logistics</t>
  </si>
  <si>
    <t>LOG</t>
  </si>
  <si>
    <t>PP-Logger</t>
  </si>
  <si>
    <t>NVP</t>
  </si>
  <si>
    <t>Non-Volatile AUTOLIV Parameters</t>
  </si>
  <si>
    <t>Non-volatile memory management</t>
  </si>
  <si>
    <t>Only parameters needed</t>
  </si>
  <si>
    <t>SCM</t>
  </si>
  <si>
    <t>System Context Management</t>
  </si>
  <si>
    <t>MIC</t>
  </si>
  <si>
    <t>Memory Integrity Control</t>
  </si>
  <si>
    <t>MCAL - ALV</t>
  </si>
  <si>
    <t>RCM</t>
  </si>
  <si>
    <t>Reset Cause Management</t>
  </si>
  <si>
    <t>Will not be used. It's done via MCAL modules in DaVinci</t>
  </si>
  <si>
    <t>SBC</t>
  </si>
  <si>
    <t>System Basis Chip</t>
  </si>
  <si>
    <t>OS</t>
  </si>
  <si>
    <t>Operating System</t>
  </si>
  <si>
    <t>Scheduling</t>
  </si>
  <si>
    <t>RTE</t>
  </si>
  <si>
    <t>Run-Time Environnement</t>
  </si>
  <si>
    <t>New configuration based on old arxml files will be done</t>
  </si>
  <si>
    <t>TL_Lib</t>
  </si>
  <si>
    <t>TargetLink Library</t>
  </si>
  <si>
    <t>Other</t>
  </si>
  <si>
    <t>Section 3</t>
  </si>
  <si>
    <t>Section 4</t>
  </si>
  <si>
    <t>Section 5</t>
  </si>
  <si>
    <t>Section 6</t>
  </si>
  <si>
    <t>Section 7</t>
  </si>
  <si>
    <t>Section 8</t>
  </si>
  <si>
    <t>Section 9</t>
  </si>
  <si>
    <t>Section 10</t>
  </si>
  <si>
    <t>Section 11</t>
  </si>
  <si>
    <t>BFS</t>
  </si>
  <si>
    <t>Belt Function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</si>
</sst>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409]d\-mmm\-yy;@"/>
    <numFmt numFmtId="165" formatCode="[$-40C]d\-mmm\-yyyy;@"/>
    <numFmt numFmtId="166" formatCode="[$-409]d\-mmm\-yyyy;@"/>
    <numFmt numFmtId="167" formatCode="00000"/>
    <numFmt numFmtId="168" formatCode="_-* #,##0.00\ _€_-;\-* #,##0.00\ _€_-;_-* &quot;-&quot;??\ _€_-;_-@_-"/>
    <numFmt numFmtId="169" formatCode="_-* #,##0\ _€_-;\-* #,##0\ _€_-;_-* &quot;-&quot;??\ _€_-;_-@_-"/>
    <numFmt numFmtId="170" formatCode="yyyy\-mm\-dd"/>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8"/>
      <name val="Comic Sans MS"/>
      <family val="4"/>
    </font>
    <font>
      <sz val="12"/>
      <name val="Comic Sans MS"/>
      <family val="4"/>
    </font>
    <font>
      <b/>
      <sz val="10"/>
      <color indexed="9"/>
      <name val="Arial"/>
      <family val="2"/>
    </font>
    <font>
      <sz val="10"/>
      <color indexed="9"/>
      <name val="Arial"/>
      <family val="2"/>
    </font>
    <font>
      <b/>
      <sz val="16"/>
      <name val="Arial"/>
      <family val="2"/>
    </font>
    <font>
      <b/>
      <u/>
      <sz val="10"/>
      <name val="Arial"/>
      <family val="2"/>
    </font>
    <font>
      <b/>
      <sz val="8"/>
      <color indexed="81"/>
      <name val="Tahoma"/>
      <family val="2"/>
    </font>
    <font>
      <sz val="8"/>
      <color indexed="81"/>
      <name val="Tahoma"/>
      <family val="2"/>
    </font>
    <font>
      <b/>
      <sz val="10"/>
      <color indexed="10"/>
      <name val="Arial"/>
      <family val="2"/>
    </font>
    <font>
      <b/>
      <i/>
      <sz val="10"/>
      <name val="Arial"/>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48"/>
      <color theme="1"/>
      <name val="Calibri"/>
      <family val="2"/>
      <scheme val="minor"/>
    </font>
    <font>
      <b/>
      <sz val="14"/>
      <color theme="1"/>
      <name val="Calibri"/>
      <family val="2"/>
      <scheme val="minor"/>
    </font>
    <font>
      <b/>
      <sz val="16"/>
      <color theme="0"/>
      <name val="Calibri"/>
      <family val="2"/>
      <scheme val="minor"/>
    </font>
    <font>
      <i/>
      <sz val="8"/>
      <color rgb="FF000080"/>
      <name val="Arial"/>
      <family val="2"/>
    </font>
    <font>
      <b/>
      <i/>
      <sz val="10"/>
      <color rgb="FF000080"/>
      <name val="Arial"/>
      <family val="2"/>
    </font>
    <font>
      <b/>
      <sz val="8"/>
      <color theme="0"/>
      <name val="Arial"/>
      <family val="2"/>
    </font>
    <font>
      <sz val="10"/>
      <color rgb="FF000080"/>
      <name val="Arial"/>
      <family val="2"/>
    </font>
    <font>
      <sz val="8"/>
      <color rgb="FF7030A0"/>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sz val="18"/>
      <color theme="3"/>
      <name val="Cambria"/>
      <family val="2"/>
      <scheme val="major"/>
    </font>
    <font>
      <sz val="11"/>
      <color rgb="FF3F3F76"/>
      <name val="Calibri"/>
      <family val="2"/>
      <scheme val="minor"/>
    </font>
    <font>
      <b/>
      <sz val="11"/>
      <color rgb="FFFA7D00"/>
      <name val="Calibri"/>
      <family val="2"/>
      <scheme val="minor"/>
    </font>
    <font>
      <b/>
      <sz val="11"/>
      <color theme="0"/>
      <name val="Calibri"/>
      <family val="2"/>
      <scheme val="minor"/>
    </font>
    <font>
      <b/>
      <sz val="11"/>
      <color theme="1"/>
      <name val="Calibri"/>
      <family val="2"/>
      <scheme val="minor"/>
    </font>
    <font>
      <b/>
      <sz val="20"/>
      <color rgb="FF000080"/>
      <name val="Arial"/>
      <family val="2"/>
    </font>
    <font>
      <b/>
      <i/>
      <sz val="16"/>
      <name val="Arial"/>
      <family val="2"/>
    </font>
    <font>
      <b/>
      <i/>
      <sz val="14"/>
      <name val="Arial"/>
      <family val="2"/>
    </font>
    <font>
      <i/>
      <sz val="14"/>
      <name val="Arial"/>
      <family val="2"/>
    </font>
    <font>
      <sz val="14"/>
      <color theme="0"/>
      <name val="Calibri"/>
      <family val="2"/>
      <scheme val="minor"/>
    </font>
    <font>
      <b/>
      <u/>
      <sz val="11"/>
      <color theme="1"/>
      <name val="Calibri"/>
      <family val="2"/>
      <scheme val="minor"/>
    </font>
    <font>
      <b/>
      <sz val="11"/>
      <name val="Calibri"/>
      <family val="2"/>
      <scheme val="minor"/>
    </font>
    <font>
      <b/>
      <sz val="11"/>
      <color rgb="FFFF0000"/>
      <name val="Calibri"/>
      <family val="2"/>
      <scheme val="minor"/>
    </font>
    <font>
      <sz val="12"/>
      <color theme="1"/>
      <name val="Calibri"/>
      <family val="2"/>
      <scheme val="minor"/>
    </font>
    <font>
      <sz val="12"/>
      <color rgb="FF052B8E"/>
      <name val="Arial"/>
      <family val="2"/>
    </font>
    <font>
      <sz val="14"/>
      <name val="Calibri"/>
      <family val="2"/>
      <scheme val="minor"/>
    </font>
    <font>
      <sz val="11"/>
      <name val="Calibri"/>
      <family val="2"/>
      <scheme val="minor"/>
    </font>
    <font>
      <sz val="16"/>
      <color theme="1"/>
      <name val="Calibri"/>
      <family val="2"/>
      <scheme val="minor"/>
    </font>
    <font>
      <b/>
      <sz val="16"/>
      <color theme="1"/>
      <name val="Calibri"/>
      <family val="2"/>
      <scheme val="minor"/>
    </font>
    <font>
      <b/>
      <sz val="16"/>
      <color theme="0"/>
      <name val="Arial"/>
      <family val="2"/>
    </font>
    <font>
      <b/>
      <sz val="12"/>
      <color theme="0"/>
      <name val="Arial"/>
      <family val="2"/>
    </font>
    <font>
      <sz val="11"/>
      <color indexed="81"/>
      <name val="Tahoma"/>
      <family val="2"/>
    </font>
    <font>
      <b/>
      <sz val="11"/>
      <color indexed="81"/>
      <name val="Tahoma"/>
      <family val="2"/>
    </font>
    <font>
      <sz val="12"/>
      <color theme="1"/>
      <name val="Arial"/>
      <family val="2"/>
    </font>
    <font>
      <u/>
      <sz val="11"/>
      <color indexed="81"/>
      <name val="Tahoma"/>
      <family val="2"/>
    </font>
    <font>
      <b/>
      <sz val="14"/>
      <name val="Calibri"/>
      <family val="2"/>
      <scheme val="minor"/>
    </font>
    <font>
      <sz val="16"/>
      <color theme="0"/>
      <name val="Arial Rounded MT Bold"/>
      <family val="2"/>
    </font>
    <font>
      <sz val="16"/>
      <name val="Arial Rounded MT Bold"/>
      <family val="2"/>
    </font>
    <font>
      <sz val="11"/>
      <name val="Arial"/>
      <family val="2"/>
    </font>
    <font>
      <b/>
      <sz val="14"/>
      <color theme="0"/>
      <name val="Calibri"/>
      <family val="2"/>
      <scheme val="minor"/>
    </font>
    <font>
      <sz val="24"/>
      <color theme="3"/>
      <name val="Cambria"/>
      <family val="2"/>
      <scheme val="major"/>
    </font>
    <font>
      <b/>
      <sz val="20"/>
      <color theme="0"/>
      <name val="Calibri"/>
      <family val="2"/>
      <scheme val="minor"/>
    </font>
    <font>
      <b/>
      <sz val="20"/>
      <color theme="4" tint="-0.249977111117893"/>
      <name val="Calibri"/>
      <family val="2"/>
      <scheme val="minor"/>
    </font>
    <font>
      <i/>
      <sz val="8"/>
      <color rgb="FF0070C0"/>
      <name val="Arial"/>
      <family val="2"/>
    </font>
    <font>
      <i/>
      <sz val="10"/>
      <name val="Arial"/>
      <family val="2"/>
    </font>
    <font>
      <i/>
      <sz val="8"/>
      <name val="Times New Roman"/>
      <family val="1"/>
    </font>
    <font>
      <b/>
      <sz val="10"/>
      <color theme="0"/>
      <name val="Arial"/>
      <family val="2"/>
    </font>
    <font>
      <u/>
      <sz val="10"/>
      <color theme="10"/>
      <name val="Arial"/>
      <family val="2"/>
    </font>
    <font>
      <i/>
      <sz val="11"/>
      <color rgb="FF7F7F7F"/>
      <name val="Calibri"/>
      <family val="2"/>
      <scheme val="minor"/>
    </font>
    <font>
      <sz val="10"/>
      <name val="Calibri"/>
      <family val="2"/>
      <scheme val="minor"/>
    </font>
  </fonts>
  <fills count="53">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theme="8" tint="0.59999389629810485"/>
        <bgColor indexed="65"/>
      </patternFill>
    </fill>
    <fill>
      <patternFill patternType="solid">
        <fgColor theme="8"/>
      </patternFill>
    </fill>
    <fill>
      <patternFill patternType="solid">
        <fgColor theme="8" tint="0.59999389629810485"/>
        <bgColor indexed="64"/>
      </patternFill>
    </fill>
    <fill>
      <patternFill patternType="solid">
        <fgColor theme="0" tint="-0.499984740745262"/>
        <bgColor indexed="64"/>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6"/>
      </patternFill>
    </fill>
    <fill>
      <patternFill patternType="solid">
        <fgColor theme="7"/>
      </patternFill>
    </fill>
    <fill>
      <patternFill patternType="solid">
        <fgColor theme="8" tint="0.39997558519241921"/>
        <bgColor indexed="65"/>
      </patternFill>
    </fill>
    <fill>
      <patternFill patternType="solid">
        <fgColor theme="9"/>
      </patternFill>
    </fill>
    <fill>
      <patternFill patternType="solid">
        <fgColor theme="9" tint="0.59999389629810485"/>
        <bgColor indexed="65"/>
      </patternFill>
    </fill>
    <fill>
      <patternFill patternType="solid">
        <fgColor theme="0"/>
        <bgColor indexed="64"/>
      </patternFill>
    </fill>
    <fill>
      <patternFill patternType="solid">
        <fgColor theme="3"/>
        <bgColor indexed="64"/>
      </patternFill>
    </fill>
    <fill>
      <patternFill patternType="solid">
        <fgColor rgb="FF0070C0"/>
        <bgColor indexed="64"/>
      </patternFill>
    </fill>
    <fill>
      <patternFill patternType="solid">
        <fgColor rgb="FF00FF00"/>
        <bgColor indexed="64"/>
      </patternFill>
    </fill>
    <fill>
      <patternFill patternType="solid">
        <fgColor rgb="FFFFFF00"/>
        <bgColor indexed="64"/>
      </patternFill>
    </fill>
    <fill>
      <patternFill patternType="solid">
        <fgColor indexed="5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bgColor indexed="64"/>
      </patternFill>
    </fill>
    <fill>
      <patternFill patternType="solid">
        <fgColor theme="4"/>
        <bgColor indexed="64"/>
      </patternFill>
    </fill>
    <fill>
      <patternFill patternType="solid">
        <fgColor theme="4" tint="0.59999389629810485"/>
        <bgColor indexed="64"/>
      </patternFill>
    </fill>
    <fill>
      <patternFill patternType="solid">
        <fgColor theme="7"/>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FFC000"/>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E685"/>
        <bgColor indexed="64"/>
      </patternFill>
    </fill>
    <fill>
      <patternFill patternType="solid">
        <fgColor rgb="FF002060"/>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00B050"/>
        <bgColor indexed="64"/>
      </patternFill>
    </fill>
    <fill>
      <gradientFill degree="90">
        <stop position="0">
          <color theme="0" tint="-5.0965910824915313E-2"/>
        </stop>
        <stop position="1">
          <color theme="0" tint="-0.34900967436750391"/>
        </stop>
      </gradientFill>
    </fill>
    <fill>
      <gradientFill degree="90">
        <stop position="0">
          <color theme="9" tint="0.80001220740379042"/>
        </stop>
        <stop position="1">
          <color theme="9" tint="0.40000610370189521"/>
        </stop>
      </gradientFill>
    </fill>
    <fill>
      <patternFill patternType="solid">
        <fgColor indexed="65"/>
        <bgColor indexed="10"/>
      </patternFill>
    </fill>
    <fill>
      <patternFill patternType="solid">
        <fgColor indexed="18"/>
        <bgColor indexed="64"/>
      </patternFill>
    </fill>
    <fill>
      <patternFill patternType="solid">
        <fgColor rgb="FF000080"/>
        <bgColor indexed="64"/>
      </patternFill>
    </fill>
    <fill>
      <patternFill patternType="solid">
        <fgColor theme="7" tint="0.59999389629810485"/>
        <bgColor indexed="64"/>
      </patternFill>
    </fill>
    <fill>
      <patternFill patternType="solid">
        <fgColor theme="7" tint="0.79998168889431442"/>
        <bgColor indexed="65"/>
      </patternFill>
    </fill>
    <fill>
      <patternFill patternType="solid">
        <fgColor theme="8" tint="0.79998168889431442"/>
        <bgColor indexed="65"/>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right/>
      <top/>
      <bottom style="thin">
        <color rgb="FF000080"/>
      </bottom>
      <diagonal/>
    </border>
    <border>
      <left style="thin">
        <color rgb="FF7F7F7F"/>
      </left>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s>
  <cellStyleXfs count="33">
    <xf numFmtId="0" fontId="0" fillId="0" borderId="0"/>
    <xf numFmtId="0" fontId="27" fillId="4" borderId="0" applyNumberFormat="0" applyBorder="0" applyAlignment="0" applyProtection="0"/>
    <xf numFmtId="0" fontId="28" fillId="5" borderId="0" applyNumberFormat="0" applyBorder="0" applyAlignment="0" applyProtection="0"/>
    <xf numFmtId="0" fontId="14" fillId="0" borderId="0"/>
    <xf numFmtId="0" fontId="43" fillId="0" borderId="0" applyNumberFormat="0" applyFill="0" applyBorder="0" applyAlignment="0" applyProtection="0"/>
    <xf numFmtId="0" fontId="44" fillId="8" borderId="21" applyNumberFormat="0" applyAlignment="0" applyProtection="0"/>
    <xf numFmtId="0" fontId="45" fillId="9" borderId="21" applyNumberFormat="0" applyAlignment="0" applyProtection="0"/>
    <xf numFmtId="0" fontId="28"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28" fillId="13" borderId="0" applyNumberFormat="0" applyBorder="0" applyAlignment="0" applyProtection="0"/>
    <xf numFmtId="0" fontId="28" fillId="14" borderId="0" applyNumberFormat="0" applyBorder="0" applyAlignment="0" applyProtection="0"/>
    <xf numFmtId="0" fontId="7" fillId="15" borderId="0" applyNumberFormat="0" applyBorder="0" applyAlignment="0" applyProtection="0"/>
    <xf numFmtId="0" fontId="28" fillId="16" borderId="0" applyNumberFormat="0" applyBorder="0" applyAlignment="0" applyProtection="0"/>
    <xf numFmtId="0" fontId="7" fillId="17" borderId="0" applyNumberFormat="0" applyBorder="0" applyAlignment="0" applyProtection="0"/>
    <xf numFmtId="0" fontId="7" fillId="0" borderId="0"/>
    <xf numFmtId="0" fontId="7" fillId="0" borderId="0"/>
    <xf numFmtId="0" fontId="13" fillId="0" borderId="0"/>
    <xf numFmtId="0" fontId="7" fillId="0" borderId="0"/>
    <xf numFmtId="9" fontId="7" fillId="0" borderId="0" applyFont="0" applyFill="0" applyBorder="0" applyAlignment="0" applyProtection="0"/>
    <xf numFmtId="168" fontId="7" fillId="0" borderId="0" applyFont="0" applyFill="0" applyBorder="0" applyAlignment="0" applyProtection="0"/>
    <xf numFmtId="0" fontId="7" fillId="11" borderId="0" applyNumberFormat="0" applyBorder="0" applyAlignment="0" applyProtection="0"/>
    <xf numFmtId="0" fontId="6" fillId="0" borderId="0"/>
    <xf numFmtId="0" fontId="80" fillId="0" borderId="0" applyNumberFormat="0" applyFill="0" applyBorder="0" applyAlignment="0" applyProtection="0"/>
    <xf numFmtId="0" fontId="81" fillId="0" borderId="0" applyNumberFormat="0" applyFill="0" applyBorder="0" applyAlignment="0" applyProtection="0"/>
    <xf numFmtId="0" fontId="3" fillId="51" borderId="0" applyNumberFormat="0" applyBorder="0" applyAlignment="0" applyProtection="0"/>
    <xf numFmtId="0" fontId="3" fillId="52" borderId="0" applyNumberFormat="0" applyBorder="0" applyAlignment="0" applyProtection="0"/>
    <xf numFmtId="0" fontId="2" fillId="4" borderId="0" applyNumberFormat="0" applyBorder="0" applyAlignment="0" applyProtection="0"/>
    <xf numFmtId="0" fontId="2" fillId="0" borderId="0"/>
    <xf numFmtId="0" fontId="2" fillId="12" borderId="0" applyNumberFormat="0" applyBorder="0" applyAlignment="0" applyProtection="0"/>
    <xf numFmtId="0" fontId="2" fillId="15" borderId="0" applyNumberFormat="0" applyBorder="0" applyAlignment="0" applyProtection="0"/>
    <xf numFmtId="0" fontId="2" fillId="11" borderId="0" applyNumberFormat="0" applyBorder="0" applyAlignment="0" applyProtection="0"/>
    <xf numFmtId="9" fontId="2" fillId="0" borderId="0" applyFont="0" applyFill="0" applyBorder="0" applyAlignment="0" applyProtection="0"/>
  </cellStyleXfs>
  <cellXfs count="438">
    <xf numFmtId="0" fontId="0" fillId="0" borderId="0" xfId="0"/>
    <xf numFmtId="0" fontId="14" fillId="2" borderId="0" xfId="3" applyFill="1" applyBorder="1" applyAlignment="1">
      <alignment vertical="distributed"/>
    </xf>
    <xf numFmtId="0" fontId="8" fillId="3" borderId="1" xfId="3" applyFont="1" applyFill="1" applyBorder="1" applyAlignment="1">
      <alignment horizontal="center" vertical="distributed" wrapText="1"/>
    </xf>
    <xf numFmtId="165" fontId="8" fillId="3" borderId="1" xfId="3" applyNumberFormat="1" applyFont="1" applyFill="1" applyBorder="1" applyAlignment="1">
      <alignment horizontal="center" vertical="distributed" wrapText="1"/>
    </xf>
    <xf numFmtId="0" fontId="13" fillId="2" borderId="1" xfId="3" applyFont="1" applyFill="1" applyBorder="1" applyAlignment="1">
      <alignment horizontal="center" vertical="distributed" wrapText="1"/>
    </xf>
    <xf numFmtId="0" fontId="13" fillId="2" borderId="1" xfId="3" applyFont="1" applyFill="1" applyBorder="1" applyAlignment="1">
      <alignment horizontal="left" vertical="distributed" wrapText="1"/>
    </xf>
    <xf numFmtId="165" fontId="13" fillId="2" borderId="1" xfId="3" applyNumberFormat="1" applyFont="1" applyFill="1" applyBorder="1" applyAlignment="1">
      <alignment horizontal="center" vertical="distributed" wrapText="1"/>
    </xf>
    <xf numFmtId="0" fontId="13" fillId="2" borderId="0" xfId="3" applyFont="1" applyFill="1" applyBorder="1" applyAlignment="1">
      <alignment horizontal="center" vertical="distributed" wrapText="1"/>
    </xf>
    <xf numFmtId="0" fontId="14" fillId="2" borderId="0" xfId="3" applyFont="1" applyFill="1" applyBorder="1" applyAlignment="1">
      <alignment vertical="distributed"/>
    </xf>
    <xf numFmtId="0" fontId="13" fillId="2" borderId="0" xfId="3" applyFont="1" applyFill="1" applyBorder="1" applyAlignment="1">
      <alignment horizontal="left" vertical="distributed" wrapText="1"/>
    </xf>
    <xf numFmtId="165" fontId="13" fillId="2" borderId="0" xfId="3" applyNumberFormat="1" applyFont="1" applyFill="1" applyBorder="1" applyAlignment="1">
      <alignment horizontal="center" vertical="distributed" wrapText="1"/>
    </xf>
    <xf numFmtId="0" fontId="14" fillId="2" borderId="0" xfId="3" applyFill="1" applyBorder="1" applyAlignment="1">
      <alignment horizontal="left" vertical="distributed"/>
    </xf>
    <xf numFmtId="165" fontId="14" fillId="2" borderId="0" xfId="3" applyNumberFormat="1" applyFill="1" applyBorder="1" applyAlignment="1">
      <alignment vertical="distributed"/>
    </xf>
    <xf numFmtId="0" fontId="13" fillId="0" borderId="0" xfId="0" applyFont="1" applyFill="1" applyProtection="1">
      <protection locked="0"/>
    </xf>
    <xf numFmtId="0" fontId="18" fillId="0" borderId="0" xfId="0" applyFont="1"/>
    <xf numFmtId="0" fontId="0" fillId="0" borderId="0" xfId="0" applyAlignment="1">
      <alignment vertical="center"/>
    </xf>
    <xf numFmtId="0" fontId="0" fillId="0" borderId="1" xfId="0" applyBorder="1"/>
    <xf numFmtId="0" fontId="0" fillId="2" borderId="1" xfId="0" applyFill="1" applyBorder="1" applyAlignment="1">
      <alignment horizontal="left"/>
    </xf>
    <xf numFmtId="0" fontId="0" fillId="2" borderId="1" xfId="0" applyFill="1" applyBorder="1" applyAlignment="1"/>
    <xf numFmtId="0" fontId="0" fillId="0" borderId="1" xfId="0" applyFill="1" applyBorder="1" applyAlignment="1" applyProtection="1">
      <protection locked="0"/>
    </xf>
    <xf numFmtId="0" fontId="0" fillId="2" borderId="0" xfId="0" applyFill="1" applyAlignment="1"/>
    <xf numFmtId="0" fontId="0" fillId="0" borderId="0" xfId="0" applyFill="1" applyProtection="1">
      <protection locked="0"/>
    </xf>
    <xf numFmtId="0" fontId="13" fillId="0" borderId="0" xfId="0" applyFont="1" applyFill="1" applyBorder="1" applyAlignment="1" applyProtection="1">
      <alignment horizontal="left" vertical="top" wrapText="1"/>
      <protection locked="0"/>
    </xf>
    <xf numFmtId="0" fontId="13" fillId="0" borderId="0" xfId="0" applyFont="1" applyFill="1" applyBorder="1" applyAlignment="1" applyProtection="1">
      <alignment horizontal="center" vertical="top" wrapText="1"/>
      <protection locked="0"/>
    </xf>
    <xf numFmtId="0" fontId="8" fillId="0" borderId="0" xfId="0" applyFont="1" applyFill="1" applyBorder="1" applyAlignment="1" applyProtection="1">
      <alignment horizontal="center" vertical="top" wrapText="1"/>
      <protection locked="0"/>
    </xf>
    <xf numFmtId="0" fontId="13" fillId="0" borderId="16" xfId="0" applyFont="1" applyFill="1" applyBorder="1" applyAlignment="1" applyProtection="1">
      <alignment horizontal="center" vertical="top" wrapText="1"/>
      <protection locked="0"/>
    </xf>
    <xf numFmtId="0" fontId="13" fillId="0" borderId="9" xfId="0" applyFont="1" applyFill="1" applyBorder="1" applyAlignment="1" applyProtection="1">
      <alignment vertical="top" wrapText="1"/>
      <protection locked="0"/>
    </xf>
    <xf numFmtId="0" fontId="8" fillId="0" borderId="1" xfId="0" applyFont="1" applyFill="1" applyBorder="1" applyAlignment="1" applyProtection="1">
      <alignment horizontal="center" vertical="top" wrapText="1"/>
      <protection locked="0"/>
    </xf>
    <xf numFmtId="0" fontId="13" fillId="0" borderId="1" xfId="0" applyFont="1" applyFill="1" applyBorder="1" applyAlignment="1" applyProtection="1">
      <alignment horizontal="center" vertical="top" wrapText="1"/>
      <protection locked="0"/>
    </xf>
    <xf numFmtId="0" fontId="8" fillId="0" borderId="0" xfId="0" applyFont="1" applyFill="1" applyBorder="1" applyAlignment="1" applyProtection="1">
      <alignment horizontal="center" vertical="top"/>
      <protection locked="0"/>
    </xf>
    <xf numFmtId="0" fontId="17" fillId="0" borderId="0" xfId="0" applyFont="1" applyFill="1" applyBorder="1" applyAlignment="1" applyProtection="1">
      <alignment horizontal="center" vertical="top"/>
      <protection locked="0"/>
    </xf>
    <xf numFmtId="0" fontId="13" fillId="0" borderId="0" xfId="0" applyFont="1" applyFill="1" applyBorder="1" applyAlignment="1" applyProtection="1">
      <alignment horizontal="left" vertical="top"/>
      <protection locked="0"/>
    </xf>
    <xf numFmtId="166" fontId="13" fillId="2" borderId="1" xfId="3" applyNumberFormat="1" applyFont="1" applyFill="1" applyBorder="1" applyAlignment="1">
      <alignment horizontal="center" vertical="distributed" wrapText="1"/>
    </xf>
    <xf numFmtId="0" fontId="13" fillId="0" borderId="0" xfId="0" applyFont="1" applyFill="1" applyBorder="1" applyProtection="1">
      <protection locked="0"/>
    </xf>
    <xf numFmtId="0" fontId="23" fillId="2" borderId="1" xfId="3" applyFont="1" applyFill="1" applyBorder="1" applyAlignment="1">
      <alignment horizontal="left" vertical="distributed" wrapText="1"/>
    </xf>
    <xf numFmtId="0" fontId="23" fillId="0" borderId="0" xfId="0" applyFont="1"/>
    <xf numFmtId="0" fontId="23" fillId="0" borderId="1" xfId="0" applyFont="1" applyBorder="1"/>
    <xf numFmtId="0" fontId="13" fillId="0" borderId="16" xfId="0" applyFont="1" applyFill="1" applyBorder="1" applyAlignment="1" applyProtection="1">
      <alignment horizontal="left" vertical="top"/>
      <protection locked="0"/>
    </xf>
    <xf numFmtId="0" fontId="13" fillId="2" borderId="10" xfId="3" applyFont="1" applyFill="1" applyBorder="1" applyAlignment="1">
      <alignment horizontal="center" vertical="distributed" wrapText="1"/>
    </xf>
    <xf numFmtId="0" fontId="13" fillId="2" borderId="10" xfId="3" applyFont="1" applyFill="1" applyBorder="1" applyAlignment="1">
      <alignment horizontal="left" vertical="distributed" wrapText="1"/>
    </xf>
    <xf numFmtId="165" fontId="13" fillId="2" borderId="10" xfId="3" applyNumberFormat="1" applyFont="1" applyFill="1" applyBorder="1" applyAlignment="1">
      <alignment horizontal="center" vertical="distributed" wrapText="1"/>
    </xf>
    <xf numFmtId="0" fontId="13" fillId="2" borderId="18" xfId="3" applyFont="1" applyFill="1" applyBorder="1" applyAlignment="1">
      <alignment horizontal="center" vertical="distributed" wrapText="1"/>
    </xf>
    <xf numFmtId="0" fontId="13" fillId="2" borderId="18" xfId="3" applyFont="1" applyFill="1" applyBorder="1" applyAlignment="1">
      <alignment horizontal="left" vertical="distributed" wrapText="1"/>
    </xf>
    <xf numFmtId="165" fontId="13" fillId="2" borderId="18" xfId="3" applyNumberFormat="1" applyFont="1" applyFill="1" applyBorder="1" applyAlignment="1">
      <alignment horizontal="center" vertical="distributed" wrapText="1"/>
    </xf>
    <xf numFmtId="0" fontId="29" fillId="0" borderId="0" xfId="0" applyFont="1" applyAlignment="1">
      <alignment horizontal="center" vertical="center" wrapText="1"/>
    </xf>
    <xf numFmtId="0" fontId="30" fillId="6" borderId="1" xfId="1" applyFont="1" applyFill="1" applyBorder="1" applyAlignment="1">
      <alignment horizontal="center" vertical="center" wrapText="1"/>
    </xf>
    <xf numFmtId="49" fontId="30" fillId="6" borderId="1" xfId="1" applyNumberFormat="1" applyFont="1" applyFill="1" applyBorder="1" applyAlignment="1">
      <alignment horizontal="center" vertical="center" wrapText="1"/>
    </xf>
    <xf numFmtId="0" fontId="29" fillId="0" borderId="5" xfId="0" applyFont="1" applyBorder="1" applyAlignment="1">
      <alignment horizontal="center" vertical="center" wrapText="1"/>
    </xf>
    <xf numFmtId="0" fontId="13" fillId="0" borderId="6" xfId="0" applyFont="1" applyFill="1" applyBorder="1" applyProtection="1">
      <protection locked="0"/>
    </xf>
    <xf numFmtId="0" fontId="13" fillId="0" borderId="7" xfId="0" applyFont="1" applyFill="1" applyBorder="1" applyProtection="1">
      <protection locked="0"/>
    </xf>
    <xf numFmtId="0" fontId="13" fillId="0" borderId="19" xfId="0" applyFont="1" applyFill="1" applyBorder="1" applyProtection="1">
      <protection locked="0"/>
    </xf>
    <xf numFmtId="0" fontId="13" fillId="0" borderId="20" xfId="0" applyFont="1" applyFill="1" applyBorder="1" applyProtection="1">
      <protection locked="0"/>
    </xf>
    <xf numFmtId="0" fontId="13" fillId="0" borderId="2" xfId="0" applyFont="1" applyFill="1" applyBorder="1" applyProtection="1">
      <protection locked="0"/>
    </xf>
    <xf numFmtId="0" fontId="13" fillId="0" borderId="3" xfId="0" applyFont="1" applyFill="1" applyBorder="1" applyProtection="1">
      <protection locked="0"/>
    </xf>
    <xf numFmtId="0" fontId="13" fillId="0" borderId="4" xfId="0" applyFont="1" applyFill="1" applyBorder="1" applyProtection="1">
      <protection locked="0"/>
    </xf>
    <xf numFmtId="0" fontId="19" fillId="0" borderId="0" xfId="0" applyFont="1" applyFill="1" applyProtection="1">
      <protection locked="0"/>
    </xf>
    <xf numFmtId="0" fontId="10" fillId="0" borderId="0" xfId="0" applyFont="1" applyFill="1" applyBorder="1" applyProtection="1">
      <protection locked="0"/>
    </xf>
    <xf numFmtId="0" fontId="11" fillId="0" borderId="0" xfId="0" applyFont="1" applyAlignment="1">
      <alignment vertical="center" wrapText="1"/>
    </xf>
    <xf numFmtId="164" fontId="11" fillId="0" borderId="0" xfId="0" applyNumberFormat="1" applyFont="1" applyAlignment="1">
      <alignment horizontal="center" vertical="center" wrapText="1"/>
    </xf>
    <xf numFmtId="20" fontId="11" fillId="0" borderId="0" xfId="0" applyNumberFormat="1" applyFont="1" applyAlignment="1">
      <alignment vertical="center" wrapText="1"/>
    </xf>
    <xf numFmtId="0" fontId="11" fillId="0" borderId="0" xfId="0" applyFont="1" applyAlignment="1">
      <alignment horizontal="left" vertical="center" wrapText="1"/>
    </xf>
    <xf numFmtId="0" fontId="13" fillId="0" borderId="0" xfId="0" applyFont="1" applyAlignment="1">
      <alignment vertical="center"/>
    </xf>
    <xf numFmtId="0" fontId="32" fillId="0" borderId="0" xfId="0" quotePrefix="1" applyFont="1" applyAlignment="1">
      <alignment horizontal="right" vertical="center"/>
    </xf>
    <xf numFmtId="0" fontId="12" fillId="0" borderId="0" xfId="0" applyFont="1" applyAlignment="1">
      <alignment horizontal="left" vertical="center" wrapText="1"/>
    </xf>
    <xf numFmtId="0" fontId="13" fillId="0" borderId="0" xfId="0" applyFont="1" applyAlignment="1">
      <alignment vertical="center" shrinkToFit="1"/>
    </xf>
    <xf numFmtId="0" fontId="24" fillId="0" borderId="0" xfId="0" applyFont="1" applyAlignment="1">
      <alignment horizontal="left" vertical="center" shrinkToFit="1"/>
    </xf>
    <xf numFmtId="0" fontId="8" fillId="0" borderId="0" xfId="0" applyFont="1" applyAlignment="1">
      <alignment horizontal="left" vertical="center" shrinkToFit="1"/>
    </xf>
    <xf numFmtId="0" fontId="13" fillId="0" borderId="0" xfId="0" applyFont="1" applyAlignment="1" applyProtection="1">
      <alignment vertical="center"/>
      <protection locked="0"/>
    </xf>
    <xf numFmtId="0" fontId="0" fillId="0" borderId="0" xfId="0" applyAlignment="1" applyProtection="1">
      <alignment vertical="center"/>
      <protection locked="0"/>
    </xf>
    <xf numFmtId="0" fontId="13" fillId="0" borderId="0" xfId="0" applyFont="1" applyAlignment="1" applyProtection="1">
      <alignment vertical="center" shrinkToFit="1"/>
      <protection locked="0"/>
    </xf>
    <xf numFmtId="0" fontId="37" fillId="0" borderId="19" xfId="0" applyFont="1" applyBorder="1" applyAlignment="1" applyProtection="1">
      <alignment horizontal="left" vertical="center" wrapText="1" shrinkToFit="1"/>
      <protection locked="0"/>
    </xf>
    <xf numFmtId="0" fontId="38" fillId="0" borderId="0" xfId="0" applyFont="1" applyAlignment="1" applyProtection="1">
      <alignment horizontal="left" vertical="center" shrinkToFit="1"/>
      <protection locked="0"/>
    </xf>
    <xf numFmtId="0" fontId="37" fillId="0" borderId="0" xfId="0" applyFont="1" applyAlignment="1" applyProtection="1">
      <alignment horizontal="left" vertical="center" wrapText="1" shrinkToFit="1"/>
      <protection locked="0"/>
    </xf>
    <xf numFmtId="0" fontId="38" fillId="0" borderId="20" xfId="0" applyFont="1" applyBorder="1" applyAlignment="1" applyProtection="1">
      <alignment horizontal="left" vertical="center" shrinkToFit="1"/>
      <protection locked="0"/>
    </xf>
    <xf numFmtId="0" fontId="0" fillId="0" borderId="0" xfId="0" applyAlignment="1" applyProtection="1">
      <alignment vertical="center" shrinkToFit="1"/>
      <protection locked="0"/>
    </xf>
    <xf numFmtId="0" fontId="41" fillId="0" borderId="0" xfId="0" applyFont="1" applyAlignment="1" applyProtection="1">
      <alignment vertical="center"/>
      <protection locked="0"/>
    </xf>
    <xf numFmtId="0" fontId="42" fillId="0" borderId="0" xfId="0" applyFont="1" applyAlignment="1" applyProtection="1">
      <alignment horizontal="center" vertical="center"/>
      <protection locked="0"/>
    </xf>
    <xf numFmtId="0" fontId="48" fillId="18" borderId="22" xfId="0" applyFont="1" applyFill="1" applyBorder="1" applyAlignment="1" applyProtection="1">
      <alignment vertical="center"/>
      <protection locked="0"/>
    </xf>
    <xf numFmtId="0" fontId="0" fillId="18" borderId="22" xfId="0" applyFill="1" applyBorder="1" applyAlignment="1" applyProtection="1">
      <alignment vertical="center"/>
      <protection locked="0"/>
    </xf>
    <xf numFmtId="0" fontId="7" fillId="18" borderId="0" xfId="15" applyFill="1"/>
    <xf numFmtId="0" fontId="49" fillId="0" borderId="0" xfId="0" applyFont="1" applyAlignment="1" applyProtection="1">
      <alignment horizontal="left" vertical="center"/>
      <protection locked="0"/>
    </xf>
    <xf numFmtId="0" fontId="50" fillId="0" borderId="0" xfId="0" applyFont="1" applyAlignment="1" applyProtection="1">
      <alignment horizontal="left" vertical="center"/>
      <protection locked="0"/>
    </xf>
    <xf numFmtId="0" fontId="0" fillId="18" borderId="0" xfId="0" applyFill="1" applyAlignment="1" applyProtection="1">
      <alignment vertical="center"/>
      <protection locked="0"/>
    </xf>
    <xf numFmtId="0" fontId="51" fillId="0" borderId="0" xfId="0" applyFont="1" applyAlignment="1" applyProtection="1">
      <alignment horizontal="left" vertical="center"/>
      <protection locked="0"/>
    </xf>
    <xf numFmtId="167" fontId="52" fillId="18" borderId="0" xfId="7" applyNumberFormat="1" applyFont="1" applyFill="1" applyBorder="1" applyAlignment="1">
      <alignment horizontal="center" vertical="center" wrapText="1" readingOrder="1"/>
    </xf>
    <xf numFmtId="49" fontId="7" fillId="18" borderId="0" xfId="15" applyNumberFormat="1" applyFill="1"/>
    <xf numFmtId="0" fontId="7" fillId="18" borderId="0" xfId="15" applyFill="1" applyAlignment="1">
      <alignment wrapText="1"/>
    </xf>
    <xf numFmtId="0" fontId="8" fillId="18" borderId="0" xfId="3" applyFont="1" applyFill="1" applyAlignment="1">
      <alignment vertical="center" wrapText="1"/>
    </xf>
    <xf numFmtId="0" fontId="7" fillId="18" borderId="0" xfId="15" applyFill="1" applyAlignment="1">
      <alignment vertical="top"/>
    </xf>
    <xf numFmtId="9" fontId="0" fillId="18" borderId="17" xfId="19" applyFont="1" applyFill="1" applyBorder="1" applyAlignment="1" applyProtection="1">
      <alignment horizontal="center" vertical="top" readingOrder="1"/>
      <protection locked="0"/>
    </xf>
    <xf numFmtId="9" fontId="0" fillId="18" borderId="14" xfId="19" applyFont="1" applyFill="1" applyBorder="1" applyAlignment="1" applyProtection="1">
      <alignment horizontal="center" vertical="top" readingOrder="1"/>
      <protection locked="0"/>
    </xf>
    <xf numFmtId="9" fontId="13" fillId="18" borderId="14" xfId="19" applyFont="1" applyFill="1" applyBorder="1" applyAlignment="1" applyProtection="1">
      <alignment horizontal="center" vertical="top" readingOrder="1"/>
      <protection locked="0"/>
    </xf>
    <xf numFmtId="9" fontId="13" fillId="18" borderId="17" xfId="19" applyFont="1" applyFill="1" applyBorder="1" applyAlignment="1" applyProtection="1">
      <alignment horizontal="center" vertical="top" readingOrder="1"/>
      <protection locked="0"/>
    </xf>
    <xf numFmtId="0" fontId="7" fillId="18" borderId="0" xfId="18" applyFill="1" applyAlignment="1">
      <alignment vertical="center"/>
    </xf>
    <xf numFmtId="0" fontId="28" fillId="10" borderId="1" xfId="7" applyBorder="1" applyAlignment="1">
      <alignment horizontal="center" vertical="center" wrapText="1"/>
    </xf>
    <xf numFmtId="0" fontId="30" fillId="29" borderId="1" xfId="14" applyFont="1" applyFill="1" applyBorder="1" applyAlignment="1">
      <alignment horizontal="center" vertical="center" wrapText="1"/>
    </xf>
    <xf numFmtId="0" fontId="30" fillId="29" borderId="1" xfId="1" applyFont="1" applyFill="1" applyBorder="1" applyAlignment="1">
      <alignment horizontal="center" vertical="center" wrapText="1"/>
    </xf>
    <xf numFmtId="0" fontId="13" fillId="0" borderId="1" xfId="0" applyFont="1" applyFill="1" applyBorder="1" applyAlignment="1" applyProtection="1">
      <alignment vertical="top" wrapText="1"/>
      <protection locked="0"/>
    </xf>
    <xf numFmtId="0" fontId="23" fillId="0" borderId="1" xfId="0" applyFont="1" applyFill="1" applyBorder="1" applyAlignment="1" applyProtection="1">
      <alignment vertical="top" wrapText="1"/>
      <protection locked="0"/>
    </xf>
    <xf numFmtId="0" fontId="13" fillId="0" borderId="1" xfId="0" applyFont="1" applyFill="1" applyBorder="1" applyAlignment="1" applyProtection="1">
      <alignment horizontal="left" vertical="top"/>
      <protection locked="0"/>
    </xf>
    <xf numFmtId="0" fontId="8" fillId="32" borderId="8" xfId="0" applyFont="1" applyFill="1" applyBorder="1" applyAlignment="1" applyProtection="1">
      <alignment vertical="center" wrapText="1"/>
      <protection locked="0"/>
    </xf>
    <xf numFmtId="0" fontId="8" fillId="32" borderId="5" xfId="0" applyFont="1" applyFill="1" applyBorder="1" applyAlignment="1" applyProtection="1">
      <alignment horizontal="center" vertical="center" wrapText="1"/>
      <protection locked="0"/>
    </xf>
    <xf numFmtId="0" fontId="8" fillId="32" borderId="8" xfId="0" applyFont="1" applyFill="1" applyBorder="1" applyAlignment="1" applyProtection="1">
      <alignment horizontal="center" vertical="center" wrapText="1"/>
      <protection locked="0"/>
    </xf>
    <xf numFmtId="0" fontId="7" fillId="18" borderId="0" xfId="18" applyFill="1" applyBorder="1" applyAlignment="1">
      <alignment vertical="center"/>
    </xf>
    <xf numFmtId="9" fontId="7" fillId="18" borderId="0" xfId="15" applyNumberFormat="1" applyFill="1"/>
    <xf numFmtId="9" fontId="7" fillId="18" borderId="0" xfId="15" applyNumberFormat="1" applyFill="1" applyAlignment="1">
      <alignment vertical="top"/>
    </xf>
    <xf numFmtId="0" fontId="69" fillId="10" borderId="0" xfId="7" applyFont="1" applyBorder="1" applyAlignment="1">
      <alignment vertical="center"/>
    </xf>
    <xf numFmtId="0" fontId="69" fillId="10" borderId="0" xfId="7" applyFont="1" applyBorder="1" applyAlignment="1">
      <alignment vertical="center" wrapText="1"/>
    </xf>
    <xf numFmtId="0" fontId="43" fillId="18" borderId="0" xfId="4" applyFill="1" applyAlignment="1">
      <alignment horizontal="center"/>
    </xf>
    <xf numFmtId="0" fontId="7" fillId="18" borderId="0" xfId="16" applyFill="1"/>
    <xf numFmtId="0" fontId="43" fillId="18" borderId="0" xfId="4" applyFill="1" applyAlignment="1">
      <alignment horizontal="left"/>
    </xf>
    <xf numFmtId="0" fontId="30" fillId="4" borderId="1" xfId="1" applyFont="1" applyBorder="1" applyAlignment="1">
      <alignment horizontal="center" vertical="center" wrapText="1"/>
    </xf>
    <xf numFmtId="0" fontId="7" fillId="18" borderId="0" xfId="18" applyFill="1" applyBorder="1" applyAlignment="1">
      <alignment horizontal="center" vertical="center" textRotation="45"/>
    </xf>
    <xf numFmtId="0" fontId="60" fillId="18" borderId="0" xfId="18" applyFont="1" applyFill="1" applyBorder="1" applyAlignment="1">
      <alignment vertical="center" textRotation="45"/>
    </xf>
    <xf numFmtId="0" fontId="70" fillId="0" borderId="0" xfId="0" applyFont="1" applyBorder="1" applyAlignment="1">
      <alignment vertical="center"/>
    </xf>
    <xf numFmtId="0" fontId="7" fillId="18" borderId="0" xfId="18" applyFill="1" applyBorder="1" applyAlignment="1">
      <alignment horizontal="center" vertical="center"/>
    </xf>
    <xf numFmtId="0" fontId="60" fillId="18" borderId="0" xfId="20" applyNumberFormat="1" applyFont="1" applyFill="1" applyBorder="1" applyAlignment="1">
      <alignment vertical="center"/>
    </xf>
    <xf numFmtId="0" fontId="7" fillId="18" borderId="0" xfId="18" applyFill="1" applyBorder="1" applyAlignment="1">
      <alignment horizontal="left" vertical="center"/>
    </xf>
    <xf numFmtId="0" fontId="61" fillId="18" borderId="0" xfId="20" applyNumberFormat="1" applyFont="1" applyFill="1" applyBorder="1" applyAlignment="1">
      <alignment vertical="center"/>
    </xf>
    <xf numFmtId="0" fontId="72" fillId="39" borderId="1" xfId="1" applyFont="1" applyFill="1" applyBorder="1" applyAlignment="1">
      <alignment horizontal="center" vertical="center" textRotation="45" wrapText="1"/>
    </xf>
    <xf numFmtId="167" fontId="68" fillId="37" borderId="1" xfId="13" applyNumberFormat="1" applyFont="1" applyFill="1" applyBorder="1" applyAlignment="1">
      <alignment horizontal="center" vertical="center" textRotation="45" wrapText="1" readingOrder="1"/>
    </xf>
    <xf numFmtId="167" fontId="68" fillId="36" borderId="1" xfId="10" applyNumberFormat="1" applyFont="1" applyFill="1" applyBorder="1" applyAlignment="1">
      <alignment horizontal="center" vertical="center" textRotation="45" wrapText="1" readingOrder="1"/>
    </xf>
    <xf numFmtId="167" fontId="68" fillId="31" borderId="1" xfId="11" applyNumberFormat="1" applyFont="1" applyFill="1" applyBorder="1" applyAlignment="1">
      <alignment horizontal="center" vertical="center" textRotation="45" wrapText="1" readingOrder="1"/>
    </xf>
    <xf numFmtId="9" fontId="0" fillId="18" borderId="17" xfId="19" applyFont="1" applyFill="1" applyBorder="1" applyAlignment="1" applyProtection="1">
      <alignment horizontal="center" vertical="center" readingOrder="1"/>
      <protection locked="0"/>
    </xf>
    <xf numFmtId="9" fontId="0" fillId="18" borderId="14" xfId="19" applyFont="1" applyFill="1" applyBorder="1" applyAlignment="1" applyProtection="1">
      <alignment horizontal="center" vertical="center" readingOrder="1"/>
      <protection locked="0"/>
    </xf>
    <xf numFmtId="0" fontId="7" fillId="18" borderId="0" xfId="18" applyFill="1" applyBorder="1" applyAlignment="1">
      <alignment textRotation="45"/>
    </xf>
    <xf numFmtId="0" fontId="7" fillId="18" borderId="0" xfId="18" applyFill="1" applyBorder="1"/>
    <xf numFmtId="0" fontId="7" fillId="18" borderId="0" xfId="18" applyFill="1" applyBorder="1" applyAlignment="1">
      <alignment horizontal="center"/>
    </xf>
    <xf numFmtId="0" fontId="28" fillId="18" borderId="0" xfId="18" applyFont="1" applyFill="1" applyBorder="1"/>
    <xf numFmtId="0" fontId="46" fillId="18" borderId="0" xfId="18" applyFont="1" applyFill="1" applyBorder="1"/>
    <xf numFmtId="169" fontId="61" fillId="18" borderId="0" xfId="20" applyNumberFormat="1" applyFont="1" applyFill="1" applyBorder="1"/>
    <xf numFmtId="0" fontId="61" fillId="26" borderId="1" xfId="1" applyFont="1" applyFill="1" applyBorder="1" applyAlignment="1">
      <alignment vertical="center" wrapText="1"/>
    </xf>
    <xf numFmtId="0" fontId="30" fillId="4" borderId="1" xfId="1" applyFont="1" applyBorder="1" applyAlignment="1">
      <alignment horizontal="center" vertical="center"/>
    </xf>
    <xf numFmtId="0" fontId="46" fillId="10" borderId="1" xfId="7" applyFont="1" applyBorder="1" applyAlignment="1">
      <alignment horizontal="center" vertical="center" wrapText="1"/>
    </xf>
    <xf numFmtId="9" fontId="47" fillId="40" borderId="1" xfId="18" applyNumberFormat="1" applyFont="1" applyFill="1" applyBorder="1" applyAlignment="1">
      <alignment horizontal="center" vertical="center"/>
    </xf>
    <xf numFmtId="9" fontId="7" fillId="42" borderId="1" xfId="18" applyNumberFormat="1" applyFill="1" applyBorder="1" applyAlignment="1">
      <alignment horizontal="center" vertical="center"/>
    </xf>
    <xf numFmtId="9" fontId="7" fillId="41" borderId="1" xfId="18" applyNumberFormat="1" applyFill="1" applyBorder="1" applyAlignment="1">
      <alignment horizontal="center" vertical="center"/>
    </xf>
    <xf numFmtId="9" fontId="7" fillId="43" borderId="1" xfId="18" applyNumberFormat="1" applyFill="1" applyBorder="1" applyAlignment="1">
      <alignment horizontal="center" vertical="center"/>
    </xf>
    <xf numFmtId="9" fontId="47" fillId="41" borderId="1" xfId="18" applyNumberFormat="1" applyFont="1" applyFill="1" applyBorder="1" applyAlignment="1">
      <alignment horizontal="center" vertical="center"/>
    </xf>
    <xf numFmtId="9" fontId="47" fillId="42" borderId="1" xfId="18" applyNumberFormat="1" applyFont="1" applyFill="1" applyBorder="1" applyAlignment="1">
      <alignment horizontal="center" vertical="center"/>
    </xf>
    <xf numFmtId="9" fontId="47" fillId="43" borderId="1" xfId="18" applyNumberFormat="1" applyFont="1" applyFill="1" applyBorder="1" applyAlignment="1">
      <alignment horizontal="center" vertical="center"/>
    </xf>
    <xf numFmtId="0" fontId="73" fillId="18" borderId="0" xfId="4" applyFont="1" applyFill="1" applyAlignment="1">
      <alignment vertical="center"/>
    </xf>
    <xf numFmtId="170" fontId="0" fillId="0" borderId="1" xfId="0" applyNumberFormat="1" applyFill="1" applyBorder="1" applyAlignment="1" applyProtection="1">
      <protection locked="0"/>
    </xf>
    <xf numFmtId="0" fontId="8" fillId="32" borderId="10" xfId="0" applyFont="1" applyFill="1" applyBorder="1" applyAlignment="1" applyProtection="1">
      <alignment horizontal="center" vertical="center" wrapText="1"/>
      <protection locked="0"/>
    </xf>
    <xf numFmtId="0" fontId="8" fillId="32" borderId="5" xfId="0" applyFont="1" applyFill="1" applyBorder="1" applyAlignment="1" applyProtection="1">
      <alignment horizontal="center" vertical="center" wrapText="1"/>
      <protection locked="0"/>
    </xf>
    <xf numFmtId="0" fontId="8" fillId="32" borderId="8" xfId="0" applyFont="1" applyFill="1" applyBorder="1" applyAlignment="1" applyProtection="1">
      <alignment horizontal="center" vertical="center" wrapText="1"/>
      <protection locked="0"/>
    </xf>
    <xf numFmtId="0" fontId="13" fillId="0" borderId="16" xfId="0" applyFont="1" applyFill="1" applyBorder="1" applyAlignment="1" applyProtection="1">
      <alignment horizontal="left" vertical="top"/>
      <protection locked="0"/>
    </xf>
    <xf numFmtId="0" fontId="13" fillId="0" borderId="16" xfId="0" applyFont="1" applyFill="1" applyBorder="1" applyAlignment="1" applyProtection="1">
      <alignment horizontal="center" vertical="top" wrapText="1"/>
      <protection locked="0"/>
    </xf>
    <xf numFmtId="0" fontId="6" fillId="18" borderId="0" xfId="22" applyFill="1"/>
    <xf numFmtId="0" fontId="76" fillId="0" borderId="0" xfId="0" applyFont="1" applyAlignment="1">
      <alignment horizontal="right" vertical="center"/>
    </xf>
    <xf numFmtId="0" fontId="48" fillId="0" borderId="22" xfId="0" applyFont="1" applyBorder="1" applyAlignment="1" applyProtection="1">
      <alignment vertical="center"/>
      <protection locked="0"/>
    </xf>
    <xf numFmtId="0" fontId="0" fillId="0" borderId="22" xfId="0" applyBorder="1" applyAlignment="1" applyProtection="1">
      <alignment vertical="center"/>
      <protection locked="0"/>
    </xf>
    <xf numFmtId="0" fontId="77" fillId="0" borderId="0" xfId="0" applyFont="1" applyAlignment="1" applyProtection="1">
      <alignment vertical="center"/>
      <protection locked="0"/>
    </xf>
    <xf numFmtId="0" fontId="8" fillId="0" borderId="0" xfId="0" applyFont="1" applyAlignment="1" applyProtection="1">
      <alignment vertical="center"/>
      <protection locked="0"/>
    </xf>
    <xf numFmtId="49" fontId="78" fillId="0" borderId="0" xfId="0" applyNumberFormat="1" applyFont="1" applyAlignment="1" applyProtection="1">
      <alignment horizontal="left" vertical="center"/>
      <protection locked="0"/>
    </xf>
    <xf numFmtId="49" fontId="13" fillId="0" borderId="0" xfId="0" applyNumberFormat="1" applyFont="1" applyAlignment="1">
      <alignment horizontal="center" vertical="center" wrapText="1"/>
    </xf>
    <xf numFmtId="49" fontId="13" fillId="0" borderId="0" xfId="0" applyNumberFormat="1" applyFont="1" applyAlignment="1" applyProtection="1">
      <alignment horizontal="left" vertical="center" wrapText="1"/>
      <protection locked="0"/>
    </xf>
    <xf numFmtId="49" fontId="13" fillId="0" borderId="0" xfId="0" applyNumberFormat="1" applyFont="1" applyAlignment="1">
      <alignment horizontal="left" vertical="center" wrapText="1"/>
    </xf>
    <xf numFmtId="14" fontId="0" fillId="0" borderId="0" xfId="0" applyNumberFormat="1" applyAlignment="1" applyProtection="1">
      <alignment vertical="center"/>
      <protection locked="0"/>
    </xf>
    <xf numFmtId="0" fontId="0" fillId="0" borderId="0" xfId="0" applyAlignment="1">
      <alignment horizontal="left" vertical="center" wrapText="1"/>
    </xf>
    <xf numFmtId="0" fontId="48" fillId="0" borderId="3" xfId="0" applyFont="1" applyBorder="1" applyAlignment="1" applyProtection="1">
      <alignment vertical="center"/>
      <protection locked="0"/>
    </xf>
    <xf numFmtId="49" fontId="13" fillId="0" borderId="3" xfId="0" applyNumberFormat="1" applyFont="1" applyBorder="1" applyAlignment="1" applyProtection="1">
      <alignment horizontal="left" vertical="center" wrapText="1"/>
      <protection locked="0"/>
    </xf>
    <xf numFmtId="0" fontId="0" fillId="0" borderId="3" xfId="0" applyBorder="1" applyAlignment="1">
      <alignment horizontal="left" vertical="center" wrapText="1"/>
    </xf>
    <xf numFmtId="0" fontId="48" fillId="0" borderId="0" xfId="0" applyFont="1" applyAlignment="1" applyProtection="1">
      <alignment vertical="center"/>
      <protection locked="0"/>
    </xf>
    <xf numFmtId="49" fontId="13" fillId="0" borderId="0" xfId="0" applyNumberFormat="1" applyFont="1" applyAlignment="1" applyProtection="1">
      <alignment horizontal="left" vertical="center"/>
      <protection locked="0"/>
    </xf>
    <xf numFmtId="0" fontId="0" fillId="0" borderId="0" xfId="0" applyAlignment="1">
      <alignment horizontal="left" vertical="center"/>
    </xf>
    <xf numFmtId="167" fontId="58" fillId="29" borderId="17" xfId="7" applyNumberFormat="1" applyFont="1" applyFill="1" applyBorder="1" applyAlignment="1">
      <alignment horizontal="center" vertical="center" wrapText="1" readingOrder="1"/>
    </xf>
    <xf numFmtId="167" fontId="58" fillId="42" borderId="14" xfId="7" applyNumberFormat="1" applyFont="1" applyFill="1" applyBorder="1" applyAlignment="1">
      <alignment horizontal="center" vertical="center" wrapText="1" readingOrder="1"/>
    </xf>
    <xf numFmtId="0" fontId="5" fillId="18" borderId="0" xfId="18" applyFont="1" applyFill="1" applyAlignment="1">
      <alignment vertical="center"/>
    </xf>
    <xf numFmtId="0" fontId="81" fillId="18" borderId="0" xfId="24" applyFill="1" applyAlignment="1">
      <alignment vertical="center"/>
    </xf>
    <xf numFmtId="0" fontId="61" fillId="26" borderId="16" xfId="1" applyFont="1" applyFill="1" applyBorder="1" applyAlignment="1">
      <alignment vertical="center" wrapText="1"/>
    </xf>
    <xf numFmtId="0" fontId="61" fillId="26" borderId="9" xfId="1" applyFont="1" applyFill="1" applyBorder="1" applyAlignment="1">
      <alignment vertical="center" wrapText="1"/>
    </xf>
    <xf numFmtId="0" fontId="72" fillId="39" borderId="5" xfId="1" applyFont="1" applyFill="1" applyBorder="1" applyAlignment="1">
      <alignment horizontal="center" vertical="center" textRotation="45" wrapText="1"/>
    </xf>
    <xf numFmtId="167" fontId="68" fillId="37" borderId="26" xfId="13" applyNumberFormat="1" applyFont="1" applyFill="1" applyBorder="1" applyAlignment="1">
      <alignment horizontal="center" vertical="center" textRotation="45" wrapText="1" readingOrder="1"/>
    </xf>
    <xf numFmtId="167" fontId="68" fillId="36" borderId="24" xfId="10" applyNumberFormat="1" applyFont="1" applyFill="1" applyBorder="1" applyAlignment="1">
      <alignment horizontal="center" vertical="center" textRotation="45" wrapText="1" readingOrder="1"/>
    </xf>
    <xf numFmtId="167" fontId="68" fillId="31" borderId="27" xfId="10" applyNumberFormat="1" applyFont="1" applyFill="1" applyBorder="1" applyAlignment="1">
      <alignment horizontal="center" vertical="center" textRotation="45" wrapText="1" readingOrder="1"/>
    </xf>
    <xf numFmtId="0" fontId="30" fillId="29" borderId="7" xfId="1" applyFont="1" applyFill="1" applyBorder="1" applyAlignment="1">
      <alignment horizontal="center" vertical="center" textRotation="45" wrapText="1"/>
    </xf>
    <xf numFmtId="167" fontId="68" fillId="38" borderId="10" xfId="7" applyNumberFormat="1" applyFont="1" applyFill="1" applyBorder="1" applyAlignment="1">
      <alignment horizontal="center" vertical="center" textRotation="45" wrapText="1" readingOrder="1"/>
    </xf>
    <xf numFmtId="167" fontId="68" fillId="37" borderId="10" xfId="13" applyNumberFormat="1" applyFont="1" applyFill="1" applyBorder="1" applyAlignment="1">
      <alignment horizontal="center" vertical="center" textRotation="45" wrapText="1" readingOrder="1"/>
    </xf>
    <xf numFmtId="167" fontId="68" fillId="36" borderId="10" xfId="10" applyNumberFormat="1" applyFont="1" applyFill="1" applyBorder="1" applyAlignment="1">
      <alignment horizontal="center" vertical="center" textRotation="45" wrapText="1" readingOrder="1"/>
    </xf>
    <xf numFmtId="167" fontId="68" fillId="31" borderId="10" xfId="11" applyNumberFormat="1" applyFont="1" applyFill="1" applyBorder="1" applyAlignment="1">
      <alignment horizontal="center" vertical="center" textRotation="45" wrapText="1" readingOrder="1"/>
    </xf>
    <xf numFmtId="0" fontId="61" fillId="26" borderId="0" xfId="1" applyFont="1" applyFill="1" applyBorder="1" applyAlignment="1">
      <alignment vertical="center" wrapText="1"/>
    </xf>
    <xf numFmtId="0" fontId="61" fillId="39" borderId="0" xfId="1" applyFont="1" applyFill="1" applyBorder="1" applyAlignment="1">
      <alignment vertical="center" wrapText="1"/>
    </xf>
    <xf numFmtId="9" fontId="45" fillId="9" borderId="21" xfId="6" applyNumberFormat="1" applyAlignment="1">
      <alignment horizontal="center" vertical="center"/>
    </xf>
    <xf numFmtId="0" fontId="30" fillId="29" borderId="1" xfId="27" applyFont="1" applyFill="1" applyBorder="1" applyAlignment="1">
      <alignment horizontal="center" vertical="center" wrapText="1"/>
    </xf>
    <xf numFmtId="0" fontId="30" fillId="4" borderId="1" xfId="27" applyFont="1" applyBorder="1" applyAlignment="1">
      <alignment horizontal="center" vertical="center" wrapText="1"/>
    </xf>
    <xf numFmtId="0" fontId="72" fillId="39" borderId="5" xfId="27" applyFont="1" applyFill="1" applyBorder="1" applyAlignment="1">
      <alignment horizontal="center" vertical="center" textRotation="45" wrapText="1"/>
    </xf>
    <xf numFmtId="0" fontId="2" fillId="18" borderId="0" xfId="28" applyFill="1" applyAlignment="1">
      <alignment horizontal="center" vertical="center" textRotation="45"/>
    </xf>
    <xf numFmtId="0" fontId="61" fillId="39" borderId="0" xfId="27" applyFont="1" applyFill="1" applyBorder="1" applyAlignment="1">
      <alignment vertical="center" wrapText="1"/>
    </xf>
    <xf numFmtId="0" fontId="61" fillId="26" borderId="0" xfId="27" applyFont="1" applyFill="1" applyBorder="1" applyAlignment="1">
      <alignment vertical="center" wrapText="1"/>
    </xf>
    <xf numFmtId="0" fontId="60" fillId="18" borderId="0" xfId="28" applyFont="1" applyFill="1" applyAlignment="1">
      <alignment vertical="center" textRotation="45"/>
    </xf>
    <xf numFmtId="0" fontId="2" fillId="18" borderId="0" xfId="28" applyFill="1" applyAlignment="1">
      <alignment horizontal="left" vertical="center"/>
    </xf>
    <xf numFmtId="9" fontId="0" fillId="0" borderId="17" xfId="32" applyFont="1" applyFill="1" applyBorder="1" applyAlignment="1" applyProtection="1">
      <alignment horizontal="center" vertical="center" readingOrder="1"/>
      <protection locked="0"/>
    </xf>
    <xf numFmtId="9" fontId="13" fillId="25" borderId="17" xfId="32" applyFont="1" applyFill="1" applyBorder="1" applyAlignment="1" applyProtection="1">
      <alignment horizontal="center" vertical="center" readingOrder="1"/>
      <protection locked="0"/>
    </xf>
    <xf numFmtId="9" fontId="0" fillId="0" borderId="14" xfId="32" applyFont="1" applyFill="1" applyBorder="1" applyAlignment="1" applyProtection="1">
      <alignment horizontal="center" vertical="center" readingOrder="1"/>
      <protection locked="0"/>
    </xf>
    <xf numFmtId="9" fontId="13" fillId="0" borderId="14" xfId="32" applyFont="1" applyFill="1" applyBorder="1" applyAlignment="1" applyProtection="1">
      <alignment horizontal="center" vertical="center" readingOrder="1"/>
      <protection locked="0"/>
    </xf>
    <xf numFmtId="0" fontId="2" fillId="18" borderId="0" xfId="28" applyFill="1" applyAlignment="1">
      <alignment vertical="center"/>
    </xf>
    <xf numFmtId="0" fontId="2" fillId="18" borderId="0" xfId="28" applyFill="1" applyAlignment="1">
      <alignment horizontal="center" vertical="center"/>
    </xf>
    <xf numFmtId="9" fontId="0" fillId="25" borderId="17" xfId="19" applyFont="1" applyFill="1" applyBorder="1" applyAlignment="1" applyProtection="1">
      <alignment horizontal="center" vertical="center" readingOrder="1"/>
      <protection locked="0"/>
    </xf>
    <xf numFmtId="9" fontId="0" fillId="25" borderId="14" xfId="19" applyFont="1" applyFill="1" applyBorder="1" applyAlignment="1" applyProtection="1">
      <alignment horizontal="center" vertical="center" readingOrder="1"/>
      <protection locked="0"/>
    </xf>
    <xf numFmtId="9" fontId="0" fillId="0" borderId="17" xfId="19" applyFont="1" applyFill="1" applyBorder="1" applyAlignment="1" applyProtection="1">
      <alignment horizontal="center" vertical="center" readingOrder="1"/>
      <protection locked="0"/>
    </xf>
    <xf numFmtId="0" fontId="69" fillId="0" borderId="0" xfId="7" applyFont="1" applyFill="1" applyBorder="1" applyAlignment="1">
      <alignment vertical="center" wrapText="1"/>
    </xf>
    <xf numFmtId="0" fontId="12" fillId="0" borderId="5" xfId="0" applyFont="1" applyBorder="1" applyAlignment="1">
      <alignment horizontal="left" vertical="center" shrinkToFit="1"/>
    </xf>
    <xf numFmtId="0" fontId="12" fillId="0" borderId="6" xfId="0" applyFont="1" applyBorder="1" applyAlignment="1">
      <alignment horizontal="left" vertical="center" shrinkToFit="1"/>
    </xf>
    <xf numFmtId="0" fontId="12" fillId="0" borderId="7" xfId="0" applyFont="1" applyBorder="1" applyAlignment="1">
      <alignment horizontal="left" vertical="center" shrinkToFit="1"/>
    </xf>
    <xf numFmtId="0" fontId="12" fillId="0" borderId="5" xfId="0" applyFont="1" applyBorder="1" applyAlignment="1">
      <alignment horizontal="left" vertical="center" wrapText="1"/>
    </xf>
    <xf numFmtId="0" fontId="12" fillId="0" borderId="6" xfId="0" applyFont="1" applyBorder="1" applyAlignment="1">
      <alignment horizontal="left" vertical="center" wrapText="1"/>
    </xf>
    <xf numFmtId="0" fontId="12" fillId="0" borderId="7" xfId="0" applyFont="1" applyBorder="1" applyAlignment="1">
      <alignment horizontal="left" vertical="center" wrapText="1"/>
    </xf>
    <xf numFmtId="0" fontId="33" fillId="0" borderId="2" xfId="0" applyFont="1" applyBorder="1" applyAlignment="1">
      <alignment horizontal="left" vertical="center" shrinkToFit="1"/>
    </xf>
    <xf numFmtId="0" fontId="33" fillId="0" borderId="3" xfId="0" applyFont="1" applyBorder="1" applyAlignment="1">
      <alignment horizontal="left" vertical="center" shrinkToFit="1"/>
    </xf>
    <xf numFmtId="0" fontId="33" fillId="0" borderId="4" xfId="0" applyFont="1" applyBorder="1" applyAlignment="1">
      <alignment horizontal="left" vertical="center" shrinkToFit="1"/>
    </xf>
    <xf numFmtId="0" fontId="42" fillId="0" borderId="0" xfId="0" applyFont="1" applyAlignment="1" applyProtection="1">
      <alignment horizontal="center" vertical="center" wrapText="1"/>
      <protection locked="0"/>
    </xf>
    <xf numFmtId="0" fontId="34" fillId="7" borderId="19" xfId="0" applyFont="1" applyFill="1" applyBorder="1" applyAlignment="1" applyProtection="1">
      <alignment horizontal="center" vertical="center" shrinkToFit="1"/>
      <protection locked="0"/>
    </xf>
    <xf numFmtId="0" fontId="34" fillId="7" borderId="0" xfId="0" applyFont="1" applyFill="1" applyBorder="1" applyAlignment="1" applyProtection="1">
      <alignment horizontal="center" vertical="center" shrinkToFit="1"/>
      <protection locked="0"/>
    </xf>
    <xf numFmtId="0" fontId="34" fillId="7" borderId="20" xfId="0" applyFont="1" applyFill="1" applyBorder="1" applyAlignment="1" applyProtection="1">
      <alignment horizontal="center" vertical="center" shrinkToFit="1"/>
      <protection locked="0"/>
    </xf>
    <xf numFmtId="0" fontId="13" fillId="0" borderId="2" xfId="0" applyFont="1" applyBorder="1" applyAlignment="1" applyProtection="1">
      <alignment horizontal="right" vertical="top" wrapText="1" shrinkToFit="1"/>
      <protection locked="0"/>
    </xf>
    <xf numFmtId="0" fontId="13" fillId="0" borderId="3" xfId="0" applyFont="1" applyBorder="1" applyAlignment="1" applyProtection="1">
      <alignment horizontal="right" vertical="top" wrapText="1" shrinkToFit="1"/>
      <protection locked="0"/>
    </xf>
    <xf numFmtId="0" fontId="35" fillId="0" borderId="3" xfId="0" applyFont="1" applyBorder="1" applyAlignment="1" applyProtection="1">
      <alignment horizontal="left" vertical="top" wrapText="1" shrinkToFit="1"/>
      <protection locked="0"/>
    </xf>
    <xf numFmtId="0" fontId="35" fillId="0" borderId="4" xfId="0" applyFont="1" applyBorder="1" applyAlignment="1" applyProtection="1">
      <alignment horizontal="left" vertical="top" wrapText="1" shrinkToFit="1"/>
      <protection locked="0"/>
    </xf>
    <xf numFmtId="0" fontId="9" fillId="0" borderId="2" xfId="0" applyFont="1" applyBorder="1" applyAlignment="1" applyProtection="1">
      <alignment horizontal="left" vertical="top" wrapText="1" shrinkToFit="1"/>
      <protection locked="0"/>
    </xf>
    <xf numFmtId="0" fontId="9" fillId="0" borderId="3" xfId="0" applyFont="1" applyBorder="1" applyAlignment="1" applyProtection="1">
      <alignment horizontal="left" vertical="top" wrapText="1" shrinkToFit="1"/>
      <protection locked="0"/>
    </xf>
    <xf numFmtId="0" fontId="9" fillId="0" borderId="4" xfId="0" applyFont="1" applyBorder="1" applyAlignment="1" applyProtection="1">
      <alignment horizontal="left" vertical="top" wrapText="1" shrinkToFit="1"/>
      <protection locked="0"/>
    </xf>
    <xf numFmtId="0" fontId="34" fillId="7" borderId="5" xfId="0" applyFont="1" applyFill="1" applyBorder="1" applyAlignment="1" applyProtection="1">
      <alignment horizontal="center" vertical="center" shrinkToFit="1"/>
      <protection locked="0"/>
    </xf>
    <xf numFmtId="0" fontId="34" fillId="7" borderId="6" xfId="0" applyFont="1" applyFill="1" applyBorder="1" applyAlignment="1" applyProtection="1">
      <alignment horizontal="center" vertical="center" shrinkToFit="1"/>
      <protection locked="0"/>
    </xf>
    <xf numFmtId="0" fontId="34" fillId="7" borderId="7" xfId="0" applyFont="1" applyFill="1" applyBorder="1" applyAlignment="1" applyProtection="1">
      <alignment horizontal="center" vertical="center" shrinkToFit="1"/>
      <protection locked="0"/>
    </xf>
    <xf numFmtId="0" fontId="13" fillId="0" borderId="2" xfId="0" applyFont="1" applyBorder="1" applyAlignment="1" applyProtection="1">
      <alignment horizontal="center" vertical="top" wrapText="1" shrinkToFit="1"/>
      <protection locked="0"/>
    </xf>
    <xf numFmtId="0" fontId="13" fillId="0" borderId="3" xfId="0" applyFont="1" applyBorder="1" applyAlignment="1" applyProtection="1">
      <alignment horizontal="center" vertical="top" wrapText="1" shrinkToFit="1"/>
      <protection locked="0"/>
    </xf>
    <xf numFmtId="0" fontId="13" fillId="0" borderId="4" xfId="0" applyFont="1" applyBorder="1" applyAlignment="1" applyProtection="1">
      <alignment horizontal="center" vertical="top" wrapText="1" shrinkToFit="1"/>
      <protection locked="0"/>
    </xf>
    <xf numFmtId="0" fontId="34" fillId="7" borderId="6" xfId="0" applyFont="1" applyFill="1" applyBorder="1" applyAlignment="1" applyProtection="1">
      <alignment horizontal="center" vertical="center" wrapText="1"/>
      <protection locked="0"/>
    </xf>
    <xf numFmtId="0" fontId="34" fillId="7" borderId="7" xfId="0" applyFont="1" applyFill="1" applyBorder="1" applyAlignment="1" applyProtection="1">
      <alignment horizontal="center" vertical="center" wrapText="1"/>
      <protection locked="0"/>
    </xf>
    <xf numFmtId="0" fontId="34" fillId="7" borderId="0" xfId="0" applyFont="1" applyFill="1" applyBorder="1" applyAlignment="1" applyProtection="1">
      <alignment horizontal="center" vertical="center" wrapText="1"/>
      <protection locked="0"/>
    </xf>
    <xf numFmtId="0" fontId="34" fillId="7" borderId="20" xfId="0" applyFont="1" applyFill="1" applyBorder="1" applyAlignment="1" applyProtection="1">
      <alignment horizontal="center" vertical="center" wrapText="1"/>
      <protection locked="0"/>
    </xf>
    <xf numFmtId="0" fontId="13" fillId="0" borderId="5" xfId="0" applyFont="1" applyBorder="1" applyAlignment="1" applyProtection="1">
      <alignment horizontal="left" vertical="top"/>
      <protection locked="0"/>
    </xf>
    <xf numFmtId="0" fontId="13" fillId="0" borderId="6" xfId="0" applyFont="1" applyBorder="1" applyAlignment="1" applyProtection="1">
      <alignment horizontal="left" vertical="top"/>
      <protection locked="0"/>
    </xf>
    <xf numFmtId="0" fontId="13" fillId="0" borderId="7" xfId="0" applyFont="1" applyBorder="1" applyAlignment="1" applyProtection="1">
      <alignment horizontal="left" vertical="top"/>
      <protection locked="0"/>
    </xf>
    <xf numFmtId="0" fontId="13" fillId="0" borderId="2" xfId="0" applyFont="1" applyBorder="1" applyAlignment="1" applyProtection="1">
      <alignment horizontal="left" vertical="top"/>
      <protection locked="0"/>
    </xf>
    <xf numFmtId="0" fontId="13" fillId="0" borderId="3" xfId="0" applyFont="1" applyBorder="1" applyAlignment="1" applyProtection="1">
      <alignment horizontal="left" vertical="top"/>
      <protection locked="0"/>
    </xf>
    <xf numFmtId="0" fontId="13" fillId="0" borderId="4" xfId="0" applyFont="1" applyBorder="1" applyAlignment="1" applyProtection="1">
      <alignment horizontal="left" vertical="top"/>
      <protection locked="0"/>
    </xf>
    <xf numFmtId="167" fontId="28" fillId="19" borderId="19" xfId="7" applyNumberFormat="1" applyFill="1" applyBorder="1" applyAlignment="1">
      <alignment horizontal="center" vertical="center" wrapText="1" readingOrder="1"/>
    </xf>
    <xf numFmtId="167" fontId="28" fillId="19" borderId="0" xfId="7" applyNumberFormat="1" applyFill="1" applyBorder="1" applyAlignment="1">
      <alignment horizontal="center" vertical="center" wrapText="1" readingOrder="1"/>
    </xf>
    <xf numFmtId="167" fontId="28" fillId="19" borderId="20" xfId="7" applyNumberFormat="1" applyFill="1" applyBorder="1" applyAlignment="1">
      <alignment horizontal="center" vertical="center" wrapText="1" readingOrder="1"/>
    </xf>
    <xf numFmtId="0" fontId="7" fillId="18" borderId="8" xfId="15" applyFill="1" applyBorder="1" applyAlignment="1">
      <alignment horizontal="left" vertical="center" wrapText="1"/>
    </xf>
    <xf numFmtId="0" fontId="7" fillId="18" borderId="16" xfId="15" applyFill="1" applyBorder="1" applyAlignment="1">
      <alignment horizontal="left" vertical="center" wrapText="1"/>
    </xf>
    <xf numFmtId="0" fontId="7" fillId="18" borderId="9" xfId="15" applyFill="1" applyBorder="1" applyAlignment="1">
      <alignment horizontal="left" vertical="center" wrapText="1"/>
    </xf>
    <xf numFmtId="0" fontId="54" fillId="22" borderId="0" xfId="17" applyFont="1" applyFill="1" applyBorder="1" applyAlignment="1">
      <alignment horizontal="center" vertical="center"/>
    </xf>
    <xf numFmtId="0" fontId="44" fillId="8" borderId="23" xfId="5" applyBorder="1" applyAlignment="1">
      <alignment horizontal="left"/>
    </xf>
    <xf numFmtId="0" fontId="44" fillId="8" borderId="0" xfId="5" applyBorder="1" applyAlignment="1">
      <alignment horizontal="left"/>
    </xf>
    <xf numFmtId="0" fontId="44" fillId="33" borderId="23" xfId="5" applyFill="1" applyBorder="1" applyAlignment="1">
      <alignment horizontal="center"/>
    </xf>
    <xf numFmtId="0" fontId="44" fillId="33" borderId="0" xfId="5" applyFill="1" applyBorder="1" applyAlignment="1">
      <alignment horizontal="center"/>
    </xf>
    <xf numFmtId="0" fontId="8" fillId="3" borderId="1" xfId="3" applyFont="1" applyFill="1" applyBorder="1" applyAlignment="1">
      <alignment horizontal="center" vertical="center" wrapText="1"/>
    </xf>
    <xf numFmtId="9" fontId="47" fillId="21" borderId="1" xfId="16" applyNumberFormat="1" applyFont="1" applyFill="1" applyBorder="1" applyAlignment="1">
      <alignment horizontal="center" vertical="center"/>
    </xf>
    <xf numFmtId="0" fontId="47" fillId="21" borderId="1" xfId="16" applyFont="1" applyFill="1" applyBorder="1" applyAlignment="1">
      <alignment horizontal="center" vertical="center"/>
    </xf>
    <xf numFmtId="0" fontId="47" fillId="20" borderId="19" xfId="16" applyFont="1" applyFill="1" applyBorder="1" applyAlignment="1">
      <alignment horizontal="center" vertical="center"/>
    </xf>
    <xf numFmtId="0" fontId="47" fillId="20" borderId="0" xfId="16" applyFont="1" applyFill="1" applyBorder="1" applyAlignment="1">
      <alignment horizontal="center" vertical="center"/>
    </xf>
    <xf numFmtId="0" fontId="54" fillId="23" borderId="19" xfId="17" applyFont="1" applyFill="1" applyBorder="1" applyAlignment="1">
      <alignment horizontal="center" vertical="center"/>
    </xf>
    <xf numFmtId="0" fontId="54" fillId="23" borderId="0" xfId="17" applyFont="1" applyFill="1" applyBorder="1" applyAlignment="1">
      <alignment horizontal="center" vertical="center"/>
    </xf>
    <xf numFmtId="49" fontId="13" fillId="0" borderId="1" xfId="0" applyNumberFormat="1" applyFont="1" applyBorder="1" applyAlignment="1" applyProtection="1">
      <alignment horizontal="left" vertical="center" wrapText="1"/>
      <protection locked="0"/>
    </xf>
    <xf numFmtId="0" fontId="0" fillId="0" borderId="1" xfId="0" applyBorder="1" applyAlignment="1">
      <alignment horizontal="left" vertical="center" wrapText="1"/>
    </xf>
    <xf numFmtId="49" fontId="13" fillId="0" borderId="1" xfId="0" applyNumberFormat="1" applyFont="1" applyBorder="1" applyAlignment="1" applyProtection="1">
      <alignment vertical="center" wrapText="1"/>
      <protection locked="0"/>
    </xf>
    <xf numFmtId="0" fontId="17" fillId="48" borderId="1" xfId="0" applyFont="1" applyFill="1" applyBorder="1" applyAlignment="1" applyProtection="1">
      <alignment horizontal="center" vertical="center" wrapText="1"/>
      <protection locked="0"/>
    </xf>
    <xf numFmtId="0" fontId="0" fillId="0" borderId="1" xfId="0" applyBorder="1" applyAlignment="1">
      <alignment horizontal="center" vertical="center" wrapText="1"/>
    </xf>
    <xf numFmtId="0" fontId="79" fillId="49" borderId="1" xfId="0" applyFont="1" applyFill="1" applyBorder="1" applyAlignment="1">
      <alignment horizontal="center" vertical="center" wrapText="1"/>
    </xf>
    <xf numFmtId="49" fontId="13" fillId="0" borderId="8" xfId="0" applyNumberFormat="1" applyFont="1" applyBorder="1" applyAlignment="1" applyProtection="1">
      <alignment horizontal="center" vertical="center" wrapText="1"/>
      <protection locked="0"/>
    </xf>
    <xf numFmtId="49" fontId="13" fillId="0" borderId="16" xfId="0" applyNumberFormat="1" applyFont="1" applyBorder="1" applyAlignment="1" applyProtection="1">
      <alignment horizontal="center" vertical="center" wrapText="1"/>
      <protection locked="0"/>
    </xf>
    <xf numFmtId="49" fontId="13" fillId="0" borderId="9" xfId="0" applyNumberFormat="1" applyFont="1" applyBorder="1" applyAlignment="1" applyProtection="1">
      <alignment horizontal="center" vertical="center" wrapText="1"/>
      <protection locked="0"/>
    </xf>
    <xf numFmtId="0" fontId="80" fillId="0" borderId="8" xfId="23" applyBorder="1" applyAlignment="1">
      <alignment horizontal="left" vertical="center" wrapText="1"/>
    </xf>
    <xf numFmtId="0" fontId="0" fillId="0" borderId="16" xfId="0" applyBorder="1" applyAlignment="1">
      <alignment horizontal="left" vertical="center" wrapText="1"/>
    </xf>
    <xf numFmtId="0" fontId="0" fillId="0" borderId="9" xfId="0" applyBorder="1" applyAlignment="1">
      <alignment horizontal="left" vertical="center" wrapText="1"/>
    </xf>
    <xf numFmtId="0" fontId="44" fillId="35" borderId="23" xfId="5" applyFill="1" applyBorder="1" applyAlignment="1">
      <alignment horizontal="center"/>
    </xf>
    <xf numFmtId="0" fontId="44" fillId="35" borderId="0" xfId="5" applyFill="1" applyBorder="1" applyAlignment="1">
      <alignment horizontal="center"/>
    </xf>
    <xf numFmtId="0" fontId="7" fillId="18" borderId="1" xfId="15" applyFill="1" applyBorder="1" applyAlignment="1">
      <alignment horizontal="left" vertical="top" wrapText="1"/>
    </xf>
    <xf numFmtId="0" fontId="44" fillId="34" borderId="23" xfId="5" applyFill="1" applyBorder="1" applyAlignment="1">
      <alignment horizontal="center"/>
    </xf>
    <xf numFmtId="0" fontId="44" fillId="34" borderId="0" xfId="5" applyFill="1" applyBorder="1" applyAlignment="1">
      <alignment horizontal="center"/>
    </xf>
    <xf numFmtId="9" fontId="47" fillId="40" borderId="1" xfId="16" applyNumberFormat="1" applyFont="1" applyFill="1" applyBorder="1" applyAlignment="1">
      <alignment horizontal="center" vertical="center"/>
    </xf>
    <xf numFmtId="0" fontId="47" fillId="40" borderId="1" xfId="16" applyFont="1" applyFill="1" applyBorder="1" applyAlignment="1">
      <alignment horizontal="center" vertical="center"/>
    </xf>
    <xf numFmtId="9" fontId="54" fillId="31" borderId="1" xfId="17" applyNumberFormat="1" applyFont="1" applyFill="1" applyBorder="1" applyAlignment="1">
      <alignment horizontal="center" vertical="center"/>
    </xf>
    <xf numFmtId="0" fontId="54" fillId="31" borderId="1" xfId="17" applyFont="1" applyFill="1" applyBorder="1" applyAlignment="1">
      <alignment horizontal="center" vertical="center"/>
    </xf>
    <xf numFmtId="9" fontId="47" fillId="24" borderId="1" xfId="16" applyNumberFormat="1" applyFont="1" applyFill="1" applyBorder="1" applyAlignment="1">
      <alignment horizontal="center" vertical="center"/>
    </xf>
    <xf numFmtId="0" fontId="47" fillId="24" borderId="1" xfId="16" applyFont="1" applyFill="1" applyBorder="1" applyAlignment="1">
      <alignment horizontal="center" vertical="center"/>
    </xf>
    <xf numFmtId="0" fontId="54" fillId="22" borderId="1" xfId="17" applyFont="1" applyFill="1" applyBorder="1" applyAlignment="1">
      <alignment horizontal="center" vertical="center"/>
    </xf>
    <xf numFmtId="0" fontId="47" fillId="25" borderId="1" xfId="16" applyFont="1" applyFill="1" applyBorder="1" applyAlignment="1">
      <alignment horizontal="center" vertical="top"/>
    </xf>
    <xf numFmtId="0" fontId="6" fillId="18" borderId="1" xfId="15" applyFont="1" applyFill="1" applyBorder="1" applyAlignment="1">
      <alignment horizontal="left" vertical="top" wrapText="1"/>
    </xf>
    <xf numFmtId="9" fontId="54" fillId="23" borderId="1" xfId="17" applyNumberFormat="1" applyFont="1" applyFill="1" applyBorder="1" applyAlignment="1">
      <alignment horizontal="center" vertical="center"/>
    </xf>
    <xf numFmtId="0" fontId="54" fillId="23" borderId="1" xfId="17" applyFont="1" applyFill="1" applyBorder="1" applyAlignment="1">
      <alignment horizontal="center" vertical="center"/>
    </xf>
    <xf numFmtId="0" fontId="44" fillId="27" borderId="23" xfId="5" applyFill="1" applyBorder="1" applyAlignment="1">
      <alignment horizontal="center"/>
    </xf>
    <xf numFmtId="0" fontId="44" fillId="27" borderId="0" xfId="5" applyFill="1" applyBorder="1" applyAlignment="1">
      <alignment horizontal="center"/>
    </xf>
    <xf numFmtId="0" fontId="8" fillId="3" borderId="0" xfId="3" applyFont="1" applyFill="1" applyBorder="1" applyAlignment="1">
      <alignment horizontal="center" vertical="center" wrapText="1"/>
    </xf>
    <xf numFmtId="0" fontId="47" fillId="21" borderId="0" xfId="16" applyFont="1" applyFill="1" applyBorder="1" applyAlignment="1">
      <alignment horizontal="center" vertical="center"/>
    </xf>
    <xf numFmtId="0" fontId="0" fillId="0" borderId="8" xfId="0" applyBorder="1" applyAlignment="1">
      <alignment horizontal="left" vertical="center" wrapText="1"/>
    </xf>
    <xf numFmtId="49" fontId="13" fillId="0" borderId="1" xfId="0" applyNumberFormat="1" applyFont="1" applyBorder="1" applyAlignment="1" applyProtection="1">
      <alignment horizontal="center" vertical="center" wrapText="1"/>
      <protection locked="0"/>
    </xf>
    <xf numFmtId="49" fontId="13" fillId="0" borderId="1" xfId="0" applyNumberFormat="1" applyFont="1" applyBorder="1" applyAlignment="1">
      <alignment horizontal="center" vertical="center" wrapText="1"/>
    </xf>
    <xf numFmtId="49" fontId="13" fillId="0" borderId="1" xfId="0" applyNumberFormat="1" applyFont="1" applyBorder="1" applyAlignment="1">
      <alignment horizontal="left" vertical="center" wrapText="1"/>
    </xf>
    <xf numFmtId="0" fontId="33" fillId="47" borderId="2" xfId="0" applyFont="1" applyFill="1" applyBorder="1" applyAlignment="1">
      <alignment horizontal="left" vertical="center" shrinkToFit="1"/>
    </xf>
    <xf numFmtId="0" fontId="33" fillId="47" borderId="3" xfId="0" applyFont="1" applyFill="1" applyBorder="1" applyAlignment="1">
      <alignment horizontal="left" vertical="center" shrinkToFit="1"/>
    </xf>
    <xf numFmtId="0" fontId="33" fillId="47" borderId="4" xfId="0" applyFont="1" applyFill="1" applyBorder="1" applyAlignment="1">
      <alignment horizontal="left" vertical="center" shrinkToFit="1"/>
    </xf>
    <xf numFmtId="49" fontId="13" fillId="42" borderId="1" xfId="0" applyNumberFormat="1" applyFont="1" applyFill="1" applyBorder="1" applyAlignment="1" applyProtection="1">
      <alignment horizontal="center" vertical="center" wrapText="1"/>
      <protection locked="0"/>
    </xf>
    <xf numFmtId="49" fontId="13" fillId="44" borderId="1" xfId="0" applyNumberFormat="1" applyFont="1" applyFill="1" applyBorder="1" applyAlignment="1" applyProtection="1">
      <alignment horizontal="center" vertical="center" wrapText="1"/>
      <protection locked="0"/>
    </xf>
    <xf numFmtId="49" fontId="27" fillId="4" borderId="1" xfId="1" applyNumberFormat="1" applyBorder="1" applyAlignment="1" applyProtection="1">
      <alignment horizontal="center" vertical="center" wrapText="1"/>
      <protection locked="0"/>
    </xf>
    <xf numFmtId="49" fontId="13" fillId="29" borderId="5" xfId="0" applyNumberFormat="1" applyFont="1" applyFill="1" applyBorder="1" applyAlignment="1" applyProtection="1">
      <alignment horizontal="center" vertical="center" wrapText="1"/>
      <protection locked="0"/>
    </xf>
    <xf numFmtId="49" fontId="13" fillId="29" borderId="6" xfId="0" applyNumberFormat="1" applyFont="1" applyFill="1" applyBorder="1" applyAlignment="1" applyProtection="1">
      <alignment horizontal="center" vertical="center" wrapText="1"/>
      <protection locked="0"/>
    </xf>
    <xf numFmtId="49" fontId="13" fillId="29" borderId="7" xfId="0" applyNumberFormat="1" applyFont="1" applyFill="1" applyBorder="1" applyAlignment="1" applyProtection="1">
      <alignment horizontal="center" vertical="center" wrapText="1"/>
      <protection locked="0"/>
    </xf>
    <xf numFmtId="49" fontId="13" fillId="29" borderId="19" xfId="0" applyNumberFormat="1" applyFont="1" applyFill="1" applyBorder="1" applyAlignment="1" applyProtection="1">
      <alignment horizontal="center" vertical="center" wrapText="1"/>
      <protection locked="0"/>
    </xf>
    <xf numFmtId="49" fontId="13" fillId="29" borderId="0" xfId="0" applyNumberFormat="1" applyFont="1" applyFill="1" applyBorder="1" applyAlignment="1" applyProtection="1">
      <alignment horizontal="center" vertical="center" wrapText="1"/>
      <protection locked="0"/>
    </xf>
    <xf numFmtId="49" fontId="13" fillId="29" borderId="20" xfId="0" applyNumberFormat="1" applyFont="1" applyFill="1" applyBorder="1" applyAlignment="1" applyProtection="1">
      <alignment horizontal="center" vertical="center" wrapText="1"/>
      <protection locked="0"/>
    </xf>
    <xf numFmtId="49" fontId="13" fillId="29" borderId="2" xfId="0" applyNumberFormat="1" applyFont="1" applyFill="1" applyBorder="1" applyAlignment="1" applyProtection="1">
      <alignment horizontal="center" vertical="center" wrapText="1"/>
      <protection locked="0"/>
    </xf>
    <xf numFmtId="49" fontId="13" fillId="29" borderId="3" xfId="0" applyNumberFormat="1" applyFont="1" applyFill="1" applyBorder="1" applyAlignment="1" applyProtection="1">
      <alignment horizontal="center" vertical="center" wrapText="1"/>
      <protection locked="0"/>
    </xf>
    <xf numFmtId="49" fontId="13" fillId="29" borderId="4" xfId="0" applyNumberFormat="1" applyFont="1" applyFill="1" applyBorder="1" applyAlignment="1" applyProtection="1">
      <alignment horizontal="center" vertical="center" wrapText="1"/>
      <protection locked="0"/>
    </xf>
    <xf numFmtId="49" fontId="3" fillId="52" borderId="1" xfId="26" applyNumberFormat="1" applyBorder="1" applyAlignment="1" applyProtection="1">
      <alignment horizontal="center" vertical="center" wrapText="1"/>
      <protection locked="0"/>
    </xf>
    <xf numFmtId="49" fontId="7" fillId="11" borderId="1" xfId="8" applyNumberFormat="1" applyBorder="1" applyAlignment="1" applyProtection="1">
      <alignment horizontal="center" vertical="center" wrapText="1"/>
      <protection locked="0"/>
    </xf>
    <xf numFmtId="49" fontId="3" fillId="51" borderId="1" xfId="25" applyNumberFormat="1" applyBorder="1" applyAlignment="1" applyProtection="1">
      <alignment horizontal="center" vertical="center" wrapText="1"/>
      <protection locked="0"/>
    </xf>
    <xf numFmtId="0" fontId="12" fillId="47" borderId="5" xfId="0" applyFont="1" applyFill="1" applyBorder="1" applyAlignment="1">
      <alignment horizontal="left" vertical="center" wrapText="1"/>
    </xf>
    <xf numFmtId="0" fontId="12" fillId="47" borderId="6" xfId="0" applyFont="1" applyFill="1" applyBorder="1" applyAlignment="1">
      <alignment horizontal="left" vertical="center" wrapText="1"/>
    </xf>
    <xf numFmtId="0" fontId="12" fillId="47" borderId="7" xfId="0" applyFont="1" applyFill="1" applyBorder="1" applyAlignment="1">
      <alignment horizontal="left" vertical="center" wrapText="1"/>
    </xf>
    <xf numFmtId="0" fontId="12" fillId="47" borderId="5" xfId="0" applyFont="1" applyFill="1" applyBorder="1" applyAlignment="1">
      <alignment horizontal="left" vertical="center" shrinkToFit="1"/>
    </xf>
    <xf numFmtId="0" fontId="12" fillId="47" borderId="6" xfId="0" applyFont="1" applyFill="1" applyBorder="1" applyAlignment="1">
      <alignment horizontal="left" vertical="center" shrinkToFit="1"/>
    </xf>
    <xf numFmtId="0" fontId="12" fillId="47" borderId="7" xfId="0" applyFont="1" applyFill="1" applyBorder="1" applyAlignment="1">
      <alignment horizontal="left" vertical="center" shrinkToFit="1"/>
    </xf>
    <xf numFmtId="0" fontId="24" fillId="47" borderId="2" xfId="0" applyFont="1" applyFill="1" applyBorder="1" applyAlignment="1">
      <alignment horizontal="left" vertical="center" shrinkToFit="1"/>
    </xf>
    <xf numFmtId="0" fontId="24" fillId="47" borderId="3" xfId="0" applyFont="1" applyFill="1" applyBorder="1" applyAlignment="1">
      <alignment horizontal="left" vertical="center" shrinkToFit="1"/>
    </xf>
    <xf numFmtId="0" fontId="24" fillId="47" borderId="4" xfId="0" applyFont="1" applyFill="1" applyBorder="1" applyAlignment="1">
      <alignment horizontal="left" vertical="center" shrinkToFit="1"/>
    </xf>
    <xf numFmtId="0" fontId="0" fillId="48" borderId="1" xfId="0" applyFill="1" applyBorder="1" applyAlignment="1" applyProtection="1">
      <alignment horizontal="center" vertical="center" wrapText="1"/>
      <protection locked="0"/>
    </xf>
    <xf numFmtId="0" fontId="31" fillId="5" borderId="8" xfId="2" applyFont="1" applyBorder="1" applyAlignment="1">
      <alignment horizontal="center" vertical="center" wrapText="1"/>
    </xf>
    <xf numFmtId="0" fontId="31" fillId="5" borderId="9" xfId="2" applyFont="1" applyBorder="1" applyAlignment="1">
      <alignment horizontal="center" vertical="center" wrapText="1"/>
    </xf>
    <xf numFmtId="0" fontId="31" fillId="27" borderId="2" xfId="2" applyFont="1" applyFill="1" applyBorder="1" applyAlignment="1" applyProtection="1">
      <alignment horizontal="center" vertical="center" wrapText="1"/>
      <protection locked="0"/>
    </xf>
    <xf numFmtId="0" fontId="31" fillId="27" borderId="3" xfId="2" applyFont="1" applyFill="1" applyBorder="1" applyAlignment="1" applyProtection="1">
      <alignment horizontal="center" vertical="center" wrapText="1"/>
      <protection locked="0"/>
    </xf>
    <xf numFmtId="0" fontId="31" fillId="28" borderId="2" xfId="13" applyFont="1" applyFill="1" applyBorder="1" applyAlignment="1" applyProtection="1">
      <alignment horizontal="center" vertical="center" wrapText="1"/>
      <protection locked="0"/>
    </xf>
    <xf numFmtId="0" fontId="31" fillId="28" borderId="3" xfId="13" applyFont="1" applyFill="1" applyBorder="1" applyAlignment="1" applyProtection="1">
      <alignment horizontal="center" vertical="center" wrapText="1"/>
      <protection locked="0"/>
    </xf>
    <xf numFmtId="0" fontId="74" fillId="7" borderId="19" xfId="13" applyFont="1" applyFill="1" applyBorder="1" applyAlignment="1" applyProtection="1">
      <alignment horizontal="center" vertical="center" wrapText="1"/>
      <protection locked="0"/>
    </xf>
    <xf numFmtId="0" fontId="74" fillId="7" borderId="0" xfId="13" applyFont="1" applyFill="1" applyBorder="1" applyAlignment="1" applyProtection="1">
      <alignment horizontal="center" vertical="center" wrapText="1"/>
      <protection locked="0"/>
    </xf>
    <xf numFmtId="0" fontId="74" fillId="44" borderId="19" xfId="13" applyFont="1" applyFill="1" applyBorder="1" applyAlignment="1" applyProtection="1">
      <alignment horizontal="center" vertical="center" wrapText="1"/>
      <protection locked="0"/>
    </xf>
    <xf numFmtId="0" fontId="74" fillId="44" borderId="0" xfId="13" applyFont="1" applyFill="1" applyBorder="1" applyAlignment="1" applyProtection="1">
      <alignment horizontal="center" vertical="center" wrapText="1"/>
      <protection locked="0"/>
    </xf>
    <xf numFmtId="9" fontId="75" fillId="45" borderId="0" xfId="18" applyNumberFormat="1" applyFont="1" applyFill="1" applyAlignment="1">
      <alignment horizontal="center" vertical="center" wrapText="1"/>
    </xf>
    <xf numFmtId="0" fontId="75" fillId="45" borderId="0" xfId="18" applyFont="1" applyFill="1" applyAlignment="1">
      <alignment horizontal="center" vertical="center" wrapText="1"/>
    </xf>
    <xf numFmtId="0" fontId="4" fillId="46" borderId="0" xfId="18" applyFont="1" applyFill="1" applyAlignment="1">
      <alignment horizontal="center" vertical="top" wrapText="1"/>
    </xf>
    <xf numFmtId="0" fontId="62" fillId="30" borderId="8" xfId="0" quotePrefix="1" applyFont="1" applyFill="1" applyBorder="1" applyAlignment="1" applyProtection="1">
      <alignment horizontal="center"/>
      <protection locked="0"/>
    </xf>
    <xf numFmtId="0" fontId="62" fillId="30" borderId="16" xfId="0" quotePrefix="1" applyFont="1" applyFill="1" applyBorder="1" applyAlignment="1" applyProtection="1">
      <alignment horizontal="center"/>
      <protection locked="0"/>
    </xf>
    <xf numFmtId="0" fontId="62" fillId="30" borderId="9" xfId="0" quotePrefix="1" applyFont="1" applyFill="1" applyBorder="1" applyAlignment="1" applyProtection="1">
      <alignment horizontal="center"/>
      <protection locked="0"/>
    </xf>
    <xf numFmtId="0" fontId="8" fillId="32" borderId="8" xfId="0" applyFont="1" applyFill="1" applyBorder="1" applyAlignment="1" applyProtection="1">
      <alignment horizontal="center" vertical="center" wrapText="1"/>
      <protection locked="0"/>
    </xf>
    <xf numFmtId="0" fontId="8" fillId="32" borderId="9" xfId="0" applyFont="1" applyFill="1" applyBorder="1" applyAlignment="1" applyProtection="1">
      <alignment horizontal="center" vertical="center" wrapText="1"/>
      <protection locked="0"/>
    </xf>
    <xf numFmtId="0" fontId="13" fillId="0" borderId="8" xfId="0" applyFont="1" applyFill="1" applyBorder="1" applyAlignment="1" applyProtection="1">
      <alignment horizontal="left" vertical="top" wrapText="1"/>
      <protection locked="0"/>
    </xf>
    <xf numFmtId="0" fontId="13" fillId="0" borderId="16" xfId="0" applyFont="1" applyFill="1" applyBorder="1" applyAlignment="1" applyProtection="1">
      <alignment horizontal="left" vertical="top" wrapText="1"/>
      <protection locked="0"/>
    </xf>
    <xf numFmtId="0" fontId="13" fillId="0" borderId="9" xfId="0" applyFont="1" applyFill="1" applyBorder="1" applyAlignment="1" applyProtection="1">
      <alignment horizontal="left" vertical="top" wrapText="1"/>
      <protection locked="0"/>
    </xf>
    <xf numFmtId="0" fontId="8" fillId="32" borderId="16" xfId="0" applyFont="1" applyFill="1" applyBorder="1" applyAlignment="1" applyProtection="1">
      <alignment horizontal="center" vertical="center" wrapText="1"/>
      <protection locked="0"/>
    </xf>
    <xf numFmtId="0" fontId="13" fillId="18" borderId="8" xfId="0" applyFont="1" applyFill="1" applyBorder="1" applyAlignment="1" applyProtection="1">
      <alignment horizontal="right" vertical="top" wrapText="1"/>
      <protection locked="0"/>
    </xf>
    <xf numFmtId="0" fontId="13" fillId="18" borderId="16" xfId="0" applyFont="1" applyFill="1" applyBorder="1" applyAlignment="1" applyProtection="1">
      <alignment horizontal="right" vertical="top" wrapText="1"/>
      <protection locked="0"/>
    </xf>
    <xf numFmtId="0" fontId="13" fillId="0" borderId="8" xfId="0" applyFont="1" applyFill="1" applyBorder="1" applyAlignment="1" applyProtection="1">
      <alignment horizontal="right" vertical="top" wrapText="1"/>
      <protection locked="0"/>
    </xf>
    <xf numFmtId="0" fontId="13" fillId="0" borderId="16" xfId="0" applyFont="1" applyFill="1" applyBorder="1" applyAlignment="1" applyProtection="1">
      <alignment horizontal="right" vertical="top" wrapText="1"/>
      <protection locked="0"/>
    </xf>
    <xf numFmtId="0" fontId="8" fillId="50" borderId="1" xfId="0" applyFont="1" applyFill="1" applyBorder="1" applyAlignment="1" applyProtection="1">
      <alignment horizontal="center" vertical="top" wrapText="1"/>
      <protection locked="0"/>
    </xf>
    <xf numFmtId="0" fontId="63" fillId="30" borderId="19" xfId="0" quotePrefix="1" applyFont="1" applyFill="1" applyBorder="1" applyAlignment="1" applyProtection="1">
      <alignment horizontal="center"/>
      <protection locked="0"/>
    </xf>
    <xf numFmtId="0" fontId="63" fillId="30" borderId="0" xfId="0" quotePrefix="1" applyFont="1" applyFill="1" applyBorder="1" applyAlignment="1" applyProtection="1">
      <alignment horizontal="center"/>
      <protection locked="0"/>
    </xf>
    <xf numFmtId="0" fontId="13" fillId="0" borderId="8" xfId="0" applyFont="1" applyFill="1" applyBorder="1" applyAlignment="1" applyProtection="1">
      <alignment horizontal="center" vertical="top" wrapText="1"/>
      <protection locked="0"/>
    </xf>
    <xf numFmtId="0" fontId="13" fillId="0" borderId="9" xfId="0" applyFont="1" applyFill="1" applyBorder="1" applyAlignment="1" applyProtection="1">
      <alignment horizontal="center" vertical="top" wrapText="1"/>
      <protection locked="0"/>
    </xf>
    <xf numFmtId="0" fontId="13" fillId="0" borderId="8" xfId="0" applyFont="1" applyFill="1" applyBorder="1" applyAlignment="1" applyProtection="1">
      <alignment horizontal="left" vertical="top"/>
      <protection locked="0"/>
    </xf>
    <xf numFmtId="0" fontId="13" fillId="0" borderId="16" xfId="0" applyFont="1" applyFill="1" applyBorder="1" applyAlignment="1" applyProtection="1">
      <alignment horizontal="left" vertical="top"/>
      <protection locked="0"/>
    </xf>
    <xf numFmtId="0" fontId="13" fillId="0" borderId="9" xfId="0" applyFont="1" applyFill="1" applyBorder="1" applyAlignment="1" applyProtection="1">
      <alignment horizontal="left" vertical="top"/>
      <protection locked="0"/>
    </xf>
    <xf numFmtId="0" fontId="0" fillId="0" borderId="8" xfId="0" applyBorder="1"/>
    <xf numFmtId="0" fontId="0" fillId="0" borderId="16" xfId="0" applyBorder="1"/>
    <xf numFmtId="0" fontId="0" fillId="0" borderId="9" xfId="0" applyBorder="1"/>
    <xf numFmtId="0" fontId="63" fillId="30" borderId="2" xfId="0" quotePrefix="1" applyFont="1" applyFill="1" applyBorder="1" applyAlignment="1" applyProtection="1">
      <alignment horizontal="center"/>
      <protection locked="0"/>
    </xf>
    <xf numFmtId="0" fontId="63" fillId="30" borderId="3" xfId="0" quotePrefix="1" applyFont="1" applyFill="1" applyBorder="1" applyAlignment="1" applyProtection="1">
      <alignment horizontal="center"/>
      <protection locked="0"/>
    </xf>
    <xf numFmtId="0" fontId="13" fillId="0" borderId="16" xfId="0" applyFont="1" applyFill="1" applyBorder="1" applyAlignment="1" applyProtection="1">
      <alignment horizontal="center" vertical="top" wrapText="1"/>
      <protection locked="0"/>
    </xf>
    <xf numFmtId="0" fontId="8" fillId="32" borderId="5" xfId="0" applyFont="1" applyFill="1" applyBorder="1" applyAlignment="1" applyProtection="1">
      <alignment horizontal="center" vertical="center" wrapText="1"/>
      <protection locked="0"/>
    </xf>
    <xf numFmtId="0" fontId="8" fillId="32" borderId="6" xfId="0" applyFont="1" applyFill="1" applyBorder="1" applyAlignment="1" applyProtection="1">
      <alignment horizontal="center" vertical="center" wrapText="1"/>
      <protection locked="0"/>
    </xf>
    <xf numFmtId="0" fontId="8" fillId="32" borderId="7" xfId="0" applyFont="1" applyFill="1" applyBorder="1" applyAlignment="1" applyProtection="1">
      <alignment horizontal="center" vertical="center" wrapText="1"/>
      <protection locked="0"/>
    </xf>
    <xf numFmtId="0" fontId="71" fillId="18" borderId="17" xfId="18" applyFont="1" applyFill="1" applyBorder="1" applyAlignment="1">
      <alignment horizontal="center" vertical="center" wrapText="1" readingOrder="1"/>
    </xf>
    <xf numFmtId="0" fontId="71" fillId="18" borderId="14" xfId="18" applyFont="1" applyFill="1" applyBorder="1" applyAlignment="1">
      <alignment horizontal="center" vertical="center" wrapText="1" readingOrder="1"/>
    </xf>
    <xf numFmtId="0" fontId="13" fillId="18" borderId="17" xfId="18" applyFont="1" applyFill="1" applyBorder="1" applyAlignment="1">
      <alignment horizontal="center" vertical="center" wrapText="1" readingOrder="1"/>
    </xf>
    <xf numFmtId="0" fontId="13" fillId="18" borderId="14" xfId="18" applyFont="1" applyFill="1" applyBorder="1" applyAlignment="1">
      <alignment horizontal="center" vertical="center" wrapText="1" readingOrder="1"/>
    </xf>
    <xf numFmtId="0" fontId="13" fillId="18" borderId="17" xfId="19" applyNumberFormat="1" applyFont="1" applyFill="1" applyBorder="1" applyAlignment="1" applyProtection="1">
      <alignment horizontal="center" vertical="center" readingOrder="1"/>
      <protection locked="0"/>
    </xf>
    <xf numFmtId="0" fontId="13" fillId="18" borderId="14" xfId="19" applyNumberFormat="1" applyFont="1" applyFill="1" applyBorder="1" applyAlignment="1" applyProtection="1">
      <alignment horizontal="center" vertical="center" readingOrder="1"/>
      <protection locked="0"/>
    </xf>
    <xf numFmtId="0" fontId="59" fillId="18" borderId="12" xfId="18" applyFont="1" applyFill="1" applyBorder="1" applyAlignment="1">
      <alignment horizontal="left" vertical="center"/>
    </xf>
    <xf numFmtId="0" fontId="59" fillId="18" borderId="15" xfId="18" applyFont="1" applyFill="1" applyBorder="1" applyAlignment="1">
      <alignment horizontal="left" vertical="center"/>
    </xf>
    <xf numFmtId="0" fontId="13" fillId="18" borderId="17" xfId="19" applyNumberFormat="1" applyFont="1" applyFill="1" applyBorder="1" applyAlignment="1" applyProtection="1">
      <alignment horizontal="center" vertical="center" wrapText="1" readingOrder="1"/>
      <protection locked="0"/>
    </xf>
    <xf numFmtId="0" fontId="13" fillId="18" borderId="14" xfId="19" applyNumberFormat="1" applyFont="1" applyFill="1" applyBorder="1" applyAlignment="1" applyProtection="1">
      <alignment horizontal="center" vertical="center" wrapText="1" readingOrder="1"/>
      <protection locked="0"/>
    </xf>
    <xf numFmtId="0" fontId="56" fillId="11" borderId="11" xfId="8" applyFont="1" applyBorder="1" applyAlignment="1">
      <alignment horizontal="center" vertical="center" readingOrder="1"/>
    </xf>
    <xf numFmtId="0" fontId="56" fillId="11" borderId="13" xfId="8" applyFont="1" applyBorder="1" applyAlignment="1">
      <alignment horizontal="center" vertical="center" readingOrder="1"/>
    </xf>
    <xf numFmtId="0" fontId="57" fillId="18" borderId="17" xfId="18" applyFont="1" applyFill="1" applyBorder="1" applyAlignment="1">
      <alignment horizontal="center" vertical="center" wrapText="1" readingOrder="1"/>
    </xf>
    <xf numFmtId="0" fontId="57" fillId="18" borderId="14" xfId="18" applyFont="1" applyFill="1" applyBorder="1" applyAlignment="1">
      <alignment horizontal="center" vertical="center" wrapText="1" readingOrder="1"/>
    </xf>
    <xf numFmtId="0" fontId="66" fillId="0" borderId="17" xfId="0" applyFont="1" applyBorder="1" applyAlignment="1">
      <alignment horizontal="center" vertical="center"/>
    </xf>
    <xf numFmtId="0" fontId="66" fillId="0" borderId="14" xfId="0" applyFont="1" applyBorder="1" applyAlignment="1">
      <alignment horizontal="center" vertical="center"/>
    </xf>
    <xf numFmtId="0" fontId="13" fillId="18" borderId="12" xfId="18" applyFont="1" applyFill="1" applyBorder="1" applyAlignment="1">
      <alignment horizontal="left" vertical="center" wrapText="1"/>
    </xf>
    <xf numFmtId="0" fontId="13" fillId="18" borderId="15" xfId="18" applyFont="1" applyFill="1" applyBorder="1" applyAlignment="1">
      <alignment horizontal="left" vertical="center" wrapText="1"/>
    </xf>
    <xf numFmtId="0" fontId="71" fillId="18" borderId="12" xfId="18" applyFont="1" applyFill="1" applyBorder="1" applyAlignment="1">
      <alignment horizontal="left" vertical="center" wrapText="1"/>
    </xf>
    <xf numFmtId="0" fontId="71" fillId="18" borderId="15" xfId="18" applyFont="1" applyFill="1" applyBorder="1" applyAlignment="1">
      <alignment horizontal="left" vertical="center" wrapText="1"/>
    </xf>
    <xf numFmtId="0" fontId="71" fillId="18" borderId="24" xfId="18" applyFont="1" applyFill="1" applyBorder="1" applyAlignment="1">
      <alignment horizontal="center" vertical="center" wrapText="1" readingOrder="1"/>
    </xf>
    <xf numFmtId="0" fontId="71" fillId="18" borderId="25" xfId="18" applyFont="1" applyFill="1" applyBorder="1" applyAlignment="1">
      <alignment horizontal="center" vertical="center" wrapText="1" readingOrder="1"/>
    </xf>
    <xf numFmtId="0" fontId="13" fillId="18" borderId="24" xfId="18" applyFont="1" applyFill="1" applyBorder="1" applyAlignment="1">
      <alignment horizontal="center" vertical="center" wrapText="1" readingOrder="1"/>
    </xf>
    <xf numFmtId="0" fontId="13" fillId="18" borderId="25" xfId="18" applyFont="1" applyFill="1" applyBorder="1" applyAlignment="1">
      <alignment horizontal="center" vertical="center" wrapText="1" readingOrder="1"/>
    </xf>
    <xf numFmtId="0" fontId="13" fillId="18" borderId="24" xfId="19" applyNumberFormat="1" applyFont="1" applyFill="1" applyBorder="1" applyAlignment="1" applyProtection="1">
      <alignment horizontal="center" vertical="center" wrapText="1" readingOrder="1"/>
      <protection locked="0"/>
    </xf>
    <xf numFmtId="0" fontId="13" fillId="18" borderId="25" xfId="19" applyNumberFormat="1" applyFont="1" applyFill="1" applyBorder="1" applyAlignment="1" applyProtection="1">
      <alignment horizontal="center" vertical="center" wrapText="1" readingOrder="1"/>
      <protection locked="0"/>
    </xf>
    <xf numFmtId="0" fontId="56" fillId="11" borderId="26" xfId="8" applyFont="1" applyBorder="1" applyAlignment="1">
      <alignment horizontal="center" vertical="center" readingOrder="1"/>
    </xf>
    <xf numFmtId="0" fontId="56" fillId="11" borderId="28" xfId="8" applyFont="1" applyBorder="1" applyAlignment="1">
      <alignment horizontal="center" vertical="center" readingOrder="1"/>
    </xf>
    <xf numFmtId="0" fontId="57" fillId="18" borderId="24" xfId="18" applyFont="1" applyFill="1" applyBorder="1" applyAlignment="1">
      <alignment horizontal="center" vertical="center" wrapText="1" readingOrder="1"/>
    </xf>
    <xf numFmtId="0" fontId="57" fillId="18" borderId="25" xfId="18" applyFont="1" applyFill="1" applyBorder="1" applyAlignment="1">
      <alignment horizontal="center" vertical="center" wrapText="1" readingOrder="1"/>
    </xf>
    <xf numFmtId="0" fontId="66" fillId="0" borderId="24" xfId="0" applyFont="1" applyBorder="1" applyAlignment="1">
      <alignment horizontal="center" vertical="center"/>
    </xf>
    <xf numFmtId="0" fontId="66" fillId="0" borderId="25" xfId="0" applyFont="1" applyBorder="1" applyAlignment="1">
      <alignment horizontal="center" vertical="center"/>
    </xf>
    <xf numFmtId="0" fontId="61" fillId="32" borderId="0" xfId="1" applyFont="1" applyFill="1" applyBorder="1" applyAlignment="1">
      <alignment horizontal="center" vertical="center" wrapText="1"/>
    </xf>
    <xf numFmtId="0" fontId="61" fillId="50" borderId="0" xfId="1" applyFont="1" applyFill="1" applyBorder="1" applyAlignment="1">
      <alignment horizontal="center" vertical="center" wrapText="1"/>
    </xf>
    <xf numFmtId="0" fontId="61" fillId="31" borderId="0" xfId="1" applyFont="1" applyFill="1" applyBorder="1" applyAlignment="1">
      <alignment horizontal="center" vertical="center" wrapText="1"/>
    </xf>
    <xf numFmtId="0" fontId="61" fillId="12" borderId="1" xfId="9" applyFont="1" applyBorder="1" applyAlignment="1">
      <alignment horizontal="center" vertical="center" wrapText="1"/>
    </xf>
    <xf numFmtId="0" fontId="61" fillId="15" borderId="1" xfId="12" applyFont="1" applyBorder="1" applyAlignment="1">
      <alignment horizontal="center" vertical="center" wrapText="1"/>
    </xf>
    <xf numFmtId="0" fontId="61" fillId="15" borderId="8" xfId="12" applyFont="1" applyBorder="1" applyAlignment="1">
      <alignment horizontal="center" vertical="center" wrapText="1"/>
    </xf>
    <xf numFmtId="0" fontId="61" fillId="32" borderId="16" xfId="1" applyFont="1" applyFill="1" applyBorder="1" applyAlignment="1">
      <alignment horizontal="center" vertical="center" wrapText="1"/>
    </xf>
    <xf numFmtId="9" fontId="0" fillId="18" borderId="24" xfId="19" applyFont="1" applyFill="1" applyBorder="1" applyAlignment="1" applyProtection="1">
      <alignment horizontal="center" vertical="center" readingOrder="1"/>
      <protection locked="0"/>
    </xf>
    <xf numFmtId="9" fontId="0" fillId="18" borderId="25" xfId="19" applyFont="1" applyFill="1" applyBorder="1" applyAlignment="1" applyProtection="1">
      <alignment horizontal="center" vertical="center" readingOrder="1"/>
      <protection locked="0"/>
    </xf>
    <xf numFmtId="0" fontId="61" fillId="12" borderId="8" xfId="9" applyFont="1" applyBorder="1" applyAlignment="1">
      <alignment horizontal="center" vertical="center" wrapText="1"/>
    </xf>
    <xf numFmtId="0" fontId="61" fillId="12" borderId="9" xfId="9" applyFont="1" applyBorder="1" applyAlignment="1">
      <alignment horizontal="center" vertical="center" wrapText="1"/>
    </xf>
    <xf numFmtId="0" fontId="56" fillId="11" borderId="11" xfId="8" applyFont="1" applyBorder="1" applyAlignment="1">
      <alignment horizontal="center" vertical="center" wrapText="1" readingOrder="1"/>
    </xf>
    <xf numFmtId="0" fontId="56" fillId="11" borderId="13" xfId="8" applyFont="1" applyBorder="1" applyAlignment="1">
      <alignment horizontal="center" vertical="center" wrapText="1" readingOrder="1"/>
    </xf>
    <xf numFmtId="0" fontId="56" fillId="11" borderId="11" xfId="21" applyFont="1" applyBorder="1" applyAlignment="1">
      <alignment horizontal="center" vertical="center" readingOrder="1"/>
    </xf>
    <xf numFmtId="0" fontId="56" fillId="11" borderId="13" xfId="21" applyFont="1" applyBorder="1" applyAlignment="1">
      <alignment horizontal="center" vertical="center" readingOrder="1"/>
    </xf>
    <xf numFmtId="0" fontId="57" fillId="18" borderId="17" xfId="18" applyFont="1" applyFill="1" applyBorder="1" applyAlignment="1">
      <alignment horizontal="left" vertical="center" readingOrder="1"/>
    </xf>
    <xf numFmtId="0" fontId="57" fillId="18" borderId="14" xfId="18" applyFont="1" applyFill="1" applyBorder="1" applyAlignment="1">
      <alignment horizontal="left" vertical="center" readingOrder="1"/>
    </xf>
    <xf numFmtId="0" fontId="61" fillId="26" borderId="8" xfId="1" applyFont="1" applyFill="1" applyBorder="1" applyAlignment="1">
      <alignment horizontal="center" vertical="center" wrapText="1"/>
    </xf>
    <xf numFmtId="0" fontId="61" fillId="26" borderId="16" xfId="1" applyFont="1" applyFill="1" applyBorder="1" applyAlignment="1">
      <alignment horizontal="center" vertical="center" wrapText="1"/>
    </xf>
    <xf numFmtId="0" fontId="61" fillId="26" borderId="9" xfId="1" applyFont="1" applyFill="1" applyBorder="1" applyAlignment="1">
      <alignment horizontal="center" vertical="center" wrapText="1"/>
    </xf>
    <xf numFmtId="0" fontId="13" fillId="18" borderId="24" xfId="19" applyNumberFormat="1" applyFont="1" applyFill="1" applyBorder="1" applyAlignment="1" applyProtection="1">
      <alignment horizontal="center" vertical="center" readingOrder="1"/>
      <protection locked="0"/>
    </xf>
    <xf numFmtId="0" fontId="13" fillId="18" borderId="25" xfId="19" applyNumberFormat="1" applyFont="1" applyFill="1" applyBorder="1" applyAlignment="1" applyProtection="1">
      <alignment horizontal="center" vertical="center" readingOrder="1"/>
      <protection locked="0"/>
    </xf>
    <xf numFmtId="0" fontId="61" fillId="32" borderId="6" xfId="1" applyFont="1" applyFill="1" applyBorder="1" applyAlignment="1">
      <alignment horizontal="center" vertical="center" wrapText="1"/>
    </xf>
    <xf numFmtId="0" fontId="71" fillId="18" borderId="17" xfId="28" applyFont="1" applyFill="1" applyBorder="1" applyAlignment="1">
      <alignment horizontal="center" vertical="center" wrapText="1" readingOrder="1"/>
    </xf>
    <xf numFmtId="0" fontId="71" fillId="18" borderId="14" xfId="28" applyFont="1" applyFill="1" applyBorder="1" applyAlignment="1">
      <alignment horizontal="center" vertical="center" wrapText="1" readingOrder="1"/>
    </xf>
    <xf numFmtId="0" fontId="13" fillId="18" borderId="17" xfId="28" applyFont="1" applyFill="1" applyBorder="1" applyAlignment="1">
      <alignment horizontal="center" vertical="center" wrapText="1" readingOrder="1"/>
    </xf>
    <xf numFmtId="0" fontId="13" fillId="18" borderId="14" xfId="28" applyFont="1" applyFill="1" applyBorder="1" applyAlignment="1">
      <alignment horizontal="center" vertical="center" wrapText="1" readingOrder="1"/>
    </xf>
    <xf numFmtId="0" fontId="13" fillId="18" borderId="17" xfId="32" applyNumberFormat="1" applyFont="1" applyFill="1" applyBorder="1" applyAlignment="1" applyProtection="1">
      <alignment horizontal="center" vertical="center" readingOrder="1"/>
      <protection locked="0"/>
    </xf>
    <xf numFmtId="0" fontId="13" fillId="18" borderId="14" xfId="32" applyNumberFormat="1" applyFont="1" applyFill="1" applyBorder="1" applyAlignment="1" applyProtection="1">
      <alignment horizontal="center" vertical="center" readingOrder="1"/>
      <protection locked="0"/>
    </xf>
    <xf numFmtId="0" fontId="82" fillId="18" borderId="12" xfId="28" applyFont="1" applyFill="1" applyBorder="1" applyAlignment="1">
      <alignment horizontal="left" vertical="center" wrapText="1"/>
    </xf>
    <xf numFmtId="0" fontId="82" fillId="18" borderId="15" xfId="28" applyFont="1" applyFill="1" applyBorder="1" applyAlignment="1">
      <alignment horizontal="left" vertical="center"/>
    </xf>
    <xf numFmtId="0" fontId="61" fillId="12" borderId="1" xfId="29" applyFont="1" applyBorder="1" applyAlignment="1">
      <alignment horizontal="center" vertical="center" wrapText="1"/>
    </xf>
    <xf numFmtId="0" fontId="61" fillId="15" borderId="1" xfId="30" applyFont="1" applyBorder="1" applyAlignment="1">
      <alignment horizontal="center" vertical="center" wrapText="1"/>
    </xf>
    <xf numFmtId="0" fontId="61" fillId="15" borderId="8" xfId="30" applyFont="1" applyBorder="1" applyAlignment="1">
      <alignment horizontal="center" vertical="center" wrapText="1"/>
    </xf>
    <xf numFmtId="0" fontId="61" fillId="32" borderId="0" xfId="27" applyFont="1" applyFill="1" applyBorder="1" applyAlignment="1">
      <alignment horizontal="center" vertical="center" wrapText="1"/>
    </xf>
    <xf numFmtId="0" fontId="61" fillId="31" borderId="0" xfId="27" applyFont="1" applyFill="1" applyBorder="1" applyAlignment="1">
      <alignment horizontal="center" vertical="center" wrapText="1"/>
    </xf>
    <xf numFmtId="0" fontId="56" fillId="11" borderId="11" xfId="31" applyFont="1" applyBorder="1" applyAlignment="1">
      <alignment horizontal="center" vertical="center" readingOrder="1"/>
    </xf>
    <xf numFmtId="0" fontId="56" fillId="11" borderId="13" xfId="31" applyFont="1" applyBorder="1" applyAlignment="1">
      <alignment horizontal="center" vertical="center" readingOrder="1"/>
    </xf>
    <xf numFmtId="0" fontId="57" fillId="18" borderId="17" xfId="28" applyFont="1" applyFill="1" applyBorder="1" applyAlignment="1">
      <alignment horizontal="center" vertical="center" wrapText="1" readingOrder="1"/>
    </xf>
    <xf numFmtId="0" fontId="57" fillId="18" borderId="14" xfId="28" applyFont="1" applyFill="1" applyBorder="1" applyAlignment="1">
      <alignment horizontal="center" vertical="center" wrapText="1" readingOrder="1"/>
    </xf>
    <xf numFmtId="0" fontId="16" fillId="3" borderId="8" xfId="3" applyFont="1" applyFill="1" applyBorder="1" applyAlignment="1">
      <alignment horizontal="center" vertical="distributed"/>
    </xf>
    <xf numFmtId="0" fontId="16" fillId="3" borderId="16" xfId="3" applyFont="1" applyFill="1" applyBorder="1" applyAlignment="1">
      <alignment horizontal="center" vertical="distributed"/>
    </xf>
    <xf numFmtId="0" fontId="16" fillId="3" borderId="9" xfId="3" applyFont="1" applyFill="1" applyBorder="1" applyAlignment="1">
      <alignment horizontal="center" vertical="distributed"/>
    </xf>
  </cellXfs>
  <cellStyles count="33">
    <cellStyle name="20% - Accent4" xfId="25" builtinId="42"/>
    <cellStyle name="20% - Accent5" xfId="26" builtinId="46"/>
    <cellStyle name="40% - Accent1" xfId="8" builtinId="31"/>
    <cellStyle name="40% - Accent1 2" xfId="31" xr:uid="{018651CF-84D1-464A-ABD8-A69BD5C30F7B}"/>
    <cellStyle name="40% - Accent1 4 2" xfId="21" xr:uid="{8C4165F1-7CEB-4E02-AE19-87A8605E06BA}"/>
    <cellStyle name="40% - Accent5" xfId="1" builtinId="47"/>
    <cellStyle name="40% - Accent5 2" xfId="27" xr:uid="{60AD0A08-6D4F-476E-BAC8-21E2120F99B9}"/>
    <cellStyle name="40% - Accent6" xfId="14" builtinId="51"/>
    <cellStyle name="60% - Accent1" xfId="9" builtinId="32"/>
    <cellStyle name="60% - Accent1 2" xfId="29" xr:uid="{EF000BC6-9638-4257-A80C-F8014A7BE34E}"/>
    <cellStyle name="60% - Accent5" xfId="12" builtinId="48"/>
    <cellStyle name="60% - Accent5 2" xfId="30" xr:uid="{17DB1197-22D4-4296-B0F4-90EA2654B0DD}"/>
    <cellStyle name="Accent1" xfId="7" builtinId="29"/>
    <cellStyle name="Accent3" xfId="10" builtinId="37"/>
    <cellStyle name="Accent4" xfId="11" builtinId="41"/>
    <cellStyle name="Accent5" xfId="2" builtinId="45"/>
    <cellStyle name="Accent6" xfId="13" builtinId="49"/>
    <cellStyle name="Calculation" xfId="6" builtinId="22"/>
    <cellStyle name="Comma 2 3 2" xfId="20" xr:uid="{2A68F717-AD78-4A32-9495-295229BE5876}"/>
    <cellStyle name="Explanatory Text" xfId="24" builtinId="53"/>
    <cellStyle name="Hyperlink 2" xfId="23" xr:uid="{697DCF3F-6082-486A-A0BE-7CC3CD4599CA}"/>
    <cellStyle name="Input" xfId="5" builtinId="20"/>
    <cellStyle name="Normal" xfId="0" builtinId="0"/>
    <cellStyle name="Normal 2" xfId="16" xr:uid="{E90CDE51-0E3F-4A22-8C57-766AA768C67C}"/>
    <cellStyle name="Normal 2 2" xfId="22" xr:uid="{A34332CF-2FA3-49B5-814E-BF6D0A992C78}"/>
    <cellStyle name="Normal 3 4 2" xfId="18" xr:uid="{B97202FF-A174-4634-88BA-5C9F3ADCCF60}"/>
    <cellStyle name="Normal 3 4 2 2" xfId="28" xr:uid="{99C913D4-9E94-47BC-9ADE-5722361C741E}"/>
    <cellStyle name="Normal 9" xfId="15" xr:uid="{24752EA8-4142-4D21-BE32-145597B99BC6}"/>
    <cellStyle name="Normal_AEF 0XXX M - MA Process Evaluation Form - v2 - draft" xfId="3" xr:uid="{00000000-0005-0000-0000-000003000000}"/>
    <cellStyle name="Normal_Electronics_TG0_template_rev03 DBF" xfId="17" xr:uid="{CCF1C34A-1154-426B-A79A-22DC709799E9}"/>
    <cellStyle name="Percent 2 5" xfId="19" xr:uid="{07B82B72-4AB8-4322-87C9-296651D63E5C}"/>
    <cellStyle name="Percent 2 5 2" xfId="32" xr:uid="{FED615D1-D5CC-4700-AD4D-48F5129816DF}"/>
    <cellStyle name="Title" xfId="4" builtinId="15"/>
  </cellStyles>
  <dxfs count="1244">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rgb="FFFFC000"/>
        </patternFill>
      </fill>
    </dxf>
    <dxf>
      <fill>
        <patternFill>
          <bgColor theme="6"/>
        </patternFill>
      </fill>
    </dxf>
    <dxf>
      <fill>
        <patternFill>
          <bgColor theme="2" tint="-0.24994659260841701"/>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rgb="FFFFC000"/>
        </patternFill>
      </fill>
    </dxf>
    <dxf>
      <fill>
        <patternFill>
          <bgColor theme="6"/>
        </patternFill>
      </fill>
    </dxf>
    <dxf>
      <fill>
        <patternFill>
          <bgColor theme="2"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rgb="FFFFC000"/>
        </patternFill>
      </fill>
    </dxf>
    <dxf>
      <fill>
        <patternFill>
          <bgColor theme="6"/>
        </patternFill>
      </fill>
    </dxf>
    <dxf>
      <fill>
        <patternFill>
          <bgColor theme="2"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rgb="FFFFC000"/>
        </patternFill>
      </fill>
    </dxf>
    <dxf>
      <fill>
        <patternFill>
          <bgColor theme="6"/>
        </patternFill>
      </fill>
    </dxf>
    <dxf>
      <fill>
        <patternFill>
          <bgColor theme="2"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14996795556505021"/>
        </patternFill>
      </fill>
    </dxf>
    <dxf>
      <fill>
        <patternFill>
          <bgColor rgb="FF00FF00"/>
        </patternFill>
      </fill>
    </dxf>
    <dxf>
      <fill>
        <patternFill>
          <bgColor rgb="FFFF0000"/>
        </patternFill>
      </fill>
    </dxf>
    <dxf>
      <fill>
        <patternFill>
          <bgColor rgb="FFFF9900"/>
        </patternFill>
      </fill>
    </dxf>
    <dxf>
      <fill>
        <patternFill>
          <bgColor rgb="FF0070C0"/>
        </patternFill>
      </fill>
    </dxf>
    <dxf>
      <fill>
        <patternFill>
          <bgColor theme="0" tint="-0.2499465926084170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E6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Status vs plan</a:t>
            </a:r>
          </a:p>
        </c:rich>
      </c:tx>
      <c:overlay val="0"/>
    </c:title>
    <c:autoTitleDeleted val="0"/>
    <c:plotArea>
      <c:layout/>
      <c:radarChart>
        <c:radarStyle val="filled"/>
        <c:varyColors val="0"/>
        <c:ser>
          <c:idx val="1"/>
          <c:order val="0"/>
          <c:tx>
            <c:strRef>
              <c:f>'Maturity - Metrics'!$O$12</c:f>
              <c:strCache>
                <c:ptCount val="1"/>
                <c:pt idx="0">
                  <c:v>Plan</c:v>
                </c:pt>
              </c:strCache>
            </c:strRef>
          </c:tx>
          <c:spPr>
            <a:gradFill flip="none" rotWithShape="1">
              <a:gsLst>
                <a:gs pos="100000">
                  <a:srgbClr val="FF0000"/>
                </a:gs>
                <a:gs pos="0">
                  <a:srgbClr val="C0504D">
                    <a:lumMod val="75000"/>
                  </a:srgbClr>
                </a:gs>
              </a:gsLst>
              <a:path path="rect">
                <a:fillToRect l="100000" t="100000"/>
              </a:path>
              <a:tileRect r="-100000" b="-100000"/>
            </a:gradFill>
            <a:ln w="25400">
              <a:noFill/>
            </a:ln>
          </c:spPr>
          <c:val>
            <c:numRef>
              <c:f>'Maturity - Metrics'!$O$13:$O$16</c:f>
              <c:numCache>
                <c:formatCode>0%</c:formatCode>
                <c:ptCount val="4"/>
                <c:pt idx="0">
                  <c:v>1</c:v>
                </c:pt>
                <c:pt idx="1">
                  <c:v>0.5</c:v>
                </c:pt>
                <c:pt idx="2">
                  <c:v>0.46666666666666667</c:v>
                </c:pt>
                <c:pt idx="3">
                  <c:v>0.63513513513513509</c:v>
                </c:pt>
              </c:numCache>
            </c:numRef>
          </c:val>
          <c:extLst>
            <c:ext xmlns:c16="http://schemas.microsoft.com/office/drawing/2014/chart" uri="{C3380CC4-5D6E-409C-BE32-E72D297353CC}">
              <c16:uniqueId val="{00000001-43C1-485C-B111-116EE526F906}"/>
            </c:ext>
          </c:extLst>
        </c:ser>
        <c:ser>
          <c:idx val="0"/>
          <c:order val="1"/>
          <c:tx>
            <c:strRef>
              <c:f>'Maturity - Metrics'!$P$12</c:f>
              <c:strCache>
                <c:ptCount val="1"/>
                <c:pt idx="0">
                  <c:v>Done</c:v>
                </c:pt>
              </c:strCache>
            </c:strRef>
          </c:tx>
          <c:spPr>
            <a:gradFill flip="none" rotWithShape="1">
              <a:gsLst>
                <a:gs pos="100000">
                  <a:srgbClr val="9BBB59"/>
                </a:gs>
                <a:gs pos="0">
                  <a:srgbClr val="00B050"/>
                </a:gs>
              </a:gsLst>
              <a:path path="rect">
                <a:fillToRect l="100000" t="100000"/>
              </a:path>
              <a:tileRect r="-100000" b="-100000"/>
            </a:gradFill>
            <a:ln w="25400">
              <a:noFill/>
            </a:ln>
          </c:spPr>
          <c:cat>
            <c:strRef>
              <c:f>'Maturity - Metrics'!$N$13:$N$16</c:f>
              <c:strCache>
                <c:ptCount val="4"/>
                <c:pt idx="0">
                  <c:v>DES specifications</c:v>
                </c:pt>
                <c:pt idx="1">
                  <c:v>Architecture</c:v>
                </c:pt>
                <c:pt idx="2">
                  <c:v>Detailed Design</c:v>
                </c:pt>
                <c:pt idx="3">
                  <c:v>Code</c:v>
                </c:pt>
              </c:strCache>
            </c:strRef>
          </c:cat>
          <c:val>
            <c:numRef>
              <c:f>'Maturity - Metrics'!$P$13:$P$16</c:f>
              <c:numCache>
                <c:formatCode>0%</c:formatCode>
                <c:ptCount val="4"/>
                <c:pt idx="0">
                  <c:v>0.5</c:v>
                </c:pt>
                <c:pt idx="1">
                  <c:v>0.5</c:v>
                </c:pt>
                <c:pt idx="2">
                  <c:v>0</c:v>
                </c:pt>
                <c:pt idx="3">
                  <c:v>0</c:v>
                </c:pt>
              </c:numCache>
            </c:numRef>
          </c:val>
          <c:extLst>
            <c:ext xmlns:c16="http://schemas.microsoft.com/office/drawing/2014/chart" uri="{C3380CC4-5D6E-409C-BE32-E72D297353CC}">
              <c16:uniqueId val="{00000000-4D18-40DD-A3AC-51E55ED1BDAC}"/>
            </c:ext>
          </c:extLst>
        </c:ser>
        <c:dLbls>
          <c:showLegendKey val="0"/>
          <c:showVal val="0"/>
          <c:showCatName val="0"/>
          <c:showSerName val="0"/>
          <c:showPercent val="0"/>
          <c:showBubbleSize val="0"/>
        </c:dLbls>
        <c:axId val="444421152"/>
        <c:axId val="444421544"/>
      </c:radarChart>
      <c:catAx>
        <c:axId val="444421152"/>
        <c:scaling>
          <c:orientation val="minMax"/>
        </c:scaling>
        <c:delete val="0"/>
        <c:axPos val="b"/>
        <c:majorGridlines/>
        <c:numFmt formatCode="General" sourceLinked="0"/>
        <c:majorTickMark val="out"/>
        <c:minorTickMark val="none"/>
        <c:tickLblPos val="nextTo"/>
        <c:crossAx val="444421544"/>
        <c:crosses val="autoZero"/>
        <c:auto val="1"/>
        <c:lblAlgn val="ctr"/>
        <c:lblOffset val="100"/>
        <c:noMultiLvlLbl val="0"/>
      </c:catAx>
      <c:valAx>
        <c:axId val="444421544"/>
        <c:scaling>
          <c:orientation val="minMax"/>
          <c:max val="1"/>
        </c:scaling>
        <c:delete val="0"/>
        <c:axPos val="l"/>
        <c:majorGridlines/>
        <c:numFmt formatCode="0%" sourceLinked="1"/>
        <c:majorTickMark val="cross"/>
        <c:minorTickMark val="none"/>
        <c:tickLblPos val="nextTo"/>
        <c:crossAx val="444421152"/>
        <c:crosses val="autoZero"/>
        <c:crossBetween val="between"/>
        <c:minorUnit val="0.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Sum</a:t>
            </a:r>
            <a:r>
              <a:rPr lang="en-US" baseline="0"/>
              <a:t> up</a:t>
            </a:r>
            <a:endParaRPr lang="en-US"/>
          </a:p>
        </c:rich>
      </c:tx>
      <c:layout>
        <c:manualLayout>
          <c:xMode val="edge"/>
          <c:yMode val="edge"/>
          <c:x val="0.45860340777823067"/>
          <c:y val="3.745830643475452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38311246603721366"/>
          <c:y val="0.16472032175800388"/>
          <c:w val="0.22965622058778307"/>
          <c:h val="0.77314814814814814"/>
        </c:manualLayout>
      </c:layout>
      <c:doughnutChart>
        <c:varyColors val="1"/>
        <c:ser>
          <c:idx val="0"/>
          <c:order val="0"/>
          <c:dPt>
            <c:idx val="0"/>
            <c:bubble3D val="0"/>
            <c:spPr>
              <a:gradFill flip="none" rotWithShape="1">
                <a:gsLst>
                  <a:gs pos="100000">
                    <a:srgbClr val="00B050"/>
                  </a:gs>
                  <a:gs pos="0">
                    <a:schemeClr val="accent3"/>
                  </a:gs>
                </a:gsLst>
                <a:lin ang="10800000" scaled="1"/>
                <a:tileRect/>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2FA-4F70-978B-B5B6874EAA5F}"/>
              </c:ext>
            </c:extLst>
          </c:dPt>
          <c:dPt>
            <c:idx val="1"/>
            <c:bubble3D val="0"/>
            <c:spPr>
              <a:gradFill flip="none" rotWithShape="1">
                <a:gsLst>
                  <a:gs pos="100000">
                    <a:srgbClr val="FF0000"/>
                  </a:gs>
                  <a:gs pos="0">
                    <a:schemeClr val="accent2">
                      <a:lumMod val="75000"/>
                    </a:schemeClr>
                  </a:gs>
                </a:gsLst>
                <a:lin ang="0" scaled="1"/>
                <a:tileRect/>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383-47A7-8022-67E7F992A2F0}"/>
              </c:ext>
            </c:extLst>
          </c:dPt>
          <c:dPt>
            <c:idx val="2"/>
            <c:bubble3D val="0"/>
            <c:spPr>
              <a:solidFill>
                <a:schemeClr val="bg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2FA-4F70-978B-B5B6874EAA5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'Maturity - Metrics'!$P$12:$R$12</c:f>
              <c:strCache>
                <c:ptCount val="3"/>
                <c:pt idx="0">
                  <c:v>Done</c:v>
                </c:pt>
                <c:pt idx="1">
                  <c:v>Todo</c:v>
                </c:pt>
                <c:pt idx="2">
                  <c:v>Not yet planed</c:v>
                </c:pt>
              </c:strCache>
            </c:strRef>
          </c:cat>
          <c:val>
            <c:numRef>
              <c:f>'Maturity - Metrics'!$P$17:$R$17</c:f>
              <c:numCache>
                <c:formatCode>0%</c:formatCode>
                <c:ptCount val="3"/>
                <c:pt idx="0">
                  <c:v>0.2</c:v>
                </c:pt>
                <c:pt idx="1">
                  <c:v>0.32036036036036036</c:v>
                </c:pt>
                <c:pt idx="2">
                  <c:v>0.47963963963963963</c:v>
                </c:pt>
              </c:numCache>
            </c:numRef>
          </c:val>
          <c:extLst>
            <c:ext xmlns:c16="http://schemas.microsoft.com/office/drawing/2014/chart" uri="{C3380CC4-5D6E-409C-BE32-E72D297353CC}">
              <c16:uniqueId val="{00000000-C2FA-4F70-978B-B5B6874EAA5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076161101743482"/>
          <c:y val="0.38147856341495873"/>
          <c:w val="0.12065409169797425"/>
          <c:h val="0.2818002496151511"/>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74890638670167"/>
          <c:y val="3.8954127680588424E-2"/>
          <c:w val="0.71775809273840774"/>
          <c:h val="0.60659705022168575"/>
        </c:manualLayout>
      </c:layout>
      <c:barChart>
        <c:barDir val="bar"/>
        <c:grouping val="percentStacked"/>
        <c:varyColors val="0"/>
        <c:ser>
          <c:idx val="0"/>
          <c:order val="0"/>
          <c:tx>
            <c:strRef>
              <c:f>'Maturity - Metrics'!$P$12</c:f>
              <c:strCache>
                <c:ptCount val="1"/>
                <c:pt idx="0">
                  <c:v>Done</c:v>
                </c:pt>
              </c:strCache>
            </c:strRef>
          </c:tx>
          <c:spPr>
            <a:gradFill flip="none" rotWithShape="1">
              <a:gsLst>
                <a:gs pos="100000">
                  <a:srgbClr val="00B050"/>
                </a:gs>
                <a:gs pos="0">
                  <a:srgbClr val="92D050"/>
                </a:gs>
              </a:gsLst>
              <a:lin ang="10800000" scaled="1"/>
              <a:tileRect/>
            </a:gradFill>
            <a:ln>
              <a:noFill/>
            </a:ln>
            <a:effectLst/>
          </c:spPr>
          <c:invertIfNegative val="0"/>
          <c:cat>
            <c:strRef>
              <c:f>'Maturity - Metrics'!$N$13</c:f>
              <c:strCache>
                <c:ptCount val="1"/>
                <c:pt idx="0">
                  <c:v>DES specifications</c:v>
                </c:pt>
              </c:strCache>
            </c:strRef>
          </c:cat>
          <c:val>
            <c:numRef>
              <c:f>'Maturity - Metrics'!$P$13</c:f>
              <c:numCache>
                <c:formatCode>0%</c:formatCode>
                <c:ptCount val="1"/>
                <c:pt idx="0">
                  <c:v>0.5</c:v>
                </c:pt>
              </c:numCache>
            </c:numRef>
          </c:val>
          <c:extLst>
            <c:ext xmlns:c16="http://schemas.microsoft.com/office/drawing/2014/chart" uri="{C3380CC4-5D6E-409C-BE32-E72D297353CC}">
              <c16:uniqueId val="{00000000-9885-4074-BD91-4FD400845EF7}"/>
            </c:ext>
          </c:extLst>
        </c:ser>
        <c:ser>
          <c:idx val="1"/>
          <c:order val="1"/>
          <c:tx>
            <c:strRef>
              <c:f>'Maturity - Metrics'!$Q$12</c:f>
              <c:strCache>
                <c:ptCount val="1"/>
                <c:pt idx="0">
                  <c:v>Todo</c:v>
                </c:pt>
              </c:strCache>
            </c:strRef>
          </c:tx>
          <c:spPr>
            <a:gradFill flip="none" rotWithShape="1">
              <a:gsLst>
                <a:gs pos="100000">
                  <a:srgbClr val="FF0000"/>
                </a:gs>
                <a:gs pos="0">
                  <a:schemeClr val="accent2">
                    <a:lumMod val="75000"/>
                  </a:schemeClr>
                </a:gs>
              </a:gsLst>
              <a:lin ang="10800000" scaled="1"/>
              <a:tileRect/>
            </a:gradFill>
            <a:ln>
              <a:noFill/>
            </a:ln>
            <a:effectLst/>
          </c:spPr>
          <c:invertIfNegative val="0"/>
          <c:cat>
            <c:strRef>
              <c:f>'Maturity - Metrics'!$N$13</c:f>
              <c:strCache>
                <c:ptCount val="1"/>
                <c:pt idx="0">
                  <c:v>DES specifications</c:v>
                </c:pt>
              </c:strCache>
            </c:strRef>
          </c:cat>
          <c:val>
            <c:numRef>
              <c:f>'Maturity - Metrics'!$Q$13</c:f>
              <c:numCache>
                <c:formatCode>0%</c:formatCode>
                <c:ptCount val="1"/>
                <c:pt idx="0">
                  <c:v>0.5</c:v>
                </c:pt>
              </c:numCache>
            </c:numRef>
          </c:val>
          <c:extLst>
            <c:ext xmlns:c16="http://schemas.microsoft.com/office/drawing/2014/chart" uri="{C3380CC4-5D6E-409C-BE32-E72D297353CC}">
              <c16:uniqueId val="{00000004-9885-4074-BD91-4FD400845EF7}"/>
            </c:ext>
          </c:extLst>
        </c:ser>
        <c:ser>
          <c:idx val="2"/>
          <c:order val="2"/>
          <c:tx>
            <c:strRef>
              <c:f>'Maturity - Metrics'!$R$12</c:f>
              <c:strCache>
                <c:ptCount val="1"/>
                <c:pt idx="0">
                  <c:v>Not yet planed</c:v>
                </c:pt>
              </c:strCache>
            </c:strRef>
          </c:tx>
          <c:spPr>
            <a:solidFill>
              <a:schemeClr val="bg1">
                <a:lumMod val="50000"/>
                <a:alpha val="90000"/>
              </a:schemeClr>
            </a:solidFill>
            <a:ln>
              <a:noFill/>
            </a:ln>
            <a:effectLst/>
          </c:spPr>
          <c:invertIfNegative val="0"/>
          <c:cat>
            <c:strRef>
              <c:f>'Maturity - Metrics'!$N$13</c:f>
              <c:strCache>
                <c:ptCount val="1"/>
                <c:pt idx="0">
                  <c:v>DES specifications</c:v>
                </c:pt>
              </c:strCache>
            </c:strRef>
          </c:cat>
          <c:val>
            <c:numRef>
              <c:f>'Maturity - Metrics'!$R$13</c:f>
              <c:numCache>
                <c:formatCode>0%</c:formatCode>
                <c:ptCount val="1"/>
                <c:pt idx="0">
                  <c:v>0</c:v>
                </c:pt>
              </c:numCache>
            </c:numRef>
          </c:val>
          <c:extLst>
            <c:ext xmlns:c16="http://schemas.microsoft.com/office/drawing/2014/chart" uri="{C3380CC4-5D6E-409C-BE32-E72D297353CC}">
              <c16:uniqueId val="{00000005-9885-4074-BD91-4FD400845EF7}"/>
            </c:ext>
          </c:extLst>
        </c:ser>
        <c:dLbls>
          <c:showLegendKey val="0"/>
          <c:showVal val="0"/>
          <c:showCatName val="0"/>
          <c:showSerName val="0"/>
          <c:showPercent val="0"/>
          <c:showBubbleSize val="0"/>
        </c:dLbls>
        <c:gapWidth val="0"/>
        <c:overlap val="100"/>
        <c:axId val="967010960"/>
        <c:axId val="967015552"/>
      </c:barChart>
      <c:catAx>
        <c:axId val="967010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7015552"/>
        <c:crosses val="autoZero"/>
        <c:auto val="1"/>
        <c:lblAlgn val="ctr"/>
        <c:lblOffset val="100"/>
        <c:noMultiLvlLbl val="0"/>
      </c:catAx>
      <c:valAx>
        <c:axId val="9670155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10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74890638670167"/>
          <c:y val="3.8954127680588424E-2"/>
          <c:w val="0.71775809273840774"/>
          <c:h val="0.60659705022168575"/>
        </c:manualLayout>
      </c:layout>
      <c:barChart>
        <c:barDir val="bar"/>
        <c:grouping val="percentStacked"/>
        <c:varyColors val="0"/>
        <c:ser>
          <c:idx val="0"/>
          <c:order val="0"/>
          <c:tx>
            <c:strRef>
              <c:f>'Maturity - Metrics'!$P$12</c:f>
              <c:strCache>
                <c:ptCount val="1"/>
                <c:pt idx="0">
                  <c:v>Done</c:v>
                </c:pt>
              </c:strCache>
            </c:strRef>
          </c:tx>
          <c:spPr>
            <a:gradFill>
              <a:gsLst>
                <a:gs pos="100000">
                  <a:srgbClr val="00B050"/>
                </a:gs>
                <a:gs pos="0">
                  <a:srgbClr val="92D050"/>
                </a:gs>
              </a:gsLst>
              <a:lin ang="10800000" scaled="1"/>
            </a:gradFill>
            <a:ln>
              <a:noFill/>
            </a:ln>
            <a:effectLst/>
          </c:spPr>
          <c:invertIfNegative val="0"/>
          <c:dPt>
            <c:idx val="0"/>
            <c:invertIfNegative val="0"/>
            <c:bubble3D val="0"/>
            <c:spPr>
              <a:gradFill>
                <a:gsLst>
                  <a:gs pos="100000">
                    <a:srgbClr val="00B050"/>
                  </a:gs>
                  <a:gs pos="0">
                    <a:srgbClr val="92D050"/>
                  </a:gs>
                </a:gsLst>
                <a:lin ang="10800000" scaled="1"/>
              </a:gradFill>
              <a:ln>
                <a:noFill/>
              </a:ln>
              <a:effectLst/>
            </c:spPr>
            <c:extLst>
              <c:ext xmlns:c16="http://schemas.microsoft.com/office/drawing/2014/chart" uri="{C3380CC4-5D6E-409C-BE32-E72D297353CC}">
                <c16:uniqueId val="{00000003-9885-4074-BD91-4FD400845EF7}"/>
              </c:ext>
            </c:extLst>
          </c:dPt>
          <c:cat>
            <c:strRef>
              <c:f>'Maturity - Metrics'!$N$14</c:f>
              <c:strCache>
                <c:ptCount val="1"/>
                <c:pt idx="0">
                  <c:v>Architecture</c:v>
                </c:pt>
              </c:strCache>
            </c:strRef>
          </c:cat>
          <c:val>
            <c:numRef>
              <c:f>'Maturity - Metrics'!$P$14</c:f>
              <c:numCache>
                <c:formatCode>0%</c:formatCode>
                <c:ptCount val="1"/>
                <c:pt idx="0">
                  <c:v>0.5</c:v>
                </c:pt>
              </c:numCache>
            </c:numRef>
          </c:val>
          <c:extLst>
            <c:ext xmlns:c16="http://schemas.microsoft.com/office/drawing/2014/chart" uri="{C3380CC4-5D6E-409C-BE32-E72D297353CC}">
              <c16:uniqueId val="{00000000-9885-4074-BD91-4FD400845EF7}"/>
            </c:ext>
          </c:extLst>
        </c:ser>
        <c:ser>
          <c:idx val="1"/>
          <c:order val="1"/>
          <c:tx>
            <c:strRef>
              <c:f>'Maturity - Metrics'!$Q$12</c:f>
              <c:strCache>
                <c:ptCount val="1"/>
                <c:pt idx="0">
                  <c:v>Todo</c:v>
                </c:pt>
              </c:strCache>
            </c:strRef>
          </c:tx>
          <c:spPr>
            <a:gradFill flip="none" rotWithShape="1">
              <a:gsLst>
                <a:gs pos="100000">
                  <a:schemeClr val="accent2"/>
                </a:gs>
                <a:gs pos="0">
                  <a:srgbClr val="FF0000"/>
                </a:gs>
              </a:gsLst>
              <a:lin ang="2700000" scaled="1"/>
              <a:tileRect/>
            </a:gradFill>
            <a:ln>
              <a:noFill/>
            </a:ln>
            <a:effectLst/>
          </c:spPr>
          <c:invertIfNegative val="0"/>
          <c:cat>
            <c:strRef>
              <c:f>'Maturity - Metrics'!$N$14</c:f>
              <c:strCache>
                <c:ptCount val="1"/>
                <c:pt idx="0">
                  <c:v>Architecture</c:v>
                </c:pt>
              </c:strCache>
            </c:strRef>
          </c:cat>
          <c:val>
            <c:numRef>
              <c:f>'Maturity - Metrics'!$Q$14</c:f>
              <c:numCache>
                <c:formatCode>0%</c:formatCode>
                <c:ptCount val="1"/>
                <c:pt idx="0">
                  <c:v>0</c:v>
                </c:pt>
              </c:numCache>
            </c:numRef>
          </c:val>
          <c:extLst>
            <c:ext xmlns:c16="http://schemas.microsoft.com/office/drawing/2014/chart" uri="{C3380CC4-5D6E-409C-BE32-E72D297353CC}">
              <c16:uniqueId val="{00000002-748B-4D41-A178-35F3B32CA1B4}"/>
            </c:ext>
          </c:extLst>
        </c:ser>
        <c:ser>
          <c:idx val="2"/>
          <c:order val="2"/>
          <c:tx>
            <c:strRef>
              <c:f>'Maturity - Metrics'!$R$12</c:f>
              <c:strCache>
                <c:ptCount val="1"/>
                <c:pt idx="0">
                  <c:v>Not yet planed</c:v>
                </c:pt>
              </c:strCache>
            </c:strRef>
          </c:tx>
          <c:spPr>
            <a:solidFill>
              <a:schemeClr val="bg1">
                <a:lumMod val="50000"/>
                <a:alpha val="90000"/>
              </a:schemeClr>
            </a:solidFill>
            <a:ln>
              <a:noFill/>
            </a:ln>
            <a:effectLst/>
          </c:spPr>
          <c:invertIfNegative val="0"/>
          <c:cat>
            <c:strRef>
              <c:f>'Maturity - Metrics'!$N$14</c:f>
              <c:strCache>
                <c:ptCount val="1"/>
                <c:pt idx="0">
                  <c:v>Architecture</c:v>
                </c:pt>
              </c:strCache>
            </c:strRef>
          </c:cat>
          <c:val>
            <c:numRef>
              <c:f>'Maturity - Metrics'!$R$14</c:f>
              <c:numCache>
                <c:formatCode>0%</c:formatCode>
                <c:ptCount val="1"/>
                <c:pt idx="0">
                  <c:v>0.5</c:v>
                </c:pt>
              </c:numCache>
            </c:numRef>
          </c:val>
          <c:extLst>
            <c:ext xmlns:c16="http://schemas.microsoft.com/office/drawing/2014/chart" uri="{C3380CC4-5D6E-409C-BE32-E72D297353CC}">
              <c16:uniqueId val="{00000003-748B-4D41-A178-35F3B32CA1B4}"/>
            </c:ext>
          </c:extLst>
        </c:ser>
        <c:dLbls>
          <c:showLegendKey val="0"/>
          <c:showVal val="0"/>
          <c:showCatName val="0"/>
          <c:showSerName val="0"/>
          <c:showPercent val="0"/>
          <c:showBubbleSize val="0"/>
        </c:dLbls>
        <c:gapWidth val="0"/>
        <c:overlap val="100"/>
        <c:axId val="967010960"/>
        <c:axId val="967015552"/>
      </c:barChart>
      <c:catAx>
        <c:axId val="967010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7015552"/>
        <c:crosses val="autoZero"/>
        <c:auto val="1"/>
        <c:lblAlgn val="ctr"/>
        <c:lblOffset val="100"/>
        <c:noMultiLvlLbl val="0"/>
      </c:catAx>
      <c:valAx>
        <c:axId val="9670155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10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74890638670167"/>
          <c:y val="3.8954127680588424E-2"/>
          <c:w val="0.71775809273840774"/>
          <c:h val="0.60659705022168575"/>
        </c:manualLayout>
      </c:layout>
      <c:barChart>
        <c:barDir val="bar"/>
        <c:grouping val="percentStacked"/>
        <c:varyColors val="0"/>
        <c:ser>
          <c:idx val="0"/>
          <c:order val="0"/>
          <c:tx>
            <c:strRef>
              <c:f>'Maturity - Metrics'!$P$12</c:f>
              <c:strCache>
                <c:ptCount val="1"/>
                <c:pt idx="0">
                  <c:v>Done</c:v>
                </c:pt>
              </c:strCache>
            </c:strRef>
          </c:tx>
          <c:spPr>
            <a:gradFill>
              <a:gsLst>
                <a:gs pos="100000">
                  <a:srgbClr val="00B050"/>
                </a:gs>
                <a:gs pos="0">
                  <a:srgbClr val="92D050"/>
                </a:gs>
              </a:gsLst>
              <a:lin ang="10800000" scaled="1"/>
            </a:gradFill>
            <a:ln>
              <a:noFill/>
            </a:ln>
            <a:effectLst/>
          </c:spPr>
          <c:invertIfNegative val="0"/>
          <c:dPt>
            <c:idx val="0"/>
            <c:invertIfNegative val="0"/>
            <c:bubble3D val="0"/>
            <c:spPr>
              <a:gradFill>
                <a:gsLst>
                  <a:gs pos="100000">
                    <a:srgbClr val="00B050"/>
                  </a:gs>
                  <a:gs pos="0">
                    <a:srgbClr val="92D050"/>
                  </a:gs>
                </a:gsLst>
                <a:lin ang="10800000" scaled="1"/>
              </a:gradFill>
              <a:ln>
                <a:noFill/>
              </a:ln>
              <a:effectLst/>
            </c:spPr>
            <c:extLst>
              <c:ext xmlns:c16="http://schemas.microsoft.com/office/drawing/2014/chart" uri="{C3380CC4-5D6E-409C-BE32-E72D297353CC}">
                <c16:uniqueId val="{00000003-9885-4074-BD91-4FD400845EF7}"/>
              </c:ext>
            </c:extLst>
          </c:dPt>
          <c:cat>
            <c:strRef>
              <c:f>'Maturity - Metrics'!$N$15</c:f>
              <c:strCache>
                <c:ptCount val="1"/>
                <c:pt idx="0">
                  <c:v>Detailed Design</c:v>
                </c:pt>
              </c:strCache>
            </c:strRef>
          </c:cat>
          <c:val>
            <c:numRef>
              <c:f>'Maturity - Metrics'!$P$15</c:f>
              <c:numCache>
                <c:formatCode>0%</c:formatCode>
                <c:ptCount val="1"/>
                <c:pt idx="0">
                  <c:v>0</c:v>
                </c:pt>
              </c:numCache>
            </c:numRef>
          </c:val>
          <c:extLst>
            <c:ext xmlns:c16="http://schemas.microsoft.com/office/drawing/2014/chart" uri="{C3380CC4-5D6E-409C-BE32-E72D297353CC}">
              <c16:uniqueId val="{00000000-9885-4074-BD91-4FD400845EF7}"/>
            </c:ext>
          </c:extLst>
        </c:ser>
        <c:ser>
          <c:idx val="1"/>
          <c:order val="1"/>
          <c:tx>
            <c:strRef>
              <c:f>'Maturity - Metrics'!$Q$12</c:f>
              <c:strCache>
                <c:ptCount val="1"/>
                <c:pt idx="0">
                  <c:v>Todo</c:v>
                </c:pt>
              </c:strCache>
            </c:strRef>
          </c:tx>
          <c:spPr>
            <a:gradFill flip="none" rotWithShape="1">
              <a:gsLst>
                <a:gs pos="100000">
                  <a:srgbClr val="FF0000"/>
                </a:gs>
                <a:gs pos="0">
                  <a:schemeClr val="accent2">
                    <a:lumMod val="75000"/>
                  </a:schemeClr>
                </a:gs>
              </a:gsLst>
              <a:lin ang="10800000" scaled="1"/>
              <a:tileRect/>
            </a:gradFill>
            <a:ln>
              <a:noFill/>
            </a:ln>
            <a:effectLst/>
          </c:spPr>
          <c:invertIfNegative val="0"/>
          <c:cat>
            <c:strRef>
              <c:f>'Maturity - Metrics'!$N$15</c:f>
              <c:strCache>
                <c:ptCount val="1"/>
                <c:pt idx="0">
                  <c:v>Detailed Design</c:v>
                </c:pt>
              </c:strCache>
            </c:strRef>
          </c:cat>
          <c:val>
            <c:numRef>
              <c:f>'Maturity - Metrics'!$Q$15</c:f>
              <c:numCache>
                <c:formatCode>0%</c:formatCode>
                <c:ptCount val="1"/>
                <c:pt idx="0">
                  <c:v>0.46666666666666667</c:v>
                </c:pt>
              </c:numCache>
            </c:numRef>
          </c:val>
          <c:extLst>
            <c:ext xmlns:c16="http://schemas.microsoft.com/office/drawing/2014/chart" uri="{C3380CC4-5D6E-409C-BE32-E72D297353CC}">
              <c16:uniqueId val="{00000002-FE92-4C67-8C53-94E3A7EBB2A9}"/>
            </c:ext>
          </c:extLst>
        </c:ser>
        <c:ser>
          <c:idx val="2"/>
          <c:order val="2"/>
          <c:tx>
            <c:strRef>
              <c:f>'Maturity - Metrics'!$R$12</c:f>
              <c:strCache>
                <c:ptCount val="1"/>
                <c:pt idx="0">
                  <c:v>Not yet planed</c:v>
                </c:pt>
              </c:strCache>
            </c:strRef>
          </c:tx>
          <c:spPr>
            <a:solidFill>
              <a:schemeClr val="bg1">
                <a:lumMod val="50000"/>
                <a:alpha val="90000"/>
              </a:schemeClr>
            </a:solidFill>
            <a:ln>
              <a:noFill/>
            </a:ln>
            <a:effectLst/>
          </c:spPr>
          <c:invertIfNegative val="0"/>
          <c:cat>
            <c:strRef>
              <c:f>'Maturity - Metrics'!$N$15</c:f>
              <c:strCache>
                <c:ptCount val="1"/>
                <c:pt idx="0">
                  <c:v>Detailed Design</c:v>
                </c:pt>
              </c:strCache>
            </c:strRef>
          </c:cat>
          <c:val>
            <c:numRef>
              <c:f>'Maturity - Metrics'!$R$15</c:f>
              <c:numCache>
                <c:formatCode>0%</c:formatCode>
                <c:ptCount val="1"/>
                <c:pt idx="0">
                  <c:v>0.53333333333333333</c:v>
                </c:pt>
              </c:numCache>
            </c:numRef>
          </c:val>
          <c:extLst>
            <c:ext xmlns:c16="http://schemas.microsoft.com/office/drawing/2014/chart" uri="{C3380CC4-5D6E-409C-BE32-E72D297353CC}">
              <c16:uniqueId val="{00000003-FE92-4C67-8C53-94E3A7EBB2A9}"/>
            </c:ext>
          </c:extLst>
        </c:ser>
        <c:dLbls>
          <c:showLegendKey val="0"/>
          <c:showVal val="0"/>
          <c:showCatName val="0"/>
          <c:showSerName val="0"/>
          <c:showPercent val="0"/>
          <c:showBubbleSize val="0"/>
        </c:dLbls>
        <c:gapWidth val="0"/>
        <c:overlap val="100"/>
        <c:axId val="967010960"/>
        <c:axId val="967015552"/>
      </c:barChart>
      <c:catAx>
        <c:axId val="967010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7015552"/>
        <c:crosses val="autoZero"/>
        <c:auto val="1"/>
        <c:lblAlgn val="ctr"/>
        <c:lblOffset val="100"/>
        <c:noMultiLvlLbl val="0"/>
      </c:catAx>
      <c:valAx>
        <c:axId val="9670155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10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74890638670167"/>
          <c:y val="3.8954127680588424E-2"/>
          <c:w val="0.71775809273840774"/>
          <c:h val="0.60659705022168575"/>
        </c:manualLayout>
      </c:layout>
      <c:barChart>
        <c:barDir val="bar"/>
        <c:grouping val="percentStacked"/>
        <c:varyColors val="0"/>
        <c:ser>
          <c:idx val="0"/>
          <c:order val="0"/>
          <c:tx>
            <c:strRef>
              <c:f>'Maturity - Metrics'!$P$12</c:f>
              <c:strCache>
                <c:ptCount val="1"/>
                <c:pt idx="0">
                  <c:v>Done</c:v>
                </c:pt>
              </c:strCache>
            </c:strRef>
          </c:tx>
          <c:spPr>
            <a:gradFill>
              <a:gsLst>
                <a:gs pos="100000">
                  <a:srgbClr val="00B050"/>
                </a:gs>
                <a:gs pos="0">
                  <a:srgbClr val="92D050"/>
                </a:gs>
              </a:gsLst>
              <a:lin ang="10800000" scaled="1"/>
            </a:gradFill>
            <a:ln>
              <a:noFill/>
            </a:ln>
            <a:effectLst/>
          </c:spPr>
          <c:invertIfNegative val="0"/>
          <c:dPt>
            <c:idx val="0"/>
            <c:invertIfNegative val="0"/>
            <c:bubble3D val="0"/>
            <c:spPr>
              <a:gradFill>
                <a:gsLst>
                  <a:gs pos="100000">
                    <a:srgbClr val="00B050"/>
                  </a:gs>
                  <a:gs pos="0">
                    <a:srgbClr val="92D050"/>
                  </a:gs>
                </a:gsLst>
                <a:lin ang="10800000" scaled="1"/>
              </a:gradFill>
              <a:ln>
                <a:noFill/>
              </a:ln>
              <a:effectLst/>
            </c:spPr>
            <c:extLst>
              <c:ext xmlns:c16="http://schemas.microsoft.com/office/drawing/2014/chart" uri="{C3380CC4-5D6E-409C-BE32-E72D297353CC}">
                <c16:uniqueId val="{00000003-9885-4074-BD91-4FD400845EF7}"/>
              </c:ext>
            </c:extLst>
          </c:dPt>
          <c:cat>
            <c:strRef>
              <c:f>'Maturity - Metrics'!$N$16</c:f>
              <c:strCache>
                <c:ptCount val="1"/>
                <c:pt idx="0">
                  <c:v>Code</c:v>
                </c:pt>
              </c:strCache>
            </c:strRef>
          </c:cat>
          <c:val>
            <c:numRef>
              <c:f>'Maturity - Metrics'!$P$16</c:f>
              <c:numCache>
                <c:formatCode>0%</c:formatCode>
                <c:ptCount val="1"/>
                <c:pt idx="0">
                  <c:v>0</c:v>
                </c:pt>
              </c:numCache>
            </c:numRef>
          </c:val>
          <c:extLst>
            <c:ext xmlns:c16="http://schemas.microsoft.com/office/drawing/2014/chart" uri="{C3380CC4-5D6E-409C-BE32-E72D297353CC}">
              <c16:uniqueId val="{00000000-9885-4074-BD91-4FD400845EF7}"/>
            </c:ext>
          </c:extLst>
        </c:ser>
        <c:ser>
          <c:idx val="1"/>
          <c:order val="1"/>
          <c:tx>
            <c:strRef>
              <c:f>'Maturity - Metrics'!$Q$12</c:f>
              <c:strCache>
                <c:ptCount val="1"/>
                <c:pt idx="0">
                  <c:v>Todo</c:v>
                </c:pt>
              </c:strCache>
            </c:strRef>
          </c:tx>
          <c:spPr>
            <a:gradFill>
              <a:gsLst>
                <a:gs pos="100000">
                  <a:srgbClr val="FF0000"/>
                </a:gs>
                <a:gs pos="0">
                  <a:schemeClr val="accent2">
                    <a:lumMod val="75000"/>
                  </a:schemeClr>
                </a:gs>
              </a:gsLst>
              <a:lin ang="10800000" scaled="1"/>
            </a:gradFill>
            <a:ln>
              <a:noFill/>
            </a:ln>
            <a:effectLst/>
          </c:spPr>
          <c:invertIfNegative val="0"/>
          <c:cat>
            <c:strRef>
              <c:f>'Maturity - Metrics'!$N$16</c:f>
              <c:strCache>
                <c:ptCount val="1"/>
                <c:pt idx="0">
                  <c:v>Code</c:v>
                </c:pt>
              </c:strCache>
            </c:strRef>
          </c:cat>
          <c:val>
            <c:numRef>
              <c:f>'Maturity - Metrics'!$Q$16</c:f>
              <c:numCache>
                <c:formatCode>0%</c:formatCode>
                <c:ptCount val="1"/>
                <c:pt idx="0">
                  <c:v>0.63513513513513509</c:v>
                </c:pt>
              </c:numCache>
            </c:numRef>
          </c:val>
          <c:extLst>
            <c:ext xmlns:c16="http://schemas.microsoft.com/office/drawing/2014/chart" uri="{C3380CC4-5D6E-409C-BE32-E72D297353CC}">
              <c16:uniqueId val="{00000002-D1E0-4D94-8FC9-3CFBD3181A66}"/>
            </c:ext>
          </c:extLst>
        </c:ser>
        <c:ser>
          <c:idx val="2"/>
          <c:order val="2"/>
          <c:tx>
            <c:strRef>
              <c:f>'Maturity - Metrics'!$R$12</c:f>
              <c:strCache>
                <c:ptCount val="1"/>
                <c:pt idx="0">
                  <c:v>Not yet planed</c:v>
                </c:pt>
              </c:strCache>
            </c:strRef>
          </c:tx>
          <c:spPr>
            <a:solidFill>
              <a:schemeClr val="accent3"/>
            </a:solidFill>
            <a:ln>
              <a:noFill/>
            </a:ln>
            <a:effectLst/>
          </c:spPr>
          <c:invertIfNegative val="0"/>
          <c:cat>
            <c:strRef>
              <c:f>'Maturity - Metrics'!$N$16</c:f>
              <c:strCache>
                <c:ptCount val="1"/>
                <c:pt idx="0">
                  <c:v>Code</c:v>
                </c:pt>
              </c:strCache>
            </c:strRef>
          </c:cat>
          <c:val>
            <c:numRef>
              <c:f>'Maturity - Metrics'!$R$16</c:f>
              <c:numCache>
                <c:formatCode>0%</c:formatCode>
                <c:ptCount val="1"/>
                <c:pt idx="0">
                  <c:v>0.36486486486486491</c:v>
                </c:pt>
              </c:numCache>
            </c:numRef>
          </c:val>
          <c:extLst>
            <c:ext xmlns:c16="http://schemas.microsoft.com/office/drawing/2014/chart" uri="{C3380CC4-5D6E-409C-BE32-E72D297353CC}">
              <c16:uniqueId val="{00000003-D1E0-4D94-8FC9-3CFBD3181A66}"/>
            </c:ext>
          </c:extLst>
        </c:ser>
        <c:dLbls>
          <c:showLegendKey val="0"/>
          <c:showVal val="0"/>
          <c:showCatName val="0"/>
          <c:showSerName val="0"/>
          <c:showPercent val="0"/>
          <c:showBubbleSize val="0"/>
        </c:dLbls>
        <c:gapWidth val="0"/>
        <c:overlap val="100"/>
        <c:axId val="967010960"/>
        <c:axId val="967015552"/>
      </c:barChart>
      <c:catAx>
        <c:axId val="967010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7015552"/>
        <c:crosses val="autoZero"/>
        <c:auto val="1"/>
        <c:lblAlgn val="ctr"/>
        <c:lblOffset val="100"/>
        <c:noMultiLvlLbl val="0"/>
      </c:catAx>
      <c:valAx>
        <c:axId val="9670155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10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47625</xdr:colOff>
      <xdr:row>2</xdr:row>
      <xdr:rowOff>154795</xdr:rowOff>
    </xdr:to>
    <xdr:pic>
      <xdr:nvPicPr>
        <xdr:cNvPr id="2" name="Picture 1">
          <a:extLst>
            <a:ext uri="{FF2B5EF4-FFF2-40B4-BE49-F238E27FC236}">
              <a16:creationId xmlns:a16="http://schemas.microsoft.com/office/drawing/2014/main" id="{8765512E-C554-4155-8364-D10810AB5F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28575</xdr:colOff>
      <xdr:row>2</xdr:row>
      <xdr:rowOff>97645</xdr:rowOff>
    </xdr:to>
    <xdr:pic>
      <xdr:nvPicPr>
        <xdr:cNvPr id="2" name="Picture 1">
          <a:extLst>
            <a:ext uri="{FF2B5EF4-FFF2-40B4-BE49-F238E27FC236}">
              <a16:creationId xmlns:a16="http://schemas.microsoft.com/office/drawing/2014/main" id="{6AC7741D-8C3C-43F2-875C-0E642646BE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170205</xdr:colOff>
      <xdr:row>3</xdr:row>
      <xdr:rowOff>241105</xdr:rowOff>
    </xdr:from>
    <xdr:to>
      <xdr:col>3</xdr:col>
      <xdr:colOff>465232</xdr:colOff>
      <xdr:row>4</xdr:row>
      <xdr:rowOff>2847146</xdr:rowOff>
    </xdr:to>
    <xdr:graphicFrame macro="">
      <xdr:nvGraphicFramePr>
        <xdr:cNvPr id="3" name="Chart 2">
          <a:extLst>
            <a:ext uri="{FF2B5EF4-FFF2-40B4-BE49-F238E27FC236}">
              <a16:creationId xmlns:a16="http://schemas.microsoft.com/office/drawing/2014/main" id="{0FBB12DB-BFEA-42B8-AD9F-5AA9130F4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31060</xdr:colOff>
      <xdr:row>1</xdr:row>
      <xdr:rowOff>279744</xdr:rowOff>
    </xdr:from>
    <xdr:to>
      <xdr:col>11</xdr:col>
      <xdr:colOff>600489</xdr:colOff>
      <xdr:row>2</xdr:row>
      <xdr:rowOff>2609022</xdr:rowOff>
    </xdr:to>
    <xdr:graphicFrame macro="">
      <xdr:nvGraphicFramePr>
        <xdr:cNvPr id="4" name="Chart 3">
          <a:extLst>
            <a:ext uri="{FF2B5EF4-FFF2-40B4-BE49-F238E27FC236}">
              <a16:creationId xmlns:a16="http://schemas.microsoft.com/office/drawing/2014/main" id="{80EA1B5A-3027-4D7D-9A13-CAA726311D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12423</xdr:colOff>
      <xdr:row>4</xdr:row>
      <xdr:rowOff>113887</xdr:rowOff>
    </xdr:from>
    <xdr:to>
      <xdr:col>11</xdr:col>
      <xdr:colOff>588064</xdr:colOff>
      <xdr:row>4</xdr:row>
      <xdr:rowOff>755789</xdr:rowOff>
    </xdr:to>
    <xdr:graphicFrame macro="">
      <xdr:nvGraphicFramePr>
        <xdr:cNvPr id="2" name="Chart 1">
          <a:extLst>
            <a:ext uri="{FF2B5EF4-FFF2-40B4-BE49-F238E27FC236}">
              <a16:creationId xmlns:a16="http://schemas.microsoft.com/office/drawing/2014/main" id="{366A4EB4-D17A-43C7-929E-7888A85EF3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12423</xdr:colOff>
      <xdr:row>4</xdr:row>
      <xdr:rowOff>838615</xdr:rowOff>
    </xdr:from>
    <xdr:to>
      <xdr:col>11</xdr:col>
      <xdr:colOff>588064</xdr:colOff>
      <xdr:row>4</xdr:row>
      <xdr:rowOff>1480517</xdr:rowOff>
    </xdr:to>
    <xdr:graphicFrame macro="">
      <xdr:nvGraphicFramePr>
        <xdr:cNvPr id="8" name="Chart 7">
          <a:extLst>
            <a:ext uri="{FF2B5EF4-FFF2-40B4-BE49-F238E27FC236}">
              <a16:creationId xmlns:a16="http://schemas.microsoft.com/office/drawing/2014/main" id="{265B5C8F-F25A-43FF-9968-CD25B14DC0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12423</xdr:colOff>
      <xdr:row>4</xdr:row>
      <xdr:rowOff>1521930</xdr:rowOff>
    </xdr:from>
    <xdr:to>
      <xdr:col>11</xdr:col>
      <xdr:colOff>588064</xdr:colOff>
      <xdr:row>4</xdr:row>
      <xdr:rowOff>2163832</xdr:rowOff>
    </xdr:to>
    <xdr:graphicFrame macro="">
      <xdr:nvGraphicFramePr>
        <xdr:cNvPr id="9" name="Chart 8">
          <a:extLst>
            <a:ext uri="{FF2B5EF4-FFF2-40B4-BE49-F238E27FC236}">
              <a16:creationId xmlns:a16="http://schemas.microsoft.com/office/drawing/2014/main" id="{1AD01DE7-4CD8-49F9-A28B-386E35BFE2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12423</xdr:colOff>
      <xdr:row>4</xdr:row>
      <xdr:rowOff>2225952</xdr:rowOff>
    </xdr:from>
    <xdr:to>
      <xdr:col>11</xdr:col>
      <xdr:colOff>588064</xdr:colOff>
      <xdr:row>4</xdr:row>
      <xdr:rowOff>2867854</xdr:rowOff>
    </xdr:to>
    <xdr:graphicFrame macro="">
      <xdr:nvGraphicFramePr>
        <xdr:cNvPr id="10" name="Chart 9">
          <a:extLst>
            <a:ext uri="{FF2B5EF4-FFF2-40B4-BE49-F238E27FC236}">
              <a16:creationId xmlns:a16="http://schemas.microsoft.com/office/drawing/2014/main" id="{15D430A6-B8AF-401D-AFBF-E757C5B5E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PLM/PLM_S32K144_generic_Platform/Exxxxx%20-%20SW%20Work-Product%20Follow-up%20(SWP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lvteams.alv.autoliv.int/PROJECT/AEF1126%20-%20SW00TEM007%20Generic%20Excel%20Templat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lvteams.alv.autoliv.int/SYSTEM/AEF1066%20-%20Reuse%20Strategy%20Definitio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ata/PLM/PLM_S32K144_generic_Platform/Exxxx%20-%20SW%20Work-Product%20Follow-up%20(SWP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Documentation"/>
      <sheetName val="COTS"/>
      <sheetName val="Customer deliveries"/>
      <sheetName val="Maturity - Metrics"/>
      <sheetName val="Tools-Sources-NVM APP"/>
      <sheetName val="Tools-Sources-NVM BOOT"/>
      <sheetName val="Maturity - Design &amp; Code"/>
      <sheetName val="Maturity - Func System Req "/>
      <sheetName val="Maturity - Func Domain Req"/>
      <sheetName val="Maturity - Architecture"/>
      <sheetName val="Maturity - Tools &amp; Methods"/>
      <sheetName val="History"/>
    </sheetNames>
    <sheetDataSet>
      <sheetData sheetId="0">
        <row r="7">
          <cell r="E7" t="str">
            <v>SW Work-Product Follow-up Template</v>
          </cell>
        </row>
      </sheetData>
      <sheetData sheetId="1">
        <row r="135">
          <cell r="E135" t="str">
            <v>Plan</v>
          </cell>
        </row>
        <row r="136">
          <cell r="E136" t="str">
            <v>Status</v>
          </cell>
        </row>
        <row r="152">
          <cell r="C152" t="str">
            <v>Make</v>
          </cell>
        </row>
        <row r="153">
          <cell r="C153" t="str">
            <v>Reuse</v>
          </cell>
        </row>
        <row r="154">
          <cell r="C154" t="str">
            <v>Buy</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F1" t="str">
            <v>Info type</v>
          </cell>
          <cell r="G1" t="str">
            <v>DES availability</v>
          </cell>
          <cell r="H1" t="str">
            <v>DES review</v>
          </cell>
        </row>
        <row r="2">
          <cell r="G2" t="str">
            <v>Domain requirements</v>
          </cell>
        </row>
        <row r="4">
          <cell r="F4" t="str">
            <v>Plan</v>
          </cell>
          <cell r="G4">
            <v>0</v>
          </cell>
          <cell r="H4">
            <v>0</v>
          </cell>
        </row>
        <row r="5">
          <cell r="F5" t="str">
            <v>Status</v>
          </cell>
          <cell r="G5">
            <v>0</v>
          </cell>
          <cell r="H5">
            <v>0</v>
          </cell>
        </row>
      </sheetData>
      <sheetData sheetId="11">
        <row r="1">
          <cell r="G1" t="str">
            <v>Info type</v>
          </cell>
          <cell r="H1" t="str">
            <v>SAD availability</v>
          </cell>
          <cell r="I1" t="str">
            <v>SAD review</v>
          </cell>
        </row>
        <row r="2">
          <cell r="H2" t="str">
            <v>SAD</v>
          </cell>
        </row>
        <row r="4">
          <cell r="G4" t="str">
            <v>Plan</v>
          </cell>
          <cell r="H4">
            <v>0</v>
          </cell>
          <cell r="I4">
            <v>0</v>
          </cell>
        </row>
        <row r="5">
          <cell r="G5" t="str">
            <v>Status</v>
          </cell>
          <cell r="H5">
            <v>0</v>
          </cell>
          <cell r="I5">
            <v>0</v>
          </cell>
        </row>
        <row r="7">
          <cell r="G7" t="str">
            <v>Plan</v>
          </cell>
          <cell r="H7">
            <v>0</v>
          </cell>
          <cell r="I7">
            <v>0</v>
          </cell>
        </row>
        <row r="8">
          <cell r="G8" t="str">
            <v>Status</v>
          </cell>
          <cell r="H8">
            <v>0</v>
          </cell>
          <cell r="I8">
            <v>0</v>
          </cell>
        </row>
        <row r="9">
          <cell r="G9" t="str">
            <v>Plan</v>
          </cell>
          <cell r="H9">
            <v>0</v>
          </cell>
          <cell r="I9">
            <v>0</v>
          </cell>
        </row>
        <row r="10">
          <cell r="G10" t="str">
            <v>Status</v>
          </cell>
          <cell r="H10">
            <v>0</v>
          </cell>
          <cell r="I10">
            <v>0</v>
          </cell>
        </row>
        <row r="11">
          <cell r="G11" t="str">
            <v>Plan</v>
          </cell>
          <cell r="H11">
            <v>0</v>
          </cell>
          <cell r="I11">
            <v>0</v>
          </cell>
        </row>
        <row r="12">
          <cell r="G12" t="str">
            <v>Status</v>
          </cell>
          <cell r="H12">
            <v>0</v>
          </cell>
          <cell r="I12">
            <v>0</v>
          </cell>
        </row>
        <row r="13">
          <cell r="G13" t="str">
            <v>Plan</v>
          </cell>
          <cell r="H13">
            <v>0</v>
          </cell>
          <cell r="I13">
            <v>0</v>
          </cell>
        </row>
        <row r="14">
          <cell r="G14" t="str">
            <v>Status</v>
          </cell>
          <cell r="H14">
            <v>0</v>
          </cell>
          <cell r="I14">
            <v>0</v>
          </cell>
        </row>
        <row r="15">
          <cell r="G15" t="str">
            <v>Plan</v>
          </cell>
          <cell r="H15">
            <v>0</v>
          </cell>
          <cell r="I15">
            <v>0</v>
          </cell>
        </row>
        <row r="16">
          <cell r="G16" t="str">
            <v>Status</v>
          </cell>
          <cell r="H16">
            <v>0</v>
          </cell>
          <cell r="I16">
            <v>0</v>
          </cell>
        </row>
        <row r="17">
          <cell r="G17" t="str">
            <v>Plan</v>
          </cell>
          <cell r="H17">
            <v>0</v>
          </cell>
          <cell r="I17">
            <v>0</v>
          </cell>
        </row>
        <row r="18">
          <cell r="G18" t="str">
            <v>Status</v>
          </cell>
          <cell r="H18">
            <v>0</v>
          </cell>
          <cell r="I18">
            <v>0</v>
          </cell>
        </row>
        <row r="19">
          <cell r="G19" t="str">
            <v>Plan</v>
          </cell>
          <cell r="H19" t="str">
            <v>NA</v>
          </cell>
          <cell r="I19" t="str">
            <v>NA</v>
          </cell>
        </row>
        <row r="20">
          <cell r="G20" t="str">
            <v>Status</v>
          </cell>
          <cell r="H20" t="str">
            <v>NA</v>
          </cell>
          <cell r="I20" t="str">
            <v>NA</v>
          </cell>
        </row>
        <row r="21">
          <cell r="G21" t="str">
            <v>Plan</v>
          </cell>
          <cell r="H21">
            <v>0</v>
          </cell>
          <cell r="I21">
            <v>0</v>
          </cell>
        </row>
        <row r="22">
          <cell r="G22" t="str">
            <v>Status</v>
          </cell>
          <cell r="H22">
            <v>0</v>
          </cell>
          <cell r="I22">
            <v>0</v>
          </cell>
        </row>
        <row r="23">
          <cell r="G23" t="str">
            <v>Plan</v>
          </cell>
          <cell r="H23">
            <v>0</v>
          </cell>
          <cell r="I23">
            <v>0</v>
          </cell>
        </row>
        <row r="24">
          <cell r="G24" t="str">
            <v>Status</v>
          </cell>
          <cell r="H24">
            <v>0</v>
          </cell>
          <cell r="I24">
            <v>0</v>
          </cell>
        </row>
        <row r="25">
          <cell r="G25" t="str">
            <v>Plan</v>
          </cell>
          <cell r="H25">
            <v>0</v>
          </cell>
          <cell r="I25">
            <v>0</v>
          </cell>
        </row>
        <row r="26">
          <cell r="G26" t="str">
            <v>Status</v>
          </cell>
          <cell r="H26">
            <v>0</v>
          </cell>
          <cell r="I26">
            <v>0</v>
          </cell>
        </row>
        <row r="27">
          <cell r="G27" t="str">
            <v>Plan</v>
          </cell>
          <cell r="H27">
            <v>0</v>
          </cell>
          <cell r="I27">
            <v>0</v>
          </cell>
        </row>
        <row r="28">
          <cell r="G28" t="str">
            <v>Status</v>
          </cell>
          <cell r="H28">
            <v>0</v>
          </cell>
          <cell r="I28">
            <v>0</v>
          </cell>
        </row>
        <row r="29">
          <cell r="G29" t="str">
            <v>Plan</v>
          </cell>
          <cell r="H29">
            <v>0</v>
          </cell>
          <cell r="I29">
            <v>0</v>
          </cell>
        </row>
        <row r="30">
          <cell r="G30" t="str">
            <v>Status</v>
          </cell>
          <cell r="H30">
            <v>0</v>
          </cell>
          <cell r="I30">
            <v>0</v>
          </cell>
        </row>
        <row r="31">
          <cell r="G31" t="str">
            <v>Plan</v>
          </cell>
          <cell r="H31">
            <v>0</v>
          </cell>
          <cell r="I31">
            <v>0</v>
          </cell>
        </row>
        <row r="32">
          <cell r="G32" t="str">
            <v>Status</v>
          </cell>
          <cell r="H32">
            <v>0</v>
          </cell>
          <cell r="I32">
            <v>0</v>
          </cell>
        </row>
        <row r="33">
          <cell r="G33" t="str">
            <v>Plan</v>
          </cell>
          <cell r="H33">
            <v>0</v>
          </cell>
          <cell r="I33">
            <v>0</v>
          </cell>
        </row>
        <row r="34">
          <cell r="G34" t="str">
            <v>Status</v>
          </cell>
          <cell r="H34">
            <v>0</v>
          </cell>
          <cell r="I34">
            <v>0</v>
          </cell>
        </row>
        <row r="35">
          <cell r="G35" t="str">
            <v>Plan</v>
          </cell>
          <cell r="H35" t="str">
            <v>NA</v>
          </cell>
          <cell r="I35" t="str">
            <v>NA</v>
          </cell>
        </row>
        <row r="36">
          <cell r="G36" t="str">
            <v>Status</v>
          </cell>
          <cell r="H36" t="str">
            <v>NA</v>
          </cell>
          <cell r="I36" t="str">
            <v>NA</v>
          </cell>
        </row>
        <row r="37">
          <cell r="G37" t="str">
            <v>Plan</v>
          </cell>
          <cell r="H37" t="str">
            <v>NA</v>
          </cell>
          <cell r="I37" t="str">
            <v>NA</v>
          </cell>
        </row>
        <row r="38">
          <cell r="G38" t="str">
            <v>Status</v>
          </cell>
          <cell r="H38" t="str">
            <v>NA</v>
          </cell>
          <cell r="I38" t="str">
            <v>NA</v>
          </cell>
        </row>
      </sheetData>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Content"/>
    </sheetNames>
    <sheetDataSet>
      <sheetData sheetId="0">
        <row r="3">
          <cell r="AD3" t="str">
            <v>Process integration and release method.xlsm</v>
          </cell>
        </row>
        <row r="5">
          <cell r="A5" t="str">
            <v>Process and method</v>
          </cell>
          <cell r="W5" t="str">
            <v>Draft</v>
          </cell>
          <cell r="AB5" t="str">
            <v>TBD</v>
          </cell>
        </row>
        <row r="7">
          <cell r="A7" t="str">
            <v>TBD</v>
          </cell>
          <cell r="E7" t="str">
            <v>SW00TEM007 Generic Excel Template</v>
          </cell>
          <cell r="W7" t="str">
            <v>AEF1126</v>
          </cell>
          <cell r="AB7" t="str">
            <v>TBD</v>
          </cell>
          <cell r="AE7" t="str">
            <v>TBD</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Summary"/>
      <sheetName val="Metrics"/>
    </sheetNames>
    <sheetDataSet>
      <sheetData sheetId="0"/>
      <sheetData sheetId="1">
        <row r="64">
          <cell r="AI64" t="str">
            <v>Make</v>
          </cell>
          <cell r="AK64" t="str">
            <v>To develop from scratch</v>
          </cell>
        </row>
        <row r="65">
          <cell r="AI65" t="str">
            <v>Reuse</v>
          </cell>
          <cell r="AK65" t="str">
            <v>To develop from an empty template</v>
          </cell>
        </row>
        <row r="66">
          <cell r="AI66" t="str">
            <v>Buy</v>
          </cell>
          <cell r="AK66" t="str">
            <v>Few parts come from … (TBD)</v>
          </cell>
        </row>
        <row r="67">
          <cell r="AK67" t="str">
            <v>Reused with some configurations / parameters</v>
          </cell>
        </row>
        <row r="68">
          <cell r="AK68" t="str">
            <v>Fully reuse. Nothing to do</v>
          </cell>
        </row>
      </sheetData>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86C78-6D43-4121-B08F-AA6067CEB883}">
  <sheetPr codeName="Sheet1">
    <tabColor theme="9" tint="0.59999389629810485"/>
  </sheetPr>
  <dimension ref="A1:BH26"/>
  <sheetViews>
    <sheetView showGridLines="0" topLeftCell="A4" zoomScaleNormal="100" workbookViewId="0">
      <selection activeCell="E15" sqref="E15:AG15"/>
    </sheetView>
  </sheetViews>
  <sheetFormatPr defaultColWidth="0" defaultRowHeight="12.75" customHeight="1" zeroHeight="1" x14ac:dyDescent="0.25"/>
  <cols>
    <col min="1" max="33" width="2.81640625" style="68" customWidth="1"/>
    <col min="34" max="34" width="1.26953125" style="68" customWidth="1"/>
    <col min="35" max="60" width="3.26953125" style="68" hidden="1" customWidth="1"/>
    <col min="61" max="16384" width="0" style="68" hidden="1"/>
  </cols>
  <sheetData>
    <row r="1" spans="1:37" s="15" customFormat="1" ht="12.5" x14ac:dyDescent="0.25">
      <c r="C1" s="57"/>
      <c r="D1" s="57"/>
      <c r="E1" s="57"/>
      <c r="F1" s="57"/>
      <c r="G1" s="58"/>
      <c r="H1" s="59"/>
      <c r="I1" s="59"/>
      <c r="J1" s="59"/>
      <c r="K1" s="59"/>
      <c r="L1" s="59"/>
      <c r="M1" s="59"/>
      <c r="N1" s="59"/>
      <c r="O1" s="59"/>
      <c r="P1" s="60"/>
      <c r="Q1" s="60"/>
      <c r="R1" s="60"/>
      <c r="S1" s="60"/>
      <c r="T1" s="60"/>
      <c r="U1" s="60"/>
      <c r="V1" s="60"/>
      <c r="W1" s="60"/>
      <c r="X1" s="60"/>
      <c r="Y1" s="60"/>
      <c r="Z1" s="60"/>
      <c r="AA1" s="60"/>
      <c r="AB1" s="60"/>
      <c r="AC1" s="60"/>
      <c r="AD1" s="60"/>
      <c r="AE1" s="60"/>
      <c r="AF1" s="60"/>
      <c r="AG1" s="60"/>
      <c r="AH1" s="60"/>
      <c r="AI1" s="60"/>
      <c r="AJ1" s="60"/>
      <c r="AK1" s="60"/>
    </row>
    <row r="2" spans="1:37" s="15" customFormat="1" ht="12.5" x14ac:dyDescent="0.25">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row>
    <row r="3" spans="1:37" s="15" customFormat="1" ht="12.5" x14ac:dyDescent="0.25">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2" t="str">
        <f ca="1">MID(CELL("filename"),FIND("[",CELL("filename"))+1,FIND("]",CELL("filename"))-FIND("[",CELL("filename"))-1)</f>
        <v>DAI MMA - SW Work-Product Follow-up.xlsm</v>
      </c>
      <c r="AE3" s="61"/>
      <c r="AF3" s="61"/>
      <c r="AG3" s="61"/>
      <c r="AH3" s="61"/>
      <c r="AI3" s="61"/>
      <c r="AJ3" s="61"/>
      <c r="AK3" s="61"/>
    </row>
    <row r="4" spans="1:37" s="15" customFormat="1" ht="11.15" customHeight="1" x14ac:dyDescent="0.25">
      <c r="A4" s="202" t="s">
        <v>0</v>
      </c>
      <c r="B4" s="203"/>
      <c r="C4" s="203"/>
      <c r="D4" s="203"/>
      <c r="E4" s="203"/>
      <c r="F4" s="203"/>
      <c r="G4" s="203"/>
      <c r="H4" s="203"/>
      <c r="I4" s="203"/>
      <c r="J4" s="203"/>
      <c r="K4" s="203"/>
      <c r="L4" s="203"/>
      <c r="M4" s="203"/>
      <c r="N4" s="203"/>
      <c r="O4" s="203"/>
      <c r="P4" s="203"/>
      <c r="Q4" s="204"/>
      <c r="R4" s="205" t="s">
        <v>10</v>
      </c>
      <c r="S4" s="206"/>
      <c r="T4" s="206"/>
      <c r="U4" s="206"/>
      <c r="V4" s="207"/>
      <c r="W4" s="205" t="s">
        <v>1</v>
      </c>
      <c r="X4" s="206"/>
      <c r="Y4" s="206"/>
      <c r="Z4" s="206"/>
      <c r="AA4" s="207"/>
      <c r="AB4" s="202" t="s">
        <v>64</v>
      </c>
      <c r="AC4" s="203"/>
      <c r="AD4" s="203"/>
      <c r="AE4" s="203"/>
      <c r="AF4" s="203"/>
      <c r="AG4" s="204"/>
      <c r="AH4" s="63"/>
      <c r="AI4" s="63"/>
      <c r="AJ4" s="63"/>
      <c r="AK4" s="61"/>
    </row>
    <row r="5" spans="1:37" s="64" customFormat="1" ht="12.75" customHeight="1" x14ac:dyDescent="0.25">
      <c r="A5" s="208" t="str">
        <f ca="1" xml:space="preserve"> IFERROR(IF(alvDocProperty("MXAuthority")="","Process and method",alvDocProperty("MXAuthority")),"Process and method")</f>
        <v>Process and method</v>
      </c>
      <c r="B5" s="209"/>
      <c r="C5" s="209"/>
      <c r="D5" s="209"/>
      <c r="E5" s="209"/>
      <c r="F5" s="209"/>
      <c r="G5" s="209"/>
      <c r="H5" s="209"/>
      <c r="I5" s="209"/>
      <c r="J5" s="209"/>
      <c r="K5" s="209"/>
      <c r="L5" s="209"/>
      <c r="M5" s="209"/>
      <c r="N5" s="209"/>
      <c r="O5" s="209"/>
      <c r="P5" s="209"/>
      <c r="Q5" s="210"/>
      <c r="R5" s="208" t="s">
        <v>65</v>
      </c>
      <c r="S5" s="209"/>
      <c r="T5" s="209"/>
      <c r="U5" s="209"/>
      <c r="V5" s="210"/>
      <c r="W5" s="208" t="str">
        <f ca="1" xml:space="preserve"> IFERROR(IF(alvDocProperty("MXCurrent.Localized")="","Template released",alvDocProperty("MXCurrent.Localized")),"Template released")</f>
        <v>Template released</v>
      </c>
      <c r="X5" s="209"/>
      <c r="Y5" s="209"/>
      <c r="Z5" s="209"/>
      <c r="AA5" s="210"/>
      <c r="AB5" s="208" t="str">
        <f ca="1" xml:space="preserve"> IFERROR(IF(alvDocProperty("MXActual_state_Released")="","2021-10",alvDocProperty("MXActual_state_Released")),"2021-10")</f>
        <v>2021-10</v>
      </c>
      <c r="AC5" s="209"/>
      <c r="AD5" s="209"/>
      <c r="AE5" s="209"/>
      <c r="AF5" s="209"/>
      <c r="AG5" s="210"/>
    </row>
    <row r="6" spans="1:37" s="61" customFormat="1" ht="11.15" customHeight="1" x14ac:dyDescent="0.25">
      <c r="A6" s="205" t="s">
        <v>2</v>
      </c>
      <c r="B6" s="206"/>
      <c r="C6" s="206"/>
      <c r="D6" s="207"/>
      <c r="E6" s="205" t="s">
        <v>3</v>
      </c>
      <c r="F6" s="206"/>
      <c r="G6" s="206"/>
      <c r="H6" s="206"/>
      <c r="I6" s="206"/>
      <c r="J6" s="206"/>
      <c r="K6" s="206"/>
      <c r="L6" s="206"/>
      <c r="M6" s="206"/>
      <c r="N6" s="206"/>
      <c r="O6" s="206"/>
      <c r="P6" s="206"/>
      <c r="Q6" s="206"/>
      <c r="R6" s="206"/>
      <c r="S6" s="206"/>
      <c r="T6" s="206"/>
      <c r="U6" s="206"/>
      <c r="V6" s="207"/>
      <c r="W6" s="202" t="s">
        <v>5</v>
      </c>
      <c r="X6" s="203"/>
      <c r="Y6" s="203"/>
      <c r="Z6" s="203"/>
      <c r="AA6" s="204"/>
      <c r="AB6" s="205" t="s">
        <v>66</v>
      </c>
      <c r="AC6" s="206"/>
      <c r="AD6" s="207"/>
      <c r="AE6" s="205" t="s">
        <v>4</v>
      </c>
      <c r="AF6" s="206"/>
      <c r="AG6" s="207"/>
    </row>
    <row r="7" spans="1:37" s="64" customFormat="1" ht="12.75" customHeight="1" x14ac:dyDescent="0.25">
      <c r="A7" s="208" t="str">
        <f ca="1" xml:space="preserve"> IFERROR(IF(alvDocProperty("MXName")="","TBD",alvDocProperty("MXName")),"TBD")</f>
        <v>TBD</v>
      </c>
      <c r="B7" s="209"/>
      <c r="C7" s="209"/>
      <c r="D7" s="210"/>
      <c r="E7" s="208" t="str">
        <f ca="1" xml:space="preserve"> IFERROR(IF(alvDocProperty("MXTitle")="","SW Work-Product Follow-up (SWPF)",alvDocProperty("MXTitle")),"SW Work-Product Follow-up (SWPF)")</f>
        <v>SW Work-Product Follow-up (SWPF)</v>
      </c>
      <c r="F7" s="209"/>
      <c r="G7" s="209"/>
      <c r="H7" s="209"/>
      <c r="I7" s="209"/>
      <c r="J7" s="209"/>
      <c r="K7" s="209"/>
      <c r="L7" s="209"/>
      <c r="M7" s="209"/>
      <c r="N7" s="209"/>
      <c r="O7" s="209"/>
      <c r="P7" s="209"/>
      <c r="Q7" s="209"/>
      <c r="R7" s="209"/>
      <c r="S7" s="209"/>
      <c r="T7" s="209"/>
      <c r="U7" s="209"/>
      <c r="V7" s="210"/>
      <c r="W7" s="208" t="str">
        <f ca="1" xml:space="preserve"> IFERROR(IF(alvDocProperty("MXDocTemplate_Name")="","AEF0901",alvDocProperty("MXDocTemplate_Name")),"AEF0901")</f>
        <v>AEF0901</v>
      </c>
      <c r="X7" s="209"/>
      <c r="Y7" s="209"/>
      <c r="Z7" s="209"/>
      <c r="AA7" s="210"/>
      <c r="AB7" s="208" t="str">
        <f ca="1" xml:space="preserve"> IFERROR(IF(alvDocProperty("MXRevision")="","TBD",alvDocProperty("MXRevision")),"TBD")</f>
        <v>TBD</v>
      </c>
      <c r="AC7" s="209"/>
      <c r="AD7" s="210"/>
      <c r="AE7" s="208" t="str">
        <f ca="1" xml:space="preserve"> IFERROR(IF(alvDocProperty("MXVersion")="","TBD",alvDocProperty("MXVersion")),"TBD")</f>
        <v>TBD</v>
      </c>
      <c r="AF7" s="209"/>
      <c r="AG7" s="210"/>
    </row>
    <row r="8" spans="1:37" s="64" customFormat="1" ht="13" x14ac:dyDescent="0.25">
      <c r="A8" s="65"/>
      <c r="B8" s="65"/>
      <c r="C8" s="65"/>
      <c r="D8" s="65"/>
      <c r="E8" s="65"/>
      <c r="F8" s="65"/>
      <c r="G8" s="65"/>
      <c r="H8" s="65"/>
      <c r="I8" s="65"/>
      <c r="J8" s="65"/>
      <c r="K8" s="65"/>
      <c r="L8" s="65"/>
      <c r="M8" s="65"/>
      <c r="N8" s="65"/>
      <c r="O8" s="65"/>
      <c r="P8" s="65"/>
      <c r="Q8" s="65"/>
      <c r="R8" s="65"/>
      <c r="S8" s="65"/>
      <c r="T8" s="65"/>
      <c r="U8" s="65"/>
      <c r="V8" s="65"/>
      <c r="W8" s="66"/>
      <c r="X8" s="66"/>
      <c r="Y8" s="66"/>
      <c r="Z8" s="66"/>
      <c r="AA8" s="66"/>
      <c r="AB8" s="65"/>
      <c r="AC8" s="65"/>
      <c r="AD8" s="65"/>
      <c r="AE8" s="65"/>
      <c r="AF8" s="65"/>
      <c r="AG8" s="65"/>
    </row>
    <row r="9" spans="1:37" ht="11.15" customHeight="1" x14ac:dyDescent="0.25">
      <c r="A9" s="212" t="s">
        <v>67</v>
      </c>
      <c r="B9" s="213"/>
      <c r="C9" s="213"/>
      <c r="D9" s="213"/>
      <c r="E9" s="213"/>
      <c r="F9" s="213"/>
      <c r="G9" s="213"/>
      <c r="H9" s="213"/>
      <c r="I9" s="213"/>
      <c r="J9" s="213"/>
      <c r="K9" s="214"/>
      <c r="L9" s="212" t="s">
        <v>10</v>
      </c>
      <c r="M9" s="213"/>
      <c r="N9" s="213"/>
      <c r="O9" s="213"/>
      <c r="P9" s="213"/>
      <c r="Q9" s="213"/>
      <c r="R9" s="213"/>
      <c r="S9" s="213"/>
      <c r="T9" s="213"/>
      <c r="U9" s="213"/>
      <c r="V9" s="214"/>
      <c r="W9" s="212" t="s">
        <v>12</v>
      </c>
      <c r="X9" s="213"/>
      <c r="Y9" s="213"/>
      <c r="Z9" s="213"/>
      <c r="AA9" s="213"/>
      <c r="AB9" s="213"/>
      <c r="AC9" s="213"/>
      <c r="AD9" s="213"/>
      <c r="AE9" s="213"/>
      <c r="AF9" s="213"/>
      <c r="AG9" s="214"/>
      <c r="AH9" s="67"/>
      <c r="AI9" s="67"/>
    </row>
    <row r="10" spans="1:37" s="69" customFormat="1" ht="39" customHeight="1" x14ac:dyDescent="0.25">
      <c r="A10" s="215" t="s">
        <v>68</v>
      </c>
      <c r="B10" s="216"/>
      <c r="C10" s="216"/>
      <c r="D10" s="216"/>
      <c r="E10" s="216"/>
      <c r="F10" s="217" t="str">
        <f ca="1" xml:space="preserve"> IFERROR(IF(alvDocProperty("MXUser")="","TBD",alvDocProperty("MXUser")),"TBD")</f>
        <v>TBD</v>
      </c>
      <c r="G10" s="217"/>
      <c r="H10" s="217"/>
      <c r="I10" s="217"/>
      <c r="J10" s="217"/>
      <c r="K10" s="218"/>
      <c r="L10" s="219" t="s">
        <v>69</v>
      </c>
      <c r="M10" s="220"/>
      <c r="N10" s="220"/>
      <c r="O10" s="220"/>
      <c r="P10" s="220"/>
      <c r="Q10" s="220"/>
      <c r="R10" s="220"/>
      <c r="S10" s="220"/>
      <c r="T10" s="220"/>
      <c r="U10" s="220"/>
      <c r="V10" s="221"/>
      <c r="W10" s="219" t="s">
        <v>69</v>
      </c>
      <c r="X10" s="220"/>
      <c r="Y10" s="220"/>
      <c r="Z10" s="220"/>
      <c r="AA10" s="220"/>
      <c r="AB10" s="220"/>
      <c r="AC10" s="220"/>
      <c r="AD10" s="220"/>
      <c r="AE10" s="220"/>
      <c r="AF10" s="220"/>
      <c r="AG10" s="221"/>
    </row>
    <row r="11" spans="1:37" s="74" customFormat="1" ht="4.5" customHeight="1" x14ac:dyDescent="0.25">
      <c r="A11" s="70"/>
      <c r="B11" s="71"/>
      <c r="C11" s="71"/>
      <c r="D11" s="71"/>
      <c r="E11" s="71"/>
      <c r="F11" s="71"/>
      <c r="G11" s="71"/>
      <c r="H11" s="71"/>
      <c r="I11" s="71"/>
      <c r="J11" s="71"/>
      <c r="K11" s="71"/>
      <c r="L11" s="72"/>
      <c r="M11" s="71"/>
      <c r="N11" s="71"/>
      <c r="O11" s="71"/>
      <c r="P11" s="71"/>
      <c r="Q11" s="71"/>
      <c r="R11" s="71"/>
      <c r="S11" s="71"/>
      <c r="T11" s="71"/>
      <c r="U11" s="71"/>
      <c r="V11" s="71"/>
      <c r="W11" s="72"/>
      <c r="X11" s="71"/>
      <c r="Y11" s="71"/>
      <c r="Z11" s="71"/>
      <c r="AA11" s="71"/>
      <c r="AB11" s="71"/>
      <c r="AC11" s="71"/>
      <c r="AD11" s="71"/>
      <c r="AE11" s="71"/>
      <c r="AF11" s="71"/>
      <c r="AG11" s="73"/>
      <c r="AH11" s="69"/>
      <c r="AI11" s="69"/>
    </row>
    <row r="12" spans="1:37" ht="11.15" customHeight="1" x14ac:dyDescent="0.25">
      <c r="A12" s="222" t="s">
        <v>70</v>
      </c>
      <c r="B12" s="223"/>
      <c r="C12" s="223"/>
      <c r="D12" s="223"/>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4"/>
      <c r="AH12" s="67"/>
      <c r="AI12" s="67"/>
      <c r="AJ12" s="67"/>
      <c r="AK12" s="67"/>
    </row>
    <row r="13" spans="1:37" s="69" customFormat="1" ht="28.5" customHeight="1" x14ac:dyDescent="0.25">
      <c r="A13" s="225" t="s">
        <v>71</v>
      </c>
      <c r="B13" s="226"/>
      <c r="C13" s="226"/>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7"/>
    </row>
    <row r="14" spans="1:37" s="74" customFormat="1" ht="4.5" customHeight="1" x14ac:dyDescent="0.25">
      <c r="A14" s="72"/>
      <c r="B14" s="71"/>
      <c r="C14" s="71"/>
      <c r="D14" s="71"/>
      <c r="E14" s="71"/>
      <c r="F14" s="71"/>
      <c r="G14" s="71"/>
      <c r="H14" s="71"/>
      <c r="I14" s="71"/>
      <c r="J14" s="71"/>
      <c r="K14" s="71"/>
      <c r="L14" s="72"/>
      <c r="M14" s="71"/>
      <c r="N14" s="71"/>
      <c r="O14" s="71"/>
      <c r="P14" s="71"/>
      <c r="Q14" s="71"/>
      <c r="R14" s="71"/>
      <c r="S14" s="71"/>
      <c r="T14" s="71"/>
      <c r="U14" s="71"/>
      <c r="V14" s="71"/>
      <c r="W14" s="72"/>
      <c r="X14" s="71"/>
      <c r="Y14" s="71"/>
      <c r="Z14" s="71"/>
      <c r="AA14" s="71"/>
      <c r="AB14" s="71"/>
      <c r="AC14" s="71"/>
      <c r="AD14" s="71"/>
      <c r="AE14" s="71"/>
      <c r="AF14" s="71"/>
      <c r="AG14" s="71"/>
      <c r="AH14" s="69"/>
      <c r="AI14" s="69"/>
    </row>
    <row r="15" spans="1:37" s="67" customFormat="1" ht="37.5" customHeight="1" x14ac:dyDescent="0.25">
      <c r="A15" s="228" t="s">
        <v>72</v>
      </c>
      <c r="B15" s="228"/>
      <c r="C15" s="228"/>
      <c r="D15" s="229"/>
      <c r="E15" s="232" t="s">
        <v>50</v>
      </c>
      <c r="F15" s="23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4"/>
    </row>
    <row r="16" spans="1:37" s="67" customFormat="1" ht="37.5" customHeight="1" x14ac:dyDescent="0.25">
      <c r="A16" s="230"/>
      <c r="B16" s="230"/>
      <c r="C16" s="230"/>
      <c r="D16" s="231"/>
      <c r="E16" s="235"/>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7"/>
    </row>
    <row r="17" spans="1:33" s="67" customFormat="1" ht="12.5" x14ac:dyDescent="0.25">
      <c r="A17" s="75"/>
    </row>
    <row r="18" spans="1:33" s="67" customFormat="1" ht="12.5" x14ac:dyDescent="0.25"/>
    <row r="19" spans="1:33" s="67" customFormat="1" ht="12.5" x14ac:dyDescent="0.25"/>
    <row r="20" spans="1:33" s="67" customFormat="1" ht="12.5" x14ac:dyDescent="0.25"/>
    <row r="21" spans="1:33" s="67" customFormat="1" ht="15.75" customHeight="1" x14ac:dyDescent="0.25">
      <c r="Q21" s="76"/>
    </row>
    <row r="22" spans="1:33" s="67" customFormat="1" ht="12" customHeight="1" x14ac:dyDescent="0.25">
      <c r="Q22" s="76"/>
    </row>
    <row r="23" spans="1:33" s="67" customFormat="1" ht="60" customHeight="1" x14ac:dyDescent="0.25">
      <c r="A23" s="211" t="str">
        <f ca="1">MXTitle</f>
        <v>SW Work-Product Follow-up (SWPF)</v>
      </c>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row>
    <row r="24" spans="1:33" s="67" customFormat="1" ht="25" x14ac:dyDescent="0.25">
      <c r="Q24" s="76"/>
    </row>
    <row r="25" spans="1:33" s="67" customFormat="1" ht="12.5" x14ac:dyDescent="0.25"/>
    <row r="26" spans="1:33" ht="12.5" x14ac:dyDescent="0.25"/>
  </sheetData>
  <sheetProtection formatCells="0" formatRows="0" insertColumns="0" insertRows="0" insertHyperlinks="0" deleteRows="0" selectLockedCells="1" sort="0" autoFilter="0" pivotTables="0"/>
  <dataConsolidate/>
  <mergeCells count="31">
    <mergeCell ref="A23:AG23"/>
    <mergeCell ref="A9:K9"/>
    <mergeCell ref="L9:V9"/>
    <mergeCell ref="W9:AG9"/>
    <mergeCell ref="A10:E10"/>
    <mergeCell ref="F10:K10"/>
    <mergeCell ref="L10:V10"/>
    <mergeCell ref="W10:AG10"/>
    <mergeCell ref="A12:AG12"/>
    <mergeCell ref="A13:AG13"/>
    <mergeCell ref="A15:D16"/>
    <mergeCell ref="E15:AG15"/>
    <mergeCell ref="E16:AG16"/>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conditionalFormatting sqref="W5:AA5">
    <cfRule type="cellIs" dxfId="1243" priority="1" operator="equal">
      <formula>"In-Work"</formula>
    </cfRule>
    <cfRule type="cellIs" dxfId="1242" priority="2" stopIfTrue="1" operator="equal">
      <formula>"draft"</formula>
    </cfRule>
    <cfRule type="cellIs" dxfId="1241" priority="3" operator="equal">
      <formula>"In-Work"</formula>
    </cfRule>
    <cfRule type="cellIs" dxfId="1240" priority="4" stopIfTrue="1" operator="equal">
      <formula>"draft"</formula>
    </cfRule>
    <cfRule type="cellIs" dxfId="1239" priority="5" operator="equal">
      <formula>"In-Work"</formula>
    </cfRule>
    <cfRule type="cellIs" dxfId="1238" priority="6" stopIfTrue="1" operator="equal">
      <formula>"draft"</formula>
    </cfRule>
    <cfRule type="cellIs" dxfId="1237" priority="7" operator="equal">
      <formula>"In-Work"</formula>
    </cfRule>
    <cfRule type="cellIs" dxfId="1236" priority="8" stopIfTrue="1" operator="equal">
      <formula>"draft"</formula>
    </cfRule>
    <cfRule type="cellIs" dxfId="1235" priority="9" operator="equal">
      <formula>"In-Work"</formula>
    </cfRule>
    <cfRule type="cellIs" dxfId="1234" priority="10" stopIfTrue="1" operator="equal">
      <formula>"draft"</formula>
    </cfRule>
    <cfRule type="cellIs" dxfId="1233" priority="11" operator="equal">
      <formula>"In-Work"</formula>
    </cfRule>
    <cfRule type="cellIs" dxfId="1232" priority="12" stopIfTrue="1" operator="equal">
      <formula>"draft"</formula>
    </cfRule>
    <cfRule type="cellIs" dxfId="1231" priority="13" operator="equal">
      <formula>"In-Work"</formula>
    </cfRule>
    <cfRule type="cellIs" dxfId="1230" priority="14" stopIfTrue="1" operator="equal">
      <formula>"draft"</formula>
    </cfRule>
    <cfRule type="cellIs" dxfId="1229" priority="15" operator="equal">
      <formula>"In-Work"</formula>
    </cfRule>
    <cfRule type="cellIs" dxfId="1228" priority="16" stopIfTrue="1" operator="equal">
      <formula>"draft"</formula>
    </cfRule>
    <cfRule type="cellIs" dxfId="1227" priority="17" operator="equal">
      <formula>"In-Work"</formula>
    </cfRule>
    <cfRule type="cellIs" dxfId="1226" priority="18" stopIfTrue="1" operator="equal">
      <formula>"draft"</formula>
    </cfRule>
    <cfRule type="cellIs" dxfId="1225" priority="19" operator="equal">
      <formula>"In-Work"</formula>
    </cfRule>
    <cfRule type="cellIs" dxfId="1224" priority="20" stopIfTrue="1" operator="equal">
      <formula>"draft"</formula>
    </cfRule>
    <cfRule type="cellIs" dxfId="1223" priority="21" operator="equal">
      <formula>"In-Work"</formula>
    </cfRule>
    <cfRule type="cellIs" dxfId="1222" priority="22" stopIfTrue="1" operator="equal">
      <formula>"draft"</formula>
    </cfRule>
    <cfRule type="cellIs" dxfId="1221" priority="23" operator="equal">
      <formula>"In-Work"</formula>
    </cfRule>
    <cfRule type="cellIs" dxfId="1220" priority="24" stopIfTrue="1" operator="equal">
      <formula>"draft"</formula>
    </cfRule>
    <cfRule type="cellIs" dxfId="1219" priority="25" operator="equal">
      <formula>"In-Work"</formula>
    </cfRule>
    <cfRule type="cellIs" dxfId="1218" priority="26" stopIfTrue="1" operator="equal">
      <formula>"draft"</formula>
    </cfRule>
    <cfRule type="cellIs" dxfId="1217" priority="27" operator="equal">
      <formula>"In-Work"</formula>
    </cfRule>
    <cfRule type="cellIs" dxfId="1216" priority="28" stopIfTrue="1" operator="equal">
      <formula>"draft"</formula>
    </cfRule>
    <cfRule type="cellIs" dxfId="1215" priority="29" operator="equal">
      <formula>"In-Work"</formula>
    </cfRule>
    <cfRule type="cellIs" dxfId="1214" priority="30"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780E4-277F-4771-A100-BE9F37EAA536}">
  <sheetPr codeName="Sheet2">
    <tabColor theme="9" tint="0.59999389629810485"/>
    <pageSetUpPr fitToPage="1"/>
  </sheetPr>
  <dimension ref="A1:AH159"/>
  <sheetViews>
    <sheetView showGridLines="0" topLeftCell="A22" zoomScaleNormal="100" workbookViewId="0">
      <selection activeCell="G27" sqref="G27"/>
    </sheetView>
  </sheetViews>
  <sheetFormatPr defaultColWidth="9.1796875" defaultRowHeight="14.5" x14ac:dyDescent="0.35"/>
  <cols>
    <col min="1" max="34" width="2.81640625" style="148" customWidth="1"/>
    <col min="35" max="16384" width="9.1796875" style="148"/>
  </cols>
  <sheetData>
    <row r="1" spans="1:34" x14ac:dyDescent="0.35">
      <c r="A1" s="15"/>
      <c r="B1" s="15"/>
      <c r="C1" s="57"/>
      <c r="D1" s="57"/>
      <c r="E1" s="57"/>
      <c r="F1" s="57"/>
      <c r="G1" s="58"/>
      <c r="H1" s="59"/>
      <c r="I1" s="59"/>
      <c r="J1" s="59"/>
      <c r="K1" s="59"/>
      <c r="L1" s="59"/>
      <c r="M1" s="59"/>
      <c r="N1" s="59"/>
      <c r="O1" s="59"/>
      <c r="P1" s="60"/>
      <c r="Q1" s="60"/>
      <c r="R1" s="60"/>
      <c r="S1" s="60"/>
      <c r="T1" s="60"/>
      <c r="U1" s="60"/>
      <c r="V1" s="60"/>
      <c r="W1" s="60"/>
      <c r="X1" s="60"/>
      <c r="Y1" s="60"/>
      <c r="Z1" s="60"/>
      <c r="AA1" s="60"/>
      <c r="AB1" s="60"/>
      <c r="AC1" s="60"/>
      <c r="AD1" s="60"/>
      <c r="AE1" s="60"/>
      <c r="AF1" s="60"/>
      <c r="AG1" s="60"/>
      <c r="AH1" s="60"/>
    </row>
    <row r="2" spans="1:34" x14ac:dyDescent="0.35">
      <c r="A2" s="15"/>
      <c r="B2" s="15"/>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row>
    <row r="3" spans="1:34" x14ac:dyDescent="0.35">
      <c r="A3" s="15"/>
      <c r="B3" s="15"/>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149" t="str">
        <f>FileName</f>
        <v>Process integration and release method.xlsm</v>
      </c>
      <c r="AE3" s="61"/>
      <c r="AF3" s="61"/>
      <c r="AG3" s="61"/>
      <c r="AH3" s="61"/>
    </row>
    <row r="4" spans="1:34" x14ac:dyDescent="0.35">
      <c r="A4" s="202" t="s">
        <v>0</v>
      </c>
      <c r="B4" s="203"/>
      <c r="C4" s="203"/>
      <c r="D4" s="203"/>
      <c r="E4" s="203"/>
      <c r="F4" s="203"/>
      <c r="G4" s="203"/>
      <c r="H4" s="203"/>
      <c r="I4" s="203"/>
      <c r="J4" s="203"/>
      <c r="K4" s="203"/>
      <c r="L4" s="203"/>
      <c r="M4" s="203"/>
      <c r="N4" s="203"/>
      <c r="O4" s="203"/>
      <c r="P4" s="203"/>
      <c r="Q4" s="203"/>
      <c r="R4" s="203"/>
      <c r="S4" s="203"/>
      <c r="T4" s="203"/>
      <c r="U4" s="203"/>
      <c r="V4" s="204"/>
      <c r="W4" s="310" t="s">
        <v>1</v>
      </c>
      <c r="X4" s="311"/>
      <c r="Y4" s="311"/>
      <c r="Z4" s="311"/>
      <c r="AA4" s="312"/>
      <c r="AB4" s="202" t="s">
        <v>64</v>
      </c>
      <c r="AC4" s="203"/>
      <c r="AD4" s="203"/>
      <c r="AE4" s="203"/>
      <c r="AF4" s="203"/>
      <c r="AG4" s="204"/>
      <c r="AH4" s="63"/>
    </row>
    <row r="5" spans="1:34" x14ac:dyDescent="0.35">
      <c r="A5" s="208" t="str">
        <f>MXAuthority</f>
        <v>Process and method</v>
      </c>
      <c r="B5" s="209"/>
      <c r="C5" s="209"/>
      <c r="D5" s="209"/>
      <c r="E5" s="209"/>
      <c r="F5" s="209"/>
      <c r="G5" s="209"/>
      <c r="H5" s="209"/>
      <c r="I5" s="209"/>
      <c r="J5" s="209"/>
      <c r="K5" s="209"/>
      <c r="L5" s="209"/>
      <c r="M5" s="209"/>
      <c r="N5" s="209"/>
      <c r="O5" s="209"/>
      <c r="P5" s="209"/>
      <c r="Q5" s="209"/>
      <c r="R5" s="209"/>
      <c r="S5" s="209"/>
      <c r="T5" s="209"/>
      <c r="U5" s="209"/>
      <c r="V5" s="210"/>
      <c r="W5" s="292" t="str">
        <f>MXCurrent.Localized</f>
        <v>Draft</v>
      </c>
      <c r="X5" s="293"/>
      <c r="Y5" s="293"/>
      <c r="Z5" s="293"/>
      <c r="AA5" s="294"/>
      <c r="AB5" s="208" t="str">
        <f>MXActual_state_Released</f>
        <v>TBD</v>
      </c>
      <c r="AC5" s="209"/>
      <c r="AD5" s="209"/>
      <c r="AE5" s="209"/>
      <c r="AF5" s="209"/>
      <c r="AG5" s="210"/>
      <c r="AH5" s="64"/>
    </row>
    <row r="6" spans="1:34" x14ac:dyDescent="0.35">
      <c r="A6" s="313" t="s">
        <v>2</v>
      </c>
      <c r="B6" s="314"/>
      <c r="C6" s="314"/>
      <c r="D6" s="315"/>
      <c r="E6" s="313" t="s">
        <v>3</v>
      </c>
      <c r="F6" s="314"/>
      <c r="G6" s="314"/>
      <c r="H6" s="314"/>
      <c r="I6" s="314"/>
      <c r="J6" s="314"/>
      <c r="K6" s="314"/>
      <c r="L6" s="314"/>
      <c r="M6" s="314"/>
      <c r="N6" s="314"/>
      <c r="O6" s="314"/>
      <c r="P6" s="314"/>
      <c r="Q6" s="314"/>
      <c r="R6" s="314"/>
      <c r="S6" s="314"/>
      <c r="T6" s="314"/>
      <c r="U6" s="314"/>
      <c r="V6" s="315"/>
      <c r="W6" s="202" t="s">
        <v>5</v>
      </c>
      <c r="X6" s="203"/>
      <c r="Y6" s="203"/>
      <c r="Z6" s="203"/>
      <c r="AA6" s="204"/>
      <c r="AB6" s="310" t="s">
        <v>66</v>
      </c>
      <c r="AC6" s="311"/>
      <c r="AD6" s="312"/>
      <c r="AE6" s="310" t="s">
        <v>4</v>
      </c>
      <c r="AF6" s="311"/>
      <c r="AG6" s="312"/>
      <c r="AH6" s="61"/>
    </row>
    <row r="7" spans="1:34" x14ac:dyDescent="0.35">
      <c r="A7" s="292" t="str">
        <f>MXName</f>
        <v>TBD</v>
      </c>
      <c r="B7" s="293"/>
      <c r="C7" s="293"/>
      <c r="D7" s="294"/>
      <c r="E7" s="292" t="str">
        <f>MXTitle</f>
        <v>SW00TEM007 Generic Excel Template</v>
      </c>
      <c r="F7" s="293"/>
      <c r="G7" s="293"/>
      <c r="H7" s="293"/>
      <c r="I7" s="293"/>
      <c r="J7" s="293"/>
      <c r="K7" s="293"/>
      <c r="L7" s="293"/>
      <c r="M7" s="293"/>
      <c r="N7" s="293"/>
      <c r="O7" s="293"/>
      <c r="P7" s="293"/>
      <c r="Q7" s="293"/>
      <c r="R7" s="293"/>
      <c r="S7" s="293"/>
      <c r="T7" s="293"/>
      <c r="U7" s="293"/>
      <c r="V7" s="294"/>
      <c r="W7" s="292" t="str">
        <f>TemplateRef</f>
        <v>AEF1126</v>
      </c>
      <c r="X7" s="293"/>
      <c r="Y7" s="293"/>
      <c r="Z7" s="293"/>
      <c r="AA7" s="294"/>
      <c r="AB7" s="292" t="str">
        <f>MXRevision</f>
        <v>TBD</v>
      </c>
      <c r="AC7" s="293"/>
      <c r="AD7" s="294"/>
      <c r="AE7" s="292" t="str">
        <f>MXVersion</f>
        <v>TBD</v>
      </c>
      <c r="AF7" s="293"/>
      <c r="AG7" s="294"/>
      <c r="AH7" s="64"/>
    </row>
    <row r="8" spans="1:34" x14ac:dyDescent="0.35">
      <c r="A8" s="313" t="s">
        <v>203</v>
      </c>
      <c r="B8" s="314"/>
      <c r="C8" s="314"/>
      <c r="D8" s="314"/>
      <c r="E8" s="314"/>
      <c r="F8" s="314"/>
      <c r="G8" s="314"/>
      <c r="H8" s="314"/>
      <c r="I8" s="314"/>
      <c r="J8" s="314"/>
      <c r="K8" s="314"/>
      <c r="L8" s="314"/>
      <c r="M8" s="314"/>
      <c r="N8" s="314"/>
      <c r="O8" s="314"/>
      <c r="P8" s="314"/>
      <c r="Q8" s="314"/>
      <c r="R8" s="314"/>
      <c r="S8" s="314"/>
      <c r="T8" s="314"/>
      <c r="U8" s="314"/>
      <c r="V8" s="314"/>
      <c r="W8" s="314"/>
      <c r="X8" s="314"/>
      <c r="Y8" s="314"/>
      <c r="Z8" s="314"/>
      <c r="AA8" s="314"/>
      <c r="AB8" s="314"/>
      <c r="AC8" s="314"/>
      <c r="AD8" s="314"/>
      <c r="AE8" s="314"/>
      <c r="AF8" s="314"/>
      <c r="AG8" s="315"/>
      <c r="AH8" s="67"/>
    </row>
    <row r="9" spans="1:34" x14ac:dyDescent="0.35">
      <c r="A9" s="316" t="s">
        <v>204</v>
      </c>
      <c r="B9" s="317"/>
      <c r="C9" s="317"/>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E9" s="317"/>
      <c r="AF9" s="317"/>
      <c r="AG9" s="318"/>
      <c r="AH9" s="67"/>
    </row>
    <row r="10" spans="1:34" x14ac:dyDescent="0.35">
      <c r="A10" s="68"/>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row>
    <row r="11" spans="1:34" x14ac:dyDescent="0.35">
      <c r="A11" s="68"/>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row>
    <row r="12" spans="1:34" ht="25" x14ac:dyDescent="0.35">
      <c r="A12" s="68"/>
      <c r="B12" s="150" t="s">
        <v>205</v>
      </c>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151"/>
      <c r="AD12" s="151"/>
      <c r="AE12" s="151"/>
      <c r="AF12" s="151"/>
      <c r="AG12" s="68"/>
      <c r="AH12" s="68"/>
    </row>
    <row r="13" spans="1:34" x14ac:dyDescent="0.35">
      <c r="A13" s="68"/>
      <c r="B13" s="68"/>
      <c r="C13" s="68"/>
      <c r="D13" s="68"/>
      <c r="E13" s="68"/>
      <c r="F13" s="68"/>
      <c r="G13" s="68"/>
      <c r="H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row>
    <row r="14" spans="1:34" ht="20" x14ac:dyDescent="0.35">
      <c r="A14" s="68"/>
      <c r="B14" s="80" t="s">
        <v>206</v>
      </c>
      <c r="C14" s="81"/>
      <c r="D14" s="68"/>
      <c r="E14" s="68"/>
      <c r="F14" s="68"/>
      <c r="G14" s="68"/>
      <c r="H14" s="68"/>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row>
    <row r="15" spans="1:34" x14ac:dyDescent="0.35">
      <c r="A15" s="68"/>
      <c r="B15" s="259" t="s">
        <v>207</v>
      </c>
      <c r="C15" s="319"/>
      <c r="D15" s="319"/>
      <c r="E15" s="319"/>
      <c r="F15" s="319"/>
      <c r="G15" s="259" t="s">
        <v>208</v>
      </c>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68"/>
      <c r="AH15" s="68"/>
    </row>
    <row r="16" spans="1:34" ht="55.5" customHeight="1" x14ac:dyDescent="0.35">
      <c r="A16" s="68"/>
      <c r="B16" s="295" t="s">
        <v>209</v>
      </c>
      <c r="C16" s="295"/>
      <c r="D16" s="295"/>
      <c r="E16" s="295"/>
      <c r="F16" s="295"/>
      <c r="G16" s="256" t="s">
        <v>210</v>
      </c>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68"/>
      <c r="AH16" s="68"/>
    </row>
    <row r="17" spans="1:34" x14ac:dyDescent="0.35">
      <c r="A17" s="68"/>
      <c r="B17" s="295" t="s">
        <v>211</v>
      </c>
      <c r="C17" s="295"/>
      <c r="D17" s="295"/>
      <c r="E17" s="295"/>
      <c r="F17" s="295"/>
      <c r="G17" s="256" t="s">
        <v>212</v>
      </c>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68"/>
      <c r="AH17" s="68"/>
    </row>
    <row r="18" spans="1:34" ht="33" customHeight="1" x14ac:dyDescent="0.35">
      <c r="A18" s="68"/>
      <c r="B18" s="298" t="s">
        <v>13</v>
      </c>
      <c r="C18" s="299"/>
      <c r="D18" s="299"/>
      <c r="E18" s="299"/>
      <c r="F18" s="300"/>
      <c r="G18" s="256" t="s">
        <v>258</v>
      </c>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68"/>
      <c r="AH18" s="68"/>
    </row>
    <row r="19" spans="1:34" ht="225" customHeight="1" x14ac:dyDescent="0.35">
      <c r="A19" s="68"/>
      <c r="B19" s="301"/>
      <c r="C19" s="302"/>
      <c r="D19" s="302"/>
      <c r="E19" s="302"/>
      <c r="F19" s="303"/>
      <c r="G19" s="256" t="s">
        <v>259</v>
      </c>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68"/>
      <c r="AH19" s="68"/>
    </row>
    <row r="20" spans="1:34" ht="97.5" customHeight="1" x14ac:dyDescent="0.35">
      <c r="A20" s="68"/>
      <c r="B20" s="301"/>
      <c r="C20" s="302"/>
      <c r="D20" s="302"/>
      <c r="E20" s="302"/>
      <c r="F20" s="303"/>
      <c r="G20" s="256" t="s">
        <v>260</v>
      </c>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68"/>
      <c r="AH20" s="68"/>
    </row>
    <row r="21" spans="1:34" ht="25.5" customHeight="1" x14ac:dyDescent="0.35">
      <c r="A21" s="68"/>
      <c r="B21" s="304"/>
      <c r="C21" s="305"/>
      <c r="D21" s="305"/>
      <c r="E21" s="305"/>
      <c r="F21" s="306"/>
      <c r="G21" s="256" t="s">
        <v>261</v>
      </c>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68"/>
      <c r="AH21" s="68"/>
    </row>
    <row r="22" spans="1:34" ht="45" customHeight="1" x14ac:dyDescent="0.35">
      <c r="A22" s="68"/>
      <c r="B22" s="307" t="s">
        <v>49</v>
      </c>
      <c r="C22" s="307"/>
      <c r="D22" s="307"/>
      <c r="E22" s="307"/>
      <c r="F22" s="307"/>
      <c r="G22" s="256" t="s">
        <v>254</v>
      </c>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68"/>
      <c r="AH22" s="68"/>
    </row>
    <row r="23" spans="1:34" ht="45" customHeight="1" x14ac:dyDescent="0.35">
      <c r="A23" s="68"/>
      <c r="B23" s="308" t="s">
        <v>48</v>
      </c>
      <c r="C23" s="308"/>
      <c r="D23" s="308"/>
      <c r="E23" s="308"/>
      <c r="F23" s="308"/>
      <c r="G23" s="256" t="s">
        <v>257</v>
      </c>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68"/>
      <c r="AH23" s="68"/>
    </row>
    <row r="24" spans="1:34" ht="112.5" customHeight="1" x14ac:dyDescent="0.35">
      <c r="A24" s="68"/>
      <c r="B24" s="309" t="s">
        <v>262</v>
      </c>
      <c r="C24" s="309"/>
      <c r="D24" s="309"/>
      <c r="E24" s="309"/>
      <c r="F24" s="309"/>
      <c r="G24" s="256" t="s">
        <v>263</v>
      </c>
      <c r="H24" s="256"/>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68"/>
      <c r="AH24" s="68"/>
    </row>
    <row r="25" spans="1:34" ht="37.5" customHeight="1" x14ac:dyDescent="0.35">
      <c r="A25" s="68"/>
      <c r="B25" s="296" t="s">
        <v>264</v>
      </c>
      <c r="C25" s="296"/>
      <c r="D25" s="296"/>
      <c r="E25" s="296"/>
      <c r="F25" s="296"/>
      <c r="G25" s="256" t="s">
        <v>266</v>
      </c>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68"/>
      <c r="AH25" s="68"/>
    </row>
    <row r="26" spans="1:34" ht="33" customHeight="1" x14ac:dyDescent="0.35">
      <c r="A26" s="68"/>
      <c r="B26" s="297" t="s">
        <v>265</v>
      </c>
      <c r="C26" s="297"/>
      <c r="D26" s="297"/>
      <c r="E26" s="297"/>
      <c r="F26" s="297"/>
      <c r="G26" s="256" t="s">
        <v>267</v>
      </c>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68"/>
      <c r="AH26" s="68"/>
    </row>
    <row r="27" spans="1:34" x14ac:dyDescent="0.35">
      <c r="A27" s="68"/>
      <c r="B27" s="68"/>
      <c r="C27" s="152"/>
      <c r="D27" s="68"/>
      <c r="E27" s="68"/>
      <c r="F27" s="68"/>
      <c r="G27" s="68"/>
      <c r="H27" s="68"/>
      <c r="I27" s="153"/>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row>
    <row r="28" spans="1:34" ht="20" x14ac:dyDescent="0.35">
      <c r="A28" s="80"/>
      <c r="B28" s="80" t="s">
        <v>213</v>
      </c>
      <c r="C28" s="152"/>
      <c r="D28" s="68"/>
      <c r="E28" s="68"/>
      <c r="F28" s="68"/>
      <c r="G28" s="68"/>
      <c r="H28" s="68"/>
      <c r="I28" s="153"/>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row>
    <row r="29" spans="1:34" x14ac:dyDescent="0.35">
      <c r="A29" s="68"/>
      <c r="B29" s="259" t="s">
        <v>66</v>
      </c>
      <c r="C29" s="260"/>
      <c r="D29" s="260"/>
      <c r="E29" s="259" t="s">
        <v>214</v>
      </c>
      <c r="F29" s="259"/>
      <c r="G29" s="259"/>
      <c r="H29" s="259"/>
      <c r="I29" s="259" t="s">
        <v>215</v>
      </c>
      <c r="J29" s="260"/>
      <c r="K29" s="260"/>
      <c r="L29" s="260"/>
      <c r="M29" s="260"/>
      <c r="N29" s="260"/>
      <c r="O29" s="260"/>
      <c r="P29" s="260"/>
      <c r="Q29" s="260"/>
      <c r="R29" s="259" t="s">
        <v>216</v>
      </c>
      <c r="S29" s="259"/>
      <c r="T29" s="259"/>
      <c r="U29" s="259"/>
      <c r="V29" s="259"/>
      <c r="W29" s="259"/>
      <c r="X29" s="259"/>
      <c r="Y29" s="259"/>
      <c r="Z29" s="259"/>
      <c r="AA29" s="259"/>
      <c r="AB29" s="259"/>
      <c r="AC29" s="259"/>
      <c r="AD29" s="259"/>
      <c r="AE29" s="259"/>
      <c r="AF29" s="259"/>
      <c r="AG29" s="68"/>
      <c r="AH29" s="68"/>
    </row>
    <row r="30" spans="1:34" x14ac:dyDescent="0.35">
      <c r="A30" s="68"/>
      <c r="B30" s="289"/>
      <c r="C30" s="290"/>
      <c r="D30" s="290"/>
      <c r="E30" s="256"/>
      <c r="F30" s="256"/>
      <c r="G30" s="256"/>
      <c r="H30" s="256"/>
      <c r="I30" s="256" t="s">
        <v>217</v>
      </c>
      <c r="J30" s="291"/>
      <c r="K30" s="291"/>
      <c r="L30" s="291"/>
      <c r="M30" s="291"/>
      <c r="N30" s="291"/>
      <c r="O30" s="291"/>
      <c r="P30" s="291"/>
      <c r="Q30" s="291"/>
      <c r="R30" s="256"/>
      <c r="S30" s="256"/>
      <c r="T30" s="256"/>
      <c r="U30" s="256"/>
      <c r="V30" s="256"/>
      <c r="W30" s="256"/>
      <c r="X30" s="256"/>
      <c r="Y30" s="256"/>
      <c r="Z30" s="256"/>
      <c r="AA30" s="256"/>
      <c r="AB30" s="256"/>
      <c r="AC30" s="256"/>
      <c r="AD30" s="256"/>
      <c r="AE30" s="256"/>
      <c r="AF30" s="256"/>
      <c r="AG30" s="68"/>
      <c r="AH30" s="68"/>
    </row>
    <row r="31" spans="1:34" x14ac:dyDescent="0.35">
      <c r="A31" s="68"/>
      <c r="B31" s="289"/>
      <c r="C31" s="290"/>
      <c r="D31" s="290"/>
      <c r="E31" s="256"/>
      <c r="F31" s="256"/>
      <c r="G31" s="256"/>
      <c r="H31" s="256"/>
      <c r="I31" s="256"/>
      <c r="J31" s="291"/>
      <c r="K31" s="291"/>
      <c r="L31" s="291"/>
      <c r="M31" s="291"/>
      <c r="N31" s="291"/>
      <c r="O31" s="291"/>
      <c r="P31" s="291"/>
      <c r="Q31" s="291"/>
      <c r="R31" s="256"/>
      <c r="S31" s="256"/>
      <c r="T31" s="256"/>
      <c r="U31" s="256"/>
      <c r="V31" s="256"/>
      <c r="W31" s="256"/>
      <c r="X31" s="256"/>
      <c r="Y31" s="256"/>
      <c r="Z31" s="256"/>
      <c r="AA31" s="256"/>
      <c r="AB31" s="256"/>
      <c r="AC31" s="256"/>
      <c r="AD31" s="256"/>
      <c r="AE31" s="256"/>
      <c r="AF31" s="256"/>
      <c r="AG31" s="68"/>
      <c r="AH31" s="68"/>
    </row>
    <row r="32" spans="1:34" x14ac:dyDescent="0.35">
      <c r="A32" s="68"/>
      <c r="B32" s="289"/>
      <c r="C32" s="290"/>
      <c r="D32" s="290"/>
      <c r="E32" s="256"/>
      <c r="F32" s="256"/>
      <c r="G32" s="256"/>
      <c r="H32" s="256"/>
      <c r="I32" s="256"/>
      <c r="J32" s="291"/>
      <c r="K32" s="291"/>
      <c r="L32" s="291"/>
      <c r="M32" s="291"/>
      <c r="N32" s="291"/>
      <c r="O32" s="291"/>
      <c r="P32" s="291"/>
      <c r="Q32" s="291"/>
      <c r="R32" s="256"/>
      <c r="S32" s="256"/>
      <c r="T32" s="256"/>
      <c r="U32" s="256"/>
      <c r="V32" s="256"/>
      <c r="W32" s="256"/>
      <c r="X32" s="256"/>
      <c r="Y32" s="256"/>
      <c r="Z32" s="256"/>
      <c r="AA32" s="256"/>
      <c r="AB32" s="256"/>
      <c r="AC32" s="256"/>
      <c r="AD32" s="256"/>
      <c r="AE32" s="256"/>
      <c r="AF32" s="256"/>
      <c r="AG32" s="68"/>
      <c r="AH32" s="68"/>
    </row>
    <row r="33" spans="1:34" x14ac:dyDescent="0.35">
      <c r="A33" s="68"/>
      <c r="B33" s="289"/>
      <c r="C33" s="290"/>
      <c r="D33" s="290"/>
      <c r="E33" s="256"/>
      <c r="F33" s="256"/>
      <c r="G33" s="256"/>
      <c r="H33" s="256"/>
      <c r="I33" s="256"/>
      <c r="J33" s="291"/>
      <c r="K33" s="291"/>
      <c r="L33" s="291"/>
      <c r="M33" s="291"/>
      <c r="N33" s="291"/>
      <c r="O33" s="291"/>
      <c r="P33" s="291"/>
      <c r="Q33" s="291"/>
      <c r="R33" s="256"/>
      <c r="S33" s="256"/>
      <c r="T33" s="256"/>
      <c r="U33" s="256"/>
      <c r="V33" s="256"/>
      <c r="W33" s="256"/>
      <c r="X33" s="256"/>
      <c r="Y33" s="256"/>
      <c r="Z33" s="256"/>
      <c r="AA33" s="256"/>
      <c r="AB33" s="256"/>
      <c r="AC33" s="256"/>
      <c r="AD33" s="256"/>
      <c r="AE33" s="256"/>
      <c r="AF33" s="256"/>
      <c r="AG33" s="68"/>
      <c r="AH33" s="68"/>
    </row>
    <row r="34" spans="1:34" x14ac:dyDescent="0.35">
      <c r="A34" s="68"/>
      <c r="B34" s="154" t="s">
        <v>218</v>
      </c>
      <c r="C34" s="155"/>
      <c r="D34" s="155"/>
      <c r="E34" s="156"/>
      <c r="F34" s="156"/>
      <c r="G34" s="156"/>
      <c r="H34" s="156"/>
      <c r="I34" s="156"/>
      <c r="J34" s="157"/>
      <c r="K34" s="157"/>
      <c r="L34" s="157"/>
      <c r="M34" s="157"/>
      <c r="N34" s="157"/>
      <c r="O34" s="157"/>
      <c r="P34" s="157"/>
      <c r="Q34" s="157"/>
      <c r="R34" s="156"/>
      <c r="S34" s="156"/>
      <c r="T34" s="156"/>
      <c r="U34" s="156"/>
      <c r="V34" s="156"/>
      <c r="W34" s="156"/>
      <c r="X34" s="156"/>
      <c r="Y34" s="156"/>
      <c r="Z34" s="156"/>
      <c r="AA34" s="156"/>
      <c r="AB34" s="156"/>
      <c r="AC34" s="156"/>
      <c r="AD34" s="156"/>
      <c r="AE34" s="156"/>
      <c r="AF34" s="156"/>
      <c r="AG34" s="68"/>
      <c r="AH34" s="68"/>
    </row>
    <row r="35" spans="1:34" x14ac:dyDescent="0.35">
      <c r="A35" s="68"/>
      <c r="B35" s="68"/>
      <c r="C35" s="152"/>
      <c r="D35" s="68"/>
      <c r="E35" s="68"/>
      <c r="F35" s="68"/>
      <c r="G35" s="68"/>
      <c r="H35" s="68"/>
      <c r="I35" s="153"/>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row>
    <row r="36" spans="1:34" x14ac:dyDescent="0.35">
      <c r="A36" s="68"/>
      <c r="B36" s="68"/>
      <c r="C36" s="68"/>
      <c r="D36" s="68"/>
      <c r="E36" s="68"/>
      <c r="F36" s="68"/>
      <c r="G36" s="68"/>
      <c r="H36" s="68"/>
      <c r="I36" s="68"/>
      <c r="J36" s="158"/>
      <c r="K36" s="68"/>
      <c r="L36" s="68"/>
      <c r="M36" s="68"/>
      <c r="N36" s="68"/>
      <c r="O36" s="68"/>
      <c r="P36" s="68"/>
      <c r="Q36" s="68"/>
      <c r="R36" s="68"/>
      <c r="S36" s="68"/>
      <c r="T36" s="68"/>
      <c r="U36" s="68"/>
      <c r="V36" s="68"/>
      <c r="W36" s="68"/>
      <c r="X36" s="68"/>
      <c r="Y36" s="68"/>
      <c r="Z36" s="68"/>
      <c r="AA36" s="68"/>
      <c r="AB36" s="68"/>
      <c r="AC36" s="68"/>
      <c r="AD36" s="68"/>
      <c r="AE36" s="68"/>
      <c r="AF36" s="68"/>
      <c r="AG36" s="68"/>
      <c r="AH36" s="68"/>
    </row>
    <row r="37" spans="1:34" ht="20" x14ac:dyDescent="0.35">
      <c r="A37" s="68"/>
      <c r="B37" s="80" t="s">
        <v>219</v>
      </c>
      <c r="C37" s="81"/>
      <c r="D37" s="68"/>
      <c r="E37" s="68"/>
      <c r="F37" s="68"/>
      <c r="G37" s="68"/>
      <c r="H37" s="68"/>
      <c r="I37" s="153"/>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row>
    <row r="38" spans="1:34" ht="17.5" x14ac:dyDescent="0.35">
      <c r="A38" s="68"/>
      <c r="B38" s="83" t="s">
        <v>220</v>
      </c>
      <c r="C38" s="81"/>
      <c r="D38" s="68"/>
      <c r="E38" s="68"/>
      <c r="F38" s="68"/>
      <c r="G38" s="68"/>
      <c r="H38" s="68"/>
      <c r="I38" s="153"/>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row>
    <row r="39" spans="1:34" x14ac:dyDescent="0.35">
      <c r="A39" s="68"/>
      <c r="B39" s="259" t="s">
        <v>221</v>
      </c>
      <c r="C39" s="259"/>
      <c r="D39" s="259"/>
      <c r="E39" s="259" t="s">
        <v>222</v>
      </c>
      <c r="F39" s="260"/>
      <c r="G39" s="260"/>
      <c r="H39" s="260"/>
      <c r="I39" s="260"/>
      <c r="J39" s="260"/>
      <c r="K39" s="260"/>
      <c r="L39" s="260"/>
      <c r="M39" s="260"/>
      <c r="N39" s="260"/>
      <c r="O39" s="260"/>
      <c r="P39" s="260"/>
      <c r="Q39" s="260"/>
      <c r="R39" s="260"/>
      <c r="S39" s="260"/>
      <c r="T39" s="260"/>
      <c r="U39" s="260"/>
      <c r="V39" s="260"/>
      <c r="W39" s="260"/>
      <c r="X39" s="260"/>
      <c r="Y39" s="259" t="s">
        <v>223</v>
      </c>
      <c r="Z39" s="259"/>
      <c r="AA39" s="259"/>
      <c r="AB39" s="259"/>
      <c r="AC39" s="259"/>
      <c r="AD39" s="259"/>
      <c r="AE39" s="259"/>
      <c r="AF39" s="259"/>
      <c r="AG39" s="68"/>
      <c r="AH39" s="68"/>
    </row>
    <row r="40" spans="1:34" x14ac:dyDescent="0.35">
      <c r="A40" s="68"/>
      <c r="B40" s="258"/>
      <c r="C40" s="258"/>
      <c r="D40" s="258"/>
      <c r="E40" s="256"/>
      <c r="F40" s="257"/>
      <c r="G40" s="257"/>
      <c r="H40" s="257"/>
      <c r="I40" s="257"/>
      <c r="J40" s="257"/>
      <c r="K40" s="257"/>
      <c r="L40" s="257"/>
      <c r="M40" s="257"/>
      <c r="N40" s="257"/>
      <c r="O40" s="257"/>
      <c r="P40" s="257"/>
      <c r="Q40" s="257"/>
      <c r="R40" s="257"/>
      <c r="S40" s="257"/>
      <c r="T40" s="257"/>
      <c r="U40" s="257"/>
      <c r="V40" s="257"/>
      <c r="W40" s="257"/>
      <c r="X40" s="257"/>
      <c r="Y40" s="256"/>
      <c r="Z40" s="257"/>
      <c r="AA40" s="257"/>
      <c r="AB40" s="257"/>
      <c r="AC40" s="257"/>
      <c r="AD40" s="257"/>
      <c r="AE40" s="257"/>
      <c r="AF40" s="257"/>
      <c r="AG40" s="68"/>
      <c r="AH40" s="68"/>
    </row>
    <row r="41" spans="1:34" x14ac:dyDescent="0.35">
      <c r="A41" s="68"/>
      <c r="B41" s="258"/>
      <c r="C41" s="258"/>
      <c r="D41" s="258"/>
      <c r="E41" s="256"/>
      <c r="F41" s="257"/>
      <c r="G41" s="257"/>
      <c r="H41" s="257"/>
      <c r="I41" s="257"/>
      <c r="J41" s="257"/>
      <c r="K41" s="257"/>
      <c r="L41" s="257"/>
      <c r="M41" s="257"/>
      <c r="N41" s="257"/>
      <c r="O41" s="257"/>
      <c r="P41" s="257"/>
      <c r="Q41" s="257"/>
      <c r="R41" s="257"/>
      <c r="S41" s="257"/>
      <c r="T41" s="257"/>
      <c r="U41" s="257"/>
      <c r="V41" s="257"/>
      <c r="W41" s="257"/>
      <c r="X41" s="257"/>
      <c r="Y41" s="256"/>
      <c r="Z41" s="257"/>
      <c r="AA41" s="257"/>
      <c r="AB41" s="257"/>
      <c r="AC41" s="257"/>
      <c r="AD41" s="257"/>
      <c r="AE41" s="257"/>
      <c r="AF41" s="257"/>
      <c r="AG41" s="68"/>
      <c r="AH41" s="68"/>
    </row>
    <row r="42" spans="1:34" x14ac:dyDescent="0.35">
      <c r="A42" s="68"/>
      <c r="B42" s="258"/>
      <c r="C42" s="258"/>
      <c r="D42" s="258"/>
      <c r="E42" s="256"/>
      <c r="F42" s="257"/>
      <c r="G42" s="257"/>
      <c r="H42" s="257"/>
      <c r="I42" s="257"/>
      <c r="J42" s="257"/>
      <c r="K42" s="257"/>
      <c r="L42" s="257"/>
      <c r="M42" s="257"/>
      <c r="N42" s="257"/>
      <c r="O42" s="257"/>
      <c r="P42" s="257"/>
      <c r="Q42" s="257"/>
      <c r="R42" s="257"/>
      <c r="S42" s="257"/>
      <c r="T42" s="257"/>
      <c r="U42" s="257"/>
      <c r="V42" s="257"/>
      <c r="W42" s="257"/>
      <c r="X42" s="257"/>
      <c r="Y42" s="256"/>
      <c r="Z42" s="257"/>
      <c r="AA42" s="257"/>
      <c r="AB42" s="257"/>
      <c r="AC42" s="257"/>
      <c r="AD42" s="257"/>
      <c r="AE42" s="257"/>
      <c r="AF42" s="257"/>
      <c r="AG42" s="68"/>
      <c r="AH42" s="68"/>
    </row>
    <row r="43" spans="1:34" x14ac:dyDescent="0.35">
      <c r="A43" s="68"/>
      <c r="B43" s="258"/>
      <c r="C43" s="258"/>
      <c r="D43" s="258"/>
      <c r="E43" s="256"/>
      <c r="F43" s="257"/>
      <c r="G43" s="257"/>
      <c r="H43" s="257"/>
      <c r="I43" s="257"/>
      <c r="J43" s="257"/>
      <c r="K43" s="257"/>
      <c r="L43" s="257"/>
      <c r="M43" s="257"/>
      <c r="N43" s="257"/>
      <c r="O43" s="257"/>
      <c r="P43" s="257"/>
      <c r="Q43" s="257"/>
      <c r="R43" s="257"/>
      <c r="S43" s="257"/>
      <c r="T43" s="257"/>
      <c r="U43" s="257"/>
      <c r="V43" s="257"/>
      <c r="W43" s="257"/>
      <c r="X43" s="257"/>
      <c r="Y43" s="256"/>
      <c r="Z43" s="257"/>
      <c r="AA43" s="257"/>
      <c r="AB43" s="257"/>
      <c r="AC43" s="257"/>
      <c r="AD43" s="257"/>
      <c r="AE43" s="257"/>
      <c r="AF43" s="257"/>
      <c r="AG43" s="68"/>
      <c r="AH43" s="68"/>
    </row>
    <row r="44" spans="1:34" ht="17.5" x14ac:dyDescent="0.35">
      <c r="A44" s="68"/>
      <c r="B44" s="83" t="s">
        <v>224</v>
      </c>
      <c r="C44" s="81"/>
      <c r="D44" s="68"/>
      <c r="E44" s="68"/>
      <c r="F44" s="68"/>
      <c r="G44" s="68"/>
      <c r="H44" s="68"/>
      <c r="I44" s="153"/>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row>
    <row r="45" spans="1:34" x14ac:dyDescent="0.35">
      <c r="A45" s="68"/>
      <c r="B45" s="259" t="s">
        <v>221</v>
      </c>
      <c r="C45" s="259"/>
      <c r="D45" s="259"/>
      <c r="E45" s="259" t="s">
        <v>222</v>
      </c>
      <c r="F45" s="260"/>
      <c r="G45" s="260"/>
      <c r="H45" s="260"/>
      <c r="I45" s="260"/>
      <c r="J45" s="260"/>
      <c r="K45" s="260"/>
      <c r="L45" s="260"/>
      <c r="M45" s="260"/>
      <c r="N45" s="260"/>
      <c r="O45" s="260"/>
      <c r="P45" s="260"/>
      <c r="Q45" s="260"/>
      <c r="R45" s="260"/>
      <c r="S45" s="260"/>
      <c r="T45" s="260"/>
      <c r="U45" s="260"/>
      <c r="V45" s="260"/>
      <c r="W45" s="260"/>
      <c r="X45" s="260"/>
      <c r="Y45" s="259" t="s">
        <v>223</v>
      </c>
      <c r="Z45" s="259"/>
      <c r="AA45" s="259"/>
      <c r="AB45" s="259"/>
      <c r="AC45" s="259"/>
      <c r="AD45" s="259"/>
      <c r="AE45" s="259"/>
      <c r="AF45" s="259"/>
      <c r="AG45" s="68"/>
      <c r="AH45" s="68"/>
    </row>
    <row r="46" spans="1:34" x14ac:dyDescent="0.35">
      <c r="A46" s="68"/>
      <c r="B46" s="258"/>
      <c r="C46" s="258"/>
      <c r="D46" s="258"/>
      <c r="E46" s="256"/>
      <c r="F46" s="257"/>
      <c r="G46" s="257"/>
      <c r="H46" s="257"/>
      <c r="I46" s="257"/>
      <c r="J46" s="257"/>
      <c r="K46" s="257"/>
      <c r="L46" s="257"/>
      <c r="M46" s="257"/>
      <c r="N46" s="257"/>
      <c r="O46" s="257"/>
      <c r="P46" s="257"/>
      <c r="Q46" s="257"/>
      <c r="R46" s="257"/>
      <c r="S46" s="257"/>
      <c r="T46" s="257"/>
      <c r="U46" s="257"/>
      <c r="V46" s="257"/>
      <c r="W46" s="257"/>
      <c r="X46" s="257"/>
      <c r="Y46" s="256"/>
      <c r="Z46" s="257"/>
      <c r="AA46" s="257"/>
      <c r="AB46" s="257"/>
      <c r="AC46" s="257"/>
      <c r="AD46" s="257"/>
      <c r="AE46" s="257"/>
      <c r="AF46" s="257"/>
      <c r="AG46" s="68"/>
      <c r="AH46" s="68"/>
    </row>
    <row r="47" spans="1:34" x14ac:dyDescent="0.35">
      <c r="A47" s="68"/>
      <c r="B47" s="258"/>
      <c r="C47" s="258"/>
      <c r="D47" s="258"/>
      <c r="E47" s="256"/>
      <c r="F47" s="257"/>
      <c r="G47" s="257"/>
      <c r="H47" s="257"/>
      <c r="I47" s="257"/>
      <c r="J47" s="257"/>
      <c r="K47" s="257"/>
      <c r="L47" s="257"/>
      <c r="M47" s="257"/>
      <c r="N47" s="257"/>
      <c r="O47" s="257"/>
      <c r="P47" s="257"/>
      <c r="Q47" s="257"/>
      <c r="R47" s="257"/>
      <c r="S47" s="257"/>
      <c r="T47" s="257"/>
      <c r="U47" s="257"/>
      <c r="V47" s="257"/>
      <c r="W47" s="257"/>
      <c r="X47" s="257"/>
      <c r="Y47" s="256"/>
      <c r="Z47" s="257"/>
      <c r="AA47" s="257"/>
      <c r="AB47" s="257"/>
      <c r="AC47" s="257"/>
      <c r="AD47" s="257"/>
      <c r="AE47" s="257"/>
      <c r="AF47" s="257"/>
      <c r="AG47" s="68"/>
      <c r="AH47" s="68"/>
    </row>
    <row r="48" spans="1:34" x14ac:dyDescent="0.35">
      <c r="A48" s="68"/>
      <c r="B48" s="258"/>
      <c r="C48" s="258"/>
      <c r="D48" s="258"/>
      <c r="E48" s="256"/>
      <c r="F48" s="257"/>
      <c r="G48" s="257"/>
      <c r="H48" s="257"/>
      <c r="I48" s="257"/>
      <c r="J48" s="257"/>
      <c r="K48" s="257"/>
      <c r="L48" s="257"/>
      <c r="M48" s="257"/>
      <c r="N48" s="257"/>
      <c r="O48" s="257"/>
      <c r="P48" s="257"/>
      <c r="Q48" s="257"/>
      <c r="R48" s="257"/>
      <c r="S48" s="257"/>
      <c r="T48" s="257"/>
      <c r="U48" s="257"/>
      <c r="V48" s="257"/>
      <c r="W48" s="257"/>
      <c r="X48" s="257"/>
      <c r="Y48" s="256"/>
      <c r="Z48" s="257"/>
      <c r="AA48" s="257"/>
      <c r="AB48" s="257"/>
      <c r="AC48" s="257"/>
      <c r="AD48" s="257"/>
      <c r="AE48" s="257"/>
      <c r="AF48" s="257"/>
      <c r="AG48" s="68"/>
      <c r="AH48" s="68"/>
    </row>
    <row r="49" spans="1:34" x14ac:dyDescent="0.35">
      <c r="A49" s="68"/>
      <c r="B49" s="258"/>
      <c r="C49" s="258"/>
      <c r="D49" s="258"/>
      <c r="E49" s="256"/>
      <c r="F49" s="257"/>
      <c r="G49" s="257"/>
      <c r="H49" s="257"/>
      <c r="I49" s="257"/>
      <c r="J49" s="257"/>
      <c r="K49" s="257"/>
      <c r="L49" s="257"/>
      <c r="M49" s="257"/>
      <c r="N49" s="257"/>
      <c r="O49" s="257"/>
      <c r="P49" s="257"/>
      <c r="Q49" s="257"/>
      <c r="R49" s="257"/>
      <c r="S49" s="257"/>
      <c r="T49" s="257"/>
      <c r="U49" s="257"/>
      <c r="V49" s="257"/>
      <c r="W49" s="257"/>
      <c r="X49" s="257"/>
      <c r="Y49" s="256"/>
      <c r="Z49" s="257"/>
      <c r="AA49" s="257"/>
      <c r="AB49" s="257"/>
      <c r="AC49" s="257"/>
      <c r="AD49" s="257"/>
      <c r="AE49" s="257"/>
      <c r="AF49" s="257"/>
      <c r="AG49" s="68"/>
      <c r="AH49" s="68"/>
    </row>
    <row r="50" spans="1:34" x14ac:dyDescent="0.35">
      <c r="A50" s="68"/>
      <c r="B50" s="68"/>
      <c r="C50" s="152"/>
      <c r="D50" s="68"/>
      <c r="E50" s="68"/>
      <c r="F50" s="68"/>
      <c r="G50" s="68"/>
      <c r="H50" s="68"/>
      <c r="I50" s="153"/>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row>
    <row r="51" spans="1:34" ht="20" x14ac:dyDescent="0.35">
      <c r="A51" s="68"/>
      <c r="B51" s="80" t="s">
        <v>225</v>
      </c>
      <c r="C51" s="81"/>
      <c r="D51" s="68"/>
      <c r="E51" s="68"/>
      <c r="F51" s="68"/>
      <c r="G51" s="68"/>
      <c r="H51" s="68"/>
      <c r="I51" s="153"/>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row>
    <row r="52" spans="1:34" x14ac:dyDescent="0.35">
      <c r="A52" s="68"/>
      <c r="B52" s="259" t="s">
        <v>226</v>
      </c>
      <c r="C52" s="259"/>
      <c r="D52" s="259"/>
      <c r="E52" s="259"/>
      <c r="F52" s="259"/>
      <c r="G52" s="259"/>
      <c r="H52" s="261"/>
      <c r="I52" s="261"/>
      <c r="J52" s="261"/>
      <c r="K52" s="261"/>
      <c r="L52" s="261"/>
      <c r="M52" s="261"/>
      <c r="N52" s="261"/>
      <c r="O52" s="261"/>
      <c r="P52" s="261"/>
      <c r="Q52" s="261"/>
      <c r="R52" s="261"/>
      <c r="S52" s="261"/>
      <c r="T52" s="261"/>
      <c r="U52" s="261"/>
      <c r="V52" s="261"/>
      <c r="W52" s="261"/>
      <c r="X52" s="261"/>
      <c r="Y52" s="261"/>
      <c r="Z52" s="261"/>
      <c r="AA52" s="261"/>
      <c r="AB52" s="261"/>
      <c r="AC52" s="261"/>
      <c r="AD52" s="261"/>
      <c r="AE52" s="261"/>
      <c r="AF52" s="261"/>
      <c r="AG52" s="68"/>
      <c r="AH52" s="68"/>
    </row>
    <row r="53" spans="1:34" ht="27.75" customHeight="1" x14ac:dyDescent="0.35">
      <c r="A53" s="68"/>
      <c r="B53" s="262" t="s">
        <v>227</v>
      </c>
      <c r="C53" s="263"/>
      <c r="D53" s="263"/>
      <c r="E53" s="263"/>
      <c r="F53" s="263"/>
      <c r="G53" s="264"/>
      <c r="H53" s="265" t="s">
        <v>228</v>
      </c>
      <c r="I53" s="266"/>
      <c r="J53" s="266"/>
      <c r="K53" s="266"/>
      <c r="L53" s="266"/>
      <c r="M53" s="266"/>
      <c r="N53" s="266"/>
      <c r="O53" s="266"/>
      <c r="P53" s="266"/>
      <c r="Q53" s="266"/>
      <c r="R53" s="266"/>
      <c r="S53" s="266"/>
      <c r="T53" s="266"/>
      <c r="U53" s="266"/>
      <c r="V53" s="266"/>
      <c r="W53" s="266"/>
      <c r="X53" s="266"/>
      <c r="Y53" s="266"/>
      <c r="Z53" s="266"/>
      <c r="AA53" s="266"/>
      <c r="AB53" s="266"/>
      <c r="AC53" s="266"/>
      <c r="AD53" s="266"/>
      <c r="AE53" s="266"/>
      <c r="AF53" s="267"/>
      <c r="AG53" s="68"/>
      <c r="AH53" s="68"/>
    </row>
    <row r="54" spans="1:34" x14ac:dyDescent="0.35">
      <c r="A54" s="68"/>
      <c r="B54" s="262"/>
      <c r="C54" s="263"/>
      <c r="D54" s="263"/>
      <c r="E54" s="263"/>
      <c r="F54" s="263"/>
      <c r="G54" s="264"/>
      <c r="H54" s="288"/>
      <c r="I54" s="266"/>
      <c r="J54" s="266"/>
      <c r="K54" s="266"/>
      <c r="L54" s="266"/>
      <c r="M54" s="266"/>
      <c r="N54" s="266"/>
      <c r="O54" s="266"/>
      <c r="P54" s="266"/>
      <c r="Q54" s="266"/>
      <c r="R54" s="266"/>
      <c r="S54" s="266"/>
      <c r="T54" s="266"/>
      <c r="U54" s="266"/>
      <c r="V54" s="266"/>
      <c r="W54" s="266"/>
      <c r="X54" s="266"/>
      <c r="Y54" s="266"/>
      <c r="Z54" s="266"/>
      <c r="AA54" s="266"/>
      <c r="AB54" s="266"/>
      <c r="AC54" s="266"/>
      <c r="AD54" s="266"/>
      <c r="AE54" s="266"/>
      <c r="AF54" s="267"/>
      <c r="AG54" s="68"/>
      <c r="AH54" s="68"/>
    </row>
    <row r="55" spans="1:34" x14ac:dyDescent="0.35">
      <c r="A55" s="68"/>
      <c r="B55" s="262"/>
      <c r="C55" s="263"/>
      <c r="D55" s="263"/>
      <c r="E55" s="263"/>
      <c r="F55" s="263"/>
      <c r="G55" s="264"/>
      <c r="H55" s="288"/>
      <c r="I55" s="266"/>
      <c r="J55" s="266"/>
      <c r="K55" s="266"/>
      <c r="L55" s="266"/>
      <c r="M55" s="266"/>
      <c r="N55" s="266"/>
      <c r="O55" s="266"/>
      <c r="P55" s="266"/>
      <c r="Q55" s="266"/>
      <c r="R55" s="266"/>
      <c r="S55" s="266"/>
      <c r="T55" s="266"/>
      <c r="U55" s="266"/>
      <c r="V55" s="266"/>
      <c r="W55" s="266"/>
      <c r="X55" s="266"/>
      <c r="Y55" s="266"/>
      <c r="Z55" s="266"/>
      <c r="AA55" s="266"/>
      <c r="AB55" s="266"/>
      <c r="AC55" s="266"/>
      <c r="AD55" s="266"/>
      <c r="AE55" s="266"/>
      <c r="AF55" s="267"/>
      <c r="AG55" s="68"/>
      <c r="AH55" s="68"/>
    </row>
    <row r="56" spans="1:34" x14ac:dyDescent="0.35">
      <c r="A56" s="68"/>
      <c r="B56" s="262"/>
      <c r="C56" s="263"/>
      <c r="D56" s="263"/>
      <c r="E56" s="263"/>
      <c r="F56" s="263"/>
      <c r="G56" s="264"/>
      <c r="H56" s="288"/>
      <c r="I56" s="266"/>
      <c r="J56" s="266"/>
      <c r="K56" s="266"/>
      <c r="L56" s="266"/>
      <c r="M56" s="266"/>
      <c r="N56" s="266"/>
      <c r="O56" s="266"/>
      <c r="P56" s="266"/>
      <c r="Q56" s="266"/>
      <c r="R56" s="266"/>
      <c r="S56" s="266"/>
      <c r="T56" s="266"/>
      <c r="U56" s="266"/>
      <c r="V56" s="266"/>
      <c r="W56" s="266"/>
      <c r="X56" s="266"/>
      <c r="Y56" s="266"/>
      <c r="Z56" s="266"/>
      <c r="AA56" s="266"/>
      <c r="AB56" s="266"/>
      <c r="AC56" s="266"/>
      <c r="AD56" s="266"/>
      <c r="AE56" s="266"/>
      <c r="AF56" s="267"/>
      <c r="AG56" s="68"/>
      <c r="AH56" s="68"/>
    </row>
    <row r="57" spans="1:34" x14ac:dyDescent="0.35">
      <c r="A57" s="68"/>
      <c r="B57" s="262"/>
      <c r="C57" s="263"/>
      <c r="D57" s="263"/>
      <c r="E57" s="263"/>
      <c r="F57" s="263"/>
      <c r="G57" s="264"/>
      <c r="H57" s="288"/>
      <c r="I57" s="266"/>
      <c r="J57" s="266"/>
      <c r="K57" s="266"/>
      <c r="L57" s="266"/>
      <c r="M57" s="266"/>
      <c r="N57" s="266"/>
      <c r="O57" s="266"/>
      <c r="P57" s="266"/>
      <c r="Q57" s="266"/>
      <c r="R57" s="266"/>
      <c r="S57" s="266"/>
      <c r="T57" s="266"/>
      <c r="U57" s="266"/>
      <c r="V57" s="266"/>
      <c r="W57" s="266"/>
      <c r="X57" s="266"/>
      <c r="Y57" s="266"/>
      <c r="Z57" s="266"/>
      <c r="AA57" s="266"/>
      <c r="AB57" s="266"/>
      <c r="AC57" s="266"/>
      <c r="AD57" s="266"/>
      <c r="AE57" s="266"/>
      <c r="AF57" s="267"/>
      <c r="AG57" s="68"/>
      <c r="AH57" s="68"/>
    </row>
    <row r="58" spans="1:34" x14ac:dyDescent="0.35">
      <c r="A58" s="68"/>
      <c r="B58" s="156"/>
      <c r="C58" s="156"/>
      <c r="D58" s="156"/>
      <c r="E58" s="156"/>
      <c r="F58" s="156"/>
      <c r="G58" s="156"/>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68"/>
      <c r="AH58" s="68"/>
    </row>
    <row r="59" spans="1:34" x14ac:dyDescent="0.35">
      <c r="A59" s="68"/>
      <c r="B59" s="156"/>
      <c r="C59" s="156"/>
      <c r="D59" s="156"/>
      <c r="E59" s="156"/>
      <c r="F59" s="156"/>
      <c r="G59" s="156"/>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68"/>
      <c r="AH59" s="68"/>
    </row>
    <row r="60" spans="1:34" ht="25" x14ac:dyDescent="0.35">
      <c r="A60" s="68"/>
      <c r="B60" s="160" t="s">
        <v>229</v>
      </c>
      <c r="C60" s="161"/>
      <c r="D60" s="161"/>
      <c r="E60" s="161"/>
      <c r="F60" s="161"/>
      <c r="G60" s="161"/>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68"/>
      <c r="AH60" s="68"/>
    </row>
    <row r="61" spans="1:34" ht="25" x14ac:dyDescent="0.35">
      <c r="A61" s="68"/>
      <c r="B61" s="163"/>
      <c r="C61" s="156"/>
      <c r="D61" s="156"/>
      <c r="E61" s="156"/>
      <c r="F61" s="156"/>
      <c r="G61" s="156"/>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68"/>
      <c r="AH61" s="68"/>
    </row>
    <row r="62" spans="1:34" s="79" customFormat="1" x14ac:dyDescent="0.35"/>
    <row r="63" spans="1:34" s="79" customFormat="1" ht="25" x14ac:dyDescent="0.35">
      <c r="B63" s="77" t="s">
        <v>73</v>
      </c>
      <c r="C63" s="78"/>
      <c r="D63" s="78"/>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row>
    <row r="64" spans="1:34" s="79" customFormat="1" x14ac:dyDescent="0.35"/>
    <row r="65" spans="2:32" s="79" customFormat="1" x14ac:dyDescent="0.35"/>
    <row r="66" spans="2:32" s="79" customFormat="1" ht="20" x14ac:dyDescent="0.35">
      <c r="B66" s="80" t="s">
        <v>74</v>
      </c>
      <c r="C66" s="81"/>
      <c r="D66" s="68"/>
      <c r="E66" s="82"/>
      <c r="F66" s="82"/>
      <c r="G66" s="82"/>
      <c r="H66" s="82"/>
      <c r="I66" s="82"/>
      <c r="J66" s="82"/>
      <c r="K66" s="82"/>
      <c r="L66" s="82"/>
      <c r="M66" s="82"/>
    </row>
    <row r="67" spans="2:32" s="79" customFormat="1" x14ac:dyDescent="0.35"/>
    <row r="68" spans="2:32" s="79" customFormat="1" ht="17.5" x14ac:dyDescent="0.35">
      <c r="C68" s="83" t="s">
        <v>75</v>
      </c>
    </row>
    <row r="69" spans="2:32" s="79" customFormat="1" x14ac:dyDescent="0.35"/>
    <row r="70" spans="2:32" s="79" customFormat="1" x14ac:dyDescent="0.35">
      <c r="B70" s="79" t="s">
        <v>76</v>
      </c>
    </row>
    <row r="71" spans="2:32" s="79" customFormat="1" x14ac:dyDescent="0.35">
      <c r="B71" s="79" t="s">
        <v>77</v>
      </c>
    </row>
    <row r="72" spans="2:32" s="79" customFormat="1" x14ac:dyDescent="0.35"/>
    <row r="73" spans="2:32" s="79" customFormat="1" ht="48" customHeight="1" x14ac:dyDescent="0.35">
      <c r="B73" s="238" t="s">
        <v>78</v>
      </c>
      <c r="C73" s="239"/>
      <c r="D73" s="239"/>
      <c r="E73" s="239"/>
      <c r="F73" s="239"/>
      <c r="G73" s="239"/>
      <c r="H73" s="240"/>
      <c r="I73" s="241" t="s">
        <v>79</v>
      </c>
      <c r="J73" s="242"/>
      <c r="K73" s="242"/>
      <c r="L73" s="242"/>
      <c r="M73" s="242"/>
      <c r="N73" s="242"/>
      <c r="O73" s="242"/>
      <c r="P73" s="242"/>
      <c r="Q73" s="242"/>
      <c r="R73" s="242"/>
      <c r="S73" s="242"/>
      <c r="T73" s="242"/>
      <c r="U73" s="242"/>
      <c r="V73" s="242"/>
      <c r="W73" s="242"/>
      <c r="X73" s="242"/>
      <c r="Y73" s="242"/>
      <c r="Z73" s="242"/>
      <c r="AA73" s="242"/>
      <c r="AB73" s="242"/>
      <c r="AC73" s="242"/>
      <c r="AD73" s="242"/>
      <c r="AE73" s="242"/>
      <c r="AF73" s="243"/>
    </row>
    <row r="74" spans="2:32" s="79" customFormat="1" ht="48" customHeight="1" x14ac:dyDescent="0.35">
      <c r="B74" s="238" t="s">
        <v>15</v>
      </c>
      <c r="C74" s="239"/>
      <c r="D74" s="239"/>
      <c r="E74" s="239"/>
      <c r="F74" s="239"/>
      <c r="G74" s="239"/>
      <c r="H74" s="240"/>
      <c r="I74" s="241" t="s">
        <v>80</v>
      </c>
      <c r="J74" s="242"/>
      <c r="K74" s="242"/>
      <c r="L74" s="242"/>
      <c r="M74" s="242"/>
      <c r="N74" s="242"/>
      <c r="O74" s="242"/>
      <c r="P74" s="242"/>
      <c r="Q74" s="242"/>
      <c r="R74" s="242"/>
      <c r="S74" s="242"/>
      <c r="T74" s="242"/>
      <c r="U74" s="242"/>
      <c r="V74" s="242"/>
      <c r="W74" s="242"/>
      <c r="X74" s="242"/>
      <c r="Y74" s="242"/>
      <c r="Z74" s="242"/>
      <c r="AA74" s="242"/>
      <c r="AB74" s="242"/>
      <c r="AC74" s="242"/>
      <c r="AD74" s="242"/>
      <c r="AE74" s="242"/>
      <c r="AF74" s="243"/>
    </row>
    <row r="75" spans="2:32" s="79" customFormat="1" ht="70.5" customHeight="1" x14ac:dyDescent="0.35">
      <c r="B75" s="238" t="s">
        <v>81</v>
      </c>
      <c r="C75" s="239"/>
      <c r="D75" s="239"/>
      <c r="E75" s="239"/>
      <c r="F75" s="239"/>
      <c r="G75" s="239"/>
      <c r="H75" s="240"/>
      <c r="I75" s="241" t="s">
        <v>82</v>
      </c>
      <c r="J75" s="242"/>
      <c r="K75" s="242"/>
      <c r="L75" s="242"/>
      <c r="M75" s="242"/>
      <c r="N75" s="242"/>
      <c r="O75" s="242"/>
      <c r="P75" s="242"/>
      <c r="Q75" s="242"/>
      <c r="R75" s="242"/>
      <c r="S75" s="242"/>
      <c r="T75" s="242"/>
      <c r="U75" s="242"/>
      <c r="V75" s="242"/>
      <c r="W75" s="242"/>
      <c r="X75" s="242"/>
      <c r="Y75" s="242"/>
      <c r="Z75" s="242"/>
      <c r="AA75" s="242"/>
      <c r="AB75" s="242"/>
      <c r="AC75" s="242"/>
      <c r="AD75" s="242"/>
      <c r="AE75" s="242"/>
      <c r="AF75" s="243"/>
    </row>
    <row r="76" spans="2:32" s="79" customFormat="1" ht="48" customHeight="1" x14ac:dyDescent="0.35">
      <c r="B76" s="238" t="s">
        <v>83</v>
      </c>
      <c r="C76" s="239"/>
      <c r="D76" s="239"/>
      <c r="E76" s="239"/>
      <c r="F76" s="239"/>
      <c r="G76" s="239"/>
      <c r="H76" s="240"/>
      <c r="I76" s="241" t="s">
        <v>84</v>
      </c>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3"/>
    </row>
    <row r="77" spans="2:32" s="79" customFormat="1" ht="48" customHeight="1" x14ac:dyDescent="0.35">
      <c r="B77" s="238" t="s">
        <v>10</v>
      </c>
      <c r="C77" s="239"/>
      <c r="D77" s="239"/>
      <c r="E77" s="239"/>
      <c r="F77" s="239"/>
      <c r="G77" s="239"/>
      <c r="H77" s="240"/>
      <c r="I77" s="241" t="s">
        <v>85</v>
      </c>
      <c r="J77" s="242"/>
      <c r="K77" s="242"/>
      <c r="L77" s="242"/>
      <c r="M77" s="242"/>
      <c r="N77" s="242"/>
      <c r="O77" s="242"/>
      <c r="P77" s="242"/>
      <c r="Q77" s="242"/>
      <c r="R77" s="242"/>
      <c r="S77" s="242"/>
      <c r="T77" s="242"/>
      <c r="U77" s="242"/>
      <c r="V77" s="242"/>
      <c r="W77" s="242"/>
      <c r="X77" s="242"/>
      <c r="Y77" s="242"/>
      <c r="Z77" s="242"/>
      <c r="AA77" s="242"/>
      <c r="AB77" s="242"/>
      <c r="AC77" s="242"/>
      <c r="AD77" s="242"/>
      <c r="AE77" s="242"/>
      <c r="AF77" s="243"/>
    </row>
    <row r="78" spans="2:32" s="79" customFormat="1" ht="48" customHeight="1" x14ac:dyDescent="0.35">
      <c r="B78" s="238" t="s">
        <v>86</v>
      </c>
      <c r="C78" s="239"/>
      <c r="D78" s="239"/>
      <c r="E78" s="239"/>
      <c r="F78" s="239"/>
      <c r="G78" s="239"/>
      <c r="H78" s="240"/>
      <c r="I78" s="241" t="s">
        <v>87</v>
      </c>
      <c r="J78" s="242"/>
      <c r="K78" s="242"/>
      <c r="L78" s="242"/>
      <c r="M78" s="242"/>
      <c r="N78" s="242"/>
      <c r="O78" s="242"/>
      <c r="P78" s="242"/>
      <c r="Q78" s="242"/>
      <c r="R78" s="242"/>
      <c r="S78" s="242"/>
      <c r="T78" s="242"/>
      <c r="U78" s="242"/>
      <c r="V78" s="242"/>
      <c r="W78" s="242"/>
      <c r="X78" s="242"/>
      <c r="Y78" s="242"/>
      <c r="Z78" s="242"/>
      <c r="AA78" s="242"/>
      <c r="AB78" s="242"/>
      <c r="AC78" s="242"/>
      <c r="AD78" s="242"/>
      <c r="AE78" s="242"/>
      <c r="AF78" s="243"/>
    </row>
    <row r="79" spans="2:32" s="79" customFormat="1" ht="48" customHeight="1" x14ac:dyDescent="0.35">
      <c r="B79" s="238" t="s">
        <v>88</v>
      </c>
      <c r="C79" s="239"/>
      <c r="D79" s="239"/>
      <c r="E79" s="239"/>
      <c r="F79" s="239"/>
      <c r="G79" s="239"/>
      <c r="H79" s="240"/>
      <c r="I79" s="241" t="s">
        <v>89</v>
      </c>
      <c r="J79" s="242"/>
      <c r="K79" s="242"/>
      <c r="L79" s="242"/>
      <c r="M79" s="242"/>
      <c r="N79" s="242"/>
      <c r="O79" s="242"/>
      <c r="P79" s="242"/>
      <c r="Q79" s="242"/>
      <c r="R79" s="242"/>
      <c r="S79" s="242"/>
      <c r="T79" s="242"/>
      <c r="U79" s="242"/>
      <c r="V79" s="242"/>
      <c r="W79" s="242"/>
      <c r="X79" s="242"/>
      <c r="Y79" s="242"/>
      <c r="Z79" s="242"/>
      <c r="AA79" s="242"/>
      <c r="AB79" s="242"/>
      <c r="AC79" s="242"/>
      <c r="AD79" s="242"/>
      <c r="AE79" s="242"/>
      <c r="AF79" s="243"/>
    </row>
    <row r="80" spans="2:32" s="79" customFormat="1" ht="18.5" x14ac:dyDescent="0.35">
      <c r="B80" s="84"/>
    </row>
    <row r="81" spans="2:32" s="79" customFormat="1" x14ac:dyDescent="0.35">
      <c r="B81" s="85" t="s">
        <v>90</v>
      </c>
    </row>
    <row r="82" spans="2:32" s="79" customFormat="1" x14ac:dyDescent="0.35">
      <c r="B82" s="85"/>
    </row>
    <row r="83" spans="2:32" s="79" customFormat="1" ht="17.5" x14ac:dyDescent="0.35">
      <c r="C83" s="83" t="s">
        <v>91</v>
      </c>
    </row>
    <row r="84" spans="2:32" s="79" customFormat="1" x14ac:dyDescent="0.35"/>
    <row r="85" spans="2:32" s="79" customFormat="1" x14ac:dyDescent="0.35">
      <c r="B85" s="79" t="s">
        <v>92</v>
      </c>
    </row>
    <row r="86" spans="2:32" s="79" customFormat="1" x14ac:dyDescent="0.35">
      <c r="B86" s="79" t="s">
        <v>77</v>
      </c>
    </row>
    <row r="87" spans="2:32" s="79" customFormat="1" x14ac:dyDescent="0.35"/>
    <row r="88" spans="2:32" s="79" customFormat="1" ht="15" customHeight="1" x14ac:dyDescent="0.35">
      <c r="B88" s="238" t="s">
        <v>78</v>
      </c>
      <c r="C88" s="239"/>
      <c r="D88" s="239"/>
      <c r="E88" s="239"/>
      <c r="F88" s="239"/>
      <c r="G88" s="239"/>
      <c r="H88" s="240"/>
      <c r="I88" s="241" t="s">
        <v>93</v>
      </c>
      <c r="J88" s="242"/>
      <c r="K88" s="242"/>
      <c r="L88" s="242"/>
      <c r="M88" s="242"/>
      <c r="N88" s="242"/>
      <c r="O88" s="242"/>
      <c r="P88" s="242"/>
      <c r="Q88" s="242"/>
      <c r="R88" s="242"/>
      <c r="S88" s="242"/>
      <c r="T88" s="242"/>
      <c r="U88" s="242"/>
      <c r="V88" s="242"/>
      <c r="W88" s="242"/>
      <c r="X88" s="242"/>
      <c r="Y88" s="242"/>
      <c r="Z88" s="242"/>
      <c r="AA88" s="242"/>
      <c r="AB88" s="242"/>
      <c r="AC88" s="242"/>
      <c r="AD88" s="242"/>
      <c r="AE88" s="242"/>
      <c r="AF88" s="243"/>
    </row>
    <row r="89" spans="2:32" s="79" customFormat="1" ht="15" customHeight="1" x14ac:dyDescent="0.35">
      <c r="B89" s="238" t="s">
        <v>15</v>
      </c>
      <c r="C89" s="239"/>
      <c r="D89" s="239"/>
      <c r="E89" s="239"/>
      <c r="F89" s="239"/>
      <c r="G89" s="239"/>
      <c r="H89" s="240"/>
      <c r="I89" s="241" t="s">
        <v>94</v>
      </c>
      <c r="J89" s="242"/>
      <c r="K89" s="242"/>
      <c r="L89" s="242"/>
      <c r="M89" s="242"/>
      <c r="N89" s="242"/>
      <c r="O89" s="242"/>
      <c r="P89" s="242"/>
      <c r="Q89" s="242"/>
      <c r="R89" s="242"/>
      <c r="S89" s="242"/>
      <c r="T89" s="242"/>
      <c r="U89" s="242"/>
      <c r="V89" s="242"/>
      <c r="W89" s="242"/>
      <c r="X89" s="242"/>
      <c r="Y89" s="242"/>
      <c r="Z89" s="242"/>
      <c r="AA89" s="242"/>
      <c r="AB89" s="242"/>
      <c r="AC89" s="242"/>
      <c r="AD89" s="242"/>
      <c r="AE89" s="242"/>
      <c r="AF89" s="243"/>
    </row>
    <row r="90" spans="2:32" s="79" customFormat="1" ht="15" customHeight="1" x14ac:dyDescent="0.35">
      <c r="B90" s="238" t="s">
        <v>95</v>
      </c>
      <c r="C90" s="239"/>
      <c r="D90" s="239"/>
      <c r="E90" s="239"/>
      <c r="F90" s="239"/>
      <c r="G90" s="239"/>
      <c r="H90" s="240"/>
      <c r="I90" s="241" t="s">
        <v>96</v>
      </c>
      <c r="J90" s="242"/>
      <c r="K90" s="242"/>
      <c r="L90" s="242"/>
      <c r="M90" s="242"/>
      <c r="N90" s="242"/>
      <c r="O90" s="242"/>
      <c r="P90" s="242"/>
      <c r="Q90" s="242"/>
      <c r="R90" s="242"/>
      <c r="S90" s="242"/>
      <c r="T90" s="242"/>
      <c r="U90" s="242"/>
      <c r="V90" s="242"/>
      <c r="W90" s="242"/>
      <c r="X90" s="242"/>
      <c r="Y90" s="242"/>
      <c r="Z90" s="242"/>
      <c r="AA90" s="242"/>
      <c r="AB90" s="242"/>
      <c r="AC90" s="242"/>
      <c r="AD90" s="242"/>
      <c r="AE90" s="242"/>
      <c r="AF90" s="243"/>
    </row>
    <row r="91" spans="2:32" s="79" customFormat="1" ht="59.25" customHeight="1" x14ac:dyDescent="0.35">
      <c r="B91" s="238" t="s">
        <v>81</v>
      </c>
      <c r="C91" s="239"/>
      <c r="D91" s="239"/>
      <c r="E91" s="239"/>
      <c r="F91" s="239"/>
      <c r="G91" s="239"/>
      <c r="H91" s="240"/>
      <c r="I91" s="241" t="s">
        <v>82</v>
      </c>
      <c r="J91" s="242"/>
      <c r="K91" s="242"/>
      <c r="L91" s="242"/>
      <c r="M91" s="242"/>
      <c r="N91" s="242"/>
      <c r="O91" s="242"/>
      <c r="P91" s="242"/>
      <c r="Q91" s="242"/>
      <c r="R91" s="242"/>
      <c r="S91" s="242"/>
      <c r="T91" s="242"/>
      <c r="U91" s="242"/>
      <c r="V91" s="242"/>
      <c r="W91" s="242"/>
      <c r="X91" s="242"/>
      <c r="Y91" s="242"/>
      <c r="Z91" s="242"/>
      <c r="AA91" s="242"/>
      <c r="AB91" s="242"/>
      <c r="AC91" s="242"/>
      <c r="AD91" s="242"/>
      <c r="AE91" s="242"/>
      <c r="AF91" s="243"/>
    </row>
    <row r="92" spans="2:32" s="79" customFormat="1" ht="45" customHeight="1" x14ac:dyDescent="0.35">
      <c r="B92" s="238" t="s">
        <v>83</v>
      </c>
      <c r="C92" s="239"/>
      <c r="D92" s="239"/>
      <c r="E92" s="239"/>
      <c r="F92" s="239"/>
      <c r="G92" s="239"/>
      <c r="H92" s="240"/>
      <c r="I92" s="241" t="s">
        <v>84</v>
      </c>
      <c r="J92" s="242"/>
      <c r="K92" s="242"/>
      <c r="L92" s="242"/>
      <c r="M92" s="242"/>
      <c r="N92" s="242"/>
      <c r="O92" s="242"/>
      <c r="P92" s="242"/>
      <c r="Q92" s="242"/>
      <c r="R92" s="242"/>
      <c r="S92" s="242"/>
      <c r="T92" s="242"/>
      <c r="U92" s="242"/>
      <c r="V92" s="242"/>
      <c r="W92" s="242"/>
      <c r="X92" s="242"/>
      <c r="Y92" s="242"/>
      <c r="Z92" s="242"/>
      <c r="AA92" s="242"/>
      <c r="AB92" s="242"/>
      <c r="AC92" s="242"/>
      <c r="AD92" s="242"/>
      <c r="AE92" s="242"/>
      <c r="AF92" s="243"/>
    </row>
    <row r="93" spans="2:32" s="79" customFormat="1" ht="46.5" customHeight="1" x14ac:dyDescent="0.35">
      <c r="B93" s="238" t="s">
        <v>10</v>
      </c>
      <c r="C93" s="239"/>
      <c r="D93" s="239"/>
      <c r="E93" s="239"/>
      <c r="F93" s="239"/>
      <c r="G93" s="239"/>
      <c r="H93" s="240"/>
      <c r="I93" s="241" t="s">
        <v>85</v>
      </c>
      <c r="J93" s="242"/>
      <c r="K93" s="242"/>
      <c r="L93" s="242"/>
      <c r="M93" s="242"/>
      <c r="N93" s="242"/>
      <c r="O93" s="242"/>
      <c r="P93" s="242"/>
      <c r="Q93" s="242"/>
      <c r="R93" s="242"/>
      <c r="S93" s="242"/>
      <c r="T93" s="242"/>
      <c r="U93" s="242"/>
      <c r="V93" s="242"/>
      <c r="W93" s="242"/>
      <c r="X93" s="242"/>
      <c r="Y93" s="242"/>
      <c r="Z93" s="242"/>
      <c r="AA93" s="242"/>
      <c r="AB93" s="242"/>
      <c r="AC93" s="242"/>
      <c r="AD93" s="242"/>
      <c r="AE93" s="242"/>
      <c r="AF93" s="243"/>
    </row>
    <row r="94" spans="2:32" s="79" customFormat="1" ht="42.75" customHeight="1" x14ac:dyDescent="0.35">
      <c r="B94" s="238" t="s">
        <v>97</v>
      </c>
      <c r="C94" s="239"/>
      <c r="D94" s="239"/>
      <c r="E94" s="239"/>
      <c r="F94" s="239"/>
      <c r="G94" s="239"/>
      <c r="H94" s="240"/>
      <c r="I94" s="241" t="s">
        <v>98</v>
      </c>
      <c r="J94" s="242"/>
      <c r="K94" s="242"/>
      <c r="L94" s="242"/>
      <c r="M94" s="242"/>
      <c r="N94" s="242"/>
      <c r="O94" s="242"/>
      <c r="P94" s="242"/>
      <c r="Q94" s="242"/>
      <c r="R94" s="242"/>
      <c r="S94" s="242"/>
      <c r="T94" s="242"/>
      <c r="U94" s="242"/>
      <c r="V94" s="242"/>
      <c r="W94" s="242"/>
      <c r="X94" s="242"/>
      <c r="Y94" s="242"/>
      <c r="Z94" s="242"/>
      <c r="AA94" s="242"/>
      <c r="AB94" s="242"/>
      <c r="AC94" s="242"/>
      <c r="AD94" s="242"/>
      <c r="AE94" s="242"/>
      <c r="AF94" s="243"/>
    </row>
    <row r="95" spans="2:32" s="79" customFormat="1" ht="65.25" customHeight="1" x14ac:dyDescent="0.35">
      <c r="B95" s="238" t="s">
        <v>99</v>
      </c>
      <c r="C95" s="239"/>
      <c r="D95" s="239"/>
      <c r="E95" s="239"/>
      <c r="F95" s="239"/>
      <c r="G95" s="239"/>
      <c r="H95" s="240"/>
      <c r="I95" s="241" t="s">
        <v>100</v>
      </c>
      <c r="J95" s="242"/>
      <c r="K95" s="242"/>
      <c r="L95" s="242"/>
      <c r="M95" s="242"/>
      <c r="N95" s="242"/>
      <c r="O95" s="242"/>
      <c r="P95" s="242"/>
      <c r="Q95" s="242"/>
      <c r="R95" s="242"/>
      <c r="S95" s="242"/>
      <c r="T95" s="242"/>
      <c r="U95" s="242"/>
      <c r="V95" s="242"/>
      <c r="W95" s="242"/>
      <c r="X95" s="242"/>
      <c r="Y95" s="242"/>
      <c r="Z95" s="242"/>
      <c r="AA95" s="242"/>
      <c r="AB95" s="242"/>
      <c r="AC95" s="242"/>
      <c r="AD95" s="242"/>
      <c r="AE95" s="242"/>
      <c r="AF95" s="243"/>
    </row>
    <row r="96" spans="2:32" s="79" customFormat="1" ht="18.5" x14ac:dyDescent="0.35">
      <c r="B96" s="84"/>
    </row>
    <row r="97" spans="2:32" s="79" customFormat="1" x14ac:dyDescent="0.35">
      <c r="B97" s="85" t="s">
        <v>90</v>
      </c>
    </row>
    <row r="98" spans="2:32" s="79" customFormat="1" x14ac:dyDescent="0.35">
      <c r="B98" s="85"/>
    </row>
    <row r="99" spans="2:32" s="79" customFormat="1" ht="17.5" x14ac:dyDescent="0.35">
      <c r="C99" s="83" t="s">
        <v>101</v>
      </c>
    </row>
    <row r="100" spans="2:32" s="79" customFormat="1" ht="15.75" customHeight="1" x14ac:dyDescent="0.35">
      <c r="B100" s="86" t="s">
        <v>102</v>
      </c>
    </row>
    <row r="101" spans="2:32" s="79" customFormat="1" x14ac:dyDescent="0.35">
      <c r="B101" s="79" t="s">
        <v>103</v>
      </c>
    </row>
    <row r="102" spans="2:32" s="79" customFormat="1" x14ac:dyDescent="0.35">
      <c r="B102" s="79" t="s">
        <v>77</v>
      </c>
    </row>
    <row r="103" spans="2:32" s="79" customFormat="1" x14ac:dyDescent="0.35"/>
    <row r="104" spans="2:32" s="79" customFormat="1" x14ac:dyDescent="0.35">
      <c r="B104" s="238" t="s">
        <v>78</v>
      </c>
      <c r="C104" s="239"/>
      <c r="D104" s="239"/>
      <c r="E104" s="239"/>
      <c r="F104" s="239"/>
      <c r="G104" s="239"/>
      <c r="H104" s="240"/>
      <c r="I104" s="241" t="s">
        <v>93</v>
      </c>
      <c r="J104" s="242"/>
      <c r="K104" s="242"/>
      <c r="L104" s="242"/>
      <c r="M104" s="242"/>
      <c r="N104" s="242"/>
      <c r="O104" s="242"/>
      <c r="P104" s="242"/>
      <c r="Q104" s="242"/>
      <c r="R104" s="242"/>
      <c r="S104" s="242"/>
      <c r="T104" s="242"/>
      <c r="U104" s="242"/>
      <c r="V104" s="242"/>
      <c r="W104" s="242"/>
      <c r="X104" s="242"/>
      <c r="Y104" s="242"/>
      <c r="Z104" s="242"/>
      <c r="AA104" s="242"/>
      <c r="AB104" s="242"/>
      <c r="AC104" s="242"/>
      <c r="AD104" s="242"/>
      <c r="AE104" s="242"/>
      <c r="AF104" s="243"/>
    </row>
    <row r="105" spans="2:32" s="79" customFormat="1" x14ac:dyDescent="0.35">
      <c r="B105" s="238" t="s">
        <v>15</v>
      </c>
      <c r="C105" s="239"/>
      <c r="D105" s="239"/>
      <c r="E105" s="239"/>
      <c r="F105" s="239"/>
      <c r="G105" s="239"/>
      <c r="H105" s="240"/>
      <c r="I105" s="241" t="s">
        <v>94</v>
      </c>
      <c r="J105" s="242"/>
      <c r="K105" s="242"/>
      <c r="L105" s="242"/>
      <c r="M105" s="242"/>
      <c r="N105" s="242"/>
      <c r="O105" s="242"/>
      <c r="P105" s="242"/>
      <c r="Q105" s="242"/>
      <c r="R105" s="242"/>
      <c r="S105" s="242"/>
      <c r="T105" s="242"/>
      <c r="U105" s="242"/>
      <c r="V105" s="242"/>
      <c r="W105" s="242"/>
      <c r="X105" s="242"/>
      <c r="Y105" s="242"/>
      <c r="Z105" s="242"/>
      <c r="AA105" s="242"/>
      <c r="AB105" s="242"/>
      <c r="AC105" s="242"/>
      <c r="AD105" s="242"/>
      <c r="AE105" s="242"/>
      <c r="AF105" s="243"/>
    </row>
    <row r="106" spans="2:32" s="79" customFormat="1" x14ac:dyDescent="0.35">
      <c r="B106" s="238" t="s">
        <v>95</v>
      </c>
      <c r="C106" s="239"/>
      <c r="D106" s="239"/>
      <c r="E106" s="239"/>
      <c r="F106" s="239"/>
      <c r="G106" s="239"/>
      <c r="H106" s="240"/>
      <c r="I106" s="241" t="s">
        <v>96</v>
      </c>
      <c r="J106" s="242"/>
      <c r="K106" s="242"/>
      <c r="L106" s="242"/>
      <c r="M106" s="242"/>
      <c r="N106" s="242"/>
      <c r="O106" s="242"/>
      <c r="P106" s="242"/>
      <c r="Q106" s="242"/>
      <c r="R106" s="242"/>
      <c r="S106" s="242"/>
      <c r="T106" s="242"/>
      <c r="U106" s="242"/>
      <c r="V106" s="242"/>
      <c r="W106" s="242"/>
      <c r="X106" s="242"/>
      <c r="Y106" s="242"/>
      <c r="Z106" s="242"/>
      <c r="AA106" s="242"/>
      <c r="AB106" s="242"/>
      <c r="AC106" s="242"/>
      <c r="AD106" s="242"/>
      <c r="AE106" s="242"/>
      <c r="AF106" s="243"/>
    </row>
    <row r="107" spans="2:32" s="79" customFormat="1" ht="59.25" customHeight="1" x14ac:dyDescent="0.35">
      <c r="B107" s="238" t="s">
        <v>81</v>
      </c>
      <c r="C107" s="239"/>
      <c r="D107" s="239"/>
      <c r="E107" s="239"/>
      <c r="F107" s="239"/>
      <c r="G107" s="239"/>
      <c r="H107" s="240"/>
      <c r="I107" s="241" t="s">
        <v>82</v>
      </c>
      <c r="J107" s="242"/>
      <c r="K107" s="242"/>
      <c r="L107" s="242"/>
      <c r="M107" s="242"/>
      <c r="N107" s="242"/>
      <c r="O107" s="242"/>
      <c r="P107" s="242"/>
      <c r="Q107" s="242"/>
      <c r="R107" s="242"/>
      <c r="S107" s="242"/>
      <c r="T107" s="242"/>
      <c r="U107" s="242"/>
      <c r="V107" s="242"/>
      <c r="W107" s="242"/>
      <c r="X107" s="242"/>
      <c r="Y107" s="242"/>
      <c r="Z107" s="242"/>
      <c r="AA107" s="242"/>
      <c r="AB107" s="242"/>
      <c r="AC107" s="242"/>
      <c r="AD107" s="242"/>
      <c r="AE107" s="242"/>
      <c r="AF107" s="243"/>
    </row>
    <row r="108" spans="2:32" s="79" customFormat="1" ht="42.75" customHeight="1" x14ac:dyDescent="0.35">
      <c r="B108" s="238" t="s">
        <v>83</v>
      </c>
      <c r="C108" s="239"/>
      <c r="D108" s="239"/>
      <c r="E108" s="239"/>
      <c r="F108" s="239"/>
      <c r="G108" s="239"/>
      <c r="H108" s="240"/>
      <c r="I108" s="241" t="s">
        <v>84</v>
      </c>
      <c r="J108" s="242"/>
      <c r="K108" s="242"/>
      <c r="L108" s="242"/>
      <c r="M108" s="242"/>
      <c r="N108" s="242"/>
      <c r="O108" s="242"/>
      <c r="P108" s="242"/>
      <c r="Q108" s="242"/>
      <c r="R108" s="242"/>
      <c r="S108" s="242"/>
      <c r="T108" s="242"/>
      <c r="U108" s="242"/>
      <c r="V108" s="242"/>
      <c r="W108" s="242"/>
      <c r="X108" s="242"/>
      <c r="Y108" s="242"/>
      <c r="Z108" s="242"/>
      <c r="AA108" s="242"/>
      <c r="AB108" s="242"/>
      <c r="AC108" s="242"/>
      <c r="AD108" s="242"/>
      <c r="AE108" s="242"/>
      <c r="AF108" s="243"/>
    </row>
    <row r="109" spans="2:32" s="79" customFormat="1" ht="47.25" customHeight="1" x14ac:dyDescent="0.35">
      <c r="B109" s="238" t="s">
        <v>10</v>
      </c>
      <c r="C109" s="239"/>
      <c r="D109" s="239"/>
      <c r="E109" s="239"/>
      <c r="F109" s="239"/>
      <c r="G109" s="239"/>
      <c r="H109" s="240"/>
      <c r="I109" s="241" t="s">
        <v>85</v>
      </c>
      <c r="J109" s="242"/>
      <c r="K109" s="242"/>
      <c r="L109" s="242"/>
      <c r="M109" s="242"/>
      <c r="N109" s="242"/>
      <c r="O109" s="242"/>
      <c r="P109" s="242"/>
      <c r="Q109" s="242"/>
      <c r="R109" s="242"/>
      <c r="S109" s="242"/>
      <c r="T109" s="242"/>
      <c r="U109" s="242"/>
      <c r="V109" s="242"/>
      <c r="W109" s="242"/>
      <c r="X109" s="242"/>
      <c r="Y109" s="242"/>
      <c r="Z109" s="242"/>
      <c r="AA109" s="242"/>
      <c r="AB109" s="242"/>
      <c r="AC109" s="242"/>
      <c r="AD109" s="242"/>
      <c r="AE109" s="242"/>
      <c r="AF109" s="243"/>
    </row>
    <row r="110" spans="2:32" s="79" customFormat="1" ht="33.75" customHeight="1" x14ac:dyDescent="0.35">
      <c r="B110" s="238" t="s">
        <v>104</v>
      </c>
      <c r="C110" s="239"/>
      <c r="D110" s="239"/>
      <c r="E110" s="239"/>
      <c r="F110" s="239"/>
      <c r="G110" s="239"/>
      <c r="H110" s="240"/>
      <c r="I110" s="241" t="s">
        <v>105</v>
      </c>
      <c r="J110" s="242"/>
      <c r="K110" s="242"/>
      <c r="L110" s="242"/>
      <c r="M110" s="242"/>
      <c r="N110" s="242"/>
      <c r="O110" s="242"/>
      <c r="P110" s="242"/>
      <c r="Q110" s="242"/>
      <c r="R110" s="242"/>
      <c r="S110" s="242"/>
      <c r="T110" s="242"/>
      <c r="U110" s="242"/>
      <c r="V110" s="242"/>
      <c r="W110" s="242"/>
      <c r="X110" s="242"/>
      <c r="Y110" s="242"/>
      <c r="Z110" s="242"/>
      <c r="AA110" s="242"/>
      <c r="AB110" s="242"/>
      <c r="AC110" s="242"/>
      <c r="AD110" s="242"/>
      <c r="AE110" s="242"/>
      <c r="AF110" s="243"/>
    </row>
    <row r="111" spans="2:32" s="79" customFormat="1" ht="49.5" customHeight="1" x14ac:dyDescent="0.35">
      <c r="B111" s="238" t="s">
        <v>106</v>
      </c>
      <c r="C111" s="239"/>
      <c r="D111" s="239"/>
      <c r="E111" s="239"/>
      <c r="F111" s="239"/>
      <c r="G111" s="239"/>
      <c r="H111" s="240"/>
      <c r="I111" s="241" t="s">
        <v>107</v>
      </c>
      <c r="J111" s="242"/>
      <c r="K111" s="242"/>
      <c r="L111" s="242"/>
      <c r="M111" s="242"/>
      <c r="N111" s="242"/>
      <c r="O111" s="242"/>
      <c r="P111" s="242"/>
      <c r="Q111" s="242"/>
      <c r="R111" s="242"/>
      <c r="S111" s="242"/>
      <c r="T111" s="242"/>
      <c r="U111" s="242"/>
      <c r="V111" s="242"/>
      <c r="W111" s="242"/>
      <c r="X111" s="242"/>
      <c r="Y111" s="242"/>
      <c r="Z111" s="242"/>
      <c r="AA111" s="242"/>
      <c r="AB111" s="242"/>
      <c r="AC111" s="242"/>
      <c r="AD111" s="242"/>
      <c r="AE111" s="242"/>
      <c r="AF111" s="243"/>
    </row>
    <row r="112" spans="2:32" s="79" customFormat="1" ht="46.5" customHeight="1" x14ac:dyDescent="0.35">
      <c r="B112" s="238" t="s">
        <v>108</v>
      </c>
      <c r="C112" s="239"/>
      <c r="D112" s="239"/>
      <c r="E112" s="239"/>
      <c r="F112" s="239"/>
      <c r="G112" s="239"/>
      <c r="H112" s="240"/>
      <c r="I112" s="241" t="s">
        <v>84</v>
      </c>
      <c r="J112" s="242"/>
      <c r="K112" s="242"/>
      <c r="L112" s="242"/>
      <c r="M112" s="242"/>
      <c r="N112" s="242"/>
      <c r="O112" s="242"/>
      <c r="P112" s="242"/>
      <c r="Q112" s="242"/>
      <c r="R112" s="242"/>
      <c r="S112" s="242"/>
      <c r="T112" s="242"/>
      <c r="U112" s="242"/>
      <c r="V112" s="242"/>
      <c r="W112" s="242"/>
      <c r="X112" s="242"/>
      <c r="Y112" s="242"/>
      <c r="Z112" s="242"/>
      <c r="AA112" s="242"/>
      <c r="AB112" s="242"/>
      <c r="AC112" s="242"/>
      <c r="AD112" s="242"/>
      <c r="AE112" s="242"/>
      <c r="AF112" s="243"/>
    </row>
    <row r="113" spans="1:34" s="79" customFormat="1" ht="44.25" customHeight="1" x14ac:dyDescent="0.35">
      <c r="B113" s="238" t="s">
        <v>109</v>
      </c>
      <c r="C113" s="239"/>
      <c r="D113" s="239"/>
      <c r="E113" s="239"/>
      <c r="F113" s="239"/>
      <c r="G113" s="239"/>
      <c r="H113" s="240"/>
      <c r="I113" s="241" t="s">
        <v>110</v>
      </c>
      <c r="J113" s="242"/>
      <c r="K113" s="242"/>
      <c r="L113" s="242"/>
      <c r="M113" s="242"/>
      <c r="N113" s="242"/>
      <c r="O113" s="242"/>
      <c r="P113" s="242"/>
      <c r="Q113" s="242"/>
      <c r="R113" s="242"/>
      <c r="S113" s="242"/>
      <c r="T113" s="242"/>
      <c r="U113" s="242"/>
      <c r="V113" s="242"/>
      <c r="W113" s="242"/>
      <c r="X113" s="242"/>
      <c r="Y113" s="242"/>
      <c r="Z113" s="242"/>
      <c r="AA113" s="242"/>
      <c r="AB113" s="242"/>
      <c r="AC113" s="242"/>
      <c r="AD113" s="242"/>
      <c r="AE113" s="242"/>
      <c r="AF113" s="243"/>
    </row>
    <row r="114" spans="1:34" s="79" customFormat="1" ht="18.5" x14ac:dyDescent="0.35">
      <c r="B114" s="84"/>
    </row>
    <row r="115" spans="1:34" s="79" customFormat="1" x14ac:dyDescent="0.35">
      <c r="B115" s="85" t="s">
        <v>90</v>
      </c>
    </row>
    <row r="116" spans="1:34" s="79" customFormat="1" x14ac:dyDescent="0.35"/>
    <row r="117" spans="1:34" s="79" customFormat="1" x14ac:dyDescent="0.35"/>
    <row r="118" spans="1:34" s="79" customFormat="1" x14ac:dyDescent="0.35"/>
    <row r="119" spans="1:34" ht="25" x14ac:dyDescent="0.35">
      <c r="A119" s="68"/>
      <c r="B119" s="160" t="s">
        <v>230</v>
      </c>
      <c r="C119" s="161"/>
      <c r="D119" s="161"/>
      <c r="E119" s="161"/>
      <c r="F119" s="161"/>
      <c r="G119" s="161"/>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68"/>
      <c r="AH119" s="68"/>
    </row>
    <row r="120" spans="1:34" x14ac:dyDescent="0.35">
      <c r="A120" s="68"/>
      <c r="B120" s="164"/>
      <c r="C120" s="164"/>
      <c r="D120" s="164"/>
      <c r="E120" s="164"/>
      <c r="F120" s="164"/>
      <c r="G120" s="164"/>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68"/>
      <c r="AH120" s="68"/>
    </row>
    <row r="121" spans="1:34" s="79" customFormat="1" ht="20" x14ac:dyDescent="0.35">
      <c r="B121" s="80" t="s">
        <v>233</v>
      </c>
      <c r="C121" s="81"/>
      <c r="D121" s="68"/>
      <c r="E121" s="82"/>
      <c r="F121" s="82"/>
      <c r="G121" s="82"/>
      <c r="H121" s="82"/>
      <c r="I121" s="82"/>
      <c r="J121" s="82"/>
      <c r="K121" s="82"/>
      <c r="L121" s="82"/>
      <c r="M121" s="82"/>
    </row>
    <row r="122" spans="1:34" s="79" customFormat="1" ht="15" customHeight="1" x14ac:dyDescent="0.35">
      <c r="M122" s="87"/>
      <c r="N122" s="87"/>
      <c r="O122" s="87"/>
      <c r="P122" s="87"/>
      <c r="Q122" s="87"/>
    </row>
    <row r="123" spans="1:34" s="79" customFormat="1" ht="15" customHeight="1" x14ac:dyDescent="0.35">
      <c r="C123" s="249" t="s">
        <v>111</v>
      </c>
      <c r="D123" s="249"/>
      <c r="E123" s="249"/>
      <c r="F123" s="249"/>
      <c r="G123" s="249"/>
      <c r="H123" s="249"/>
      <c r="I123" s="249" t="s">
        <v>112</v>
      </c>
      <c r="J123" s="249"/>
      <c r="K123" s="249"/>
      <c r="L123" s="249"/>
      <c r="M123" s="249"/>
      <c r="N123" s="249"/>
      <c r="O123" s="249"/>
      <c r="P123" s="249"/>
      <c r="Q123" s="249"/>
      <c r="R123" s="249"/>
      <c r="S123" s="249"/>
      <c r="T123" s="249"/>
      <c r="U123" s="249"/>
      <c r="V123" s="249"/>
      <c r="W123" s="249"/>
      <c r="X123" s="249"/>
      <c r="Y123" s="249"/>
      <c r="Z123" s="249"/>
      <c r="AA123" s="249"/>
      <c r="AB123" s="249"/>
      <c r="AC123" s="249"/>
      <c r="AD123" s="249"/>
      <c r="AE123" s="249"/>
      <c r="AF123" s="249"/>
    </row>
    <row r="124" spans="1:34" s="79" customFormat="1" ht="46.5" customHeight="1" x14ac:dyDescent="0.35">
      <c r="C124" s="250">
        <v>1</v>
      </c>
      <c r="D124" s="251"/>
      <c r="E124" s="251"/>
      <c r="F124" s="251"/>
      <c r="G124" s="251"/>
      <c r="H124" s="251"/>
      <c r="I124" s="270" t="s">
        <v>113</v>
      </c>
      <c r="J124" s="270"/>
      <c r="K124" s="270"/>
      <c r="L124" s="270"/>
      <c r="M124" s="270"/>
      <c r="N124" s="270"/>
      <c r="O124" s="270"/>
      <c r="P124" s="270"/>
      <c r="Q124" s="270"/>
      <c r="R124" s="270"/>
      <c r="S124" s="270"/>
      <c r="T124" s="270"/>
      <c r="U124" s="270"/>
      <c r="V124" s="270"/>
      <c r="W124" s="270"/>
      <c r="X124" s="270"/>
      <c r="Y124" s="270"/>
      <c r="Z124" s="270"/>
      <c r="AA124" s="270"/>
      <c r="AB124" s="270"/>
      <c r="AC124" s="270"/>
      <c r="AD124" s="270"/>
      <c r="AE124" s="270"/>
      <c r="AF124" s="270"/>
      <c r="AG124" s="104"/>
    </row>
    <row r="125" spans="1:34" s="79" customFormat="1" ht="87.65" customHeight="1" x14ac:dyDescent="0.35">
      <c r="C125" s="273">
        <v>0.75</v>
      </c>
      <c r="D125" s="274"/>
      <c r="E125" s="274"/>
      <c r="F125" s="274"/>
      <c r="G125" s="274"/>
      <c r="H125" s="274"/>
      <c r="I125" s="281" t="s">
        <v>235</v>
      </c>
      <c r="J125" s="270"/>
      <c r="K125" s="270"/>
      <c r="L125" s="270"/>
      <c r="M125" s="270"/>
      <c r="N125" s="270"/>
      <c r="O125" s="270"/>
      <c r="P125" s="270"/>
      <c r="Q125" s="270"/>
      <c r="R125" s="270"/>
      <c r="S125" s="270"/>
      <c r="T125" s="270"/>
      <c r="U125" s="270"/>
      <c r="V125" s="270"/>
      <c r="W125" s="270"/>
      <c r="X125" s="270"/>
      <c r="Y125" s="270"/>
      <c r="Z125" s="270"/>
      <c r="AA125" s="270"/>
      <c r="AB125" s="270"/>
      <c r="AC125" s="270"/>
      <c r="AD125" s="270"/>
      <c r="AE125" s="270"/>
      <c r="AF125" s="270"/>
      <c r="AG125" s="104"/>
    </row>
    <row r="126" spans="1:34" s="79" customFormat="1" ht="51.75" customHeight="1" x14ac:dyDescent="0.35">
      <c r="C126" s="275">
        <v>0.5</v>
      </c>
      <c r="D126" s="276"/>
      <c r="E126" s="276"/>
      <c r="F126" s="276"/>
      <c r="G126" s="276"/>
      <c r="H126" s="276"/>
      <c r="I126" s="270" t="s">
        <v>114</v>
      </c>
      <c r="J126" s="270"/>
      <c r="K126" s="270"/>
      <c r="L126" s="270"/>
      <c r="M126" s="270"/>
      <c r="N126" s="270"/>
      <c r="O126" s="270"/>
      <c r="P126" s="270"/>
      <c r="Q126" s="270"/>
      <c r="R126" s="270"/>
      <c r="S126" s="270"/>
      <c r="T126" s="270"/>
      <c r="U126" s="270"/>
      <c r="V126" s="270"/>
      <c r="W126" s="270"/>
      <c r="X126" s="270"/>
      <c r="Y126" s="270"/>
      <c r="Z126" s="270"/>
      <c r="AA126" s="270"/>
      <c r="AB126" s="270"/>
      <c r="AC126" s="270"/>
      <c r="AD126" s="270"/>
      <c r="AE126" s="270"/>
      <c r="AF126" s="270"/>
      <c r="AG126" s="104"/>
    </row>
    <row r="127" spans="1:34" s="79" customFormat="1" ht="51.75" customHeight="1" x14ac:dyDescent="0.35">
      <c r="C127" s="282">
        <v>0.25</v>
      </c>
      <c r="D127" s="283"/>
      <c r="E127" s="283"/>
      <c r="F127" s="283"/>
      <c r="G127" s="283"/>
      <c r="H127" s="283"/>
      <c r="I127" s="281" t="s">
        <v>236</v>
      </c>
      <c r="J127" s="270"/>
      <c r="K127" s="270"/>
      <c r="L127" s="270"/>
      <c r="M127" s="270"/>
      <c r="N127" s="270"/>
      <c r="O127" s="270"/>
      <c r="P127" s="270"/>
      <c r="Q127" s="270"/>
      <c r="R127" s="270"/>
      <c r="S127" s="270"/>
      <c r="T127" s="270"/>
      <c r="U127" s="270"/>
      <c r="V127" s="270"/>
      <c r="W127" s="270"/>
      <c r="X127" s="270"/>
      <c r="Y127" s="270"/>
      <c r="Z127" s="270"/>
      <c r="AA127" s="270"/>
      <c r="AB127" s="270"/>
      <c r="AC127" s="270"/>
      <c r="AD127" s="270"/>
      <c r="AE127" s="270"/>
      <c r="AF127" s="270"/>
      <c r="AG127" s="104"/>
    </row>
    <row r="128" spans="1:34" s="79" customFormat="1" ht="48.75" customHeight="1" x14ac:dyDescent="0.35">
      <c r="C128" s="277">
        <v>0</v>
      </c>
      <c r="D128" s="278"/>
      <c r="E128" s="278"/>
      <c r="F128" s="278"/>
      <c r="G128" s="278"/>
      <c r="H128" s="278"/>
      <c r="I128" s="270" t="s">
        <v>115</v>
      </c>
      <c r="J128" s="270"/>
      <c r="K128" s="270"/>
      <c r="L128" s="270"/>
      <c r="M128" s="270"/>
      <c r="N128" s="270"/>
      <c r="O128" s="270"/>
      <c r="P128" s="270"/>
      <c r="Q128" s="270"/>
      <c r="R128" s="270"/>
      <c r="S128" s="270"/>
      <c r="T128" s="270"/>
      <c r="U128" s="270"/>
      <c r="V128" s="270"/>
      <c r="W128" s="270"/>
      <c r="X128" s="270"/>
      <c r="Y128" s="270"/>
      <c r="Z128" s="270"/>
      <c r="AA128" s="270"/>
      <c r="AB128" s="270"/>
      <c r="AC128" s="270"/>
      <c r="AD128" s="270"/>
      <c r="AE128" s="270"/>
      <c r="AF128" s="270"/>
      <c r="AG128" s="104"/>
    </row>
    <row r="129" spans="2:33" s="88" customFormat="1" ht="42" customHeight="1" x14ac:dyDescent="0.25">
      <c r="C129" s="280" t="s">
        <v>118</v>
      </c>
      <c r="D129" s="280"/>
      <c r="E129" s="280"/>
      <c r="F129" s="280"/>
      <c r="G129" s="280"/>
      <c r="H129" s="280"/>
      <c r="I129" s="270" t="s">
        <v>119</v>
      </c>
      <c r="J129" s="270"/>
      <c r="K129" s="270"/>
      <c r="L129" s="270"/>
      <c r="M129" s="270"/>
      <c r="N129" s="270"/>
      <c r="O129" s="270"/>
      <c r="P129" s="270"/>
      <c r="Q129" s="270"/>
      <c r="R129" s="270"/>
      <c r="S129" s="270"/>
      <c r="T129" s="270"/>
      <c r="U129" s="270"/>
      <c r="V129" s="270"/>
      <c r="W129" s="270"/>
      <c r="X129" s="270"/>
      <c r="Y129" s="270"/>
      <c r="Z129" s="270"/>
      <c r="AA129" s="270"/>
      <c r="AB129" s="270"/>
      <c r="AC129" s="270"/>
      <c r="AD129" s="270"/>
      <c r="AE129" s="270"/>
      <c r="AF129" s="270"/>
      <c r="AG129" s="105"/>
    </row>
    <row r="130" spans="2:33" s="79" customFormat="1" ht="63.75" customHeight="1" x14ac:dyDescent="0.35">
      <c r="C130" s="279" t="s">
        <v>116</v>
      </c>
      <c r="D130" s="279"/>
      <c r="E130" s="279"/>
      <c r="F130" s="279"/>
      <c r="G130" s="279"/>
      <c r="H130" s="279"/>
      <c r="I130" s="270" t="s">
        <v>117</v>
      </c>
      <c r="J130" s="270"/>
      <c r="K130" s="270"/>
      <c r="L130" s="270"/>
      <c r="M130" s="270"/>
      <c r="N130" s="270"/>
      <c r="O130" s="270"/>
      <c r="P130" s="270"/>
      <c r="Q130" s="270"/>
      <c r="R130" s="270"/>
      <c r="S130" s="270"/>
      <c r="T130" s="270"/>
      <c r="U130" s="270"/>
      <c r="V130" s="270"/>
      <c r="W130" s="270"/>
      <c r="X130" s="270"/>
      <c r="Y130" s="270"/>
      <c r="Z130" s="270"/>
      <c r="AA130" s="270"/>
      <c r="AB130" s="270"/>
      <c r="AC130" s="270"/>
      <c r="AD130" s="270"/>
      <c r="AE130" s="270"/>
      <c r="AF130" s="270"/>
      <c r="AG130" s="104"/>
    </row>
    <row r="131" spans="2:33" s="79" customFormat="1" x14ac:dyDescent="0.35"/>
    <row r="133" spans="2:33" ht="22.5" x14ac:dyDescent="0.45">
      <c r="C133" s="79"/>
      <c r="D133" s="79"/>
      <c r="E133" s="108" t="s">
        <v>188</v>
      </c>
      <c r="F133" s="79"/>
      <c r="G133" s="79"/>
      <c r="H133" s="79"/>
      <c r="I133" s="79"/>
    </row>
    <row r="134" spans="2:33" x14ac:dyDescent="0.35">
      <c r="C134" s="79"/>
      <c r="D134" s="79"/>
      <c r="E134" s="247"/>
      <c r="F134" s="248"/>
      <c r="G134" s="248"/>
      <c r="H134" s="248"/>
      <c r="I134" s="79"/>
    </row>
    <row r="135" spans="2:33" x14ac:dyDescent="0.35">
      <c r="C135" s="79"/>
      <c r="D135" s="79"/>
      <c r="E135" s="252" t="s">
        <v>130</v>
      </c>
      <c r="F135" s="253"/>
      <c r="G135" s="253"/>
      <c r="H135" s="253"/>
      <c r="I135" s="79"/>
    </row>
    <row r="136" spans="2:33" x14ac:dyDescent="0.35">
      <c r="C136" s="79"/>
      <c r="D136" s="79"/>
      <c r="E136" s="254" t="s">
        <v>131</v>
      </c>
      <c r="F136" s="255"/>
      <c r="G136" s="255"/>
      <c r="H136" s="255"/>
      <c r="I136" s="79"/>
    </row>
    <row r="137" spans="2:33" x14ac:dyDescent="0.35">
      <c r="C137" s="79"/>
      <c r="D137" s="79"/>
      <c r="E137" s="247"/>
      <c r="F137" s="248"/>
      <c r="G137" s="248"/>
      <c r="H137" s="248"/>
      <c r="I137" s="79"/>
    </row>
    <row r="140" spans="2:33" s="79" customFormat="1" ht="20" x14ac:dyDescent="0.35">
      <c r="B140" s="80" t="s">
        <v>234</v>
      </c>
    </row>
    <row r="141" spans="2:33" s="79" customFormat="1" x14ac:dyDescent="0.35"/>
    <row r="142" spans="2:33" s="79" customFormat="1" x14ac:dyDescent="0.35">
      <c r="B142" s="286" t="s">
        <v>111</v>
      </c>
      <c r="C142" s="286"/>
      <c r="D142" s="286"/>
      <c r="E142" s="286"/>
      <c r="F142" s="286"/>
      <c r="G142" s="286"/>
    </row>
    <row r="143" spans="2:33" s="79" customFormat="1" x14ac:dyDescent="0.35">
      <c r="B143" s="287" t="s">
        <v>120</v>
      </c>
      <c r="C143" s="287"/>
      <c r="D143" s="287"/>
      <c r="E143" s="287"/>
      <c r="F143" s="287"/>
      <c r="G143" s="287"/>
    </row>
    <row r="144" spans="2:33" s="79" customFormat="1" x14ac:dyDescent="0.35">
      <c r="B144" s="244" t="s">
        <v>121</v>
      </c>
      <c r="C144" s="244"/>
      <c r="D144" s="244"/>
      <c r="E144" s="244"/>
      <c r="F144" s="244"/>
      <c r="G144" s="244"/>
    </row>
    <row r="145" spans="1:34" s="79" customFormat="1" x14ac:dyDescent="0.35">
      <c r="B145" s="255" t="s">
        <v>122</v>
      </c>
      <c r="C145" s="255"/>
      <c r="D145" s="255"/>
      <c r="E145" s="255"/>
      <c r="F145" s="255"/>
      <c r="G145" s="255"/>
    </row>
    <row r="146" spans="1:34" s="79" customFormat="1" x14ac:dyDescent="0.35"/>
    <row r="147" spans="1:34" s="79" customFormat="1" x14ac:dyDescent="0.35"/>
    <row r="148" spans="1:34" s="79" customFormat="1" ht="20" x14ac:dyDescent="0.35">
      <c r="B148" s="80" t="s">
        <v>168</v>
      </c>
    </row>
    <row r="149" spans="1:34" x14ac:dyDescent="0.35">
      <c r="A149" s="68"/>
      <c r="B149" s="164"/>
      <c r="C149" s="164"/>
      <c r="D149" s="164"/>
      <c r="E149" s="164"/>
      <c r="F149" s="164"/>
      <c r="G149" s="164"/>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68"/>
      <c r="AH149" s="68"/>
    </row>
    <row r="150" spans="1:34" s="79" customFormat="1" ht="22.5" x14ac:dyDescent="0.45">
      <c r="C150" s="108" t="s">
        <v>168</v>
      </c>
      <c r="D150" s="109"/>
      <c r="M150" s="110" t="s">
        <v>181</v>
      </c>
    </row>
    <row r="151" spans="1:34" s="79" customFormat="1" x14ac:dyDescent="0.35">
      <c r="C151" s="247"/>
      <c r="D151" s="248"/>
      <c r="E151" s="248"/>
      <c r="F151" s="248"/>
      <c r="M151" s="247"/>
      <c r="N151" s="248"/>
      <c r="O151" s="248"/>
      <c r="P151" s="248"/>
      <c r="Q151" s="248"/>
      <c r="R151" s="248"/>
      <c r="S151" s="248"/>
      <c r="T151" s="248"/>
      <c r="U151" s="248"/>
      <c r="V151" s="248"/>
      <c r="W151" s="248"/>
      <c r="X151" s="248"/>
      <c r="Y151" s="248"/>
      <c r="Z151" s="248"/>
      <c r="AA151" s="248"/>
    </row>
    <row r="152" spans="1:34" s="79" customFormat="1" x14ac:dyDescent="0.35">
      <c r="C152" s="271" t="s">
        <v>169</v>
      </c>
      <c r="D152" s="272"/>
      <c r="E152" s="272"/>
      <c r="F152" s="272"/>
      <c r="M152" s="245" t="s">
        <v>182</v>
      </c>
      <c r="N152" s="246"/>
      <c r="O152" s="246"/>
      <c r="P152" s="246"/>
      <c r="Q152" s="246"/>
      <c r="R152" s="246"/>
      <c r="S152" s="246"/>
      <c r="T152" s="246"/>
      <c r="U152" s="246"/>
      <c r="V152" s="246"/>
      <c r="W152" s="246"/>
      <c r="X152" s="246"/>
      <c r="Y152" s="246"/>
      <c r="Z152" s="246"/>
      <c r="AA152" s="246"/>
    </row>
    <row r="153" spans="1:34" s="79" customFormat="1" x14ac:dyDescent="0.35">
      <c r="C153" s="284" t="s">
        <v>180</v>
      </c>
      <c r="D153" s="285"/>
      <c r="E153" s="285"/>
      <c r="F153" s="285"/>
      <c r="M153" s="245" t="s">
        <v>183</v>
      </c>
      <c r="N153" s="246"/>
      <c r="O153" s="246"/>
      <c r="P153" s="246"/>
      <c r="Q153" s="246"/>
      <c r="R153" s="246"/>
      <c r="S153" s="246"/>
      <c r="T153" s="246"/>
      <c r="U153" s="246"/>
      <c r="V153" s="246"/>
      <c r="W153" s="246"/>
      <c r="X153" s="246"/>
      <c r="Y153" s="246"/>
      <c r="Z153" s="246"/>
      <c r="AA153" s="246"/>
    </row>
    <row r="154" spans="1:34" s="79" customFormat="1" x14ac:dyDescent="0.35">
      <c r="C154" s="268" t="s">
        <v>184</v>
      </c>
      <c r="D154" s="269"/>
      <c r="E154" s="269"/>
      <c r="F154" s="269"/>
      <c r="M154" s="245" t="s">
        <v>185</v>
      </c>
      <c r="N154" s="246"/>
      <c r="O154" s="246"/>
      <c r="P154" s="246"/>
      <c r="Q154" s="246"/>
      <c r="R154" s="246"/>
      <c r="S154" s="246"/>
      <c r="T154" s="246"/>
      <c r="U154" s="246"/>
      <c r="V154" s="246"/>
      <c r="W154" s="246"/>
      <c r="X154" s="246"/>
      <c r="Y154" s="246"/>
      <c r="Z154" s="246"/>
      <c r="AA154" s="246"/>
    </row>
    <row r="155" spans="1:34" s="79" customFormat="1" x14ac:dyDescent="0.35">
      <c r="C155" s="247"/>
      <c r="D155" s="248"/>
      <c r="E155" s="248"/>
      <c r="F155" s="248"/>
      <c r="M155" s="245" t="s">
        <v>186</v>
      </c>
      <c r="N155" s="246"/>
      <c r="O155" s="246"/>
      <c r="P155" s="246"/>
      <c r="Q155" s="246"/>
      <c r="R155" s="246"/>
      <c r="S155" s="246"/>
      <c r="T155" s="246"/>
      <c r="U155" s="246"/>
      <c r="V155" s="246"/>
      <c r="W155" s="246"/>
      <c r="X155" s="246"/>
      <c r="Y155" s="246"/>
      <c r="Z155" s="246"/>
      <c r="AA155" s="246"/>
    </row>
    <row r="156" spans="1:34" s="79" customFormat="1" x14ac:dyDescent="0.35">
      <c r="C156" s="109"/>
      <c r="D156" s="109"/>
      <c r="M156" s="245" t="s">
        <v>187</v>
      </c>
      <c r="N156" s="246"/>
      <c r="O156" s="246"/>
      <c r="P156" s="246"/>
      <c r="Q156" s="246"/>
      <c r="R156" s="246"/>
      <c r="S156" s="246"/>
      <c r="T156" s="246"/>
      <c r="U156" s="246"/>
      <c r="V156" s="246"/>
      <c r="W156" s="246"/>
      <c r="X156" s="246"/>
      <c r="Y156" s="246"/>
      <c r="Z156" s="246"/>
      <c r="AA156" s="246"/>
    </row>
    <row r="157" spans="1:34" s="79" customFormat="1" x14ac:dyDescent="0.35">
      <c r="C157" s="109"/>
      <c r="D157" s="109"/>
      <c r="M157" s="247"/>
      <c r="N157" s="248"/>
      <c r="O157" s="248"/>
      <c r="P157" s="248"/>
      <c r="Q157" s="248"/>
      <c r="R157" s="248"/>
      <c r="S157" s="248"/>
      <c r="T157" s="248"/>
      <c r="U157" s="248"/>
      <c r="V157" s="248"/>
      <c r="W157" s="248"/>
      <c r="X157" s="248"/>
      <c r="Y157" s="248"/>
      <c r="Z157" s="248"/>
      <c r="AA157" s="248"/>
    </row>
    <row r="158" spans="1:34" s="79" customFormat="1" x14ac:dyDescent="0.35"/>
    <row r="159" spans="1:34" s="79" customFormat="1" x14ac:dyDescent="0.35"/>
  </sheetData>
  <mergeCells count="187">
    <mergeCell ref="B31:D31"/>
    <mergeCell ref="E31:H31"/>
    <mergeCell ref="I31:Q31"/>
    <mergeCell ref="R31:AF31"/>
    <mergeCell ref="A4:V4"/>
    <mergeCell ref="W4:AA4"/>
    <mergeCell ref="AB4:AG4"/>
    <mergeCell ref="A5:V5"/>
    <mergeCell ref="W5:AA5"/>
    <mergeCell ref="AB5:AG5"/>
    <mergeCell ref="A6:D6"/>
    <mergeCell ref="E6:V6"/>
    <mergeCell ref="W6:AA6"/>
    <mergeCell ref="AB6:AD6"/>
    <mergeCell ref="AE6:AG6"/>
    <mergeCell ref="A8:AG8"/>
    <mergeCell ref="A9:AG9"/>
    <mergeCell ref="B15:F15"/>
    <mergeCell ref="G15:AF15"/>
    <mergeCell ref="B16:F16"/>
    <mergeCell ref="G16:AF16"/>
    <mergeCell ref="G26:AF26"/>
    <mergeCell ref="G19:AF19"/>
    <mergeCell ref="G20:AF20"/>
    <mergeCell ref="B25:F25"/>
    <mergeCell ref="G25:AF25"/>
    <mergeCell ref="B26:F26"/>
    <mergeCell ref="G21:AF21"/>
    <mergeCell ref="B18:F21"/>
    <mergeCell ref="B22:F22"/>
    <mergeCell ref="G22:AF22"/>
    <mergeCell ref="B23:F23"/>
    <mergeCell ref="G23:AF23"/>
    <mergeCell ref="B24:F24"/>
    <mergeCell ref="G24:AF24"/>
    <mergeCell ref="B42:D42"/>
    <mergeCell ref="E42:X42"/>
    <mergeCell ref="Y42:AF42"/>
    <mergeCell ref="B43:D43"/>
    <mergeCell ref="A7:D7"/>
    <mergeCell ref="E7:V7"/>
    <mergeCell ref="W7:AA7"/>
    <mergeCell ref="AB7:AD7"/>
    <mergeCell ref="AE7:AG7"/>
    <mergeCell ref="B17:F17"/>
    <mergeCell ref="G17:AF17"/>
    <mergeCell ref="G18:AF18"/>
    <mergeCell ref="B32:D32"/>
    <mergeCell ref="E32:H32"/>
    <mergeCell ref="I32:Q32"/>
    <mergeCell ref="R32:AF32"/>
    <mergeCell ref="B29:D29"/>
    <mergeCell ref="E29:H29"/>
    <mergeCell ref="I29:Q29"/>
    <mergeCell ref="R29:AF29"/>
    <mergeCell ref="B30:D30"/>
    <mergeCell ref="E30:H30"/>
    <mergeCell ref="I30:Q30"/>
    <mergeCell ref="R30:AF30"/>
    <mergeCell ref="E40:X40"/>
    <mergeCell ref="Y40:AF40"/>
    <mergeCell ref="B41:D41"/>
    <mergeCell ref="E41:X41"/>
    <mergeCell ref="Y41:AF41"/>
    <mergeCell ref="B33:D33"/>
    <mergeCell ref="E33:H33"/>
    <mergeCell ref="I33:Q33"/>
    <mergeCell ref="R33:AF33"/>
    <mergeCell ref="B39:D39"/>
    <mergeCell ref="E39:X39"/>
    <mergeCell ref="Y39:AF39"/>
    <mergeCell ref="M157:AA157"/>
    <mergeCell ref="B78:H78"/>
    <mergeCell ref="I78:AF78"/>
    <mergeCell ref="B79:H79"/>
    <mergeCell ref="I79:AF79"/>
    <mergeCell ref="B57:G57"/>
    <mergeCell ref="H57:AF57"/>
    <mergeCell ref="B54:G54"/>
    <mergeCell ref="H54:AF54"/>
    <mergeCell ref="B55:G55"/>
    <mergeCell ref="H55:AF55"/>
    <mergeCell ref="B56:G56"/>
    <mergeCell ref="H56:AF56"/>
    <mergeCell ref="B111:H111"/>
    <mergeCell ref="I111:AF111"/>
    <mergeCell ref="M154:AA154"/>
    <mergeCell ref="M155:AA155"/>
    <mergeCell ref="B106:H106"/>
    <mergeCell ref="I106:AF106"/>
    <mergeCell ref="B107:H107"/>
    <mergeCell ref="I107:AF107"/>
    <mergeCell ref="B105:H105"/>
    <mergeCell ref="I105:AF105"/>
    <mergeCell ref="I75:AF75"/>
    <mergeCell ref="M156:AA156"/>
    <mergeCell ref="C154:F154"/>
    <mergeCell ref="C155:F155"/>
    <mergeCell ref="I128:AF128"/>
    <mergeCell ref="I130:AF130"/>
    <mergeCell ref="I129:AF129"/>
    <mergeCell ref="I123:AF123"/>
    <mergeCell ref="C151:F151"/>
    <mergeCell ref="C152:F152"/>
    <mergeCell ref="C125:H125"/>
    <mergeCell ref="C126:H126"/>
    <mergeCell ref="C128:H128"/>
    <mergeCell ref="C130:H130"/>
    <mergeCell ref="C129:H129"/>
    <mergeCell ref="I124:AF124"/>
    <mergeCell ref="I125:AF125"/>
    <mergeCell ref="I126:AF126"/>
    <mergeCell ref="B145:G145"/>
    <mergeCell ref="C127:H127"/>
    <mergeCell ref="I127:AF127"/>
    <mergeCell ref="E137:H137"/>
    <mergeCell ref="C153:F153"/>
    <mergeCell ref="B142:G142"/>
    <mergeCell ref="B143:G143"/>
    <mergeCell ref="B93:H93"/>
    <mergeCell ref="I93:AF93"/>
    <mergeCell ref="B91:H91"/>
    <mergeCell ref="I91:AF91"/>
    <mergeCell ref="B73:H73"/>
    <mergeCell ref="I73:AF73"/>
    <mergeCell ref="B74:H74"/>
    <mergeCell ref="B92:H92"/>
    <mergeCell ref="I92:AF92"/>
    <mergeCell ref="E49:X49"/>
    <mergeCell ref="Y49:AF49"/>
    <mergeCell ref="B52:G52"/>
    <mergeCell ref="H52:AF52"/>
    <mergeCell ref="B53:G53"/>
    <mergeCell ref="H53:AF53"/>
    <mergeCell ref="B47:D47"/>
    <mergeCell ref="E47:X47"/>
    <mergeCell ref="B76:H76"/>
    <mergeCell ref="I76:AF76"/>
    <mergeCell ref="E43:X43"/>
    <mergeCell ref="Y43:AF43"/>
    <mergeCell ref="B40:D40"/>
    <mergeCell ref="I74:AF74"/>
    <mergeCell ref="B75:H75"/>
    <mergeCell ref="I88:AF88"/>
    <mergeCell ref="B89:H89"/>
    <mergeCell ref="I89:AF89"/>
    <mergeCell ref="B90:H90"/>
    <mergeCell ref="I90:AF90"/>
    <mergeCell ref="B77:H77"/>
    <mergeCell ref="I77:AF77"/>
    <mergeCell ref="B88:H88"/>
    <mergeCell ref="Y47:AF47"/>
    <mergeCell ref="B48:D48"/>
    <mergeCell ref="E48:X48"/>
    <mergeCell ref="Y48:AF48"/>
    <mergeCell ref="B45:D45"/>
    <mergeCell ref="E45:X45"/>
    <mergeCell ref="Y45:AF45"/>
    <mergeCell ref="B46:D46"/>
    <mergeCell ref="E46:X46"/>
    <mergeCell ref="Y46:AF46"/>
    <mergeCell ref="B49:D49"/>
    <mergeCell ref="B144:G144"/>
    <mergeCell ref="M152:AA152"/>
    <mergeCell ref="M153:AA153"/>
    <mergeCell ref="M151:AA151"/>
    <mergeCell ref="E134:H134"/>
    <mergeCell ref="C123:H123"/>
    <mergeCell ref="C124:H124"/>
    <mergeCell ref="E135:H135"/>
    <mergeCell ref="E136:H136"/>
    <mergeCell ref="B94:H94"/>
    <mergeCell ref="I94:AF94"/>
    <mergeCell ref="B95:H95"/>
    <mergeCell ref="I95:AF95"/>
    <mergeCell ref="B112:H112"/>
    <mergeCell ref="I112:AF112"/>
    <mergeCell ref="B113:H113"/>
    <mergeCell ref="I113:AF113"/>
    <mergeCell ref="B108:H108"/>
    <mergeCell ref="I108:AF108"/>
    <mergeCell ref="B109:H109"/>
    <mergeCell ref="I109:AF109"/>
    <mergeCell ref="B110:H110"/>
    <mergeCell ref="I110:AF110"/>
    <mergeCell ref="B104:H104"/>
    <mergeCell ref="I104:AF104"/>
  </mergeCells>
  <hyperlinks>
    <hyperlink ref="H53" r:id="rId1" display="https://alvteams.alv.autoliv.int/sites/aeuaeequalityassurance/AEM%20Process%20wiki/acronyms.aspx" xr:uid="{49DA38EE-0A8D-4658-91C2-85C700B098F7}"/>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4">
    <tabColor theme="4" tint="0.59999389629810485"/>
  </sheetPr>
  <dimension ref="B1:F9"/>
  <sheetViews>
    <sheetView showGridLines="0" zoomScale="85" zoomScaleNormal="85" workbookViewId="0">
      <selection activeCell="B1" sqref="B1"/>
    </sheetView>
  </sheetViews>
  <sheetFormatPr defaultColWidth="11.453125" defaultRowHeight="12.5" zeroHeight="1" x14ac:dyDescent="0.25"/>
  <cols>
    <col min="1" max="1" width="11.453125" style="13" customWidth="1"/>
    <col min="2" max="2" width="196.453125" style="13" customWidth="1"/>
    <col min="3" max="3" width="16" style="13" customWidth="1"/>
    <col min="4" max="5" width="29.26953125" style="13" customWidth="1"/>
    <col min="6" max="16384" width="11.453125" style="13"/>
  </cols>
  <sheetData>
    <row r="1" spans="2:6" ht="246" x14ac:dyDescent="0.4">
      <c r="B1" s="44" t="s">
        <v>62</v>
      </c>
      <c r="C1" s="55" t="s">
        <v>63</v>
      </c>
    </row>
    <row r="2" spans="2:6" ht="15.75" customHeight="1" x14ac:dyDescent="0.25">
      <c r="B2" s="44"/>
      <c r="C2" s="44"/>
    </row>
    <row r="3" spans="2:6" ht="15.75" customHeight="1" x14ac:dyDescent="0.25">
      <c r="B3" s="44"/>
      <c r="C3" s="47"/>
      <c r="D3" s="48"/>
      <c r="E3" s="48"/>
      <c r="F3" s="49"/>
    </row>
    <row r="4" spans="2:6" ht="15.5" x14ac:dyDescent="0.35">
      <c r="C4" s="50"/>
      <c r="D4" s="56" t="s">
        <v>60</v>
      </c>
      <c r="E4" s="56" t="s">
        <v>61</v>
      </c>
      <c r="F4" s="51"/>
    </row>
    <row r="5" spans="2:6" x14ac:dyDescent="0.25">
      <c r="C5" s="50"/>
      <c r="D5" s="33"/>
      <c r="E5" s="33"/>
      <c r="F5" s="51"/>
    </row>
    <row r="6" spans="2:6" ht="21" x14ac:dyDescent="0.25">
      <c r="C6" s="50"/>
      <c r="D6" s="320" t="s">
        <v>57</v>
      </c>
      <c r="E6" s="321"/>
      <c r="F6" s="51"/>
    </row>
    <row r="7" spans="2:6" ht="18.5" x14ac:dyDescent="0.25">
      <c r="C7" s="50"/>
      <c r="D7" s="45" t="s">
        <v>58</v>
      </c>
      <c r="E7" s="46" t="s">
        <v>59</v>
      </c>
      <c r="F7" s="51"/>
    </row>
    <row r="8" spans="2:6" x14ac:dyDescent="0.25">
      <c r="C8" s="52"/>
      <c r="D8" s="53"/>
      <c r="E8" s="53"/>
      <c r="F8" s="54"/>
    </row>
    <row r="9" spans="2:6" x14ac:dyDescent="0.25"/>
  </sheetData>
  <mergeCells count="1">
    <mergeCell ref="D6:E6"/>
  </mergeCells>
  <phoneticPr fontId="9" type="noConversion"/>
  <pageMargins left="0.57999999999999996" right="0.59" top="0.51" bottom="0.51" header="0.23000000000000004" footer="0.22"/>
  <pageSetup paperSize="9" scale="92" orientation="landscape" r:id="rId1"/>
  <headerFooter alignWithMargins="0">
    <oddHeader>&amp;L&amp;"Arial,Gras"AUTOLIV ELECTRONIC EUROPE&amp;R&amp;8&amp;F
Sheet : &amp;A</oddHeader>
    <oddFooter>&amp;L&amp;8Documentary tie : S/W 029
Management / Archival storage : R-D / SW&amp;C&amp;"Arial,Italique"&amp;8Electronically transmitted documents are unsigned. 
However originals are signed and stored in Autoliv Electronic SAS&amp;R&amp;8AEF 0901 M t / A - Page &amp;P/&amp;N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tabColor theme="8" tint="0.59999389629810485"/>
  </sheetPr>
  <dimension ref="A1:E12"/>
  <sheetViews>
    <sheetView showGridLines="0" zoomScaleNormal="100" workbookViewId="0">
      <selection activeCell="C35" sqref="C35"/>
    </sheetView>
  </sheetViews>
  <sheetFormatPr defaultColWidth="11.453125" defaultRowHeight="12.5" x14ac:dyDescent="0.25"/>
  <cols>
    <col min="1" max="1" width="39.453125" bestFit="1" customWidth="1"/>
    <col min="2" max="2" width="16.7265625" customWidth="1"/>
    <col min="3" max="3" width="41.54296875" customWidth="1"/>
  </cols>
  <sheetData>
    <row r="1" spans="1:5" ht="21" x14ac:dyDescent="0.25">
      <c r="A1" s="322" t="s">
        <v>18</v>
      </c>
      <c r="B1" s="323"/>
      <c r="C1" s="323"/>
      <c r="D1" s="323"/>
      <c r="E1" s="14" t="s">
        <v>19</v>
      </c>
    </row>
    <row r="2" spans="1:5" s="15" customFormat="1" ht="18.5" x14ac:dyDescent="0.25">
      <c r="A2" s="45" t="s">
        <v>20</v>
      </c>
      <c r="B2" s="45" t="s">
        <v>21</v>
      </c>
      <c r="C2" s="45" t="s">
        <v>15</v>
      </c>
      <c r="D2" s="45" t="s">
        <v>16</v>
      </c>
    </row>
    <row r="3" spans="1:5" x14ac:dyDescent="0.25">
      <c r="A3" s="16" t="s">
        <v>22</v>
      </c>
      <c r="B3" s="16"/>
      <c r="C3" s="16" t="s">
        <v>23</v>
      </c>
      <c r="D3" s="16"/>
    </row>
    <row r="4" spans="1:5" x14ac:dyDescent="0.25">
      <c r="A4" s="16"/>
      <c r="B4" s="16"/>
      <c r="C4" s="16"/>
      <c r="D4" s="16"/>
    </row>
    <row r="5" spans="1:5" x14ac:dyDescent="0.25">
      <c r="A5" s="16"/>
      <c r="B5" s="16"/>
      <c r="C5" s="16"/>
      <c r="D5" s="16"/>
    </row>
    <row r="6" spans="1:5" x14ac:dyDescent="0.25">
      <c r="A6" s="16"/>
      <c r="B6" s="16"/>
      <c r="C6" s="16"/>
      <c r="D6" s="16"/>
    </row>
    <row r="7" spans="1:5" x14ac:dyDescent="0.25">
      <c r="A7" s="16"/>
      <c r="B7" s="16"/>
      <c r="C7" s="16"/>
      <c r="D7" s="16"/>
    </row>
    <row r="8" spans="1:5" x14ac:dyDescent="0.25">
      <c r="A8" s="16"/>
      <c r="B8" s="16"/>
      <c r="C8" s="16"/>
      <c r="D8" s="16"/>
    </row>
    <row r="9" spans="1:5" x14ac:dyDescent="0.25">
      <c r="A9" s="16"/>
      <c r="B9" s="16"/>
      <c r="C9" s="16"/>
      <c r="D9" s="16"/>
    </row>
    <row r="10" spans="1:5" ht="13" x14ac:dyDescent="0.3">
      <c r="A10" s="16"/>
      <c r="B10" s="36"/>
      <c r="C10" s="16"/>
      <c r="D10" s="16"/>
    </row>
    <row r="11" spans="1:5" x14ac:dyDescent="0.25">
      <c r="A11" s="16"/>
      <c r="B11" s="16"/>
      <c r="C11" s="16"/>
      <c r="D11" s="16"/>
    </row>
    <row r="12" spans="1:5" x14ac:dyDescent="0.25">
      <c r="A12" s="16"/>
      <c r="B12" s="16"/>
      <c r="C12" s="16"/>
      <c r="D12" s="16"/>
    </row>
  </sheetData>
  <mergeCells count="1">
    <mergeCell ref="A1:D1"/>
  </mergeCells>
  <phoneticPr fontId="9" type="noConversion"/>
  <pageMargins left="0.57999999999999996" right="0.6" top="0.51" bottom="0.51" header="0.23000000000000004" footer="0.22"/>
  <pageSetup paperSize="9" scale="90" orientation="landscape" r:id="rId1"/>
  <headerFooter alignWithMargins="0">
    <oddHeader>&amp;L&amp;"Arial,Gras"AUTOLIV ELECTRONIC EUROPE&amp;R&amp;8&amp;F
Sheet : &amp;A</oddHeader>
    <oddFooter>&amp;L&amp;8Documentary tie : S/W 029
Management / Archival storage : R-D / SW&amp;C&amp;"Arial,Italique"&amp;8Electronically transmitted documents are unsigned. 
However originals are signed and stored in Autoliv Electronic SAS&amp;R&amp;8AEF 0901 M t / A - Page &amp;P/&amp;N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8">
    <tabColor theme="4" tint="0.59999389629810485"/>
    <pageSetUpPr fitToPage="1"/>
  </sheetPr>
  <dimension ref="A1:H10"/>
  <sheetViews>
    <sheetView showGridLines="0" zoomScaleNormal="100" workbookViewId="0">
      <selection activeCell="E49" sqref="E49"/>
    </sheetView>
  </sheetViews>
  <sheetFormatPr defaultColWidth="11.453125" defaultRowHeight="12.5" x14ac:dyDescent="0.25"/>
  <cols>
    <col min="1" max="1" width="45.7265625" customWidth="1"/>
    <col min="2" max="3" width="15.26953125" customWidth="1"/>
    <col min="4" max="4" width="11.453125" customWidth="1"/>
    <col min="5" max="5" width="24.54296875" customWidth="1"/>
    <col min="6" max="7" width="11.453125" customWidth="1"/>
    <col min="8" max="8" width="30" customWidth="1"/>
  </cols>
  <sheetData>
    <row r="1" spans="1:8" ht="21" x14ac:dyDescent="0.25">
      <c r="A1" s="324" t="s">
        <v>24</v>
      </c>
      <c r="B1" s="325"/>
      <c r="C1" s="325"/>
      <c r="D1" s="325"/>
      <c r="E1" s="325"/>
      <c r="F1" s="14" t="s">
        <v>19</v>
      </c>
    </row>
    <row r="2" spans="1:8" ht="37" x14ac:dyDescent="0.25">
      <c r="A2" s="95" t="s">
        <v>15</v>
      </c>
      <c r="B2" s="96" t="s">
        <v>153</v>
      </c>
      <c r="C2" s="96" t="s">
        <v>25</v>
      </c>
      <c r="D2" s="96" t="s">
        <v>26</v>
      </c>
      <c r="E2" s="96" t="s">
        <v>189</v>
      </c>
    </row>
    <row r="3" spans="1:8" x14ac:dyDescent="0.25">
      <c r="A3" s="17"/>
      <c r="B3" s="18"/>
      <c r="C3" s="19"/>
      <c r="D3" s="142">
        <f ca="1">TODAY()</f>
        <v>44510</v>
      </c>
      <c r="E3" s="18"/>
    </row>
    <row r="4" spans="1:8" x14ac:dyDescent="0.25">
      <c r="A4" s="17"/>
      <c r="B4" s="18"/>
      <c r="C4" s="19"/>
      <c r="D4" s="142"/>
      <c r="E4" s="18"/>
    </row>
    <row r="5" spans="1:8" x14ac:dyDescent="0.25">
      <c r="A5" s="17"/>
      <c r="B5" s="18"/>
      <c r="C5" s="19"/>
      <c r="D5" s="142"/>
      <c r="E5" s="18"/>
    </row>
    <row r="6" spans="1:8" x14ac:dyDescent="0.25">
      <c r="A6" s="17"/>
      <c r="B6" s="18"/>
      <c r="C6" s="19"/>
      <c r="D6" s="142"/>
      <c r="E6" s="18"/>
    </row>
    <row r="7" spans="1:8" x14ac:dyDescent="0.25">
      <c r="A7" s="17"/>
      <c r="B7" s="18"/>
      <c r="C7" s="19"/>
      <c r="D7" s="142"/>
      <c r="E7" s="18"/>
    </row>
    <row r="8" spans="1:8" x14ac:dyDescent="0.25">
      <c r="A8" s="18"/>
      <c r="B8" s="18"/>
      <c r="C8" s="18"/>
      <c r="D8" s="142"/>
      <c r="E8" s="18"/>
      <c r="F8" s="20"/>
      <c r="G8" s="20"/>
      <c r="H8" s="20"/>
    </row>
    <row r="9" spans="1:8" x14ac:dyDescent="0.25">
      <c r="A9" s="16"/>
      <c r="B9" s="16"/>
      <c r="C9" s="16"/>
      <c r="D9" s="142"/>
      <c r="E9" s="16"/>
    </row>
    <row r="10" spans="1:8" ht="13" x14ac:dyDescent="0.3">
      <c r="B10" s="35"/>
    </row>
  </sheetData>
  <mergeCells count="1">
    <mergeCell ref="A1:E1"/>
  </mergeCells>
  <phoneticPr fontId="9" type="noConversion"/>
  <printOptions horizontalCentered="1"/>
  <pageMargins left="0.57999999999999996" right="0.6" top="0.51" bottom="0.51" header="0.23000000000000004" footer="0.22"/>
  <pageSetup paperSize="9" scale="85" orientation="portrait" r:id="rId1"/>
  <headerFooter alignWithMargins="0">
    <oddHeader>&amp;L&amp;"Arial,Gras"AUTOLIV ELECTRONIC EUROPE&amp;R&amp;8&amp;F
Sheet : &amp;A</oddHeader>
    <oddFooter>&amp;L&amp;8Documentary tie : S/W 029
Management / Archival storage : R-D / SW&amp;C&amp;"Arial,Italique"&amp;8Electronically transmitted documents are unsigned. 
However originals are signed and stored in Autoliv Electronic SAS&amp;R&amp;8AEF 0901 M t / A - Page &amp;P/&amp;N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B1A6B-4477-4398-A84A-7AEF8F5883C7}">
  <sheetPr codeName="Sheet8">
    <tabColor rgb="FF00B050"/>
  </sheetPr>
  <dimension ref="B1:X17"/>
  <sheetViews>
    <sheetView zoomScale="92" zoomScaleNormal="100" workbookViewId="0">
      <selection activeCell="N7" sqref="N7"/>
    </sheetView>
  </sheetViews>
  <sheetFormatPr defaultColWidth="9.1796875" defaultRowHeight="14.5" x14ac:dyDescent="0.25"/>
  <cols>
    <col min="1" max="1" width="5.7265625" style="93" customWidth="1"/>
    <col min="2" max="2" width="39.7265625" style="93" customWidth="1"/>
    <col min="3" max="3" width="12.7265625" style="93" customWidth="1"/>
    <col min="4" max="4" width="4.81640625" style="93" customWidth="1"/>
    <col min="5" max="5" width="5" style="93" customWidth="1"/>
    <col min="6" max="13" width="9.1796875" style="93"/>
    <col min="14" max="14" width="17" style="93" bestFit="1" customWidth="1"/>
    <col min="15" max="15" width="8.81640625" style="93" customWidth="1"/>
    <col min="16" max="16" width="17" style="93" bestFit="1" customWidth="1"/>
    <col min="17" max="16384" width="9.1796875" style="93"/>
  </cols>
  <sheetData>
    <row r="1" spans="2:24" ht="26" x14ac:dyDescent="0.25">
      <c r="B1" s="328" t="s">
        <v>241</v>
      </c>
      <c r="C1" s="329"/>
      <c r="D1" s="329"/>
      <c r="E1" s="329"/>
      <c r="F1" s="329"/>
      <c r="G1" s="329"/>
      <c r="H1" s="329"/>
      <c r="I1" s="329"/>
      <c r="J1" s="329"/>
      <c r="K1" s="329"/>
      <c r="L1" s="329"/>
    </row>
    <row r="2" spans="2:24" ht="21.75" customHeight="1" x14ac:dyDescent="0.25">
      <c r="B2" s="169" t="s">
        <v>242</v>
      </c>
      <c r="D2" s="141"/>
    </row>
    <row r="3" spans="2:24" ht="210.75" customHeight="1" x14ac:dyDescent="0.25">
      <c r="B3" s="330" t="str">
        <f>ROUNDDOWN(100*P17,0) &amp; "%" &amp;CHAR(10) &amp; "done"</f>
        <v>20%
done</v>
      </c>
      <c r="C3" s="331"/>
      <c r="D3" s="331"/>
      <c r="E3" s="331"/>
      <c r="F3" s="331"/>
      <c r="G3" s="331"/>
      <c r="H3" s="331"/>
      <c r="I3" s="331"/>
      <c r="J3" s="331"/>
      <c r="K3" s="331"/>
      <c r="L3" s="331"/>
    </row>
    <row r="4" spans="2:24" ht="20.25" customHeight="1" x14ac:dyDescent="0.25">
      <c r="D4" s="141"/>
    </row>
    <row r="5" spans="2:24" ht="227.25" customHeight="1" x14ac:dyDescent="0.25">
      <c r="B5" s="330"/>
      <c r="C5" s="330"/>
      <c r="E5" s="330"/>
      <c r="F5" s="330"/>
      <c r="G5" s="330"/>
      <c r="H5" s="330"/>
      <c r="I5" s="330"/>
      <c r="J5" s="330"/>
      <c r="K5" s="330"/>
      <c r="L5" s="330"/>
    </row>
    <row r="7" spans="2:24" ht="145.5" customHeight="1" x14ac:dyDescent="0.25">
      <c r="B7" s="332" t="s">
        <v>253</v>
      </c>
      <c r="C7" s="332"/>
      <c r="D7" s="332"/>
      <c r="E7" s="332"/>
      <c r="F7" s="332"/>
      <c r="G7" s="332"/>
      <c r="H7" s="332"/>
      <c r="I7" s="332"/>
      <c r="J7" s="332"/>
      <c r="K7" s="332"/>
      <c r="L7" s="332"/>
    </row>
    <row r="10" spans="2:24" ht="26" x14ac:dyDescent="0.25">
      <c r="B10" s="168"/>
      <c r="N10" s="326" t="s">
        <v>193</v>
      </c>
      <c r="O10" s="327"/>
      <c r="P10" s="327"/>
      <c r="Q10" s="327"/>
      <c r="R10" s="327"/>
      <c r="S10" s="327"/>
      <c r="T10" s="327"/>
      <c r="U10" s="327"/>
      <c r="V10" s="327"/>
      <c r="W10" s="327"/>
      <c r="X10" s="327"/>
    </row>
    <row r="12" spans="2:24" ht="29" x14ac:dyDescent="0.25">
      <c r="N12" s="133" t="s">
        <v>147</v>
      </c>
      <c r="O12" s="94" t="s">
        <v>130</v>
      </c>
      <c r="P12" s="94" t="s">
        <v>190</v>
      </c>
      <c r="Q12" s="94" t="s">
        <v>191</v>
      </c>
      <c r="R12" s="94" t="s">
        <v>192</v>
      </c>
    </row>
    <row r="13" spans="2:24" x14ac:dyDescent="0.25">
      <c r="N13" s="134" t="s">
        <v>149</v>
      </c>
      <c r="O13" s="136">
        <f>IFERROR((SUMIF(Column_MaturityDomainReq_InfoType,Text_Plan,Column_DESAvailability) + SUMIF(Column_MaturityDomainReq_InfoType,Text_Plan,Column_DESReview) ) / (COUNTIFS(Column_MaturityDomainReq_InfoType,Text_Plan,Column_DESAvailability,"&gt;=0") + COUNTIFS(Column_MaturityDomainReq_InfoType,Text_Plan,Column_DESReview,"&gt;=0") ), NA())</f>
        <v>1</v>
      </c>
      <c r="P13" s="135">
        <f>IFERROR((SUMIF(Column_MaturityDomainReq_InfoType,Text_Status,Column_DESAvailability) + SUMIF(Column_MaturityDomainReq_InfoType,Text_Status,Column_DESReview) ) / (COUNTIFS(Column_MaturityDomainReq_InfoType,Text_Status,Column_DESAvailability,"&gt;=0") + COUNTIFS(Column_MaturityDomainReq_InfoType,Text_Status,Column_DESReview,"&gt;=0") ), NA())</f>
        <v>0.5</v>
      </c>
      <c r="Q13" s="137">
        <f t="shared" ref="Q13:Q15" si="0">O13-P13</f>
        <v>0.5</v>
      </c>
      <c r="R13" s="183">
        <f>1-O13</f>
        <v>0</v>
      </c>
    </row>
    <row r="14" spans="2:24" x14ac:dyDescent="0.25">
      <c r="N14" s="134" t="s">
        <v>150</v>
      </c>
      <c r="O14" s="136">
        <f>IFERROR((SUMIF(Column_MaturityArchitecture_InfoType,Text_Plan,Column_SADAvailability) + SUMIF(Column_MaturityArchitecture_InfoType,Text_Plan,Column_SADReview) ) / (COUNTIFS(Column_MaturityArchitecture_InfoType,Text_Plan,Column_SADAvailability,"&gt;=0") + COUNTIFS(Column_MaturityArchitecture_InfoType,Text_Plan,Column_SADReview,"&gt;=0") ), NA())</f>
        <v>0.5</v>
      </c>
      <c r="P14" s="135">
        <f>IFERROR((SUMIF(Column_MaturityArchitecture_InfoType,Text_Status,Column_SADAvailability) + SUMIF(Column_MaturityArchitecture_InfoType,Text_Status,Column_SADReview) ) / (COUNTIFS(Column_MaturityArchitecture_InfoType,Text_Status,Column_SADAvailability,"&gt;=0") + COUNTIFS(Column_MaturityArchitecture_InfoType,Text_Status,Column_SADReview,"&gt;=0") ), NA())</f>
        <v>0.5</v>
      </c>
      <c r="Q14" s="137">
        <f t="shared" si="0"/>
        <v>0</v>
      </c>
      <c r="R14" s="183">
        <f t="shared" ref="R14:R17" si="1">1-O14</f>
        <v>0.5</v>
      </c>
    </row>
    <row r="15" spans="2:24" x14ac:dyDescent="0.25">
      <c r="N15" s="134" t="s">
        <v>151</v>
      </c>
      <c r="O15" s="136">
        <f>IFERROR((SUMIF(Column_MaturityDesignCode_InfoType,Text_Plan,Column_DDAvailability) + SUMIF(Column_MaturityDesignCode_InfoType,Text_Plan,Column_DDReview) ) / (COUNTIFS(Column_MaturityDesignCode_InfoType,Text_Plan,Column_DDAvailability,"&gt;=0") + COUNTIFS(Column_MaturityDesignCode_InfoType,Text_Plan,Column_DDReview,"&gt;=0") ), NA())</f>
        <v>0.46666666666666667</v>
      </c>
      <c r="P15" s="135">
        <f>IFERROR((SUMIF(Column_MaturityDesignCode_InfoType,Text_Status,Column_DDAvailability) + SUMIF(Column_MaturityDesignCode_InfoType,Text_Status,Column_DDReview) ) / (COUNTIFS(Column_MaturityDesignCode_InfoType,Text_Status,Column_DDAvailability,"&gt;=0") + COUNTIFS(Column_MaturityDesignCode_InfoType,Text_Status,Column_DDReview,"&gt;=0") ), NA())</f>
        <v>0</v>
      </c>
      <c r="Q15" s="137">
        <f t="shared" si="0"/>
        <v>0.46666666666666667</v>
      </c>
      <c r="R15" s="183">
        <f t="shared" si="1"/>
        <v>0.53333333333333333</v>
      </c>
    </row>
    <row r="16" spans="2:24" x14ac:dyDescent="0.25">
      <c r="N16" s="134" t="s">
        <v>152</v>
      </c>
      <c r="O16" s="136">
        <f>IFERROR((SUMIF(Column_MaturityDesignCode_InfoType,Text_Plan,Column_CodeAvailability) + SUMIF(Column_MaturityDesignCode_InfoType,Text_Plan,Column_CodeReview) ) / (COUNTIFS(Column_MaturityDesignCode_InfoType,Text_Plan,Column_CodeAvailability,"&gt;=0") + COUNTIFS(Column_MaturityDesignCode_InfoType,Text_Plan,Column_CodeReview,"&gt;=0") ), NA())</f>
        <v>0.63513513513513509</v>
      </c>
      <c r="P16" s="135">
        <f>IFERROR((SUMIF(Column_MaturityDesignCode_InfoType,Text_Status,Column_CodeAvailability) + SUMIF(Column_MaturityDesignCode_InfoType,Text_Status,Column_CodeReview) ) / (COUNTIFS(Column_MaturityDesignCode_InfoType,Text_Status,Column_CodeAvailability,"&gt;=0") + COUNTIFS(Column_MaturityDesignCode_InfoType,Text_Status,Column_CodeReview,"&gt;=0") ), NA())</f>
        <v>0</v>
      </c>
      <c r="Q16" s="137">
        <f>O16-P16</f>
        <v>0.63513513513513509</v>
      </c>
      <c r="R16" s="183">
        <f t="shared" si="1"/>
        <v>0.36486486486486491</v>
      </c>
    </row>
    <row r="17" spans="14:18" x14ac:dyDescent="0.25">
      <c r="N17" s="133" t="s">
        <v>148</v>
      </c>
      <c r="O17" s="138">
        <f>SUM(O13:O16)/5</f>
        <v>0.52036036036036037</v>
      </c>
      <c r="P17" s="139">
        <f>SUM(P13:P16)/5</f>
        <v>0.2</v>
      </c>
      <c r="Q17" s="140">
        <f>O17-P17</f>
        <v>0.32036036036036036</v>
      </c>
      <c r="R17" s="183">
        <f t="shared" si="1"/>
        <v>0.47963963963963963</v>
      </c>
    </row>
  </sheetData>
  <mergeCells count="6">
    <mergeCell ref="N10:X10"/>
    <mergeCell ref="B1:L1"/>
    <mergeCell ref="B3:L3"/>
    <mergeCell ref="B7:L7"/>
    <mergeCell ref="B5:C5"/>
    <mergeCell ref="E5:L5"/>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theme="7" tint="0.59999389629810485"/>
    <outlinePr summaryBelow="0" summaryRight="0"/>
    <pageSetUpPr fitToPage="1"/>
  </sheetPr>
  <dimension ref="A1:G50"/>
  <sheetViews>
    <sheetView showGridLines="0" zoomScaleNormal="100" workbookViewId="0">
      <selection activeCell="I34" sqref="I34"/>
    </sheetView>
  </sheetViews>
  <sheetFormatPr defaultColWidth="11.453125" defaultRowHeight="12.5" outlineLevelRow="1" x14ac:dyDescent="0.25"/>
  <cols>
    <col min="1" max="1" width="32.81640625" style="13" customWidth="1"/>
    <col min="2" max="2" width="40.1796875" style="21" customWidth="1"/>
    <col min="3" max="3" width="15.453125" style="21" customWidth="1"/>
    <col min="4" max="4" width="27" style="21" customWidth="1"/>
    <col min="5" max="5" width="30.1796875" style="21" customWidth="1"/>
    <col min="6" max="6" width="15.26953125" style="21" customWidth="1"/>
    <col min="7" max="16384" width="11.453125" style="21"/>
  </cols>
  <sheetData>
    <row r="1" spans="1:6" ht="20" x14ac:dyDescent="0.4">
      <c r="A1" s="333" t="s">
        <v>166</v>
      </c>
      <c r="B1" s="334"/>
      <c r="C1" s="334"/>
      <c r="D1" s="334"/>
      <c r="E1" s="334"/>
      <c r="F1" s="335"/>
    </row>
    <row r="2" spans="1:6" x14ac:dyDescent="0.25">
      <c r="A2" s="21"/>
    </row>
    <row r="3" spans="1:6" x14ac:dyDescent="0.25">
      <c r="A3" s="21"/>
    </row>
    <row r="4" spans="1:6" ht="15.5" x14ac:dyDescent="0.35">
      <c r="A4" s="357" t="s">
        <v>165</v>
      </c>
      <c r="B4" s="358"/>
      <c r="C4" s="358"/>
      <c r="D4" s="358"/>
      <c r="E4" s="358"/>
      <c r="F4" s="358"/>
    </row>
    <row r="5" spans="1:6" ht="13" outlineLevel="1" x14ac:dyDescent="0.25">
      <c r="A5" s="100" t="s">
        <v>51</v>
      </c>
      <c r="B5" s="349"/>
      <c r="C5" s="359"/>
      <c r="D5" s="359"/>
      <c r="E5" s="359"/>
      <c r="F5" s="350"/>
    </row>
    <row r="6" spans="1:6" ht="13" outlineLevel="1" x14ac:dyDescent="0.25">
      <c r="A6" s="100" t="s">
        <v>156</v>
      </c>
      <c r="B6" s="349"/>
      <c r="C6" s="359"/>
      <c r="D6" s="359"/>
      <c r="E6" s="359"/>
      <c r="F6" s="350"/>
    </row>
    <row r="7" spans="1:6" outlineLevel="1" x14ac:dyDescent="0.25">
      <c r="A7" s="22"/>
      <c r="B7" s="22"/>
      <c r="C7" s="22"/>
      <c r="D7" s="23"/>
      <c r="E7" s="23"/>
    </row>
    <row r="8" spans="1:6" x14ac:dyDescent="0.25">
      <c r="A8" s="22"/>
      <c r="B8" s="22"/>
      <c r="C8" s="22"/>
      <c r="D8" s="23"/>
      <c r="E8" s="23"/>
    </row>
    <row r="9" spans="1:6" s="13" customFormat="1" ht="15.5" x14ac:dyDescent="0.35">
      <c r="A9" s="347" t="s">
        <v>52</v>
      </c>
      <c r="B9" s="348"/>
      <c r="C9" s="348"/>
      <c r="D9" s="348"/>
      <c r="E9" s="348"/>
      <c r="F9" s="348"/>
    </row>
    <row r="10" spans="1:6" ht="12.75" customHeight="1" outlineLevel="1" x14ac:dyDescent="0.25">
      <c r="A10" s="24"/>
      <c r="B10" s="143" t="s">
        <v>161</v>
      </c>
      <c r="C10" s="360" t="s">
        <v>162</v>
      </c>
      <c r="D10" s="361"/>
      <c r="E10" s="362"/>
      <c r="F10" s="101" t="s">
        <v>163</v>
      </c>
    </row>
    <row r="11" spans="1:6" ht="12.75" customHeight="1" outlineLevel="1" x14ac:dyDescent="0.25">
      <c r="A11" s="346" t="s">
        <v>195</v>
      </c>
      <c r="B11" s="346"/>
      <c r="C11" s="346"/>
      <c r="D11" s="346"/>
      <c r="E11" s="346"/>
      <c r="F11" s="346"/>
    </row>
    <row r="12" spans="1:6" ht="13" outlineLevel="1" x14ac:dyDescent="0.25">
      <c r="A12" s="100" t="s">
        <v>196</v>
      </c>
      <c r="B12" s="98"/>
      <c r="C12" s="338"/>
      <c r="D12" s="339"/>
      <c r="E12" s="340"/>
      <c r="F12" s="28" t="s">
        <v>160</v>
      </c>
    </row>
    <row r="13" spans="1:6" ht="13" outlineLevel="1" x14ac:dyDescent="0.25">
      <c r="A13" s="100" t="s">
        <v>200</v>
      </c>
      <c r="B13" s="97"/>
      <c r="C13" s="338"/>
      <c r="D13" s="339"/>
      <c r="E13" s="340"/>
      <c r="F13" s="28" t="s">
        <v>160</v>
      </c>
    </row>
    <row r="14" spans="1:6" ht="13" outlineLevel="1" x14ac:dyDescent="0.25">
      <c r="A14" s="100" t="s">
        <v>27</v>
      </c>
      <c r="B14" s="97"/>
      <c r="C14" s="338"/>
      <c r="D14" s="339"/>
      <c r="E14" s="340"/>
      <c r="F14" s="28" t="s">
        <v>160</v>
      </c>
    </row>
    <row r="15" spans="1:6" ht="12.75" customHeight="1" outlineLevel="1" x14ac:dyDescent="0.25">
      <c r="A15" s="346" t="s">
        <v>197</v>
      </c>
      <c r="B15" s="346"/>
      <c r="C15" s="346"/>
      <c r="D15" s="346"/>
      <c r="E15" s="346"/>
      <c r="F15" s="346"/>
    </row>
    <row r="16" spans="1:6" ht="13" outlineLevel="1" x14ac:dyDescent="0.25">
      <c r="A16" s="100" t="s">
        <v>196</v>
      </c>
      <c r="B16" s="98"/>
      <c r="C16" s="338"/>
      <c r="D16" s="339"/>
      <c r="E16" s="340"/>
      <c r="F16" s="28" t="s">
        <v>160</v>
      </c>
    </row>
    <row r="17" spans="1:7" ht="13" outlineLevel="1" x14ac:dyDescent="0.25">
      <c r="A17" s="100" t="s">
        <v>200</v>
      </c>
      <c r="B17" s="97"/>
      <c r="C17" s="338"/>
      <c r="D17" s="339"/>
      <c r="E17" s="340"/>
      <c r="F17" s="28" t="s">
        <v>160</v>
      </c>
    </row>
    <row r="18" spans="1:7" ht="13" outlineLevel="1" x14ac:dyDescent="0.25">
      <c r="A18" s="100" t="s">
        <v>27</v>
      </c>
      <c r="B18" s="97"/>
      <c r="C18" s="338"/>
      <c r="D18" s="339"/>
      <c r="E18" s="340"/>
      <c r="F18" s="28" t="s">
        <v>160</v>
      </c>
    </row>
    <row r="19" spans="1:7" ht="13" outlineLevel="1" x14ac:dyDescent="0.25">
      <c r="A19" s="22"/>
      <c r="B19" s="22"/>
      <c r="C19" s="22"/>
      <c r="D19" s="24"/>
      <c r="E19" s="23"/>
    </row>
    <row r="20" spans="1:7" s="13" customFormat="1" ht="15.5" x14ac:dyDescent="0.35">
      <c r="A20" s="347" t="s">
        <v>198</v>
      </c>
      <c r="B20" s="348"/>
      <c r="C20" s="348"/>
      <c r="D20" s="348"/>
      <c r="E20" s="348"/>
      <c r="F20" s="348"/>
      <c r="G20" s="21"/>
    </row>
    <row r="21" spans="1:7" ht="12.75" customHeight="1" outlineLevel="1" x14ac:dyDescent="0.25">
      <c r="A21" s="24"/>
      <c r="B21" s="143" t="s">
        <v>161</v>
      </c>
      <c r="C21" s="360" t="s">
        <v>162</v>
      </c>
      <c r="D21" s="361"/>
      <c r="E21" s="362"/>
      <c r="F21" s="101" t="s">
        <v>163</v>
      </c>
    </row>
    <row r="22" spans="1:7" ht="13" outlineLevel="1" x14ac:dyDescent="0.25">
      <c r="A22" s="100" t="s">
        <v>201</v>
      </c>
      <c r="B22" s="98"/>
      <c r="C22" s="338"/>
      <c r="D22" s="339"/>
      <c r="E22" s="340"/>
      <c r="F22" s="28" t="s">
        <v>160</v>
      </c>
    </row>
    <row r="23" spans="1:7" ht="13" outlineLevel="1" x14ac:dyDescent="0.25">
      <c r="A23" s="100" t="s">
        <v>202</v>
      </c>
      <c r="B23" s="97"/>
      <c r="C23" s="338"/>
      <c r="D23" s="339"/>
      <c r="E23" s="340"/>
      <c r="F23" s="28" t="s">
        <v>160</v>
      </c>
    </row>
    <row r="24" spans="1:7" ht="13" outlineLevel="1" x14ac:dyDescent="0.25">
      <c r="A24" s="100" t="s">
        <v>199</v>
      </c>
      <c r="B24" s="97"/>
      <c r="C24" s="338"/>
      <c r="D24" s="339"/>
      <c r="E24" s="340"/>
      <c r="F24" s="28" t="s">
        <v>160</v>
      </c>
    </row>
    <row r="25" spans="1:7" ht="13" x14ac:dyDescent="0.25">
      <c r="A25" s="22"/>
      <c r="B25" s="22"/>
      <c r="C25" s="22"/>
      <c r="D25" s="24"/>
      <c r="E25" s="23"/>
    </row>
    <row r="26" spans="1:7" s="13" customFormat="1" ht="15.5" x14ac:dyDescent="0.35">
      <c r="A26" s="347" t="s">
        <v>232</v>
      </c>
      <c r="B26" s="348"/>
      <c r="C26" s="348"/>
      <c r="D26" s="348"/>
      <c r="E26" s="348"/>
      <c r="F26" s="348"/>
    </row>
    <row r="27" spans="1:7" outlineLevel="1" x14ac:dyDescent="0.25">
      <c r="A27" s="342" t="s">
        <v>194</v>
      </c>
      <c r="B27" s="343"/>
      <c r="C27" s="25" t="s">
        <v>28</v>
      </c>
      <c r="D27" s="25" t="s">
        <v>29</v>
      </c>
      <c r="E27" s="26" t="s">
        <v>30</v>
      </c>
    </row>
    <row r="28" spans="1:7" outlineLevel="1" x14ac:dyDescent="0.25">
      <c r="A28" s="344" t="s">
        <v>53</v>
      </c>
      <c r="B28" s="345"/>
      <c r="C28" s="37" t="s">
        <v>157</v>
      </c>
      <c r="D28" s="25"/>
      <c r="E28" s="26"/>
    </row>
    <row r="29" spans="1:7" ht="13" outlineLevel="1" x14ac:dyDescent="0.25">
      <c r="A29" s="336" t="s">
        <v>164</v>
      </c>
      <c r="B29" s="341"/>
      <c r="C29" s="337"/>
      <c r="D29" s="101" t="s">
        <v>66</v>
      </c>
      <c r="E29" s="101" t="s">
        <v>31</v>
      </c>
      <c r="F29" s="101" t="s">
        <v>163</v>
      </c>
    </row>
    <row r="30" spans="1:7" ht="13" outlineLevel="1" x14ac:dyDescent="0.25">
      <c r="A30" s="338" t="s">
        <v>158</v>
      </c>
      <c r="B30" s="339"/>
      <c r="C30" s="340"/>
      <c r="D30" s="27"/>
      <c r="E30" s="28"/>
      <c r="F30" s="28"/>
    </row>
    <row r="31" spans="1:7" ht="13" outlineLevel="1" x14ac:dyDescent="0.25">
      <c r="A31" s="338" t="s">
        <v>32</v>
      </c>
      <c r="B31" s="339"/>
      <c r="C31" s="340"/>
      <c r="D31" s="27"/>
      <c r="E31" s="28"/>
      <c r="F31" s="28"/>
    </row>
    <row r="32" spans="1:7" ht="13" outlineLevel="1" x14ac:dyDescent="0.25">
      <c r="A32" s="338" t="s">
        <v>33</v>
      </c>
      <c r="B32" s="339"/>
      <c r="C32" s="340"/>
      <c r="D32" s="27"/>
      <c r="E32" s="28"/>
      <c r="F32" s="28"/>
    </row>
    <row r="33" spans="1:6" ht="13" outlineLevel="1" x14ac:dyDescent="0.25">
      <c r="A33" s="338" t="s">
        <v>34</v>
      </c>
      <c r="B33" s="339"/>
      <c r="C33" s="340"/>
      <c r="D33" s="27"/>
      <c r="E33" s="28"/>
      <c r="F33" s="28"/>
    </row>
    <row r="34" spans="1:6" ht="13" outlineLevel="1" x14ac:dyDescent="0.25">
      <c r="A34" s="338" t="s">
        <v>35</v>
      </c>
      <c r="B34" s="339"/>
      <c r="C34" s="340"/>
      <c r="D34" s="27"/>
      <c r="E34" s="28"/>
      <c r="F34" s="28" t="s">
        <v>160</v>
      </c>
    </row>
    <row r="35" spans="1:6" ht="13" outlineLevel="1" x14ac:dyDescent="0.25">
      <c r="A35" s="338" t="s">
        <v>36</v>
      </c>
      <c r="B35" s="339"/>
      <c r="C35" s="340"/>
      <c r="D35" s="27"/>
      <c r="E35" s="28"/>
      <c r="F35" s="28" t="s">
        <v>37</v>
      </c>
    </row>
    <row r="36" spans="1:6" ht="13" outlineLevel="1" x14ac:dyDescent="0.25">
      <c r="A36" s="354" t="s">
        <v>38</v>
      </c>
      <c r="B36" s="355"/>
      <c r="C36" s="356"/>
      <c r="D36" s="27"/>
      <c r="E36" s="28"/>
      <c r="F36" s="28"/>
    </row>
    <row r="37" spans="1:6" outlineLevel="1" x14ac:dyDescent="0.25"/>
    <row r="39" spans="1:6" s="13" customFormat="1" ht="15.5" x14ac:dyDescent="0.35">
      <c r="A39" s="347" t="s">
        <v>155</v>
      </c>
      <c r="B39" s="348"/>
      <c r="C39" s="348"/>
      <c r="D39" s="348"/>
      <c r="E39" s="348"/>
      <c r="F39" s="348"/>
    </row>
    <row r="40" spans="1:6" ht="12.75" customHeight="1" outlineLevel="1" x14ac:dyDescent="0.25">
      <c r="A40" s="29"/>
      <c r="B40" s="30"/>
      <c r="C40" s="336" t="s">
        <v>162</v>
      </c>
      <c r="D40" s="341"/>
      <c r="E40" s="341"/>
      <c r="F40" s="341"/>
    </row>
    <row r="41" spans="1:6" outlineLevel="1" x14ac:dyDescent="0.25">
      <c r="A41" s="351" t="s">
        <v>154</v>
      </c>
      <c r="B41" s="353"/>
      <c r="C41" s="351"/>
      <c r="D41" s="352"/>
      <c r="E41" s="352"/>
      <c r="F41" s="353"/>
    </row>
    <row r="42" spans="1:6" outlineLevel="1" x14ac:dyDescent="0.25">
      <c r="A42" s="351"/>
      <c r="B42" s="353"/>
      <c r="C42" s="351"/>
      <c r="D42" s="352"/>
      <c r="E42" s="352"/>
      <c r="F42" s="353"/>
    </row>
    <row r="43" spans="1:6" outlineLevel="1" x14ac:dyDescent="0.25">
      <c r="A43" s="351"/>
      <c r="B43" s="353"/>
      <c r="C43" s="351"/>
      <c r="D43" s="352"/>
      <c r="E43" s="352"/>
      <c r="F43" s="353"/>
    </row>
    <row r="44" spans="1:6" ht="13" outlineLevel="1" x14ac:dyDescent="0.25">
      <c r="A44" s="22"/>
      <c r="B44" s="22"/>
      <c r="C44" s="22"/>
      <c r="D44" s="24"/>
      <c r="E44" s="23"/>
    </row>
    <row r="45" spans="1:6" ht="13" x14ac:dyDescent="0.25">
      <c r="A45" s="22"/>
      <c r="B45" s="22"/>
      <c r="C45" s="22"/>
      <c r="D45" s="24"/>
      <c r="E45" s="23"/>
    </row>
    <row r="46" spans="1:6" ht="15.5" x14ac:dyDescent="0.35">
      <c r="A46" s="347" t="s">
        <v>39</v>
      </c>
      <c r="B46" s="348"/>
      <c r="C46" s="348"/>
      <c r="D46" s="348"/>
      <c r="E46" s="348"/>
      <c r="F46" s="348"/>
    </row>
    <row r="47" spans="1:6" outlineLevel="1" x14ac:dyDescent="0.25">
      <c r="A47" s="31"/>
      <c r="B47" s="31"/>
      <c r="C47" s="31"/>
      <c r="D47" s="31"/>
      <c r="E47" s="31"/>
      <c r="F47" s="31"/>
    </row>
    <row r="48" spans="1:6" ht="13" outlineLevel="1" x14ac:dyDescent="0.25">
      <c r="A48" s="102" t="s">
        <v>40</v>
      </c>
      <c r="B48" s="336" t="s">
        <v>156</v>
      </c>
      <c r="C48" s="337"/>
      <c r="D48" s="336" t="s">
        <v>14</v>
      </c>
      <c r="E48" s="337"/>
      <c r="F48" s="102" t="s">
        <v>4</v>
      </c>
    </row>
    <row r="49" spans="1:6" outlineLevel="1" x14ac:dyDescent="0.25">
      <c r="A49" s="99" t="s">
        <v>41</v>
      </c>
      <c r="B49" s="349" t="s">
        <v>159</v>
      </c>
      <c r="C49" s="350"/>
      <c r="D49" s="349" t="s">
        <v>17</v>
      </c>
      <c r="E49" s="350"/>
      <c r="F49" s="99"/>
    </row>
    <row r="50" spans="1:6" outlineLevel="1" x14ac:dyDescent="0.25"/>
  </sheetData>
  <mergeCells count="43">
    <mergeCell ref="C16:E16"/>
    <mergeCell ref="C24:E24"/>
    <mergeCell ref="C18:E18"/>
    <mergeCell ref="A20:F20"/>
    <mergeCell ref="C21:E21"/>
    <mergeCell ref="C22:E22"/>
    <mergeCell ref="C17:E17"/>
    <mergeCell ref="C23:E23"/>
    <mergeCell ref="A4:F4"/>
    <mergeCell ref="B5:F5"/>
    <mergeCell ref="B6:F6"/>
    <mergeCell ref="C10:E10"/>
    <mergeCell ref="A9:F9"/>
    <mergeCell ref="A26:F26"/>
    <mergeCell ref="B49:C49"/>
    <mergeCell ref="D49:E49"/>
    <mergeCell ref="C43:F43"/>
    <mergeCell ref="C42:F42"/>
    <mergeCell ref="C40:F40"/>
    <mergeCell ref="C41:F41"/>
    <mergeCell ref="A46:F46"/>
    <mergeCell ref="A42:B42"/>
    <mergeCell ref="A43:B43"/>
    <mergeCell ref="A34:C34"/>
    <mergeCell ref="A35:C35"/>
    <mergeCell ref="A36:C36"/>
    <mergeCell ref="A41:B41"/>
    <mergeCell ref="A1:F1"/>
    <mergeCell ref="B48:C48"/>
    <mergeCell ref="D48:E48"/>
    <mergeCell ref="A30:C30"/>
    <mergeCell ref="A31:C31"/>
    <mergeCell ref="A32:C32"/>
    <mergeCell ref="C12:E12"/>
    <mergeCell ref="C13:E13"/>
    <mergeCell ref="A29:C29"/>
    <mergeCell ref="A27:B27"/>
    <mergeCell ref="A28:B28"/>
    <mergeCell ref="C14:E14"/>
    <mergeCell ref="A33:C33"/>
    <mergeCell ref="A11:F11"/>
    <mergeCell ref="A15:F15"/>
    <mergeCell ref="A39:F39"/>
  </mergeCells>
  <phoneticPr fontId="9" type="noConversion"/>
  <printOptions horizontalCentered="1"/>
  <pageMargins left="0.57999999999999996" right="0.6" top="0.51" bottom="0.51" header="0.23000000000000004" footer="0.22"/>
  <pageSetup paperSize="9" scale="80" orientation="portrait" horizontalDpi="1200" verticalDpi="1200" r:id="rId1"/>
  <headerFooter alignWithMargins="0">
    <oddHeader>&amp;L&amp;"Arial,Gras"AUTOLIV ELECTRONIC EUROPE&amp;R&amp;8&amp;F
Sheet : &amp;A</oddHeader>
    <oddFooter>&amp;L&amp;8Documentary tie : S/W 029
Management / Archival storage : R-D / SW&amp;C&amp;"Arial,Italique"&amp;8Electronically transmitted documents are unsigned. 
However originals are signed and stored in Autoliv Electronic SAS&amp;R&amp;8AEF 0901 M t / A - Page &amp;P/&amp;N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A5575-D30E-48F5-AA86-23F76DD883B6}">
  <sheetPr codeName="Feuil9">
    <tabColor theme="7" tint="0.59999389629810485"/>
    <outlinePr summaryBelow="0" summaryRight="0"/>
    <pageSetUpPr fitToPage="1"/>
  </sheetPr>
  <dimension ref="A1:G46"/>
  <sheetViews>
    <sheetView showGridLines="0" zoomScaleNormal="100" workbookViewId="0">
      <selection activeCell="H19" sqref="H19"/>
    </sheetView>
  </sheetViews>
  <sheetFormatPr defaultColWidth="11.453125" defaultRowHeight="12.5" outlineLevelRow="1" x14ac:dyDescent="0.25"/>
  <cols>
    <col min="1" max="1" width="32.81640625" style="13" customWidth="1"/>
    <col min="2" max="2" width="40.1796875" style="21" customWidth="1"/>
    <col min="3" max="3" width="15.453125" style="21" customWidth="1"/>
    <col min="4" max="4" width="27" style="21" customWidth="1"/>
    <col min="5" max="5" width="30.1796875" style="21" customWidth="1"/>
    <col min="6" max="6" width="15.26953125" style="21" customWidth="1"/>
    <col min="7" max="16384" width="11.453125" style="21"/>
  </cols>
  <sheetData>
    <row r="1" spans="1:7" ht="20" x14ac:dyDescent="0.4">
      <c r="A1" s="333" t="s">
        <v>167</v>
      </c>
      <c r="B1" s="334"/>
      <c r="C1" s="334"/>
      <c r="D1" s="334"/>
      <c r="E1" s="334"/>
      <c r="F1" s="335"/>
    </row>
    <row r="2" spans="1:7" x14ac:dyDescent="0.25">
      <c r="A2" s="21"/>
    </row>
    <row r="3" spans="1:7" x14ac:dyDescent="0.25">
      <c r="A3" s="21"/>
    </row>
    <row r="4" spans="1:7" ht="15.5" x14ac:dyDescent="0.35">
      <c r="A4" s="357" t="s">
        <v>165</v>
      </c>
      <c r="B4" s="358"/>
      <c r="C4" s="358"/>
      <c r="D4" s="358"/>
      <c r="E4" s="358"/>
      <c r="F4" s="358"/>
    </row>
    <row r="5" spans="1:7" ht="13" outlineLevel="1" x14ac:dyDescent="0.25">
      <c r="A5" s="100" t="s">
        <v>51</v>
      </c>
      <c r="B5" s="349"/>
      <c r="C5" s="359"/>
      <c r="D5" s="359"/>
      <c r="E5" s="359"/>
      <c r="F5" s="350"/>
    </row>
    <row r="6" spans="1:7" ht="13" outlineLevel="1" x14ac:dyDescent="0.25">
      <c r="A6" s="100" t="s">
        <v>156</v>
      </c>
      <c r="B6" s="349"/>
      <c r="C6" s="359"/>
      <c r="D6" s="359"/>
      <c r="E6" s="359"/>
      <c r="F6" s="350"/>
    </row>
    <row r="7" spans="1:7" outlineLevel="1" x14ac:dyDescent="0.25">
      <c r="A7" s="22"/>
      <c r="B7" s="22"/>
      <c r="C7" s="22"/>
      <c r="D7" s="23"/>
      <c r="E7" s="23"/>
    </row>
    <row r="8" spans="1:7" x14ac:dyDescent="0.25">
      <c r="A8" s="22"/>
      <c r="B8" s="22"/>
      <c r="C8" s="22"/>
      <c r="D8" s="23"/>
      <c r="E8" s="23"/>
    </row>
    <row r="9" spans="1:7" s="13" customFormat="1" ht="15.5" x14ac:dyDescent="0.35">
      <c r="A9" s="347" t="s">
        <v>52</v>
      </c>
      <c r="B9" s="348"/>
      <c r="C9" s="348"/>
      <c r="D9" s="348"/>
      <c r="E9" s="348"/>
      <c r="F9" s="348"/>
    </row>
    <row r="10" spans="1:7" ht="12.75" customHeight="1" outlineLevel="1" x14ac:dyDescent="0.25">
      <c r="A10" s="24"/>
      <c r="B10" s="143" t="s">
        <v>161</v>
      </c>
      <c r="C10" s="360" t="s">
        <v>162</v>
      </c>
      <c r="D10" s="361"/>
      <c r="E10" s="362"/>
      <c r="F10" s="144" t="s">
        <v>163</v>
      </c>
    </row>
    <row r="11" spans="1:7" ht="12.75" customHeight="1" outlineLevel="1" x14ac:dyDescent="0.25">
      <c r="A11" s="346" t="s">
        <v>195</v>
      </c>
      <c r="B11" s="346"/>
      <c r="C11" s="346"/>
      <c r="D11" s="346"/>
      <c r="E11" s="346"/>
      <c r="F11" s="346"/>
    </row>
    <row r="12" spans="1:7" ht="13" outlineLevel="1" x14ac:dyDescent="0.25">
      <c r="A12" s="100" t="s">
        <v>196</v>
      </c>
      <c r="B12" s="98"/>
      <c r="C12" s="338"/>
      <c r="D12" s="339"/>
      <c r="E12" s="340"/>
      <c r="F12" s="28" t="s">
        <v>160</v>
      </c>
    </row>
    <row r="13" spans="1:7" ht="13" outlineLevel="1" x14ac:dyDescent="0.25">
      <c r="A13" s="100" t="s">
        <v>200</v>
      </c>
      <c r="B13" s="97"/>
      <c r="C13" s="338"/>
      <c r="D13" s="339"/>
      <c r="E13" s="340"/>
      <c r="F13" s="28" t="s">
        <v>160</v>
      </c>
    </row>
    <row r="14" spans="1:7" ht="13" outlineLevel="1" x14ac:dyDescent="0.25">
      <c r="A14" s="100" t="s">
        <v>27</v>
      </c>
      <c r="B14" s="97"/>
      <c r="C14" s="338"/>
      <c r="D14" s="339"/>
      <c r="E14" s="340"/>
      <c r="F14" s="28" t="s">
        <v>160</v>
      </c>
    </row>
    <row r="15" spans="1:7" ht="13" outlineLevel="1" x14ac:dyDescent="0.25">
      <c r="A15" s="22"/>
      <c r="B15" s="22"/>
      <c r="C15" s="22"/>
      <c r="D15" s="24"/>
      <c r="E15" s="23"/>
    </row>
    <row r="16" spans="1:7" s="13" customFormat="1" ht="15.5" x14ac:dyDescent="0.35">
      <c r="A16" s="347" t="s">
        <v>231</v>
      </c>
      <c r="B16" s="348"/>
      <c r="C16" s="348"/>
      <c r="D16" s="348"/>
      <c r="E16" s="348"/>
      <c r="F16" s="348"/>
      <c r="G16" s="21"/>
    </row>
    <row r="17" spans="1:6" ht="12.75" customHeight="1" outlineLevel="1" x14ac:dyDescent="0.25">
      <c r="A17" s="24"/>
      <c r="B17" s="143" t="s">
        <v>161</v>
      </c>
      <c r="C17" s="360" t="s">
        <v>162</v>
      </c>
      <c r="D17" s="361"/>
      <c r="E17" s="362"/>
      <c r="F17" s="144" t="s">
        <v>163</v>
      </c>
    </row>
    <row r="18" spans="1:6" ht="13" outlineLevel="1" x14ac:dyDescent="0.25">
      <c r="A18" s="100" t="s">
        <v>201</v>
      </c>
      <c r="B18" s="98"/>
      <c r="C18" s="338"/>
      <c r="D18" s="339"/>
      <c r="E18" s="340"/>
      <c r="F18" s="28" t="s">
        <v>160</v>
      </c>
    </row>
    <row r="19" spans="1:6" ht="13" outlineLevel="1" x14ac:dyDescent="0.25">
      <c r="A19" s="100" t="s">
        <v>202</v>
      </c>
      <c r="B19" s="97"/>
      <c r="C19" s="338"/>
      <c r="D19" s="339"/>
      <c r="E19" s="340"/>
      <c r="F19" s="28" t="s">
        <v>160</v>
      </c>
    </row>
    <row r="20" spans="1:6" ht="13" outlineLevel="1" x14ac:dyDescent="0.25">
      <c r="A20" s="100" t="s">
        <v>199</v>
      </c>
      <c r="B20" s="97"/>
      <c r="C20" s="338"/>
      <c r="D20" s="339"/>
      <c r="E20" s="340"/>
      <c r="F20" s="28" t="s">
        <v>160</v>
      </c>
    </row>
    <row r="21" spans="1:6" ht="13" x14ac:dyDescent="0.25">
      <c r="A21" s="22"/>
      <c r="B21" s="22"/>
      <c r="C21" s="22"/>
      <c r="D21" s="24"/>
      <c r="E21" s="23"/>
    </row>
    <row r="22" spans="1:6" s="13" customFormat="1" ht="15.5" x14ac:dyDescent="0.35">
      <c r="A22" s="347" t="s">
        <v>232</v>
      </c>
      <c r="B22" s="348"/>
      <c r="C22" s="348"/>
      <c r="D22" s="348"/>
      <c r="E22" s="348"/>
      <c r="F22" s="348"/>
    </row>
    <row r="23" spans="1:6" outlineLevel="1" x14ac:dyDescent="0.25">
      <c r="A23" s="342" t="s">
        <v>194</v>
      </c>
      <c r="B23" s="343"/>
      <c r="C23" s="147" t="s">
        <v>28</v>
      </c>
      <c r="D23" s="147" t="s">
        <v>29</v>
      </c>
      <c r="E23" s="26" t="s">
        <v>30</v>
      </c>
    </row>
    <row r="24" spans="1:6" outlineLevel="1" x14ac:dyDescent="0.25">
      <c r="A24" s="344" t="s">
        <v>53</v>
      </c>
      <c r="B24" s="345"/>
      <c r="C24" s="146" t="s">
        <v>157</v>
      </c>
      <c r="D24" s="147"/>
      <c r="E24" s="26"/>
    </row>
    <row r="25" spans="1:6" ht="13" outlineLevel="1" x14ac:dyDescent="0.25">
      <c r="A25" s="336" t="s">
        <v>164</v>
      </c>
      <c r="B25" s="341"/>
      <c r="C25" s="337"/>
      <c r="D25" s="144" t="s">
        <v>66</v>
      </c>
      <c r="E25" s="144" t="s">
        <v>31</v>
      </c>
      <c r="F25" s="144" t="s">
        <v>163</v>
      </c>
    </row>
    <row r="26" spans="1:6" ht="13" outlineLevel="1" x14ac:dyDescent="0.25">
      <c r="A26" s="338" t="s">
        <v>158</v>
      </c>
      <c r="B26" s="339"/>
      <c r="C26" s="340"/>
      <c r="D26" s="27"/>
      <c r="E26" s="28"/>
      <c r="F26" s="28"/>
    </row>
    <row r="27" spans="1:6" ht="13" outlineLevel="1" x14ac:dyDescent="0.25">
      <c r="A27" s="338" t="s">
        <v>32</v>
      </c>
      <c r="B27" s="339"/>
      <c r="C27" s="340"/>
      <c r="D27" s="27"/>
      <c r="E27" s="28"/>
      <c r="F27" s="28"/>
    </row>
    <row r="28" spans="1:6" ht="13" outlineLevel="1" x14ac:dyDescent="0.25">
      <c r="A28" s="338" t="s">
        <v>33</v>
      </c>
      <c r="B28" s="339"/>
      <c r="C28" s="340"/>
      <c r="D28" s="27"/>
      <c r="E28" s="28"/>
      <c r="F28" s="28"/>
    </row>
    <row r="29" spans="1:6" ht="13" outlineLevel="1" x14ac:dyDescent="0.25">
      <c r="A29" s="338" t="s">
        <v>34</v>
      </c>
      <c r="B29" s="339"/>
      <c r="C29" s="340"/>
      <c r="D29" s="27"/>
      <c r="E29" s="28"/>
      <c r="F29" s="28"/>
    </row>
    <row r="30" spans="1:6" ht="13" outlineLevel="1" x14ac:dyDescent="0.25">
      <c r="A30" s="338" t="s">
        <v>35</v>
      </c>
      <c r="B30" s="339"/>
      <c r="C30" s="340"/>
      <c r="D30" s="27"/>
      <c r="E30" s="28"/>
      <c r="F30" s="28" t="s">
        <v>160</v>
      </c>
    </row>
    <row r="31" spans="1:6" ht="13" outlineLevel="1" x14ac:dyDescent="0.25">
      <c r="A31" s="338" t="s">
        <v>36</v>
      </c>
      <c r="B31" s="339"/>
      <c r="C31" s="340"/>
      <c r="D31" s="27"/>
      <c r="E31" s="28"/>
      <c r="F31" s="28" t="s">
        <v>37</v>
      </c>
    </row>
    <row r="32" spans="1:6" ht="13" outlineLevel="1" x14ac:dyDescent="0.25">
      <c r="A32" s="354" t="s">
        <v>38</v>
      </c>
      <c r="B32" s="355"/>
      <c r="C32" s="356"/>
      <c r="D32" s="27"/>
      <c r="E32" s="28"/>
      <c r="F32" s="28"/>
    </row>
    <row r="33" spans="1:6" outlineLevel="1" x14ac:dyDescent="0.25"/>
    <row r="35" spans="1:6" s="13" customFormat="1" ht="15.5" x14ac:dyDescent="0.35">
      <c r="A35" s="347" t="s">
        <v>155</v>
      </c>
      <c r="B35" s="348"/>
      <c r="C35" s="348"/>
      <c r="D35" s="348"/>
      <c r="E35" s="348"/>
      <c r="F35" s="348"/>
    </row>
    <row r="36" spans="1:6" ht="12.75" customHeight="1" outlineLevel="1" x14ac:dyDescent="0.25">
      <c r="A36" s="29"/>
      <c r="B36" s="30"/>
      <c r="C36" s="336" t="s">
        <v>162</v>
      </c>
      <c r="D36" s="341"/>
      <c r="E36" s="341"/>
      <c r="F36" s="341"/>
    </row>
    <row r="37" spans="1:6" outlineLevel="1" x14ac:dyDescent="0.25">
      <c r="A37" s="351" t="s">
        <v>154</v>
      </c>
      <c r="B37" s="353"/>
      <c r="C37" s="351"/>
      <c r="D37" s="352"/>
      <c r="E37" s="352"/>
      <c r="F37" s="353"/>
    </row>
    <row r="38" spans="1:6" outlineLevel="1" x14ac:dyDescent="0.25">
      <c r="A38" s="351"/>
      <c r="B38" s="353"/>
      <c r="C38" s="351"/>
      <c r="D38" s="352"/>
      <c r="E38" s="352"/>
      <c r="F38" s="353"/>
    </row>
    <row r="39" spans="1:6" outlineLevel="1" x14ac:dyDescent="0.25">
      <c r="A39" s="351"/>
      <c r="B39" s="353"/>
      <c r="C39" s="351"/>
      <c r="D39" s="352"/>
      <c r="E39" s="352"/>
      <c r="F39" s="353"/>
    </row>
    <row r="40" spans="1:6" ht="13" outlineLevel="1" x14ac:dyDescent="0.25">
      <c r="A40" s="22"/>
      <c r="B40" s="22"/>
      <c r="C40" s="22"/>
      <c r="D40" s="24"/>
      <c r="E40" s="23"/>
    </row>
    <row r="41" spans="1:6" ht="13" x14ac:dyDescent="0.25">
      <c r="A41" s="22"/>
      <c r="B41" s="22"/>
      <c r="C41" s="22"/>
      <c r="D41" s="24"/>
      <c r="E41" s="23"/>
    </row>
    <row r="42" spans="1:6" ht="15.5" x14ac:dyDescent="0.35">
      <c r="A42" s="347" t="s">
        <v>39</v>
      </c>
      <c r="B42" s="348"/>
      <c r="C42" s="348"/>
      <c r="D42" s="348"/>
      <c r="E42" s="348"/>
      <c r="F42" s="348"/>
    </row>
    <row r="43" spans="1:6" outlineLevel="1" x14ac:dyDescent="0.25">
      <c r="A43" s="31"/>
      <c r="B43" s="31"/>
      <c r="C43" s="31"/>
      <c r="D43" s="31"/>
      <c r="E43" s="31"/>
      <c r="F43" s="31"/>
    </row>
    <row r="44" spans="1:6" ht="13" outlineLevel="1" x14ac:dyDescent="0.25">
      <c r="A44" s="145" t="s">
        <v>40</v>
      </c>
      <c r="B44" s="336" t="s">
        <v>156</v>
      </c>
      <c r="C44" s="337"/>
      <c r="D44" s="336" t="s">
        <v>14</v>
      </c>
      <c r="E44" s="337"/>
      <c r="F44" s="145" t="s">
        <v>4</v>
      </c>
    </row>
    <row r="45" spans="1:6" outlineLevel="1" x14ac:dyDescent="0.25">
      <c r="A45" s="99" t="s">
        <v>41</v>
      </c>
      <c r="B45" s="349" t="s">
        <v>159</v>
      </c>
      <c r="C45" s="350"/>
      <c r="D45" s="349" t="s">
        <v>17</v>
      </c>
      <c r="E45" s="350"/>
      <c r="F45" s="99"/>
    </row>
    <row r="46" spans="1:6" outlineLevel="1" x14ac:dyDescent="0.25"/>
  </sheetData>
  <mergeCells count="39">
    <mergeCell ref="A11:F11"/>
    <mergeCell ref="C12:E12"/>
    <mergeCell ref="C13:E13"/>
    <mergeCell ref="C14:E14"/>
    <mergeCell ref="A1:F1"/>
    <mergeCell ref="A4:F4"/>
    <mergeCell ref="B5:F5"/>
    <mergeCell ref="B6:F6"/>
    <mergeCell ref="A9:F9"/>
    <mergeCell ref="C10:E10"/>
    <mergeCell ref="A26:C26"/>
    <mergeCell ref="A16:F16"/>
    <mergeCell ref="C17:E17"/>
    <mergeCell ref="C18:E18"/>
    <mergeCell ref="C19:E19"/>
    <mergeCell ref="C20:E20"/>
    <mergeCell ref="A22:F22"/>
    <mergeCell ref="A23:B23"/>
    <mergeCell ref="A24:B24"/>
    <mergeCell ref="A25:C25"/>
    <mergeCell ref="A27:C27"/>
    <mergeCell ref="A28:C28"/>
    <mergeCell ref="A29:C29"/>
    <mergeCell ref="A30:C30"/>
    <mergeCell ref="A31:C31"/>
    <mergeCell ref="B45:C45"/>
    <mergeCell ref="D45:E45"/>
    <mergeCell ref="A32:C32"/>
    <mergeCell ref="A35:F35"/>
    <mergeCell ref="C36:F36"/>
    <mergeCell ref="A37:B37"/>
    <mergeCell ref="C37:F37"/>
    <mergeCell ref="A38:B38"/>
    <mergeCell ref="C38:F38"/>
    <mergeCell ref="A39:B39"/>
    <mergeCell ref="C39:F39"/>
    <mergeCell ref="A42:F42"/>
    <mergeCell ref="B44:C44"/>
    <mergeCell ref="D44:E44"/>
  </mergeCells>
  <printOptions horizontalCentered="1"/>
  <pageMargins left="0.57999999999999996" right="0.6" top="0.51" bottom="0.51" header="0.23000000000000004" footer="0.22"/>
  <pageSetup paperSize="9" scale="80" orientation="portrait" horizontalDpi="1200" verticalDpi="1200" r:id="rId1"/>
  <headerFooter alignWithMargins="0">
    <oddHeader>&amp;L&amp;"Arial,Gras"AUTOLIV ELECTRONIC EUROPE&amp;R&amp;8&amp;F
Sheet : &amp;A</oddHeader>
    <oddFooter>&amp;L&amp;8Documentary tie : S/W 029
Management / Archival storage : R-D / SW&amp;C&amp;"Arial,Italique"&amp;8Electronically transmitted documents are unsigned. 
However originals are signed and stored in Autoliv Electronic SAS&amp;R&amp;8AEF 0901 M t / A - Page &amp;P/&amp;N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CE3B2-6305-48D9-B86B-D910A8DE2F1C}">
  <sheetPr codeName="Sheet40">
    <outlinePr summaryBelow="0" summaryRight="0"/>
  </sheetPr>
  <dimension ref="A1:T77"/>
  <sheetViews>
    <sheetView showGridLines="0" tabSelected="1" zoomScale="60" zoomScaleNormal="60" workbookViewId="0">
      <pane xSplit="1" ySplit="2" topLeftCell="B72" activePane="bottomRight" state="frozen"/>
      <selection activeCell="F54" sqref="F54:F55"/>
      <selection pane="topRight" activeCell="F54" sqref="F54:F55"/>
      <selection pane="bottomLeft" activeCell="F54" sqref="F54:F55"/>
      <selection pane="bottomRight" activeCell="Q20" sqref="Q20:Q21"/>
    </sheetView>
  </sheetViews>
  <sheetFormatPr defaultColWidth="10.453125" defaultRowHeight="14.5" outlineLevelCol="1" x14ac:dyDescent="0.35"/>
  <cols>
    <col min="1" max="1" width="12.81640625" style="115" customWidth="1"/>
    <col min="2" max="2" width="27.81640625" style="115" customWidth="1"/>
    <col min="3" max="3" width="19.54296875" style="103" customWidth="1"/>
    <col min="4" max="4" width="15.453125" style="103" bestFit="1" customWidth="1"/>
    <col min="5" max="5" width="14.26953125" style="103" customWidth="1" outlineLevel="1"/>
    <col min="6" max="6" width="18" style="103" bestFit="1" customWidth="1" outlineLevel="1"/>
    <col min="7" max="7" width="18" style="103" customWidth="1" outlineLevel="1"/>
    <col min="8" max="8" width="11.81640625" style="103" customWidth="1"/>
    <col min="9" max="9" width="10" style="103" customWidth="1"/>
    <col min="10" max="10" width="8.54296875" style="103" customWidth="1"/>
    <col min="11" max="11" width="17.7265625" style="103" customWidth="1"/>
    <col min="12" max="15" width="11.26953125" style="103" customWidth="1"/>
    <col min="16" max="16" width="10.453125" style="103" customWidth="1"/>
    <col min="17" max="17" width="20.36328125" style="103" customWidth="1"/>
    <col min="18" max="18" width="11.26953125" style="117" customWidth="1" outlineLevel="1"/>
    <col min="19" max="19" width="20.26953125" style="126" customWidth="1"/>
    <col min="20" max="21" width="10.453125" style="103" customWidth="1"/>
    <col min="22" max="16384" width="10.453125" style="103"/>
  </cols>
  <sheetData>
    <row r="1" spans="1:20" s="112" customFormat="1" ht="100.5" customHeight="1" x14ac:dyDescent="0.25">
      <c r="A1" s="96" t="s">
        <v>179</v>
      </c>
      <c r="B1" s="96" t="s">
        <v>15</v>
      </c>
      <c r="C1" s="96" t="s">
        <v>123</v>
      </c>
      <c r="D1" s="111" t="s">
        <v>168</v>
      </c>
      <c r="E1" s="111" t="s">
        <v>170</v>
      </c>
      <c r="F1" s="111" t="s">
        <v>150</v>
      </c>
      <c r="G1" s="111" t="s">
        <v>171</v>
      </c>
      <c r="H1" s="172" t="s">
        <v>81</v>
      </c>
      <c r="I1" s="173" t="s">
        <v>239</v>
      </c>
      <c r="J1" s="174" t="s">
        <v>240</v>
      </c>
      <c r="K1" s="175" t="s">
        <v>247</v>
      </c>
      <c r="L1" s="176" t="s">
        <v>104</v>
      </c>
      <c r="M1" s="177" t="s">
        <v>106</v>
      </c>
      <c r="N1" s="175" t="s">
        <v>237</v>
      </c>
      <c r="O1" s="178" t="s">
        <v>124</v>
      </c>
      <c r="P1" s="179" t="s">
        <v>125</v>
      </c>
      <c r="Q1" s="175" t="s">
        <v>238</v>
      </c>
      <c r="R1" s="180" t="s">
        <v>126</v>
      </c>
      <c r="S1" s="122" t="s">
        <v>144</v>
      </c>
    </row>
    <row r="2" spans="1:20" s="113" customFormat="1" ht="21" customHeight="1" x14ac:dyDescent="0.25">
      <c r="A2" s="398" t="s">
        <v>172</v>
      </c>
      <c r="B2" s="398"/>
      <c r="C2" s="398"/>
      <c r="D2" s="399" t="s">
        <v>173</v>
      </c>
      <c r="E2" s="399"/>
      <c r="F2" s="399"/>
      <c r="G2" s="400"/>
      <c r="H2" s="182"/>
      <c r="I2" s="395" t="s">
        <v>151</v>
      </c>
      <c r="J2" s="395"/>
      <c r="K2" s="395"/>
      <c r="L2" s="396" t="s">
        <v>248</v>
      </c>
      <c r="M2" s="396"/>
      <c r="N2" s="396"/>
      <c r="O2" s="397" t="s">
        <v>152</v>
      </c>
      <c r="P2" s="397"/>
      <c r="Q2" s="397"/>
      <c r="R2" s="181"/>
      <c r="S2" s="171"/>
    </row>
    <row r="3" spans="1:20" s="114" customFormat="1" ht="20.5" thickBot="1" x14ac:dyDescent="0.3">
      <c r="A3" s="106"/>
      <c r="B3" s="106" t="s">
        <v>174</v>
      </c>
      <c r="C3" s="106"/>
      <c r="D3" s="106"/>
      <c r="E3" s="106"/>
      <c r="F3" s="106"/>
      <c r="G3" s="106"/>
      <c r="H3" s="106"/>
      <c r="I3" s="106"/>
      <c r="J3" s="106"/>
      <c r="K3" s="106"/>
      <c r="L3" s="107"/>
      <c r="M3" s="107"/>
      <c r="N3" s="106"/>
      <c r="O3" s="107"/>
      <c r="P3" s="106"/>
      <c r="Q3" s="107"/>
      <c r="R3" s="107"/>
      <c r="S3" s="106"/>
      <c r="T3" s="201"/>
    </row>
    <row r="4" spans="1:20" ht="18.75" customHeight="1" x14ac:dyDescent="0.25">
      <c r="A4" s="373" t="s">
        <v>127</v>
      </c>
      <c r="B4" s="375" t="s">
        <v>128</v>
      </c>
      <c r="C4" s="375" t="s">
        <v>287</v>
      </c>
      <c r="D4" s="377" t="s">
        <v>180</v>
      </c>
      <c r="E4" s="363" t="s">
        <v>288</v>
      </c>
      <c r="F4" s="363" t="s">
        <v>177</v>
      </c>
      <c r="G4" s="365"/>
      <c r="H4" s="166" t="s">
        <v>130</v>
      </c>
      <c r="I4" s="123">
        <v>0.75</v>
      </c>
      <c r="J4" s="198" t="s">
        <v>118</v>
      </c>
      <c r="K4" s="123"/>
      <c r="L4" s="198" t="s">
        <v>118</v>
      </c>
      <c r="M4" s="198" t="s">
        <v>118</v>
      </c>
      <c r="N4" s="123"/>
      <c r="O4" s="123">
        <v>0.25</v>
      </c>
      <c r="P4" s="198" t="s">
        <v>118</v>
      </c>
      <c r="Q4" s="367"/>
      <c r="R4" s="369"/>
      <c r="S4" s="369"/>
    </row>
    <row r="5" spans="1:20" ht="19" thickBot="1" x14ac:dyDescent="0.3">
      <c r="A5" s="374"/>
      <c r="B5" s="376"/>
      <c r="C5" s="376"/>
      <c r="D5" s="378"/>
      <c r="E5" s="364"/>
      <c r="F5" s="364"/>
      <c r="G5" s="366"/>
      <c r="H5" s="167" t="s">
        <v>131</v>
      </c>
      <c r="I5" s="124">
        <v>0</v>
      </c>
      <c r="J5" s="124">
        <v>0</v>
      </c>
      <c r="K5" s="124"/>
      <c r="L5" s="124">
        <v>0</v>
      </c>
      <c r="M5" s="124">
        <v>0.5</v>
      </c>
      <c r="N5" s="124"/>
      <c r="O5" s="124">
        <v>0</v>
      </c>
      <c r="P5" s="124">
        <v>0</v>
      </c>
      <c r="Q5" s="368"/>
      <c r="R5" s="370"/>
      <c r="S5" s="370"/>
    </row>
    <row r="6" spans="1:20" ht="18.75" customHeight="1" thickBot="1" x14ac:dyDescent="0.3">
      <c r="A6" s="389" t="s">
        <v>281</v>
      </c>
      <c r="B6" s="391" t="s">
        <v>282</v>
      </c>
      <c r="C6" s="375" t="s">
        <v>287</v>
      </c>
      <c r="D6" s="393" t="s">
        <v>184</v>
      </c>
      <c r="E6" s="383" t="s">
        <v>118</v>
      </c>
      <c r="F6" s="383" t="s">
        <v>118</v>
      </c>
      <c r="G6" s="385"/>
      <c r="H6" s="166" t="s">
        <v>130</v>
      </c>
      <c r="I6" s="198" t="s">
        <v>118</v>
      </c>
      <c r="J6" s="198" t="s">
        <v>118</v>
      </c>
      <c r="K6" s="123"/>
      <c r="L6" s="198" t="s">
        <v>118</v>
      </c>
      <c r="M6" s="198" t="s">
        <v>118</v>
      </c>
      <c r="N6" s="123"/>
      <c r="O6" s="198" t="s">
        <v>118</v>
      </c>
      <c r="P6" s="198" t="s">
        <v>118</v>
      </c>
      <c r="Q6" s="367"/>
      <c r="R6" s="369"/>
      <c r="S6" s="387" t="s">
        <v>350</v>
      </c>
    </row>
    <row r="7" spans="1:20" ht="19" thickBot="1" x14ac:dyDescent="0.3">
      <c r="A7" s="390"/>
      <c r="B7" s="392"/>
      <c r="C7" s="376"/>
      <c r="D7" s="394"/>
      <c r="E7" s="384"/>
      <c r="F7" s="384"/>
      <c r="G7" s="386"/>
      <c r="H7" s="167" t="s">
        <v>131</v>
      </c>
      <c r="I7" s="199" t="s">
        <v>118</v>
      </c>
      <c r="J7" s="198" t="s">
        <v>118</v>
      </c>
      <c r="K7" s="124"/>
      <c r="L7" s="198" t="s">
        <v>118</v>
      </c>
      <c r="M7" s="198" t="s">
        <v>118</v>
      </c>
      <c r="N7" s="124"/>
      <c r="O7" s="198" t="s">
        <v>118</v>
      </c>
      <c r="P7" s="198" t="s">
        <v>118</v>
      </c>
      <c r="Q7" s="368"/>
      <c r="R7" s="370"/>
      <c r="S7" s="388"/>
    </row>
    <row r="8" spans="1:20" ht="18.75" customHeight="1" thickBot="1" x14ac:dyDescent="0.3">
      <c r="A8" s="389" t="s">
        <v>283</v>
      </c>
      <c r="B8" s="391" t="s">
        <v>284</v>
      </c>
      <c r="C8" s="375" t="s">
        <v>287</v>
      </c>
      <c r="D8" s="393" t="s">
        <v>184</v>
      </c>
      <c r="E8" s="383" t="s">
        <v>118</v>
      </c>
      <c r="F8" s="383" t="s">
        <v>118</v>
      </c>
      <c r="G8" s="385"/>
      <c r="H8" s="166" t="s">
        <v>130</v>
      </c>
      <c r="I8" s="198" t="s">
        <v>118</v>
      </c>
      <c r="J8" s="198" t="s">
        <v>118</v>
      </c>
      <c r="K8" s="123"/>
      <c r="L8" s="198" t="s">
        <v>118</v>
      </c>
      <c r="M8" s="198" t="s">
        <v>118</v>
      </c>
      <c r="N8" s="123"/>
      <c r="O8" s="198" t="s">
        <v>118</v>
      </c>
      <c r="P8" s="198" t="s">
        <v>118</v>
      </c>
      <c r="Q8" s="367"/>
      <c r="R8" s="369"/>
      <c r="S8" s="387" t="s">
        <v>350</v>
      </c>
    </row>
    <row r="9" spans="1:20" ht="19" thickBot="1" x14ac:dyDescent="0.3">
      <c r="A9" s="390"/>
      <c r="B9" s="392"/>
      <c r="C9" s="376"/>
      <c r="D9" s="394"/>
      <c r="E9" s="384"/>
      <c r="F9" s="384"/>
      <c r="G9" s="386"/>
      <c r="H9" s="167" t="s">
        <v>131</v>
      </c>
      <c r="I9" s="199" t="s">
        <v>118</v>
      </c>
      <c r="J9" s="198" t="s">
        <v>118</v>
      </c>
      <c r="K9" s="124"/>
      <c r="L9" s="198" t="s">
        <v>118</v>
      </c>
      <c r="M9" s="198" t="s">
        <v>118</v>
      </c>
      <c r="N9" s="124"/>
      <c r="O9" s="198" t="s">
        <v>118</v>
      </c>
      <c r="P9" s="198" t="s">
        <v>118</v>
      </c>
      <c r="Q9" s="368"/>
      <c r="R9" s="370"/>
      <c r="S9" s="388"/>
    </row>
    <row r="10" spans="1:20" s="114" customFormat="1" ht="20.5" thickBot="1" x14ac:dyDescent="0.3">
      <c r="A10" s="106"/>
      <c r="B10" s="106" t="s">
        <v>175</v>
      </c>
      <c r="C10" s="106"/>
      <c r="D10" s="106"/>
      <c r="E10" s="106"/>
      <c r="F10" s="106"/>
      <c r="G10" s="106"/>
      <c r="H10" s="106"/>
      <c r="I10" s="106"/>
      <c r="J10" s="106"/>
      <c r="K10" s="106"/>
      <c r="L10" s="107"/>
      <c r="M10" s="107"/>
      <c r="N10" s="106"/>
      <c r="O10" s="107"/>
      <c r="P10" s="106"/>
      <c r="Q10" s="107"/>
      <c r="R10" s="107"/>
      <c r="S10" s="106"/>
      <c r="T10" s="201"/>
    </row>
    <row r="11" spans="1:20" ht="18.75" customHeight="1" x14ac:dyDescent="0.25">
      <c r="A11" s="373" t="s">
        <v>285</v>
      </c>
      <c r="B11" s="375" t="s">
        <v>286</v>
      </c>
      <c r="C11" s="375" t="s">
        <v>129</v>
      </c>
      <c r="D11" s="377" t="s">
        <v>180</v>
      </c>
      <c r="E11" s="363" t="s">
        <v>288</v>
      </c>
      <c r="F11" s="363" t="s">
        <v>177</v>
      </c>
      <c r="G11" s="365"/>
      <c r="H11" s="166" t="s">
        <v>130</v>
      </c>
      <c r="I11" s="123">
        <v>1</v>
      </c>
      <c r="J11" s="198" t="s">
        <v>118</v>
      </c>
      <c r="K11" s="123"/>
      <c r="L11" s="198" t="s">
        <v>118</v>
      </c>
      <c r="M11" s="198" t="s">
        <v>118</v>
      </c>
      <c r="N11" s="123"/>
      <c r="O11" s="123">
        <v>1</v>
      </c>
      <c r="P11" s="123">
        <v>0.25</v>
      </c>
      <c r="Q11" s="367"/>
      <c r="R11" s="379" t="s">
        <v>307</v>
      </c>
      <c r="S11" s="371" t="s">
        <v>289</v>
      </c>
    </row>
    <row r="12" spans="1:20" ht="27" customHeight="1" thickBot="1" x14ac:dyDescent="0.3">
      <c r="A12" s="374"/>
      <c r="B12" s="376"/>
      <c r="C12" s="376"/>
      <c r="D12" s="378"/>
      <c r="E12" s="364"/>
      <c r="F12" s="364"/>
      <c r="G12" s="366"/>
      <c r="H12" s="167" t="s">
        <v>131</v>
      </c>
      <c r="I12" s="124" t="s">
        <v>118</v>
      </c>
      <c r="J12" s="124" t="s">
        <v>118</v>
      </c>
      <c r="K12" s="124"/>
      <c r="L12" s="124" t="s">
        <v>118</v>
      </c>
      <c r="M12" s="124" t="s">
        <v>118</v>
      </c>
      <c r="N12" s="124"/>
      <c r="O12" s="124" t="s">
        <v>118</v>
      </c>
      <c r="P12" s="124" t="s">
        <v>118</v>
      </c>
      <c r="Q12" s="368"/>
      <c r="R12" s="380"/>
      <c r="S12" s="372"/>
    </row>
    <row r="13" spans="1:20" ht="18.75" customHeight="1" x14ac:dyDescent="0.25">
      <c r="A13" s="373" t="s">
        <v>290</v>
      </c>
      <c r="B13" s="375" t="s">
        <v>291</v>
      </c>
      <c r="C13" s="375" t="s">
        <v>129</v>
      </c>
      <c r="D13" s="377" t="s">
        <v>180</v>
      </c>
      <c r="E13" s="363" t="s">
        <v>288</v>
      </c>
      <c r="F13" s="363" t="s">
        <v>177</v>
      </c>
      <c r="G13" s="365"/>
      <c r="H13" s="166" t="s">
        <v>130</v>
      </c>
      <c r="I13" s="198" t="s">
        <v>118</v>
      </c>
      <c r="J13" s="198" t="s">
        <v>118</v>
      </c>
      <c r="K13" s="123"/>
      <c r="L13" s="198" t="s">
        <v>118</v>
      </c>
      <c r="M13" s="198" t="s">
        <v>118</v>
      </c>
      <c r="N13" s="123"/>
      <c r="O13" s="123">
        <v>1</v>
      </c>
      <c r="P13" s="123">
        <v>0.25</v>
      </c>
      <c r="Q13" s="367"/>
      <c r="R13" s="369"/>
      <c r="S13" s="371" t="s">
        <v>289</v>
      </c>
    </row>
    <row r="14" spans="1:20" ht="27" customHeight="1" thickBot="1" x14ac:dyDescent="0.3">
      <c r="A14" s="374"/>
      <c r="B14" s="376"/>
      <c r="C14" s="376"/>
      <c r="D14" s="378"/>
      <c r="E14" s="364"/>
      <c r="F14" s="364"/>
      <c r="G14" s="366"/>
      <c r="H14" s="167" t="s">
        <v>131</v>
      </c>
      <c r="I14" s="124">
        <v>0</v>
      </c>
      <c r="J14" s="124">
        <v>0</v>
      </c>
      <c r="K14" s="124"/>
      <c r="L14" s="124">
        <v>0</v>
      </c>
      <c r="M14" s="124">
        <v>0</v>
      </c>
      <c r="N14" s="124"/>
      <c r="O14" s="124">
        <v>0</v>
      </c>
      <c r="P14" s="124">
        <v>0</v>
      </c>
      <c r="Q14" s="368"/>
      <c r="R14" s="370"/>
      <c r="S14" s="372"/>
    </row>
    <row r="15" spans="1:20" ht="18.75" customHeight="1" x14ac:dyDescent="0.25">
      <c r="A15" s="373" t="s">
        <v>292</v>
      </c>
      <c r="B15" s="375" t="s">
        <v>293</v>
      </c>
      <c r="C15" s="375" t="s">
        <v>129</v>
      </c>
      <c r="D15" s="377" t="s">
        <v>180</v>
      </c>
      <c r="E15" s="363" t="s">
        <v>288</v>
      </c>
      <c r="F15" s="363" t="s">
        <v>177</v>
      </c>
      <c r="G15" s="365"/>
      <c r="H15" s="166" t="s">
        <v>130</v>
      </c>
      <c r="I15" s="198" t="s">
        <v>118</v>
      </c>
      <c r="J15" s="198" t="s">
        <v>118</v>
      </c>
      <c r="K15" s="123"/>
      <c r="L15" s="198" t="s">
        <v>118</v>
      </c>
      <c r="M15" s="198" t="s">
        <v>118</v>
      </c>
      <c r="N15" s="123"/>
      <c r="O15" s="123">
        <v>1</v>
      </c>
      <c r="P15" s="123">
        <v>0</v>
      </c>
      <c r="Q15" s="367"/>
      <c r="R15" s="369"/>
      <c r="S15" s="371" t="s">
        <v>289</v>
      </c>
    </row>
    <row r="16" spans="1:20" ht="27" customHeight="1" thickBot="1" x14ac:dyDescent="0.3">
      <c r="A16" s="374"/>
      <c r="B16" s="376"/>
      <c r="C16" s="376"/>
      <c r="D16" s="378"/>
      <c r="E16" s="364"/>
      <c r="F16" s="364"/>
      <c r="G16" s="366"/>
      <c r="H16" s="167" t="s">
        <v>131</v>
      </c>
      <c r="I16" s="124">
        <v>0</v>
      </c>
      <c r="J16" s="124">
        <v>0</v>
      </c>
      <c r="K16" s="124"/>
      <c r="L16" s="124">
        <v>0</v>
      </c>
      <c r="M16" s="124">
        <v>0</v>
      </c>
      <c r="N16" s="124"/>
      <c r="O16" s="124">
        <v>0</v>
      </c>
      <c r="P16" s="124">
        <v>0</v>
      </c>
      <c r="Q16" s="368"/>
      <c r="R16" s="370"/>
      <c r="S16" s="372"/>
    </row>
    <row r="17" spans="1:20" s="114" customFormat="1" ht="20.5" thickBot="1" x14ac:dyDescent="0.3">
      <c r="A17" s="106"/>
      <c r="B17" s="106" t="s">
        <v>362</v>
      </c>
      <c r="C17" s="106"/>
      <c r="D17" s="106"/>
      <c r="E17" s="106"/>
      <c r="F17" s="106"/>
      <c r="G17" s="106"/>
      <c r="H17" s="106"/>
      <c r="I17" s="106"/>
      <c r="J17" s="106"/>
      <c r="K17" s="106"/>
      <c r="L17" s="107"/>
      <c r="M17" s="107"/>
      <c r="N17" s="106"/>
      <c r="O17" s="107"/>
      <c r="P17" s="106"/>
      <c r="Q17" s="107"/>
      <c r="R17" s="107"/>
      <c r="S17" s="106"/>
      <c r="T17" s="201"/>
    </row>
    <row r="18" spans="1:20" ht="18.75" customHeight="1" x14ac:dyDescent="0.25">
      <c r="A18" s="373" t="s">
        <v>294</v>
      </c>
      <c r="B18" s="375" t="s">
        <v>295</v>
      </c>
      <c r="C18" s="375" t="s">
        <v>296</v>
      </c>
      <c r="D18" s="377" t="s">
        <v>180</v>
      </c>
      <c r="E18" s="363" t="s">
        <v>288</v>
      </c>
      <c r="F18" s="363" t="s">
        <v>177</v>
      </c>
      <c r="G18" s="365"/>
      <c r="H18" s="166" t="s">
        <v>130</v>
      </c>
      <c r="I18" s="200">
        <v>0.75</v>
      </c>
      <c r="J18" s="198" t="s">
        <v>118</v>
      </c>
      <c r="K18" s="123"/>
      <c r="L18" s="200">
        <v>0.5</v>
      </c>
      <c r="M18" s="200">
        <v>0.5</v>
      </c>
      <c r="N18" s="123" t="s">
        <v>297</v>
      </c>
      <c r="O18" s="123">
        <v>1</v>
      </c>
      <c r="P18" s="123">
        <v>0</v>
      </c>
      <c r="Q18" s="367" t="s">
        <v>304</v>
      </c>
      <c r="R18" s="369"/>
      <c r="S18" s="371" t="s">
        <v>289</v>
      </c>
    </row>
    <row r="19" spans="1:20" ht="27" customHeight="1" thickBot="1" x14ac:dyDescent="0.3">
      <c r="A19" s="374"/>
      <c r="B19" s="376"/>
      <c r="C19" s="376"/>
      <c r="D19" s="378"/>
      <c r="E19" s="364"/>
      <c r="F19" s="364"/>
      <c r="G19" s="366"/>
      <c r="H19" s="167" t="s">
        <v>131</v>
      </c>
      <c r="I19" s="124">
        <v>0</v>
      </c>
      <c r="J19" s="124">
        <v>0</v>
      </c>
      <c r="K19" s="124"/>
      <c r="L19" s="124">
        <v>0</v>
      </c>
      <c r="M19" s="124">
        <v>0</v>
      </c>
      <c r="N19" s="124"/>
      <c r="O19" s="124">
        <v>0</v>
      </c>
      <c r="P19" s="124">
        <v>0</v>
      </c>
      <c r="Q19" s="368"/>
      <c r="R19" s="370"/>
      <c r="S19" s="372"/>
    </row>
    <row r="20" spans="1:20" ht="18.75" customHeight="1" x14ac:dyDescent="0.25">
      <c r="A20" s="373" t="s">
        <v>371</v>
      </c>
      <c r="B20" s="375" t="s">
        <v>372</v>
      </c>
      <c r="C20" s="375" t="s">
        <v>296</v>
      </c>
      <c r="D20" s="377" t="s">
        <v>180</v>
      </c>
      <c r="E20" s="363" t="s">
        <v>288</v>
      </c>
      <c r="F20" s="363" t="s">
        <v>177</v>
      </c>
      <c r="G20" s="365"/>
      <c r="H20" s="166" t="s">
        <v>130</v>
      </c>
      <c r="I20" s="200">
        <v>0.75</v>
      </c>
      <c r="J20" s="198" t="s">
        <v>118</v>
      </c>
      <c r="K20" s="123"/>
      <c r="L20" s="200">
        <v>0.5</v>
      </c>
      <c r="M20" s="200">
        <v>0.5</v>
      </c>
      <c r="N20" s="123" t="s">
        <v>297</v>
      </c>
      <c r="O20" s="123">
        <v>1</v>
      </c>
      <c r="P20" s="123">
        <v>0</v>
      </c>
      <c r="Q20" s="367" t="s">
        <v>304</v>
      </c>
      <c r="R20" s="369"/>
      <c r="S20" s="371" t="s">
        <v>289</v>
      </c>
    </row>
    <row r="21" spans="1:20" ht="27" customHeight="1" thickBot="1" x14ac:dyDescent="0.3">
      <c r="A21" s="374"/>
      <c r="B21" s="376"/>
      <c r="C21" s="376"/>
      <c r="D21" s="378"/>
      <c r="E21" s="364"/>
      <c r="F21" s="364"/>
      <c r="G21" s="366"/>
      <c r="H21" s="167" t="s">
        <v>131</v>
      </c>
      <c r="I21" s="124">
        <v>0</v>
      </c>
      <c r="J21" s="124">
        <v>0</v>
      </c>
      <c r="K21" s="124"/>
      <c r="L21" s="124">
        <v>0</v>
      </c>
      <c r="M21" s="124">
        <v>0</v>
      </c>
      <c r="N21" s="124"/>
      <c r="O21" s="124">
        <v>0</v>
      </c>
      <c r="P21" s="124">
        <v>0</v>
      </c>
      <c r="Q21" s="368"/>
      <c r="R21" s="370"/>
      <c r="S21" s="372"/>
    </row>
    <row r="22" spans="1:20" ht="18.75" customHeight="1" x14ac:dyDescent="0.25">
      <c r="A22" s="373" t="s">
        <v>298</v>
      </c>
      <c r="B22" s="375" t="s">
        <v>299</v>
      </c>
      <c r="C22" s="375" t="s">
        <v>296</v>
      </c>
      <c r="D22" s="377" t="s">
        <v>180</v>
      </c>
      <c r="E22" s="363" t="s">
        <v>288</v>
      </c>
      <c r="F22" s="363" t="s">
        <v>177</v>
      </c>
      <c r="G22" s="365"/>
      <c r="H22" s="166" t="s">
        <v>130</v>
      </c>
      <c r="I22" s="198" t="s">
        <v>118</v>
      </c>
      <c r="J22" s="198" t="s">
        <v>118</v>
      </c>
      <c r="K22" s="123"/>
      <c r="L22" s="198" t="s">
        <v>118</v>
      </c>
      <c r="M22" s="198" t="s">
        <v>118</v>
      </c>
      <c r="N22" s="123"/>
      <c r="O22" s="198" t="s">
        <v>118</v>
      </c>
      <c r="P22" s="198" t="s">
        <v>118</v>
      </c>
      <c r="Q22" s="367"/>
      <c r="R22" s="369"/>
      <c r="S22" s="367" t="s">
        <v>300</v>
      </c>
    </row>
    <row r="23" spans="1:20" ht="27" customHeight="1" thickBot="1" x14ac:dyDescent="0.3">
      <c r="A23" s="374"/>
      <c r="B23" s="376"/>
      <c r="C23" s="376"/>
      <c r="D23" s="378"/>
      <c r="E23" s="364"/>
      <c r="F23" s="364"/>
      <c r="G23" s="366"/>
      <c r="H23" s="167" t="s">
        <v>131</v>
      </c>
      <c r="I23" s="124" t="s">
        <v>118</v>
      </c>
      <c r="J23" s="124" t="s">
        <v>118</v>
      </c>
      <c r="K23" s="124"/>
      <c r="L23" s="124" t="s">
        <v>118</v>
      </c>
      <c r="M23" s="124" t="s">
        <v>118</v>
      </c>
      <c r="N23" s="124"/>
      <c r="O23" s="124" t="s">
        <v>118</v>
      </c>
      <c r="P23" s="124" t="s">
        <v>118</v>
      </c>
      <c r="Q23" s="368"/>
      <c r="R23" s="370"/>
      <c r="S23" s="368"/>
    </row>
    <row r="24" spans="1:20" ht="18.75" customHeight="1" x14ac:dyDescent="0.25">
      <c r="A24" s="373" t="s">
        <v>301</v>
      </c>
      <c r="B24" s="375" t="s">
        <v>302</v>
      </c>
      <c r="C24" s="375" t="s">
        <v>296</v>
      </c>
      <c r="D24" s="377" t="s">
        <v>180</v>
      </c>
      <c r="E24" s="363" t="s">
        <v>288</v>
      </c>
      <c r="F24" s="363" t="s">
        <v>177</v>
      </c>
      <c r="G24" s="365"/>
      <c r="H24" s="166" t="s">
        <v>130</v>
      </c>
      <c r="I24" s="200">
        <v>0.75</v>
      </c>
      <c r="J24" s="198" t="s">
        <v>118</v>
      </c>
      <c r="K24" s="123"/>
      <c r="L24" s="200">
        <v>0.5</v>
      </c>
      <c r="M24" s="200">
        <v>0.5</v>
      </c>
      <c r="N24" s="123" t="s">
        <v>297</v>
      </c>
      <c r="O24" s="123">
        <v>1</v>
      </c>
      <c r="P24" s="123" t="s">
        <v>118</v>
      </c>
      <c r="Q24" s="367" t="s">
        <v>304</v>
      </c>
      <c r="R24" s="379" t="s">
        <v>307</v>
      </c>
      <c r="S24" s="371" t="s">
        <v>303</v>
      </c>
    </row>
    <row r="25" spans="1:20" ht="45.5" customHeight="1" thickBot="1" x14ac:dyDescent="0.3">
      <c r="A25" s="374"/>
      <c r="B25" s="376"/>
      <c r="C25" s="376"/>
      <c r="D25" s="378"/>
      <c r="E25" s="364"/>
      <c r="F25" s="364"/>
      <c r="G25" s="366"/>
      <c r="H25" s="167" t="s">
        <v>131</v>
      </c>
      <c r="I25" s="124" t="s">
        <v>118</v>
      </c>
      <c r="J25" s="124" t="s">
        <v>118</v>
      </c>
      <c r="K25" s="124"/>
      <c r="L25" s="124" t="s">
        <v>118</v>
      </c>
      <c r="M25" s="124" t="s">
        <v>118</v>
      </c>
      <c r="N25" s="124"/>
      <c r="O25" s="124" t="s">
        <v>118</v>
      </c>
      <c r="P25" s="124" t="s">
        <v>118</v>
      </c>
      <c r="Q25" s="368"/>
      <c r="R25" s="380"/>
      <c r="S25" s="372"/>
    </row>
    <row r="26" spans="1:20" ht="18.75" customHeight="1" x14ac:dyDescent="0.25">
      <c r="A26" s="373" t="s">
        <v>305</v>
      </c>
      <c r="B26" s="375" t="s">
        <v>306</v>
      </c>
      <c r="C26" s="375" t="s">
        <v>296</v>
      </c>
      <c r="D26" s="377" t="s">
        <v>180</v>
      </c>
      <c r="E26" s="363" t="s">
        <v>288</v>
      </c>
      <c r="F26" s="363" t="s">
        <v>177</v>
      </c>
      <c r="G26" s="365"/>
      <c r="H26" s="166" t="s">
        <v>130</v>
      </c>
      <c r="I26" s="198" t="s">
        <v>118</v>
      </c>
      <c r="J26" s="198" t="s">
        <v>118</v>
      </c>
      <c r="K26" s="123"/>
      <c r="L26" s="198" t="s">
        <v>118</v>
      </c>
      <c r="M26" s="198" t="s">
        <v>118</v>
      </c>
      <c r="N26" s="123"/>
      <c r="O26" s="123">
        <v>1</v>
      </c>
      <c r="P26" s="198" t="s">
        <v>118</v>
      </c>
      <c r="Q26" s="367"/>
      <c r="R26" s="381"/>
      <c r="S26" s="371" t="s">
        <v>303</v>
      </c>
    </row>
    <row r="27" spans="1:20" ht="45.5" customHeight="1" thickBot="1" x14ac:dyDescent="0.3">
      <c r="A27" s="374"/>
      <c r="B27" s="376"/>
      <c r="C27" s="376"/>
      <c r="D27" s="378"/>
      <c r="E27" s="364"/>
      <c r="F27" s="364"/>
      <c r="G27" s="366"/>
      <c r="H27" s="167" t="s">
        <v>131</v>
      </c>
      <c r="I27" s="124">
        <v>0</v>
      </c>
      <c r="J27" s="124">
        <v>0</v>
      </c>
      <c r="K27" s="124"/>
      <c r="L27" s="124">
        <v>0</v>
      </c>
      <c r="M27" s="124">
        <v>0</v>
      </c>
      <c r="N27" s="124"/>
      <c r="O27" s="124">
        <v>0</v>
      </c>
      <c r="P27" s="124">
        <v>0</v>
      </c>
      <c r="Q27" s="368"/>
      <c r="R27" s="382"/>
      <c r="S27" s="372"/>
    </row>
    <row r="28" spans="1:20" ht="18.5" customHeight="1" x14ac:dyDescent="0.25">
      <c r="A28" s="373" t="s">
        <v>308</v>
      </c>
      <c r="B28" s="375" t="s">
        <v>309</v>
      </c>
      <c r="C28" s="375" t="s">
        <v>296</v>
      </c>
      <c r="D28" s="377" t="s">
        <v>180</v>
      </c>
      <c r="E28" s="363" t="s">
        <v>288</v>
      </c>
      <c r="F28" s="363" t="s">
        <v>177</v>
      </c>
      <c r="G28" s="365"/>
      <c r="H28" s="166" t="s">
        <v>130</v>
      </c>
      <c r="I28" s="200">
        <v>0</v>
      </c>
      <c r="J28" s="198" t="s">
        <v>118</v>
      </c>
      <c r="K28" s="123"/>
      <c r="L28" s="200">
        <v>0.5</v>
      </c>
      <c r="M28" s="200">
        <v>0.5</v>
      </c>
      <c r="N28" s="123" t="s">
        <v>297</v>
      </c>
      <c r="O28" s="123">
        <v>1</v>
      </c>
      <c r="P28" s="123" t="s">
        <v>118</v>
      </c>
      <c r="Q28" s="367" t="s">
        <v>304</v>
      </c>
      <c r="R28" s="379" t="s">
        <v>307</v>
      </c>
      <c r="S28" s="371" t="s">
        <v>303</v>
      </c>
    </row>
    <row r="29" spans="1:20" ht="45.5" customHeight="1" thickBot="1" x14ac:dyDescent="0.3">
      <c r="A29" s="374"/>
      <c r="B29" s="376"/>
      <c r="C29" s="376"/>
      <c r="D29" s="378"/>
      <c r="E29" s="364"/>
      <c r="F29" s="364"/>
      <c r="G29" s="366"/>
      <c r="H29" s="167" t="s">
        <v>131</v>
      </c>
      <c r="I29" s="124" t="s">
        <v>118</v>
      </c>
      <c r="J29" s="124" t="s">
        <v>118</v>
      </c>
      <c r="K29" s="124"/>
      <c r="L29" s="124" t="s">
        <v>118</v>
      </c>
      <c r="M29" s="124" t="s">
        <v>118</v>
      </c>
      <c r="N29" s="124"/>
      <c r="O29" s="124" t="s">
        <v>118</v>
      </c>
      <c r="P29" s="124" t="s">
        <v>118</v>
      </c>
      <c r="Q29" s="368"/>
      <c r="R29" s="380"/>
      <c r="S29" s="372"/>
    </row>
    <row r="30" spans="1:20" ht="18.75" customHeight="1" x14ac:dyDescent="0.25">
      <c r="A30" s="373" t="s">
        <v>310</v>
      </c>
      <c r="B30" s="375" t="s">
        <v>311</v>
      </c>
      <c r="C30" s="375" t="s">
        <v>296</v>
      </c>
      <c r="D30" s="377" t="s">
        <v>180</v>
      </c>
      <c r="E30" s="363" t="s">
        <v>288</v>
      </c>
      <c r="F30" s="363" t="s">
        <v>177</v>
      </c>
      <c r="G30" s="365"/>
      <c r="H30" s="166" t="s">
        <v>130</v>
      </c>
      <c r="I30" s="198" t="s">
        <v>118</v>
      </c>
      <c r="J30" s="198" t="s">
        <v>118</v>
      </c>
      <c r="K30" s="123"/>
      <c r="L30" s="198" t="s">
        <v>118</v>
      </c>
      <c r="M30" s="198" t="s">
        <v>118</v>
      </c>
      <c r="N30" s="123"/>
      <c r="O30" s="198" t="s">
        <v>118</v>
      </c>
      <c r="P30" s="198" t="s">
        <v>118</v>
      </c>
      <c r="Q30" s="367"/>
      <c r="R30" s="369"/>
      <c r="S30" s="367" t="s">
        <v>300</v>
      </c>
    </row>
    <row r="31" spans="1:20" ht="27" customHeight="1" thickBot="1" x14ac:dyDescent="0.3">
      <c r="A31" s="374"/>
      <c r="B31" s="376"/>
      <c r="C31" s="376"/>
      <c r="D31" s="378"/>
      <c r="E31" s="364"/>
      <c r="F31" s="364"/>
      <c r="G31" s="366"/>
      <c r="H31" s="167" t="s">
        <v>131</v>
      </c>
      <c r="I31" s="124" t="s">
        <v>118</v>
      </c>
      <c r="J31" s="124" t="s">
        <v>118</v>
      </c>
      <c r="K31" s="124"/>
      <c r="L31" s="124" t="s">
        <v>118</v>
      </c>
      <c r="M31" s="124" t="s">
        <v>118</v>
      </c>
      <c r="N31" s="124"/>
      <c r="O31" s="124" t="s">
        <v>118</v>
      </c>
      <c r="P31" s="124" t="s">
        <v>118</v>
      </c>
      <c r="Q31" s="368"/>
      <c r="R31" s="370"/>
      <c r="S31" s="368"/>
    </row>
    <row r="32" spans="1:20" ht="18.75" customHeight="1" x14ac:dyDescent="0.25">
      <c r="A32" s="373" t="s">
        <v>312</v>
      </c>
      <c r="B32" s="375" t="s">
        <v>313</v>
      </c>
      <c r="C32" s="375" t="s">
        <v>296</v>
      </c>
      <c r="D32" s="377" t="s">
        <v>180</v>
      </c>
      <c r="E32" s="363" t="s">
        <v>288</v>
      </c>
      <c r="F32" s="363" t="s">
        <v>177</v>
      </c>
      <c r="G32" s="365"/>
      <c r="H32" s="166" t="s">
        <v>130</v>
      </c>
      <c r="I32" s="200">
        <v>0</v>
      </c>
      <c r="J32" s="198" t="s">
        <v>118</v>
      </c>
      <c r="K32" s="123"/>
      <c r="L32" s="200">
        <v>0.5</v>
      </c>
      <c r="M32" s="200">
        <v>0.5</v>
      </c>
      <c r="N32" s="123" t="s">
        <v>297</v>
      </c>
      <c r="O32" s="123">
        <v>1</v>
      </c>
      <c r="P32" s="123">
        <v>0</v>
      </c>
      <c r="Q32" s="367" t="s">
        <v>304</v>
      </c>
      <c r="R32" s="369"/>
      <c r="S32" s="371" t="s">
        <v>289</v>
      </c>
    </row>
    <row r="33" spans="1:20" ht="27" customHeight="1" thickBot="1" x14ac:dyDescent="0.3">
      <c r="A33" s="374"/>
      <c r="B33" s="376"/>
      <c r="C33" s="376"/>
      <c r="D33" s="378"/>
      <c r="E33" s="364"/>
      <c r="F33" s="364"/>
      <c r="G33" s="366"/>
      <c r="H33" s="167" t="s">
        <v>131</v>
      </c>
      <c r="I33" s="124">
        <v>0</v>
      </c>
      <c r="J33" s="124">
        <v>0</v>
      </c>
      <c r="K33" s="124"/>
      <c r="L33" s="124">
        <v>0</v>
      </c>
      <c r="M33" s="124">
        <v>0</v>
      </c>
      <c r="N33" s="124"/>
      <c r="O33" s="124">
        <v>0</v>
      </c>
      <c r="P33" s="124">
        <v>0</v>
      </c>
      <c r="Q33" s="368"/>
      <c r="R33" s="370"/>
      <c r="S33" s="372"/>
    </row>
    <row r="34" spans="1:20" ht="18.75" customHeight="1" x14ac:dyDescent="0.25">
      <c r="A34" s="373" t="s">
        <v>314</v>
      </c>
      <c r="B34" s="375" t="s">
        <v>315</v>
      </c>
      <c r="C34" s="375" t="s">
        <v>296</v>
      </c>
      <c r="D34" s="377" t="s">
        <v>180</v>
      </c>
      <c r="E34" s="363" t="s">
        <v>288</v>
      </c>
      <c r="F34" s="363" t="s">
        <v>177</v>
      </c>
      <c r="G34" s="365"/>
      <c r="H34" s="166" t="s">
        <v>130</v>
      </c>
      <c r="I34" s="200">
        <v>0</v>
      </c>
      <c r="J34" s="198" t="s">
        <v>118</v>
      </c>
      <c r="K34" s="123"/>
      <c r="L34" s="200">
        <v>0.5</v>
      </c>
      <c r="M34" s="200">
        <v>0.5</v>
      </c>
      <c r="N34" s="123" t="s">
        <v>297</v>
      </c>
      <c r="O34" s="123">
        <v>1</v>
      </c>
      <c r="P34" s="123">
        <v>0</v>
      </c>
      <c r="Q34" s="367" t="s">
        <v>304</v>
      </c>
      <c r="R34" s="369"/>
      <c r="S34" s="371" t="s">
        <v>289</v>
      </c>
    </row>
    <row r="35" spans="1:20" ht="27" customHeight="1" thickBot="1" x14ac:dyDescent="0.3">
      <c r="A35" s="374"/>
      <c r="B35" s="376"/>
      <c r="C35" s="376"/>
      <c r="D35" s="378"/>
      <c r="E35" s="364"/>
      <c r="F35" s="364"/>
      <c r="G35" s="366"/>
      <c r="H35" s="167" t="s">
        <v>131</v>
      </c>
      <c r="I35" s="124">
        <v>0</v>
      </c>
      <c r="J35" s="124">
        <v>0</v>
      </c>
      <c r="K35" s="124"/>
      <c r="L35" s="124">
        <v>0</v>
      </c>
      <c r="M35" s="124">
        <v>0</v>
      </c>
      <c r="N35" s="124"/>
      <c r="O35" s="124">
        <v>0</v>
      </c>
      <c r="P35" s="124">
        <v>0</v>
      </c>
      <c r="Q35" s="368"/>
      <c r="R35" s="370"/>
      <c r="S35" s="372"/>
    </row>
    <row r="36" spans="1:20" ht="18.75" customHeight="1" x14ac:dyDescent="0.25">
      <c r="A36" s="373" t="s">
        <v>316</v>
      </c>
      <c r="B36" s="375" t="s">
        <v>317</v>
      </c>
      <c r="C36" s="375" t="s">
        <v>296</v>
      </c>
      <c r="D36" s="377" t="s">
        <v>180</v>
      </c>
      <c r="E36" s="363" t="s">
        <v>288</v>
      </c>
      <c r="F36" s="363" t="s">
        <v>177</v>
      </c>
      <c r="G36" s="365"/>
      <c r="H36" s="166" t="s">
        <v>130</v>
      </c>
      <c r="I36" s="200">
        <v>0</v>
      </c>
      <c r="J36" s="198" t="s">
        <v>118</v>
      </c>
      <c r="K36" s="123"/>
      <c r="L36" s="200">
        <v>0.5</v>
      </c>
      <c r="M36" s="200">
        <v>0.5</v>
      </c>
      <c r="N36" s="123" t="s">
        <v>297</v>
      </c>
      <c r="O36" s="123">
        <v>1</v>
      </c>
      <c r="P36" s="123">
        <v>0</v>
      </c>
      <c r="Q36" s="367" t="s">
        <v>304</v>
      </c>
      <c r="R36" s="369"/>
      <c r="S36" s="371" t="s">
        <v>289</v>
      </c>
    </row>
    <row r="37" spans="1:20" ht="27" customHeight="1" thickBot="1" x14ac:dyDescent="0.3">
      <c r="A37" s="374"/>
      <c r="B37" s="376"/>
      <c r="C37" s="376"/>
      <c r="D37" s="378"/>
      <c r="E37" s="364"/>
      <c r="F37" s="364"/>
      <c r="G37" s="366"/>
      <c r="H37" s="167" t="s">
        <v>131</v>
      </c>
      <c r="I37" s="124">
        <v>0</v>
      </c>
      <c r="J37" s="124">
        <v>0</v>
      </c>
      <c r="K37" s="124"/>
      <c r="L37" s="124">
        <v>0</v>
      </c>
      <c r="M37" s="124">
        <v>0</v>
      </c>
      <c r="N37" s="124"/>
      <c r="O37" s="124">
        <v>0</v>
      </c>
      <c r="P37" s="124">
        <v>0</v>
      </c>
      <c r="Q37" s="368"/>
      <c r="R37" s="370"/>
      <c r="S37" s="372"/>
    </row>
    <row r="38" spans="1:20" ht="18.75" customHeight="1" x14ac:dyDescent="0.25">
      <c r="A38" s="373" t="s">
        <v>318</v>
      </c>
      <c r="B38" s="375" t="s">
        <v>319</v>
      </c>
      <c r="C38" s="375" t="s">
        <v>296</v>
      </c>
      <c r="D38" s="377" t="s">
        <v>180</v>
      </c>
      <c r="E38" s="363" t="s">
        <v>288</v>
      </c>
      <c r="F38" s="363" t="s">
        <v>177</v>
      </c>
      <c r="G38" s="365"/>
      <c r="H38" s="166" t="s">
        <v>130</v>
      </c>
      <c r="I38" s="198" t="s">
        <v>118</v>
      </c>
      <c r="J38" s="198" t="s">
        <v>118</v>
      </c>
      <c r="K38" s="123"/>
      <c r="L38" s="198" t="s">
        <v>118</v>
      </c>
      <c r="M38" s="198" t="s">
        <v>118</v>
      </c>
      <c r="N38" s="123"/>
      <c r="O38" s="198" t="s">
        <v>118</v>
      </c>
      <c r="P38" s="198" t="s">
        <v>118</v>
      </c>
      <c r="Q38" s="367"/>
      <c r="R38" s="369"/>
      <c r="S38" s="367" t="s">
        <v>300</v>
      </c>
    </row>
    <row r="39" spans="1:20" ht="27" customHeight="1" thickBot="1" x14ac:dyDescent="0.3">
      <c r="A39" s="374"/>
      <c r="B39" s="376"/>
      <c r="C39" s="376"/>
      <c r="D39" s="378"/>
      <c r="E39" s="364"/>
      <c r="F39" s="364"/>
      <c r="G39" s="366"/>
      <c r="H39" s="167" t="s">
        <v>131</v>
      </c>
      <c r="I39" s="124" t="s">
        <v>118</v>
      </c>
      <c r="J39" s="124" t="s">
        <v>118</v>
      </c>
      <c r="K39" s="124"/>
      <c r="L39" s="124" t="s">
        <v>118</v>
      </c>
      <c r="M39" s="124" t="s">
        <v>118</v>
      </c>
      <c r="N39" s="124"/>
      <c r="O39" s="124" t="s">
        <v>118</v>
      </c>
      <c r="P39" s="124" t="s">
        <v>118</v>
      </c>
      <c r="Q39" s="368"/>
      <c r="R39" s="370"/>
      <c r="S39" s="368"/>
    </row>
    <row r="40" spans="1:20" s="114" customFormat="1" ht="20.5" thickBot="1" x14ac:dyDescent="0.3">
      <c r="A40" s="106"/>
      <c r="B40" s="106" t="s">
        <v>363</v>
      </c>
      <c r="C40" s="106"/>
      <c r="D40" s="106"/>
      <c r="E40" s="106"/>
      <c r="F40" s="106"/>
      <c r="G40" s="106"/>
      <c r="H40" s="106"/>
      <c r="I40" s="106"/>
      <c r="J40" s="106"/>
      <c r="K40" s="106"/>
      <c r="L40" s="107"/>
      <c r="M40" s="107"/>
      <c r="N40" s="106"/>
      <c r="O40" s="107"/>
      <c r="P40" s="106"/>
      <c r="Q40" s="107"/>
      <c r="R40" s="107"/>
      <c r="S40" s="106"/>
      <c r="T40" s="201"/>
    </row>
    <row r="41" spans="1:20" ht="18.75" customHeight="1" x14ac:dyDescent="0.25">
      <c r="A41" s="373" t="s">
        <v>320</v>
      </c>
      <c r="B41" s="375" t="s">
        <v>321</v>
      </c>
      <c r="C41" s="375" t="s">
        <v>323</v>
      </c>
      <c r="D41" s="377" t="s">
        <v>180</v>
      </c>
      <c r="E41" s="363" t="s">
        <v>288</v>
      </c>
      <c r="F41" s="363" t="s">
        <v>177</v>
      </c>
      <c r="G41" s="365"/>
      <c r="H41" s="166" t="s">
        <v>130</v>
      </c>
      <c r="I41" s="200">
        <v>0.25</v>
      </c>
      <c r="J41" s="200">
        <v>0.25</v>
      </c>
      <c r="K41" s="123"/>
      <c r="L41" s="198" t="s">
        <v>118</v>
      </c>
      <c r="M41" s="198" t="s">
        <v>118</v>
      </c>
      <c r="N41" s="123"/>
      <c r="O41" s="200">
        <v>0.25</v>
      </c>
      <c r="P41" s="200">
        <v>0.25</v>
      </c>
      <c r="Q41" s="371" t="s">
        <v>322</v>
      </c>
      <c r="R41" s="369"/>
      <c r="S41" s="371" t="s">
        <v>289</v>
      </c>
    </row>
    <row r="42" spans="1:20" ht="27" customHeight="1" thickBot="1" x14ac:dyDescent="0.3">
      <c r="A42" s="374"/>
      <c r="B42" s="376"/>
      <c r="C42" s="376"/>
      <c r="D42" s="378"/>
      <c r="E42" s="364"/>
      <c r="F42" s="364"/>
      <c r="G42" s="366"/>
      <c r="H42" s="167" t="s">
        <v>131</v>
      </c>
      <c r="I42" s="124" t="s">
        <v>118</v>
      </c>
      <c r="J42" s="124" t="s">
        <v>118</v>
      </c>
      <c r="K42" s="124"/>
      <c r="L42" s="124" t="s">
        <v>118</v>
      </c>
      <c r="M42" s="124" t="s">
        <v>118</v>
      </c>
      <c r="N42" s="124"/>
      <c r="O42" s="124" t="s">
        <v>118</v>
      </c>
      <c r="P42" s="124" t="s">
        <v>118</v>
      </c>
      <c r="Q42" s="372"/>
      <c r="R42" s="370"/>
      <c r="S42" s="372"/>
    </row>
    <row r="43" spans="1:20" s="114" customFormat="1" ht="20.5" thickBot="1" x14ac:dyDescent="0.3">
      <c r="A43" s="106"/>
      <c r="B43" s="106" t="s">
        <v>364</v>
      </c>
      <c r="C43" s="106"/>
      <c r="D43" s="106"/>
      <c r="E43" s="106"/>
      <c r="F43" s="106"/>
      <c r="G43" s="106"/>
      <c r="H43" s="106"/>
      <c r="I43" s="106"/>
      <c r="J43" s="106"/>
      <c r="K43" s="106"/>
      <c r="L43" s="107"/>
      <c r="M43" s="107"/>
      <c r="N43" s="106"/>
      <c r="O43" s="107"/>
      <c r="P43" s="106"/>
      <c r="Q43" s="107"/>
      <c r="R43" s="107"/>
      <c r="S43" s="106"/>
      <c r="T43" s="201"/>
    </row>
    <row r="44" spans="1:20" ht="18.75" customHeight="1" x14ac:dyDescent="0.25">
      <c r="A44" s="373" t="s">
        <v>324</v>
      </c>
      <c r="B44" s="375" t="s">
        <v>325</v>
      </c>
      <c r="C44" s="375" t="s">
        <v>326</v>
      </c>
      <c r="D44" s="377" t="s">
        <v>180</v>
      </c>
      <c r="E44" s="363" t="s">
        <v>288</v>
      </c>
      <c r="F44" s="363" t="s">
        <v>177</v>
      </c>
      <c r="G44" s="365"/>
      <c r="H44" s="166" t="s">
        <v>130</v>
      </c>
      <c r="I44" s="200">
        <v>0.75</v>
      </c>
      <c r="J44" s="200" t="s">
        <v>118</v>
      </c>
      <c r="K44" s="123"/>
      <c r="L44" s="198" t="s">
        <v>118</v>
      </c>
      <c r="M44" s="198" t="s">
        <v>118</v>
      </c>
      <c r="N44" s="123"/>
      <c r="O44" s="200">
        <v>1</v>
      </c>
      <c r="P44" s="198" t="s">
        <v>118</v>
      </c>
      <c r="Q44" s="371"/>
      <c r="R44" s="369"/>
      <c r="S44" s="371" t="s">
        <v>289</v>
      </c>
    </row>
    <row r="45" spans="1:20" ht="27" customHeight="1" thickBot="1" x14ac:dyDescent="0.3">
      <c r="A45" s="374"/>
      <c r="B45" s="376"/>
      <c r="C45" s="376"/>
      <c r="D45" s="378"/>
      <c r="E45" s="364"/>
      <c r="F45" s="364"/>
      <c r="G45" s="366"/>
      <c r="H45" s="167" t="s">
        <v>131</v>
      </c>
      <c r="I45" s="124">
        <v>0</v>
      </c>
      <c r="J45" s="124">
        <v>0</v>
      </c>
      <c r="K45" s="124"/>
      <c r="L45" s="124" t="s">
        <v>118</v>
      </c>
      <c r="M45" s="124" t="s">
        <v>118</v>
      </c>
      <c r="N45" s="124"/>
      <c r="O45" s="124">
        <v>0</v>
      </c>
      <c r="P45" s="124">
        <v>0</v>
      </c>
      <c r="Q45" s="372"/>
      <c r="R45" s="370"/>
      <c r="S45" s="372"/>
    </row>
    <row r="46" spans="1:20" ht="18.75" customHeight="1" x14ac:dyDescent="0.25">
      <c r="A46" s="373" t="s">
        <v>327</v>
      </c>
      <c r="B46" s="375" t="s">
        <v>328</v>
      </c>
      <c r="C46" s="375" t="s">
        <v>326</v>
      </c>
      <c r="D46" s="377" t="s">
        <v>180</v>
      </c>
      <c r="E46" s="363" t="s">
        <v>288</v>
      </c>
      <c r="F46" s="363" t="s">
        <v>177</v>
      </c>
      <c r="G46" s="365"/>
      <c r="H46" s="166" t="s">
        <v>130</v>
      </c>
      <c r="I46" s="198" t="s">
        <v>118</v>
      </c>
      <c r="J46" s="198" t="s">
        <v>118</v>
      </c>
      <c r="K46" s="123"/>
      <c r="L46" s="198" t="s">
        <v>118</v>
      </c>
      <c r="M46" s="198" t="s">
        <v>118</v>
      </c>
      <c r="N46" s="123"/>
      <c r="O46" s="198" t="s">
        <v>118</v>
      </c>
      <c r="P46" s="198" t="s">
        <v>118</v>
      </c>
      <c r="Q46" s="371"/>
      <c r="R46" s="369"/>
      <c r="S46" s="367" t="s">
        <v>300</v>
      </c>
    </row>
    <row r="47" spans="1:20" ht="27" customHeight="1" thickBot="1" x14ac:dyDescent="0.3">
      <c r="A47" s="374"/>
      <c r="B47" s="376"/>
      <c r="C47" s="376"/>
      <c r="D47" s="378"/>
      <c r="E47" s="364"/>
      <c r="F47" s="364"/>
      <c r="G47" s="366"/>
      <c r="H47" s="167" t="s">
        <v>131</v>
      </c>
      <c r="I47" s="124" t="s">
        <v>118</v>
      </c>
      <c r="J47" s="124" t="s">
        <v>118</v>
      </c>
      <c r="K47" s="124"/>
      <c r="L47" s="124" t="s">
        <v>118</v>
      </c>
      <c r="M47" s="124" t="s">
        <v>118</v>
      </c>
      <c r="N47" s="124"/>
      <c r="O47" s="124" t="s">
        <v>118</v>
      </c>
      <c r="P47" s="124" t="s">
        <v>118</v>
      </c>
      <c r="Q47" s="372"/>
      <c r="R47" s="370"/>
      <c r="S47" s="368"/>
    </row>
    <row r="48" spans="1:20" ht="18.75" customHeight="1" x14ac:dyDescent="0.25">
      <c r="A48" s="373" t="s">
        <v>329</v>
      </c>
      <c r="B48" s="375" t="s">
        <v>330</v>
      </c>
      <c r="C48" s="375" t="s">
        <v>326</v>
      </c>
      <c r="D48" s="377" t="s">
        <v>180</v>
      </c>
      <c r="E48" s="363" t="s">
        <v>288</v>
      </c>
      <c r="F48" s="363" t="s">
        <v>177</v>
      </c>
      <c r="G48" s="365"/>
      <c r="H48" s="166" t="s">
        <v>130</v>
      </c>
      <c r="I48" s="200">
        <v>0.75</v>
      </c>
      <c r="J48" s="200" t="s">
        <v>118</v>
      </c>
      <c r="K48" s="123"/>
      <c r="L48" s="198" t="s">
        <v>118</v>
      </c>
      <c r="M48" s="198" t="s">
        <v>118</v>
      </c>
      <c r="N48" s="123"/>
      <c r="O48" s="200">
        <v>1</v>
      </c>
      <c r="P48" s="198" t="s">
        <v>118</v>
      </c>
      <c r="Q48" s="371"/>
      <c r="R48" s="369"/>
      <c r="S48" s="371" t="s">
        <v>289</v>
      </c>
    </row>
    <row r="49" spans="1:20" ht="27" customHeight="1" thickBot="1" x14ac:dyDescent="0.3">
      <c r="A49" s="374"/>
      <c r="B49" s="376"/>
      <c r="C49" s="376"/>
      <c r="D49" s="378"/>
      <c r="E49" s="364"/>
      <c r="F49" s="364"/>
      <c r="G49" s="366"/>
      <c r="H49" s="167" t="s">
        <v>131</v>
      </c>
      <c r="I49" s="124">
        <v>0</v>
      </c>
      <c r="J49" s="124">
        <v>0</v>
      </c>
      <c r="K49" s="124"/>
      <c r="L49" s="124" t="s">
        <v>118</v>
      </c>
      <c r="M49" s="124" t="s">
        <v>118</v>
      </c>
      <c r="N49" s="124"/>
      <c r="O49" s="124">
        <v>0</v>
      </c>
      <c r="P49" s="124">
        <v>0</v>
      </c>
      <c r="Q49" s="372"/>
      <c r="R49" s="370"/>
      <c r="S49" s="372"/>
    </row>
    <row r="50" spans="1:20" s="114" customFormat="1" ht="20.5" thickBot="1" x14ac:dyDescent="0.3">
      <c r="A50" s="106"/>
      <c r="B50" s="106" t="s">
        <v>365</v>
      </c>
      <c r="C50" s="106"/>
      <c r="D50" s="106"/>
      <c r="E50" s="106"/>
      <c r="F50" s="106"/>
      <c r="G50" s="106"/>
      <c r="H50" s="106"/>
      <c r="I50" s="106"/>
      <c r="J50" s="106"/>
      <c r="K50" s="106"/>
      <c r="L50" s="107"/>
      <c r="M50" s="107"/>
      <c r="N50" s="106"/>
      <c r="O50" s="107"/>
      <c r="P50" s="106"/>
      <c r="Q50" s="107"/>
      <c r="R50" s="107"/>
      <c r="S50" s="106"/>
      <c r="T50" s="201"/>
    </row>
    <row r="51" spans="1:20" ht="18.75" customHeight="1" x14ac:dyDescent="0.25">
      <c r="A51" s="373" t="s">
        <v>331</v>
      </c>
      <c r="B51" s="375" t="s">
        <v>332</v>
      </c>
      <c r="C51" s="375" t="s">
        <v>333</v>
      </c>
      <c r="D51" s="377" t="s">
        <v>180</v>
      </c>
      <c r="E51" s="363" t="s">
        <v>288</v>
      </c>
      <c r="F51" s="363" t="s">
        <v>177</v>
      </c>
      <c r="G51" s="365"/>
      <c r="H51" s="166" t="s">
        <v>130</v>
      </c>
      <c r="I51" s="200">
        <v>0.75</v>
      </c>
      <c r="J51" s="200">
        <v>0.25</v>
      </c>
      <c r="K51" s="123"/>
      <c r="L51" s="198" t="s">
        <v>118</v>
      </c>
      <c r="M51" s="198" t="s">
        <v>118</v>
      </c>
      <c r="N51" s="123"/>
      <c r="O51" s="200">
        <v>1</v>
      </c>
      <c r="P51" s="200">
        <v>0.25</v>
      </c>
      <c r="Q51" s="371"/>
      <c r="R51" s="369"/>
      <c r="S51" s="371" t="s">
        <v>289</v>
      </c>
    </row>
    <row r="52" spans="1:20" ht="27" customHeight="1" thickBot="1" x14ac:dyDescent="0.3">
      <c r="A52" s="374"/>
      <c r="B52" s="376"/>
      <c r="C52" s="376"/>
      <c r="D52" s="378"/>
      <c r="E52" s="364"/>
      <c r="F52" s="364"/>
      <c r="G52" s="366"/>
      <c r="H52" s="167" t="s">
        <v>131</v>
      </c>
      <c r="I52" s="124">
        <v>0</v>
      </c>
      <c r="J52" s="124">
        <v>0</v>
      </c>
      <c r="K52" s="124"/>
      <c r="L52" s="124" t="s">
        <v>118</v>
      </c>
      <c r="M52" s="124" t="s">
        <v>118</v>
      </c>
      <c r="N52" s="124"/>
      <c r="O52" s="124">
        <v>0</v>
      </c>
      <c r="P52" s="124">
        <v>0</v>
      </c>
      <c r="Q52" s="372"/>
      <c r="R52" s="370"/>
      <c r="S52" s="372"/>
    </row>
    <row r="53" spans="1:20" s="114" customFormat="1" ht="20.5" thickBot="1" x14ac:dyDescent="0.3">
      <c r="A53" s="106"/>
      <c r="B53" s="106" t="s">
        <v>366</v>
      </c>
      <c r="C53" s="106"/>
      <c r="D53" s="106"/>
      <c r="E53" s="106"/>
      <c r="F53" s="106"/>
      <c r="G53" s="106"/>
      <c r="H53" s="106"/>
      <c r="I53" s="106"/>
      <c r="J53" s="106"/>
      <c r="K53" s="106"/>
      <c r="L53" s="107"/>
      <c r="M53" s="107"/>
      <c r="N53" s="106"/>
      <c r="O53" s="107"/>
      <c r="P53" s="106"/>
      <c r="Q53" s="107"/>
      <c r="R53" s="107"/>
      <c r="S53" s="106"/>
      <c r="T53" s="201"/>
    </row>
    <row r="54" spans="1:20" ht="18.5" customHeight="1" x14ac:dyDescent="0.25">
      <c r="A54" s="373" t="s">
        <v>334</v>
      </c>
      <c r="B54" s="375" t="s">
        <v>335</v>
      </c>
      <c r="C54" s="375" t="s">
        <v>336</v>
      </c>
      <c r="D54" s="377" t="s">
        <v>180</v>
      </c>
      <c r="E54" s="363" t="s">
        <v>288</v>
      </c>
      <c r="F54" s="363" t="s">
        <v>177</v>
      </c>
      <c r="G54" s="365"/>
      <c r="H54" s="166" t="s">
        <v>130</v>
      </c>
      <c r="I54" s="198" t="s">
        <v>118</v>
      </c>
      <c r="J54" s="198" t="s">
        <v>118</v>
      </c>
      <c r="K54" s="123"/>
      <c r="L54" s="198" t="s">
        <v>118</v>
      </c>
      <c r="M54" s="198" t="s">
        <v>118</v>
      </c>
      <c r="N54" s="123"/>
      <c r="O54" s="123">
        <v>1</v>
      </c>
      <c r="P54" s="198" t="s">
        <v>118</v>
      </c>
      <c r="Q54" s="367"/>
      <c r="R54" s="379" t="s">
        <v>307</v>
      </c>
      <c r="S54" s="371" t="s">
        <v>303</v>
      </c>
    </row>
    <row r="55" spans="1:20" ht="45.5" customHeight="1" thickBot="1" x14ac:dyDescent="0.3">
      <c r="A55" s="374"/>
      <c r="B55" s="376"/>
      <c r="C55" s="376"/>
      <c r="D55" s="378"/>
      <c r="E55" s="364"/>
      <c r="F55" s="364"/>
      <c r="G55" s="366"/>
      <c r="H55" s="167" t="s">
        <v>131</v>
      </c>
      <c r="I55" s="124" t="s">
        <v>118</v>
      </c>
      <c r="J55" s="124" t="s">
        <v>118</v>
      </c>
      <c r="K55" s="124"/>
      <c r="L55" s="124" t="s">
        <v>118</v>
      </c>
      <c r="M55" s="124" t="s">
        <v>118</v>
      </c>
      <c r="N55" s="124"/>
      <c r="O55" s="124" t="s">
        <v>118</v>
      </c>
      <c r="P55" s="124" t="s">
        <v>118</v>
      </c>
      <c r="Q55" s="368"/>
      <c r="R55" s="380"/>
      <c r="S55" s="372"/>
    </row>
    <row r="56" spans="1:20" ht="18.5" customHeight="1" x14ac:dyDescent="0.25">
      <c r="A56" s="373" t="s">
        <v>337</v>
      </c>
      <c r="B56" s="375" t="s">
        <v>338</v>
      </c>
      <c r="C56" s="375" t="s">
        <v>336</v>
      </c>
      <c r="D56" s="377" t="s">
        <v>180</v>
      </c>
      <c r="E56" s="363" t="s">
        <v>288</v>
      </c>
      <c r="F56" s="363" t="s">
        <v>177</v>
      </c>
      <c r="G56" s="365"/>
      <c r="H56" s="166" t="s">
        <v>130</v>
      </c>
      <c r="I56" s="198" t="s">
        <v>118</v>
      </c>
      <c r="J56" s="198" t="s">
        <v>118</v>
      </c>
      <c r="K56" s="123"/>
      <c r="L56" s="198" t="s">
        <v>118</v>
      </c>
      <c r="M56" s="198" t="s">
        <v>118</v>
      </c>
      <c r="N56" s="123"/>
      <c r="O56" s="198" t="s">
        <v>118</v>
      </c>
      <c r="P56" s="198" t="s">
        <v>118</v>
      </c>
      <c r="Q56" s="367"/>
      <c r="R56" s="379"/>
      <c r="S56" s="367" t="s">
        <v>300</v>
      </c>
    </row>
    <row r="57" spans="1:20" ht="45.5" customHeight="1" thickBot="1" x14ac:dyDescent="0.3">
      <c r="A57" s="374"/>
      <c r="B57" s="376"/>
      <c r="C57" s="376"/>
      <c r="D57" s="378"/>
      <c r="E57" s="364"/>
      <c r="F57" s="364"/>
      <c r="G57" s="366"/>
      <c r="H57" s="167" t="s">
        <v>131</v>
      </c>
      <c r="I57" s="124" t="s">
        <v>118</v>
      </c>
      <c r="J57" s="124" t="s">
        <v>118</v>
      </c>
      <c r="K57" s="124"/>
      <c r="L57" s="124" t="s">
        <v>118</v>
      </c>
      <c r="M57" s="124" t="s">
        <v>118</v>
      </c>
      <c r="N57" s="124"/>
      <c r="O57" s="124" t="s">
        <v>118</v>
      </c>
      <c r="P57" s="124" t="s">
        <v>118</v>
      </c>
      <c r="Q57" s="368"/>
      <c r="R57" s="380"/>
      <c r="S57" s="368"/>
    </row>
    <row r="58" spans="1:20" s="114" customFormat="1" ht="20.5" thickBot="1" x14ac:dyDescent="0.3">
      <c r="A58" s="106"/>
      <c r="B58" s="106" t="s">
        <v>367</v>
      </c>
      <c r="C58" s="106"/>
      <c r="D58" s="106"/>
      <c r="E58" s="106"/>
      <c r="F58" s="106"/>
      <c r="G58" s="106"/>
      <c r="H58" s="106"/>
      <c r="I58" s="106"/>
      <c r="J58" s="106"/>
      <c r="K58" s="106"/>
      <c r="L58" s="107"/>
      <c r="M58" s="107"/>
      <c r="N58" s="106"/>
      <c r="O58" s="107"/>
      <c r="P58" s="106"/>
      <c r="Q58" s="107"/>
      <c r="R58" s="107"/>
      <c r="S58" s="106"/>
      <c r="T58" s="201"/>
    </row>
    <row r="59" spans="1:20" ht="18.5" customHeight="1" x14ac:dyDescent="0.25">
      <c r="A59" s="373" t="s">
        <v>339</v>
      </c>
      <c r="B59" s="375" t="s">
        <v>340</v>
      </c>
      <c r="C59" s="375" t="s">
        <v>341</v>
      </c>
      <c r="D59" s="377" t="s">
        <v>180</v>
      </c>
      <c r="E59" s="363" t="s">
        <v>288</v>
      </c>
      <c r="F59" s="363" t="s">
        <v>177</v>
      </c>
      <c r="G59" s="365"/>
      <c r="H59" s="166" t="s">
        <v>130</v>
      </c>
      <c r="I59" s="198" t="s">
        <v>118</v>
      </c>
      <c r="J59" s="198" t="s">
        <v>118</v>
      </c>
      <c r="K59" s="123"/>
      <c r="L59" s="198" t="s">
        <v>118</v>
      </c>
      <c r="M59" s="198" t="s">
        <v>118</v>
      </c>
      <c r="N59" s="123"/>
      <c r="O59" s="200">
        <v>1</v>
      </c>
      <c r="P59" s="198" t="s">
        <v>118</v>
      </c>
      <c r="Q59" s="367" t="s">
        <v>342</v>
      </c>
      <c r="R59" s="379"/>
      <c r="S59" s="371" t="s">
        <v>303</v>
      </c>
    </row>
    <row r="60" spans="1:20" ht="45.5" customHeight="1" thickBot="1" x14ac:dyDescent="0.3">
      <c r="A60" s="374"/>
      <c r="B60" s="376"/>
      <c r="C60" s="376"/>
      <c r="D60" s="378"/>
      <c r="E60" s="364"/>
      <c r="F60" s="364"/>
      <c r="G60" s="366"/>
      <c r="H60" s="167" t="s">
        <v>131</v>
      </c>
      <c r="I60" s="124" t="s">
        <v>118</v>
      </c>
      <c r="J60" s="124" t="s">
        <v>118</v>
      </c>
      <c r="K60" s="124"/>
      <c r="L60" s="124" t="s">
        <v>118</v>
      </c>
      <c r="M60" s="124" t="s">
        <v>118</v>
      </c>
      <c r="N60" s="124"/>
      <c r="O60" s="124">
        <v>0</v>
      </c>
      <c r="P60" s="124" t="s">
        <v>118</v>
      </c>
      <c r="Q60" s="368"/>
      <c r="R60" s="380"/>
      <c r="S60" s="372"/>
    </row>
    <row r="61" spans="1:20" ht="18.5" customHeight="1" x14ac:dyDescent="0.25">
      <c r="A61" s="373" t="s">
        <v>343</v>
      </c>
      <c r="B61" s="375" t="s">
        <v>344</v>
      </c>
      <c r="C61" s="375" t="s">
        <v>341</v>
      </c>
      <c r="D61" s="377" t="s">
        <v>180</v>
      </c>
      <c r="E61" s="363" t="s">
        <v>288</v>
      </c>
      <c r="F61" s="363" t="s">
        <v>177</v>
      </c>
      <c r="G61" s="365"/>
      <c r="H61" s="166" t="s">
        <v>130</v>
      </c>
      <c r="I61" s="198" t="s">
        <v>118</v>
      </c>
      <c r="J61" s="198" t="s">
        <v>118</v>
      </c>
      <c r="K61" s="123"/>
      <c r="L61" s="198" t="s">
        <v>118</v>
      </c>
      <c r="M61" s="198" t="s">
        <v>118</v>
      </c>
      <c r="N61" s="123"/>
      <c r="O61" s="200">
        <v>1</v>
      </c>
      <c r="P61" s="198">
        <v>0.25</v>
      </c>
      <c r="Q61" s="367"/>
      <c r="R61" s="379" t="s">
        <v>307</v>
      </c>
      <c r="S61" s="371" t="s">
        <v>303</v>
      </c>
    </row>
    <row r="62" spans="1:20" ht="45.5" customHeight="1" thickBot="1" x14ac:dyDescent="0.3">
      <c r="A62" s="374"/>
      <c r="B62" s="376"/>
      <c r="C62" s="376"/>
      <c r="D62" s="378"/>
      <c r="E62" s="364"/>
      <c r="F62" s="364"/>
      <c r="G62" s="366"/>
      <c r="H62" s="167" t="s">
        <v>131</v>
      </c>
      <c r="I62" s="124" t="s">
        <v>118</v>
      </c>
      <c r="J62" s="124" t="s">
        <v>118</v>
      </c>
      <c r="K62" s="124"/>
      <c r="L62" s="124" t="s">
        <v>118</v>
      </c>
      <c r="M62" s="124" t="s">
        <v>118</v>
      </c>
      <c r="N62" s="124"/>
      <c r="O62" s="124" t="s">
        <v>118</v>
      </c>
      <c r="P62" s="124" t="s">
        <v>118</v>
      </c>
      <c r="Q62" s="368"/>
      <c r="R62" s="380"/>
      <c r="S62" s="372"/>
    </row>
    <row r="63" spans="1:20" s="114" customFormat="1" ht="20.5" thickBot="1" x14ac:dyDescent="0.3">
      <c r="A63" s="106"/>
      <c r="B63" s="106" t="s">
        <v>368</v>
      </c>
      <c r="C63" s="106"/>
      <c r="D63" s="106"/>
      <c r="E63" s="106"/>
      <c r="F63" s="106"/>
      <c r="G63" s="106"/>
      <c r="H63" s="106"/>
      <c r="I63" s="106"/>
      <c r="J63" s="106"/>
      <c r="K63" s="106"/>
      <c r="L63" s="107"/>
      <c r="M63" s="107"/>
      <c r="N63" s="106"/>
      <c r="O63" s="107"/>
      <c r="P63" s="106"/>
      <c r="Q63" s="107"/>
      <c r="R63" s="107"/>
      <c r="S63" s="106"/>
      <c r="T63" s="201"/>
    </row>
    <row r="64" spans="1:20" ht="18.5" customHeight="1" x14ac:dyDescent="0.25">
      <c r="A64" s="373" t="s">
        <v>345</v>
      </c>
      <c r="B64" s="375" t="s">
        <v>346</v>
      </c>
      <c r="C64" s="375" t="s">
        <v>347</v>
      </c>
      <c r="D64" s="377" t="s">
        <v>180</v>
      </c>
      <c r="E64" s="363" t="s">
        <v>288</v>
      </c>
      <c r="F64" s="363" t="s">
        <v>177</v>
      </c>
      <c r="G64" s="365"/>
      <c r="H64" s="166" t="s">
        <v>130</v>
      </c>
      <c r="I64" s="198" t="s">
        <v>118</v>
      </c>
      <c r="J64" s="198" t="s">
        <v>118</v>
      </c>
      <c r="K64" s="123"/>
      <c r="L64" s="198" t="s">
        <v>118</v>
      </c>
      <c r="M64" s="198" t="s">
        <v>118</v>
      </c>
      <c r="N64" s="123"/>
      <c r="O64" s="200">
        <v>1</v>
      </c>
      <c r="P64" s="198">
        <v>0.25</v>
      </c>
      <c r="Q64" s="367"/>
      <c r="R64" s="379" t="s">
        <v>307</v>
      </c>
      <c r="S64" s="371" t="s">
        <v>303</v>
      </c>
    </row>
    <row r="65" spans="1:20" ht="45.5" customHeight="1" thickBot="1" x14ac:dyDescent="0.3">
      <c r="A65" s="374"/>
      <c r="B65" s="376"/>
      <c r="C65" s="376"/>
      <c r="D65" s="378"/>
      <c r="E65" s="364"/>
      <c r="F65" s="364"/>
      <c r="G65" s="366"/>
      <c r="H65" s="167" t="s">
        <v>131</v>
      </c>
      <c r="I65" s="124" t="s">
        <v>118</v>
      </c>
      <c r="J65" s="124" t="s">
        <v>118</v>
      </c>
      <c r="K65" s="124"/>
      <c r="L65" s="124" t="s">
        <v>118</v>
      </c>
      <c r="M65" s="124" t="s">
        <v>118</v>
      </c>
      <c r="N65" s="124"/>
      <c r="O65" s="124" t="s">
        <v>118</v>
      </c>
      <c r="P65" s="124" t="s">
        <v>118</v>
      </c>
      <c r="Q65" s="368"/>
      <c r="R65" s="380"/>
      <c r="S65" s="372"/>
    </row>
    <row r="66" spans="1:20" ht="18.5" customHeight="1" x14ac:dyDescent="0.25">
      <c r="A66" s="373" t="s">
        <v>348</v>
      </c>
      <c r="B66" s="375" t="s">
        <v>349</v>
      </c>
      <c r="C66" s="375" t="s">
        <v>347</v>
      </c>
      <c r="D66" s="377" t="s">
        <v>180</v>
      </c>
      <c r="E66" s="363" t="s">
        <v>288</v>
      </c>
      <c r="F66" s="363" t="s">
        <v>177</v>
      </c>
      <c r="G66" s="365"/>
      <c r="H66" s="166" t="s">
        <v>130</v>
      </c>
      <c r="I66" s="198" t="s">
        <v>118</v>
      </c>
      <c r="J66" s="198" t="s">
        <v>118</v>
      </c>
      <c r="K66" s="123"/>
      <c r="L66" s="198" t="s">
        <v>118</v>
      </c>
      <c r="M66" s="198" t="s">
        <v>118</v>
      </c>
      <c r="N66" s="123"/>
      <c r="O66" s="200">
        <v>1</v>
      </c>
      <c r="P66" s="198" t="s">
        <v>118</v>
      </c>
      <c r="Q66" s="367"/>
      <c r="R66" s="379" t="s">
        <v>307</v>
      </c>
      <c r="S66" s="371" t="s">
        <v>303</v>
      </c>
    </row>
    <row r="67" spans="1:20" ht="45.5" customHeight="1" thickBot="1" x14ac:dyDescent="0.3">
      <c r="A67" s="374"/>
      <c r="B67" s="376"/>
      <c r="C67" s="376"/>
      <c r="D67" s="378"/>
      <c r="E67" s="364"/>
      <c r="F67" s="364"/>
      <c r="G67" s="366"/>
      <c r="H67" s="167" t="s">
        <v>131</v>
      </c>
      <c r="I67" s="124" t="s">
        <v>118</v>
      </c>
      <c r="J67" s="124" t="s">
        <v>118</v>
      </c>
      <c r="K67" s="124"/>
      <c r="L67" s="124" t="s">
        <v>118</v>
      </c>
      <c r="M67" s="124" t="s">
        <v>118</v>
      </c>
      <c r="N67" s="124"/>
      <c r="O67" s="124" t="s">
        <v>118</v>
      </c>
      <c r="P67" s="124" t="s">
        <v>118</v>
      </c>
      <c r="Q67" s="368"/>
      <c r="R67" s="380"/>
      <c r="S67" s="372"/>
    </row>
    <row r="68" spans="1:20" ht="18.5" customHeight="1" x14ac:dyDescent="0.25">
      <c r="A68" s="373" t="s">
        <v>351</v>
      </c>
      <c r="B68" s="375" t="s">
        <v>352</v>
      </c>
      <c r="C68" s="375" t="s">
        <v>347</v>
      </c>
      <c r="D68" s="377" t="s">
        <v>180</v>
      </c>
      <c r="E68" s="363" t="s">
        <v>288</v>
      </c>
      <c r="F68" s="363" t="s">
        <v>177</v>
      </c>
      <c r="G68" s="365"/>
      <c r="H68" s="166" t="s">
        <v>130</v>
      </c>
      <c r="I68" s="198" t="s">
        <v>118</v>
      </c>
      <c r="J68" s="198" t="s">
        <v>118</v>
      </c>
      <c r="K68" s="123"/>
      <c r="L68" s="198" t="s">
        <v>118</v>
      </c>
      <c r="M68" s="198" t="s">
        <v>118</v>
      </c>
      <c r="N68" s="123"/>
      <c r="O68" s="200">
        <v>1</v>
      </c>
      <c r="P68" s="198" t="s">
        <v>118</v>
      </c>
      <c r="Q68" s="367"/>
      <c r="R68" s="379"/>
      <c r="S68" s="371" t="s">
        <v>303</v>
      </c>
    </row>
    <row r="69" spans="1:20" ht="45.5" customHeight="1" thickBot="1" x14ac:dyDescent="0.3">
      <c r="A69" s="374"/>
      <c r="B69" s="376"/>
      <c r="C69" s="376"/>
      <c r="D69" s="378"/>
      <c r="E69" s="364"/>
      <c r="F69" s="364"/>
      <c r="G69" s="366"/>
      <c r="H69" s="167" t="s">
        <v>131</v>
      </c>
      <c r="I69" s="124" t="s">
        <v>118</v>
      </c>
      <c r="J69" s="124" t="s">
        <v>118</v>
      </c>
      <c r="K69" s="124"/>
      <c r="L69" s="124" t="s">
        <v>118</v>
      </c>
      <c r="M69" s="124" t="s">
        <v>118</v>
      </c>
      <c r="N69" s="124"/>
      <c r="O69" s="124">
        <v>0</v>
      </c>
      <c r="P69" s="124">
        <v>0</v>
      </c>
      <c r="Q69" s="368"/>
      <c r="R69" s="380"/>
      <c r="S69" s="372"/>
    </row>
    <row r="70" spans="1:20" s="114" customFormat="1" ht="20.5" thickBot="1" x14ac:dyDescent="0.3">
      <c r="A70" s="106"/>
      <c r="B70" s="106" t="s">
        <v>369</v>
      </c>
      <c r="C70" s="106"/>
      <c r="D70" s="106"/>
      <c r="E70" s="106"/>
      <c r="F70" s="106"/>
      <c r="G70" s="106"/>
      <c r="H70" s="106"/>
      <c r="I70" s="106"/>
      <c r="J70" s="106"/>
      <c r="K70" s="106"/>
      <c r="L70" s="107"/>
      <c r="M70" s="107"/>
      <c r="N70" s="106"/>
      <c r="O70" s="107"/>
      <c r="P70" s="106"/>
      <c r="Q70" s="107"/>
      <c r="R70" s="107"/>
      <c r="S70" s="106"/>
      <c r="T70" s="201"/>
    </row>
    <row r="71" spans="1:20" ht="18.5" customHeight="1" x14ac:dyDescent="0.25">
      <c r="A71" s="373" t="s">
        <v>353</v>
      </c>
      <c r="B71" s="375" t="s">
        <v>354</v>
      </c>
      <c r="C71" s="375" t="s">
        <v>355</v>
      </c>
      <c r="D71" s="377" t="s">
        <v>180</v>
      </c>
      <c r="E71" s="363" t="s">
        <v>288</v>
      </c>
      <c r="F71" s="363" t="s">
        <v>177</v>
      </c>
      <c r="G71" s="365"/>
      <c r="H71" s="166" t="s">
        <v>130</v>
      </c>
      <c r="I71" s="198" t="s">
        <v>118</v>
      </c>
      <c r="J71" s="198" t="s">
        <v>118</v>
      </c>
      <c r="K71" s="123"/>
      <c r="L71" s="198" t="s">
        <v>118</v>
      </c>
      <c r="M71" s="198" t="s">
        <v>118</v>
      </c>
      <c r="N71" s="123"/>
      <c r="O71" s="200">
        <v>0.25</v>
      </c>
      <c r="P71" s="198" t="s">
        <v>118</v>
      </c>
      <c r="Q71" s="367"/>
      <c r="R71" s="379"/>
      <c r="S71" s="371" t="s">
        <v>303</v>
      </c>
    </row>
    <row r="72" spans="1:20" ht="45.5" customHeight="1" thickBot="1" x14ac:dyDescent="0.3">
      <c r="A72" s="374"/>
      <c r="B72" s="376"/>
      <c r="C72" s="376"/>
      <c r="D72" s="378"/>
      <c r="E72" s="364"/>
      <c r="F72" s="364"/>
      <c r="G72" s="366"/>
      <c r="H72" s="167" t="s">
        <v>131</v>
      </c>
      <c r="I72" s="124" t="s">
        <v>118</v>
      </c>
      <c r="J72" s="124" t="s">
        <v>118</v>
      </c>
      <c r="K72" s="124"/>
      <c r="L72" s="124" t="s">
        <v>118</v>
      </c>
      <c r="M72" s="124" t="s">
        <v>118</v>
      </c>
      <c r="N72" s="124"/>
      <c r="O72" s="124">
        <v>0</v>
      </c>
      <c r="P72" s="124">
        <v>0</v>
      </c>
      <c r="Q72" s="368"/>
      <c r="R72" s="380"/>
      <c r="S72" s="372"/>
    </row>
    <row r="73" spans="1:20" ht="18.5" customHeight="1" x14ac:dyDescent="0.25">
      <c r="A73" s="373" t="s">
        <v>356</v>
      </c>
      <c r="B73" s="375" t="s">
        <v>357</v>
      </c>
      <c r="C73" s="375" t="s">
        <v>355</v>
      </c>
      <c r="D73" s="377" t="s">
        <v>180</v>
      </c>
      <c r="E73" s="363" t="s">
        <v>288</v>
      </c>
      <c r="F73" s="363" t="s">
        <v>177</v>
      </c>
      <c r="G73" s="365"/>
      <c r="H73" s="166" t="s">
        <v>130</v>
      </c>
      <c r="I73" s="198" t="s">
        <v>118</v>
      </c>
      <c r="J73" s="198" t="s">
        <v>118</v>
      </c>
      <c r="K73" s="123"/>
      <c r="L73" s="198" t="s">
        <v>118</v>
      </c>
      <c r="M73" s="198" t="s">
        <v>118</v>
      </c>
      <c r="N73" s="123"/>
      <c r="O73" s="200">
        <v>0.25</v>
      </c>
      <c r="P73" s="198" t="s">
        <v>118</v>
      </c>
      <c r="Q73" s="371" t="s">
        <v>358</v>
      </c>
      <c r="S73" s="371" t="s">
        <v>303</v>
      </c>
    </row>
    <row r="74" spans="1:20" ht="45.5" customHeight="1" thickBot="1" x14ac:dyDescent="0.3">
      <c r="A74" s="374"/>
      <c r="B74" s="376"/>
      <c r="C74" s="376"/>
      <c r="D74" s="378"/>
      <c r="E74" s="364"/>
      <c r="F74" s="364"/>
      <c r="G74" s="366"/>
      <c r="H74" s="167" t="s">
        <v>131</v>
      </c>
      <c r="I74" s="124">
        <v>0</v>
      </c>
      <c r="J74" s="124">
        <v>0</v>
      </c>
      <c r="K74" s="124"/>
      <c r="L74" s="124">
        <v>0</v>
      </c>
      <c r="M74" s="124">
        <v>0</v>
      </c>
      <c r="N74" s="124"/>
      <c r="O74" s="124">
        <v>0</v>
      </c>
      <c r="P74" s="124">
        <v>0</v>
      </c>
      <c r="Q74" s="372"/>
      <c r="S74" s="372"/>
    </row>
    <row r="75" spans="1:20" s="114" customFormat="1" ht="20.5" thickBot="1" x14ac:dyDescent="0.3">
      <c r="A75" s="106"/>
      <c r="B75" s="106" t="s">
        <v>370</v>
      </c>
      <c r="C75" s="106"/>
      <c r="D75" s="106"/>
      <c r="E75" s="106"/>
      <c r="F75" s="106"/>
      <c r="G75" s="106"/>
      <c r="H75" s="106"/>
      <c r="I75" s="106"/>
      <c r="J75" s="106"/>
      <c r="K75" s="106"/>
      <c r="L75" s="107"/>
      <c r="M75" s="107"/>
      <c r="N75" s="106"/>
      <c r="O75" s="107"/>
      <c r="P75" s="106"/>
      <c r="Q75" s="107"/>
      <c r="R75" s="107"/>
      <c r="S75" s="106"/>
      <c r="T75" s="201"/>
    </row>
    <row r="76" spans="1:20" ht="18.5" customHeight="1" x14ac:dyDescent="0.25">
      <c r="A76" s="373" t="s">
        <v>359</v>
      </c>
      <c r="B76" s="375" t="s">
        <v>360</v>
      </c>
      <c r="C76" s="375" t="s">
        <v>361</v>
      </c>
      <c r="D76" s="377" t="s">
        <v>180</v>
      </c>
      <c r="E76" s="363" t="s">
        <v>288</v>
      </c>
      <c r="F76" s="363" t="s">
        <v>177</v>
      </c>
      <c r="G76" s="365"/>
      <c r="H76" s="166" t="s">
        <v>130</v>
      </c>
      <c r="I76" s="198" t="s">
        <v>118</v>
      </c>
      <c r="J76" s="198" t="s">
        <v>118</v>
      </c>
      <c r="K76" s="123"/>
      <c r="L76" s="198" t="s">
        <v>118</v>
      </c>
      <c r="M76" s="198" t="s">
        <v>118</v>
      </c>
      <c r="N76" s="123"/>
      <c r="O76" s="200">
        <v>1</v>
      </c>
      <c r="P76" s="198" t="s">
        <v>118</v>
      </c>
      <c r="Q76" s="371"/>
      <c r="R76" s="379"/>
      <c r="S76" s="371" t="s">
        <v>303</v>
      </c>
    </row>
    <row r="77" spans="1:20" ht="45.5" customHeight="1" thickBot="1" x14ac:dyDescent="0.3">
      <c r="A77" s="374"/>
      <c r="B77" s="376"/>
      <c r="C77" s="376"/>
      <c r="D77" s="378"/>
      <c r="E77" s="364"/>
      <c r="F77" s="364"/>
      <c r="G77" s="366"/>
      <c r="H77" s="167" t="s">
        <v>131</v>
      </c>
      <c r="I77" s="124" t="s">
        <v>118</v>
      </c>
      <c r="J77" s="124" t="s">
        <v>118</v>
      </c>
      <c r="K77" s="124"/>
      <c r="L77" s="124" t="s">
        <v>118</v>
      </c>
      <c r="M77" s="124" t="s">
        <v>118</v>
      </c>
      <c r="N77" s="124"/>
      <c r="O77" s="124">
        <v>0</v>
      </c>
      <c r="P77" s="124">
        <v>0</v>
      </c>
      <c r="Q77" s="372"/>
      <c r="R77" s="380"/>
      <c r="S77" s="372"/>
    </row>
  </sheetData>
  <autoFilter ref="A1:P5" xr:uid="{00000000-0009-0000-0000-00000C000000}">
    <filterColumn colId="8" showButton="0"/>
    <filterColumn colId="11" showButton="0"/>
    <filterColumn colId="14" showButton="0"/>
    <filterColumn colId="15" showButton="0"/>
  </autoFilter>
  <dataConsolidate/>
  <mergeCells count="324">
    <mergeCell ref="A6:A7"/>
    <mergeCell ref="B6:B7"/>
    <mergeCell ref="C6:C7"/>
    <mergeCell ref="D6:D7"/>
    <mergeCell ref="E6:E7"/>
    <mergeCell ref="Q4:Q5"/>
    <mergeCell ref="R4:R5"/>
    <mergeCell ref="D4:D5"/>
    <mergeCell ref="I2:K2"/>
    <mergeCell ref="L2:N2"/>
    <mergeCell ref="O2:Q2"/>
    <mergeCell ref="A2:C2"/>
    <mergeCell ref="D2:G2"/>
    <mergeCell ref="E4:E5"/>
    <mergeCell ref="F4:F5"/>
    <mergeCell ref="G4:G5"/>
    <mergeCell ref="A4:A5"/>
    <mergeCell ref="B4:B5"/>
    <mergeCell ref="C4:C5"/>
    <mergeCell ref="A8:A9"/>
    <mergeCell ref="B8:B9"/>
    <mergeCell ref="C8:C9"/>
    <mergeCell ref="D8:D9"/>
    <mergeCell ref="E8:E9"/>
    <mergeCell ref="F8:F9"/>
    <mergeCell ref="G8:G9"/>
    <mergeCell ref="S8:S9"/>
    <mergeCell ref="R8:R9"/>
    <mergeCell ref="A15:A16"/>
    <mergeCell ref="B15:B16"/>
    <mergeCell ref="C15:C16"/>
    <mergeCell ref="D15:D16"/>
    <mergeCell ref="E15:E16"/>
    <mergeCell ref="F11:F12"/>
    <mergeCell ref="G11:G12"/>
    <mergeCell ref="S11:S12"/>
    <mergeCell ref="R11:R12"/>
    <mergeCell ref="A13:A14"/>
    <mergeCell ref="B13:B14"/>
    <mergeCell ref="C13:C14"/>
    <mergeCell ref="D13:D14"/>
    <mergeCell ref="E13:E14"/>
    <mergeCell ref="F13:F14"/>
    <mergeCell ref="G13:G14"/>
    <mergeCell ref="S13:S14"/>
    <mergeCell ref="R13:R14"/>
    <mergeCell ref="A11:A12"/>
    <mergeCell ref="B11:B12"/>
    <mergeCell ref="C11:C12"/>
    <mergeCell ref="D11:D12"/>
    <mergeCell ref="E11:E12"/>
    <mergeCell ref="A18:A19"/>
    <mergeCell ref="B18:B19"/>
    <mergeCell ref="C18:C19"/>
    <mergeCell ref="D18:D19"/>
    <mergeCell ref="E18:E19"/>
    <mergeCell ref="F18:F19"/>
    <mergeCell ref="G18:G19"/>
    <mergeCell ref="Q18:Q19"/>
    <mergeCell ref="R18:R19"/>
    <mergeCell ref="S18:S19"/>
    <mergeCell ref="Q6:Q7"/>
    <mergeCell ref="Q8:Q9"/>
    <mergeCell ref="Q11:Q12"/>
    <mergeCell ref="Q13:Q14"/>
    <mergeCell ref="Q15:Q16"/>
    <mergeCell ref="S4:S5"/>
    <mergeCell ref="F15:F16"/>
    <mergeCell ref="G15:G16"/>
    <mergeCell ref="S15:S16"/>
    <mergeCell ref="R15:R16"/>
    <mergeCell ref="F6:F7"/>
    <mergeCell ref="G6:G7"/>
    <mergeCell ref="S6:S7"/>
    <mergeCell ref="R6:R7"/>
    <mergeCell ref="F22:F23"/>
    <mergeCell ref="G22:G23"/>
    <mergeCell ref="Q22:Q23"/>
    <mergeCell ref="R22:R23"/>
    <mergeCell ref="S22:S23"/>
    <mergeCell ref="A22:A23"/>
    <mergeCell ref="B22:B23"/>
    <mergeCell ref="C22:C23"/>
    <mergeCell ref="D22:D23"/>
    <mergeCell ref="E22:E23"/>
    <mergeCell ref="F24:F25"/>
    <mergeCell ref="G24:G25"/>
    <mergeCell ref="Q24:Q25"/>
    <mergeCell ref="R24:R25"/>
    <mergeCell ref="S24:S25"/>
    <mergeCell ref="A24:A25"/>
    <mergeCell ref="B24:B25"/>
    <mergeCell ref="C24:C25"/>
    <mergeCell ref="D24:D25"/>
    <mergeCell ref="E24:E25"/>
    <mergeCell ref="F26:F27"/>
    <mergeCell ref="G26:G27"/>
    <mergeCell ref="Q26:Q27"/>
    <mergeCell ref="R26:R27"/>
    <mergeCell ref="S26:S27"/>
    <mergeCell ref="A26:A27"/>
    <mergeCell ref="B26:B27"/>
    <mergeCell ref="C26:C27"/>
    <mergeCell ref="D26:D27"/>
    <mergeCell ref="E26:E27"/>
    <mergeCell ref="F28:F29"/>
    <mergeCell ref="G28:G29"/>
    <mergeCell ref="Q28:Q29"/>
    <mergeCell ref="R28:R29"/>
    <mergeCell ref="S28:S29"/>
    <mergeCell ref="A28:A29"/>
    <mergeCell ref="B28:B29"/>
    <mergeCell ref="C28:C29"/>
    <mergeCell ref="D28:D29"/>
    <mergeCell ref="E28:E29"/>
    <mergeCell ref="F30:F31"/>
    <mergeCell ref="G30:G31"/>
    <mergeCell ref="Q30:Q31"/>
    <mergeCell ref="R30:R31"/>
    <mergeCell ref="S30:S31"/>
    <mergeCell ref="A30:A31"/>
    <mergeCell ref="B30:B31"/>
    <mergeCell ref="C30:C31"/>
    <mergeCell ref="D30:D31"/>
    <mergeCell ref="E30:E31"/>
    <mergeCell ref="F32:F33"/>
    <mergeCell ref="G32:G33"/>
    <mergeCell ref="Q32:Q33"/>
    <mergeCell ref="R32:R33"/>
    <mergeCell ref="S32:S33"/>
    <mergeCell ref="A32:A33"/>
    <mergeCell ref="B32:B33"/>
    <mergeCell ref="C32:C33"/>
    <mergeCell ref="D32:D33"/>
    <mergeCell ref="E32:E33"/>
    <mergeCell ref="F34:F35"/>
    <mergeCell ref="G34:G35"/>
    <mergeCell ref="Q34:Q35"/>
    <mergeCell ref="R34:R35"/>
    <mergeCell ref="S34:S35"/>
    <mergeCell ref="A34:A35"/>
    <mergeCell ref="B34:B35"/>
    <mergeCell ref="C34:C35"/>
    <mergeCell ref="D34:D35"/>
    <mergeCell ref="E34:E35"/>
    <mergeCell ref="F36:F37"/>
    <mergeCell ref="G36:G37"/>
    <mergeCell ref="Q36:Q37"/>
    <mergeCell ref="R36:R37"/>
    <mergeCell ref="S36:S37"/>
    <mergeCell ref="A36:A37"/>
    <mergeCell ref="B36:B37"/>
    <mergeCell ref="C36:C37"/>
    <mergeCell ref="D36:D37"/>
    <mergeCell ref="E36:E37"/>
    <mergeCell ref="F38:F39"/>
    <mergeCell ref="G38:G39"/>
    <mergeCell ref="Q38:Q39"/>
    <mergeCell ref="R38:R39"/>
    <mergeCell ref="S38:S39"/>
    <mergeCell ref="A38:A39"/>
    <mergeCell ref="B38:B39"/>
    <mergeCell ref="C38:C39"/>
    <mergeCell ref="D38:D39"/>
    <mergeCell ref="E38:E39"/>
    <mergeCell ref="F41:F42"/>
    <mergeCell ref="G41:G42"/>
    <mergeCell ref="Q41:Q42"/>
    <mergeCell ref="R41:R42"/>
    <mergeCell ref="S41:S42"/>
    <mergeCell ref="A41:A42"/>
    <mergeCell ref="B41:B42"/>
    <mergeCell ref="C41:C42"/>
    <mergeCell ref="D41:D42"/>
    <mergeCell ref="E41:E42"/>
    <mergeCell ref="F44:F45"/>
    <mergeCell ref="G44:G45"/>
    <mergeCell ref="Q44:Q45"/>
    <mergeCell ref="R44:R45"/>
    <mergeCell ref="S44:S45"/>
    <mergeCell ref="A44:A45"/>
    <mergeCell ref="B44:B45"/>
    <mergeCell ref="C44:C45"/>
    <mergeCell ref="D44:D45"/>
    <mergeCell ref="E44:E45"/>
    <mergeCell ref="F46:F47"/>
    <mergeCell ref="G46:G47"/>
    <mergeCell ref="Q46:Q47"/>
    <mergeCell ref="R46:R47"/>
    <mergeCell ref="S46:S47"/>
    <mergeCell ref="A46:A47"/>
    <mergeCell ref="B46:B47"/>
    <mergeCell ref="C46:C47"/>
    <mergeCell ref="D46:D47"/>
    <mergeCell ref="E46:E47"/>
    <mergeCell ref="F48:F49"/>
    <mergeCell ref="G48:G49"/>
    <mergeCell ref="Q48:Q49"/>
    <mergeCell ref="R48:R49"/>
    <mergeCell ref="S48:S49"/>
    <mergeCell ref="A48:A49"/>
    <mergeCell ref="B48:B49"/>
    <mergeCell ref="C48:C49"/>
    <mergeCell ref="D48:D49"/>
    <mergeCell ref="E48:E49"/>
    <mergeCell ref="F51:F52"/>
    <mergeCell ref="G51:G52"/>
    <mergeCell ref="Q51:Q52"/>
    <mergeCell ref="R51:R52"/>
    <mergeCell ref="S51:S52"/>
    <mergeCell ref="A51:A52"/>
    <mergeCell ref="B51:B52"/>
    <mergeCell ref="C51:C52"/>
    <mergeCell ref="D51:D52"/>
    <mergeCell ref="E51:E52"/>
    <mergeCell ref="F54:F55"/>
    <mergeCell ref="G54:G55"/>
    <mergeCell ref="Q54:Q55"/>
    <mergeCell ref="R54:R55"/>
    <mergeCell ref="S54:S55"/>
    <mergeCell ref="A54:A55"/>
    <mergeCell ref="B54:B55"/>
    <mergeCell ref="C54:C55"/>
    <mergeCell ref="D54:D55"/>
    <mergeCell ref="E54:E55"/>
    <mergeCell ref="F56:F57"/>
    <mergeCell ref="G56:G57"/>
    <mergeCell ref="Q56:Q57"/>
    <mergeCell ref="R56:R57"/>
    <mergeCell ref="S56:S57"/>
    <mergeCell ref="A56:A57"/>
    <mergeCell ref="B56:B57"/>
    <mergeCell ref="C56:C57"/>
    <mergeCell ref="D56:D57"/>
    <mergeCell ref="E56:E57"/>
    <mergeCell ref="F59:F60"/>
    <mergeCell ref="G59:G60"/>
    <mergeCell ref="Q59:Q60"/>
    <mergeCell ref="R59:R60"/>
    <mergeCell ref="S59:S60"/>
    <mergeCell ref="A59:A60"/>
    <mergeCell ref="B59:B60"/>
    <mergeCell ref="C59:C60"/>
    <mergeCell ref="D59:D60"/>
    <mergeCell ref="E59:E60"/>
    <mergeCell ref="F61:F62"/>
    <mergeCell ref="G61:G62"/>
    <mergeCell ref="Q61:Q62"/>
    <mergeCell ref="R61:R62"/>
    <mergeCell ref="S61:S62"/>
    <mergeCell ref="A61:A62"/>
    <mergeCell ref="B61:B62"/>
    <mergeCell ref="C61:C62"/>
    <mergeCell ref="D61:D62"/>
    <mergeCell ref="E61:E62"/>
    <mergeCell ref="F64:F65"/>
    <mergeCell ref="G64:G65"/>
    <mergeCell ref="Q64:Q65"/>
    <mergeCell ref="R64:R65"/>
    <mergeCell ref="S64:S65"/>
    <mergeCell ref="A64:A65"/>
    <mergeCell ref="B64:B65"/>
    <mergeCell ref="C64:C65"/>
    <mergeCell ref="D64:D65"/>
    <mergeCell ref="E64:E65"/>
    <mergeCell ref="F66:F67"/>
    <mergeCell ref="G66:G67"/>
    <mergeCell ref="Q66:Q67"/>
    <mergeCell ref="R66:R67"/>
    <mergeCell ref="S66:S67"/>
    <mergeCell ref="A66:A67"/>
    <mergeCell ref="B66:B67"/>
    <mergeCell ref="C66:C67"/>
    <mergeCell ref="D66:D67"/>
    <mergeCell ref="E66:E67"/>
    <mergeCell ref="F68:F69"/>
    <mergeCell ref="G68:G69"/>
    <mergeCell ref="Q68:Q69"/>
    <mergeCell ref="R68:R69"/>
    <mergeCell ref="S68:S69"/>
    <mergeCell ref="A68:A69"/>
    <mergeCell ref="B68:B69"/>
    <mergeCell ref="C68:C69"/>
    <mergeCell ref="D68:D69"/>
    <mergeCell ref="E68:E69"/>
    <mergeCell ref="F71:F72"/>
    <mergeCell ref="G71:G72"/>
    <mergeCell ref="Q71:Q72"/>
    <mergeCell ref="R71:R72"/>
    <mergeCell ref="S71:S72"/>
    <mergeCell ref="A71:A72"/>
    <mergeCell ref="B71:B72"/>
    <mergeCell ref="C71:C72"/>
    <mergeCell ref="D71:D72"/>
    <mergeCell ref="E71:E72"/>
    <mergeCell ref="F73:F74"/>
    <mergeCell ref="G73:G74"/>
    <mergeCell ref="Q73:Q74"/>
    <mergeCell ref="S73:S74"/>
    <mergeCell ref="A73:A74"/>
    <mergeCell ref="B73:B74"/>
    <mergeCell ref="C73:C74"/>
    <mergeCell ref="D73:D74"/>
    <mergeCell ref="E73:E74"/>
    <mergeCell ref="F76:F77"/>
    <mergeCell ref="G76:G77"/>
    <mergeCell ref="Q76:Q77"/>
    <mergeCell ref="R76:R77"/>
    <mergeCell ref="S76:S77"/>
    <mergeCell ref="A76:A77"/>
    <mergeCell ref="B76:B77"/>
    <mergeCell ref="C76:C77"/>
    <mergeCell ref="D76:D77"/>
    <mergeCell ref="E76:E77"/>
    <mergeCell ref="F20:F21"/>
    <mergeCell ref="G20:G21"/>
    <mergeCell ref="Q20:Q21"/>
    <mergeCell ref="R20:R21"/>
    <mergeCell ref="S20:S21"/>
    <mergeCell ref="A20:A21"/>
    <mergeCell ref="B20:B21"/>
    <mergeCell ref="C20:C21"/>
    <mergeCell ref="D20:D21"/>
    <mergeCell ref="E20:E21"/>
  </mergeCells>
  <conditionalFormatting sqref="Q4 Q6 Q8 Q11 Q13 Q15 Q18 Q22 Q24">
    <cfRule type="expression" dxfId="1213" priority="1139">
      <formula>P4=P5</formula>
    </cfRule>
  </conditionalFormatting>
  <conditionalFormatting sqref="I5">
    <cfRule type="expression" dxfId="1212" priority="1132">
      <formula>IF(I5="D",TRUE,FALSE)</formula>
    </cfRule>
    <cfRule type="expression" dxfId="1211" priority="1133">
      <formula>IF(I5="P",TRUE,FALSE)</formula>
    </cfRule>
    <cfRule type="expression" dxfId="1210" priority="1134">
      <formula>IF(I5="N",TRUE,FALSE)</formula>
    </cfRule>
    <cfRule type="expression" dxfId="1209" priority="1135">
      <formula>IF(I5="F",TRUE,FALSE)</formula>
    </cfRule>
    <cfRule type="expression" dxfId="1208" priority="1140">
      <formula>IF(I5="NA",TRUE,FALSE)</formula>
    </cfRule>
  </conditionalFormatting>
  <conditionalFormatting sqref="J5:K5">
    <cfRule type="expression" dxfId="1207" priority="1099">
      <formula>IF(J5="D",TRUE,FALSE)</formula>
    </cfRule>
    <cfRule type="expression" dxfId="1206" priority="1100">
      <formula>IF(J5="P",TRUE,FALSE)</formula>
    </cfRule>
    <cfRule type="expression" dxfId="1205" priority="1101">
      <formula>IF(J5="N",TRUE,FALSE)</formula>
    </cfRule>
    <cfRule type="expression" dxfId="1204" priority="1102">
      <formula>IF(J5="F",TRUE,FALSE)</formula>
    </cfRule>
    <cfRule type="expression" dxfId="1203" priority="1103">
      <formula>IF(J5="NA",TRUE,FALSE)</formula>
    </cfRule>
  </conditionalFormatting>
  <conditionalFormatting sqref="L5">
    <cfRule type="expression" dxfId="1202" priority="1094">
      <formula>IF(L5="D",TRUE,FALSE)</formula>
    </cfRule>
    <cfRule type="expression" dxfId="1201" priority="1095">
      <formula>IF(L5="P",TRUE,FALSE)</formula>
    </cfRule>
    <cfRule type="expression" dxfId="1200" priority="1096">
      <formula>IF(L5="N",TRUE,FALSE)</formula>
    </cfRule>
    <cfRule type="expression" dxfId="1199" priority="1097">
      <formula>IF(L5="F",TRUE,FALSE)</formula>
    </cfRule>
    <cfRule type="expression" dxfId="1198" priority="1098">
      <formula>IF(L5="NA",TRUE,FALSE)</formula>
    </cfRule>
  </conditionalFormatting>
  <conditionalFormatting sqref="M5:N5">
    <cfRule type="expression" dxfId="1197" priority="1089">
      <formula>IF(M5="D",TRUE,FALSE)</formula>
    </cfRule>
    <cfRule type="expression" dxfId="1196" priority="1090">
      <formula>IF(M5="P",TRUE,FALSE)</formula>
    </cfRule>
    <cfRule type="expression" dxfId="1195" priority="1091">
      <formula>IF(M5="N",TRUE,FALSE)</formula>
    </cfRule>
    <cfRule type="expression" dxfId="1194" priority="1092">
      <formula>IF(M5="F",TRUE,FALSE)</formula>
    </cfRule>
    <cfRule type="expression" dxfId="1193" priority="1093">
      <formula>IF(M5="NA",TRUE,FALSE)</formula>
    </cfRule>
  </conditionalFormatting>
  <conditionalFormatting sqref="O5">
    <cfRule type="expression" dxfId="1192" priority="1084">
      <formula>IF(O5="D",TRUE,FALSE)</formula>
    </cfRule>
    <cfRule type="expression" dxfId="1191" priority="1085">
      <formula>IF(O5="P",TRUE,FALSE)</formula>
    </cfRule>
    <cfRule type="expression" dxfId="1190" priority="1086">
      <formula>IF(O5="N",TRUE,FALSE)</formula>
    </cfRule>
    <cfRule type="expression" dxfId="1189" priority="1087">
      <formula>IF(O5="F",TRUE,FALSE)</formula>
    </cfRule>
    <cfRule type="expression" dxfId="1188" priority="1088">
      <formula>IF(O5="NA",TRUE,FALSE)</formula>
    </cfRule>
  </conditionalFormatting>
  <conditionalFormatting sqref="P5">
    <cfRule type="expression" dxfId="1187" priority="1079">
      <formula>IF(P5="D",TRUE,FALSE)</formula>
    </cfRule>
    <cfRule type="expression" dxfId="1186" priority="1080">
      <formula>IF(P5="P",TRUE,FALSE)</formula>
    </cfRule>
    <cfRule type="expression" dxfId="1185" priority="1081">
      <formula>IF(P5="N",TRUE,FALSE)</formula>
    </cfRule>
    <cfRule type="expression" dxfId="1184" priority="1082">
      <formula>IF(P5="F",TRUE,FALSE)</formula>
    </cfRule>
    <cfRule type="expression" dxfId="1183" priority="1083">
      <formula>IF(P5="NA",TRUE,FALSE)</formula>
    </cfRule>
  </conditionalFormatting>
  <conditionalFormatting sqref="I7">
    <cfRule type="expression" dxfId="1182" priority="1070">
      <formula>IF(I7="D",TRUE,FALSE)</formula>
    </cfRule>
    <cfRule type="expression" dxfId="1181" priority="1071">
      <formula>IF(I7="P",TRUE,FALSE)</formula>
    </cfRule>
    <cfRule type="expression" dxfId="1180" priority="1072">
      <formula>IF(I7="N",TRUE,FALSE)</formula>
    </cfRule>
    <cfRule type="expression" dxfId="1179" priority="1073">
      <formula>IF(I7="F",TRUE,FALSE)</formula>
    </cfRule>
    <cfRule type="expression" dxfId="1178" priority="1075">
      <formula>IF(I7="NA",TRUE,FALSE)</formula>
    </cfRule>
  </conditionalFormatting>
  <conditionalFormatting sqref="K7">
    <cfRule type="expression" dxfId="1177" priority="1065">
      <formula>IF(K7="D",TRUE,FALSE)</formula>
    </cfRule>
    <cfRule type="expression" dxfId="1176" priority="1066">
      <formula>IF(K7="P",TRUE,FALSE)</formula>
    </cfRule>
    <cfRule type="expression" dxfId="1175" priority="1067">
      <formula>IF(K7="N",TRUE,FALSE)</formula>
    </cfRule>
    <cfRule type="expression" dxfId="1174" priority="1068">
      <formula>IF(K7="F",TRUE,FALSE)</formula>
    </cfRule>
    <cfRule type="expression" dxfId="1173" priority="1069">
      <formula>IF(K7="NA",TRUE,FALSE)</formula>
    </cfRule>
  </conditionalFormatting>
  <conditionalFormatting sqref="L12">
    <cfRule type="expression" dxfId="1172" priority="1007">
      <formula>IF(L12="D",TRUE,FALSE)</formula>
    </cfRule>
    <cfRule type="expression" dxfId="1171" priority="1008">
      <formula>IF(L12="P",TRUE,FALSE)</formula>
    </cfRule>
    <cfRule type="expression" dxfId="1170" priority="1009">
      <formula>IF(L12="N",TRUE,FALSE)</formula>
    </cfRule>
    <cfRule type="expression" dxfId="1169" priority="1010">
      <formula>IF(L12="F",TRUE,FALSE)</formula>
    </cfRule>
    <cfRule type="expression" dxfId="1168" priority="1011">
      <formula>IF(L12="NA",TRUE,FALSE)</formula>
    </cfRule>
  </conditionalFormatting>
  <conditionalFormatting sqref="N7">
    <cfRule type="expression" dxfId="1167" priority="1055">
      <formula>IF(N7="D",TRUE,FALSE)</formula>
    </cfRule>
    <cfRule type="expression" dxfId="1166" priority="1056">
      <formula>IF(N7="P",TRUE,FALSE)</formula>
    </cfRule>
    <cfRule type="expression" dxfId="1165" priority="1057">
      <formula>IF(N7="N",TRUE,FALSE)</formula>
    </cfRule>
    <cfRule type="expression" dxfId="1164" priority="1058">
      <formula>IF(N7="F",TRUE,FALSE)</formula>
    </cfRule>
    <cfRule type="expression" dxfId="1163" priority="1059">
      <formula>IF(N7="NA",TRUE,FALSE)</formula>
    </cfRule>
  </conditionalFormatting>
  <conditionalFormatting sqref="O12">
    <cfRule type="expression" dxfId="1162" priority="997">
      <formula>IF(O12="D",TRUE,FALSE)</formula>
    </cfRule>
    <cfRule type="expression" dxfId="1161" priority="998">
      <formula>IF(O12="P",TRUE,FALSE)</formula>
    </cfRule>
    <cfRule type="expression" dxfId="1160" priority="999">
      <formula>IF(O12="N",TRUE,FALSE)</formula>
    </cfRule>
    <cfRule type="expression" dxfId="1159" priority="1000">
      <formula>IF(O12="F",TRUE,FALSE)</formula>
    </cfRule>
    <cfRule type="expression" dxfId="1158" priority="1001">
      <formula>IF(O12="NA",TRUE,FALSE)</formula>
    </cfRule>
  </conditionalFormatting>
  <conditionalFormatting sqref="P12">
    <cfRule type="expression" dxfId="1157" priority="992">
      <formula>IF(P12="D",TRUE,FALSE)</formula>
    </cfRule>
    <cfRule type="expression" dxfId="1156" priority="993">
      <formula>IF(P12="P",TRUE,FALSE)</formula>
    </cfRule>
    <cfRule type="expression" dxfId="1155" priority="994">
      <formula>IF(P12="N",TRUE,FALSE)</formula>
    </cfRule>
    <cfRule type="expression" dxfId="1154" priority="995">
      <formula>IF(P12="F",TRUE,FALSE)</formula>
    </cfRule>
    <cfRule type="expression" dxfId="1153" priority="996">
      <formula>IF(P12="NA",TRUE,FALSE)</formula>
    </cfRule>
  </conditionalFormatting>
  <conditionalFormatting sqref="P16">
    <cfRule type="expression" dxfId="1152" priority="924">
      <formula>IF(P16="D",TRUE,FALSE)</formula>
    </cfRule>
    <cfRule type="expression" dxfId="1151" priority="925">
      <formula>IF(P16="P",TRUE,FALSE)</formula>
    </cfRule>
    <cfRule type="expression" dxfId="1150" priority="926">
      <formula>IF(P16="N",TRUE,FALSE)</formula>
    </cfRule>
    <cfRule type="expression" dxfId="1149" priority="927">
      <formula>IF(P16="F",TRUE,FALSE)</formula>
    </cfRule>
    <cfRule type="expression" dxfId="1148" priority="928">
      <formula>IF(P16="NA",TRUE,FALSE)</formula>
    </cfRule>
  </conditionalFormatting>
  <conditionalFormatting sqref="S8">
    <cfRule type="expression" dxfId="1147" priority="1040">
      <formula>P8=P9</formula>
    </cfRule>
  </conditionalFormatting>
  <conditionalFormatting sqref="I9">
    <cfRule type="expression" dxfId="1146" priority="1036">
      <formula>IF(I9="D",TRUE,FALSE)</formula>
    </cfRule>
    <cfRule type="expression" dxfId="1145" priority="1037">
      <formula>IF(I9="P",TRUE,FALSE)</formula>
    </cfRule>
    <cfRule type="expression" dxfId="1144" priority="1038">
      <formula>IF(I9="N",TRUE,FALSE)</formula>
    </cfRule>
    <cfRule type="expression" dxfId="1143" priority="1039">
      <formula>IF(I9="F",TRUE,FALSE)</formula>
    </cfRule>
    <cfRule type="expression" dxfId="1142" priority="1041">
      <formula>IF(I9="NA",TRUE,FALSE)</formula>
    </cfRule>
  </conditionalFormatting>
  <conditionalFormatting sqref="K9">
    <cfRule type="expression" dxfId="1141" priority="1031">
      <formula>IF(K9="D",TRUE,FALSE)</formula>
    </cfRule>
    <cfRule type="expression" dxfId="1140" priority="1032">
      <formula>IF(K9="P",TRUE,FALSE)</formula>
    </cfRule>
    <cfRule type="expression" dxfId="1139" priority="1033">
      <formula>IF(K9="N",TRUE,FALSE)</formula>
    </cfRule>
    <cfRule type="expression" dxfId="1138" priority="1034">
      <formula>IF(K9="F",TRUE,FALSE)</formula>
    </cfRule>
    <cfRule type="expression" dxfId="1137" priority="1035">
      <formula>IF(K9="NA",TRUE,FALSE)</formula>
    </cfRule>
  </conditionalFormatting>
  <conditionalFormatting sqref="N9">
    <cfRule type="expression" dxfId="1136" priority="1026">
      <formula>IF(N9="D",TRUE,FALSE)</formula>
    </cfRule>
    <cfRule type="expression" dxfId="1135" priority="1027">
      <formula>IF(N9="P",TRUE,FALSE)</formula>
    </cfRule>
    <cfRule type="expression" dxfId="1134" priority="1028">
      <formula>IF(N9="N",TRUE,FALSE)</formula>
    </cfRule>
    <cfRule type="expression" dxfId="1133" priority="1029">
      <formula>IF(N9="F",TRUE,FALSE)</formula>
    </cfRule>
    <cfRule type="expression" dxfId="1132" priority="1030">
      <formula>IF(N9="NA",TRUE,FALSE)</formula>
    </cfRule>
  </conditionalFormatting>
  <conditionalFormatting sqref="S11">
    <cfRule type="expression" dxfId="1131" priority="1021">
      <formula>P11=P12</formula>
    </cfRule>
  </conditionalFormatting>
  <conditionalFormatting sqref="I12">
    <cfRule type="expression" dxfId="1130" priority="1017">
      <formula>IF(I12="D",TRUE,FALSE)</formula>
    </cfRule>
    <cfRule type="expression" dxfId="1129" priority="1018">
      <formula>IF(I12="P",TRUE,FALSE)</formula>
    </cfRule>
    <cfRule type="expression" dxfId="1128" priority="1019">
      <formula>IF(I12="N",TRUE,FALSE)</formula>
    </cfRule>
    <cfRule type="expression" dxfId="1127" priority="1020">
      <formula>IF(I12="F",TRUE,FALSE)</formula>
    </cfRule>
    <cfRule type="expression" dxfId="1126" priority="1022">
      <formula>IF(I12="NA",TRUE,FALSE)</formula>
    </cfRule>
  </conditionalFormatting>
  <conditionalFormatting sqref="J12:K12">
    <cfRule type="expression" dxfId="1125" priority="1012">
      <formula>IF(J12="D",TRUE,FALSE)</formula>
    </cfRule>
    <cfRule type="expression" dxfId="1124" priority="1013">
      <formula>IF(J12="P",TRUE,FALSE)</formula>
    </cfRule>
    <cfRule type="expression" dxfId="1123" priority="1014">
      <formula>IF(J12="N",TRUE,FALSE)</formula>
    </cfRule>
    <cfRule type="expression" dxfId="1122" priority="1015">
      <formula>IF(J12="F",TRUE,FALSE)</formula>
    </cfRule>
    <cfRule type="expression" dxfId="1121" priority="1016">
      <formula>IF(J12="NA",TRUE,FALSE)</formula>
    </cfRule>
  </conditionalFormatting>
  <conditionalFormatting sqref="L16">
    <cfRule type="expression" dxfId="1120" priority="939">
      <formula>IF(L16="D",TRUE,FALSE)</formula>
    </cfRule>
    <cfRule type="expression" dxfId="1119" priority="940">
      <formula>IF(L16="P",TRUE,FALSE)</formula>
    </cfRule>
    <cfRule type="expression" dxfId="1118" priority="941">
      <formula>IF(L16="N",TRUE,FALSE)</formula>
    </cfRule>
    <cfRule type="expression" dxfId="1117" priority="942">
      <formula>IF(L16="F",TRUE,FALSE)</formula>
    </cfRule>
    <cfRule type="expression" dxfId="1116" priority="943">
      <formula>IF(L16="NA",TRUE,FALSE)</formula>
    </cfRule>
  </conditionalFormatting>
  <conditionalFormatting sqref="M12:N12">
    <cfRule type="expression" dxfId="1115" priority="1002">
      <formula>IF(M12="D",TRUE,FALSE)</formula>
    </cfRule>
    <cfRule type="expression" dxfId="1114" priority="1003">
      <formula>IF(M12="P",TRUE,FALSE)</formula>
    </cfRule>
    <cfRule type="expression" dxfId="1113" priority="1004">
      <formula>IF(M12="N",TRUE,FALSE)</formula>
    </cfRule>
    <cfRule type="expression" dxfId="1112" priority="1005">
      <formula>IF(M12="F",TRUE,FALSE)</formula>
    </cfRule>
    <cfRule type="expression" dxfId="1111" priority="1006">
      <formula>IF(M12="NA",TRUE,FALSE)</formula>
    </cfRule>
  </conditionalFormatting>
  <conditionalFormatting sqref="O16">
    <cfRule type="expression" dxfId="1110" priority="929">
      <formula>IF(O16="D",TRUE,FALSE)</formula>
    </cfRule>
    <cfRule type="expression" dxfId="1109" priority="930">
      <formula>IF(O16="P",TRUE,FALSE)</formula>
    </cfRule>
    <cfRule type="expression" dxfId="1108" priority="931">
      <formula>IF(O16="N",TRUE,FALSE)</formula>
    </cfRule>
    <cfRule type="expression" dxfId="1107" priority="932">
      <formula>IF(O16="F",TRUE,FALSE)</formula>
    </cfRule>
    <cfRule type="expression" dxfId="1106" priority="933">
      <formula>IF(O16="NA",TRUE,FALSE)</formula>
    </cfRule>
  </conditionalFormatting>
  <conditionalFormatting sqref="L14">
    <cfRule type="expression" dxfId="1105" priority="973">
      <formula>IF(L14="D",TRUE,FALSE)</formula>
    </cfRule>
    <cfRule type="expression" dxfId="1104" priority="974">
      <formula>IF(L14="P",TRUE,FALSE)</formula>
    </cfRule>
    <cfRule type="expression" dxfId="1103" priority="975">
      <formula>IF(L14="N",TRUE,FALSE)</formula>
    </cfRule>
    <cfRule type="expression" dxfId="1102" priority="976">
      <formula>IF(L14="F",TRUE,FALSE)</formula>
    </cfRule>
    <cfRule type="expression" dxfId="1101" priority="977">
      <formula>IF(L14="NA",TRUE,FALSE)</formula>
    </cfRule>
  </conditionalFormatting>
  <conditionalFormatting sqref="O14">
    <cfRule type="expression" dxfId="1100" priority="963">
      <formula>IF(O14="D",TRUE,FALSE)</formula>
    </cfRule>
    <cfRule type="expression" dxfId="1099" priority="964">
      <formula>IF(O14="P",TRUE,FALSE)</formula>
    </cfRule>
    <cfRule type="expression" dxfId="1098" priority="965">
      <formula>IF(O14="N",TRUE,FALSE)</formula>
    </cfRule>
    <cfRule type="expression" dxfId="1097" priority="966">
      <formula>IF(O14="F",TRUE,FALSE)</formula>
    </cfRule>
    <cfRule type="expression" dxfId="1096" priority="967">
      <formula>IF(O14="NA",TRUE,FALSE)</formula>
    </cfRule>
  </conditionalFormatting>
  <conditionalFormatting sqref="P14">
    <cfRule type="expression" dxfId="1095" priority="958">
      <formula>IF(P14="D",TRUE,FALSE)</formula>
    </cfRule>
    <cfRule type="expression" dxfId="1094" priority="959">
      <formula>IF(P14="P",TRUE,FALSE)</formula>
    </cfRule>
    <cfRule type="expression" dxfId="1093" priority="960">
      <formula>IF(P14="N",TRUE,FALSE)</formula>
    </cfRule>
    <cfRule type="expression" dxfId="1092" priority="961">
      <formula>IF(P14="F",TRUE,FALSE)</formula>
    </cfRule>
    <cfRule type="expression" dxfId="1091" priority="962">
      <formula>IF(P14="NA",TRUE,FALSE)</formula>
    </cfRule>
  </conditionalFormatting>
  <conditionalFormatting sqref="S13">
    <cfRule type="expression" dxfId="1090" priority="987">
      <formula>P13=P14</formula>
    </cfRule>
  </conditionalFormatting>
  <conditionalFormatting sqref="I14">
    <cfRule type="expression" dxfId="1089" priority="983">
      <formula>IF(I14="D",TRUE,FALSE)</formula>
    </cfRule>
    <cfRule type="expression" dxfId="1088" priority="984">
      <formula>IF(I14="P",TRUE,FALSE)</formula>
    </cfRule>
    <cfRule type="expression" dxfId="1087" priority="985">
      <formula>IF(I14="N",TRUE,FALSE)</formula>
    </cfRule>
    <cfRule type="expression" dxfId="1086" priority="986">
      <formula>IF(I14="F",TRUE,FALSE)</formula>
    </cfRule>
    <cfRule type="expression" dxfId="1085" priority="988">
      <formula>IF(I14="NA",TRUE,FALSE)</formula>
    </cfRule>
  </conditionalFormatting>
  <conditionalFormatting sqref="J14:K14">
    <cfRule type="expression" dxfId="1084" priority="978">
      <formula>IF(J14="D",TRUE,FALSE)</formula>
    </cfRule>
    <cfRule type="expression" dxfId="1083" priority="979">
      <formula>IF(J14="P",TRUE,FALSE)</formula>
    </cfRule>
    <cfRule type="expression" dxfId="1082" priority="980">
      <formula>IF(J14="N",TRUE,FALSE)</formula>
    </cfRule>
    <cfRule type="expression" dxfId="1081" priority="981">
      <formula>IF(J14="F",TRUE,FALSE)</formula>
    </cfRule>
    <cfRule type="expression" dxfId="1080" priority="982">
      <formula>IF(J14="NA",TRUE,FALSE)</formula>
    </cfRule>
  </conditionalFormatting>
  <conditionalFormatting sqref="M14:N14">
    <cfRule type="expression" dxfId="1079" priority="968">
      <formula>IF(M14="D",TRUE,FALSE)</formula>
    </cfRule>
    <cfRule type="expression" dxfId="1078" priority="969">
      <formula>IF(M14="P",TRUE,FALSE)</formula>
    </cfRule>
    <cfRule type="expression" dxfId="1077" priority="970">
      <formula>IF(M14="N",TRUE,FALSE)</formula>
    </cfRule>
    <cfRule type="expression" dxfId="1076" priority="971">
      <formula>IF(M14="F",TRUE,FALSE)</formula>
    </cfRule>
    <cfRule type="expression" dxfId="1075" priority="972">
      <formula>IF(M14="NA",TRUE,FALSE)</formula>
    </cfRule>
  </conditionalFormatting>
  <conditionalFormatting sqref="S15">
    <cfRule type="expression" dxfId="1074" priority="953">
      <formula>P15=P16</formula>
    </cfRule>
  </conditionalFormatting>
  <conditionalFormatting sqref="I16">
    <cfRule type="expression" dxfId="1073" priority="949">
      <formula>IF(I16="D",TRUE,FALSE)</formula>
    </cfRule>
    <cfRule type="expression" dxfId="1072" priority="950">
      <formula>IF(I16="P",TRUE,FALSE)</formula>
    </cfRule>
    <cfRule type="expression" dxfId="1071" priority="951">
      <formula>IF(I16="N",TRUE,FALSE)</formula>
    </cfRule>
    <cfRule type="expression" dxfId="1070" priority="952">
      <formula>IF(I16="F",TRUE,FALSE)</formula>
    </cfRule>
    <cfRule type="expression" dxfId="1069" priority="954">
      <formula>IF(I16="NA",TRUE,FALSE)</formula>
    </cfRule>
  </conditionalFormatting>
  <conditionalFormatting sqref="J16:K16">
    <cfRule type="expression" dxfId="1068" priority="944">
      <formula>IF(J16="D",TRUE,FALSE)</formula>
    </cfRule>
    <cfRule type="expression" dxfId="1067" priority="945">
      <formula>IF(J16="P",TRUE,FALSE)</formula>
    </cfRule>
    <cfRule type="expression" dxfId="1066" priority="946">
      <formula>IF(J16="N",TRUE,FALSE)</formula>
    </cfRule>
    <cfRule type="expression" dxfId="1065" priority="947">
      <formula>IF(J16="F",TRUE,FALSE)</formula>
    </cfRule>
    <cfRule type="expression" dxfId="1064" priority="948">
      <formula>IF(J16="NA",TRUE,FALSE)</formula>
    </cfRule>
  </conditionalFormatting>
  <conditionalFormatting sqref="M16:N16">
    <cfRule type="expression" dxfId="1063" priority="934">
      <formula>IF(M16="D",TRUE,FALSE)</formula>
    </cfRule>
    <cfRule type="expression" dxfId="1062" priority="935">
      <formula>IF(M16="P",TRUE,FALSE)</formula>
    </cfRule>
    <cfRule type="expression" dxfId="1061" priority="936">
      <formula>IF(M16="N",TRUE,FALSE)</formula>
    </cfRule>
    <cfRule type="expression" dxfId="1060" priority="937">
      <formula>IF(M16="F",TRUE,FALSE)</formula>
    </cfRule>
    <cfRule type="expression" dxfId="1059" priority="938">
      <formula>IF(M16="NA",TRUE,FALSE)</formula>
    </cfRule>
  </conditionalFormatting>
  <conditionalFormatting sqref="P19">
    <cfRule type="expression" dxfId="1058" priority="890">
      <formula>IF(P19="D",TRUE,FALSE)</formula>
    </cfRule>
    <cfRule type="expression" dxfId="1057" priority="891">
      <formula>IF(P19="P",TRUE,FALSE)</formula>
    </cfRule>
    <cfRule type="expression" dxfId="1056" priority="892">
      <formula>IF(P19="N",TRUE,FALSE)</formula>
    </cfRule>
    <cfRule type="expression" dxfId="1055" priority="893">
      <formula>IF(P19="F",TRUE,FALSE)</formula>
    </cfRule>
    <cfRule type="expression" dxfId="1054" priority="894">
      <formula>IF(P19="NA",TRUE,FALSE)</formula>
    </cfRule>
  </conditionalFormatting>
  <conditionalFormatting sqref="L19">
    <cfRule type="expression" dxfId="1053" priority="905">
      <formula>IF(L19="D",TRUE,FALSE)</formula>
    </cfRule>
    <cfRule type="expression" dxfId="1052" priority="906">
      <formula>IF(L19="P",TRUE,FALSE)</formula>
    </cfRule>
    <cfRule type="expression" dxfId="1051" priority="907">
      <formula>IF(L19="N",TRUE,FALSE)</formula>
    </cfRule>
    <cfRule type="expression" dxfId="1050" priority="908">
      <formula>IF(L19="F",TRUE,FALSE)</formula>
    </cfRule>
    <cfRule type="expression" dxfId="1049" priority="909">
      <formula>IF(L19="NA",TRUE,FALSE)</formula>
    </cfRule>
  </conditionalFormatting>
  <conditionalFormatting sqref="O19">
    <cfRule type="expression" dxfId="1048" priority="895">
      <formula>IF(O19="D",TRUE,FALSE)</formula>
    </cfRule>
    <cfRule type="expression" dxfId="1047" priority="896">
      <formula>IF(O19="P",TRUE,FALSE)</formula>
    </cfRule>
    <cfRule type="expression" dxfId="1046" priority="897">
      <formula>IF(O19="N",TRUE,FALSE)</formula>
    </cfRule>
    <cfRule type="expression" dxfId="1045" priority="898">
      <formula>IF(O19="F",TRUE,FALSE)</formula>
    </cfRule>
    <cfRule type="expression" dxfId="1044" priority="899">
      <formula>IF(O19="NA",TRUE,FALSE)</formula>
    </cfRule>
  </conditionalFormatting>
  <conditionalFormatting sqref="I19">
    <cfRule type="expression" dxfId="1043" priority="915">
      <formula>IF(I19="D",TRUE,FALSE)</formula>
    </cfRule>
    <cfRule type="expression" dxfId="1042" priority="916">
      <formula>IF(I19="P",TRUE,FALSE)</formula>
    </cfRule>
    <cfRule type="expression" dxfId="1041" priority="917">
      <formula>IF(I19="N",TRUE,FALSE)</formula>
    </cfRule>
    <cfRule type="expression" dxfId="1040" priority="918">
      <formula>IF(I19="F",TRUE,FALSE)</formula>
    </cfRule>
    <cfRule type="expression" dxfId="1039" priority="920">
      <formula>IF(I19="NA",TRUE,FALSE)</formula>
    </cfRule>
  </conditionalFormatting>
  <conditionalFormatting sqref="J19:K19">
    <cfRule type="expression" dxfId="1038" priority="910">
      <formula>IF(J19="D",TRUE,FALSE)</formula>
    </cfRule>
    <cfRule type="expression" dxfId="1037" priority="911">
      <formula>IF(J19="P",TRUE,FALSE)</formula>
    </cfRule>
    <cfRule type="expression" dxfId="1036" priority="912">
      <formula>IF(J19="N",TRUE,FALSE)</formula>
    </cfRule>
    <cfRule type="expression" dxfId="1035" priority="913">
      <formula>IF(J19="F",TRUE,FALSE)</formula>
    </cfRule>
    <cfRule type="expression" dxfId="1034" priority="914">
      <formula>IF(J19="NA",TRUE,FALSE)</formula>
    </cfRule>
  </conditionalFormatting>
  <conditionalFormatting sqref="M19:N19">
    <cfRule type="expression" dxfId="1033" priority="900">
      <formula>IF(M19="D",TRUE,FALSE)</formula>
    </cfRule>
    <cfRule type="expression" dxfId="1032" priority="901">
      <formula>IF(M19="P",TRUE,FALSE)</formula>
    </cfRule>
    <cfRule type="expression" dxfId="1031" priority="902">
      <formula>IF(M19="N",TRUE,FALSE)</formula>
    </cfRule>
    <cfRule type="expression" dxfId="1030" priority="903">
      <formula>IF(M19="F",TRUE,FALSE)</formula>
    </cfRule>
    <cfRule type="expression" dxfId="1029" priority="904">
      <formula>IF(M19="NA",TRUE,FALSE)</formula>
    </cfRule>
  </conditionalFormatting>
  <conditionalFormatting sqref="S18">
    <cfRule type="expression" dxfId="1028" priority="889">
      <formula>R18=R19</formula>
    </cfRule>
  </conditionalFormatting>
  <conditionalFormatting sqref="P23">
    <cfRule type="expression" dxfId="1027" priority="850">
      <formula>IF(P23="D",TRUE,FALSE)</formula>
    </cfRule>
    <cfRule type="expression" dxfId="1026" priority="851">
      <formula>IF(P23="P",TRUE,FALSE)</formula>
    </cfRule>
    <cfRule type="expression" dxfId="1025" priority="852">
      <formula>IF(P23="N",TRUE,FALSE)</formula>
    </cfRule>
    <cfRule type="expression" dxfId="1024" priority="853">
      <formula>IF(P23="F",TRUE,FALSE)</formula>
    </cfRule>
    <cfRule type="expression" dxfId="1023" priority="854">
      <formula>IF(P23="NA",TRUE,FALSE)</formula>
    </cfRule>
  </conditionalFormatting>
  <conditionalFormatting sqref="L23">
    <cfRule type="expression" dxfId="1022" priority="865">
      <formula>IF(L23="D",TRUE,FALSE)</formula>
    </cfRule>
    <cfRule type="expression" dxfId="1021" priority="866">
      <formula>IF(L23="P",TRUE,FALSE)</formula>
    </cfRule>
    <cfRule type="expression" dxfId="1020" priority="867">
      <formula>IF(L23="N",TRUE,FALSE)</formula>
    </cfRule>
    <cfRule type="expression" dxfId="1019" priority="868">
      <formula>IF(L23="F",TRUE,FALSE)</formula>
    </cfRule>
    <cfRule type="expression" dxfId="1018" priority="869">
      <formula>IF(L23="NA",TRUE,FALSE)</formula>
    </cfRule>
  </conditionalFormatting>
  <conditionalFormatting sqref="O23">
    <cfRule type="expression" dxfId="1017" priority="855">
      <formula>IF(O23="D",TRUE,FALSE)</formula>
    </cfRule>
    <cfRule type="expression" dxfId="1016" priority="856">
      <formula>IF(O23="P",TRUE,FALSE)</formula>
    </cfRule>
    <cfRule type="expression" dxfId="1015" priority="857">
      <formula>IF(O23="N",TRUE,FALSE)</formula>
    </cfRule>
    <cfRule type="expression" dxfId="1014" priority="858">
      <formula>IF(O23="F",TRUE,FALSE)</formula>
    </cfRule>
    <cfRule type="expression" dxfId="1013" priority="859">
      <formula>IF(O23="NA",TRUE,FALSE)</formula>
    </cfRule>
  </conditionalFormatting>
  <conditionalFormatting sqref="I23">
    <cfRule type="expression" dxfId="1012" priority="875">
      <formula>IF(I23="D",TRUE,FALSE)</formula>
    </cfRule>
    <cfRule type="expression" dxfId="1011" priority="876">
      <formula>IF(I23="P",TRUE,FALSE)</formula>
    </cfRule>
    <cfRule type="expression" dxfId="1010" priority="877">
      <formula>IF(I23="N",TRUE,FALSE)</formula>
    </cfRule>
    <cfRule type="expression" dxfId="1009" priority="878">
      <formula>IF(I23="F",TRUE,FALSE)</formula>
    </cfRule>
    <cfRule type="expression" dxfId="1008" priority="880">
      <formula>IF(I23="NA",TRUE,FALSE)</formula>
    </cfRule>
  </conditionalFormatting>
  <conditionalFormatting sqref="J23:K23">
    <cfRule type="expression" dxfId="1007" priority="870">
      <formula>IF(J23="D",TRUE,FALSE)</formula>
    </cfRule>
    <cfRule type="expression" dxfId="1006" priority="871">
      <formula>IF(J23="P",TRUE,FALSE)</formula>
    </cfRule>
    <cfRule type="expression" dxfId="1005" priority="872">
      <formula>IF(J23="N",TRUE,FALSE)</formula>
    </cfRule>
    <cfRule type="expression" dxfId="1004" priority="873">
      <formula>IF(J23="F",TRUE,FALSE)</formula>
    </cfRule>
    <cfRule type="expression" dxfId="1003" priority="874">
      <formula>IF(J23="NA",TRUE,FALSE)</formula>
    </cfRule>
  </conditionalFormatting>
  <conditionalFormatting sqref="M23:N23">
    <cfRule type="expression" dxfId="1002" priority="860">
      <formula>IF(M23="D",TRUE,FALSE)</formula>
    </cfRule>
    <cfRule type="expression" dxfId="1001" priority="861">
      <formula>IF(M23="P",TRUE,FALSE)</formula>
    </cfRule>
    <cfRule type="expression" dxfId="1000" priority="862">
      <formula>IF(M23="N",TRUE,FALSE)</formula>
    </cfRule>
    <cfRule type="expression" dxfId="999" priority="863">
      <formula>IF(M23="F",TRUE,FALSE)</formula>
    </cfRule>
    <cfRule type="expression" dxfId="998" priority="864">
      <formula>IF(M23="NA",TRUE,FALSE)</formula>
    </cfRule>
  </conditionalFormatting>
  <conditionalFormatting sqref="S22">
    <cfRule type="expression" dxfId="997" priority="849">
      <formula>R22=R23</formula>
    </cfRule>
  </conditionalFormatting>
  <conditionalFormatting sqref="P25">
    <cfRule type="expression" dxfId="996" priority="815">
      <formula>IF(P25="D",TRUE,FALSE)</formula>
    </cfRule>
    <cfRule type="expression" dxfId="995" priority="816">
      <formula>IF(P25="P",TRUE,FALSE)</formula>
    </cfRule>
    <cfRule type="expression" dxfId="994" priority="817">
      <formula>IF(P25="N",TRUE,FALSE)</formula>
    </cfRule>
    <cfRule type="expression" dxfId="993" priority="818">
      <formula>IF(P25="F",TRUE,FALSE)</formula>
    </cfRule>
    <cfRule type="expression" dxfId="992" priority="819">
      <formula>IF(P25="NA",TRUE,FALSE)</formula>
    </cfRule>
  </conditionalFormatting>
  <conditionalFormatting sqref="L25">
    <cfRule type="expression" dxfId="991" priority="830">
      <formula>IF(L25="D",TRUE,FALSE)</formula>
    </cfRule>
    <cfRule type="expression" dxfId="990" priority="831">
      <formula>IF(L25="P",TRUE,FALSE)</formula>
    </cfRule>
    <cfRule type="expression" dxfId="989" priority="832">
      <formula>IF(L25="N",TRUE,FALSE)</formula>
    </cfRule>
    <cfRule type="expression" dxfId="988" priority="833">
      <formula>IF(L25="F",TRUE,FALSE)</formula>
    </cfRule>
    <cfRule type="expression" dxfId="987" priority="834">
      <formula>IF(L25="NA",TRUE,FALSE)</formula>
    </cfRule>
  </conditionalFormatting>
  <conditionalFormatting sqref="O25">
    <cfRule type="expression" dxfId="986" priority="820">
      <formula>IF(O25="D",TRUE,FALSE)</formula>
    </cfRule>
    <cfRule type="expression" dxfId="985" priority="821">
      <formula>IF(O25="P",TRUE,FALSE)</formula>
    </cfRule>
    <cfRule type="expression" dxfId="984" priority="822">
      <formula>IF(O25="N",TRUE,FALSE)</formula>
    </cfRule>
    <cfRule type="expression" dxfId="983" priority="823">
      <formula>IF(O25="F",TRUE,FALSE)</formula>
    </cfRule>
    <cfRule type="expression" dxfId="982" priority="824">
      <formula>IF(O25="NA",TRUE,FALSE)</formula>
    </cfRule>
  </conditionalFormatting>
  <conditionalFormatting sqref="I25">
    <cfRule type="expression" dxfId="981" priority="840">
      <formula>IF(I25="D",TRUE,FALSE)</formula>
    </cfRule>
    <cfRule type="expression" dxfId="980" priority="841">
      <formula>IF(I25="P",TRUE,FALSE)</formula>
    </cfRule>
    <cfRule type="expression" dxfId="979" priority="842">
      <formula>IF(I25="N",TRUE,FALSE)</formula>
    </cfRule>
    <cfRule type="expression" dxfId="978" priority="843">
      <formula>IF(I25="F",TRUE,FALSE)</formula>
    </cfRule>
    <cfRule type="expression" dxfId="977" priority="845">
      <formula>IF(I25="NA",TRUE,FALSE)</formula>
    </cfRule>
  </conditionalFormatting>
  <conditionalFormatting sqref="J25:K25">
    <cfRule type="expression" dxfId="976" priority="835">
      <formula>IF(J25="D",TRUE,FALSE)</formula>
    </cfRule>
    <cfRule type="expression" dxfId="975" priority="836">
      <formula>IF(J25="P",TRUE,FALSE)</formula>
    </cfRule>
    <cfRule type="expression" dxfId="974" priority="837">
      <formula>IF(J25="N",TRUE,FALSE)</formula>
    </cfRule>
    <cfRule type="expression" dxfId="973" priority="838">
      <formula>IF(J25="F",TRUE,FALSE)</formula>
    </cfRule>
    <cfRule type="expression" dxfId="972" priority="839">
      <formula>IF(J25="NA",TRUE,FALSE)</formula>
    </cfRule>
  </conditionalFormatting>
  <conditionalFormatting sqref="M25:N25">
    <cfRule type="expression" dxfId="971" priority="825">
      <formula>IF(M25="D",TRUE,FALSE)</formula>
    </cfRule>
    <cfRule type="expression" dxfId="970" priority="826">
      <formula>IF(M25="P",TRUE,FALSE)</formula>
    </cfRule>
    <cfRule type="expression" dxfId="969" priority="827">
      <formula>IF(M25="N",TRUE,FALSE)</formula>
    </cfRule>
    <cfRule type="expression" dxfId="968" priority="828">
      <formula>IF(M25="F",TRUE,FALSE)</formula>
    </cfRule>
    <cfRule type="expression" dxfId="967" priority="829">
      <formula>IF(M25="NA",TRUE,FALSE)</formula>
    </cfRule>
  </conditionalFormatting>
  <conditionalFormatting sqref="S24">
    <cfRule type="expression" dxfId="966" priority="813">
      <formula>P24=P25</formula>
    </cfRule>
  </conditionalFormatting>
  <conditionalFormatting sqref="Q26">
    <cfRule type="expression" dxfId="965" priority="810">
      <formula>P26=P27</formula>
    </cfRule>
  </conditionalFormatting>
  <conditionalFormatting sqref="P27">
    <cfRule type="expression" dxfId="964" priority="777">
      <formula>IF(P27="D",TRUE,FALSE)</formula>
    </cfRule>
    <cfRule type="expression" dxfId="963" priority="778">
      <formula>IF(P27="P",TRUE,FALSE)</formula>
    </cfRule>
    <cfRule type="expression" dxfId="962" priority="779">
      <formula>IF(P27="N",TRUE,FALSE)</formula>
    </cfRule>
    <cfRule type="expression" dxfId="961" priority="780">
      <formula>IF(P27="F",TRUE,FALSE)</formula>
    </cfRule>
    <cfRule type="expression" dxfId="960" priority="781">
      <formula>IF(P27="NA",TRUE,FALSE)</formula>
    </cfRule>
  </conditionalFormatting>
  <conditionalFormatting sqref="L27">
    <cfRule type="expression" dxfId="959" priority="792">
      <formula>IF(L27="D",TRUE,FALSE)</formula>
    </cfRule>
    <cfRule type="expression" dxfId="958" priority="793">
      <formula>IF(L27="P",TRUE,FALSE)</formula>
    </cfRule>
    <cfRule type="expression" dxfId="957" priority="794">
      <formula>IF(L27="N",TRUE,FALSE)</formula>
    </cfRule>
    <cfRule type="expression" dxfId="956" priority="795">
      <formula>IF(L27="F",TRUE,FALSE)</formula>
    </cfRule>
    <cfRule type="expression" dxfId="955" priority="796">
      <formula>IF(L27="NA",TRUE,FALSE)</formula>
    </cfRule>
  </conditionalFormatting>
  <conditionalFormatting sqref="O27">
    <cfRule type="expression" dxfId="954" priority="782">
      <formula>IF(O27="D",TRUE,FALSE)</formula>
    </cfRule>
    <cfRule type="expression" dxfId="953" priority="783">
      <formula>IF(O27="P",TRUE,FALSE)</formula>
    </cfRule>
    <cfRule type="expression" dxfId="952" priority="784">
      <formula>IF(O27="N",TRUE,FALSE)</formula>
    </cfRule>
    <cfRule type="expression" dxfId="951" priority="785">
      <formula>IF(O27="F",TRUE,FALSE)</formula>
    </cfRule>
    <cfRule type="expression" dxfId="950" priority="786">
      <formula>IF(O27="NA",TRUE,FALSE)</formula>
    </cfRule>
  </conditionalFormatting>
  <conditionalFormatting sqref="I27">
    <cfRule type="expression" dxfId="949" priority="802">
      <formula>IF(I27="D",TRUE,FALSE)</formula>
    </cfRule>
    <cfRule type="expression" dxfId="948" priority="803">
      <formula>IF(I27="P",TRUE,FALSE)</formula>
    </cfRule>
    <cfRule type="expression" dxfId="947" priority="804">
      <formula>IF(I27="N",TRUE,FALSE)</formula>
    </cfRule>
    <cfRule type="expression" dxfId="946" priority="805">
      <formula>IF(I27="F",TRUE,FALSE)</formula>
    </cfRule>
    <cfRule type="expression" dxfId="945" priority="806">
      <formula>IF(I27="NA",TRUE,FALSE)</formula>
    </cfRule>
  </conditionalFormatting>
  <conditionalFormatting sqref="J27:K27">
    <cfRule type="expression" dxfId="944" priority="797">
      <formula>IF(J27="D",TRUE,FALSE)</formula>
    </cfRule>
    <cfRule type="expression" dxfId="943" priority="798">
      <formula>IF(J27="P",TRUE,FALSE)</formula>
    </cfRule>
    <cfRule type="expression" dxfId="942" priority="799">
      <formula>IF(J27="N",TRUE,FALSE)</formula>
    </cfRule>
    <cfRule type="expression" dxfId="941" priority="800">
      <formula>IF(J27="F",TRUE,FALSE)</formula>
    </cfRule>
    <cfRule type="expression" dxfId="940" priority="801">
      <formula>IF(J27="NA",TRUE,FALSE)</formula>
    </cfRule>
  </conditionalFormatting>
  <conditionalFormatting sqref="M27:N27">
    <cfRule type="expression" dxfId="939" priority="787">
      <formula>IF(M27="D",TRUE,FALSE)</formula>
    </cfRule>
    <cfRule type="expression" dxfId="938" priority="788">
      <formula>IF(M27="P",TRUE,FALSE)</formula>
    </cfRule>
    <cfRule type="expression" dxfId="937" priority="789">
      <formula>IF(M27="N",TRUE,FALSE)</formula>
    </cfRule>
    <cfRule type="expression" dxfId="936" priority="790">
      <formula>IF(M27="F",TRUE,FALSE)</formula>
    </cfRule>
    <cfRule type="expression" dxfId="935" priority="791">
      <formula>IF(M27="NA",TRUE,FALSE)</formula>
    </cfRule>
  </conditionalFormatting>
  <conditionalFormatting sqref="S26">
    <cfRule type="expression" dxfId="934" priority="776">
      <formula>P26=P27</formula>
    </cfRule>
  </conditionalFormatting>
  <conditionalFormatting sqref="Q28">
    <cfRule type="expression" dxfId="933" priority="775">
      <formula>P28=P29</formula>
    </cfRule>
  </conditionalFormatting>
  <conditionalFormatting sqref="P29">
    <cfRule type="expression" dxfId="932" priority="742">
      <formula>IF(P29="D",TRUE,FALSE)</formula>
    </cfRule>
    <cfRule type="expression" dxfId="931" priority="743">
      <formula>IF(P29="P",TRUE,FALSE)</formula>
    </cfRule>
    <cfRule type="expression" dxfId="930" priority="744">
      <formula>IF(P29="N",TRUE,FALSE)</formula>
    </cfRule>
    <cfRule type="expression" dxfId="929" priority="745">
      <formula>IF(P29="F",TRUE,FALSE)</formula>
    </cfRule>
    <cfRule type="expression" dxfId="928" priority="746">
      <formula>IF(P29="NA",TRUE,FALSE)</formula>
    </cfRule>
  </conditionalFormatting>
  <conditionalFormatting sqref="L29">
    <cfRule type="expression" dxfId="927" priority="757">
      <formula>IF(L29="D",TRUE,FALSE)</formula>
    </cfRule>
    <cfRule type="expression" dxfId="926" priority="758">
      <formula>IF(L29="P",TRUE,FALSE)</formula>
    </cfRule>
    <cfRule type="expression" dxfId="925" priority="759">
      <formula>IF(L29="N",TRUE,FALSE)</formula>
    </cfRule>
    <cfRule type="expression" dxfId="924" priority="760">
      <formula>IF(L29="F",TRUE,FALSE)</formula>
    </cfRule>
    <cfRule type="expression" dxfId="923" priority="761">
      <formula>IF(L29="NA",TRUE,FALSE)</formula>
    </cfRule>
  </conditionalFormatting>
  <conditionalFormatting sqref="O29">
    <cfRule type="expression" dxfId="922" priority="747">
      <formula>IF(O29="D",TRUE,FALSE)</formula>
    </cfRule>
    <cfRule type="expression" dxfId="921" priority="748">
      <formula>IF(O29="P",TRUE,FALSE)</formula>
    </cfRule>
    <cfRule type="expression" dxfId="920" priority="749">
      <formula>IF(O29="N",TRUE,FALSE)</formula>
    </cfRule>
    <cfRule type="expression" dxfId="919" priority="750">
      <formula>IF(O29="F",TRUE,FALSE)</formula>
    </cfRule>
    <cfRule type="expression" dxfId="918" priority="751">
      <formula>IF(O29="NA",TRUE,FALSE)</formula>
    </cfRule>
  </conditionalFormatting>
  <conditionalFormatting sqref="I29">
    <cfRule type="expression" dxfId="917" priority="767">
      <formula>IF(I29="D",TRUE,FALSE)</formula>
    </cfRule>
    <cfRule type="expression" dxfId="916" priority="768">
      <formula>IF(I29="P",TRUE,FALSE)</formula>
    </cfRule>
    <cfRule type="expression" dxfId="915" priority="769">
      <formula>IF(I29="N",TRUE,FALSE)</formula>
    </cfRule>
    <cfRule type="expression" dxfId="914" priority="770">
      <formula>IF(I29="F",TRUE,FALSE)</formula>
    </cfRule>
    <cfRule type="expression" dxfId="913" priority="771">
      <formula>IF(I29="NA",TRUE,FALSE)</formula>
    </cfRule>
  </conditionalFormatting>
  <conditionalFormatting sqref="J29:K29">
    <cfRule type="expression" dxfId="912" priority="762">
      <formula>IF(J29="D",TRUE,FALSE)</formula>
    </cfRule>
    <cfRule type="expression" dxfId="911" priority="763">
      <formula>IF(J29="P",TRUE,FALSE)</formula>
    </cfRule>
    <cfRule type="expression" dxfId="910" priority="764">
      <formula>IF(J29="N",TRUE,FALSE)</formula>
    </cfRule>
    <cfRule type="expression" dxfId="909" priority="765">
      <formula>IF(J29="F",TRUE,FALSE)</formula>
    </cfRule>
    <cfRule type="expression" dxfId="908" priority="766">
      <formula>IF(J29="NA",TRUE,FALSE)</formula>
    </cfRule>
  </conditionalFormatting>
  <conditionalFormatting sqref="M29:N29">
    <cfRule type="expression" dxfId="907" priority="752">
      <formula>IF(M29="D",TRUE,FALSE)</formula>
    </cfRule>
    <cfRule type="expression" dxfId="906" priority="753">
      <formula>IF(M29="P",TRUE,FALSE)</formula>
    </cfRule>
    <cfRule type="expression" dxfId="905" priority="754">
      <formula>IF(M29="N",TRUE,FALSE)</formula>
    </cfRule>
    <cfRule type="expression" dxfId="904" priority="755">
      <formula>IF(M29="F",TRUE,FALSE)</formula>
    </cfRule>
    <cfRule type="expression" dxfId="903" priority="756">
      <formula>IF(M29="NA",TRUE,FALSE)</formula>
    </cfRule>
  </conditionalFormatting>
  <conditionalFormatting sqref="S28">
    <cfRule type="expression" dxfId="902" priority="741">
      <formula>P28=P29</formula>
    </cfRule>
  </conditionalFormatting>
  <conditionalFormatting sqref="Q30">
    <cfRule type="expression" dxfId="901" priority="740">
      <formula>P30=P31</formula>
    </cfRule>
  </conditionalFormatting>
  <conditionalFormatting sqref="P31">
    <cfRule type="expression" dxfId="900" priority="707">
      <formula>IF(P31="D",TRUE,FALSE)</formula>
    </cfRule>
    <cfRule type="expression" dxfId="899" priority="708">
      <formula>IF(P31="P",TRUE,FALSE)</formula>
    </cfRule>
    <cfRule type="expression" dxfId="898" priority="709">
      <formula>IF(P31="N",TRUE,FALSE)</formula>
    </cfRule>
    <cfRule type="expression" dxfId="897" priority="710">
      <formula>IF(P31="F",TRUE,FALSE)</formula>
    </cfRule>
    <cfRule type="expression" dxfId="896" priority="711">
      <formula>IF(P31="NA",TRUE,FALSE)</formula>
    </cfRule>
  </conditionalFormatting>
  <conditionalFormatting sqref="L31">
    <cfRule type="expression" dxfId="895" priority="722">
      <formula>IF(L31="D",TRUE,FALSE)</formula>
    </cfRule>
    <cfRule type="expression" dxfId="894" priority="723">
      <formula>IF(L31="P",TRUE,FALSE)</formula>
    </cfRule>
    <cfRule type="expression" dxfId="893" priority="724">
      <formula>IF(L31="N",TRUE,FALSE)</formula>
    </cfRule>
    <cfRule type="expression" dxfId="892" priority="725">
      <formula>IF(L31="F",TRUE,FALSE)</formula>
    </cfRule>
    <cfRule type="expression" dxfId="891" priority="726">
      <formula>IF(L31="NA",TRUE,FALSE)</formula>
    </cfRule>
  </conditionalFormatting>
  <conditionalFormatting sqref="O31">
    <cfRule type="expression" dxfId="890" priority="712">
      <formula>IF(O31="D",TRUE,FALSE)</formula>
    </cfRule>
    <cfRule type="expression" dxfId="889" priority="713">
      <formula>IF(O31="P",TRUE,FALSE)</formula>
    </cfRule>
    <cfRule type="expression" dxfId="888" priority="714">
      <formula>IF(O31="N",TRUE,FALSE)</formula>
    </cfRule>
    <cfRule type="expression" dxfId="887" priority="715">
      <formula>IF(O31="F",TRUE,FALSE)</formula>
    </cfRule>
    <cfRule type="expression" dxfId="886" priority="716">
      <formula>IF(O31="NA",TRUE,FALSE)</formula>
    </cfRule>
  </conditionalFormatting>
  <conditionalFormatting sqref="I31">
    <cfRule type="expression" dxfId="885" priority="732">
      <formula>IF(I31="D",TRUE,FALSE)</formula>
    </cfRule>
    <cfRule type="expression" dxfId="884" priority="733">
      <formula>IF(I31="P",TRUE,FALSE)</formula>
    </cfRule>
    <cfRule type="expression" dxfId="883" priority="734">
      <formula>IF(I31="N",TRUE,FALSE)</formula>
    </cfRule>
    <cfRule type="expression" dxfId="882" priority="735">
      <formula>IF(I31="F",TRUE,FALSE)</formula>
    </cfRule>
    <cfRule type="expression" dxfId="881" priority="736">
      <formula>IF(I31="NA",TRUE,FALSE)</formula>
    </cfRule>
  </conditionalFormatting>
  <conditionalFormatting sqref="J31:K31">
    <cfRule type="expression" dxfId="880" priority="727">
      <formula>IF(J31="D",TRUE,FALSE)</formula>
    </cfRule>
    <cfRule type="expression" dxfId="879" priority="728">
      <formula>IF(J31="P",TRUE,FALSE)</formula>
    </cfRule>
    <cfRule type="expression" dxfId="878" priority="729">
      <formula>IF(J31="N",TRUE,FALSE)</formula>
    </cfRule>
    <cfRule type="expression" dxfId="877" priority="730">
      <formula>IF(J31="F",TRUE,FALSE)</formula>
    </cfRule>
    <cfRule type="expression" dxfId="876" priority="731">
      <formula>IF(J31="NA",TRUE,FALSE)</formula>
    </cfRule>
  </conditionalFormatting>
  <conditionalFormatting sqref="M31:N31">
    <cfRule type="expression" dxfId="875" priority="717">
      <formula>IF(M31="D",TRUE,FALSE)</formula>
    </cfRule>
    <cfRule type="expression" dxfId="874" priority="718">
      <formula>IF(M31="P",TRUE,FALSE)</formula>
    </cfRule>
    <cfRule type="expression" dxfId="873" priority="719">
      <formula>IF(M31="N",TRUE,FALSE)</formula>
    </cfRule>
    <cfRule type="expression" dxfId="872" priority="720">
      <formula>IF(M31="F",TRUE,FALSE)</formula>
    </cfRule>
    <cfRule type="expression" dxfId="871" priority="721">
      <formula>IF(M31="NA",TRUE,FALSE)</formula>
    </cfRule>
  </conditionalFormatting>
  <conditionalFormatting sqref="S30">
    <cfRule type="expression" dxfId="870" priority="706">
      <formula>R30=R31</formula>
    </cfRule>
  </conditionalFormatting>
  <conditionalFormatting sqref="Q32">
    <cfRule type="expression" dxfId="869" priority="705">
      <formula>P32=P33</formula>
    </cfRule>
  </conditionalFormatting>
  <conditionalFormatting sqref="P33">
    <cfRule type="expression" dxfId="868" priority="672">
      <formula>IF(P33="D",TRUE,FALSE)</formula>
    </cfRule>
    <cfRule type="expression" dxfId="867" priority="673">
      <formula>IF(P33="P",TRUE,FALSE)</formula>
    </cfRule>
    <cfRule type="expression" dxfId="866" priority="674">
      <formula>IF(P33="N",TRUE,FALSE)</formula>
    </cfRule>
    <cfRule type="expression" dxfId="865" priority="675">
      <formula>IF(P33="F",TRUE,FALSE)</formula>
    </cfRule>
    <cfRule type="expression" dxfId="864" priority="676">
      <formula>IF(P33="NA",TRUE,FALSE)</formula>
    </cfRule>
  </conditionalFormatting>
  <conditionalFormatting sqref="L33">
    <cfRule type="expression" dxfId="863" priority="687">
      <formula>IF(L33="D",TRUE,FALSE)</formula>
    </cfRule>
    <cfRule type="expression" dxfId="862" priority="688">
      <formula>IF(L33="P",TRUE,FALSE)</formula>
    </cfRule>
    <cfRule type="expression" dxfId="861" priority="689">
      <formula>IF(L33="N",TRUE,FALSE)</formula>
    </cfRule>
    <cfRule type="expression" dxfId="860" priority="690">
      <formula>IF(L33="F",TRUE,FALSE)</formula>
    </cfRule>
    <cfRule type="expression" dxfId="859" priority="691">
      <formula>IF(L33="NA",TRUE,FALSE)</formula>
    </cfRule>
  </conditionalFormatting>
  <conditionalFormatting sqref="O33">
    <cfRule type="expression" dxfId="858" priority="677">
      <formula>IF(O33="D",TRUE,FALSE)</formula>
    </cfRule>
    <cfRule type="expression" dxfId="857" priority="678">
      <formula>IF(O33="P",TRUE,FALSE)</formula>
    </cfRule>
    <cfRule type="expression" dxfId="856" priority="679">
      <formula>IF(O33="N",TRUE,FALSE)</formula>
    </cfRule>
    <cfRule type="expression" dxfId="855" priority="680">
      <formula>IF(O33="F",TRUE,FALSE)</formula>
    </cfRule>
    <cfRule type="expression" dxfId="854" priority="681">
      <formula>IF(O33="NA",TRUE,FALSE)</formula>
    </cfRule>
  </conditionalFormatting>
  <conditionalFormatting sqref="I33">
    <cfRule type="expression" dxfId="853" priority="697">
      <formula>IF(I33="D",TRUE,FALSE)</formula>
    </cfRule>
    <cfRule type="expression" dxfId="852" priority="698">
      <formula>IF(I33="P",TRUE,FALSE)</formula>
    </cfRule>
    <cfRule type="expression" dxfId="851" priority="699">
      <formula>IF(I33="N",TRUE,FALSE)</formula>
    </cfRule>
    <cfRule type="expression" dxfId="850" priority="700">
      <formula>IF(I33="F",TRUE,FALSE)</formula>
    </cfRule>
    <cfRule type="expression" dxfId="849" priority="701">
      <formula>IF(I33="NA",TRUE,FALSE)</formula>
    </cfRule>
  </conditionalFormatting>
  <conditionalFormatting sqref="J33:K33">
    <cfRule type="expression" dxfId="848" priority="692">
      <formula>IF(J33="D",TRUE,FALSE)</formula>
    </cfRule>
    <cfRule type="expression" dxfId="847" priority="693">
      <formula>IF(J33="P",TRUE,FALSE)</formula>
    </cfRule>
    <cfRule type="expression" dxfId="846" priority="694">
      <formula>IF(J33="N",TRUE,FALSE)</formula>
    </cfRule>
    <cfRule type="expression" dxfId="845" priority="695">
      <formula>IF(J33="F",TRUE,FALSE)</formula>
    </cfRule>
    <cfRule type="expression" dxfId="844" priority="696">
      <formula>IF(J33="NA",TRUE,FALSE)</formula>
    </cfRule>
  </conditionalFormatting>
  <conditionalFormatting sqref="M33:N33">
    <cfRule type="expression" dxfId="843" priority="682">
      <formula>IF(M33="D",TRUE,FALSE)</formula>
    </cfRule>
    <cfRule type="expression" dxfId="842" priority="683">
      <formula>IF(M33="P",TRUE,FALSE)</formula>
    </cfRule>
    <cfRule type="expression" dxfId="841" priority="684">
      <formula>IF(M33="N",TRUE,FALSE)</formula>
    </cfRule>
    <cfRule type="expression" dxfId="840" priority="685">
      <formula>IF(M33="F",TRUE,FALSE)</formula>
    </cfRule>
    <cfRule type="expression" dxfId="839" priority="686">
      <formula>IF(M33="NA",TRUE,FALSE)</formula>
    </cfRule>
  </conditionalFormatting>
  <conditionalFormatting sqref="S32">
    <cfRule type="expression" dxfId="838" priority="671">
      <formula>R32=R33</formula>
    </cfRule>
  </conditionalFormatting>
  <conditionalFormatting sqref="Q34">
    <cfRule type="expression" dxfId="837" priority="670">
      <formula>P34=P35</formula>
    </cfRule>
  </conditionalFormatting>
  <conditionalFormatting sqref="P35">
    <cfRule type="expression" dxfId="836" priority="637">
      <formula>IF(P35="D",TRUE,FALSE)</formula>
    </cfRule>
    <cfRule type="expression" dxfId="835" priority="638">
      <formula>IF(P35="P",TRUE,FALSE)</formula>
    </cfRule>
    <cfRule type="expression" dxfId="834" priority="639">
      <formula>IF(P35="N",TRUE,FALSE)</formula>
    </cfRule>
    <cfRule type="expression" dxfId="833" priority="640">
      <formula>IF(P35="F",TRUE,FALSE)</formula>
    </cfRule>
    <cfRule type="expression" dxfId="832" priority="641">
      <formula>IF(P35="NA",TRUE,FALSE)</formula>
    </cfRule>
  </conditionalFormatting>
  <conditionalFormatting sqref="L35">
    <cfRule type="expression" dxfId="831" priority="652">
      <formula>IF(L35="D",TRUE,FALSE)</formula>
    </cfRule>
    <cfRule type="expression" dxfId="830" priority="653">
      <formula>IF(L35="P",TRUE,FALSE)</formula>
    </cfRule>
    <cfRule type="expression" dxfId="829" priority="654">
      <formula>IF(L35="N",TRUE,FALSE)</formula>
    </cfRule>
    <cfRule type="expression" dxfId="828" priority="655">
      <formula>IF(L35="F",TRUE,FALSE)</formula>
    </cfRule>
    <cfRule type="expression" dxfId="827" priority="656">
      <formula>IF(L35="NA",TRUE,FALSE)</formula>
    </cfRule>
  </conditionalFormatting>
  <conditionalFormatting sqref="O35">
    <cfRule type="expression" dxfId="826" priority="642">
      <formula>IF(O35="D",TRUE,FALSE)</formula>
    </cfRule>
    <cfRule type="expression" dxfId="825" priority="643">
      <formula>IF(O35="P",TRUE,FALSE)</formula>
    </cfRule>
    <cfRule type="expression" dxfId="824" priority="644">
      <formula>IF(O35="N",TRUE,FALSE)</formula>
    </cfRule>
    <cfRule type="expression" dxfId="823" priority="645">
      <formula>IF(O35="F",TRUE,FALSE)</formula>
    </cfRule>
    <cfRule type="expression" dxfId="822" priority="646">
      <formula>IF(O35="NA",TRUE,FALSE)</formula>
    </cfRule>
  </conditionalFormatting>
  <conditionalFormatting sqref="I35">
    <cfRule type="expression" dxfId="821" priority="662">
      <formula>IF(I35="D",TRUE,FALSE)</formula>
    </cfRule>
    <cfRule type="expression" dxfId="820" priority="663">
      <formula>IF(I35="P",TRUE,FALSE)</formula>
    </cfRule>
    <cfRule type="expression" dxfId="819" priority="664">
      <formula>IF(I35="N",TRUE,FALSE)</formula>
    </cfRule>
    <cfRule type="expression" dxfId="818" priority="665">
      <formula>IF(I35="F",TRUE,FALSE)</formula>
    </cfRule>
    <cfRule type="expression" dxfId="817" priority="666">
      <formula>IF(I35="NA",TRUE,FALSE)</formula>
    </cfRule>
  </conditionalFormatting>
  <conditionalFormatting sqref="J35:K35">
    <cfRule type="expression" dxfId="816" priority="657">
      <formula>IF(J35="D",TRUE,FALSE)</formula>
    </cfRule>
    <cfRule type="expression" dxfId="815" priority="658">
      <formula>IF(J35="P",TRUE,FALSE)</formula>
    </cfRule>
    <cfRule type="expression" dxfId="814" priority="659">
      <formula>IF(J35="N",TRUE,FALSE)</formula>
    </cfRule>
    <cfRule type="expression" dxfId="813" priority="660">
      <formula>IF(J35="F",TRUE,FALSE)</formula>
    </cfRule>
    <cfRule type="expression" dxfId="812" priority="661">
      <formula>IF(J35="NA",TRUE,FALSE)</formula>
    </cfRule>
  </conditionalFormatting>
  <conditionalFormatting sqref="M35:N35">
    <cfRule type="expression" dxfId="811" priority="647">
      <formula>IF(M35="D",TRUE,FALSE)</formula>
    </cfRule>
    <cfRule type="expression" dxfId="810" priority="648">
      <formula>IF(M35="P",TRUE,FALSE)</formula>
    </cfRule>
    <cfRule type="expression" dxfId="809" priority="649">
      <formula>IF(M35="N",TRUE,FALSE)</formula>
    </cfRule>
    <cfRule type="expression" dxfId="808" priority="650">
      <formula>IF(M35="F",TRUE,FALSE)</formula>
    </cfRule>
    <cfRule type="expression" dxfId="807" priority="651">
      <formula>IF(M35="NA",TRUE,FALSE)</formula>
    </cfRule>
  </conditionalFormatting>
  <conditionalFormatting sqref="S34">
    <cfRule type="expression" dxfId="806" priority="636">
      <formula>R34=R35</formula>
    </cfRule>
  </conditionalFormatting>
  <conditionalFormatting sqref="Q36">
    <cfRule type="expression" dxfId="805" priority="635">
      <formula>P36=P37</formula>
    </cfRule>
  </conditionalFormatting>
  <conditionalFormatting sqref="P37">
    <cfRule type="expression" dxfId="804" priority="602">
      <formula>IF(P37="D",TRUE,FALSE)</formula>
    </cfRule>
    <cfRule type="expression" dxfId="803" priority="603">
      <formula>IF(P37="P",TRUE,FALSE)</formula>
    </cfRule>
    <cfRule type="expression" dxfId="802" priority="604">
      <formula>IF(P37="N",TRUE,FALSE)</formula>
    </cfRule>
    <cfRule type="expression" dxfId="801" priority="605">
      <formula>IF(P37="F",TRUE,FALSE)</formula>
    </cfRule>
    <cfRule type="expression" dxfId="800" priority="606">
      <formula>IF(P37="NA",TRUE,FALSE)</formula>
    </cfRule>
  </conditionalFormatting>
  <conditionalFormatting sqref="L37">
    <cfRule type="expression" dxfId="799" priority="617">
      <formula>IF(L37="D",TRUE,FALSE)</formula>
    </cfRule>
    <cfRule type="expression" dxfId="798" priority="618">
      <formula>IF(L37="P",TRUE,FALSE)</formula>
    </cfRule>
    <cfRule type="expression" dxfId="797" priority="619">
      <formula>IF(L37="N",TRUE,FALSE)</formula>
    </cfRule>
    <cfRule type="expression" dxfId="796" priority="620">
      <formula>IF(L37="F",TRUE,FALSE)</formula>
    </cfRule>
    <cfRule type="expression" dxfId="795" priority="621">
      <formula>IF(L37="NA",TRUE,FALSE)</formula>
    </cfRule>
  </conditionalFormatting>
  <conditionalFormatting sqref="O37">
    <cfRule type="expression" dxfId="794" priority="607">
      <formula>IF(O37="D",TRUE,FALSE)</formula>
    </cfRule>
    <cfRule type="expression" dxfId="793" priority="608">
      <formula>IF(O37="P",TRUE,FALSE)</formula>
    </cfRule>
    <cfRule type="expression" dxfId="792" priority="609">
      <formula>IF(O37="N",TRUE,FALSE)</formula>
    </cfRule>
    <cfRule type="expression" dxfId="791" priority="610">
      <formula>IF(O37="F",TRUE,FALSE)</formula>
    </cfRule>
    <cfRule type="expression" dxfId="790" priority="611">
      <formula>IF(O37="NA",TRUE,FALSE)</formula>
    </cfRule>
  </conditionalFormatting>
  <conditionalFormatting sqref="I37">
    <cfRule type="expression" dxfId="789" priority="627">
      <formula>IF(I37="D",TRUE,FALSE)</formula>
    </cfRule>
    <cfRule type="expression" dxfId="788" priority="628">
      <formula>IF(I37="P",TRUE,FALSE)</formula>
    </cfRule>
    <cfRule type="expression" dxfId="787" priority="629">
      <formula>IF(I37="N",TRUE,FALSE)</formula>
    </cfRule>
    <cfRule type="expression" dxfId="786" priority="630">
      <formula>IF(I37="F",TRUE,FALSE)</formula>
    </cfRule>
    <cfRule type="expression" dxfId="785" priority="631">
      <formula>IF(I37="NA",TRUE,FALSE)</formula>
    </cfRule>
  </conditionalFormatting>
  <conditionalFormatting sqref="J37:K37">
    <cfRule type="expression" dxfId="784" priority="622">
      <formula>IF(J37="D",TRUE,FALSE)</formula>
    </cfRule>
    <cfRule type="expression" dxfId="783" priority="623">
      <formula>IF(J37="P",TRUE,FALSE)</formula>
    </cfRule>
    <cfRule type="expression" dxfId="782" priority="624">
      <formula>IF(J37="N",TRUE,FALSE)</formula>
    </cfRule>
    <cfRule type="expression" dxfId="781" priority="625">
      <formula>IF(J37="F",TRUE,FALSE)</formula>
    </cfRule>
    <cfRule type="expression" dxfId="780" priority="626">
      <formula>IF(J37="NA",TRUE,FALSE)</formula>
    </cfRule>
  </conditionalFormatting>
  <conditionalFormatting sqref="M37:N37">
    <cfRule type="expression" dxfId="779" priority="612">
      <formula>IF(M37="D",TRUE,FALSE)</formula>
    </cfRule>
    <cfRule type="expression" dxfId="778" priority="613">
      <formula>IF(M37="P",TRUE,FALSE)</formula>
    </cfRule>
    <cfRule type="expression" dxfId="777" priority="614">
      <formula>IF(M37="N",TRUE,FALSE)</formula>
    </cfRule>
    <cfRule type="expression" dxfId="776" priority="615">
      <formula>IF(M37="F",TRUE,FALSE)</formula>
    </cfRule>
    <cfRule type="expression" dxfId="775" priority="616">
      <formula>IF(M37="NA",TRUE,FALSE)</formula>
    </cfRule>
  </conditionalFormatting>
  <conditionalFormatting sqref="S36">
    <cfRule type="expression" dxfId="774" priority="601">
      <formula>R36=R37</formula>
    </cfRule>
  </conditionalFormatting>
  <conditionalFormatting sqref="Q38">
    <cfRule type="expression" dxfId="773" priority="600">
      <formula>P38=P39</formula>
    </cfRule>
  </conditionalFormatting>
  <conditionalFormatting sqref="P39">
    <cfRule type="expression" dxfId="772" priority="567">
      <formula>IF(P39="D",TRUE,FALSE)</formula>
    </cfRule>
    <cfRule type="expression" dxfId="771" priority="568">
      <formula>IF(P39="P",TRUE,FALSE)</formula>
    </cfRule>
    <cfRule type="expression" dxfId="770" priority="569">
      <formula>IF(P39="N",TRUE,FALSE)</formula>
    </cfRule>
    <cfRule type="expression" dxfId="769" priority="570">
      <formula>IF(P39="F",TRUE,FALSE)</formula>
    </cfRule>
    <cfRule type="expression" dxfId="768" priority="571">
      <formula>IF(P39="NA",TRUE,FALSE)</formula>
    </cfRule>
  </conditionalFormatting>
  <conditionalFormatting sqref="L39">
    <cfRule type="expression" dxfId="767" priority="582">
      <formula>IF(L39="D",TRUE,FALSE)</formula>
    </cfRule>
    <cfRule type="expression" dxfId="766" priority="583">
      <formula>IF(L39="P",TRUE,FALSE)</formula>
    </cfRule>
    <cfRule type="expression" dxfId="765" priority="584">
      <formula>IF(L39="N",TRUE,FALSE)</formula>
    </cfRule>
    <cfRule type="expression" dxfId="764" priority="585">
      <formula>IF(L39="F",TRUE,FALSE)</formula>
    </cfRule>
    <cfRule type="expression" dxfId="763" priority="586">
      <formula>IF(L39="NA",TRUE,FALSE)</formula>
    </cfRule>
  </conditionalFormatting>
  <conditionalFormatting sqref="O39">
    <cfRule type="expression" dxfId="762" priority="572">
      <formula>IF(O39="D",TRUE,FALSE)</formula>
    </cfRule>
    <cfRule type="expression" dxfId="761" priority="573">
      <formula>IF(O39="P",TRUE,FALSE)</formula>
    </cfRule>
    <cfRule type="expression" dxfId="760" priority="574">
      <formula>IF(O39="N",TRUE,FALSE)</formula>
    </cfRule>
    <cfRule type="expression" dxfId="759" priority="575">
      <formula>IF(O39="F",TRUE,FALSE)</formula>
    </cfRule>
    <cfRule type="expression" dxfId="758" priority="576">
      <formula>IF(O39="NA",TRUE,FALSE)</formula>
    </cfRule>
  </conditionalFormatting>
  <conditionalFormatting sqref="I39">
    <cfRule type="expression" dxfId="757" priority="592">
      <formula>IF(I39="D",TRUE,FALSE)</formula>
    </cfRule>
    <cfRule type="expression" dxfId="756" priority="593">
      <formula>IF(I39="P",TRUE,FALSE)</formula>
    </cfRule>
    <cfRule type="expression" dxfId="755" priority="594">
      <formula>IF(I39="N",TRUE,FALSE)</formula>
    </cfRule>
    <cfRule type="expression" dxfId="754" priority="595">
      <formula>IF(I39="F",TRUE,FALSE)</formula>
    </cfRule>
    <cfRule type="expression" dxfId="753" priority="596">
      <formula>IF(I39="NA",TRUE,FALSE)</formula>
    </cfRule>
  </conditionalFormatting>
  <conditionalFormatting sqref="J39:K39">
    <cfRule type="expression" dxfId="752" priority="587">
      <formula>IF(J39="D",TRUE,FALSE)</formula>
    </cfRule>
    <cfRule type="expression" dxfId="751" priority="588">
      <formula>IF(J39="P",TRUE,FALSE)</formula>
    </cfRule>
    <cfRule type="expression" dxfId="750" priority="589">
      <formula>IF(J39="N",TRUE,FALSE)</formula>
    </cfRule>
    <cfRule type="expression" dxfId="749" priority="590">
      <formula>IF(J39="F",TRUE,FALSE)</formula>
    </cfRule>
    <cfRule type="expression" dxfId="748" priority="591">
      <formula>IF(J39="NA",TRUE,FALSE)</formula>
    </cfRule>
  </conditionalFormatting>
  <conditionalFormatting sqref="M39:N39">
    <cfRule type="expression" dxfId="747" priority="577">
      <formula>IF(M39="D",TRUE,FALSE)</formula>
    </cfRule>
    <cfRule type="expression" dxfId="746" priority="578">
      <formula>IF(M39="P",TRUE,FALSE)</formula>
    </cfRule>
    <cfRule type="expression" dxfId="745" priority="579">
      <formula>IF(M39="N",TRUE,FALSE)</formula>
    </cfRule>
    <cfRule type="expression" dxfId="744" priority="580">
      <formula>IF(M39="F",TRUE,FALSE)</formula>
    </cfRule>
    <cfRule type="expression" dxfId="743" priority="581">
      <formula>IF(M39="NA",TRUE,FALSE)</formula>
    </cfRule>
  </conditionalFormatting>
  <conditionalFormatting sqref="S38">
    <cfRule type="expression" dxfId="742" priority="566">
      <formula>R38=R39</formula>
    </cfRule>
  </conditionalFormatting>
  <conditionalFormatting sqref="Q41">
    <cfRule type="expression" dxfId="741" priority="565">
      <formula>P41=P42</formula>
    </cfRule>
  </conditionalFormatting>
  <conditionalFormatting sqref="P42">
    <cfRule type="expression" dxfId="740" priority="532">
      <formula>IF(P42="D",TRUE,FALSE)</formula>
    </cfRule>
    <cfRule type="expression" dxfId="739" priority="533">
      <formula>IF(P42="P",TRUE,FALSE)</formula>
    </cfRule>
    <cfRule type="expression" dxfId="738" priority="534">
      <formula>IF(P42="N",TRUE,FALSE)</formula>
    </cfRule>
    <cfRule type="expression" dxfId="737" priority="535">
      <formula>IF(P42="F",TRUE,FALSE)</formula>
    </cfRule>
    <cfRule type="expression" dxfId="736" priority="536">
      <formula>IF(P42="NA",TRUE,FALSE)</formula>
    </cfRule>
  </conditionalFormatting>
  <conditionalFormatting sqref="L42">
    <cfRule type="expression" dxfId="735" priority="547">
      <formula>IF(L42="D",TRUE,FALSE)</formula>
    </cfRule>
    <cfRule type="expression" dxfId="734" priority="548">
      <formula>IF(L42="P",TRUE,FALSE)</formula>
    </cfRule>
    <cfRule type="expression" dxfId="733" priority="549">
      <formula>IF(L42="N",TRUE,FALSE)</formula>
    </cfRule>
    <cfRule type="expression" dxfId="732" priority="550">
      <formula>IF(L42="F",TRUE,FALSE)</formula>
    </cfRule>
    <cfRule type="expression" dxfId="731" priority="551">
      <formula>IF(L42="NA",TRUE,FALSE)</formula>
    </cfRule>
  </conditionalFormatting>
  <conditionalFormatting sqref="O42">
    <cfRule type="expression" dxfId="730" priority="537">
      <formula>IF(O42="D",TRUE,FALSE)</formula>
    </cfRule>
    <cfRule type="expression" dxfId="729" priority="538">
      <formula>IF(O42="P",TRUE,FALSE)</formula>
    </cfRule>
    <cfRule type="expression" dxfId="728" priority="539">
      <formula>IF(O42="N",TRUE,FALSE)</formula>
    </cfRule>
    <cfRule type="expression" dxfId="727" priority="540">
      <formula>IF(O42="F",TRUE,FALSE)</formula>
    </cfRule>
    <cfRule type="expression" dxfId="726" priority="541">
      <formula>IF(O42="NA",TRUE,FALSE)</formula>
    </cfRule>
  </conditionalFormatting>
  <conditionalFormatting sqref="I42">
    <cfRule type="expression" dxfId="725" priority="557">
      <formula>IF(I42="D",TRUE,FALSE)</formula>
    </cfRule>
    <cfRule type="expression" dxfId="724" priority="558">
      <formula>IF(I42="P",TRUE,FALSE)</formula>
    </cfRule>
    <cfRule type="expression" dxfId="723" priority="559">
      <formula>IF(I42="N",TRUE,FALSE)</formula>
    </cfRule>
    <cfRule type="expression" dxfId="722" priority="560">
      <formula>IF(I42="F",TRUE,FALSE)</formula>
    </cfRule>
    <cfRule type="expression" dxfId="721" priority="561">
      <formula>IF(I42="NA",TRUE,FALSE)</formula>
    </cfRule>
  </conditionalFormatting>
  <conditionalFormatting sqref="J42:K42">
    <cfRule type="expression" dxfId="720" priority="552">
      <formula>IF(J42="D",TRUE,FALSE)</formula>
    </cfRule>
    <cfRule type="expression" dxfId="719" priority="553">
      <formula>IF(J42="P",TRUE,FALSE)</formula>
    </cfRule>
    <cfRule type="expression" dxfId="718" priority="554">
      <formula>IF(J42="N",TRUE,FALSE)</formula>
    </cfRule>
    <cfRule type="expression" dxfId="717" priority="555">
      <formula>IF(J42="F",TRUE,FALSE)</formula>
    </cfRule>
    <cfRule type="expression" dxfId="716" priority="556">
      <formula>IF(J42="NA",TRUE,FALSE)</formula>
    </cfRule>
  </conditionalFormatting>
  <conditionalFormatting sqref="M42:N42">
    <cfRule type="expression" dxfId="715" priority="542">
      <formula>IF(M42="D",TRUE,FALSE)</formula>
    </cfRule>
    <cfRule type="expression" dxfId="714" priority="543">
      <formula>IF(M42="P",TRUE,FALSE)</formula>
    </cfRule>
    <cfRule type="expression" dxfId="713" priority="544">
      <formula>IF(M42="N",TRUE,FALSE)</formula>
    </cfRule>
    <cfRule type="expression" dxfId="712" priority="545">
      <formula>IF(M42="F",TRUE,FALSE)</formula>
    </cfRule>
    <cfRule type="expression" dxfId="711" priority="546">
      <formula>IF(M42="NA",TRUE,FALSE)</formula>
    </cfRule>
  </conditionalFormatting>
  <conditionalFormatting sqref="S41">
    <cfRule type="expression" dxfId="710" priority="530">
      <formula>R41=R42</formula>
    </cfRule>
  </conditionalFormatting>
  <conditionalFormatting sqref="Q44">
    <cfRule type="expression" dxfId="709" priority="529">
      <formula>P44=P45</formula>
    </cfRule>
  </conditionalFormatting>
  <conditionalFormatting sqref="P45">
    <cfRule type="expression" dxfId="708" priority="496">
      <formula>IF(P45="D",TRUE,FALSE)</formula>
    </cfRule>
    <cfRule type="expression" dxfId="707" priority="497">
      <formula>IF(P45="P",TRUE,FALSE)</formula>
    </cfRule>
    <cfRule type="expression" dxfId="706" priority="498">
      <formula>IF(P45="N",TRUE,FALSE)</formula>
    </cfRule>
    <cfRule type="expression" dxfId="705" priority="499">
      <formula>IF(P45="F",TRUE,FALSE)</formula>
    </cfRule>
    <cfRule type="expression" dxfId="704" priority="500">
      <formula>IF(P45="NA",TRUE,FALSE)</formula>
    </cfRule>
  </conditionalFormatting>
  <conditionalFormatting sqref="L45">
    <cfRule type="expression" dxfId="703" priority="511">
      <formula>IF(L45="D",TRUE,FALSE)</formula>
    </cfRule>
    <cfRule type="expression" dxfId="702" priority="512">
      <formula>IF(L45="P",TRUE,FALSE)</formula>
    </cfRule>
    <cfRule type="expression" dxfId="701" priority="513">
      <formula>IF(L45="N",TRUE,FALSE)</formula>
    </cfRule>
    <cfRule type="expression" dxfId="700" priority="514">
      <formula>IF(L45="F",TRUE,FALSE)</formula>
    </cfRule>
    <cfRule type="expression" dxfId="699" priority="515">
      <formula>IF(L45="NA",TRUE,FALSE)</formula>
    </cfRule>
  </conditionalFormatting>
  <conditionalFormatting sqref="O45">
    <cfRule type="expression" dxfId="698" priority="501">
      <formula>IF(O45="D",TRUE,FALSE)</formula>
    </cfRule>
    <cfRule type="expression" dxfId="697" priority="502">
      <formula>IF(O45="P",TRUE,FALSE)</formula>
    </cfRule>
    <cfRule type="expression" dxfId="696" priority="503">
      <formula>IF(O45="N",TRUE,FALSE)</formula>
    </cfRule>
    <cfRule type="expression" dxfId="695" priority="504">
      <formula>IF(O45="F",TRUE,FALSE)</formula>
    </cfRule>
    <cfRule type="expression" dxfId="694" priority="505">
      <formula>IF(O45="NA",TRUE,FALSE)</formula>
    </cfRule>
  </conditionalFormatting>
  <conditionalFormatting sqref="I45">
    <cfRule type="expression" dxfId="693" priority="521">
      <formula>IF(I45="D",TRUE,FALSE)</formula>
    </cfRule>
    <cfRule type="expression" dxfId="692" priority="522">
      <formula>IF(I45="P",TRUE,FALSE)</formula>
    </cfRule>
    <cfRule type="expression" dxfId="691" priority="523">
      <formula>IF(I45="N",TRUE,FALSE)</formula>
    </cfRule>
    <cfRule type="expression" dxfId="690" priority="524">
      <formula>IF(I45="F",TRUE,FALSE)</formula>
    </cfRule>
    <cfRule type="expression" dxfId="689" priority="525">
      <formula>IF(I45="NA",TRUE,FALSE)</formula>
    </cfRule>
  </conditionalFormatting>
  <conditionalFormatting sqref="J45:K45">
    <cfRule type="expression" dxfId="688" priority="516">
      <formula>IF(J45="D",TRUE,FALSE)</formula>
    </cfRule>
    <cfRule type="expression" dxfId="687" priority="517">
      <formula>IF(J45="P",TRUE,FALSE)</formula>
    </cfRule>
    <cfRule type="expression" dxfId="686" priority="518">
      <formula>IF(J45="N",TRUE,FALSE)</formula>
    </cfRule>
    <cfRule type="expression" dxfId="685" priority="519">
      <formula>IF(J45="F",TRUE,FALSE)</formula>
    </cfRule>
    <cfRule type="expression" dxfId="684" priority="520">
      <formula>IF(J45="NA",TRUE,FALSE)</formula>
    </cfRule>
  </conditionalFormatting>
  <conditionalFormatting sqref="M45:N45">
    <cfRule type="expression" dxfId="683" priority="506">
      <formula>IF(M45="D",TRUE,FALSE)</formula>
    </cfRule>
    <cfRule type="expression" dxfId="682" priority="507">
      <formula>IF(M45="P",TRUE,FALSE)</formula>
    </cfRule>
    <cfRule type="expression" dxfId="681" priority="508">
      <formula>IF(M45="N",TRUE,FALSE)</formula>
    </cfRule>
    <cfRule type="expression" dxfId="680" priority="509">
      <formula>IF(M45="F",TRUE,FALSE)</formula>
    </cfRule>
    <cfRule type="expression" dxfId="679" priority="510">
      <formula>IF(M45="NA",TRUE,FALSE)</formula>
    </cfRule>
  </conditionalFormatting>
  <conditionalFormatting sqref="S44">
    <cfRule type="expression" dxfId="678" priority="495">
      <formula>R44=R45</formula>
    </cfRule>
  </conditionalFormatting>
  <conditionalFormatting sqref="Q46">
    <cfRule type="expression" dxfId="677" priority="494">
      <formula>P46=P47</formula>
    </cfRule>
  </conditionalFormatting>
  <conditionalFormatting sqref="P47">
    <cfRule type="expression" dxfId="676" priority="461">
      <formula>IF(P47="D",TRUE,FALSE)</formula>
    </cfRule>
    <cfRule type="expression" dxfId="675" priority="462">
      <formula>IF(P47="P",TRUE,FALSE)</formula>
    </cfRule>
    <cfRule type="expression" dxfId="674" priority="463">
      <formula>IF(P47="N",TRUE,FALSE)</formula>
    </cfRule>
    <cfRule type="expression" dxfId="673" priority="464">
      <formula>IF(P47="F",TRUE,FALSE)</formula>
    </cfRule>
    <cfRule type="expression" dxfId="672" priority="465">
      <formula>IF(P47="NA",TRUE,FALSE)</formula>
    </cfRule>
  </conditionalFormatting>
  <conditionalFormatting sqref="L47">
    <cfRule type="expression" dxfId="671" priority="476">
      <formula>IF(L47="D",TRUE,FALSE)</formula>
    </cfRule>
    <cfRule type="expression" dxfId="670" priority="477">
      <formula>IF(L47="P",TRUE,FALSE)</formula>
    </cfRule>
    <cfRule type="expression" dxfId="669" priority="478">
      <formula>IF(L47="N",TRUE,FALSE)</formula>
    </cfRule>
    <cfRule type="expression" dxfId="668" priority="479">
      <formula>IF(L47="F",TRUE,FALSE)</formula>
    </cfRule>
    <cfRule type="expression" dxfId="667" priority="480">
      <formula>IF(L47="NA",TRUE,FALSE)</formula>
    </cfRule>
  </conditionalFormatting>
  <conditionalFormatting sqref="O47">
    <cfRule type="expression" dxfId="666" priority="466">
      <formula>IF(O47="D",TRUE,FALSE)</formula>
    </cfRule>
    <cfRule type="expression" dxfId="665" priority="467">
      <formula>IF(O47="P",TRUE,FALSE)</formula>
    </cfRule>
    <cfRule type="expression" dxfId="664" priority="468">
      <formula>IF(O47="N",TRUE,FALSE)</formula>
    </cfRule>
    <cfRule type="expression" dxfId="663" priority="469">
      <formula>IF(O47="F",TRUE,FALSE)</formula>
    </cfRule>
    <cfRule type="expression" dxfId="662" priority="470">
      <formula>IF(O47="NA",TRUE,FALSE)</formula>
    </cfRule>
  </conditionalFormatting>
  <conditionalFormatting sqref="I47">
    <cfRule type="expression" dxfId="661" priority="486">
      <formula>IF(I47="D",TRUE,FALSE)</formula>
    </cfRule>
    <cfRule type="expression" dxfId="660" priority="487">
      <formula>IF(I47="P",TRUE,FALSE)</formula>
    </cfRule>
    <cfRule type="expression" dxfId="659" priority="488">
      <formula>IF(I47="N",TRUE,FALSE)</formula>
    </cfRule>
    <cfRule type="expression" dxfId="658" priority="489">
      <formula>IF(I47="F",TRUE,FALSE)</formula>
    </cfRule>
    <cfRule type="expression" dxfId="657" priority="490">
      <formula>IF(I47="NA",TRUE,FALSE)</formula>
    </cfRule>
  </conditionalFormatting>
  <conditionalFormatting sqref="J47:K47">
    <cfRule type="expression" dxfId="656" priority="481">
      <formula>IF(J47="D",TRUE,FALSE)</formula>
    </cfRule>
    <cfRule type="expression" dxfId="655" priority="482">
      <formula>IF(J47="P",TRUE,FALSE)</formula>
    </cfRule>
    <cfRule type="expression" dxfId="654" priority="483">
      <formula>IF(J47="N",TRUE,FALSE)</formula>
    </cfRule>
    <cfRule type="expression" dxfId="653" priority="484">
      <formula>IF(J47="F",TRUE,FALSE)</formula>
    </cfRule>
    <cfRule type="expression" dxfId="652" priority="485">
      <formula>IF(J47="NA",TRUE,FALSE)</formula>
    </cfRule>
  </conditionalFormatting>
  <conditionalFormatting sqref="M47:N47">
    <cfRule type="expression" dxfId="651" priority="471">
      <formula>IF(M47="D",TRUE,FALSE)</formula>
    </cfRule>
    <cfRule type="expression" dxfId="650" priority="472">
      <formula>IF(M47="P",TRUE,FALSE)</formula>
    </cfRule>
    <cfRule type="expression" dxfId="649" priority="473">
      <formula>IF(M47="N",TRUE,FALSE)</formula>
    </cfRule>
    <cfRule type="expression" dxfId="648" priority="474">
      <formula>IF(M47="F",TRUE,FALSE)</formula>
    </cfRule>
    <cfRule type="expression" dxfId="647" priority="475">
      <formula>IF(M47="NA",TRUE,FALSE)</formula>
    </cfRule>
  </conditionalFormatting>
  <conditionalFormatting sqref="S46">
    <cfRule type="expression" dxfId="646" priority="459">
      <formula>R46=R47</formula>
    </cfRule>
  </conditionalFormatting>
  <conditionalFormatting sqref="Q48">
    <cfRule type="expression" dxfId="645" priority="458">
      <formula>P48=P49</formula>
    </cfRule>
  </conditionalFormatting>
  <conditionalFormatting sqref="P49">
    <cfRule type="expression" dxfId="644" priority="425">
      <formula>IF(P49="D",TRUE,FALSE)</formula>
    </cfRule>
    <cfRule type="expression" dxfId="643" priority="426">
      <formula>IF(P49="P",TRUE,FALSE)</formula>
    </cfRule>
    <cfRule type="expression" dxfId="642" priority="427">
      <formula>IF(P49="N",TRUE,FALSE)</formula>
    </cfRule>
    <cfRule type="expression" dxfId="641" priority="428">
      <formula>IF(P49="F",TRUE,FALSE)</formula>
    </cfRule>
    <cfRule type="expression" dxfId="640" priority="429">
      <formula>IF(P49="NA",TRUE,FALSE)</formula>
    </cfRule>
  </conditionalFormatting>
  <conditionalFormatting sqref="L49">
    <cfRule type="expression" dxfId="639" priority="440">
      <formula>IF(L49="D",TRUE,FALSE)</formula>
    </cfRule>
    <cfRule type="expression" dxfId="638" priority="441">
      <formula>IF(L49="P",TRUE,FALSE)</formula>
    </cfRule>
    <cfRule type="expression" dxfId="637" priority="442">
      <formula>IF(L49="N",TRUE,FALSE)</formula>
    </cfRule>
    <cfRule type="expression" dxfId="636" priority="443">
      <formula>IF(L49="F",TRUE,FALSE)</formula>
    </cfRule>
    <cfRule type="expression" dxfId="635" priority="444">
      <formula>IF(L49="NA",TRUE,FALSE)</formula>
    </cfRule>
  </conditionalFormatting>
  <conditionalFormatting sqref="O49">
    <cfRule type="expression" dxfId="634" priority="430">
      <formula>IF(O49="D",TRUE,FALSE)</formula>
    </cfRule>
    <cfRule type="expression" dxfId="633" priority="431">
      <formula>IF(O49="P",TRUE,FALSE)</formula>
    </cfRule>
    <cfRule type="expression" dxfId="632" priority="432">
      <formula>IF(O49="N",TRUE,FALSE)</formula>
    </cfRule>
    <cfRule type="expression" dxfId="631" priority="433">
      <formula>IF(O49="F",TRUE,FALSE)</formula>
    </cfRule>
    <cfRule type="expression" dxfId="630" priority="434">
      <formula>IF(O49="NA",TRUE,FALSE)</formula>
    </cfRule>
  </conditionalFormatting>
  <conditionalFormatting sqref="I49">
    <cfRule type="expression" dxfId="629" priority="450">
      <formula>IF(I49="D",TRUE,FALSE)</formula>
    </cfRule>
    <cfRule type="expression" dxfId="628" priority="451">
      <formula>IF(I49="P",TRUE,FALSE)</formula>
    </cfRule>
    <cfRule type="expression" dxfId="627" priority="452">
      <formula>IF(I49="N",TRUE,FALSE)</formula>
    </cfRule>
    <cfRule type="expression" dxfId="626" priority="453">
      <formula>IF(I49="F",TRUE,FALSE)</formula>
    </cfRule>
    <cfRule type="expression" dxfId="625" priority="454">
      <formula>IF(I49="NA",TRUE,FALSE)</formula>
    </cfRule>
  </conditionalFormatting>
  <conditionalFormatting sqref="J49:K49">
    <cfRule type="expression" dxfId="624" priority="445">
      <formula>IF(J49="D",TRUE,FALSE)</formula>
    </cfRule>
    <cfRule type="expression" dxfId="623" priority="446">
      <formula>IF(J49="P",TRUE,FALSE)</formula>
    </cfRule>
    <cfRule type="expression" dxfId="622" priority="447">
      <formula>IF(J49="N",TRUE,FALSE)</formula>
    </cfRule>
    <cfRule type="expression" dxfId="621" priority="448">
      <formula>IF(J49="F",TRUE,FALSE)</formula>
    </cfRule>
    <cfRule type="expression" dxfId="620" priority="449">
      <formula>IF(J49="NA",TRUE,FALSE)</formula>
    </cfRule>
  </conditionalFormatting>
  <conditionalFormatting sqref="M49:N49">
    <cfRule type="expression" dxfId="619" priority="435">
      <formula>IF(M49="D",TRUE,FALSE)</formula>
    </cfRule>
    <cfRule type="expression" dxfId="618" priority="436">
      <formula>IF(M49="P",TRUE,FALSE)</formula>
    </cfRule>
    <cfRule type="expression" dxfId="617" priority="437">
      <formula>IF(M49="N",TRUE,FALSE)</formula>
    </cfRule>
    <cfRule type="expression" dxfId="616" priority="438">
      <formula>IF(M49="F",TRUE,FALSE)</formula>
    </cfRule>
    <cfRule type="expression" dxfId="615" priority="439">
      <formula>IF(M49="NA",TRUE,FALSE)</formula>
    </cfRule>
  </conditionalFormatting>
  <conditionalFormatting sqref="S48">
    <cfRule type="expression" dxfId="614" priority="424">
      <formula>R48=R49</formula>
    </cfRule>
  </conditionalFormatting>
  <conditionalFormatting sqref="Q51">
    <cfRule type="expression" dxfId="613" priority="423">
      <formula>P51=P52</formula>
    </cfRule>
  </conditionalFormatting>
  <conditionalFormatting sqref="P52">
    <cfRule type="expression" dxfId="612" priority="390">
      <formula>IF(P52="D",TRUE,FALSE)</formula>
    </cfRule>
    <cfRule type="expression" dxfId="611" priority="391">
      <formula>IF(P52="P",TRUE,FALSE)</formula>
    </cfRule>
    <cfRule type="expression" dxfId="610" priority="392">
      <formula>IF(P52="N",TRUE,FALSE)</formula>
    </cfRule>
    <cfRule type="expression" dxfId="609" priority="393">
      <formula>IF(P52="F",TRUE,FALSE)</formula>
    </cfRule>
    <cfRule type="expression" dxfId="608" priority="394">
      <formula>IF(P52="NA",TRUE,FALSE)</formula>
    </cfRule>
  </conditionalFormatting>
  <conditionalFormatting sqref="L52">
    <cfRule type="expression" dxfId="607" priority="405">
      <formula>IF(L52="D",TRUE,FALSE)</formula>
    </cfRule>
    <cfRule type="expression" dxfId="606" priority="406">
      <formula>IF(L52="P",TRUE,FALSE)</formula>
    </cfRule>
    <cfRule type="expression" dxfId="605" priority="407">
      <formula>IF(L52="N",TRUE,FALSE)</formula>
    </cfRule>
    <cfRule type="expression" dxfId="604" priority="408">
      <formula>IF(L52="F",TRUE,FALSE)</formula>
    </cfRule>
    <cfRule type="expression" dxfId="603" priority="409">
      <formula>IF(L52="NA",TRUE,FALSE)</formula>
    </cfRule>
  </conditionalFormatting>
  <conditionalFormatting sqref="O52">
    <cfRule type="expression" dxfId="602" priority="395">
      <formula>IF(O52="D",TRUE,FALSE)</formula>
    </cfRule>
    <cfRule type="expression" dxfId="601" priority="396">
      <formula>IF(O52="P",TRUE,FALSE)</formula>
    </cfRule>
    <cfRule type="expression" dxfId="600" priority="397">
      <formula>IF(O52="N",TRUE,FALSE)</formula>
    </cfRule>
    <cfRule type="expression" dxfId="599" priority="398">
      <formula>IF(O52="F",TRUE,FALSE)</formula>
    </cfRule>
    <cfRule type="expression" dxfId="598" priority="399">
      <formula>IF(O52="NA",TRUE,FALSE)</formula>
    </cfRule>
  </conditionalFormatting>
  <conditionalFormatting sqref="I52">
    <cfRule type="expression" dxfId="597" priority="415">
      <formula>IF(I52="D",TRUE,FALSE)</formula>
    </cfRule>
    <cfRule type="expression" dxfId="596" priority="416">
      <formula>IF(I52="P",TRUE,FALSE)</formula>
    </cfRule>
    <cfRule type="expression" dxfId="595" priority="417">
      <formula>IF(I52="N",TRUE,FALSE)</formula>
    </cfRule>
    <cfRule type="expression" dxfId="594" priority="418">
      <formula>IF(I52="F",TRUE,FALSE)</formula>
    </cfRule>
    <cfRule type="expression" dxfId="593" priority="419">
      <formula>IF(I52="NA",TRUE,FALSE)</formula>
    </cfRule>
  </conditionalFormatting>
  <conditionalFormatting sqref="J52:K52">
    <cfRule type="expression" dxfId="592" priority="410">
      <formula>IF(J52="D",TRUE,FALSE)</formula>
    </cfRule>
    <cfRule type="expression" dxfId="591" priority="411">
      <formula>IF(J52="P",TRUE,FALSE)</formula>
    </cfRule>
    <cfRule type="expression" dxfId="590" priority="412">
      <formula>IF(J52="N",TRUE,FALSE)</formula>
    </cfRule>
    <cfRule type="expression" dxfId="589" priority="413">
      <formula>IF(J52="F",TRUE,FALSE)</formula>
    </cfRule>
    <cfRule type="expression" dxfId="588" priority="414">
      <formula>IF(J52="NA",TRUE,FALSE)</formula>
    </cfRule>
  </conditionalFormatting>
  <conditionalFormatting sqref="M52:N52">
    <cfRule type="expression" dxfId="587" priority="400">
      <formula>IF(M52="D",TRUE,FALSE)</formula>
    </cfRule>
    <cfRule type="expression" dxfId="586" priority="401">
      <formula>IF(M52="P",TRUE,FALSE)</formula>
    </cfRule>
    <cfRule type="expression" dxfId="585" priority="402">
      <formula>IF(M52="N",TRUE,FALSE)</formula>
    </cfRule>
    <cfRule type="expression" dxfId="584" priority="403">
      <formula>IF(M52="F",TRUE,FALSE)</formula>
    </cfRule>
    <cfRule type="expression" dxfId="583" priority="404">
      <formula>IF(M52="NA",TRUE,FALSE)</formula>
    </cfRule>
  </conditionalFormatting>
  <conditionalFormatting sqref="S51">
    <cfRule type="expression" dxfId="582" priority="389">
      <formula>R51=R52</formula>
    </cfRule>
  </conditionalFormatting>
  <conditionalFormatting sqref="Q54">
    <cfRule type="expression" dxfId="581" priority="388">
      <formula>P54=P55</formula>
    </cfRule>
  </conditionalFormatting>
  <conditionalFormatting sqref="P55">
    <cfRule type="expression" dxfId="580" priority="355">
      <formula>IF(P55="D",TRUE,FALSE)</formula>
    </cfRule>
    <cfRule type="expression" dxfId="579" priority="356">
      <formula>IF(P55="P",TRUE,FALSE)</formula>
    </cfRule>
    <cfRule type="expression" dxfId="578" priority="357">
      <formula>IF(P55="N",TRUE,FALSE)</formula>
    </cfRule>
    <cfRule type="expression" dxfId="577" priority="358">
      <formula>IF(P55="F",TRUE,FALSE)</formula>
    </cfRule>
    <cfRule type="expression" dxfId="576" priority="359">
      <formula>IF(P55="NA",TRUE,FALSE)</formula>
    </cfRule>
  </conditionalFormatting>
  <conditionalFormatting sqref="L55">
    <cfRule type="expression" dxfId="575" priority="370">
      <formula>IF(L55="D",TRUE,FALSE)</formula>
    </cfRule>
    <cfRule type="expression" dxfId="574" priority="371">
      <formula>IF(L55="P",TRUE,FALSE)</formula>
    </cfRule>
    <cfRule type="expression" dxfId="573" priority="372">
      <formula>IF(L55="N",TRUE,FALSE)</formula>
    </cfRule>
    <cfRule type="expression" dxfId="572" priority="373">
      <formula>IF(L55="F",TRUE,FALSE)</formula>
    </cfRule>
    <cfRule type="expression" dxfId="571" priority="374">
      <formula>IF(L55="NA",TRUE,FALSE)</formula>
    </cfRule>
  </conditionalFormatting>
  <conditionalFormatting sqref="O55">
    <cfRule type="expression" dxfId="570" priority="360">
      <formula>IF(O55="D",TRUE,FALSE)</formula>
    </cfRule>
    <cfRule type="expression" dxfId="569" priority="361">
      <formula>IF(O55="P",TRUE,FALSE)</formula>
    </cfRule>
    <cfRule type="expression" dxfId="568" priority="362">
      <formula>IF(O55="N",TRUE,FALSE)</formula>
    </cfRule>
    <cfRule type="expression" dxfId="567" priority="363">
      <formula>IF(O55="F",TRUE,FALSE)</formula>
    </cfRule>
    <cfRule type="expression" dxfId="566" priority="364">
      <formula>IF(O55="NA",TRUE,FALSE)</formula>
    </cfRule>
  </conditionalFormatting>
  <conditionalFormatting sqref="I55">
    <cfRule type="expression" dxfId="565" priority="380">
      <formula>IF(I55="D",TRUE,FALSE)</formula>
    </cfRule>
    <cfRule type="expression" dxfId="564" priority="381">
      <formula>IF(I55="P",TRUE,FALSE)</formula>
    </cfRule>
    <cfRule type="expression" dxfId="563" priority="382">
      <formula>IF(I55="N",TRUE,FALSE)</formula>
    </cfRule>
    <cfRule type="expression" dxfId="562" priority="383">
      <formula>IF(I55="F",TRUE,FALSE)</formula>
    </cfRule>
    <cfRule type="expression" dxfId="561" priority="384">
      <formula>IF(I55="NA",TRUE,FALSE)</formula>
    </cfRule>
  </conditionalFormatting>
  <conditionalFormatting sqref="J55:K55">
    <cfRule type="expression" dxfId="560" priority="375">
      <formula>IF(J55="D",TRUE,FALSE)</formula>
    </cfRule>
    <cfRule type="expression" dxfId="559" priority="376">
      <formula>IF(J55="P",TRUE,FALSE)</formula>
    </cfRule>
    <cfRule type="expression" dxfId="558" priority="377">
      <formula>IF(J55="N",TRUE,FALSE)</formula>
    </cfRule>
    <cfRule type="expression" dxfId="557" priority="378">
      <formula>IF(J55="F",TRUE,FALSE)</formula>
    </cfRule>
    <cfRule type="expression" dxfId="556" priority="379">
      <formula>IF(J55="NA",TRUE,FALSE)</formula>
    </cfRule>
  </conditionalFormatting>
  <conditionalFormatting sqref="M55:N55">
    <cfRule type="expression" dxfId="555" priority="365">
      <formula>IF(M55="D",TRUE,FALSE)</formula>
    </cfRule>
    <cfRule type="expression" dxfId="554" priority="366">
      <formula>IF(M55="P",TRUE,FALSE)</formula>
    </cfRule>
    <cfRule type="expression" dxfId="553" priority="367">
      <formula>IF(M55="N",TRUE,FALSE)</formula>
    </cfRule>
    <cfRule type="expression" dxfId="552" priority="368">
      <formula>IF(M55="F",TRUE,FALSE)</formula>
    </cfRule>
    <cfRule type="expression" dxfId="551" priority="369">
      <formula>IF(M55="NA",TRUE,FALSE)</formula>
    </cfRule>
  </conditionalFormatting>
  <conditionalFormatting sqref="S54">
    <cfRule type="expression" dxfId="550" priority="354">
      <formula>P54=P55</formula>
    </cfRule>
  </conditionalFormatting>
  <conditionalFormatting sqref="Q56">
    <cfRule type="expression" dxfId="549" priority="353">
      <formula>P56=P57</formula>
    </cfRule>
  </conditionalFormatting>
  <conditionalFormatting sqref="P57">
    <cfRule type="expression" dxfId="548" priority="320">
      <formula>IF(P57="D",TRUE,FALSE)</formula>
    </cfRule>
    <cfRule type="expression" dxfId="547" priority="321">
      <formula>IF(P57="P",TRUE,FALSE)</formula>
    </cfRule>
    <cfRule type="expression" dxfId="546" priority="322">
      <formula>IF(P57="N",TRUE,FALSE)</formula>
    </cfRule>
    <cfRule type="expression" dxfId="545" priority="323">
      <formula>IF(P57="F",TRUE,FALSE)</formula>
    </cfRule>
    <cfRule type="expression" dxfId="544" priority="324">
      <formula>IF(P57="NA",TRUE,FALSE)</formula>
    </cfRule>
  </conditionalFormatting>
  <conditionalFormatting sqref="L57">
    <cfRule type="expression" dxfId="543" priority="335">
      <formula>IF(L57="D",TRUE,FALSE)</formula>
    </cfRule>
    <cfRule type="expression" dxfId="542" priority="336">
      <formula>IF(L57="P",TRUE,FALSE)</formula>
    </cfRule>
    <cfRule type="expression" dxfId="541" priority="337">
      <formula>IF(L57="N",TRUE,FALSE)</formula>
    </cfRule>
    <cfRule type="expression" dxfId="540" priority="338">
      <formula>IF(L57="F",TRUE,FALSE)</formula>
    </cfRule>
    <cfRule type="expression" dxfId="539" priority="339">
      <formula>IF(L57="NA",TRUE,FALSE)</formula>
    </cfRule>
  </conditionalFormatting>
  <conditionalFormatting sqref="O57">
    <cfRule type="expression" dxfId="538" priority="325">
      <formula>IF(O57="D",TRUE,FALSE)</formula>
    </cfRule>
    <cfRule type="expression" dxfId="537" priority="326">
      <formula>IF(O57="P",TRUE,FALSE)</formula>
    </cfRule>
    <cfRule type="expression" dxfId="536" priority="327">
      <formula>IF(O57="N",TRUE,FALSE)</formula>
    </cfRule>
    <cfRule type="expression" dxfId="535" priority="328">
      <formula>IF(O57="F",TRUE,FALSE)</formula>
    </cfRule>
    <cfRule type="expression" dxfId="534" priority="329">
      <formula>IF(O57="NA",TRUE,FALSE)</formula>
    </cfRule>
  </conditionalFormatting>
  <conditionalFormatting sqref="I57">
    <cfRule type="expression" dxfId="533" priority="345">
      <formula>IF(I57="D",TRUE,FALSE)</formula>
    </cfRule>
    <cfRule type="expression" dxfId="532" priority="346">
      <formula>IF(I57="P",TRUE,FALSE)</formula>
    </cfRule>
    <cfRule type="expression" dxfId="531" priority="347">
      <formula>IF(I57="N",TRUE,FALSE)</formula>
    </cfRule>
    <cfRule type="expression" dxfId="530" priority="348">
      <formula>IF(I57="F",TRUE,FALSE)</formula>
    </cfRule>
    <cfRule type="expression" dxfId="529" priority="349">
      <formula>IF(I57="NA",TRUE,FALSE)</formula>
    </cfRule>
  </conditionalFormatting>
  <conditionalFormatting sqref="J57:K57">
    <cfRule type="expression" dxfId="528" priority="340">
      <formula>IF(J57="D",TRUE,FALSE)</formula>
    </cfRule>
    <cfRule type="expression" dxfId="527" priority="341">
      <formula>IF(J57="P",TRUE,FALSE)</formula>
    </cfRule>
    <cfRule type="expression" dxfId="526" priority="342">
      <formula>IF(J57="N",TRUE,FALSE)</formula>
    </cfRule>
    <cfRule type="expression" dxfId="525" priority="343">
      <formula>IF(J57="F",TRUE,FALSE)</formula>
    </cfRule>
    <cfRule type="expression" dxfId="524" priority="344">
      <formula>IF(J57="NA",TRUE,FALSE)</formula>
    </cfRule>
  </conditionalFormatting>
  <conditionalFormatting sqref="M57:N57">
    <cfRule type="expression" dxfId="523" priority="330">
      <formula>IF(M57="D",TRUE,FALSE)</formula>
    </cfRule>
    <cfRule type="expression" dxfId="522" priority="331">
      <formula>IF(M57="P",TRUE,FALSE)</formula>
    </cfRule>
    <cfRule type="expression" dxfId="521" priority="332">
      <formula>IF(M57="N",TRUE,FALSE)</formula>
    </cfRule>
    <cfRule type="expression" dxfId="520" priority="333">
      <formula>IF(M57="F",TRUE,FALSE)</formula>
    </cfRule>
    <cfRule type="expression" dxfId="519" priority="334">
      <formula>IF(M57="NA",TRUE,FALSE)</formula>
    </cfRule>
  </conditionalFormatting>
  <conditionalFormatting sqref="S76">
    <cfRule type="expression" dxfId="518" priority="36">
      <formula>P76=P77</formula>
    </cfRule>
  </conditionalFormatting>
  <conditionalFormatting sqref="S56">
    <cfRule type="expression" dxfId="517" priority="318">
      <formula>R56=R57</formula>
    </cfRule>
  </conditionalFormatting>
  <conditionalFormatting sqref="Q59">
    <cfRule type="expression" dxfId="516" priority="317">
      <formula>P59=P60</formula>
    </cfRule>
  </conditionalFormatting>
  <conditionalFormatting sqref="P60">
    <cfRule type="expression" dxfId="515" priority="284">
      <formula>IF(P60="D",TRUE,FALSE)</formula>
    </cfRule>
    <cfRule type="expression" dxfId="514" priority="285">
      <formula>IF(P60="P",TRUE,FALSE)</formula>
    </cfRule>
    <cfRule type="expression" dxfId="513" priority="286">
      <formula>IF(P60="N",TRUE,FALSE)</formula>
    </cfRule>
    <cfRule type="expression" dxfId="512" priority="287">
      <formula>IF(P60="F",TRUE,FALSE)</formula>
    </cfRule>
    <cfRule type="expression" dxfId="511" priority="288">
      <formula>IF(P60="NA",TRUE,FALSE)</formula>
    </cfRule>
  </conditionalFormatting>
  <conditionalFormatting sqref="L60">
    <cfRule type="expression" dxfId="510" priority="299">
      <formula>IF(L60="D",TRUE,FALSE)</formula>
    </cfRule>
    <cfRule type="expression" dxfId="509" priority="300">
      <formula>IF(L60="P",TRUE,FALSE)</formula>
    </cfRule>
    <cfRule type="expression" dxfId="508" priority="301">
      <formula>IF(L60="N",TRUE,FALSE)</formula>
    </cfRule>
    <cfRule type="expression" dxfId="507" priority="302">
      <formula>IF(L60="F",TRUE,FALSE)</formula>
    </cfRule>
    <cfRule type="expression" dxfId="506" priority="303">
      <formula>IF(L60="NA",TRUE,FALSE)</formula>
    </cfRule>
  </conditionalFormatting>
  <conditionalFormatting sqref="O60">
    <cfRule type="expression" dxfId="505" priority="289">
      <formula>IF(O60="D",TRUE,FALSE)</formula>
    </cfRule>
    <cfRule type="expression" dxfId="504" priority="290">
      <formula>IF(O60="P",TRUE,FALSE)</formula>
    </cfRule>
    <cfRule type="expression" dxfId="503" priority="291">
      <formula>IF(O60="N",TRUE,FALSE)</formula>
    </cfRule>
    <cfRule type="expression" dxfId="502" priority="292">
      <formula>IF(O60="F",TRUE,FALSE)</formula>
    </cfRule>
    <cfRule type="expression" dxfId="501" priority="293">
      <formula>IF(O60="NA",TRUE,FALSE)</formula>
    </cfRule>
  </conditionalFormatting>
  <conditionalFormatting sqref="I60">
    <cfRule type="expression" dxfId="500" priority="309">
      <formula>IF(I60="D",TRUE,FALSE)</formula>
    </cfRule>
    <cfRule type="expression" dxfId="499" priority="310">
      <formula>IF(I60="P",TRUE,FALSE)</formula>
    </cfRule>
    <cfRule type="expression" dxfId="498" priority="311">
      <formula>IF(I60="N",TRUE,FALSE)</formula>
    </cfRule>
    <cfRule type="expression" dxfId="497" priority="312">
      <formula>IF(I60="F",TRUE,FALSE)</formula>
    </cfRule>
    <cfRule type="expression" dxfId="496" priority="313">
      <formula>IF(I60="NA",TRUE,FALSE)</formula>
    </cfRule>
  </conditionalFormatting>
  <conditionalFormatting sqref="J60:K60">
    <cfRule type="expression" dxfId="495" priority="304">
      <formula>IF(J60="D",TRUE,FALSE)</formula>
    </cfRule>
    <cfRule type="expression" dxfId="494" priority="305">
      <formula>IF(J60="P",TRUE,FALSE)</formula>
    </cfRule>
    <cfRule type="expression" dxfId="493" priority="306">
      <formula>IF(J60="N",TRUE,FALSE)</formula>
    </cfRule>
    <cfRule type="expression" dxfId="492" priority="307">
      <formula>IF(J60="F",TRUE,FALSE)</formula>
    </cfRule>
    <cfRule type="expression" dxfId="491" priority="308">
      <formula>IF(J60="NA",TRUE,FALSE)</formula>
    </cfRule>
  </conditionalFormatting>
  <conditionalFormatting sqref="M60:N60">
    <cfRule type="expression" dxfId="490" priority="294">
      <formula>IF(M60="D",TRUE,FALSE)</formula>
    </cfRule>
    <cfRule type="expression" dxfId="489" priority="295">
      <formula>IF(M60="P",TRUE,FALSE)</formula>
    </cfRule>
    <cfRule type="expression" dxfId="488" priority="296">
      <formula>IF(M60="N",TRUE,FALSE)</formula>
    </cfRule>
    <cfRule type="expression" dxfId="487" priority="297">
      <formula>IF(M60="F",TRUE,FALSE)</formula>
    </cfRule>
    <cfRule type="expression" dxfId="486" priority="298">
      <formula>IF(M60="NA",TRUE,FALSE)</formula>
    </cfRule>
  </conditionalFormatting>
  <conditionalFormatting sqref="S59">
    <cfRule type="expression" dxfId="485" priority="282">
      <formula>P59=P60</formula>
    </cfRule>
  </conditionalFormatting>
  <conditionalFormatting sqref="Q61">
    <cfRule type="expression" dxfId="484" priority="281">
      <formula>P61=P62</formula>
    </cfRule>
  </conditionalFormatting>
  <conditionalFormatting sqref="P62">
    <cfRule type="expression" dxfId="483" priority="248">
      <formula>IF(P62="D",TRUE,FALSE)</formula>
    </cfRule>
    <cfRule type="expression" dxfId="482" priority="249">
      <formula>IF(P62="P",TRUE,FALSE)</formula>
    </cfRule>
    <cfRule type="expression" dxfId="481" priority="250">
      <formula>IF(P62="N",TRUE,FALSE)</formula>
    </cfRule>
    <cfRule type="expression" dxfId="480" priority="251">
      <formula>IF(P62="F",TRUE,FALSE)</formula>
    </cfRule>
    <cfRule type="expression" dxfId="479" priority="252">
      <formula>IF(P62="NA",TRUE,FALSE)</formula>
    </cfRule>
  </conditionalFormatting>
  <conditionalFormatting sqref="L62">
    <cfRule type="expression" dxfId="478" priority="263">
      <formula>IF(L62="D",TRUE,FALSE)</formula>
    </cfRule>
    <cfRule type="expression" dxfId="477" priority="264">
      <formula>IF(L62="P",TRUE,FALSE)</formula>
    </cfRule>
    <cfRule type="expression" dxfId="476" priority="265">
      <formula>IF(L62="N",TRUE,FALSE)</formula>
    </cfRule>
    <cfRule type="expression" dxfId="475" priority="266">
      <formula>IF(L62="F",TRUE,FALSE)</formula>
    </cfRule>
    <cfRule type="expression" dxfId="474" priority="267">
      <formula>IF(L62="NA",TRUE,FALSE)</formula>
    </cfRule>
  </conditionalFormatting>
  <conditionalFormatting sqref="O62">
    <cfRule type="expression" dxfId="473" priority="253">
      <formula>IF(O62="D",TRUE,FALSE)</formula>
    </cfRule>
    <cfRule type="expression" dxfId="472" priority="254">
      <formula>IF(O62="P",TRUE,FALSE)</formula>
    </cfRule>
    <cfRule type="expression" dxfId="471" priority="255">
      <formula>IF(O62="N",TRUE,FALSE)</formula>
    </cfRule>
    <cfRule type="expression" dxfId="470" priority="256">
      <formula>IF(O62="F",TRUE,FALSE)</formula>
    </cfRule>
    <cfRule type="expression" dxfId="469" priority="257">
      <formula>IF(O62="NA",TRUE,FALSE)</formula>
    </cfRule>
  </conditionalFormatting>
  <conditionalFormatting sqref="I62">
    <cfRule type="expression" dxfId="468" priority="273">
      <formula>IF(I62="D",TRUE,FALSE)</formula>
    </cfRule>
    <cfRule type="expression" dxfId="467" priority="274">
      <formula>IF(I62="P",TRUE,FALSE)</formula>
    </cfRule>
    <cfRule type="expression" dxfId="466" priority="275">
      <formula>IF(I62="N",TRUE,FALSE)</formula>
    </cfRule>
    <cfRule type="expression" dxfId="465" priority="276">
      <formula>IF(I62="F",TRUE,FALSE)</formula>
    </cfRule>
    <cfRule type="expression" dxfId="464" priority="277">
      <formula>IF(I62="NA",TRUE,FALSE)</formula>
    </cfRule>
  </conditionalFormatting>
  <conditionalFormatting sqref="J62:K62">
    <cfRule type="expression" dxfId="463" priority="268">
      <formula>IF(J62="D",TRUE,FALSE)</formula>
    </cfRule>
    <cfRule type="expression" dxfId="462" priority="269">
      <formula>IF(J62="P",TRUE,FALSE)</formula>
    </cfRule>
    <cfRule type="expression" dxfId="461" priority="270">
      <formula>IF(J62="N",TRUE,FALSE)</formula>
    </cfRule>
    <cfRule type="expression" dxfId="460" priority="271">
      <formula>IF(J62="F",TRUE,FALSE)</formula>
    </cfRule>
    <cfRule type="expression" dxfId="459" priority="272">
      <formula>IF(J62="NA",TRUE,FALSE)</formula>
    </cfRule>
  </conditionalFormatting>
  <conditionalFormatting sqref="M62:N62">
    <cfRule type="expression" dxfId="458" priority="258">
      <formula>IF(M62="D",TRUE,FALSE)</formula>
    </cfRule>
    <cfRule type="expression" dxfId="457" priority="259">
      <formula>IF(M62="P",TRUE,FALSE)</formula>
    </cfRule>
    <cfRule type="expression" dxfId="456" priority="260">
      <formula>IF(M62="N",TRUE,FALSE)</formula>
    </cfRule>
    <cfRule type="expression" dxfId="455" priority="261">
      <formula>IF(M62="F",TRUE,FALSE)</formula>
    </cfRule>
    <cfRule type="expression" dxfId="454" priority="262">
      <formula>IF(M62="NA",TRUE,FALSE)</formula>
    </cfRule>
  </conditionalFormatting>
  <conditionalFormatting sqref="S61">
    <cfRule type="expression" dxfId="453" priority="247">
      <formula>P61=P62</formula>
    </cfRule>
  </conditionalFormatting>
  <conditionalFormatting sqref="Q64">
    <cfRule type="expression" dxfId="452" priority="246">
      <formula>P64=P65</formula>
    </cfRule>
  </conditionalFormatting>
  <conditionalFormatting sqref="P65">
    <cfRule type="expression" dxfId="451" priority="213">
      <formula>IF(P65="D",TRUE,FALSE)</formula>
    </cfRule>
    <cfRule type="expression" dxfId="450" priority="214">
      <formula>IF(P65="P",TRUE,FALSE)</formula>
    </cfRule>
    <cfRule type="expression" dxfId="449" priority="215">
      <formula>IF(P65="N",TRUE,FALSE)</formula>
    </cfRule>
    <cfRule type="expression" dxfId="448" priority="216">
      <formula>IF(P65="F",TRUE,FALSE)</formula>
    </cfRule>
    <cfRule type="expression" dxfId="447" priority="217">
      <formula>IF(P65="NA",TRUE,FALSE)</formula>
    </cfRule>
  </conditionalFormatting>
  <conditionalFormatting sqref="L65">
    <cfRule type="expression" dxfId="446" priority="228">
      <formula>IF(L65="D",TRUE,FALSE)</formula>
    </cfRule>
    <cfRule type="expression" dxfId="445" priority="229">
      <formula>IF(L65="P",TRUE,FALSE)</formula>
    </cfRule>
    <cfRule type="expression" dxfId="444" priority="230">
      <formula>IF(L65="N",TRUE,FALSE)</formula>
    </cfRule>
    <cfRule type="expression" dxfId="443" priority="231">
      <formula>IF(L65="F",TRUE,FALSE)</formula>
    </cfRule>
    <cfRule type="expression" dxfId="442" priority="232">
      <formula>IF(L65="NA",TRUE,FALSE)</formula>
    </cfRule>
  </conditionalFormatting>
  <conditionalFormatting sqref="O65">
    <cfRule type="expression" dxfId="441" priority="218">
      <formula>IF(O65="D",TRUE,FALSE)</formula>
    </cfRule>
    <cfRule type="expression" dxfId="440" priority="219">
      <formula>IF(O65="P",TRUE,FALSE)</formula>
    </cfRule>
    <cfRule type="expression" dxfId="439" priority="220">
      <formula>IF(O65="N",TRUE,FALSE)</formula>
    </cfRule>
    <cfRule type="expression" dxfId="438" priority="221">
      <formula>IF(O65="F",TRUE,FALSE)</formula>
    </cfRule>
    <cfRule type="expression" dxfId="437" priority="222">
      <formula>IF(O65="NA",TRUE,FALSE)</formula>
    </cfRule>
  </conditionalFormatting>
  <conditionalFormatting sqref="I65">
    <cfRule type="expression" dxfId="436" priority="238">
      <formula>IF(I65="D",TRUE,FALSE)</formula>
    </cfRule>
    <cfRule type="expression" dxfId="435" priority="239">
      <formula>IF(I65="P",TRUE,FALSE)</formula>
    </cfRule>
    <cfRule type="expression" dxfId="434" priority="240">
      <formula>IF(I65="N",TRUE,FALSE)</formula>
    </cfRule>
    <cfRule type="expression" dxfId="433" priority="241">
      <formula>IF(I65="F",TRUE,FALSE)</formula>
    </cfRule>
    <cfRule type="expression" dxfId="432" priority="242">
      <formula>IF(I65="NA",TRUE,FALSE)</formula>
    </cfRule>
  </conditionalFormatting>
  <conditionalFormatting sqref="J65:K65">
    <cfRule type="expression" dxfId="431" priority="233">
      <formula>IF(J65="D",TRUE,FALSE)</formula>
    </cfRule>
    <cfRule type="expression" dxfId="430" priority="234">
      <formula>IF(J65="P",TRUE,FALSE)</formula>
    </cfRule>
    <cfRule type="expression" dxfId="429" priority="235">
      <formula>IF(J65="N",TRUE,FALSE)</formula>
    </cfRule>
    <cfRule type="expression" dxfId="428" priority="236">
      <formula>IF(J65="F",TRUE,FALSE)</formula>
    </cfRule>
    <cfRule type="expression" dxfId="427" priority="237">
      <formula>IF(J65="NA",TRUE,FALSE)</formula>
    </cfRule>
  </conditionalFormatting>
  <conditionalFormatting sqref="M65:N65">
    <cfRule type="expression" dxfId="426" priority="223">
      <formula>IF(M65="D",TRUE,FALSE)</formula>
    </cfRule>
    <cfRule type="expression" dxfId="425" priority="224">
      <formula>IF(M65="P",TRUE,FALSE)</formula>
    </cfRule>
    <cfRule type="expression" dxfId="424" priority="225">
      <formula>IF(M65="N",TRUE,FALSE)</formula>
    </cfRule>
    <cfRule type="expression" dxfId="423" priority="226">
      <formula>IF(M65="F",TRUE,FALSE)</formula>
    </cfRule>
    <cfRule type="expression" dxfId="422" priority="227">
      <formula>IF(M65="NA",TRUE,FALSE)</formula>
    </cfRule>
  </conditionalFormatting>
  <conditionalFormatting sqref="S64">
    <cfRule type="expression" dxfId="421" priority="212">
      <formula>P64=P65</formula>
    </cfRule>
  </conditionalFormatting>
  <conditionalFormatting sqref="Q66">
    <cfRule type="expression" dxfId="420" priority="211">
      <formula>P66=P67</formula>
    </cfRule>
  </conditionalFormatting>
  <conditionalFormatting sqref="P67">
    <cfRule type="expression" dxfId="419" priority="178">
      <formula>IF(P67="D",TRUE,FALSE)</formula>
    </cfRule>
    <cfRule type="expression" dxfId="418" priority="179">
      <formula>IF(P67="P",TRUE,FALSE)</formula>
    </cfRule>
    <cfRule type="expression" dxfId="417" priority="180">
      <formula>IF(P67="N",TRUE,FALSE)</formula>
    </cfRule>
    <cfRule type="expression" dxfId="416" priority="181">
      <formula>IF(P67="F",TRUE,FALSE)</formula>
    </cfRule>
    <cfRule type="expression" dxfId="415" priority="182">
      <formula>IF(P67="NA",TRUE,FALSE)</formula>
    </cfRule>
  </conditionalFormatting>
  <conditionalFormatting sqref="L67">
    <cfRule type="expression" dxfId="414" priority="193">
      <formula>IF(L67="D",TRUE,FALSE)</formula>
    </cfRule>
    <cfRule type="expression" dxfId="413" priority="194">
      <formula>IF(L67="P",TRUE,FALSE)</formula>
    </cfRule>
    <cfRule type="expression" dxfId="412" priority="195">
      <formula>IF(L67="N",TRUE,FALSE)</formula>
    </cfRule>
    <cfRule type="expression" dxfId="411" priority="196">
      <formula>IF(L67="F",TRUE,FALSE)</formula>
    </cfRule>
    <cfRule type="expression" dxfId="410" priority="197">
      <formula>IF(L67="NA",TRUE,FALSE)</formula>
    </cfRule>
  </conditionalFormatting>
  <conditionalFormatting sqref="O67">
    <cfRule type="expression" dxfId="409" priority="183">
      <formula>IF(O67="D",TRUE,FALSE)</formula>
    </cfRule>
    <cfRule type="expression" dxfId="408" priority="184">
      <formula>IF(O67="P",TRUE,FALSE)</formula>
    </cfRule>
    <cfRule type="expression" dxfId="407" priority="185">
      <formula>IF(O67="N",TRUE,FALSE)</formula>
    </cfRule>
    <cfRule type="expression" dxfId="406" priority="186">
      <formula>IF(O67="F",TRUE,FALSE)</formula>
    </cfRule>
    <cfRule type="expression" dxfId="405" priority="187">
      <formula>IF(O67="NA",TRUE,FALSE)</formula>
    </cfRule>
  </conditionalFormatting>
  <conditionalFormatting sqref="I67">
    <cfRule type="expression" dxfId="404" priority="203">
      <formula>IF(I67="D",TRUE,FALSE)</formula>
    </cfRule>
    <cfRule type="expression" dxfId="403" priority="204">
      <formula>IF(I67="P",TRUE,FALSE)</formula>
    </cfRule>
    <cfRule type="expression" dxfId="402" priority="205">
      <formula>IF(I67="N",TRUE,FALSE)</formula>
    </cfRule>
    <cfRule type="expression" dxfId="401" priority="206">
      <formula>IF(I67="F",TRUE,FALSE)</formula>
    </cfRule>
    <cfRule type="expression" dxfId="400" priority="207">
      <formula>IF(I67="NA",TRUE,FALSE)</formula>
    </cfRule>
  </conditionalFormatting>
  <conditionalFormatting sqref="J67:K67">
    <cfRule type="expression" dxfId="399" priority="198">
      <formula>IF(J67="D",TRUE,FALSE)</formula>
    </cfRule>
    <cfRule type="expression" dxfId="398" priority="199">
      <formula>IF(J67="P",TRUE,FALSE)</formula>
    </cfRule>
    <cfRule type="expression" dxfId="397" priority="200">
      <formula>IF(J67="N",TRUE,FALSE)</formula>
    </cfRule>
    <cfRule type="expression" dxfId="396" priority="201">
      <formula>IF(J67="F",TRUE,FALSE)</formula>
    </cfRule>
    <cfRule type="expression" dxfId="395" priority="202">
      <formula>IF(J67="NA",TRUE,FALSE)</formula>
    </cfRule>
  </conditionalFormatting>
  <conditionalFormatting sqref="M67:N67">
    <cfRule type="expression" dxfId="394" priority="188">
      <formula>IF(M67="D",TRUE,FALSE)</formula>
    </cfRule>
    <cfRule type="expression" dxfId="393" priority="189">
      <formula>IF(M67="P",TRUE,FALSE)</formula>
    </cfRule>
    <cfRule type="expression" dxfId="392" priority="190">
      <formula>IF(M67="N",TRUE,FALSE)</formula>
    </cfRule>
    <cfRule type="expression" dxfId="391" priority="191">
      <formula>IF(M67="F",TRUE,FALSE)</formula>
    </cfRule>
    <cfRule type="expression" dxfId="390" priority="192">
      <formula>IF(M67="NA",TRUE,FALSE)</formula>
    </cfRule>
  </conditionalFormatting>
  <conditionalFormatting sqref="S66">
    <cfRule type="expression" dxfId="389" priority="177">
      <formula>P66=P67</formula>
    </cfRule>
  </conditionalFormatting>
  <conditionalFormatting sqref="S6">
    <cfRule type="expression" dxfId="388" priority="176">
      <formula>P6=P7</formula>
    </cfRule>
  </conditionalFormatting>
  <conditionalFormatting sqref="Q68">
    <cfRule type="expression" dxfId="387" priority="175">
      <formula>P68=P69</formula>
    </cfRule>
  </conditionalFormatting>
  <conditionalFormatting sqref="P69">
    <cfRule type="expression" dxfId="386" priority="142">
      <formula>IF(P69="D",TRUE,FALSE)</formula>
    </cfRule>
    <cfRule type="expression" dxfId="385" priority="143">
      <formula>IF(P69="P",TRUE,FALSE)</formula>
    </cfRule>
    <cfRule type="expression" dxfId="384" priority="144">
      <formula>IF(P69="N",TRUE,FALSE)</formula>
    </cfRule>
    <cfRule type="expression" dxfId="383" priority="145">
      <formula>IF(P69="F",TRUE,FALSE)</formula>
    </cfRule>
    <cfRule type="expression" dxfId="382" priority="146">
      <formula>IF(P69="NA",TRUE,FALSE)</formula>
    </cfRule>
  </conditionalFormatting>
  <conditionalFormatting sqref="L69">
    <cfRule type="expression" dxfId="381" priority="157">
      <formula>IF(L69="D",TRUE,FALSE)</formula>
    </cfRule>
    <cfRule type="expression" dxfId="380" priority="158">
      <formula>IF(L69="P",TRUE,FALSE)</formula>
    </cfRule>
    <cfRule type="expression" dxfId="379" priority="159">
      <formula>IF(L69="N",TRUE,FALSE)</formula>
    </cfRule>
    <cfRule type="expression" dxfId="378" priority="160">
      <formula>IF(L69="F",TRUE,FALSE)</formula>
    </cfRule>
    <cfRule type="expression" dxfId="377" priority="161">
      <formula>IF(L69="NA",TRUE,FALSE)</formula>
    </cfRule>
  </conditionalFormatting>
  <conditionalFormatting sqref="O69">
    <cfRule type="expression" dxfId="376" priority="147">
      <formula>IF(O69="D",TRUE,FALSE)</formula>
    </cfRule>
    <cfRule type="expression" dxfId="375" priority="148">
      <formula>IF(O69="P",TRUE,FALSE)</formula>
    </cfRule>
    <cfRule type="expression" dxfId="374" priority="149">
      <formula>IF(O69="N",TRUE,FALSE)</formula>
    </cfRule>
    <cfRule type="expression" dxfId="373" priority="150">
      <formula>IF(O69="F",TRUE,FALSE)</formula>
    </cfRule>
    <cfRule type="expression" dxfId="372" priority="151">
      <formula>IF(O69="NA",TRUE,FALSE)</formula>
    </cfRule>
  </conditionalFormatting>
  <conditionalFormatting sqref="I69">
    <cfRule type="expression" dxfId="371" priority="167">
      <formula>IF(I69="D",TRUE,FALSE)</formula>
    </cfRule>
    <cfRule type="expression" dxfId="370" priority="168">
      <formula>IF(I69="P",TRUE,FALSE)</formula>
    </cfRule>
    <cfRule type="expression" dxfId="369" priority="169">
      <formula>IF(I69="N",TRUE,FALSE)</formula>
    </cfRule>
    <cfRule type="expression" dxfId="368" priority="170">
      <formula>IF(I69="F",TRUE,FALSE)</formula>
    </cfRule>
    <cfRule type="expression" dxfId="367" priority="171">
      <formula>IF(I69="NA",TRUE,FALSE)</formula>
    </cfRule>
  </conditionalFormatting>
  <conditionalFormatting sqref="J69:K69">
    <cfRule type="expression" dxfId="366" priority="162">
      <formula>IF(J69="D",TRUE,FALSE)</formula>
    </cfRule>
    <cfRule type="expression" dxfId="365" priority="163">
      <formula>IF(J69="P",TRUE,FALSE)</formula>
    </cfRule>
    <cfRule type="expression" dxfId="364" priority="164">
      <formula>IF(J69="N",TRUE,FALSE)</formula>
    </cfRule>
    <cfRule type="expression" dxfId="363" priority="165">
      <formula>IF(J69="F",TRUE,FALSE)</formula>
    </cfRule>
    <cfRule type="expression" dxfId="362" priority="166">
      <formula>IF(J69="NA",TRUE,FALSE)</formula>
    </cfRule>
  </conditionalFormatting>
  <conditionalFormatting sqref="M69:N69">
    <cfRule type="expression" dxfId="361" priority="152">
      <formula>IF(M69="D",TRUE,FALSE)</formula>
    </cfRule>
    <cfRule type="expression" dxfId="360" priority="153">
      <formula>IF(M69="P",TRUE,FALSE)</formula>
    </cfRule>
    <cfRule type="expression" dxfId="359" priority="154">
      <formula>IF(M69="N",TRUE,FALSE)</formula>
    </cfRule>
    <cfRule type="expression" dxfId="358" priority="155">
      <formula>IF(M69="F",TRUE,FALSE)</formula>
    </cfRule>
    <cfRule type="expression" dxfId="357" priority="156">
      <formula>IF(M69="NA",TRUE,FALSE)</formula>
    </cfRule>
  </conditionalFormatting>
  <conditionalFormatting sqref="S68">
    <cfRule type="expression" dxfId="356" priority="141">
      <formula>P68=P69</formula>
    </cfRule>
  </conditionalFormatting>
  <conditionalFormatting sqref="Q71">
    <cfRule type="expression" dxfId="355" priority="140">
      <formula>P71=P72</formula>
    </cfRule>
  </conditionalFormatting>
  <conditionalFormatting sqref="P72">
    <cfRule type="expression" dxfId="354" priority="107">
      <formula>IF(P72="D",TRUE,FALSE)</formula>
    </cfRule>
    <cfRule type="expression" dxfId="353" priority="108">
      <formula>IF(P72="P",TRUE,FALSE)</formula>
    </cfRule>
    <cfRule type="expression" dxfId="352" priority="109">
      <formula>IF(P72="N",TRUE,FALSE)</formula>
    </cfRule>
    <cfRule type="expression" dxfId="351" priority="110">
      <formula>IF(P72="F",TRUE,FALSE)</formula>
    </cfRule>
    <cfRule type="expression" dxfId="350" priority="111">
      <formula>IF(P72="NA",TRUE,FALSE)</formula>
    </cfRule>
  </conditionalFormatting>
  <conditionalFormatting sqref="L72">
    <cfRule type="expression" dxfId="349" priority="122">
      <formula>IF(L72="D",TRUE,FALSE)</formula>
    </cfRule>
    <cfRule type="expression" dxfId="348" priority="123">
      <formula>IF(L72="P",TRUE,FALSE)</formula>
    </cfRule>
    <cfRule type="expression" dxfId="347" priority="124">
      <formula>IF(L72="N",TRUE,FALSE)</formula>
    </cfRule>
    <cfRule type="expression" dxfId="346" priority="125">
      <formula>IF(L72="F",TRUE,FALSE)</formula>
    </cfRule>
    <cfRule type="expression" dxfId="345" priority="126">
      <formula>IF(L72="NA",TRUE,FALSE)</formula>
    </cfRule>
  </conditionalFormatting>
  <conditionalFormatting sqref="O72">
    <cfRule type="expression" dxfId="344" priority="112">
      <formula>IF(O72="D",TRUE,FALSE)</formula>
    </cfRule>
    <cfRule type="expression" dxfId="343" priority="113">
      <formula>IF(O72="P",TRUE,FALSE)</formula>
    </cfRule>
    <cfRule type="expression" dxfId="342" priority="114">
      <formula>IF(O72="N",TRUE,FALSE)</formula>
    </cfRule>
    <cfRule type="expression" dxfId="341" priority="115">
      <formula>IF(O72="F",TRUE,FALSE)</formula>
    </cfRule>
    <cfRule type="expression" dxfId="340" priority="116">
      <formula>IF(O72="NA",TRUE,FALSE)</formula>
    </cfRule>
  </conditionalFormatting>
  <conditionalFormatting sqref="I72">
    <cfRule type="expression" dxfId="339" priority="132">
      <formula>IF(I72="D",TRUE,FALSE)</formula>
    </cfRule>
    <cfRule type="expression" dxfId="338" priority="133">
      <formula>IF(I72="P",TRUE,FALSE)</formula>
    </cfRule>
    <cfRule type="expression" dxfId="337" priority="134">
      <formula>IF(I72="N",TRUE,FALSE)</formula>
    </cfRule>
    <cfRule type="expression" dxfId="336" priority="135">
      <formula>IF(I72="F",TRUE,FALSE)</formula>
    </cfRule>
    <cfRule type="expression" dxfId="335" priority="136">
      <formula>IF(I72="NA",TRUE,FALSE)</formula>
    </cfRule>
  </conditionalFormatting>
  <conditionalFormatting sqref="J72:K72">
    <cfRule type="expression" dxfId="334" priority="127">
      <formula>IF(J72="D",TRUE,FALSE)</formula>
    </cfRule>
    <cfRule type="expression" dxfId="333" priority="128">
      <formula>IF(J72="P",TRUE,FALSE)</formula>
    </cfRule>
    <cfRule type="expression" dxfId="332" priority="129">
      <formula>IF(J72="N",TRUE,FALSE)</formula>
    </cfRule>
    <cfRule type="expression" dxfId="331" priority="130">
      <formula>IF(J72="F",TRUE,FALSE)</formula>
    </cfRule>
    <cfRule type="expression" dxfId="330" priority="131">
      <formula>IF(J72="NA",TRUE,FALSE)</formula>
    </cfRule>
  </conditionalFormatting>
  <conditionalFormatting sqref="M72:N72">
    <cfRule type="expression" dxfId="329" priority="117">
      <formula>IF(M72="D",TRUE,FALSE)</formula>
    </cfRule>
    <cfRule type="expression" dxfId="328" priority="118">
      <formula>IF(M72="P",TRUE,FALSE)</formula>
    </cfRule>
    <cfRule type="expression" dxfId="327" priority="119">
      <formula>IF(M72="N",TRUE,FALSE)</formula>
    </cfRule>
    <cfRule type="expression" dxfId="326" priority="120">
      <formula>IF(M72="F",TRUE,FALSE)</formula>
    </cfRule>
    <cfRule type="expression" dxfId="325" priority="121">
      <formula>IF(M72="NA",TRUE,FALSE)</formula>
    </cfRule>
  </conditionalFormatting>
  <conditionalFormatting sqref="S71">
    <cfRule type="expression" dxfId="324" priority="106">
      <formula>P71=P72</formula>
    </cfRule>
  </conditionalFormatting>
  <conditionalFormatting sqref="Q73">
    <cfRule type="expression" dxfId="323" priority="105">
      <formula>P73=P74</formula>
    </cfRule>
  </conditionalFormatting>
  <conditionalFormatting sqref="P74">
    <cfRule type="expression" dxfId="322" priority="72">
      <formula>IF(P74="D",TRUE,FALSE)</formula>
    </cfRule>
    <cfRule type="expression" dxfId="321" priority="73">
      <formula>IF(P74="P",TRUE,FALSE)</formula>
    </cfRule>
    <cfRule type="expression" dxfId="320" priority="74">
      <formula>IF(P74="N",TRUE,FALSE)</formula>
    </cfRule>
    <cfRule type="expression" dxfId="319" priority="75">
      <formula>IF(P74="F",TRUE,FALSE)</formula>
    </cfRule>
    <cfRule type="expression" dxfId="318" priority="76">
      <formula>IF(P74="NA",TRUE,FALSE)</formula>
    </cfRule>
  </conditionalFormatting>
  <conditionalFormatting sqref="L74">
    <cfRule type="expression" dxfId="317" priority="87">
      <formula>IF(L74="D",TRUE,FALSE)</formula>
    </cfRule>
    <cfRule type="expression" dxfId="316" priority="88">
      <formula>IF(L74="P",TRUE,FALSE)</formula>
    </cfRule>
    <cfRule type="expression" dxfId="315" priority="89">
      <formula>IF(L74="N",TRUE,FALSE)</formula>
    </cfRule>
    <cfRule type="expression" dxfId="314" priority="90">
      <formula>IF(L74="F",TRUE,FALSE)</formula>
    </cfRule>
    <cfRule type="expression" dxfId="313" priority="91">
      <formula>IF(L74="NA",TRUE,FALSE)</formula>
    </cfRule>
  </conditionalFormatting>
  <conditionalFormatting sqref="O74">
    <cfRule type="expression" dxfId="312" priority="77">
      <formula>IF(O74="D",TRUE,FALSE)</formula>
    </cfRule>
    <cfRule type="expression" dxfId="311" priority="78">
      <formula>IF(O74="P",TRUE,FALSE)</formula>
    </cfRule>
    <cfRule type="expression" dxfId="310" priority="79">
      <formula>IF(O74="N",TRUE,FALSE)</formula>
    </cfRule>
    <cfRule type="expression" dxfId="309" priority="80">
      <formula>IF(O74="F",TRUE,FALSE)</formula>
    </cfRule>
    <cfRule type="expression" dxfId="308" priority="81">
      <formula>IF(O74="NA",TRUE,FALSE)</formula>
    </cfRule>
  </conditionalFormatting>
  <conditionalFormatting sqref="I74">
    <cfRule type="expression" dxfId="307" priority="97">
      <formula>IF(I74="D",TRUE,FALSE)</formula>
    </cfRule>
    <cfRule type="expression" dxfId="306" priority="98">
      <formula>IF(I74="P",TRUE,FALSE)</formula>
    </cfRule>
    <cfRule type="expression" dxfId="305" priority="99">
      <formula>IF(I74="N",TRUE,FALSE)</formula>
    </cfRule>
    <cfRule type="expression" dxfId="304" priority="100">
      <formula>IF(I74="F",TRUE,FALSE)</formula>
    </cfRule>
    <cfRule type="expression" dxfId="303" priority="101">
      <formula>IF(I74="NA",TRUE,FALSE)</formula>
    </cfRule>
  </conditionalFormatting>
  <conditionalFormatting sqref="J74:K74">
    <cfRule type="expression" dxfId="302" priority="92">
      <formula>IF(J74="D",TRUE,FALSE)</formula>
    </cfRule>
    <cfRule type="expression" dxfId="301" priority="93">
      <formula>IF(J74="P",TRUE,FALSE)</formula>
    </cfRule>
    <cfRule type="expression" dxfId="300" priority="94">
      <formula>IF(J74="N",TRUE,FALSE)</formula>
    </cfRule>
    <cfRule type="expression" dxfId="299" priority="95">
      <formula>IF(J74="F",TRUE,FALSE)</formula>
    </cfRule>
    <cfRule type="expression" dxfId="298" priority="96">
      <formula>IF(J74="NA",TRUE,FALSE)</formula>
    </cfRule>
  </conditionalFormatting>
  <conditionalFormatting sqref="M74:N74">
    <cfRule type="expression" dxfId="297" priority="82">
      <formula>IF(M74="D",TRUE,FALSE)</formula>
    </cfRule>
    <cfRule type="expression" dxfId="296" priority="83">
      <formula>IF(M74="P",TRUE,FALSE)</formula>
    </cfRule>
    <cfRule type="expression" dxfId="295" priority="84">
      <formula>IF(M74="N",TRUE,FALSE)</formula>
    </cfRule>
    <cfRule type="expression" dxfId="294" priority="85">
      <formula>IF(M74="F",TRUE,FALSE)</formula>
    </cfRule>
    <cfRule type="expression" dxfId="293" priority="86">
      <formula>IF(M74="NA",TRUE,FALSE)</formula>
    </cfRule>
  </conditionalFormatting>
  <conditionalFormatting sqref="S73">
    <cfRule type="expression" dxfId="292" priority="71">
      <formula>P73=P74</formula>
    </cfRule>
  </conditionalFormatting>
  <conditionalFormatting sqref="Q76">
    <cfRule type="expression" dxfId="291" priority="70">
      <formula>P76=P77</formula>
    </cfRule>
  </conditionalFormatting>
  <conditionalFormatting sqref="P77">
    <cfRule type="expression" dxfId="290" priority="37">
      <formula>IF(P77="D",TRUE,FALSE)</formula>
    </cfRule>
    <cfRule type="expression" dxfId="289" priority="38">
      <formula>IF(P77="P",TRUE,FALSE)</formula>
    </cfRule>
    <cfRule type="expression" dxfId="288" priority="39">
      <formula>IF(P77="N",TRUE,FALSE)</formula>
    </cfRule>
    <cfRule type="expression" dxfId="287" priority="40">
      <formula>IF(P77="F",TRUE,FALSE)</formula>
    </cfRule>
    <cfRule type="expression" dxfId="286" priority="41">
      <formula>IF(P77="NA",TRUE,FALSE)</formula>
    </cfRule>
  </conditionalFormatting>
  <conditionalFormatting sqref="L77">
    <cfRule type="expression" dxfId="285" priority="52">
      <formula>IF(L77="D",TRUE,FALSE)</formula>
    </cfRule>
    <cfRule type="expression" dxfId="284" priority="53">
      <formula>IF(L77="P",TRUE,FALSE)</formula>
    </cfRule>
    <cfRule type="expression" dxfId="283" priority="54">
      <formula>IF(L77="N",TRUE,FALSE)</formula>
    </cfRule>
    <cfRule type="expression" dxfId="282" priority="55">
      <formula>IF(L77="F",TRUE,FALSE)</formula>
    </cfRule>
    <cfRule type="expression" dxfId="281" priority="56">
      <formula>IF(L77="NA",TRUE,FALSE)</formula>
    </cfRule>
  </conditionalFormatting>
  <conditionalFormatting sqref="O77">
    <cfRule type="expression" dxfId="280" priority="42">
      <formula>IF(O77="D",TRUE,FALSE)</formula>
    </cfRule>
    <cfRule type="expression" dxfId="279" priority="43">
      <formula>IF(O77="P",TRUE,FALSE)</formula>
    </cfRule>
    <cfRule type="expression" dxfId="278" priority="44">
      <formula>IF(O77="N",TRUE,FALSE)</formula>
    </cfRule>
    <cfRule type="expression" dxfId="277" priority="45">
      <formula>IF(O77="F",TRUE,FALSE)</formula>
    </cfRule>
    <cfRule type="expression" dxfId="276" priority="46">
      <formula>IF(O77="NA",TRUE,FALSE)</formula>
    </cfRule>
  </conditionalFormatting>
  <conditionalFormatting sqref="I77">
    <cfRule type="expression" dxfId="275" priority="62">
      <formula>IF(I77="D",TRUE,FALSE)</formula>
    </cfRule>
    <cfRule type="expression" dxfId="274" priority="63">
      <formula>IF(I77="P",TRUE,FALSE)</formula>
    </cfRule>
    <cfRule type="expression" dxfId="273" priority="64">
      <formula>IF(I77="N",TRUE,FALSE)</formula>
    </cfRule>
    <cfRule type="expression" dxfId="272" priority="65">
      <formula>IF(I77="F",TRUE,FALSE)</formula>
    </cfRule>
    <cfRule type="expression" dxfId="271" priority="66">
      <formula>IF(I77="NA",TRUE,FALSE)</formula>
    </cfRule>
  </conditionalFormatting>
  <conditionalFormatting sqref="J77:K77">
    <cfRule type="expression" dxfId="270" priority="57">
      <formula>IF(J77="D",TRUE,FALSE)</formula>
    </cfRule>
    <cfRule type="expression" dxfId="269" priority="58">
      <formula>IF(J77="P",TRUE,FALSE)</formula>
    </cfRule>
    <cfRule type="expression" dxfId="268" priority="59">
      <formula>IF(J77="N",TRUE,FALSE)</formula>
    </cfRule>
    <cfRule type="expression" dxfId="267" priority="60">
      <formula>IF(J77="F",TRUE,FALSE)</formula>
    </cfRule>
    <cfRule type="expression" dxfId="266" priority="61">
      <formula>IF(J77="NA",TRUE,FALSE)</formula>
    </cfRule>
  </conditionalFormatting>
  <conditionalFormatting sqref="M77:N77">
    <cfRule type="expression" dxfId="265" priority="47">
      <formula>IF(M77="D",TRUE,FALSE)</formula>
    </cfRule>
    <cfRule type="expression" dxfId="264" priority="48">
      <formula>IF(M77="P",TRUE,FALSE)</formula>
    </cfRule>
    <cfRule type="expression" dxfId="263" priority="49">
      <formula>IF(M77="N",TRUE,FALSE)</formula>
    </cfRule>
    <cfRule type="expression" dxfId="262" priority="50">
      <formula>IF(M77="F",TRUE,FALSE)</formula>
    </cfRule>
    <cfRule type="expression" dxfId="261" priority="51">
      <formula>IF(M77="NA",TRUE,FALSE)</formula>
    </cfRule>
  </conditionalFormatting>
  <conditionalFormatting sqref="Q20">
    <cfRule type="expression" dxfId="260" priority="35">
      <formula>P20=P21</formula>
    </cfRule>
  </conditionalFormatting>
  <conditionalFormatting sqref="P21">
    <cfRule type="expression" dxfId="259" priority="2">
      <formula>IF(P21="D",TRUE,FALSE)</formula>
    </cfRule>
    <cfRule type="expression" dxfId="258" priority="3">
      <formula>IF(P21="P",TRUE,FALSE)</formula>
    </cfRule>
    <cfRule type="expression" dxfId="257" priority="4">
      <formula>IF(P21="N",TRUE,FALSE)</formula>
    </cfRule>
    <cfRule type="expression" dxfId="256" priority="5">
      <formula>IF(P21="F",TRUE,FALSE)</formula>
    </cfRule>
    <cfRule type="expression" dxfId="255" priority="6">
      <formula>IF(P21="NA",TRUE,FALSE)</formula>
    </cfRule>
  </conditionalFormatting>
  <conditionalFormatting sqref="L21">
    <cfRule type="expression" dxfId="254" priority="17">
      <formula>IF(L21="D",TRUE,FALSE)</formula>
    </cfRule>
    <cfRule type="expression" dxfId="253" priority="18">
      <formula>IF(L21="P",TRUE,FALSE)</formula>
    </cfRule>
    <cfRule type="expression" dxfId="252" priority="19">
      <formula>IF(L21="N",TRUE,FALSE)</formula>
    </cfRule>
    <cfRule type="expression" dxfId="251" priority="20">
      <formula>IF(L21="F",TRUE,FALSE)</formula>
    </cfRule>
    <cfRule type="expression" dxfId="250" priority="21">
      <formula>IF(L21="NA",TRUE,FALSE)</formula>
    </cfRule>
  </conditionalFormatting>
  <conditionalFormatting sqref="O21">
    <cfRule type="expression" dxfId="249" priority="7">
      <formula>IF(O21="D",TRUE,FALSE)</formula>
    </cfRule>
    <cfRule type="expression" dxfId="248" priority="8">
      <formula>IF(O21="P",TRUE,FALSE)</formula>
    </cfRule>
    <cfRule type="expression" dxfId="247" priority="9">
      <formula>IF(O21="N",TRUE,FALSE)</formula>
    </cfRule>
    <cfRule type="expression" dxfId="246" priority="10">
      <formula>IF(O21="F",TRUE,FALSE)</formula>
    </cfRule>
    <cfRule type="expression" dxfId="245" priority="11">
      <formula>IF(O21="NA",TRUE,FALSE)</formula>
    </cfRule>
  </conditionalFormatting>
  <conditionalFormatting sqref="I21">
    <cfRule type="expression" dxfId="244" priority="27">
      <formula>IF(I21="D",TRUE,FALSE)</formula>
    </cfRule>
    <cfRule type="expression" dxfId="243" priority="28">
      <formula>IF(I21="P",TRUE,FALSE)</formula>
    </cfRule>
    <cfRule type="expression" dxfId="242" priority="29">
      <formula>IF(I21="N",TRUE,FALSE)</formula>
    </cfRule>
    <cfRule type="expression" dxfId="241" priority="30">
      <formula>IF(I21="F",TRUE,FALSE)</formula>
    </cfRule>
    <cfRule type="expression" dxfId="240" priority="31">
      <formula>IF(I21="NA",TRUE,FALSE)</formula>
    </cfRule>
  </conditionalFormatting>
  <conditionalFormatting sqref="J21:K21">
    <cfRule type="expression" dxfId="239" priority="22">
      <formula>IF(J21="D",TRUE,FALSE)</formula>
    </cfRule>
    <cfRule type="expression" dxfId="238" priority="23">
      <formula>IF(J21="P",TRUE,FALSE)</formula>
    </cfRule>
    <cfRule type="expression" dxfId="237" priority="24">
      <formula>IF(J21="N",TRUE,FALSE)</formula>
    </cfRule>
    <cfRule type="expression" dxfId="236" priority="25">
      <formula>IF(J21="F",TRUE,FALSE)</formula>
    </cfRule>
    <cfRule type="expression" dxfId="235" priority="26">
      <formula>IF(J21="NA",TRUE,FALSE)</formula>
    </cfRule>
  </conditionalFormatting>
  <conditionalFormatting sqref="M21:N21">
    <cfRule type="expression" dxfId="234" priority="12">
      <formula>IF(M21="D",TRUE,FALSE)</formula>
    </cfRule>
    <cfRule type="expression" dxfId="233" priority="13">
      <formula>IF(M21="P",TRUE,FALSE)</formula>
    </cfRule>
    <cfRule type="expression" dxfId="232" priority="14">
      <formula>IF(M21="N",TRUE,FALSE)</formula>
    </cfRule>
    <cfRule type="expression" dxfId="231" priority="15">
      <formula>IF(M21="F",TRUE,FALSE)</formula>
    </cfRule>
    <cfRule type="expression" dxfId="230" priority="16">
      <formula>IF(M21="NA",TRUE,FALSE)</formula>
    </cfRule>
  </conditionalFormatting>
  <conditionalFormatting sqref="S20">
    <cfRule type="expression" dxfId="229" priority="1">
      <formula>R20=R21</formula>
    </cfRule>
  </conditionalFormatting>
  <dataValidations xWindow="2583" yWindow="881" count="3">
    <dataValidation type="list" allowBlank="1" showInputMessage="1" showErrorMessage="1" sqref="D4:D9 D11:D16 D76:D77 D41:D42 D44:D49 D51:D52 D54:D57 D59:D62 D64:D69 D71:D74 D18:D39" xr:uid="{166E8260-29A0-441E-9E21-C666983529F2}">
      <formula1>list_strategy</formula1>
    </dataValidation>
    <dataValidation allowBlank="1" showInputMessage="1" showErrorMessage="1" promptTitle="Reuse estimation" prompt="o 0% : no reuse at all_x000a_o 1% to 99% : partial reuse. If the precision is difficult to get, try an approximate value_x000a_o 100% : full reuse : nothing to do" sqref="K3 N3 I3 P3 S3 K10 N10 I10 P10 S10 K17 N17 I17 P17 S17 K40 N40 I40 P40 S40 K43 N43 I43 P43 S43 K50 N50 I50 P50 S50 K53 N53 I53 P53 S53 K58 N58 I58 P58 S58 K63 N63 I63 P63 S63 K70 N70 I70 P70 S70 K75 N75 I75 P75 S75" xr:uid="{0C4F1B56-3BE5-4C4C-A6B1-3C793623C3FF}"/>
    <dataValidation type="list" allowBlank="1" showInputMessage="1" promptTitle="Describe the strategy" prompt="o By written it_x000a_o Or by selecting a predefined strategy" sqref="O3 L3:M3 T3 Q3:R3 O10 L10:M10 T10 Q10:R10 O17 L17:M17 T17 Q17:R17 O40 L40:M40 T40 Q40:R40 O43 L43:M43 T43 Q43:R43 O50 L50:M50 T50 Q50:R50 O53 L53:M53 T53 Q53:R53 O58 L58:M58 T58 Q58:R58 O63 L63:M63 T63 Q63:R63 O70 L70:M70 T70 Q70:R70 O75 L75:M75 T75 Q75:R75" xr:uid="{D54FCA19-9ADD-40B6-A923-121820EC5DB5}">
      <formula1>Options_PrefilledStrategies</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19" operator="equal" id="{B80E25BB-C7FE-475A-BBA3-0CAB5BCF6427}">
            <xm:f>'General info'!$C$154</xm:f>
            <x14:dxf>
              <fill>
                <patternFill>
                  <bgColor theme="2" tint="-0.24994659260841701"/>
                </patternFill>
              </fill>
            </x14:dxf>
          </x14:cfRule>
          <x14:cfRule type="cellIs" priority="1220" operator="equal" id="{B5EF4A19-E80C-4E5E-8D85-C5B085D4680C}">
            <xm:f>'General info'!$C$153</xm:f>
            <x14:dxf>
              <fill>
                <patternFill>
                  <bgColor theme="6"/>
                </patternFill>
              </fill>
            </x14:dxf>
          </x14:cfRule>
          <x14:cfRule type="cellIs" priority="1221" operator="equal" id="{CEF25100-8CE2-48B0-B66E-F2071CD369F3}">
            <xm:f>'General info'!$C$152</xm:f>
            <x14:dxf>
              <fill>
                <patternFill>
                  <bgColor rgb="FFFFC000"/>
                </patternFill>
              </fill>
            </x14:dxf>
          </x14:cfRule>
          <xm:sqref>D4:D5</xm:sqref>
        </x14:conditionalFormatting>
        <x14:conditionalFormatting xmlns:xm="http://schemas.microsoft.com/office/excel/2006/main">
          <x14:cfRule type="cellIs" priority="1076" operator="equal" id="{BA85FFB2-456A-426D-BBF6-613B6567591F}">
            <xm:f>'General info'!$C$154</xm:f>
            <x14:dxf>
              <fill>
                <patternFill>
                  <bgColor theme="2" tint="-0.24994659260841701"/>
                </patternFill>
              </fill>
            </x14:dxf>
          </x14:cfRule>
          <x14:cfRule type="cellIs" priority="1077" operator="equal" id="{6BE5576F-6D61-4F0F-819D-688B218D5208}">
            <xm:f>'General info'!$C$153</xm:f>
            <x14:dxf>
              <fill>
                <patternFill>
                  <bgColor theme="6"/>
                </patternFill>
              </fill>
            </x14:dxf>
          </x14:cfRule>
          <x14:cfRule type="cellIs" priority="1078" operator="equal" id="{18B5C2B9-8E64-4CBC-8190-3F943902331A}">
            <xm:f>'General info'!$C$152</xm:f>
            <x14:dxf>
              <fill>
                <patternFill>
                  <bgColor rgb="FFFFC000"/>
                </patternFill>
              </fill>
            </x14:dxf>
          </x14:cfRule>
          <xm:sqref>D6:D7</xm:sqref>
        </x14:conditionalFormatting>
        <x14:conditionalFormatting xmlns:xm="http://schemas.microsoft.com/office/excel/2006/main">
          <x14:cfRule type="cellIs" priority="1042" operator="equal" id="{834671D7-5EF4-48CB-8AFD-77FFB6E0DB62}">
            <xm:f>'General info'!$C$154</xm:f>
            <x14:dxf>
              <fill>
                <patternFill>
                  <bgColor theme="2" tint="-0.24994659260841701"/>
                </patternFill>
              </fill>
            </x14:dxf>
          </x14:cfRule>
          <x14:cfRule type="cellIs" priority="1043" operator="equal" id="{2E45DFAE-0251-439D-A4CB-68755DFAB722}">
            <xm:f>'General info'!$C$153</xm:f>
            <x14:dxf>
              <fill>
                <patternFill>
                  <bgColor theme="6"/>
                </patternFill>
              </fill>
            </x14:dxf>
          </x14:cfRule>
          <x14:cfRule type="cellIs" priority="1044" operator="equal" id="{AC8C235B-464D-41C8-ADF5-01F24AB54066}">
            <xm:f>'General info'!$C$152</xm:f>
            <x14:dxf>
              <fill>
                <patternFill>
                  <bgColor rgb="FFFFC000"/>
                </patternFill>
              </fill>
            </x14:dxf>
          </x14:cfRule>
          <xm:sqref>D8:D9</xm:sqref>
        </x14:conditionalFormatting>
        <x14:conditionalFormatting xmlns:xm="http://schemas.microsoft.com/office/excel/2006/main">
          <x14:cfRule type="cellIs" priority="1023" operator="equal" id="{7800C8F4-1302-444B-B906-5935C865E5DC}">
            <xm:f>'General info'!$C$154</xm:f>
            <x14:dxf>
              <fill>
                <patternFill>
                  <bgColor theme="2" tint="-0.24994659260841701"/>
                </patternFill>
              </fill>
            </x14:dxf>
          </x14:cfRule>
          <x14:cfRule type="cellIs" priority="1024" operator="equal" id="{7680F675-4323-4A73-8280-39D77AB17E7B}">
            <xm:f>'General info'!$C$153</xm:f>
            <x14:dxf>
              <fill>
                <patternFill>
                  <bgColor theme="6"/>
                </patternFill>
              </fill>
            </x14:dxf>
          </x14:cfRule>
          <x14:cfRule type="cellIs" priority="1025" operator="equal" id="{C458FD71-E4D6-4F72-8493-41D703D80823}">
            <xm:f>'General info'!$C$152</xm:f>
            <x14:dxf>
              <fill>
                <patternFill>
                  <bgColor rgb="FFFFC000"/>
                </patternFill>
              </fill>
            </x14:dxf>
          </x14:cfRule>
          <xm:sqref>D11:D12</xm:sqref>
        </x14:conditionalFormatting>
        <x14:conditionalFormatting xmlns:xm="http://schemas.microsoft.com/office/excel/2006/main">
          <x14:cfRule type="cellIs" priority="989" operator="equal" id="{B8DFCD83-8073-4650-9490-04630BDC8726}">
            <xm:f>'General info'!$C$154</xm:f>
            <x14:dxf>
              <fill>
                <patternFill>
                  <bgColor theme="2" tint="-0.24994659260841701"/>
                </patternFill>
              </fill>
            </x14:dxf>
          </x14:cfRule>
          <x14:cfRule type="cellIs" priority="990" operator="equal" id="{DFFCFAE6-5E2A-4BD7-AFB8-2BE21111637A}">
            <xm:f>'General info'!$C$153</xm:f>
            <x14:dxf>
              <fill>
                <patternFill>
                  <bgColor theme="6"/>
                </patternFill>
              </fill>
            </x14:dxf>
          </x14:cfRule>
          <x14:cfRule type="cellIs" priority="991" operator="equal" id="{83D1CD1A-5F46-407A-9685-D3F3A1E6C5AF}">
            <xm:f>'General info'!$C$152</xm:f>
            <x14:dxf>
              <fill>
                <patternFill>
                  <bgColor rgb="FFFFC000"/>
                </patternFill>
              </fill>
            </x14:dxf>
          </x14:cfRule>
          <xm:sqref>D13:D14</xm:sqref>
        </x14:conditionalFormatting>
        <x14:conditionalFormatting xmlns:xm="http://schemas.microsoft.com/office/excel/2006/main">
          <x14:cfRule type="cellIs" priority="955" operator="equal" id="{3AD639BF-2131-4B3D-A3C6-1E5B1769831F}">
            <xm:f>'General info'!$C$154</xm:f>
            <x14:dxf>
              <fill>
                <patternFill>
                  <bgColor theme="2" tint="-0.24994659260841701"/>
                </patternFill>
              </fill>
            </x14:dxf>
          </x14:cfRule>
          <x14:cfRule type="cellIs" priority="956" operator="equal" id="{04A3F8F5-029D-4312-A235-D25417F86BCD}">
            <xm:f>'General info'!$C$153</xm:f>
            <x14:dxf>
              <fill>
                <patternFill>
                  <bgColor theme="6"/>
                </patternFill>
              </fill>
            </x14:dxf>
          </x14:cfRule>
          <x14:cfRule type="cellIs" priority="957" operator="equal" id="{F2A0A4DC-7750-4AF0-B253-D562F458EBF2}">
            <xm:f>'General info'!$C$152</xm:f>
            <x14:dxf>
              <fill>
                <patternFill>
                  <bgColor rgb="FFFFC000"/>
                </patternFill>
              </fill>
            </x14:dxf>
          </x14:cfRule>
          <xm:sqref>D15:D16</xm:sqref>
        </x14:conditionalFormatting>
        <x14:conditionalFormatting xmlns:xm="http://schemas.microsoft.com/office/excel/2006/main">
          <x14:cfRule type="cellIs" priority="921" operator="equal" id="{DEE74414-60FE-4F75-B68C-DA46F29A82B8}">
            <xm:f>'General info'!$C$154</xm:f>
            <x14:dxf>
              <fill>
                <patternFill>
                  <bgColor theme="2" tint="-0.24994659260841701"/>
                </patternFill>
              </fill>
            </x14:dxf>
          </x14:cfRule>
          <x14:cfRule type="cellIs" priority="922" operator="equal" id="{B6B0F504-2F26-4191-B869-7B11981ECF52}">
            <xm:f>'General info'!$C$153</xm:f>
            <x14:dxf>
              <fill>
                <patternFill>
                  <bgColor theme="6"/>
                </patternFill>
              </fill>
            </x14:dxf>
          </x14:cfRule>
          <x14:cfRule type="cellIs" priority="923" operator="equal" id="{E63A5AB3-F1F0-4C3D-AFBF-8BDA082F15B2}">
            <xm:f>'General info'!$C$152</xm:f>
            <x14:dxf>
              <fill>
                <patternFill>
                  <bgColor rgb="FFFFC000"/>
                </patternFill>
              </fill>
            </x14:dxf>
          </x14:cfRule>
          <xm:sqref>D18:D19</xm:sqref>
        </x14:conditionalFormatting>
        <x14:conditionalFormatting xmlns:xm="http://schemas.microsoft.com/office/excel/2006/main">
          <x14:cfRule type="cellIs" priority="881" operator="equal" id="{B270F3F4-28EC-49C2-BB18-69038D5AC3BF}">
            <xm:f>'General info'!$C$154</xm:f>
            <x14:dxf>
              <fill>
                <patternFill>
                  <bgColor theme="2" tint="-0.24994659260841701"/>
                </patternFill>
              </fill>
            </x14:dxf>
          </x14:cfRule>
          <x14:cfRule type="cellIs" priority="882" operator="equal" id="{E14C0C95-34B3-4463-9D1C-4F9BB203DBA9}">
            <xm:f>'General info'!$C$153</xm:f>
            <x14:dxf>
              <fill>
                <patternFill>
                  <bgColor theme="6"/>
                </patternFill>
              </fill>
            </x14:dxf>
          </x14:cfRule>
          <x14:cfRule type="cellIs" priority="883" operator="equal" id="{58FAD8DD-9BCB-4831-9EBC-F002166BB1B0}">
            <xm:f>'General info'!$C$152</xm:f>
            <x14:dxf>
              <fill>
                <patternFill>
                  <bgColor rgb="FFFFC000"/>
                </patternFill>
              </fill>
            </x14:dxf>
          </x14:cfRule>
          <xm:sqref>D22:D23</xm:sqref>
        </x14:conditionalFormatting>
        <x14:conditionalFormatting xmlns:xm="http://schemas.microsoft.com/office/excel/2006/main">
          <x14:cfRule type="cellIs" priority="846" operator="equal" id="{22B321F3-C1CF-4514-A125-3C623D840A61}">
            <xm:f>'General info'!$C$154</xm:f>
            <x14:dxf>
              <fill>
                <patternFill>
                  <bgColor theme="2" tint="-0.24994659260841701"/>
                </patternFill>
              </fill>
            </x14:dxf>
          </x14:cfRule>
          <x14:cfRule type="cellIs" priority="847" operator="equal" id="{31510CF1-50B6-4A87-8691-6FB314AFE9FA}">
            <xm:f>'General info'!$C$153</xm:f>
            <x14:dxf>
              <fill>
                <patternFill>
                  <bgColor theme="6"/>
                </patternFill>
              </fill>
            </x14:dxf>
          </x14:cfRule>
          <x14:cfRule type="cellIs" priority="848" operator="equal" id="{B2669CCE-65D0-4178-AFF0-530A400C390F}">
            <xm:f>'General info'!$C$152</xm:f>
            <x14:dxf>
              <fill>
                <patternFill>
                  <bgColor rgb="FFFFC000"/>
                </patternFill>
              </fill>
            </x14:dxf>
          </x14:cfRule>
          <xm:sqref>D24:D25</xm:sqref>
        </x14:conditionalFormatting>
        <x14:conditionalFormatting xmlns:xm="http://schemas.microsoft.com/office/excel/2006/main">
          <x14:cfRule type="cellIs" priority="807" operator="equal" id="{C1A63F16-D9BE-415D-87F7-4738B1F131B5}">
            <xm:f>'General info'!$C$154</xm:f>
            <x14:dxf>
              <fill>
                <patternFill>
                  <bgColor theme="2" tint="-0.24994659260841701"/>
                </patternFill>
              </fill>
            </x14:dxf>
          </x14:cfRule>
          <x14:cfRule type="cellIs" priority="808" operator="equal" id="{C03A9941-2ABC-43D6-9DAE-237A8A401099}">
            <xm:f>'General info'!$C$153</xm:f>
            <x14:dxf>
              <fill>
                <patternFill>
                  <bgColor theme="6"/>
                </patternFill>
              </fill>
            </x14:dxf>
          </x14:cfRule>
          <x14:cfRule type="cellIs" priority="809" operator="equal" id="{CBDEA6A2-C978-4856-979F-62851CA3B5EF}">
            <xm:f>'General info'!$C$152</xm:f>
            <x14:dxf>
              <fill>
                <patternFill>
                  <bgColor rgb="FFFFC000"/>
                </patternFill>
              </fill>
            </x14:dxf>
          </x14:cfRule>
          <xm:sqref>D26:D27</xm:sqref>
        </x14:conditionalFormatting>
        <x14:conditionalFormatting xmlns:xm="http://schemas.microsoft.com/office/excel/2006/main">
          <x14:cfRule type="cellIs" priority="772" operator="equal" id="{A1FCED16-EBA3-4097-9049-C98338A79227}">
            <xm:f>'General info'!$C$154</xm:f>
            <x14:dxf>
              <fill>
                <patternFill>
                  <bgColor theme="2" tint="-0.24994659260841701"/>
                </patternFill>
              </fill>
            </x14:dxf>
          </x14:cfRule>
          <x14:cfRule type="cellIs" priority="773" operator="equal" id="{89BD3D17-1B92-4D48-A9E1-1BD94C163C67}">
            <xm:f>'General info'!$C$153</xm:f>
            <x14:dxf>
              <fill>
                <patternFill>
                  <bgColor theme="6"/>
                </patternFill>
              </fill>
            </x14:dxf>
          </x14:cfRule>
          <x14:cfRule type="cellIs" priority="774" operator="equal" id="{A75302FB-F26E-4C62-886C-9AC432F6368E}">
            <xm:f>'General info'!$C$152</xm:f>
            <x14:dxf>
              <fill>
                <patternFill>
                  <bgColor rgb="FFFFC000"/>
                </patternFill>
              </fill>
            </x14:dxf>
          </x14:cfRule>
          <xm:sqref>D28:D29</xm:sqref>
        </x14:conditionalFormatting>
        <x14:conditionalFormatting xmlns:xm="http://schemas.microsoft.com/office/excel/2006/main">
          <x14:cfRule type="cellIs" priority="737" operator="equal" id="{41159737-A15B-4165-A5CD-40F066CF54CF}">
            <xm:f>'General info'!$C$154</xm:f>
            <x14:dxf>
              <fill>
                <patternFill>
                  <bgColor theme="2" tint="-0.24994659260841701"/>
                </patternFill>
              </fill>
            </x14:dxf>
          </x14:cfRule>
          <x14:cfRule type="cellIs" priority="738" operator="equal" id="{6F265084-3532-43F0-8BF7-438CAFC624C2}">
            <xm:f>'General info'!$C$153</xm:f>
            <x14:dxf>
              <fill>
                <patternFill>
                  <bgColor theme="6"/>
                </patternFill>
              </fill>
            </x14:dxf>
          </x14:cfRule>
          <x14:cfRule type="cellIs" priority="739" operator="equal" id="{B7E224F9-275C-4C4B-853A-B8C0BCF2D731}">
            <xm:f>'General info'!$C$152</xm:f>
            <x14:dxf>
              <fill>
                <patternFill>
                  <bgColor rgb="FFFFC000"/>
                </patternFill>
              </fill>
            </x14:dxf>
          </x14:cfRule>
          <xm:sqref>D30:D31</xm:sqref>
        </x14:conditionalFormatting>
        <x14:conditionalFormatting xmlns:xm="http://schemas.microsoft.com/office/excel/2006/main">
          <x14:cfRule type="cellIs" priority="702" operator="equal" id="{19E12EBC-0580-45CB-BC0A-91ED836BF63C}">
            <xm:f>'General info'!$C$154</xm:f>
            <x14:dxf>
              <fill>
                <patternFill>
                  <bgColor theme="2" tint="-0.24994659260841701"/>
                </patternFill>
              </fill>
            </x14:dxf>
          </x14:cfRule>
          <x14:cfRule type="cellIs" priority="703" operator="equal" id="{205EEEAA-A120-4977-88AD-11E95EEE94D3}">
            <xm:f>'General info'!$C$153</xm:f>
            <x14:dxf>
              <fill>
                <patternFill>
                  <bgColor theme="6"/>
                </patternFill>
              </fill>
            </x14:dxf>
          </x14:cfRule>
          <x14:cfRule type="cellIs" priority="704" operator="equal" id="{569C9D0C-0D33-42DD-8CCA-933D88DA6E67}">
            <xm:f>'General info'!$C$152</xm:f>
            <x14:dxf>
              <fill>
                <patternFill>
                  <bgColor rgb="FFFFC000"/>
                </patternFill>
              </fill>
            </x14:dxf>
          </x14:cfRule>
          <xm:sqref>D32:D33</xm:sqref>
        </x14:conditionalFormatting>
        <x14:conditionalFormatting xmlns:xm="http://schemas.microsoft.com/office/excel/2006/main">
          <x14:cfRule type="cellIs" priority="667" operator="equal" id="{BC35F590-55B7-4E41-94E1-0886811AD9EB}">
            <xm:f>'General info'!$C$154</xm:f>
            <x14:dxf>
              <fill>
                <patternFill>
                  <bgColor theme="2" tint="-0.24994659260841701"/>
                </patternFill>
              </fill>
            </x14:dxf>
          </x14:cfRule>
          <x14:cfRule type="cellIs" priority="668" operator="equal" id="{E26AA21A-8726-4C9B-BB6E-182F7B210214}">
            <xm:f>'General info'!$C$153</xm:f>
            <x14:dxf>
              <fill>
                <patternFill>
                  <bgColor theme="6"/>
                </patternFill>
              </fill>
            </x14:dxf>
          </x14:cfRule>
          <x14:cfRule type="cellIs" priority="669" operator="equal" id="{D26BBB9B-320D-42A8-AD10-CA188403AA8F}">
            <xm:f>'General info'!$C$152</xm:f>
            <x14:dxf>
              <fill>
                <patternFill>
                  <bgColor rgb="FFFFC000"/>
                </patternFill>
              </fill>
            </x14:dxf>
          </x14:cfRule>
          <xm:sqref>D34:D35</xm:sqref>
        </x14:conditionalFormatting>
        <x14:conditionalFormatting xmlns:xm="http://schemas.microsoft.com/office/excel/2006/main">
          <x14:cfRule type="cellIs" priority="632" operator="equal" id="{389E3234-49E4-4E7C-880C-AC88DCDD2978}">
            <xm:f>'General info'!$C$154</xm:f>
            <x14:dxf>
              <fill>
                <patternFill>
                  <bgColor theme="2" tint="-0.24994659260841701"/>
                </patternFill>
              </fill>
            </x14:dxf>
          </x14:cfRule>
          <x14:cfRule type="cellIs" priority="633" operator="equal" id="{0C5441A5-BC96-4390-BEFB-CA630DF22EA3}">
            <xm:f>'General info'!$C$153</xm:f>
            <x14:dxf>
              <fill>
                <patternFill>
                  <bgColor theme="6"/>
                </patternFill>
              </fill>
            </x14:dxf>
          </x14:cfRule>
          <x14:cfRule type="cellIs" priority="634" operator="equal" id="{A797D666-FB49-4E1B-A0E2-589565E42749}">
            <xm:f>'General info'!$C$152</xm:f>
            <x14:dxf>
              <fill>
                <patternFill>
                  <bgColor rgb="FFFFC000"/>
                </patternFill>
              </fill>
            </x14:dxf>
          </x14:cfRule>
          <xm:sqref>D36:D37</xm:sqref>
        </x14:conditionalFormatting>
        <x14:conditionalFormatting xmlns:xm="http://schemas.microsoft.com/office/excel/2006/main">
          <x14:cfRule type="cellIs" priority="597" operator="equal" id="{225A484C-7B16-4CE1-B488-E089B3DCDBC9}">
            <xm:f>'General info'!$C$154</xm:f>
            <x14:dxf>
              <fill>
                <patternFill>
                  <bgColor theme="2" tint="-0.24994659260841701"/>
                </patternFill>
              </fill>
            </x14:dxf>
          </x14:cfRule>
          <x14:cfRule type="cellIs" priority="598" operator="equal" id="{A70C60EE-3764-411F-B3AF-E746E904258E}">
            <xm:f>'General info'!$C$153</xm:f>
            <x14:dxf>
              <fill>
                <patternFill>
                  <bgColor theme="6"/>
                </patternFill>
              </fill>
            </x14:dxf>
          </x14:cfRule>
          <x14:cfRule type="cellIs" priority="599" operator="equal" id="{5C8AB337-A8E3-40E0-8A64-90D93B378CB7}">
            <xm:f>'General info'!$C$152</xm:f>
            <x14:dxf>
              <fill>
                <patternFill>
                  <bgColor rgb="FFFFC000"/>
                </patternFill>
              </fill>
            </x14:dxf>
          </x14:cfRule>
          <xm:sqref>D38:D39</xm:sqref>
        </x14:conditionalFormatting>
        <x14:conditionalFormatting xmlns:xm="http://schemas.microsoft.com/office/excel/2006/main">
          <x14:cfRule type="cellIs" priority="562" operator="equal" id="{F2A61EE3-E034-4324-926D-28232E181C71}">
            <xm:f>'General info'!$C$154</xm:f>
            <x14:dxf>
              <fill>
                <patternFill>
                  <bgColor theme="2" tint="-0.24994659260841701"/>
                </patternFill>
              </fill>
            </x14:dxf>
          </x14:cfRule>
          <x14:cfRule type="cellIs" priority="563" operator="equal" id="{1C77EDB1-C73A-475B-BF71-8E29DFC524BB}">
            <xm:f>'General info'!$C$153</xm:f>
            <x14:dxf>
              <fill>
                <patternFill>
                  <bgColor theme="6"/>
                </patternFill>
              </fill>
            </x14:dxf>
          </x14:cfRule>
          <x14:cfRule type="cellIs" priority="564" operator="equal" id="{64C622FE-F7D8-4CE2-8E7E-512459D0C34A}">
            <xm:f>'General info'!$C$152</xm:f>
            <x14:dxf>
              <fill>
                <patternFill>
                  <bgColor rgb="FFFFC000"/>
                </patternFill>
              </fill>
            </x14:dxf>
          </x14:cfRule>
          <xm:sqref>D41:D42</xm:sqref>
        </x14:conditionalFormatting>
        <x14:conditionalFormatting xmlns:xm="http://schemas.microsoft.com/office/excel/2006/main">
          <x14:cfRule type="cellIs" priority="526" operator="equal" id="{73315126-29C3-4DCB-9D06-66B2D7697DC6}">
            <xm:f>'General info'!$C$154</xm:f>
            <x14:dxf>
              <fill>
                <patternFill>
                  <bgColor theme="2" tint="-0.24994659260841701"/>
                </patternFill>
              </fill>
            </x14:dxf>
          </x14:cfRule>
          <x14:cfRule type="cellIs" priority="527" operator="equal" id="{CE1F76F7-82BC-454B-9999-66B9545E0AB4}">
            <xm:f>'General info'!$C$153</xm:f>
            <x14:dxf>
              <fill>
                <patternFill>
                  <bgColor theme="6"/>
                </patternFill>
              </fill>
            </x14:dxf>
          </x14:cfRule>
          <x14:cfRule type="cellIs" priority="528" operator="equal" id="{F9AAF45F-613E-4FD6-8B55-756B06607CBE}">
            <xm:f>'General info'!$C$152</xm:f>
            <x14:dxf>
              <fill>
                <patternFill>
                  <bgColor rgb="FFFFC000"/>
                </patternFill>
              </fill>
            </x14:dxf>
          </x14:cfRule>
          <xm:sqref>D44:D45</xm:sqref>
        </x14:conditionalFormatting>
        <x14:conditionalFormatting xmlns:xm="http://schemas.microsoft.com/office/excel/2006/main">
          <x14:cfRule type="cellIs" priority="491" operator="equal" id="{133C9D8B-8245-4C8C-A83E-DFBCC0B120EE}">
            <xm:f>'General info'!$C$154</xm:f>
            <x14:dxf>
              <fill>
                <patternFill>
                  <bgColor theme="2" tint="-0.24994659260841701"/>
                </patternFill>
              </fill>
            </x14:dxf>
          </x14:cfRule>
          <x14:cfRule type="cellIs" priority="492" operator="equal" id="{F65E90C8-1115-41A2-BD57-5AE2BED13A3D}">
            <xm:f>'General info'!$C$153</xm:f>
            <x14:dxf>
              <fill>
                <patternFill>
                  <bgColor theme="6"/>
                </patternFill>
              </fill>
            </x14:dxf>
          </x14:cfRule>
          <x14:cfRule type="cellIs" priority="493" operator="equal" id="{9DB9DD8D-0801-4C13-9A35-59194A55865E}">
            <xm:f>'General info'!$C$152</xm:f>
            <x14:dxf>
              <fill>
                <patternFill>
                  <bgColor rgb="FFFFC000"/>
                </patternFill>
              </fill>
            </x14:dxf>
          </x14:cfRule>
          <xm:sqref>D46:D47</xm:sqref>
        </x14:conditionalFormatting>
        <x14:conditionalFormatting xmlns:xm="http://schemas.microsoft.com/office/excel/2006/main">
          <x14:cfRule type="cellIs" priority="455" operator="equal" id="{255FC477-3827-4CBF-9AB3-DC874EF27F3B}">
            <xm:f>'General info'!$C$154</xm:f>
            <x14:dxf>
              <fill>
                <patternFill>
                  <bgColor theme="2" tint="-0.24994659260841701"/>
                </patternFill>
              </fill>
            </x14:dxf>
          </x14:cfRule>
          <x14:cfRule type="cellIs" priority="456" operator="equal" id="{BD7129E3-5DF4-4BCA-A1EC-9E3BADFDED28}">
            <xm:f>'General info'!$C$153</xm:f>
            <x14:dxf>
              <fill>
                <patternFill>
                  <bgColor theme="6"/>
                </patternFill>
              </fill>
            </x14:dxf>
          </x14:cfRule>
          <x14:cfRule type="cellIs" priority="457" operator="equal" id="{3C727A33-A07F-4844-99F8-4A4BD6657885}">
            <xm:f>'General info'!$C$152</xm:f>
            <x14:dxf>
              <fill>
                <patternFill>
                  <bgColor rgb="FFFFC000"/>
                </patternFill>
              </fill>
            </x14:dxf>
          </x14:cfRule>
          <xm:sqref>D48:D49</xm:sqref>
        </x14:conditionalFormatting>
        <x14:conditionalFormatting xmlns:xm="http://schemas.microsoft.com/office/excel/2006/main">
          <x14:cfRule type="cellIs" priority="420" operator="equal" id="{6704403C-9935-41E1-9703-35B620D27994}">
            <xm:f>'General info'!$C$154</xm:f>
            <x14:dxf>
              <fill>
                <patternFill>
                  <bgColor theme="2" tint="-0.24994659260841701"/>
                </patternFill>
              </fill>
            </x14:dxf>
          </x14:cfRule>
          <x14:cfRule type="cellIs" priority="421" operator="equal" id="{983F3FE3-574F-493B-883E-98ECB00AE418}">
            <xm:f>'General info'!$C$153</xm:f>
            <x14:dxf>
              <fill>
                <patternFill>
                  <bgColor theme="6"/>
                </patternFill>
              </fill>
            </x14:dxf>
          </x14:cfRule>
          <x14:cfRule type="cellIs" priority="422" operator="equal" id="{15CCB0F9-5F50-4764-92DC-DEF4C10FA165}">
            <xm:f>'General info'!$C$152</xm:f>
            <x14:dxf>
              <fill>
                <patternFill>
                  <bgColor rgb="FFFFC000"/>
                </patternFill>
              </fill>
            </x14:dxf>
          </x14:cfRule>
          <xm:sqref>D51:D52</xm:sqref>
        </x14:conditionalFormatting>
        <x14:conditionalFormatting xmlns:xm="http://schemas.microsoft.com/office/excel/2006/main">
          <x14:cfRule type="cellIs" priority="385" operator="equal" id="{34883993-3548-472D-906C-38DAE0738A4C}">
            <xm:f>'General info'!$C$154</xm:f>
            <x14:dxf>
              <fill>
                <patternFill>
                  <bgColor theme="2" tint="-0.24994659260841701"/>
                </patternFill>
              </fill>
            </x14:dxf>
          </x14:cfRule>
          <x14:cfRule type="cellIs" priority="386" operator="equal" id="{865F4E57-1160-4BF9-B275-5B41B0531F84}">
            <xm:f>'General info'!$C$153</xm:f>
            <x14:dxf>
              <fill>
                <patternFill>
                  <bgColor theme="6"/>
                </patternFill>
              </fill>
            </x14:dxf>
          </x14:cfRule>
          <x14:cfRule type="cellIs" priority="387" operator="equal" id="{3B22DC36-D095-413D-8B24-D6D9FCC4F16F}">
            <xm:f>'General info'!$C$152</xm:f>
            <x14:dxf>
              <fill>
                <patternFill>
                  <bgColor rgb="FFFFC000"/>
                </patternFill>
              </fill>
            </x14:dxf>
          </x14:cfRule>
          <xm:sqref>D54:D55</xm:sqref>
        </x14:conditionalFormatting>
        <x14:conditionalFormatting xmlns:xm="http://schemas.microsoft.com/office/excel/2006/main">
          <x14:cfRule type="cellIs" priority="350" operator="equal" id="{153E9607-7D17-461D-A003-08CEDED5B1F6}">
            <xm:f>'General info'!$C$154</xm:f>
            <x14:dxf>
              <fill>
                <patternFill>
                  <bgColor theme="2" tint="-0.24994659260841701"/>
                </patternFill>
              </fill>
            </x14:dxf>
          </x14:cfRule>
          <x14:cfRule type="cellIs" priority="351" operator="equal" id="{C16258C9-FC79-44F4-B20A-801607ECAAA9}">
            <xm:f>'General info'!$C$153</xm:f>
            <x14:dxf>
              <fill>
                <patternFill>
                  <bgColor theme="6"/>
                </patternFill>
              </fill>
            </x14:dxf>
          </x14:cfRule>
          <x14:cfRule type="cellIs" priority="352" operator="equal" id="{C8951D7C-94E0-469A-A276-BE8FF66645B3}">
            <xm:f>'General info'!$C$152</xm:f>
            <x14:dxf>
              <fill>
                <patternFill>
                  <bgColor rgb="FFFFC000"/>
                </patternFill>
              </fill>
            </x14:dxf>
          </x14:cfRule>
          <xm:sqref>D56:D57</xm:sqref>
        </x14:conditionalFormatting>
        <x14:conditionalFormatting xmlns:xm="http://schemas.microsoft.com/office/excel/2006/main">
          <x14:cfRule type="cellIs" priority="314" operator="equal" id="{0AFA2361-FFC7-4D9C-A71D-4B0DE5EAAF03}">
            <xm:f>'General info'!$C$154</xm:f>
            <x14:dxf>
              <fill>
                <patternFill>
                  <bgColor theme="2" tint="-0.24994659260841701"/>
                </patternFill>
              </fill>
            </x14:dxf>
          </x14:cfRule>
          <x14:cfRule type="cellIs" priority="315" operator="equal" id="{F8D1069F-CE80-49C7-8BC8-25A9940A0E6E}">
            <xm:f>'General info'!$C$153</xm:f>
            <x14:dxf>
              <fill>
                <patternFill>
                  <bgColor theme="6"/>
                </patternFill>
              </fill>
            </x14:dxf>
          </x14:cfRule>
          <x14:cfRule type="cellIs" priority="316" operator="equal" id="{110301F3-BEE5-44BC-85A6-9C8B6D90A2A2}">
            <xm:f>'General info'!$C$152</xm:f>
            <x14:dxf>
              <fill>
                <patternFill>
                  <bgColor rgb="FFFFC000"/>
                </patternFill>
              </fill>
            </x14:dxf>
          </x14:cfRule>
          <xm:sqref>D59:D60</xm:sqref>
        </x14:conditionalFormatting>
        <x14:conditionalFormatting xmlns:xm="http://schemas.microsoft.com/office/excel/2006/main">
          <x14:cfRule type="cellIs" priority="278" operator="equal" id="{53BF0120-972F-45C7-8E17-2B216A4A71A5}">
            <xm:f>'General info'!$C$154</xm:f>
            <x14:dxf>
              <fill>
                <patternFill>
                  <bgColor theme="2" tint="-0.24994659260841701"/>
                </patternFill>
              </fill>
            </x14:dxf>
          </x14:cfRule>
          <x14:cfRule type="cellIs" priority="279" operator="equal" id="{F37135ED-73D8-4DF2-A591-335AAD56E795}">
            <xm:f>'General info'!$C$153</xm:f>
            <x14:dxf>
              <fill>
                <patternFill>
                  <bgColor theme="6"/>
                </patternFill>
              </fill>
            </x14:dxf>
          </x14:cfRule>
          <x14:cfRule type="cellIs" priority="280" operator="equal" id="{5C7F336E-C8F3-496C-A3A3-D5EB81F02DD2}">
            <xm:f>'General info'!$C$152</xm:f>
            <x14:dxf>
              <fill>
                <patternFill>
                  <bgColor rgb="FFFFC000"/>
                </patternFill>
              </fill>
            </x14:dxf>
          </x14:cfRule>
          <xm:sqref>D61:D62</xm:sqref>
        </x14:conditionalFormatting>
        <x14:conditionalFormatting xmlns:xm="http://schemas.microsoft.com/office/excel/2006/main">
          <x14:cfRule type="cellIs" priority="243" operator="equal" id="{BA85C1D5-B925-4A9F-A5E4-F15143A3C71F}">
            <xm:f>'General info'!$C$154</xm:f>
            <x14:dxf>
              <fill>
                <patternFill>
                  <bgColor theme="2" tint="-0.24994659260841701"/>
                </patternFill>
              </fill>
            </x14:dxf>
          </x14:cfRule>
          <x14:cfRule type="cellIs" priority="244" operator="equal" id="{0DBBD243-5864-4EF7-91D3-6A1497830372}">
            <xm:f>'General info'!$C$153</xm:f>
            <x14:dxf>
              <fill>
                <patternFill>
                  <bgColor theme="6"/>
                </patternFill>
              </fill>
            </x14:dxf>
          </x14:cfRule>
          <x14:cfRule type="cellIs" priority="245" operator="equal" id="{8B027186-09BB-469A-82AB-78CF9A453F53}">
            <xm:f>'General info'!$C$152</xm:f>
            <x14:dxf>
              <fill>
                <patternFill>
                  <bgColor rgb="FFFFC000"/>
                </patternFill>
              </fill>
            </x14:dxf>
          </x14:cfRule>
          <xm:sqref>D64:D65</xm:sqref>
        </x14:conditionalFormatting>
        <x14:conditionalFormatting xmlns:xm="http://schemas.microsoft.com/office/excel/2006/main">
          <x14:cfRule type="cellIs" priority="208" operator="equal" id="{5B3A463D-275F-4393-9359-9C0C4C68E720}">
            <xm:f>'General info'!$C$154</xm:f>
            <x14:dxf>
              <fill>
                <patternFill>
                  <bgColor theme="2" tint="-0.24994659260841701"/>
                </patternFill>
              </fill>
            </x14:dxf>
          </x14:cfRule>
          <x14:cfRule type="cellIs" priority="209" operator="equal" id="{80400588-3123-47C7-9860-3F3E677CF5B3}">
            <xm:f>'General info'!$C$153</xm:f>
            <x14:dxf>
              <fill>
                <patternFill>
                  <bgColor theme="6"/>
                </patternFill>
              </fill>
            </x14:dxf>
          </x14:cfRule>
          <x14:cfRule type="cellIs" priority="210" operator="equal" id="{FBC905DF-B67B-4844-8A86-71E68E0A5421}">
            <xm:f>'General info'!$C$152</xm:f>
            <x14:dxf>
              <fill>
                <patternFill>
                  <bgColor rgb="FFFFC000"/>
                </patternFill>
              </fill>
            </x14:dxf>
          </x14:cfRule>
          <xm:sqref>D66:D67</xm:sqref>
        </x14:conditionalFormatting>
        <x14:conditionalFormatting xmlns:xm="http://schemas.microsoft.com/office/excel/2006/main">
          <x14:cfRule type="cellIs" priority="172" operator="equal" id="{9039DA2E-C315-4F08-AED3-0B2D6B9E2D3A}">
            <xm:f>'General info'!$C$154</xm:f>
            <x14:dxf>
              <fill>
                <patternFill>
                  <bgColor theme="2" tint="-0.24994659260841701"/>
                </patternFill>
              </fill>
            </x14:dxf>
          </x14:cfRule>
          <x14:cfRule type="cellIs" priority="173" operator="equal" id="{A38DF3DA-E367-4A5C-8058-B0CE5D6D7D1F}">
            <xm:f>'General info'!$C$153</xm:f>
            <x14:dxf>
              <fill>
                <patternFill>
                  <bgColor theme="6"/>
                </patternFill>
              </fill>
            </x14:dxf>
          </x14:cfRule>
          <x14:cfRule type="cellIs" priority="174" operator="equal" id="{1614576C-0899-4CB7-A0BA-5BD0DA83F8C0}">
            <xm:f>'General info'!$C$152</xm:f>
            <x14:dxf>
              <fill>
                <patternFill>
                  <bgColor rgb="FFFFC000"/>
                </patternFill>
              </fill>
            </x14:dxf>
          </x14:cfRule>
          <xm:sqref>D68:D69</xm:sqref>
        </x14:conditionalFormatting>
        <x14:conditionalFormatting xmlns:xm="http://schemas.microsoft.com/office/excel/2006/main">
          <x14:cfRule type="cellIs" priority="137" operator="equal" id="{20C67DA5-2E33-4962-930D-510E033F67D2}">
            <xm:f>'General info'!$C$154</xm:f>
            <x14:dxf>
              <fill>
                <patternFill>
                  <bgColor theme="2" tint="-0.24994659260841701"/>
                </patternFill>
              </fill>
            </x14:dxf>
          </x14:cfRule>
          <x14:cfRule type="cellIs" priority="138" operator="equal" id="{D5AB3CCA-4BB1-4E1A-87DD-5284E2DE840C}">
            <xm:f>'General info'!$C$153</xm:f>
            <x14:dxf>
              <fill>
                <patternFill>
                  <bgColor theme="6"/>
                </patternFill>
              </fill>
            </x14:dxf>
          </x14:cfRule>
          <x14:cfRule type="cellIs" priority="139" operator="equal" id="{4D401AA5-D642-46D3-95D2-4B0587401D97}">
            <xm:f>'General info'!$C$152</xm:f>
            <x14:dxf>
              <fill>
                <patternFill>
                  <bgColor rgb="FFFFC000"/>
                </patternFill>
              </fill>
            </x14:dxf>
          </x14:cfRule>
          <xm:sqref>D71:D72</xm:sqref>
        </x14:conditionalFormatting>
        <x14:conditionalFormatting xmlns:xm="http://schemas.microsoft.com/office/excel/2006/main">
          <x14:cfRule type="cellIs" priority="102" operator="equal" id="{FD749972-274A-443F-97D8-2995AA28A38B}">
            <xm:f>'General info'!$C$154</xm:f>
            <x14:dxf>
              <fill>
                <patternFill>
                  <bgColor theme="2" tint="-0.24994659260841701"/>
                </patternFill>
              </fill>
            </x14:dxf>
          </x14:cfRule>
          <x14:cfRule type="cellIs" priority="103" operator="equal" id="{677BCDEE-B5E3-4F49-9294-80409265B9B1}">
            <xm:f>'General info'!$C$153</xm:f>
            <x14:dxf>
              <fill>
                <patternFill>
                  <bgColor theme="6"/>
                </patternFill>
              </fill>
            </x14:dxf>
          </x14:cfRule>
          <x14:cfRule type="cellIs" priority="104" operator="equal" id="{C71ADEE6-211D-4A29-A098-CEDE568F076C}">
            <xm:f>'General info'!$C$152</xm:f>
            <x14:dxf>
              <fill>
                <patternFill>
                  <bgColor rgb="FFFFC000"/>
                </patternFill>
              </fill>
            </x14:dxf>
          </x14:cfRule>
          <xm:sqref>D73:D74</xm:sqref>
        </x14:conditionalFormatting>
        <x14:conditionalFormatting xmlns:xm="http://schemas.microsoft.com/office/excel/2006/main">
          <x14:cfRule type="cellIs" priority="67" operator="equal" id="{568CD2DF-899A-40AD-BA3D-921C8EA3E7D0}">
            <xm:f>'General info'!$C$154</xm:f>
            <x14:dxf>
              <fill>
                <patternFill>
                  <bgColor theme="2" tint="-0.24994659260841701"/>
                </patternFill>
              </fill>
            </x14:dxf>
          </x14:cfRule>
          <x14:cfRule type="cellIs" priority="68" operator="equal" id="{4663EF6E-BE3A-4116-B2E3-37CDE26CFAAE}">
            <xm:f>'General info'!$C$153</xm:f>
            <x14:dxf>
              <fill>
                <patternFill>
                  <bgColor theme="6"/>
                </patternFill>
              </fill>
            </x14:dxf>
          </x14:cfRule>
          <x14:cfRule type="cellIs" priority="69" operator="equal" id="{8CDE96FA-2B44-4BB5-B7DE-0AE8C96132AB}">
            <xm:f>'General info'!$C$152</xm:f>
            <x14:dxf>
              <fill>
                <patternFill>
                  <bgColor rgb="FFFFC000"/>
                </patternFill>
              </fill>
            </x14:dxf>
          </x14:cfRule>
          <xm:sqref>D76:D77</xm:sqref>
        </x14:conditionalFormatting>
        <x14:conditionalFormatting xmlns:xm="http://schemas.microsoft.com/office/excel/2006/main">
          <x14:cfRule type="cellIs" priority="32" operator="equal" id="{900BA2DE-4EA8-4236-AC69-9EEB5CDDA7D7}">
            <xm:f>'General info'!$C$154</xm:f>
            <x14:dxf>
              <fill>
                <patternFill>
                  <bgColor theme="2" tint="-0.24994659260841701"/>
                </patternFill>
              </fill>
            </x14:dxf>
          </x14:cfRule>
          <x14:cfRule type="cellIs" priority="33" operator="equal" id="{333ED92E-6236-4BFF-A90D-3443145C6765}">
            <xm:f>'General info'!$C$153</xm:f>
            <x14:dxf>
              <fill>
                <patternFill>
                  <bgColor theme="6"/>
                </patternFill>
              </fill>
            </x14:dxf>
          </x14:cfRule>
          <x14:cfRule type="cellIs" priority="34" operator="equal" id="{2781DB5F-CE71-4189-AD72-AD93BAE9C577}">
            <xm:f>'General info'!$C$152</xm:f>
            <x14:dxf>
              <fill>
                <patternFill>
                  <bgColor rgb="FFFFC000"/>
                </patternFill>
              </fill>
            </x14:dxf>
          </x14:cfRule>
          <xm:sqref>D20:D21</xm:sqref>
        </x14:conditionalFormatting>
      </x14:conditionalFormattings>
    </ext>
    <ext xmlns:x14="http://schemas.microsoft.com/office/spreadsheetml/2009/9/main" uri="{CCE6A557-97BC-4b89-ADB6-D9C93CAAB3DF}">
      <x14:dataValidations xmlns:xm="http://schemas.microsoft.com/office/excel/2006/main" xWindow="2583" yWindow="881" count="2">
        <x14:dataValidation type="list" allowBlank="1" showInputMessage="1" promptTitle="Reuse" prompt="Reuse guide :_x000a_   0% :      None_x000a_25% :       few_x000a_50% :       partially_x000a_75% :       largely_x000a_100% :     FULL" xr:uid="{B716DE6F-082D-4DC2-84D5-68F8E1E15419}">
          <x14:formula1>
            <xm:f>'General info'!$C$124:$C$129</xm:f>
          </x14:formula1>
          <xm:sqref>I4:P4 J7 L7:M7 O7:P7 I6:P6 L9:M9 O9:P9 I76:P76 I8:P8 I11:P11 I13:P13 I15:P15 I18:P18 I22:P22 I24:P24 I26:P26 I28:P28 I30:P30 I32:P32 I34:P34 I36:P36 I38:P38 I41:P41 I44:P44 I46:P46 I48:P48 I51:P51 I54:P54 I56:P56 I59:P59 I61:P61 I64:P64 I66:P66 I68:P68 I71:P71 I73:P73 J9 I20:P20</xm:sqref>
        </x14:dataValidation>
        <x14:dataValidation type="list" allowBlank="1" showInputMessage="1" promptTitle="Reuse" prompt="Reuse guide :_x000a_   0% :      None_x000a_25% :       few_x000a_50% :       partially_x000a_75% :       largely_x000a_100% :     FULL" xr:uid="{4DF5867A-10ED-4007-AD8D-038FFB672BEB}">
          <x14:formula1>
            <xm:f>'General info'!$C$124:$C$130</xm:f>
          </x14:formula1>
          <xm:sqref>I5:P5 I7 K7 N7 K9 N9 I77:P77 I12:P12 I14:P14 I9 I74:P74 I23:P23 I25:P25 I27:P27 I29:P29 I31:P31 I33:P33 I35:P35 I37:P37 I16:P16 I39:P39 I45:P45 I47:P47 I42:P42 I49:P49 I55:P55 I52:P52 I60:P60 I57:P57 I65:P65 I67:P67 I62:P62 I72:P72 I69:P69 I19:P19 I21:P21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0A595-078A-48E4-8EB8-9A38FF339A6A}">
  <sheetPr codeName="Sheet41">
    <tabColor theme="8" tint="0.39997558519241921"/>
    <outlinePr summaryBelow="0" summaryRight="0"/>
  </sheetPr>
  <dimension ref="A1:O8"/>
  <sheetViews>
    <sheetView showGridLines="0" zoomScaleNormal="100" workbookViewId="0">
      <pane xSplit="1" ySplit="2" topLeftCell="B3" activePane="bottomRight" state="frozen"/>
      <selection pane="topRight" activeCell="B1" sqref="B1"/>
      <selection pane="bottomLeft" activeCell="A3" sqref="A3"/>
      <selection pane="bottomRight" activeCell="B8" sqref="B8"/>
    </sheetView>
  </sheetViews>
  <sheetFormatPr defaultColWidth="10.453125" defaultRowHeight="14.5" outlineLevelCol="1" x14ac:dyDescent="0.35"/>
  <cols>
    <col min="1" max="1" width="12.81640625" style="127" customWidth="1"/>
    <col min="2" max="2" width="38" style="126" customWidth="1"/>
    <col min="3" max="3" width="15.453125" style="126" bestFit="1" customWidth="1"/>
    <col min="4" max="4" width="16.1796875" style="126" customWidth="1" outlineLevel="1"/>
    <col min="5" max="5" width="16.7265625" style="126" customWidth="1" outlineLevel="1"/>
    <col min="6" max="6" width="13.81640625" style="126" customWidth="1" outlineLevel="1"/>
    <col min="7" max="7" width="11.81640625" style="126" customWidth="1"/>
    <col min="8" max="9" width="9.1796875" style="126" customWidth="1"/>
    <col min="10" max="10" width="13.453125" style="103" customWidth="1"/>
    <col min="11" max="11" width="17.54296875" style="126" customWidth="1"/>
    <col min="12" max="12" width="16" style="126" customWidth="1"/>
    <col min="13" max="13" width="13.26953125" style="126" customWidth="1"/>
    <col min="14" max="14" width="20.26953125" style="126" customWidth="1"/>
    <col min="15" max="15" width="21.7265625" style="117" customWidth="1" outlineLevel="1"/>
    <col min="16" max="16384" width="10.453125" style="126"/>
  </cols>
  <sheetData>
    <row r="1" spans="1:15" s="125" customFormat="1" ht="96.75" customHeight="1" x14ac:dyDescent="0.25">
      <c r="A1" s="96" t="s">
        <v>179</v>
      </c>
      <c r="B1" s="96" t="s">
        <v>15</v>
      </c>
      <c r="C1" s="111" t="s">
        <v>168</v>
      </c>
      <c r="D1" s="111" t="s">
        <v>170</v>
      </c>
      <c r="E1" s="111" t="s">
        <v>150</v>
      </c>
      <c r="F1" s="132" t="s">
        <v>171</v>
      </c>
      <c r="G1" s="119" t="s">
        <v>81</v>
      </c>
      <c r="H1" s="120" t="s">
        <v>243</v>
      </c>
      <c r="I1" s="121" t="s">
        <v>245</v>
      </c>
      <c r="J1" s="122" t="s">
        <v>244</v>
      </c>
      <c r="K1" s="177" t="s">
        <v>97</v>
      </c>
      <c r="L1" s="177" t="s">
        <v>99</v>
      </c>
      <c r="M1" s="122" t="s">
        <v>256</v>
      </c>
      <c r="N1" s="122" t="s">
        <v>144</v>
      </c>
      <c r="O1" s="122" t="s">
        <v>126</v>
      </c>
    </row>
    <row r="2" spans="1:15" s="125" customFormat="1" ht="21" customHeight="1" x14ac:dyDescent="0.25">
      <c r="A2" s="404" t="s">
        <v>172</v>
      </c>
      <c r="B2" s="405"/>
      <c r="C2" s="399" t="s">
        <v>173</v>
      </c>
      <c r="D2" s="399"/>
      <c r="E2" s="399"/>
      <c r="F2" s="399"/>
      <c r="G2" s="182"/>
      <c r="H2" s="401" t="s">
        <v>246</v>
      </c>
      <c r="I2" s="401"/>
      <c r="J2" s="401"/>
      <c r="K2" s="170"/>
      <c r="L2" s="170"/>
      <c r="M2" s="170"/>
      <c r="N2" s="171"/>
      <c r="O2" s="131"/>
    </row>
    <row r="3" spans="1:15" s="114" customFormat="1" ht="20.5" thickBot="1" x14ac:dyDescent="0.3">
      <c r="A3" s="106"/>
      <c r="B3" s="106" t="s">
        <v>174</v>
      </c>
      <c r="C3" s="106"/>
      <c r="D3" s="106"/>
      <c r="E3" s="106"/>
      <c r="F3" s="106"/>
      <c r="G3" s="106"/>
      <c r="H3" s="106"/>
      <c r="I3" s="106"/>
      <c r="J3" s="106"/>
      <c r="K3" s="106"/>
      <c r="L3" s="107"/>
      <c r="M3" s="107"/>
      <c r="N3" s="106"/>
      <c r="O3" s="107"/>
    </row>
    <row r="4" spans="1:15" ht="18.75" customHeight="1" x14ac:dyDescent="0.35">
      <c r="A4" s="406" t="s">
        <v>145</v>
      </c>
      <c r="B4" s="375" t="s">
        <v>146</v>
      </c>
      <c r="C4" s="377" t="s">
        <v>180</v>
      </c>
      <c r="D4" s="363" t="s">
        <v>176</v>
      </c>
      <c r="E4" s="363" t="s">
        <v>177</v>
      </c>
      <c r="F4" s="365" t="s">
        <v>178</v>
      </c>
      <c r="G4" s="166" t="s">
        <v>130</v>
      </c>
      <c r="H4" s="123">
        <v>1</v>
      </c>
      <c r="I4" s="123">
        <v>0</v>
      </c>
      <c r="J4" s="367"/>
      <c r="K4" s="123">
        <v>1</v>
      </c>
      <c r="L4" s="123">
        <v>1</v>
      </c>
      <c r="M4" s="402"/>
      <c r="N4" s="92" t="s">
        <v>143</v>
      </c>
      <c r="O4" s="92" t="s">
        <v>143</v>
      </c>
    </row>
    <row r="5" spans="1:15" ht="19" thickBot="1" x14ac:dyDescent="0.4">
      <c r="A5" s="407"/>
      <c r="B5" s="376"/>
      <c r="C5" s="378"/>
      <c r="D5" s="364"/>
      <c r="E5" s="364"/>
      <c r="F5" s="366"/>
      <c r="G5" s="167" t="s">
        <v>131</v>
      </c>
      <c r="H5" s="124">
        <v>0.5</v>
      </c>
      <c r="I5" s="124">
        <v>0.5</v>
      </c>
      <c r="J5" s="368"/>
      <c r="K5" s="124">
        <v>0.5</v>
      </c>
      <c r="L5" s="124">
        <v>0.5</v>
      </c>
      <c r="M5" s="403"/>
      <c r="N5" s="91"/>
      <c r="O5" s="91"/>
    </row>
    <row r="6" spans="1:15" s="114" customFormat="1" ht="20" x14ac:dyDescent="0.25">
      <c r="A6" s="106"/>
      <c r="B6" s="106" t="s">
        <v>175</v>
      </c>
      <c r="C6" s="106"/>
      <c r="D6" s="106"/>
      <c r="E6" s="106"/>
      <c r="F6" s="106"/>
      <c r="G6" s="106"/>
      <c r="H6" s="107"/>
      <c r="I6" s="107"/>
      <c r="J6" s="106"/>
      <c r="K6" s="107"/>
      <c r="L6" s="106"/>
      <c r="M6" s="106"/>
      <c r="N6" s="107"/>
      <c r="O6" s="106"/>
    </row>
    <row r="7" spans="1:15" x14ac:dyDescent="0.35">
      <c r="H7" s="103"/>
      <c r="I7" s="103"/>
    </row>
    <row r="8" spans="1:15" s="114" customFormat="1" ht="20" x14ac:dyDescent="0.25">
      <c r="A8" s="106"/>
      <c r="B8" s="106" t="s">
        <v>175</v>
      </c>
      <c r="C8" s="106"/>
      <c r="D8" s="106"/>
      <c r="E8" s="106"/>
      <c r="F8" s="106"/>
      <c r="G8" s="106"/>
      <c r="H8" s="107"/>
      <c r="I8" s="107"/>
      <c r="J8" s="106"/>
      <c r="K8" s="107"/>
      <c r="L8" s="106"/>
      <c r="M8" s="106"/>
      <c r="N8" s="107"/>
      <c r="O8" s="106"/>
    </row>
  </sheetData>
  <autoFilter ref="A1:L5" xr:uid="{00000000-0009-0000-0000-00000A000000}"/>
  <dataConsolidate/>
  <mergeCells count="11">
    <mergeCell ref="A2:B2"/>
    <mergeCell ref="C2:F2"/>
    <mergeCell ref="A4:A5"/>
    <mergeCell ref="B4:B5"/>
    <mergeCell ref="C4:C5"/>
    <mergeCell ref="H2:J2"/>
    <mergeCell ref="M4:M5"/>
    <mergeCell ref="D4:D5"/>
    <mergeCell ref="E4:E5"/>
    <mergeCell ref="F4:F5"/>
    <mergeCell ref="J4:J5"/>
  </mergeCells>
  <conditionalFormatting sqref="H5">
    <cfRule type="expression" dxfId="132" priority="21">
      <formula>IF(H5="D",TRUE,FALSE)</formula>
    </cfRule>
    <cfRule type="expression" dxfId="131" priority="22">
      <formula>IF(H5="P",TRUE,FALSE)</formula>
    </cfRule>
    <cfRule type="expression" dxfId="130" priority="23">
      <formula>IF(H5="N",TRUE,FALSE)</formula>
    </cfRule>
    <cfRule type="expression" dxfId="129" priority="24">
      <formula>IF(H5="F",TRUE,FALSE)</formula>
    </cfRule>
    <cfRule type="expression" dxfId="128" priority="25">
      <formula>IF(H5="NA",TRUE,FALSE)</formula>
    </cfRule>
  </conditionalFormatting>
  <conditionalFormatting sqref="K5">
    <cfRule type="expression" dxfId="127" priority="11">
      <formula>IF(K5="D",TRUE,FALSE)</formula>
    </cfRule>
    <cfRule type="expression" dxfId="126" priority="12">
      <formula>IF(K5="P",TRUE,FALSE)</formula>
    </cfRule>
    <cfRule type="expression" dxfId="125" priority="13">
      <formula>IF(K5="N",TRUE,FALSE)</formula>
    </cfRule>
    <cfRule type="expression" dxfId="124" priority="14">
      <formula>IF(K5="F",TRUE,FALSE)</formula>
    </cfRule>
    <cfRule type="expression" dxfId="123" priority="15">
      <formula>IF(K5="NA",TRUE,FALSE)</formula>
    </cfRule>
  </conditionalFormatting>
  <conditionalFormatting sqref="L5">
    <cfRule type="expression" dxfId="122" priority="6">
      <formula>IF(L5="D",TRUE,FALSE)</formula>
    </cfRule>
    <cfRule type="expression" dxfId="121" priority="7">
      <formula>IF(L5="P",TRUE,FALSE)</formula>
    </cfRule>
    <cfRule type="expression" dxfId="120" priority="8">
      <formula>IF(L5="N",TRUE,FALSE)</formula>
    </cfRule>
    <cfRule type="expression" dxfId="119" priority="9">
      <formula>IF(L5="F",TRUE,FALSE)</formula>
    </cfRule>
    <cfRule type="expression" dxfId="118" priority="10">
      <formula>IF(L5="NA",TRUE,FALSE)</formula>
    </cfRule>
  </conditionalFormatting>
  <conditionalFormatting sqref="J4">
    <cfRule type="expression" dxfId="117" priority="149">
      <formula>H4=H5</formula>
    </cfRule>
  </conditionalFormatting>
  <conditionalFormatting sqref="I5">
    <cfRule type="expression" dxfId="116" priority="1">
      <formula>IF(I5="D",TRUE,FALSE)</formula>
    </cfRule>
    <cfRule type="expression" dxfId="115" priority="2">
      <formula>IF(I5="P",TRUE,FALSE)</formula>
    </cfRule>
    <cfRule type="expression" dxfId="114" priority="3">
      <formula>IF(I5="N",TRUE,FALSE)</formula>
    </cfRule>
    <cfRule type="expression" dxfId="113" priority="4">
      <formula>IF(I5="F",TRUE,FALSE)</formula>
    </cfRule>
    <cfRule type="expression" dxfId="112" priority="5">
      <formula>IF(I5="NA",TRUE,FALSE)</formula>
    </cfRule>
  </conditionalFormatting>
  <dataValidations count="3">
    <dataValidation type="list" allowBlank="1" showInputMessage="1" promptTitle="Describe the strategy" prompt="o By written it_x000a_o Or by selecting a predefined strategy" sqref="O3 L3:M3 N8 K8 H8:I8 N6 K6 H6:I6" xr:uid="{78094C93-A2C2-49D8-A433-D0A2248CFCD1}">
      <formula1>Options_PrefilledStrategies</formula1>
    </dataValidation>
    <dataValidation allowBlank="1" showInputMessage="1" showErrorMessage="1" promptTitle="Reuse estimation" prompt="o 0% : no reuse at all_x000a_o 1% to 99% : partial reuse. If the precision is difficult to get, try an approximate value_x000a_o 100% : full reuse : nothing to do" sqref="K3 N3 G8 J8 L8:M8 I3 G6 J6 L6:M6" xr:uid="{B8E31E17-1EC7-4B9B-ABE7-7BD8F277B41A}"/>
    <dataValidation type="list" allowBlank="1" showInputMessage="1" showErrorMessage="1" sqref="C4:C5" xr:uid="{6DF32972-1C4C-4FCE-B497-BF5A9A1D3A83}">
      <formula1>list_strategy</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8" operator="equal" id="{C3DA9521-3625-4621-A94B-16863976B59E}">
            <xm:f>'General info'!$C$154</xm:f>
            <x14:dxf>
              <fill>
                <patternFill>
                  <bgColor theme="2" tint="-0.24994659260841701"/>
                </patternFill>
              </fill>
            </x14:dxf>
          </x14:cfRule>
          <x14:cfRule type="cellIs" priority="129" operator="equal" id="{E103622A-6A0A-486E-8DBF-FC8AFEF3DB93}">
            <xm:f>'General info'!$C$153</xm:f>
            <x14:dxf>
              <fill>
                <patternFill>
                  <bgColor theme="6"/>
                </patternFill>
              </fill>
            </x14:dxf>
          </x14:cfRule>
          <x14:cfRule type="cellIs" priority="130" operator="equal" id="{4F81D568-D5C6-4AE0-9C0A-6695BBA15973}">
            <xm:f>'General info'!$C$152</xm:f>
            <x14:dxf>
              <fill>
                <patternFill>
                  <bgColor rgb="FFFFC000"/>
                </patternFill>
              </fill>
            </x14:dxf>
          </x14:cfRule>
          <xm:sqref>C4:C5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promptTitle="Reuse" prompt="Reuse guide :_x000a_   0% :      None_x000a_25% :       few_x000a_50% :       partially_x000a_75% :       largely_x000a_100% :     FULL" xr:uid="{759A73B1-ADDC-4ABC-9C5A-09AF54FE4AC8}">
          <x14:formula1>
            <xm:f>'General info'!$C$124:$C$130</xm:f>
          </x14:formula1>
          <xm:sqref>H5:I5 K5:L5</xm:sqref>
        </x14:dataValidation>
        <x14:dataValidation type="list" allowBlank="1" showInputMessage="1" promptTitle="Reuse" prompt="Reuse guide :_x000a_   0% :      None_x000a_25% :       few_x000a_50% :       partially_x000a_75% :       largely_x000a_100% :     FULL" xr:uid="{8A940C36-0A66-4F9E-9927-15EE5A1D2554}">
          <x14:formula1>
            <xm:f>'General info'!$C$124:$C$129</xm:f>
          </x14:formula1>
          <xm:sqref>H4:I4 K4:L4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72F16-5D6C-48D0-909A-67DC010CBBE8}">
  <sheetPr codeName="Sheet3">
    <tabColor theme="8" tint="0.39997558519241921"/>
    <outlinePr summaryBelow="0" summaryRight="0"/>
  </sheetPr>
  <dimension ref="A1:M8"/>
  <sheetViews>
    <sheetView showGridLines="0" zoomScale="80" zoomScaleNormal="80" workbookViewId="0">
      <pane xSplit="1" ySplit="2" topLeftCell="C3" activePane="bottomRight" state="frozen"/>
      <selection pane="topRight" activeCell="B1" sqref="B1"/>
      <selection pane="bottomLeft" activeCell="A3" sqref="A3"/>
      <selection pane="bottomRight" activeCell="N1" sqref="N1:N1048576"/>
    </sheetView>
  </sheetViews>
  <sheetFormatPr defaultColWidth="9.1796875" defaultRowHeight="14.5" outlineLevelCol="1" x14ac:dyDescent="0.35"/>
  <cols>
    <col min="1" max="1" width="12.453125" style="127" customWidth="1"/>
    <col min="2" max="2" width="83" style="126" customWidth="1"/>
    <col min="3" max="3" width="16" style="126" bestFit="1" customWidth="1"/>
    <col min="4" max="4" width="23" style="126" bestFit="1" customWidth="1" outlineLevel="1"/>
    <col min="5" max="5" width="21.54296875" style="126" bestFit="1" customWidth="1" outlineLevel="1"/>
    <col min="6" max="6" width="9.81640625" style="126" customWidth="1"/>
    <col min="7" max="8" width="10.1796875" style="126" customWidth="1"/>
    <col min="9" max="9" width="29.81640625" style="103" customWidth="1"/>
    <col min="10" max="10" width="10.1796875" style="126" customWidth="1"/>
    <col min="11" max="11" width="28.453125" style="126" customWidth="1"/>
    <col min="12" max="12" width="10.1796875" style="126" customWidth="1"/>
    <col min="13" max="13" width="68.54296875" style="117" customWidth="1" outlineLevel="1"/>
    <col min="14" max="14" width="9.1796875" style="126" customWidth="1"/>
    <col min="15" max="16384" width="9.1796875" style="126"/>
  </cols>
  <sheetData>
    <row r="1" spans="1:13" s="125" customFormat="1" ht="162.5" x14ac:dyDescent="0.25">
      <c r="A1" s="96" t="s">
        <v>179</v>
      </c>
      <c r="B1" s="96" t="s">
        <v>15</v>
      </c>
      <c r="C1" s="111" t="s">
        <v>168</v>
      </c>
      <c r="D1" s="111" t="s">
        <v>170</v>
      </c>
      <c r="E1" s="111" t="s">
        <v>171</v>
      </c>
      <c r="F1" s="119" t="s">
        <v>81</v>
      </c>
      <c r="G1" s="120" t="s">
        <v>83</v>
      </c>
      <c r="H1" s="121" t="s">
        <v>10</v>
      </c>
      <c r="I1" s="122" t="s">
        <v>238</v>
      </c>
      <c r="J1" s="177" t="s">
        <v>132</v>
      </c>
      <c r="K1" s="122" t="s">
        <v>133</v>
      </c>
      <c r="L1" s="177" t="s">
        <v>134</v>
      </c>
      <c r="M1" s="122" t="s">
        <v>126</v>
      </c>
    </row>
    <row r="2" spans="1:13" s="125" customFormat="1" ht="21" customHeight="1" x14ac:dyDescent="0.25">
      <c r="A2" s="398" t="s">
        <v>172</v>
      </c>
      <c r="B2" s="398"/>
      <c r="C2" s="399" t="s">
        <v>173</v>
      </c>
      <c r="D2" s="399"/>
      <c r="E2" s="399"/>
      <c r="F2" s="182"/>
      <c r="G2" s="412"/>
      <c r="H2" s="413"/>
      <c r="I2" s="414"/>
      <c r="J2" s="131"/>
      <c r="K2" s="131"/>
      <c r="L2" s="131"/>
      <c r="M2" s="131"/>
    </row>
    <row r="3" spans="1:13" s="114" customFormat="1" ht="20.5" thickBot="1" x14ac:dyDescent="0.3">
      <c r="A3" s="106"/>
      <c r="B3" s="106" t="s">
        <v>174</v>
      </c>
      <c r="C3" s="106"/>
      <c r="D3" s="106"/>
      <c r="E3" s="106"/>
      <c r="F3" s="106"/>
      <c r="G3" s="106"/>
      <c r="H3" s="106"/>
      <c r="I3" s="106"/>
      <c r="J3" s="106"/>
      <c r="K3" s="107"/>
      <c r="L3" s="106"/>
      <c r="M3" s="107"/>
    </row>
    <row r="4" spans="1:13" ht="16.5" customHeight="1" x14ac:dyDescent="0.35">
      <c r="A4" s="408" t="s">
        <v>135</v>
      </c>
      <c r="B4" s="410" t="s">
        <v>136</v>
      </c>
      <c r="C4" s="377" t="s">
        <v>180</v>
      </c>
      <c r="D4" s="363" t="s">
        <v>176</v>
      </c>
      <c r="E4" s="365" t="s">
        <v>178</v>
      </c>
      <c r="F4" s="166" t="s">
        <v>130</v>
      </c>
      <c r="G4" s="123">
        <v>1</v>
      </c>
      <c r="H4" s="123">
        <v>1</v>
      </c>
      <c r="I4" s="367"/>
      <c r="J4" s="123">
        <v>1</v>
      </c>
      <c r="K4" s="89"/>
      <c r="L4" s="123">
        <v>1</v>
      </c>
      <c r="M4" s="89"/>
    </row>
    <row r="5" spans="1:13" ht="19" thickBot="1" x14ac:dyDescent="0.4">
      <c r="A5" s="409"/>
      <c r="B5" s="411"/>
      <c r="C5" s="378"/>
      <c r="D5" s="364"/>
      <c r="E5" s="366"/>
      <c r="F5" s="167" t="s">
        <v>131</v>
      </c>
      <c r="G5" s="124">
        <v>0.5</v>
      </c>
      <c r="H5" s="124">
        <v>0.5</v>
      </c>
      <c r="I5" s="368"/>
      <c r="J5" s="124">
        <v>0.5</v>
      </c>
      <c r="K5" s="90"/>
      <c r="L5" s="124">
        <v>0.5</v>
      </c>
      <c r="M5" s="90"/>
    </row>
    <row r="8" spans="1:13" s="114" customFormat="1" ht="20" x14ac:dyDescent="0.25">
      <c r="A8" s="106"/>
      <c r="B8" s="106" t="s">
        <v>175</v>
      </c>
      <c r="C8" s="106"/>
      <c r="D8" s="106"/>
      <c r="E8" s="106"/>
      <c r="F8" s="106"/>
      <c r="G8" s="106"/>
      <c r="H8" s="107"/>
      <c r="I8" s="106"/>
      <c r="J8" s="107"/>
      <c r="K8" s="106"/>
      <c r="L8" s="107"/>
      <c r="M8" s="106"/>
    </row>
  </sheetData>
  <sheetProtection autoFilter="0"/>
  <autoFilter ref="A1:J5" xr:uid="{00000000-0009-0000-0000-000009000000}"/>
  <dataConsolidate/>
  <mergeCells count="9">
    <mergeCell ref="A2:B2"/>
    <mergeCell ref="C2:E2"/>
    <mergeCell ref="A4:A5"/>
    <mergeCell ref="B4:B5"/>
    <mergeCell ref="I4:I5"/>
    <mergeCell ref="G2:I2"/>
    <mergeCell ref="C4:C5"/>
    <mergeCell ref="D4:D5"/>
    <mergeCell ref="E4:E5"/>
  </mergeCells>
  <conditionalFormatting sqref="I4">
    <cfRule type="expression" dxfId="108" priority="77">
      <formula>H4=H5</formula>
    </cfRule>
  </conditionalFormatting>
  <conditionalFormatting sqref="G5">
    <cfRule type="expression" dxfId="107" priority="16">
      <formula>IF(G5="D",TRUE,FALSE)</formula>
    </cfRule>
    <cfRule type="expression" dxfId="106" priority="17">
      <formula>IF(G5="P",TRUE,FALSE)</formula>
    </cfRule>
    <cfRule type="expression" dxfId="105" priority="18">
      <formula>IF(G5="N",TRUE,FALSE)</formula>
    </cfRule>
    <cfRule type="expression" dxfId="104" priority="19">
      <formula>IF(G5="F",TRUE,FALSE)</formula>
    </cfRule>
    <cfRule type="expression" dxfId="103" priority="20">
      <formula>IF(G5="NA",TRUE,FALSE)</formula>
    </cfRule>
  </conditionalFormatting>
  <conditionalFormatting sqref="H5">
    <cfRule type="expression" dxfId="102" priority="11">
      <formula>IF(H5="D",TRUE,FALSE)</formula>
    </cfRule>
    <cfRule type="expression" dxfId="101" priority="12">
      <formula>IF(H5="P",TRUE,FALSE)</formula>
    </cfRule>
    <cfRule type="expression" dxfId="100" priority="13">
      <formula>IF(H5="N",TRUE,FALSE)</formula>
    </cfRule>
    <cfRule type="expression" dxfId="99" priority="14">
      <formula>IF(H5="F",TRUE,FALSE)</formula>
    </cfRule>
    <cfRule type="expression" dxfId="98" priority="15">
      <formula>IF(H5="NA",TRUE,FALSE)</formula>
    </cfRule>
  </conditionalFormatting>
  <conditionalFormatting sqref="J5">
    <cfRule type="expression" dxfId="97" priority="6">
      <formula>IF(J5="D",TRUE,FALSE)</formula>
    </cfRule>
    <cfRule type="expression" dxfId="96" priority="7">
      <formula>IF(J5="P",TRUE,FALSE)</formula>
    </cfRule>
    <cfRule type="expression" dxfId="95" priority="8">
      <formula>IF(J5="N",TRUE,FALSE)</formula>
    </cfRule>
    <cfRule type="expression" dxfId="94" priority="9">
      <formula>IF(J5="F",TRUE,FALSE)</formula>
    </cfRule>
    <cfRule type="expression" dxfId="93" priority="10">
      <formula>IF(J5="NA",TRUE,FALSE)</formula>
    </cfRule>
  </conditionalFormatting>
  <conditionalFormatting sqref="L5">
    <cfRule type="expression" dxfId="92" priority="1">
      <formula>IF(L5="D",TRUE,FALSE)</formula>
    </cfRule>
    <cfRule type="expression" dxfId="91" priority="2">
      <formula>IF(L5="P",TRUE,FALSE)</formula>
    </cfRule>
    <cfRule type="expression" dxfId="90" priority="3">
      <formula>IF(L5="N",TRUE,FALSE)</formula>
    </cfRule>
    <cfRule type="expression" dxfId="89" priority="4">
      <formula>IF(L5="F",TRUE,FALSE)</formula>
    </cfRule>
    <cfRule type="expression" dxfId="88" priority="5">
      <formula>IF(L5="NA",TRUE,FALSE)</formula>
    </cfRule>
  </conditionalFormatting>
  <dataValidations count="3">
    <dataValidation type="list" allowBlank="1" showInputMessage="1" promptTitle="Describe the strategy" prompt="o By written it_x000a_o Or by selecting a predefined strategy" sqref="M3 K3 L8 J8 H8" xr:uid="{60A64126-21D9-4767-AA4E-57823629E144}">
      <formula1>Options_PrefilledStrategies</formula1>
    </dataValidation>
    <dataValidation allowBlank="1" showInputMessage="1" showErrorMessage="1" promptTitle="Reuse estimation" prompt="o 0% : no reuse at all_x000a_o 1% to 99% : partial reuse. If the precision is difficult to get, try an approximate value_x000a_o 100% : full reuse : nothing to do" sqref="J3 L3 I8 K8 M8" xr:uid="{4A7F15D9-F9E5-4813-880C-D442099FA476}"/>
    <dataValidation type="list" allowBlank="1" showInputMessage="1" showErrorMessage="1" sqref="C4:C5" xr:uid="{36B0F07D-3F86-4AEF-A923-0E4B32ABC826}">
      <formula1>list_strategy</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17" operator="equal" id="{FA52A596-45E8-4633-8582-CD0237BE2D1E}">
            <xm:f>'General info'!$C$154</xm:f>
            <x14:dxf>
              <fill>
                <patternFill>
                  <bgColor theme="2" tint="-0.24994659260841701"/>
                </patternFill>
              </fill>
            </x14:dxf>
          </x14:cfRule>
          <x14:cfRule type="cellIs" priority="118" operator="equal" id="{4F477F70-F12F-4A00-B9A0-B1D8D40C1B97}">
            <xm:f>'General info'!$C$153</xm:f>
            <x14:dxf>
              <fill>
                <patternFill>
                  <bgColor theme="6"/>
                </patternFill>
              </fill>
            </x14:dxf>
          </x14:cfRule>
          <x14:cfRule type="cellIs" priority="119" operator="equal" id="{BFBA19B0-ED2A-42DE-8B30-9FCCD09B6128}">
            <xm:f>'General info'!$C$152</xm:f>
            <x14:dxf>
              <fill>
                <patternFill>
                  <bgColor rgb="FFFFC000"/>
                </patternFill>
              </fill>
            </x14:dxf>
          </x14:cfRule>
          <xm:sqref>C4:C5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promptTitle="Reuse" prompt="Reuse guide :_x000a_   0% :      None_x000a_25% :       few_x000a_50% :       partially_x000a_75% :       largely_x000a_100% :     FULL" xr:uid="{3A3D532C-E170-426F-A152-105E9B0B541B}">
          <x14:formula1>
            <xm:f>'General info'!$C$124:$C$130</xm:f>
          </x14:formula1>
          <xm:sqref>G5:H5 L5 J5</xm:sqref>
        </x14:dataValidation>
        <x14:dataValidation type="list" allowBlank="1" showInputMessage="1" promptTitle="Reuse" prompt="Reuse guide :_x000a_   0% :      None_x000a_25% :       few_x000a_50% :       partially_x000a_75% :       largely_x000a_100% :     FULL" xr:uid="{C836AD77-B4EE-4A6F-9B97-61D5931C21CA}">
          <x14:formula1>
            <xm:f>'General info'!$C$124:$C$129</xm:f>
          </x14:formula1>
          <xm:sqref>G4:H4 L4 J4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C3664-DC2E-4804-9B18-D945B54FE202}">
  <sheetPr codeName="Sheet10">
    <tabColor theme="8" tint="0.39997558519241921"/>
    <outlinePr summaryBelow="0" summaryRight="0"/>
  </sheetPr>
  <dimension ref="A1:R31"/>
  <sheetViews>
    <sheetView showGridLines="0" zoomScale="80" zoomScaleNormal="80" workbookViewId="0">
      <pane xSplit="1" ySplit="2" topLeftCell="B3" activePane="bottomRight" state="frozen"/>
      <selection pane="topRight" activeCell="B1" sqref="B1"/>
      <selection pane="bottomLeft" activeCell="A3" sqref="A3"/>
      <selection pane="bottomRight" activeCell="N1" sqref="N1"/>
    </sheetView>
  </sheetViews>
  <sheetFormatPr defaultColWidth="9.1796875" defaultRowHeight="14.5" outlineLevelCol="1" x14ac:dyDescent="0.35"/>
  <cols>
    <col min="1" max="1" width="12.453125" style="127" customWidth="1"/>
    <col min="2" max="2" width="76.81640625" style="126" customWidth="1"/>
    <col min="3" max="3" width="16" style="126" bestFit="1" customWidth="1"/>
    <col min="4" max="5" width="23.54296875" style="126" customWidth="1" outlineLevel="1"/>
    <col min="6" max="6" width="9.81640625" style="126" customWidth="1"/>
    <col min="7" max="8" width="10.1796875" style="126" customWidth="1"/>
    <col min="9" max="9" width="23.7265625" style="103" customWidth="1"/>
    <col min="10" max="10" width="10.1796875" style="126" customWidth="1"/>
    <col min="11" max="11" width="28.453125" style="126" customWidth="1"/>
    <col min="12" max="15" width="15.54296875" style="126" customWidth="1"/>
    <col min="16" max="16" width="50.54296875" style="117" customWidth="1" outlineLevel="1"/>
    <col min="17" max="17" width="46.453125" style="126" customWidth="1" collapsed="1"/>
    <col min="18" max="19" width="9.1796875" style="126" customWidth="1"/>
    <col min="20" max="16384" width="9.1796875" style="126"/>
  </cols>
  <sheetData>
    <row r="1" spans="1:18" s="125" customFormat="1" ht="118.5" customHeight="1" x14ac:dyDescent="0.25">
      <c r="A1" s="96" t="s">
        <v>179</v>
      </c>
      <c r="B1" s="96" t="s">
        <v>15</v>
      </c>
      <c r="C1" s="111" t="s">
        <v>168</v>
      </c>
      <c r="D1" s="111" t="s">
        <v>170</v>
      </c>
      <c r="E1" s="111" t="s">
        <v>171</v>
      </c>
      <c r="F1" s="119" t="s">
        <v>81</v>
      </c>
      <c r="G1" s="120" t="s">
        <v>250</v>
      </c>
      <c r="H1" s="121" t="s">
        <v>251</v>
      </c>
      <c r="I1" s="122" t="s">
        <v>252</v>
      </c>
      <c r="J1" s="177" t="s">
        <v>137</v>
      </c>
      <c r="K1" s="122" t="s">
        <v>133</v>
      </c>
      <c r="L1" s="177" t="s">
        <v>138</v>
      </c>
      <c r="M1" s="177" t="s">
        <v>139</v>
      </c>
      <c r="N1" s="177" t="s">
        <v>140</v>
      </c>
      <c r="O1" s="122" t="s">
        <v>255</v>
      </c>
      <c r="P1" s="122" t="s">
        <v>126</v>
      </c>
    </row>
    <row r="2" spans="1:18" s="125" customFormat="1" ht="21" customHeight="1" x14ac:dyDescent="0.25">
      <c r="A2" s="398" t="s">
        <v>172</v>
      </c>
      <c r="B2" s="398"/>
      <c r="C2" s="399" t="s">
        <v>173</v>
      </c>
      <c r="D2" s="399"/>
      <c r="E2" s="399"/>
      <c r="F2" s="182"/>
      <c r="G2" s="417" t="s">
        <v>249</v>
      </c>
      <c r="H2" s="417"/>
      <c r="I2" s="417"/>
      <c r="J2" s="181"/>
      <c r="K2" s="181"/>
      <c r="L2" s="181"/>
      <c r="M2" s="181"/>
      <c r="N2" s="181"/>
      <c r="O2" s="181"/>
      <c r="P2" s="181"/>
    </row>
    <row r="3" spans="1:18" s="114" customFormat="1" ht="20.5" thickBot="1" x14ac:dyDescent="0.3">
      <c r="A3" s="106"/>
      <c r="B3" s="106" t="s">
        <v>174</v>
      </c>
      <c r="C3" s="106"/>
      <c r="D3" s="106"/>
      <c r="E3" s="106"/>
      <c r="F3" s="106"/>
      <c r="G3" s="106"/>
      <c r="H3" s="106"/>
      <c r="I3" s="106"/>
      <c r="J3" s="106"/>
      <c r="K3" s="107"/>
      <c r="L3" s="106"/>
      <c r="M3" s="107"/>
      <c r="N3" s="106"/>
      <c r="O3" s="106"/>
      <c r="P3" s="107"/>
      <c r="Q3" s="106"/>
      <c r="R3" s="107"/>
    </row>
    <row r="4" spans="1:18" ht="16.5" customHeight="1" x14ac:dyDescent="0.35">
      <c r="A4" s="408" t="s">
        <v>141</v>
      </c>
      <c r="B4" s="410" t="s">
        <v>142</v>
      </c>
      <c r="C4" s="377" t="s">
        <v>180</v>
      </c>
      <c r="D4" s="363" t="s">
        <v>176</v>
      </c>
      <c r="E4" s="365" t="s">
        <v>178</v>
      </c>
      <c r="F4" s="166" t="s">
        <v>130</v>
      </c>
      <c r="G4" s="123">
        <v>1</v>
      </c>
      <c r="H4" s="123">
        <v>1</v>
      </c>
      <c r="I4" s="415">
        <v>696233</v>
      </c>
      <c r="J4" s="123">
        <v>1</v>
      </c>
      <c r="K4" s="89"/>
      <c r="L4" s="123">
        <v>1</v>
      </c>
      <c r="M4" s="123">
        <v>1</v>
      </c>
      <c r="N4" s="123">
        <v>1</v>
      </c>
      <c r="O4" s="415"/>
      <c r="P4" s="89"/>
    </row>
    <row r="5" spans="1:18" ht="19" thickBot="1" x14ac:dyDescent="0.4">
      <c r="A5" s="409"/>
      <c r="B5" s="411"/>
      <c r="C5" s="378"/>
      <c r="D5" s="364"/>
      <c r="E5" s="366"/>
      <c r="F5" s="167" t="s">
        <v>131</v>
      </c>
      <c r="G5" s="124">
        <v>0.5</v>
      </c>
      <c r="H5" s="124">
        <v>0.5</v>
      </c>
      <c r="I5" s="416"/>
      <c r="J5" s="124">
        <v>0.5</v>
      </c>
      <c r="K5" s="90"/>
      <c r="L5" s="124">
        <v>0.5</v>
      </c>
      <c r="M5" s="124">
        <v>0.5</v>
      </c>
      <c r="N5" s="124">
        <v>0.5</v>
      </c>
      <c r="O5" s="416"/>
      <c r="P5" s="90"/>
    </row>
    <row r="6" spans="1:18" ht="21" x14ac:dyDescent="0.5">
      <c r="A6" s="126"/>
      <c r="B6" s="128"/>
      <c r="C6" s="128"/>
      <c r="D6" s="128"/>
      <c r="E6" s="128"/>
      <c r="F6" s="128"/>
      <c r="G6" s="129"/>
      <c r="H6" s="129"/>
      <c r="I6" s="129"/>
      <c r="J6" s="129"/>
      <c r="K6" s="129"/>
      <c r="L6" s="130"/>
      <c r="M6" s="130"/>
      <c r="N6" s="130"/>
      <c r="O6" s="130"/>
    </row>
    <row r="7" spans="1:18" x14ac:dyDescent="0.35">
      <c r="A7" s="126"/>
      <c r="B7" s="128"/>
      <c r="C7" s="128"/>
      <c r="D7" s="128"/>
      <c r="E7" s="128"/>
      <c r="F7" s="128"/>
      <c r="G7" s="128"/>
      <c r="H7" s="128"/>
      <c r="I7" s="128"/>
      <c r="J7" s="128"/>
      <c r="K7" s="128"/>
    </row>
    <row r="8" spans="1:18" s="114" customFormat="1" ht="20" x14ac:dyDescent="0.25">
      <c r="A8" s="106"/>
      <c r="B8" s="106" t="s">
        <v>175</v>
      </c>
      <c r="C8" s="106"/>
      <c r="D8" s="106"/>
      <c r="E8" s="106"/>
      <c r="F8" s="106"/>
      <c r="G8" s="106"/>
      <c r="H8" s="107"/>
      <c r="I8" s="106"/>
      <c r="J8" s="107"/>
      <c r="K8" s="106"/>
      <c r="L8" s="107"/>
      <c r="M8" s="106"/>
      <c r="N8" s="107"/>
      <c r="O8" s="107"/>
      <c r="P8" s="106"/>
      <c r="Q8" s="106"/>
      <c r="R8" s="106"/>
    </row>
    <row r="9" spans="1:18" x14ac:dyDescent="0.35">
      <c r="A9" s="126"/>
      <c r="B9" s="128"/>
      <c r="C9" s="128"/>
      <c r="D9" s="128"/>
      <c r="E9" s="128"/>
      <c r="F9" s="128"/>
      <c r="G9" s="128"/>
      <c r="H9" s="128"/>
      <c r="I9" s="128"/>
      <c r="J9" s="128"/>
      <c r="K9" s="128"/>
    </row>
    <row r="10" spans="1:18" x14ac:dyDescent="0.35">
      <c r="A10" s="126"/>
      <c r="I10" s="126"/>
    </row>
    <row r="11" spans="1:18" x14ac:dyDescent="0.35">
      <c r="A11" s="126"/>
      <c r="I11" s="126"/>
    </row>
    <row r="12" spans="1:18" x14ac:dyDescent="0.35">
      <c r="A12" s="126"/>
      <c r="I12" s="126"/>
    </row>
    <row r="13" spans="1:18" x14ac:dyDescent="0.35">
      <c r="A13" s="126"/>
      <c r="I13" s="126"/>
    </row>
    <row r="14" spans="1:18" x14ac:dyDescent="0.35">
      <c r="A14" s="126"/>
      <c r="I14" s="126"/>
    </row>
    <row r="15" spans="1:18" x14ac:dyDescent="0.35">
      <c r="A15" s="126"/>
      <c r="I15" s="126"/>
    </row>
    <row r="16" spans="1:18" x14ac:dyDescent="0.35">
      <c r="A16" s="126"/>
      <c r="I16" s="126"/>
    </row>
    <row r="17" spans="1:9" x14ac:dyDescent="0.35">
      <c r="A17" s="126"/>
      <c r="I17" s="126"/>
    </row>
    <row r="18" spans="1:9" x14ac:dyDescent="0.35">
      <c r="A18" s="126"/>
      <c r="I18" s="126"/>
    </row>
    <row r="19" spans="1:9" x14ac:dyDescent="0.35">
      <c r="A19" s="126"/>
      <c r="I19" s="126"/>
    </row>
    <row r="20" spans="1:9" x14ac:dyDescent="0.35">
      <c r="I20" s="126"/>
    </row>
    <row r="21" spans="1:9" x14ac:dyDescent="0.35">
      <c r="I21" s="126"/>
    </row>
    <row r="22" spans="1:9" x14ac:dyDescent="0.35">
      <c r="I22" s="126"/>
    </row>
    <row r="23" spans="1:9" x14ac:dyDescent="0.35">
      <c r="I23" s="126"/>
    </row>
    <row r="24" spans="1:9" x14ac:dyDescent="0.35">
      <c r="I24" s="126"/>
    </row>
    <row r="25" spans="1:9" x14ac:dyDescent="0.35">
      <c r="I25" s="126"/>
    </row>
    <row r="26" spans="1:9" x14ac:dyDescent="0.35">
      <c r="I26" s="126"/>
    </row>
    <row r="27" spans="1:9" x14ac:dyDescent="0.35">
      <c r="I27" s="126"/>
    </row>
    <row r="28" spans="1:9" ht="21" x14ac:dyDescent="0.35">
      <c r="I28" s="116"/>
    </row>
    <row r="29" spans="1:9" ht="21" x14ac:dyDescent="0.35">
      <c r="I29" s="116"/>
    </row>
    <row r="30" spans="1:9" ht="21" x14ac:dyDescent="0.35">
      <c r="I30" s="118"/>
    </row>
    <row r="31" spans="1:9" ht="21" x14ac:dyDescent="0.35">
      <c r="I31" s="118"/>
    </row>
  </sheetData>
  <sheetProtection autoFilter="0"/>
  <autoFilter ref="A1:J5" xr:uid="{00000000-0009-0000-0000-000009000000}"/>
  <dataConsolidate/>
  <mergeCells count="10">
    <mergeCell ref="I4:I5"/>
    <mergeCell ref="G2:I2"/>
    <mergeCell ref="O4:O5"/>
    <mergeCell ref="E4:E5"/>
    <mergeCell ref="A2:B2"/>
    <mergeCell ref="C2:E2"/>
    <mergeCell ref="C4:C5"/>
    <mergeCell ref="D4:D5"/>
    <mergeCell ref="A4:A5"/>
    <mergeCell ref="B4:B5"/>
  </mergeCells>
  <conditionalFormatting sqref="G5:H5">
    <cfRule type="expression" dxfId="84" priority="27">
      <formula>IF(G5="D",TRUE,FALSE)</formula>
    </cfRule>
    <cfRule type="expression" dxfId="83" priority="28">
      <formula>IF(G5="P",TRUE,FALSE)</formula>
    </cfRule>
    <cfRule type="expression" dxfId="82" priority="29">
      <formula>IF(G5="N",TRUE,FALSE)</formula>
    </cfRule>
    <cfRule type="expression" dxfId="81" priority="30">
      <formula>IF(G5="F",TRUE,FALSE)</formula>
    </cfRule>
    <cfRule type="expression" dxfId="80" priority="31">
      <formula>IF(G5="NA",TRUE,FALSE)</formula>
    </cfRule>
  </conditionalFormatting>
  <conditionalFormatting sqref="H5">
    <cfRule type="expression" dxfId="79" priority="22">
      <formula>IF(H5="D",TRUE,FALSE)</formula>
    </cfRule>
    <cfRule type="expression" dxfId="78" priority="23">
      <formula>IF(H5="P",TRUE,FALSE)</formula>
    </cfRule>
    <cfRule type="expression" dxfId="77" priority="24">
      <formula>IF(H5="N",TRUE,FALSE)</formula>
    </cfRule>
    <cfRule type="expression" dxfId="76" priority="25">
      <formula>IF(H5="F",TRUE,FALSE)</formula>
    </cfRule>
    <cfRule type="expression" dxfId="75" priority="26">
      <formula>IF(H5="NA",TRUE,FALSE)</formula>
    </cfRule>
  </conditionalFormatting>
  <conditionalFormatting sqref="J5">
    <cfRule type="expression" dxfId="74" priority="17">
      <formula>IF(J5="D",TRUE,FALSE)</formula>
    </cfRule>
    <cfRule type="expression" dxfId="73" priority="18">
      <formula>IF(J5="P",TRUE,FALSE)</formula>
    </cfRule>
    <cfRule type="expression" dxfId="72" priority="19">
      <formula>IF(J5="N",TRUE,FALSE)</formula>
    </cfRule>
    <cfRule type="expression" dxfId="71" priority="20">
      <formula>IF(J5="F",TRUE,FALSE)</formula>
    </cfRule>
    <cfRule type="expression" dxfId="70" priority="21">
      <formula>IF(J5="NA",TRUE,FALSE)</formula>
    </cfRule>
  </conditionalFormatting>
  <conditionalFormatting sqref="L5">
    <cfRule type="expression" dxfId="69" priority="12">
      <formula>IF(L5="D",TRUE,FALSE)</formula>
    </cfRule>
    <cfRule type="expression" dxfId="68" priority="13">
      <formula>IF(L5="P",TRUE,FALSE)</formula>
    </cfRule>
    <cfRule type="expression" dxfId="67" priority="14">
      <formula>IF(L5="N",TRUE,FALSE)</formula>
    </cfRule>
    <cfRule type="expression" dxfId="66" priority="15">
      <formula>IF(L5="F",TRUE,FALSE)</formula>
    </cfRule>
    <cfRule type="expression" dxfId="65" priority="16">
      <formula>IF(L5="NA",TRUE,FALSE)</formula>
    </cfRule>
  </conditionalFormatting>
  <conditionalFormatting sqref="M5">
    <cfRule type="expression" dxfId="64" priority="7">
      <formula>IF(M5="D",TRUE,FALSE)</formula>
    </cfRule>
    <cfRule type="expression" dxfId="63" priority="8">
      <formula>IF(M5="P",TRUE,FALSE)</formula>
    </cfRule>
    <cfRule type="expression" dxfId="62" priority="9">
      <formula>IF(M5="N",TRUE,FALSE)</formula>
    </cfRule>
    <cfRule type="expression" dxfId="61" priority="10">
      <formula>IF(M5="F",TRUE,FALSE)</formula>
    </cfRule>
    <cfRule type="expression" dxfId="60" priority="11">
      <formula>IF(M5="NA",TRUE,FALSE)</formula>
    </cfRule>
  </conditionalFormatting>
  <conditionalFormatting sqref="N5">
    <cfRule type="expression" dxfId="59" priority="2">
      <formula>IF(N5="D",TRUE,FALSE)</formula>
    </cfRule>
    <cfRule type="expression" dxfId="58" priority="3">
      <formula>IF(N5="P",TRUE,FALSE)</formula>
    </cfRule>
    <cfRule type="expression" dxfId="57" priority="4">
      <formula>IF(N5="N",TRUE,FALSE)</formula>
    </cfRule>
    <cfRule type="expression" dxfId="56" priority="5">
      <formula>IF(N5="F",TRUE,FALSE)</formula>
    </cfRule>
    <cfRule type="expression" dxfId="55" priority="6">
      <formula>IF(N5="NA",TRUE,FALSE)</formula>
    </cfRule>
  </conditionalFormatting>
  <conditionalFormatting sqref="I4">
    <cfRule type="expression" dxfId="54" priority="151">
      <formula>G4=G5</formula>
    </cfRule>
  </conditionalFormatting>
  <conditionalFormatting sqref="O4">
    <cfRule type="expression" dxfId="53" priority="1">
      <formula>M4=M5</formula>
    </cfRule>
  </conditionalFormatting>
  <dataValidations count="3">
    <dataValidation allowBlank="1" showInputMessage="1" showErrorMessage="1" promptTitle="Reuse estimation" prompt="o 0% : no reuse at all_x000a_o 1% to 99% : partial reuse. If the precision is difficult to get, try an approximate value_x000a_o 100% : full reuse : nothing to do" sqref="J3 L3 N3:O3 I8 K8 M8" xr:uid="{1D790E33-BFEF-4063-8A82-7F40F6043A13}"/>
    <dataValidation type="list" allowBlank="1" showInputMessage="1" promptTitle="Describe the strategy" prompt="o By written it_x000a_o Or by selecting a predefined strategy" sqref="R3 P3 M3 K3 N8:O8 L8 J8 H8" xr:uid="{630975FE-FDD2-49C1-B411-F4756DC7D99D}">
      <formula1>Options_PrefilledStrategies</formula1>
    </dataValidation>
    <dataValidation type="list" allowBlank="1" showInputMessage="1" showErrorMessage="1" sqref="C4:C5" xr:uid="{C5C55C1C-6321-44BC-A639-55D52637EC64}">
      <formula1>list_strategy</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31" operator="equal" id="{C5609AE5-1F56-44E0-9721-0CECE501F597}">
            <xm:f>'General info'!$C$154</xm:f>
            <x14:dxf>
              <fill>
                <patternFill>
                  <bgColor theme="2" tint="-0.24994659260841701"/>
                </patternFill>
              </fill>
            </x14:dxf>
          </x14:cfRule>
          <x14:cfRule type="cellIs" priority="132" operator="equal" id="{AEC00D03-277D-4EE4-9D25-50C401C71BC2}">
            <xm:f>'General info'!$C$153</xm:f>
            <x14:dxf>
              <fill>
                <patternFill>
                  <bgColor theme="6"/>
                </patternFill>
              </fill>
            </x14:dxf>
          </x14:cfRule>
          <x14:cfRule type="cellIs" priority="133" operator="equal" id="{5AFD93BD-E90B-4DB0-9550-68B15D422683}">
            <xm:f>'General info'!$C$152</xm:f>
            <x14:dxf>
              <fill>
                <patternFill>
                  <bgColor rgb="FFFFC000"/>
                </patternFill>
              </fill>
            </x14:dxf>
          </x14:cfRule>
          <xm:sqref>C4:C5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promptTitle="Reuse" prompt="Reuse guide :_x000a_   0% :      None_x000a_25% :       few_x000a_50% :       partially_x000a_75% :       largely_x000a_100% :     FULL" xr:uid="{8D8790EB-8A13-4D14-92BA-9459D0BAFF09}">
          <x14:formula1>
            <xm:f>'General info'!$C$124:$C$130</xm:f>
          </x14:formula1>
          <xm:sqref>G5:H5 L5:N5 J5</xm:sqref>
        </x14:dataValidation>
        <x14:dataValidation type="list" allowBlank="1" showInputMessage="1" promptTitle="Reuse" prompt="Reuse guide :_x000a_   0% :      None_x000a_25% :       few_x000a_50% :       partially_x000a_75% :       largely_x000a_100% :     FULL" xr:uid="{2A822E1D-C8F0-4107-8242-AB8FFC4AEB81}">
          <x14:formula1>
            <xm:f>'General info'!$C$124:$C$129</xm:f>
          </x14:formula1>
          <xm:sqref>G4:H4 L4:N4 J4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24838-6C5A-4CA2-8485-7E17A8306F2B}">
  <sheetPr codeName="Sheet42">
    <tabColor theme="8" tint="0.39997558519241921"/>
    <outlinePr summaryBelow="0" summaryRight="0"/>
  </sheetPr>
  <dimension ref="A1:Q16"/>
  <sheetViews>
    <sheetView showGridLines="0" zoomScale="85" zoomScaleNormal="85" workbookViewId="0">
      <pane xSplit="1" ySplit="2" topLeftCell="B3" activePane="bottomRight" state="frozen"/>
      <selection activeCell="F54" sqref="F54:F55"/>
      <selection pane="topRight" activeCell="F54" sqref="F54:F55"/>
      <selection pane="bottomLeft" activeCell="F54" sqref="F54:F55"/>
      <selection pane="bottomRight" activeCell="E26" sqref="E26"/>
    </sheetView>
  </sheetViews>
  <sheetFormatPr defaultColWidth="10.453125" defaultRowHeight="14.5" outlineLevelCol="1" x14ac:dyDescent="0.25"/>
  <cols>
    <col min="1" max="1" width="12.81640625" style="197" customWidth="1"/>
    <col min="2" max="2" width="34.81640625" style="197" customWidth="1"/>
    <col min="3" max="3" width="17.26953125" style="196" customWidth="1"/>
    <col min="4" max="4" width="11.54296875" style="196" customWidth="1"/>
    <col min="5" max="5" width="25.81640625" style="196" customWidth="1" outlineLevel="1"/>
    <col min="6" max="6" width="13.26953125" style="196" customWidth="1" outlineLevel="1"/>
    <col min="7" max="7" width="23.7265625" style="196" customWidth="1" outlineLevel="1"/>
    <col min="8" max="8" width="11.81640625" style="196" customWidth="1"/>
    <col min="9" max="9" width="10" style="196" customWidth="1"/>
    <col min="10" max="10" width="8.54296875" style="196" customWidth="1"/>
    <col min="11" max="11" width="9.7265625" style="196" customWidth="1"/>
    <col min="12" max="12" width="15" style="196" customWidth="1"/>
    <col min="13" max="13" width="12.26953125" style="196" customWidth="1"/>
    <col min="14" max="14" width="64.81640625" style="191" customWidth="1" outlineLevel="1"/>
    <col min="15" max="17" width="10.453125" style="196" customWidth="1"/>
    <col min="18" max="16384" width="10.453125" style="196"/>
  </cols>
  <sheetData>
    <row r="1" spans="1:17" s="187" customFormat="1" ht="100.5" customHeight="1" x14ac:dyDescent="0.25">
      <c r="A1" s="184" t="s">
        <v>179</v>
      </c>
      <c r="B1" s="184" t="s">
        <v>15</v>
      </c>
      <c r="C1" s="184" t="s">
        <v>123</v>
      </c>
      <c r="D1" s="185" t="s">
        <v>168</v>
      </c>
      <c r="E1" s="185" t="s">
        <v>170</v>
      </c>
      <c r="F1" s="185" t="s">
        <v>150</v>
      </c>
      <c r="G1" s="185" t="s">
        <v>171</v>
      </c>
      <c r="H1" s="186" t="s">
        <v>81</v>
      </c>
      <c r="I1" s="173" t="s">
        <v>83</v>
      </c>
      <c r="J1" s="174" t="s">
        <v>268</v>
      </c>
      <c r="K1" s="175" t="s">
        <v>269</v>
      </c>
      <c r="L1" s="178" t="s">
        <v>270</v>
      </c>
      <c r="M1" s="175" t="s">
        <v>238</v>
      </c>
      <c r="N1" s="180" t="s">
        <v>126</v>
      </c>
    </row>
    <row r="2" spans="1:17" s="190" customFormat="1" ht="21" customHeight="1" x14ac:dyDescent="0.25">
      <c r="A2" s="426" t="s">
        <v>172</v>
      </c>
      <c r="B2" s="426"/>
      <c r="C2" s="426"/>
      <c r="D2" s="427" t="s">
        <v>173</v>
      </c>
      <c r="E2" s="427"/>
      <c r="F2" s="427"/>
      <c r="G2" s="428"/>
      <c r="H2" s="188"/>
      <c r="I2" s="429" t="s">
        <v>271</v>
      </c>
      <c r="J2" s="429"/>
      <c r="K2" s="429"/>
      <c r="L2" s="430" t="s">
        <v>164</v>
      </c>
      <c r="M2" s="430"/>
      <c r="N2" s="189"/>
    </row>
    <row r="3" spans="1:17" s="191" customFormat="1" ht="20.5" thickBot="1" x14ac:dyDescent="0.3">
      <c r="A3" s="106"/>
      <c r="B3" s="106" t="s">
        <v>272</v>
      </c>
      <c r="C3" s="106"/>
      <c r="D3" s="106"/>
      <c r="E3" s="106"/>
      <c r="F3" s="106"/>
      <c r="G3" s="106"/>
      <c r="H3" s="106"/>
      <c r="I3" s="107"/>
      <c r="J3" s="106"/>
      <c r="K3" s="106"/>
      <c r="L3" s="107"/>
      <c r="M3" s="106"/>
      <c r="N3" s="106"/>
    </row>
    <row r="4" spans="1:17" s="191" customFormat="1" ht="18.5" x14ac:dyDescent="0.25">
      <c r="A4" s="431" t="s">
        <v>273</v>
      </c>
      <c r="B4" s="433" t="s">
        <v>274</v>
      </c>
      <c r="C4" s="433" t="s">
        <v>275</v>
      </c>
      <c r="D4" s="377" t="s">
        <v>180</v>
      </c>
      <c r="E4" s="418" t="s">
        <v>276</v>
      </c>
      <c r="F4" s="418" t="s">
        <v>277</v>
      </c>
      <c r="G4" s="420" t="s">
        <v>278</v>
      </c>
      <c r="H4" s="166" t="s">
        <v>130</v>
      </c>
      <c r="I4" s="192">
        <v>0</v>
      </c>
      <c r="J4" s="192">
        <v>0</v>
      </c>
      <c r="K4" s="192"/>
      <c r="L4" s="193" t="s">
        <v>118</v>
      </c>
      <c r="M4" s="422"/>
      <c r="N4" s="424"/>
    </row>
    <row r="5" spans="1:17" s="191" customFormat="1" ht="19" thickBot="1" x14ac:dyDescent="0.3">
      <c r="A5" s="432"/>
      <c r="B5" s="434"/>
      <c r="C5" s="434"/>
      <c r="D5" s="378"/>
      <c r="E5" s="419"/>
      <c r="F5" s="419"/>
      <c r="G5" s="421"/>
      <c r="H5" s="167" t="s">
        <v>131</v>
      </c>
      <c r="I5" s="194">
        <v>0.7</v>
      </c>
      <c r="J5" s="194">
        <v>0.7</v>
      </c>
      <c r="K5" s="194"/>
      <c r="L5" s="195" t="s">
        <v>118</v>
      </c>
      <c r="M5" s="423"/>
      <c r="N5" s="425"/>
    </row>
    <row r="6" spans="1:17" s="191" customFormat="1" ht="20.5" thickBot="1" x14ac:dyDescent="0.3">
      <c r="A6" s="106"/>
      <c r="B6" s="106" t="s">
        <v>279</v>
      </c>
      <c r="C6" s="106"/>
      <c r="D6" s="106"/>
      <c r="E6" s="106"/>
      <c r="F6" s="106"/>
      <c r="G6" s="106"/>
      <c r="H6" s="106"/>
      <c r="I6" s="107"/>
      <c r="J6" s="106"/>
      <c r="K6" s="106"/>
      <c r="L6" s="107"/>
      <c r="M6" s="106"/>
      <c r="N6" s="106"/>
    </row>
    <row r="7" spans="1:17" s="191" customFormat="1" ht="18.5" x14ac:dyDescent="0.25">
      <c r="A7" s="431" t="s">
        <v>279</v>
      </c>
      <c r="B7" s="433" t="s">
        <v>280</v>
      </c>
      <c r="C7" s="433" t="s">
        <v>279</v>
      </c>
      <c r="D7" s="377" t="s">
        <v>180</v>
      </c>
      <c r="E7" s="418" t="s">
        <v>276</v>
      </c>
      <c r="F7" s="418" t="s">
        <v>277</v>
      </c>
      <c r="G7" s="420" t="s">
        <v>278</v>
      </c>
      <c r="H7" s="166" t="s">
        <v>130</v>
      </c>
      <c r="I7" s="192">
        <v>0</v>
      </c>
      <c r="J7" s="192">
        <v>0</v>
      </c>
      <c r="K7" s="192"/>
      <c r="L7" s="193" t="s">
        <v>118</v>
      </c>
      <c r="M7" s="422"/>
      <c r="N7" s="424"/>
    </row>
    <row r="8" spans="1:17" s="191" customFormat="1" ht="19" thickBot="1" x14ac:dyDescent="0.3">
      <c r="A8" s="432"/>
      <c r="B8" s="434"/>
      <c r="C8" s="434"/>
      <c r="D8" s="378"/>
      <c r="E8" s="419"/>
      <c r="F8" s="419"/>
      <c r="G8" s="421"/>
      <c r="H8" s="167" t="s">
        <v>131</v>
      </c>
      <c r="I8" s="194">
        <v>0.2</v>
      </c>
      <c r="J8" s="194">
        <v>0.2</v>
      </c>
      <c r="K8" s="194"/>
      <c r="L8" s="195" t="s">
        <v>118</v>
      </c>
      <c r="M8" s="423"/>
      <c r="N8" s="425"/>
    </row>
    <row r="9" spans="1:17" s="191" customFormat="1" x14ac:dyDescent="0.25">
      <c r="A9" s="196"/>
      <c r="B9" s="196"/>
      <c r="C9" s="196"/>
      <c r="D9" s="196"/>
      <c r="E9" s="196"/>
      <c r="F9" s="196"/>
      <c r="G9" s="196"/>
      <c r="H9" s="196"/>
      <c r="I9" s="196"/>
      <c r="J9" s="196"/>
      <c r="K9" s="196"/>
      <c r="L9" s="196"/>
      <c r="M9" s="196"/>
    </row>
    <row r="10" spans="1:17" s="191" customFormat="1" x14ac:dyDescent="0.25">
      <c r="A10" s="196"/>
      <c r="B10" s="196"/>
      <c r="C10" s="196"/>
      <c r="D10" s="196"/>
      <c r="E10" s="196"/>
      <c r="F10" s="196"/>
      <c r="G10" s="196"/>
      <c r="H10" s="196"/>
      <c r="I10" s="196"/>
      <c r="J10" s="196"/>
      <c r="K10" s="196"/>
      <c r="L10" s="196"/>
      <c r="M10" s="196"/>
    </row>
    <row r="11" spans="1:17" s="191" customFormat="1" x14ac:dyDescent="0.25">
      <c r="A11" s="196"/>
      <c r="B11" s="196"/>
      <c r="C11" s="196"/>
      <c r="D11" s="196"/>
      <c r="E11" s="196"/>
      <c r="F11" s="196"/>
      <c r="G11" s="196"/>
      <c r="H11" s="196"/>
      <c r="I11" s="196"/>
      <c r="J11" s="196"/>
      <c r="K11" s="196"/>
      <c r="L11" s="196"/>
      <c r="M11" s="196"/>
    </row>
    <row r="12" spans="1:17" s="191" customFormat="1" x14ac:dyDescent="0.25">
      <c r="A12" s="196"/>
      <c r="B12" s="196"/>
      <c r="C12" s="196"/>
      <c r="D12" s="196"/>
      <c r="E12" s="196"/>
      <c r="F12" s="196"/>
      <c r="G12" s="196"/>
      <c r="H12" s="196"/>
      <c r="I12" s="196"/>
      <c r="J12" s="196"/>
      <c r="K12" s="196"/>
      <c r="L12" s="196"/>
      <c r="M12" s="196"/>
    </row>
    <row r="13" spans="1:17" s="191" customFormat="1" x14ac:dyDescent="0.25">
      <c r="A13" s="196"/>
      <c r="B13" s="196"/>
      <c r="C13" s="196"/>
      <c r="D13" s="196"/>
      <c r="E13" s="196"/>
      <c r="F13" s="196"/>
      <c r="G13" s="196"/>
      <c r="H13" s="196"/>
      <c r="I13" s="196"/>
      <c r="J13" s="196"/>
      <c r="K13" s="196"/>
      <c r="L13" s="196"/>
      <c r="M13" s="196"/>
    </row>
    <row r="14" spans="1:17" s="191" customFormat="1" x14ac:dyDescent="0.25">
      <c r="A14" s="196"/>
      <c r="B14" s="196"/>
      <c r="C14" s="196"/>
      <c r="D14" s="196"/>
      <c r="E14" s="196"/>
      <c r="F14" s="196"/>
      <c r="G14" s="196"/>
      <c r="H14" s="196"/>
      <c r="I14" s="196"/>
      <c r="J14" s="196"/>
      <c r="K14" s="196"/>
      <c r="L14" s="196"/>
      <c r="M14" s="196"/>
    </row>
    <row r="15" spans="1:17" s="191" customFormat="1" x14ac:dyDescent="0.25">
      <c r="A15" s="196"/>
      <c r="B15" s="196"/>
      <c r="C15" s="196"/>
      <c r="D15" s="196"/>
      <c r="E15" s="196"/>
      <c r="F15" s="196"/>
      <c r="G15" s="196"/>
      <c r="H15" s="196"/>
      <c r="I15" s="196"/>
      <c r="J15" s="196"/>
      <c r="K15" s="196"/>
      <c r="L15" s="196"/>
      <c r="M15" s="196"/>
      <c r="O15" s="196"/>
      <c r="P15" s="196"/>
      <c r="Q15" s="196"/>
    </row>
    <row r="16" spans="1:17" s="191" customFormat="1" x14ac:dyDescent="0.25">
      <c r="A16" s="196"/>
      <c r="B16" s="196"/>
      <c r="C16" s="196"/>
      <c r="D16" s="196"/>
      <c r="E16" s="196"/>
      <c r="F16" s="196"/>
      <c r="G16" s="196"/>
      <c r="H16" s="196"/>
      <c r="I16" s="196"/>
      <c r="J16" s="196"/>
      <c r="K16" s="196"/>
      <c r="L16" s="196"/>
      <c r="M16" s="196"/>
      <c r="O16" s="196"/>
      <c r="P16" s="196"/>
      <c r="Q16" s="196"/>
    </row>
  </sheetData>
  <autoFilter ref="A1:L2" xr:uid="{00000000-0009-0000-0000-00000C000000}">
    <filterColumn colId="8" showButton="0"/>
    <filterColumn colId="11" showButton="0"/>
  </autoFilter>
  <dataConsolidate/>
  <mergeCells count="22">
    <mergeCell ref="N7:N8"/>
    <mergeCell ref="A7:A8"/>
    <mergeCell ref="B7:B8"/>
    <mergeCell ref="C7:C8"/>
    <mergeCell ref="D7:D8"/>
    <mergeCell ref="E7:E8"/>
    <mergeCell ref="F7:F8"/>
    <mergeCell ref="G7:G8"/>
    <mergeCell ref="M7:M8"/>
    <mergeCell ref="F4:F5"/>
    <mergeCell ref="G4:G5"/>
    <mergeCell ref="M4:M5"/>
    <mergeCell ref="N4:N5"/>
    <mergeCell ref="A2:C2"/>
    <mergeCell ref="D2:G2"/>
    <mergeCell ref="I2:K2"/>
    <mergeCell ref="L2:M2"/>
    <mergeCell ref="A4:A5"/>
    <mergeCell ref="B4:B5"/>
    <mergeCell ref="C4:C5"/>
    <mergeCell ref="D4:D5"/>
    <mergeCell ref="E4:E5"/>
  </mergeCells>
  <conditionalFormatting sqref="L5">
    <cfRule type="expression" dxfId="49" priority="526">
      <formula>IF(L5="D",TRUE,FALSE)</formula>
    </cfRule>
    <cfRule type="expression" dxfId="48" priority="527">
      <formula>IF(L5="P",TRUE,FALSE)</formula>
    </cfRule>
    <cfRule type="expression" dxfId="47" priority="528">
      <formula>IF(L5="N",TRUE,FALSE)</formula>
    </cfRule>
    <cfRule type="expression" dxfId="46" priority="529">
      <formula>IF(L5="F",TRUE,FALSE)</formula>
    </cfRule>
    <cfRule type="expression" dxfId="45" priority="530">
      <formula>IF(L5="NA",TRUE,FALSE)</formula>
    </cfRule>
  </conditionalFormatting>
  <conditionalFormatting sqref="J5:K5">
    <cfRule type="expression" dxfId="44" priority="683">
      <formula>IF(J5="D",TRUE,FALSE)</formula>
    </cfRule>
    <cfRule type="expression" dxfId="43" priority="684">
      <formula>IF(J5="P",TRUE,FALSE)</formula>
    </cfRule>
    <cfRule type="expression" dxfId="42" priority="685">
      <formula>IF(J5="N",TRUE,FALSE)</formula>
    </cfRule>
    <cfRule type="expression" dxfId="41" priority="686">
      <formula>IF(J5="F",TRUE,FALSE)</formula>
    </cfRule>
    <cfRule type="expression" dxfId="40" priority="687">
      <formula>IF(J5="NA",TRUE,FALSE)</formula>
    </cfRule>
  </conditionalFormatting>
  <conditionalFormatting sqref="M4">
    <cfRule type="expression" dxfId="39" priority="692">
      <formula>#REF!=#REF!</formula>
    </cfRule>
  </conditionalFormatting>
  <conditionalFormatting sqref="I5">
    <cfRule type="expression" dxfId="38" priority="688">
      <formula>IF(I5="D",TRUE,FALSE)</formula>
    </cfRule>
    <cfRule type="expression" dxfId="37" priority="689">
      <formula>IF(I5="P",TRUE,FALSE)</formula>
    </cfRule>
    <cfRule type="expression" dxfId="36" priority="690">
      <formula>IF(I5="N",TRUE,FALSE)</formula>
    </cfRule>
    <cfRule type="expression" dxfId="35" priority="691">
      <formula>IF(I5="F",TRUE,FALSE)</formula>
    </cfRule>
    <cfRule type="expression" dxfId="34" priority="693">
      <formula>IF(I5="NA",TRUE,FALSE)</formula>
    </cfRule>
  </conditionalFormatting>
  <conditionalFormatting sqref="L8">
    <cfRule type="expression" dxfId="33" priority="1">
      <formula>IF(L8="D",TRUE,FALSE)</formula>
    </cfRule>
    <cfRule type="expression" dxfId="32" priority="2">
      <formula>IF(L8="P",TRUE,FALSE)</formula>
    </cfRule>
    <cfRule type="expression" dxfId="31" priority="3">
      <formula>IF(L8="N",TRUE,FALSE)</formula>
    </cfRule>
    <cfRule type="expression" dxfId="30" priority="4">
      <formula>IF(L8="F",TRUE,FALSE)</formula>
    </cfRule>
    <cfRule type="expression" dxfId="29" priority="5">
      <formula>IF(L8="NA",TRUE,FALSE)</formula>
    </cfRule>
  </conditionalFormatting>
  <conditionalFormatting sqref="J8:K8">
    <cfRule type="expression" dxfId="28" priority="9">
      <formula>IF(J8="D",TRUE,FALSE)</formula>
    </cfRule>
    <cfRule type="expression" dxfId="27" priority="10">
      <formula>IF(J8="P",TRUE,FALSE)</formula>
    </cfRule>
    <cfRule type="expression" dxfId="26" priority="11">
      <formula>IF(J8="N",TRUE,FALSE)</formula>
    </cfRule>
    <cfRule type="expression" dxfId="25" priority="12">
      <formula>IF(J8="F",TRUE,FALSE)</formula>
    </cfRule>
    <cfRule type="expression" dxfId="24" priority="13">
      <formula>IF(J8="NA",TRUE,FALSE)</formula>
    </cfRule>
  </conditionalFormatting>
  <conditionalFormatting sqref="M7">
    <cfRule type="expression" dxfId="23" priority="18">
      <formula>#REF!=#REF!</formula>
    </cfRule>
  </conditionalFormatting>
  <conditionalFormatting sqref="I8">
    <cfRule type="expression" dxfId="22" priority="14">
      <formula>IF(I8="D",TRUE,FALSE)</formula>
    </cfRule>
    <cfRule type="expression" dxfId="21" priority="15">
      <formula>IF(I8="P",TRUE,FALSE)</formula>
    </cfRule>
    <cfRule type="expression" dxfId="20" priority="16">
      <formula>IF(I8="N",TRUE,FALSE)</formula>
    </cfRule>
    <cfRule type="expression" dxfId="19" priority="17">
      <formula>IF(I8="F",TRUE,FALSE)</formula>
    </cfRule>
    <cfRule type="expression" dxfId="18" priority="19">
      <formula>IF(I8="NA",TRUE,FALSE)</formula>
    </cfRule>
  </conditionalFormatting>
  <dataValidations count="3">
    <dataValidation allowBlank="1" showInputMessage="1" showErrorMessage="1" promptTitle="Reuse estimation" prompt="o 0% : no reuse at all_x000a_o 1% to 99% : partial reuse. If the precision is difficult to get, try an approximate value_x000a_o 100% : full reuse : nothing to do" sqref="J3:K3 H3 J6:K6 H6" xr:uid="{70E0CC31-C187-4E44-A82E-7A793D641400}"/>
    <dataValidation type="list" allowBlank="1" showInputMessage="1" promptTitle="Describe the strategy" prompt="o By written it_x000a_o Or by selecting a predefined strategy" sqref="I3 L3 I6 L6" xr:uid="{6230481A-4350-4D26-9EB3-8B4EB8865E01}">
      <formula1>Options_PrefilledStrategies</formula1>
    </dataValidation>
    <dataValidation type="list" allowBlank="1" showInputMessage="1" showErrorMessage="1" sqref="D4:D5 D7:D8" xr:uid="{D8634A7C-BD81-4F2E-A8A3-B4BE4B4CC0E4}">
      <formula1>list_strategy</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680" operator="equal" id="{90C22D19-FD06-4D8E-AB10-93259013A5E1}">
            <xm:f>'\Data\PLM\PLM_S32K144_generic_Platform\[Exxxx - SW Work-Product Follow-up (SWPF).xlsm]General info'!#REF!</xm:f>
            <x14:dxf>
              <fill>
                <patternFill>
                  <bgColor theme="2" tint="-0.24994659260841701"/>
                </patternFill>
              </fill>
            </x14:dxf>
          </x14:cfRule>
          <x14:cfRule type="cellIs" priority="681" operator="equal" id="{18FB520F-3D74-4FFB-BFEE-184B21A4820C}">
            <xm:f>'\Data\PLM\PLM_S32K144_generic_Platform\[Exxxx - SW Work-Product Follow-up (SWPF).xlsm]General info'!#REF!</xm:f>
            <x14:dxf>
              <fill>
                <patternFill>
                  <bgColor theme="6"/>
                </patternFill>
              </fill>
            </x14:dxf>
          </x14:cfRule>
          <x14:cfRule type="cellIs" priority="682" operator="equal" id="{B036EE1A-1742-4883-8C2B-F56023C3E6CC}">
            <xm:f>'\Data\PLM\PLM_S32K144_generic_Platform\[Exxxx - SW Work-Product Follow-up (SWPF).xlsm]General info'!#REF!</xm:f>
            <x14:dxf>
              <fill>
                <patternFill>
                  <bgColor rgb="FFFFC000"/>
                </patternFill>
              </fill>
            </x14:dxf>
          </x14:cfRule>
          <xm:sqref>D4:D5</xm:sqref>
        </x14:conditionalFormatting>
        <x14:conditionalFormatting xmlns:xm="http://schemas.microsoft.com/office/excel/2006/main">
          <x14:cfRule type="cellIs" priority="6" operator="equal" id="{5C7E1595-8245-493A-98E0-039AEA1D9B1F}">
            <xm:f>'\Data\PLM\PLM_S32K144_generic_Platform\[Exxxx - SW Work-Product Follow-up (SWPF).xlsm]General info'!#REF!</xm:f>
            <x14:dxf>
              <fill>
                <patternFill>
                  <bgColor theme="2" tint="-0.24994659260841701"/>
                </patternFill>
              </fill>
            </x14:dxf>
          </x14:cfRule>
          <x14:cfRule type="cellIs" priority="7" operator="equal" id="{6BD0DE7A-0E74-44DA-A99F-EE43B975A3F7}">
            <xm:f>'\Data\PLM\PLM_S32K144_generic_Platform\[Exxxx - SW Work-Product Follow-up (SWPF).xlsm]General info'!#REF!</xm:f>
            <x14:dxf>
              <fill>
                <patternFill>
                  <bgColor theme="6"/>
                </patternFill>
              </fill>
            </x14:dxf>
          </x14:cfRule>
          <x14:cfRule type="cellIs" priority="8" operator="equal" id="{B5A00465-D773-4A53-AF07-EF0A1D3059D5}">
            <xm:f>'\Data\PLM\PLM_S32K144_generic_Platform\[Exxxx - SW Work-Product Follow-up (SWPF).xlsm]General info'!#REF!</xm:f>
            <x14:dxf>
              <fill>
                <patternFill>
                  <bgColor rgb="FFFFC000"/>
                </patternFill>
              </fill>
            </x14:dxf>
          </x14:cfRule>
          <xm:sqref>D7:D8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promptTitle="Reuse" prompt="Reuse guide :_x000a_   0% :      None_x000a_25% :       few_x000a_50% :       partially_x000a_75% :       largely_x000a_100% :     FULL" xr:uid="{CF870195-33FD-47CC-8E1D-E42766EA0D2E}">
          <x14:formula1>
            <xm:f>'C:\Data\PLM\PLM_S32K144_generic_Platform\[Exxxx - SW Work-Product Follow-up (SWPF).xlsm]General info'!#REF!</xm:f>
          </x14:formula1>
          <xm:sqref>I5:L5 I8:L8</xm:sqref>
        </x14:dataValidation>
        <x14:dataValidation type="list" allowBlank="1" showInputMessage="1" promptTitle="Reuse" prompt="Reuse guide :_x000a_   0% :      None_x000a_25% :       few_x000a_50% :       partially_x000a_75% :       largely_x000a_100% :     FULL" xr:uid="{4E344CF7-7958-446D-838D-79E67065BC92}">
          <x14:formula1>
            <xm:f>'C:\Data\PLM\PLM_S32K144_generic_Platform\[Exxxx - SW Work-Product Follow-up (SWPF).xlsm]General info'!#REF!</xm:f>
          </x14:formula1>
          <xm:sqref>I4:L4 I7:L7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tabColor indexed="43"/>
  </sheetPr>
  <dimension ref="A1:J79"/>
  <sheetViews>
    <sheetView workbookViewId="0">
      <pane xSplit="1" ySplit="2" topLeftCell="B3" activePane="bottomRight" state="frozenSplit"/>
      <selection activeCell="B15" sqref="B15"/>
      <selection pane="topRight" activeCell="B15" sqref="B15"/>
      <selection pane="bottomLeft" activeCell="B15" sqref="B15"/>
      <selection pane="bottomRight" activeCell="A53" sqref="A53"/>
    </sheetView>
  </sheetViews>
  <sheetFormatPr defaultColWidth="12.54296875" defaultRowHeight="15.5" x14ac:dyDescent="0.25"/>
  <cols>
    <col min="1" max="1" width="7.54296875" style="1" bestFit="1" customWidth="1"/>
    <col min="2" max="2" width="62.7265625" style="11" customWidth="1"/>
    <col min="3" max="3" width="17.7265625" style="1" customWidth="1"/>
    <col min="4" max="4" width="15.1796875" style="12" customWidth="1"/>
    <col min="5" max="5" width="9.26953125" style="1" bestFit="1" customWidth="1"/>
    <col min="6" max="6" width="10.81640625" style="1" bestFit="1" customWidth="1"/>
    <col min="7" max="7" width="11" style="1" bestFit="1" customWidth="1"/>
    <col min="8" max="8" width="15.26953125" style="1" customWidth="1"/>
    <col min="9" max="9" width="24.7265625" style="1" customWidth="1"/>
    <col min="10" max="10" width="26" style="1" customWidth="1"/>
    <col min="11" max="16384" width="12.54296875" style="1"/>
  </cols>
  <sheetData>
    <row r="1" spans="1:10" ht="19.5" customHeight="1" x14ac:dyDescent="0.25">
      <c r="A1" s="435" t="s">
        <v>6</v>
      </c>
      <c r="B1" s="436"/>
      <c r="C1" s="436"/>
      <c r="D1" s="437"/>
    </row>
    <row r="2" spans="1:10" x14ac:dyDescent="0.25">
      <c r="A2" s="2" t="s">
        <v>7</v>
      </c>
      <c r="B2" s="2" t="s">
        <v>11</v>
      </c>
      <c r="C2" s="2" t="s">
        <v>8</v>
      </c>
      <c r="D2" s="3" t="s">
        <v>9</v>
      </c>
    </row>
    <row r="3" spans="1:10" s="8" customFormat="1" ht="37.5" x14ac:dyDescent="0.25">
      <c r="A3" s="4" t="s">
        <v>42</v>
      </c>
      <c r="B3" s="5" t="s">
        <v>44</v>
      </c>
      <c r="C3" s="4" t="s">
        <v>43</v>
      </c>
      <c r="D3" s="32">
        <v>40576.431076388886</v>
      </c>
      <c r="E3" s="7"/>
      <c r="F3" s="7"/>
      <c r="G3" s="7"/>
      <c r="H3" s="7"/>
      <c r="I3" s="7"/>
      <c r="J3" s="7"/>
    </row>
    <row r="4" spans="1:10" x14ac:dyDescent="0.25">
      <c r="A4" s="38" t="s">
        <v>42</v>
      </c>
      <c r="B4" s="39" t="s">
        <v>47</v>
      </c>
      <c r="C4" s="38" t="s">
        <v>46</v>
      </c>
      <c r="D4" s="40" t="s">
        <v>45</v>
      </c>
      <c r="E4" s="7"/>
      <c r="F4" s="7"/>
      <c r="G4" s="7"/>
      <c r="H4" s="7"/>
      <c r="I4" s="7"/>
      <c r="J4" s="7"/>
    </row>
    <row r="5" spans="1:10" ht="38.5" x14ac:dyDescent="0.25">
      <c r="A5" s="4" t="s">
        <v>54</v>
      </c>
      <c r="B5" s="5" t="s">
        <v>56</v>
      </c>
      <c r="C5" s="4" t="s">
        <v>55</v>
      </c>
      <c r="D5" s="6">
        <v>40815</v>
      </c>
      <c r="E5" s="7"/>
      <c r="F5" s="7"/>
      <c r="G5" s="7"/>
      <c r="H5" s="7"/>
      <c r="I5" s="7"/>
      <c r="J5" s="7"/>
    </row>
    <row r="6" spans="1:10" x14ac:dyDescent="0.25">
      <c r="A6" s="41"/>
      <c r="B6" s="42"/>
      <c r="C6" s="41"/>
      <c r="D6" s="43"/>
      <c r="E6" s="7"/>
      <c r="F6" s="7"/>
      <c r="G6" s="7"/>
      <c r="H6" s="7"/>
      <c r="I6" s="7"/>
      <c r="J6" s="7"/>
    </row>
    <row r="7" spans="1:10" x14ac:dyDescent="0.25">
      <c r="A7" s="4"/>
      <c r="B7" s="5"/>
      <c r="C7" s="4"/>
      <c r="D7" s="6"/>
      <c r="E7" s="7"/>
      <c r="F7" s="7"/>
      <c r="G7" s="7"/>
      <c r="H7" s="7"/>
      <c r="I7" s="7"/>
      <c r="J7" s="7"/>
    </row>
    <row r="8" spans="1:10" x14ac:dyDescent="0.25">
      <c r="A8" s="4"/>
      <c r="B8" s="5"/>
      <c r="C8" s="4"/>
      <c r="D8" s="6"/>
      <c r="E8" s="7"/>
      <c r="F8" s="7"/>
      <c r="G8" s="7"/>
      <c r="H8" s="7"/>
      <c r="I8" s="7"/>
      <c r="J8" s="7"/>
    </row>
    <row r="9" spans="1:10" x14ac:dyDescent="0.25">
      <c r="A9" s="4"/>
      <c r="B9" s="5"/>
      <c r="C9" s="4"/>
      <c r="D9" s="6"/>
      <c r="E9" s="7"/>
      <c r="F9" s="7"/>
      <c r="G9" s="7"/>
      <c r="H9" s="7"/>
      <c r="I9" s="7"/>
      <c r="J9" s="7"/>
    </row>
    <row r="10" spans="1:10" x14ac:dyDescent="0.25">
      <c r="A10" s="4"/>
      <c r="B10" s="5"/>
      <c r="C10" s="4"/>
      <c r="D10" s="6"/>
      <c r="E10" s="7"/>
      <c r="F10" s="7"/>
      <c r="G10" s="7"/>
      <c r="H10" s="7"/>
      <c r="I10" s="7"/>
      <c r="J10" s="7"/>
    </row>
    <row r="11" spans="1:10" x14ac:dyDescent="0.25">
      <c r="A11" s="4"/>
      <c r="B11" s="34"/>
      <c r="C11" s="4"/>
      <c r="D11" s="6"/>
      <c r="E11" s="7"/>
      <c r="F11" s="7"/>
      <c r="G11" s="7"/>
      <c r="H11" s="7"/>
      <c r="I11" s="7"/>
      <c r="J11" s="7"/>
    </row>
    <row r="12" spans="1:10" x14ac:dyDescent="0.25">
      <c r="A12" s="4"/>
      <c r="B12" s="5"/>
      <c r="C12" s="4"/>
      <c r="D12" s="6"/>
      <c r="E12" s="7"/>
      <c r="F12" s="7"/>
      <c r="G12" s="7"/>
      <c r="H12" s="7"/>
      <c r="I12" s="7"/>
      <c r="J12" s="7"/>
    </row>
    <row r="13" spans="1:10" x14ac:dyDescent="0.25">
      <c r="A13" s="4"/>
      <c r="B13" s="5"/>
      <c r="C13" s="4"/>
      <c r="D13" s="6"/>
      <c r="E13" s="7"/>
      <c r="F13" s="7"/>
      <c r="G13" s="7"/>
      <c r="H13" s="7"/>
      <c r="I13" s="7"/>
      <c r="J13" s="7"/>
    </row>
    <row r="14" spans="1:10" x14ac:dyDescent="0.25">
      <c r="A14" s="4"/>
      <c r="B14" s="5"/>
      <c r="C14" s="4"/>
      <c r="D14" s="6"/>
      <c r="E14" s="7"/>
      <c r="F14" s="7"/>
      <c r="G14" s="7"/>
      <c r="H14" s="7"/>
      <c r="I14" s="7"/>
      <c r="J14" s="7"/>
    </row>
    <row r="15" spans="1:10" x14ac:dyDescent="0.25">
      <c r="A15" s="4"/>
      <c r="B15" s="5"/>
      <c r="C15" s="4"/>
      <c r="D15" s="6"/>
      <c r="E15" s="7"/>
      <c r="F15" s="7"/>
      <c r="G15" s="7"/>
      <c r="H15" s="7"/>
      <c r="I15" s="7"/>
      <c r="J15" s="7"/>
    </row>
    <row r="16" spans="1:10" x14ac:dyDescent="0.25">
      <c r="A16" s="4"/>
      <c r="B16" s="5"/>
      <c r="C16" s="4"/>
      <c r="D16" s="6"/>
      <c r="E16" s="7"/>
      <c r="F16" s="7"/>
      <c r="G16" s="7"/>
      <c r="H16" s="7"/>
      <c r="I16" s="7"/>
      <c r="J16" s="7"/>
    </row>
    <row r="17" spans="1:10" x14ac:dyDescent="0.25">
      <c r="A17" s="4"/>
      <c r="B17" s="5"/>
      <c r="C17" s="4"/>
      <c r="D17" s="6"/>
      <c r="E17" s="7"/>
      <c r="F17" s="7"/>
      <c r="G17" s="7"/>
      <c r="H17" s="7"/>
      <c r="I17" s="7"/>
      <c r="J17" s="7"/>
    </row>
    <row r="18" spans="1:10" x14ac:dyDescent="0.25">
      <c r="A18" s="4"/>
      <c r="B18" s="5"/>
      <c r="C18" s="4"/>
      <c r="D18" s="6"/>
      <c r="E18" s="7"/>
      <c r="F18" s="7"/>
      <c r="G18" s="7"/>
      <c r="H18" s="7"/>
      <c r="I18" s="7"/>
      <c r="J18" s="7"/>
    </row>
    <row r="19" spans="1:10" x14ac:dyDescent="0.25">
      <c r="A19" s="4"/>
      <c r="B19" s="5"/>
      <c r="C19" s="4"/>
      <c r="D19" s="6"/>
      <c r="E19" s="7"/>
      <c r="F19" s="7"/>
      <c r="G19" s="7"/>
      <c r="H19" s="7"/>
      <c r="I19" s="7"/>
      <c r="J19" s="7"/>
    </row>
    <row r="20" spans="1:10" x14ac:dyDescent="0.25">
      <c r="A20" s="7"/>
      <c r="B20" s="9"/>
      <c r="C20" s="7"/>
      <c r="D20" s="10"/>
      <c r="E20" s="7"/>
      <c r="F20" s="7"/>
      <c r="G20" s="7"/>
      <c r="H20" s="7"/>
      <c r="I20" s="7"/>
      <c r="J20" s="7"/>
    </row>
    <row r="21" spans="1:10" x14ac:dyDescent="0.25">
      <c r="A21" s="7"/>
      <c r="B21" s="9"/>
      <c r="C21" s="7"/>
      <c r="D21" s="10"/>
      <c r="E21" s="7"/>
      <c r="F21" s="7"/>
      <c r="G21" s="7"/>
      <c r="H21" s="7"/>
      <c r="I21" s="7"/>
      <c r="J21" s="7"/>
    </row>
    <row r="22" spans="1:10" x14ac:dyDescent="0.25">
      <c r="A22" s="7"/>
      <c r="B22" s="9"/>
      <c r="C22" s="7"/>
      <c r="D22" s="10"/>
      <c r="E22" s="7"/>
      <c r="F22" s="7"/>
      <c r="G22" s="7"/>
      <c r="H22" s="7"/>
      <c r="I22" s="7"/>
      <c r="J22" s="7"/>
    </row>
    <row r="23" spans="1:10" x14ac:dyDescent="0.25">
      <c r="A23" s="7"/>
      <c r="B23" s="9"/>
      <c r="C23" s="7"/>
      <c r="D23" s="10"/>
      <c r="E23" s="7"/>
      <c r="F23" s="7"/>
      <c r="G23" s="7"/>
      <c r="H23" s="7"/>
      <c r="I23" s="7"/>
      <c r="J23" s="7"/>
    </row>
    <row r="24" spans="1:10" x14ac:dyDescent="0.25">
      <c r="A24" s="7"/>
      <c r="B24" s="9"/>
      <c r="C24" s="7"/>
      <c r="D24" s="10"/>
      <c r="E24" s="7"/>
      <c r="F24" s="7"/>
      <c r="G24" s="7"/>
      <c r="H24" s="7"/>
      <c r="I24" s="7"/>
      <c r="J24" s="7"/>
    </row>
    <row r="25" spans="1:10" x14ac:dyDescent="0.25">
      <c r="A25" s="7"/>
      <c r="B25" s="9"/>
      <c r="C25" s="7"/>
      <c r="D25" s="10"/>
      <c r="E25" s="7"/>
      <c r="F25" s="7"/>
      <c r="G25" s="7"/>
      <c r="H25" s="7"/>
      <c r="I25" s="7"/>
      <c r="J25" s="7"/>
    </row>
    <row r="26" spans="1:10" x14ac:dyDescent="0.25">
      <c r="A26" s="7"/>
      <c r="B26" s="9"/>
      <c r="C26" s="7"/>
      <c r="D26" s="10"/>
      <c r="E26" s="7"/>
      <c r="F26" s="7"/>
      <c r="G26" s="7"/>
      <c r="H26" s="7"/>
      <c r="I26" s="7"/>
      <c r="J26" s="7"/>
    </row>
    <row r="27" spans="1:10" x14ac:dyDescent="0.25">
      <c r="A27" s="7"/>
      <c r="B27" s="9"/>
      <c r="C27" s="7"/>
      <c r="D27" s="10"/>
      <c r="E27" s="7"/>
      <c r="F27" s="7"/>
      <c r="G27" s="7"/>
      <c r="H27" s="7"/>
      <c r="I27" s="7"/>
      <c r="J27" s="7"/>
    </row>
    <row r="28" spans="1:10" x14ac:dyDescent="0.25">
      <c r="A28" s="7"/>
      <c r="B28" s="9"/>
      <c r="C28" s="7"/>
      <c r="D28" s="10"/>
      <c r="E28" s="7"/>
      <c r="F28" s="7"/>
      <c r="G28" s="7"/>
      <c r="H28" s="7"/>
      <c r="I28" s="7"/>
      <c r="J28" s="7"/>
    </row>
    <row r="29" spans="1:10" x14ac:dyDescent="0.25">
      <c r="A29" s="7"/>
      <c r="B29" s="9"/>
      <c r="C29" s="7"/>
      <c r="D29" s="10"/>
      <c r="E29" s="7"/>
      <c r="F29" s="7"/>
      <c r="G29" s="7"/>
      <c r="H29" s="7"/>
      <c r="I29" s="7"/>
      <c r="J29" s="7"/>
    </row>
    <row r="30" spans="1:10" x14ac:dyDescent="0.25">
      <c r="A30" s="7"/>
      <c r="B30" s="9"/>
      <c r="C30" s="7"/>
      <c r="D30" s="10"/>
      <c r="E30" s="7"/>
      <c r="F30" s="7"/>
      <c r="G30" s="7"/>
      <c r="H30" s="7"/>
      <c r="I30" s="7"/>
      <c r="J30" s="7"/>
    </row>
    <row r="31" spans="1:10" x14ac:dyDescent="0.25">
      <c r="A31" s="7"/>
      <c r="B31" s="9"/>
      <c r="C31" s="7"/>
      <c r="D31" s="10"/>
      <c r="E31" s="7"/>
      <c r="F31" s="7"/>
      <c r="G31" s="7"/>
      <c r="H31" s="7"/>
      <c r="I31" s="7"/>
      <c r="J31" s="7"/>
    </row>
    <row r="32" spans="1:10" x14ac:dyDescent="0.25">
      <c r="A32" s="7"/>
      <c r="B32" s="9"/>
      <c r="C32" s="7"/>
      <c r="D32" s="10"/>
      <c r="E32" s="7"/>
      <c r="F32" s="7"/>
      <c r="G32" s="7"/>
      <c r="H32" s="7"/>
      <c r="I32" s="7"/>
      <c r="J32" s="7"/>
    </row>
    <row r="33" spans="1:10" x14ac:dyDescent="0.25">
      <c r="A33" s="7"/>
      <c r="B33" s="9"/>
      <c r="C33" s="7"/>
      <c r="D33" s="10"/>
      <c r="E33" s="7"/>
      <c r="F33" s="7"/>
      <c r="G33" s="7"/>
      <c r="H33" s="7"/>
      <c r="I33" s="7"/>
      <c r="J33" s="7"/>
    </row>
    <row r="34" spans="1:10" x14ac:dyDescent="0.25">
      <c r="A34" s="7"/>
      <c r="B34" s="9"/>
      <c r="C34" s="7"/>
      <c r="D34" s="10"/>
      <c r="E34" s="7"/>
      <c r="F34" s="7"/>
      <c r="G34" s="7"/>
      <c r="H34" s="7"/>
      <c r="I34" s="7"/>
      <c r="J34" s="7"/>
    </row>
    <row r="35" spans="1:10" x14ac:dyDescent="0.25">
      <c r="A35" s="7"/>
      <c r="B35" s="9"/>
      <c r="C35" s="7"/>
      <c r="D35" s="10"/>
      <c r="E35" s="7"/>
      <c r="F35" s="7"/>
      <c r="G35" s="7"/>
      <c r="H35" s="7"/>
      <c r="I35" s="7"/>
      <c r="J35" s="7"/>
    </row>
    <row r="36" spans="1:10" x14ac:dyDescent="0.25">
      <c r="A36" s="7"/>
      <c r="B36" s="9"/>
      <c r="C36" s="7"/>
      <c r="D36" s="10"/>
      <c r="E36" s="7"/>
      <c r="F36" s="7"/>
      <c r="G36" s="7"/>
      <c r="H36" s="7"/>
      <c r="I36" s="7"/>
      <c r="J36" s="7"/>
    </row>
    <row r="37" spans="1:10" x14ac:dyDescent="0.25">
      <c r="A37" s="7"/>
      <c r="B37" s="9"/>
      <c r="C37" s="7"/>
      <c r="D37" s="10"/>
      <c r="E37" s="7"/>
      <c r="F37" s="7"/>
      <c r="G37" s="7"/>
      <c r="H37" s="7"/>
      <c r="I37" s="7"/>
      <c r="J37" s="7"/>
    </row>
    <row r="38" spans="1:10" x14ac:dyDescent="0.25">
      <c r="A38" s="7"/>
      <c r="B38" s="9"/>
      <c r="C38" s="7"/>
      <c r="D38" s="10"/>
      <c r="E38" s="7"/>
      <c r="F38" s="7"/>
      <c r="G38" s="7"/>
      <c r="H38" s="7"/>
      <c r="I38" s="7"/>
      <c r="J38" s="7"/>
    </row>
    <row r="39" spans="1:10" x14ac:dyDescent="0.25">
      <c r="A39" s="7"/>
      <c r="B39" s="9"/>
      <c r="C39" s="7"/>
      <c r="D39" s="10"/>
      <c r="E39" s="7"/>
      <c r="F39" s="7"/>
      <c r="G39" s="7"/>
      <c r="H39" s="7"/>
      <c r="I39" s="7"/>
      <c r="J39" s="7"/>
    </row>
    <row r="40" spans="1:10" x14ac:dyDescent="0.25">
      <c r="A40" s="7"/>
      <c r="B40" s="9"/>
      <c r="C40" s="7"/>
      <c r="D40" s="10"/>
      <c r="E40" s="7"/>
      <c r="F40" s="7"/>
      <c r="G40" s="7"/>
      <c r="H40" s="7"/>
      <c r="I40" s="7"/>
      <c r="J40" s="7"/>
    </row>
    <row r="41" spans="1:10" x14ac:dyDescent="0.25">
      <c r="A41" s="7"/>
      <c r="B41" s="9"/>
      <c r="C41" s="7"/>
      <c r="D41" s="10"/>
      <c r="E41" s="7"/>
      <c r="F41" s="7"/>
      <c r="G41" s="7"/>
      <c r="H41" s="7"/>
      <c r="I41" s="7"/>
      <c r="J41" s="7"/>
    </row>
    <row r="42" spans="1:10" x14ac:dyDescent="0.25">
      <c r="A42" s="7"/>
      <c r="B42" s="9"/>
      <c r="C42" s="7"/>
      <c r="D42" s="10"/>
      <c r="E42" s="7"/>
      <c r="F42" s="7"/>
      <c r="G42" s="7"/>
      <c r="H42" s="7"/>
      <c r="I42" s="7"/>
      <c r="J42" s="7"/>
    </row>
    <row r="43" spans="1:10" x14ac:dyDescent="0.25">
      <c r="A43" s="7"/>
      <c r="B43" s="9"/>
      <c r="C43" s="7"/>
      <c r="D43" s="10"/>
      <c r="E43" s="7"/>
      <c r="F43" s="7"/>
      <c r="G43" s="7"/>
      <c r="H43" s="7"/>
      <c r="I43" s="7"/>
      <c r="J43" s="7"/>
    </row>
    <row r="44" spans="1:10" x14ac:dyDescent="0.25">
      <c r="A44" s="7"/>
      <c r="B44" s="9"/>
      <c r="C44" s="7"/>
      <c r="D44" s="10"/>
      <c r="E44" s="7"/>
      <c r="F44" s="7"/>
      <c r="G44" s="7"/>
      <c r="H44" s="7"/>
      <c r="I44" s="7"/>
      <c r="J44" s="7"/>
    </row>
    <row r="45" spans="1:10" x14ac:dyDescent="0.25">
      <c r="A45" s="7"/>
      <c r="B45" s="9"/>
      <c r="C45" s="7"/>
      <c r="D45" s="10"/>
      <c r="E45" s="7"/>
      <c r="F45" s="7"/>
      <c r="G45" s="7"/>
      <c r="H45" s="7"/>
      <c r="I45" s="7"/>
      <c r="J45" s="7"/>
    </row>
    <row r="46" spans="1:10" x14ac:dyDescent="0.25">
      <c r="A46" s="7"/>
      <c r="B46" s="9"/>
      <c r="C46" s="7"/>
      <c r="D46" s="10"/>
      <c r="E46" s="7"/>
      <c r="F46" s="7"/>
      <c r="G46" s="7"/>
      <c r="H46" s="7"/>
      <c r="I46" s="7"/>
      <c r="J46" s="7"/>
    </row>
    <row r="47" spans="1:10" x14ac:dyDescent="0.25">
      <c r="A47" s="7"/>
      <c r="B47" s="9"/>
      <c r="C47" s="7"/>
      <c r="D47" s="10"/>
      <c r="E47" s="7"/>
      <c r="F47" s="7"/>
      <c r="G47" s="7"/>
      <c r="H47" s="7"/>
      <c r="I47" s="7"/>
      <c r="J47" s="7"/>
    </row>
    <row r="48" spans="1:10" x14ac:dyDescent="0.25">
      <c r="A48" s="7"/>
      <c r="B48" s="9"/>
      <c r="C48" s="7"/>
      <c r="D48" s="10"/>
      <c r="E48" s="7"/>
      <c r="F48" s="7"/>
      <c r="G48" s="7"/>
      <c r="H48" s="7"/>
      <c r="I48" s="7"/>
      <c r="J48" s="7"/>
    </row>
    <row r="49" spans="1:10" x14ac:dyDescent="0.25">
      <c r="A49" s="7"/>
      <c r="B49" s="9"/>
      <c r="C49" s="7"/>
      <c r="D49" s="10"/>
      <c r="E49" s="7"/>
      <c r="F49" s="7"/>
      <c r="G49" s="7"/>
      <c r="H49" s="7"/>
      <c r="I49" s="7"/>
      <c r="J49" s="7"/>
    </row>
    <row r="50" spans="1:10" x14ac:dyDescent="0.25">
      <c r="A50" s="7"/>
      <c r="B50" s="9"/>
      <c r="C50" s="7"/>
      <c r="D50" s="10"/>
      <c r="E50" s="7"/>
      <c r="F50" s="7"/>
      <c r="G50" s="7"/>
      <c r="H50" s="7"/>
      <c r="I50" s="7"/>
      <c r="J50" s="7"/>
    </row>
    <row r="51" spans="1:10" x14ac:dyDescent="0.25">
      <c r="A51" s="7"/>
      <c r="B51" s="9"/>
      <c r="C51" s="7"/>
      <c r="D51" s="10"/>
      <c r="E51" s="7"/>
      <c r="F51" s="7"/>
      <c r="G51" s="7"/>
      <c r="H51" s="7"/>
      <c r="I51" s="7"/>
      <c r="J51" s="7"/>
    </row>
    <row r="52" spans="1:10" x14ac:dyDescent="0.25">
      <c r="A52" s="7"/>
      <c r="B52" s="9"/>
      <c r="C52" s="7"/>
      <c r="D52" s="10"/>
      <c r="E52" s="7"/>
      <c r="F52" s="7"/>
      <c r="G52" s="7"/>
      <c r="H52" s="7"/>
      <c r="I52" s="7"/>
      <c r="J52" s="7"/>
    </row>
    <row r="53" spans="1:10" x14ac:dyDescent="0.25">
      <c r="A53" s="7"/>
      <c r="B53" s="9"/>
      <c r="C53" s="7"/>
      <c r="D53" s="10"/>
      <c r="E53" s="7"/>
      <c r="F53" s="7"/>
      <c r="G53" s="7"/>
      <c r="H53" s="7"/>
      <c r="I53" s="7"/>
      <c r="J53" s="7"/>
    </row>
    <row r="54" spans="1:10" x14ac:dyDescent="0.25">
      <c r="A54" s="7"/>
      <c r="B54" s="9"/>
      <c r="C54" s="7"/>
      <c r="D54" s="10"/>
      <c r="E54" s="7"/>
      <c r="F54" s="7"/>
      <c r="G54" s="7"/>
      <c r="H54" s="7"/>
      <c r="I54" s="7"/>
      <c r="J54" s="7"/>
    </row>
    <row r="55" spans="1:10" x14ac:dyDescent="0.25">
      <c r="A55" s="7"/>
      <c r="B55" s="9"/>
      <c r="C55" s="7"/>
      <c r="D55" s="10"/>
      <c r="E55" s="7"/>
      <c r="F55" s="7"/>
      <c r="G55" s="7"/>
      <c r="H55" s="7"/>
      <c r="I55" s="7"/>
      <c r="J55" s="7"/>
    </row>
    <row r="56" spans="1:10" x14ac:dyDescent="0.25">
      <c r="A56" s="7"/>
      <c r="B56" s="9"/>
      <c r="C56" s="7"/>
      <c r="D56" s="10"/>
      <c r="E56" s="7"/>
      <c r="F56" s="7"/>
      <c r="G56" s="7"/>
      <c r="H56" s="7"/>
      <c r="I56" s="7"/>
      <c r="J56" s="7"/>
    </row>
    <row r="57" spans="1:10" x14ac:dyDescent="0.25">
      <c r="A57" s="7"/>
      <c r="B57" s="9"/>
      <c r="C57" s="7"/>
      <c r="D57" s="10"/>
      <c r="E57" s="7"/>
      <c r="F57" s="7"/>
      <c r="G57" s="7"/>
      <c r="H57" s="7"/>
      <c r="I57" s="7"/>
      <c r="J57" s="7"/>
    </row>
    <row r="58" spans="1:10" x14ac:dyDescent="0.25">
      <c r="A58" s="7"/>
      <c r="B58" s="9"/>
      <c r="C58" s="7"/>
      <c r="D58" s="10"/>
      <c r="E58" s="7"/>
      <c r="F58" s="7"/>
      <c r="G58" s="7"/>
      <c r="H58" s="7"/>
      <c r="I58" s="7"/>
      <c r="J58" s="7"/>
    </row>
    <row r="59" spans="1:10" x14ac:dyDescent="0.25">
      <c r="A59" s="7"/>
      <c r="B59" s="9"/>
      <c r="C59" s="7"/>
      <c r="D59" s="10"/>
      <c r="E59" s="7"/>
      <c r="F59" s="7"/>
      <c r="G59" s="7"/>
      <c r="H59" s="7"/>
      <c r="I59" s="7"/>
      <c r="J59" s="7"/>
    </row>
    <row r="60" spans="1:10" x14ac:dyDescent="0.25">
      <c r="A60" s="7"/>
      <c r="B60" s="9"/>
      <c r="C60" s="7"/>
      <c r="D60" s="10"/>
      <c r="E60" s="7"/>
      <c r="F60" s="7"/>
      <c r="G60" s="7"/>
      <c r="H60" s="7"/>
      <c r="I60" s="7"/>
      <c r="J60" s="7"/>
    </row>
    <row r="61" spans="1:10" x14ac:dyDescent="0.25">
      <c r="A61" s="7"/>
      <c r="B61" s="9"/>
      <c r="C61" s="7"/>
      <c r="D61" s="10"/>
      <c r="E61" s="7"/>
      <c r="F61" s="7"/>
      <c r="G61" s="7"/>
      <c r="H61" s="7"/>
      <c r="I61" s="7"/>
      <c r="J61" s="7"/>
    </row>
    <row r="62" spans="1:10" x14ac:dyDescent="0.25">
      <c r="A62" s="7"/>
      <c r="B62" s="9"/>
      <c r="C62" s="7"/>
      <c r="D62" s="10"/>
      <c r="E62" s="7"/>
      <c r="F62" s="7"/>
      <c r="G62" s="7"/>
      <c r="H62" s="7"/>
      <c r="I62" s="7"/>
      <c r="J62" s="7"/>
    </row>
    <row r="63" spans="1:10" x14ac:dyDescent="0.25">
      <c r="A63" s="7"/>
      <c r="B63" s="9"/>
      <c r="C63" s="7"/>
      <c r="D63" s="10"/>
      <c r="E63" s="7"/>
      <c r="F63" s="7"/>
      <c r="G63" s="7"/>
      <c r="H63" s="7"/>
      <c r="I63" s="7"/>
      <c r="J63" s="7"/>
    </row>
    <row r="64" spans="1:10" x14ac:dyDescent="0.25">
      <c r="A64" s="7"/>
      <c r="B64" s="9"/>
      <c r="C64" s="7"/>
      <c r="D64" s="10"/>
      <c r="E64" s="7"/>
      <c r="F64" s="7"/>
      <c r="G64" s="7"/>
      <c r="H64" s="7"/>
      <c r="I64" s="7"/>
      <c r="J64" s="7"/>
    </row>
    <row r="65" spans="1:10" x14ac:dyDescent="0.25">
      <c r="A65" s="7"/>
      <c r="B65" s="9"/>
      <c r="C65" s="7"/>
      <c r="D65" s="10"/>
      <c r="E65" s="7"/>
      <c r="F65" s="7"/>
      <c r="G65" s="7"/>
      <c r="H65" s="7"/>
      <c r="I65" s="7"/>
      <c r="J65" s="7"/>
    </row>
    <row r="66" spans="1:10" x14ac:dyDescent="0.25">
      <c r="A66" s="7"/>
      <c r="B66" s="9"/>
      <c r="C66" s="7"/>
      <c r="D66" s="10"/>
      <c r="E66" s="7"/>
      <c r="F66" s="7"/>
      <c r="G66" s="7"/>
      <c r="H66" s="7"/>
      <c r="I66" s="7"/>
      <c r="J66" s="7"/>
    </row>
    <row r="67" spans="1:10" x14ac:dyDescent="0.25">
      <c r="A67" s="7"/>
      <c r="B67" s="9"/>
      <c r="C67" s="7"/>
      <c r="D67" s="10"/>
      <c r="E67" s="7"/>
      <c r="F67" s="7"/>
      <c r="G67" s="7"/>
      <c r="H67" s="7"/>
      <c r="I67" s="7"/>
      <c r="J67" s="7"/>
    </row>
    <row r="68" spans="1:10" x14ac:dyDescent="0.25">
      <c r="A68" s="7"/>
      <c r="B68" s="9"/>
      <c r="C68" s="7"/>
      <c r="D68" s="10"/>
      <c r="E68" s="7"/>
      <c r="F68" s="7"/>
      <c r="G68" s="7"/>
      <c r="H68" s="7"/>
      <c r="I68" s="7"/>
      <c r="J68" s="7"/>
    </row>
    <row r="69" spans="1:10" x14ac:dyDescent="0.25">
      <c r="A69" s="7"/>
      <c r="B69" s="9"/>
      <c r="C69" s="7"/>
      <c r="D69" s="10"/>
      <c r="E69" s="7"/>
      <c r="F69" s="7"/>
      <c r="G69" s="7"/>
      <c r="H69" s="7"/>
      <c r="I69" s="7"/>
      <c r="J69" s="7"/>
    </row>
    <row r="70" spans="1:10" x14ac:dyDescent="0.25">
      <c r="A70" s="7"/>
      <c r="B70" s="9"/>
      <c r="C70" s="7"/>
      <c r="D70" s="10"/>
      <c r="E70" s="7"/>
      <c r="F70" s="7"/>
      <c r="G70" s="7"/>
      <c r="H70" s="7"/>
      <c r="I70" s="7"/>
      <c r="J70" s="7"/>
    </row>
    <row r="71" spans="1:10" x14ac:dyDescent="0.25">
      <c r="A71" s="7"/>
      <c r="B71" s="9"/>
      <c r="C71" s="7"/>
      <c r="D71" s="10"/>
      <c r="E71" s="7"/>
      <c r="F71" s="7"/>
      <c r="G71" s="7"/>
      <c r="H71" s="7"/>
      <c r="I71" s="7"/>
      <c r="J71" s="7"/>
    </row>
    <row r="72" spans="1:10" x14ac:dyDescent="0.25">
      <c r="A72" s="7"/>
      <c r="B72" s="9"/>
      <c r="C72" s="7"/>
      <c r="D72" s="10"/>
      <c r="E72" s="7"/>
      <c r="F72" s="7"/>
      <c r="G72" s="7"/>
      <c r="H72" s="7"/>
      <c r="I72" s="7"/>
      <c r="J72" s="7"/>
    </row>
    <row r="73" spans="1:10" x14ac:dyDescent="0.25">
      <c r="A73" s="7"/>
      <c r="B73" s="9"/>
      <c r="C73" s="7"/>
      <c r="D73" s="10"/>
      <c r="E73" s="7"/>
      <c r="F73" s="7"/>
      <c r="G73" s="7"/>
      <c r="H73" s="7"/>
      <c r="I73" s="7"/>
      <c r="J73" s="7"/>
    </row>
    <row r="74" spans="1:10" x14ac:dyDescent="0.25">
      <c r="A74" s="7"/>
      <c r="B74" s="9"/>
      <c r="C74" s="7"/>
      <c r="D74" s="10"/>
      <c r="E74" s="7"/>
      <c r="F74" s="7"/>
      <c r="G74" s="7"/>
      <c r="H74" s="7"/>
      <c r="I74" s="7"/>
      <c r="J74" s="7"/>
    </row>
    <row r="75" spans="1:10" x14ac:dyDescent="0.25">
      <c r="A75" s="7"/>
      <c r="B75" s="9"/>
      <c r="C75" s="7"/>
      <c r="D75" s="10"/>
      <c r="E75" s="7"/>
      <c r="F75" s="7"/>
      <c r="G75" s="7"/>
      <c r="H75" s="7"/>
      <c r="I75" s="7"/>
      <c r="J75" s="7"/>
    </row>
    <row r="76" spans="1:10" x14ac:dyDescent="0.25">
      <c r="A76" s="7"/>
      <c r="B76" s="9"/>
      <c r="C76" s="7"/>
      <c r="D76" s="10"/>
      <c r="E76" s="7"/>
      <c r="F76" s="7"/>
      <c r="G76" s="7"/>
      <c r="H76" s="7"/>
      <c r="I76" s="7"/>
      <c r="J76" s="7"/>
    </row>
    <row r="77" spans="1:10" x14ac:dyDescent="0.25">
      <c r="A77" s="7"/>
      <c r="B77" s="9"/>
      <c r="C77" s="7"/>
      <c r="D77" s="10"/>
      <c r="E77" s="7"/>
      <c r="F77" s="7"/>
      <c r="G77" s="7"/>
      <c r="H77" s="7"/>
      <c r="I77" s="7"/>
      <c r="J77" s="7"/>
    </row>
    <row r="78" spans="1:10" x14ac:dyDescent="0.25">
      <c r="A78" s="7"/>
      <c r="B78" s="9"/>
      <c r="C78" s="7"/>
      <c r="D78" s="10"/>
      <c r="E78" s="7"/>
      <c r="F78" s="7"/>
      <c r="G78" s="7"/>
      <c r="H78" s="7"/>
      <c r="I78" s="7"/>
      <c r="J78" s="7"/>
    </row>
    <row r="79" spans="1:10" x14ac:dyDescent="0.25">
      <c r="E79" s="7"/>
      <c r="F79" s="7"/>
      <c r="G79" s="7"/>
      <c r="H79" s="7"/>
      <c r="I79" s="7"/>
      <c r="J79" s="7"/>
    </row>
  </sheetData>
  <mergeCells count="1">
    <mergeCell ref="A1:D1"/>
  </mergeCells>
  <phoneticPr fontId="15" type="noConversion"/>
  <conditionalFormatting sqref="A2:D2 E20:J53 A4:J19">
    <cfRule type="expression" dxfId="11" priority="1" stopIfTrue="1">
      <formula>($G2="Closed")</formula>
    </cfRule>
    <cfRule type="expression" dxfId="10" priority="2" stopIfTrue="1">
      <formula>($G2="Cancelled")</formula>
    </cfRule>
    <cfRule type="expression" dxfId="9" priority="3" stopIfTrue="1">
      <formula>AND($G2="In Progress",$E2&lt;$W$4)</formula>
    </cfRule>
  </conditionalFormatting>
  <conditionalFormatting sqref="E54:J79">
    <cfRule type="expression" dxfId="8" priority="4" stopIfTrue="1">
      <formula>($G54="Closed")</formula>
    </cfRule>
    <cfRule type="expression" dxfId="7" priority="5" stopIfTrue="1">
      <formula>($G54="Cancelled")</formula>
    </cfRule>
    <cfRule type="expression" dxfId="6" priority="6" stopIfTrue="1">
      <formula>AND($G54="In Progress",$F54&lt;$W$4)</formula>
    </cfRule>
  </conditionalFormatting>
  <conditionalFormatting sqref="A53:D78">
    <cfRule type="expression" dxfId="5" priority="7" stopIfTrue="1">
      <formula>($G54="Closed")</formula>
    </cfRule>
    <cfRule type="expression" dxfId="4" priority="8" stopIfTrue="1">
      <formula>($G54="Cancelled")</formula>
    </cfRule>
    <cfRule type="expression" dxfId="3" priority="9" stopIfTrue="1">
      <formula>AND($G54="In Progress",$F54&lt;$W$4)</formula>
    </cfRule>
  </conditionalFormatting>
  <conditionalFormatting sqref="A20:D52">
    <cfRule type="expression" dxfId="2" priority="10" stopIfTrue="1">
      <formula>($G21="Closed")</formula>
    </cfRule>
    <cfRule type="expression" dxfId="1" priority="11" stopIfTrue="1">
      <formula>($G21="Cancelled")</formula>
    </cfRule>
    <cfRule type="expression" dxfId="0" priority="12" stopIfTrue="1">
      <formula>AND($G21="In Progress",$E21&lt;$W$4)</formula>
    </cfRule>
  </conditionalFormatting>
  <pageMargins left="0.75" right="0.75" top="1" bottom="1"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YSTUAYFPSYQC-1610908312-934</_dlc_DocId>
    <_dlc_DocIdUrl xmlns="34c9bd9a-5a71-426a-ab93-6fe2caeb5e9e">
      <Url>https://alvteams.alv.autoliv.int/sites/aeuaeequalityassurance/_layouts/15/DocIdRedir.aspx?ID=YSTUAYFPSYQC-1610908312-934</Url>
      <Description>YSTUAYFPSYQC-1610908312-934</Description>
    </_dlc_DocIdUrl>
  </documentManagement>
</p:properties>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FF0AA0F-0ECE-4122-BB8E-4BAF2F79CA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B8FA0FE-A0FC-4BAE-BAA8-99021125C321}">
  <ds:schemaRefs>
    <ds:schemaRef ds:uri="http://schemas.microsoft.com/sharepoint/v3/contenttype/forms"/>
  </ds:schemaRefs>
</ds:datastoreItem>
</file>

<file path=customXml/itemProps3.xml><?xml version="1.0" encoding="utf-8"?>
<ds:datastoreItem xmlns:ds="http://schemas.openxmlformats.org/officeDocument/2006/customXml" ds:itemID="{80190085-E93F-42FB-8AEE-1B3AAC7952E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46fc4dd3-b727-4544-ab7c-0ad95d465289"/>
    <ds:schemaRef ds:uri="34c9bd9a-5a71-426a-ab93-6fe2caeb5e9e"/>
    <ds:schemaRef ds:uri="http://www.w3.org/XML/1998/namespace"/>
    <ds:schemaRef ds:uri="http://purl.org/dc/dcmitype/"/>
  </ds:schemaRefs>
</ds:datastoreItem>
</file>

<file path=customXml/itemProps4.xml><?xml version="1.0" encoding="utf-8"?>
<ds:datastoreItem xmlns:ds="http://schemas.openxmlformats.org/officeDocument/2006/customXml" ds:itemID="{035C3124-AC7C-4C3D-9C14-906430A7CD4F}">
  <ds:schemaRefs>
    <ds:schemaRef ds:uri="http://schemas.microsoft.com/office/2006/metadata/longProperties"/>
  </ds:schemaRefs>
</ds:datastoreItem>
</file>

<file path=customXml/itemProps5.xml><?xml version="1.0" encoding="utf-8"?>
<ds:datastoreItem xmlns:ds="http://schemas.openxmlformats.org/officeDocument/2006/customXml" ds:itemID="{F63F3649-583A-40ED-942B-55F51116602E}">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38</vt:i4>
      </vt:variant>
    </vt:vector>
  </HeadingPairs>
  <TitlesOfParts>
    <vt:vector size="52" baseType="lpstr">
      <vt:lpstr>FrontPage</vt:lpstr>
      <vt:lpstr>General info</vt:lpstr>
      <vt:lpstr>Documentation</vt:lpstr>
      <vt:lpstr>COTS</vt:lpstr>
      <vt:lpstr>Customer deliveries</vt:lpstr>
      <vt:lpstr>Maturity - Metrics</vt:lpstr>
      <vt:lpstr>Tools-Sources-NVM APP</vt:lpstr>
      <vt:lpstr>Tools-Sources-NVM BOOT</vt:lpstr>
      <vt:lpstr>Maturity - Design &amp; Code</vt:lpstr>
      <vt:lpstr>Maturity - Architecture</vt:lpstr>
      <vt:lpstr>Maturity - Func System Req </vt:lpstr>
      <vt:lpstr>Maturity - Func Domain Req</vt:lpstr>
      <vt:lpstr>Maturity - Tools &amp; Methods</vt:lpstr>
      <vt:lpstr>History</vt:lpstr>
      <vt:lpstr>'Tools-Sources-NVM APP'!_ftnref1</vt:lpstr>
      <vt:lpstr>'Tools-Sources-NVM BOOT'!_ftnref1</vt:lpstr>
      <vt:lpstr>'Maturity - Tools &amp; Methods'!Column_CodeAvailability</vt:lpstr>
      <vt:lpstr>Column_CodeAvailability</vt:lpstr>
      <vt:lpstr>Column_CodeReview</vt:lpstr>
      <vt:lpstr>'Maturity - Tools &amp; Methods'!Column_DDAvailability</vt:lpstr>
      <vt:lpstr>Column_DDAvailability</vt:lpstr>
      <vt:lpstr>'Maturity - Tools &amp; Methods'!Column_DDReview</vt:lpstr>
      <vt:lpstr>Column_DDReview</vt:lpstr>
      <vt:lpstr>Column_DESAvailability</vt:lpstr>
      <vt:lpstr>Column_DESReview</vt:lpstr>
      <vt:lpstr>Column_MaturityArchitecture_InfoType</vt:lpstr>
      <vt:lpstr>'Maturity - Tools &amp; Methods'!Column_MaturityDesignCode_InfoType</vt:lpstr>
      <vt:lpstr>Column_MaturityDesignCode_InfoType</vt:lpstr>
      <vt:lpstr>Column_MaturityDomainReq_InfoType</vt:lpstr>
      <vt:lpstr>Column_SADAvailability</vt:lpstr>
      <vt:lpstr>Column_SADReview</vt:lpstr>
      <vt:lpstr>FrontPage!FileName</vt:lpstr>
      <vt:lpstr>list_strategy</vt:lpstr>
      <vt:lpstr>MXActual_state_Released</vt:lpstr>
      <vt:lpstr>MXAuthority</vt:lpstr>
      <vt:lpstr>MXCurrent.Localized</vt:lpstr>
      <vt:lpstr>MXName</vt:lpstr>
      <vt:lpstr>MXRevision</vt:lpstr>
      <vt:lpstr>MXTitle</vt:lpstr>
      <vt:lpstr>MXVersion</vt:lpstr>
      <vt:lpstr>FrontPage!PLMDocAuthor</vt:lpstr>
      <vt:lpstr>COTS!Print_Area</vt:lpstr>
      <vt:lpstr>'Customer deliveries'!Print_Area</vt:lpstr>
      <vt:lpstr>'Tools-Sources-NVM APP'!Print_Area</vt:lpstr>
      <vt:lpstr>'Tools-Sources-NVM BOOT'!Print_Area</vt:lpstr>
      <vt:lpstr>Strategy_Buy</vt:lpstr>
      <vt:lpstr>Strategy_Make</vt:lpstr>
      <vt:lpstr>Strategy_Reuse</vt:lpstr>
      <vt:lpstr>FrontPage!TemplateRef</vt:lpstr>
      <vt:lpstr>Text_Plan</vt:lpstr>
      <vt:lpstr>Text_Status</vt:lpstr>
      <vt:lpstr>'Maturity - Design &amp; Code'!Whole_Table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Andreea Negrea</cp:lastModifiedBy>
  <cp:lastPrinted>2011-04-05T15:54:11Z</cp:lastPrinted>
  <dcterms:created xsi:type="dcterms:W3CDTF">1996-10-21T11:03:58Z</dcterms:created>
  <dcterms:modified xsi:type="dcterms:W3CDTF">2021-11-10T08:40:08Z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#REF!</vt:lpwstr>
  </property>
  <property fmtid="{D5CDD505-2E9C-101B-9397-08002B2CF9AE}" pid="14" name="MXCheckin Reason">
    <vt:lpwstr>Add automatic links</vt:lpwstr>
  </property>
  <property fmtid="{D5CDD505-2E9C-101B-9397-08002B2CF9AE}" pid="15" name="MXCheckin User" linkTarget="PLMDocAuthor">
    <vt:lpwstr>TBD</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#REF!</vt:lpwstr>
  </property>
  <property fmtid="{D5CDD505-2E9C-101B-9397-08002B2CF9AE}" pid="42" name="_dlc_DocId">
    <vt:lpwstr>YSTUAYFPSYQC-1610908312-236</vt:lpwstr>
  </property>
  <property fmtid="{D5CDD505-2E9C-101B-9397-08002B2CF9AE}" pid="43" name="_dlc_DocIdUrl">
    <vt:lpwstr>https://alvteams.alv.autoliv.int/sites/aeuaeequalityassurance/_layouts/15/DocIdRedir.aspx?ID=YSTUAYFPSYQC-1610908312-236, YSTUAYFPSYQC-1610908312-236</vt:lpwstr>
  </property>
  <property fmtid="{D5CDD505-2E9C-101B-9397-08002B2CF9AE}" pid="44" name="_dlc_DocIdItemGuid">
    <vt:lpwstr>a75e8b5a-5c99-4382-82a9-b2bebee555bf</vt:lpwstr>
  </property>
  <property fmtid="{D5CDD505-2E9C-101B-9397-08002B2CF9AE}" pid="45" name="ContentTypeId">
    <vt:lpwstr>0x0101008E9DFA4D457F9249BF3E1A0236AC8895</vt:lpwstr>
  </property>
  <property fmtid="{D5CDD505-2E9C-101B-9397-08002B2CF9AE}" pid="46" name="MXDocTemplate_Name">
    <vt:lpwstr>AEF0901</vt:lpwstr>
  </property>
</Properties>
</file>