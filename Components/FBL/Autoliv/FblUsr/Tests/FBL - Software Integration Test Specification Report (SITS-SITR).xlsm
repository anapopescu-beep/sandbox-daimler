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S:\Components\FBL\Autoliv\FblUsr\Tests\"/>
    </mc:Choice>
  </mc:AlternateContent>
  <xr:revisionPtr revIDLastSave="0" documentId="13_ncr:1_{4071C3F3-4AC6-4024-97E9-A75F74BD0043}" xr6:coauthVersionLast="46" xr6:coauthVersionMax="46" xr10:uidLastSave="{00000000-0000-0000-0000-000000000000}"/>
  <bookViews>
    <workbookView xWindow="-120" yWindow="-120" windowWidth="29040" windowHeight="15840" tabRatio="574" activeTab="5" xr2:uid="{00000000-000D-0000-FFFF-FFFF00000000}"/>
  </bookViews>
  <sheets>
    <sheet name="FrontPage" sheetId="4" r:id="rId1"/>
    <sheet name="General info" sheetId="11" r:id="rId2"/>
    <sheet name="Guide (help)" sheetId="18" r:id="rId3"/>
    <sheet name="Tests Synthesis" sheetId="13" r:id="rId4"/>
    <sheet name="SW_IT_xxx" sheetId="14" r:id="rId5"/>
    <sheet name="SW_IT_FBL_001" sheetId="20" r:id="rId6"/>
    <sheet name="Metrics" sheetId="16" r:id="rId7"/>
  </sheet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5" i="4" l="1"/>
  <c r="W5" i="4"/>
  <c r="F10" i="4"/>
  <c r="W7" i="4"/>
  <c r="E7" i="4"/>
  <c r="A7" i="4"/>
  <c r="AE7" i="4"/>
  <c r="AB7" i="4"/>
  <c r="A5" i="4"/>
  <c r="F5" i="16"/>
  <c r="F10" i="13"/>
  <c r="K47" i="13"/>
  <c r="F47" i="13"/>
  <c r="E47" i="13"/>
  <c r="D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K24" i="13"/>
  <c r="F24" i="13"/>
  <c r="E24" i="13"/>
  <c r="D24" i="13"/>
  <c r="K23" i="13"/>
  <c r="F23" i="13"/>
  <c r="E23" i="13"/>
  <c r="D23" i="13"/>
  <c r="K22" i="13"/>
  <c r="F22" i="13"/>
  <c r="E22" i="13"/>
  <c r="D22" i="13"/>
  <c r="K21" i="13"/>
  <c r="F21" i="13"/>
  <c r="E21" i="13"/>
  <c r="D21" i="13"/>
  <c r="K20" i="13"/>
  <c r="F20" i="13"/>
  <c r="E20" i="13"/>
  <c r="D20" i="13"/>
  <c r="K19" i="13"/>
  <c r="F19" i="13"/>
  <c r="E19" i="13"/>
  <c r="D19" i="13"/>
  <c r="K18" i="13"/>
  <c r="F18" i="13"/>
  <c r="E18" i="13"/>
  <c r="D18" i="13"/>
  <c r="K17" i="13"/>
  <c r="F17" i="13"/>
  <c r="E17" i="13"/>
  <c r="D17" i="13"/>
  <c r="K16" i="13"/>
  <c r="F16" i="13"/>
  <c r="E16" i="13"/>
  <c r="D16" i="13"/>
  <c r="K15" i="13"/>
  <c r="F15" i="13"/>
  <c r="E15" i="13"/>
  <c r="D15" i="13"/>
  <c r="K14" i="13"/>
  <c r="F14" i="13"/>
  <c r="E14" i="13"/>
  <c r="D14" i="13"/>
  <c r="K13" i="13"/>
  <c r="F13" i="13"/>
  <c r="E13" i="13"/>
  <c r="D13" i="13"/>
  <c r="K12" i="13"/>
  <c r="F12" i="13"/>
  <c r="E12" i="13"/>
  <c r="D12" i="13"/>
  <c r="K11" i="13"/>
  <c r="F11" i="13"/>
  <c r="E11" i="13"/>
  <c r="D11" i="13"/>
  <c r="K10" i="13"/>
  <c r="E10" i="13"/>
  <c r="D10" i="13"/>
  <c r="K9" i="13"/>
  <c r="F9" i="13"/>
  <c r="E9" i="13"/>
  <c r="D9" i="13"/>
  <c r="K8" i="13"/>
  <c r="F8" i="13"/>
  <c r="E8" i="13"/>
  <c r="D8" i="13"/>
  <c r="K7" i="13"/>
  <c r="F7" i="13"/>
  <c r="E7" i="13"/>
  <c r="D7" i="13"/>
  <c r="K6" i="13"/>
  <c r="F6" i="13"/>
  <c r="E6" i="13"/>
  <c r="D6" i="13"/>
  <c r="AD3" i="4"/>
  <c r="AD3" i="11" s="1"/>
  <c r="E3" i="13"/>
  <c r="D3" i="13"/>
  <c r="F3" i="13"/>
  <c r="K3" i="13"/>
  <c r="W7" i="11" l="1"/>
  <c r="AE7" i="11"/>
  <c r="A7" i="11"/>
  <c r="W5" i="11"/>
  <c r="A5" i="11"/>
  <c r="E7" i="11"/>
  <c r="A23" i="4"/>
  <c r="AB5"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00000000-0006-0000-0300-00000C000000}">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4F209DD-1C34-4A37-BE7C-A6D9AF6799D0}">
      <text>
        <r>
          <rPr>
            <b/>
            <sz val="9"/>
            <color indexed="81"/>
            <rFont val="Tahoma"/>
            <family val="2"/>
          </rPr>
          <t xml:space="preserve">See Guide (help)
</t>
        </r>
        <r>
          <rPr>
            <sz val="9"/>
            <color indexed="81"/>
            <rFont val="Tahoma"/>
            <family val="2"/>
          </rPr>
          <t xml:space="preserve">
</t>
        </r>
      </text>
    </comment>
    <comment ref="A3" authorId="0" shapeId="0" xr:uid="{516DD0B4-A3D9-4434-AC1E-FC8F019D93F1}">
      <text>
        <r>
          <rPr>
            <b/>
            <sz val="9"/>
            <color indexed="81"/>
            <rFont val="Tahoma"/>
            <family val="2"/>
          </rPr>
          <t xml:space="preserve">See Guide (help)
</t>
        </r>
        <r>
          <rPr>
            <sz val="9"/>
            <color indexed="81"/>
            <rFont val="Tahoma"/>
            <family val="2"/>
          </rPr>
          <t xml:space="preserve">
</t>
        </r>
      </text>
    </comment>
    <comment ref="A5" authorId="0" shapeId="0" xr:uid="{07C1478F-BA70-4443-878D-63A311B27924}">
      <text>
        <r>
          <rPr>
            <sz val="9"/>
            <color indexed="81"/>
            <rFont val="Tahoma"/>
            <family val="2"/>
          </rPr>
          <t>Definition is in the "General info" tab.
Use the dropdown list.</t>
        </r>
      </text>
    </comment>
    <comment ref="A9" authorId="0" shapeId="0" xr:uid="{905D02A2-7ECF-404F-A9C2-839FF48AAF0D}">
      <text>
        <r>
          <rPr>
            <b/>
            <sz val="9"/>
            <color indexed="81"/>
            <rFont val="Tahoma"/>
            <family val="2"/>
          </rPr>
          <t>See Guide (help)</t>
        </r>
        <r>
          <rPr>
            <sz val="9"/>
            <color indexed="81"/>
            <rFont val="Tahoma"/>
            <family val="2"/>
          </rPr>
          <t xml:space="preserve">
</t>
        </r>
      </text>
    </comment>
    <comment ref="A11" authorId="0" shapeId="0" xr:uid="{F21339B6-B351-4BE9-AE51-E89AB81E0091}">
      <text>
        <r>
          <rPr>
            <b/>
            <sz val="9"/>
            <color indexed="81"/>
            <rFont val="Tahoma"/>
            <family val="2"/>
          </rPr>
          <t xml:space="preserve">Describe the test environment and setup.
</t>
        </r>
        <r>
          <rPr>
            <sz val="9"/>
            <color indexed="81"/>
            <rFont val="Tahoma"/>
            <family val="2"/>
          </rPr>
          <t xml:space="preserve">
</t>
        </r>
      </text>
    </comment>
    <comment ref="A16" authorId="0" shapeId="0" xr:uid="{DB2A284B-70BB-46B3-8834-32F33BCB63E2}">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<sst xmlns="http://schemas.openxmlformats.org/spreadsheetml/2006/main" count="225" uniqueCount="166">
  <si>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</si>
  <si>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</si>
  <si>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</si>
  <si>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</si>
  <si>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</si>
  <si>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</si>
  <si>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</si>
  <si>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</si>
  <si>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</si>
  <si>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</si>
  <si>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</si>
  <si>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</si>
  <si>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</si>
  <si>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</si>
  <si>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</si>
  <si>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</si>
  <si>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</si>
  <si>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</si>
  <si>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</si>
  <si>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</si>
  <si>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</si>
  <si>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</si>
  <si>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</si>
  <si>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</si>
  <si>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</si>
  <si>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Title1: Name1
Title4: Name4</t>
  </si>
  <si>
    <t>Title2: Name2
Title5: Name5</t>
  </si>
  <si>
    <t>Title3: Name3
Title6: Name6</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</si>
  <si>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</si>
  <si>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</si>
  <si>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</si>
  <si>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</si>
  <si>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</si>
  <si>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</si>
  <si>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</si>
  <si>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</si>
  <si>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</si>
  <si>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</si>
  <si>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</si>
  <si>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</si>
  <si>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Title1: Name1
Title2: Name2</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</si>
  <si>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</si>
  <si>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</si>
  <si>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</si>
  <si>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</si>
  <si>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</si>
  <si>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</si>
  <si>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</si>
  <si>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</si>
  <si>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</si>
  <si>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</si>
  <si>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</si>
  <si>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</si>
  <si>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</si>
  <si>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</si>
  <si>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</si>
  <si>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</si>
  <si>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</si>
  <si>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</si>
  <si>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</si>
  <si>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</si>
  <si>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</si>
  <si>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</si>
  <si>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</si>
  <si>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</si>
  <si>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</si>
  <si>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</si>
  <si>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</si>
  <si>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</si>
  <si>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</si>
  <si>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</si>
  <si>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</si>
  <si>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</si>
  <si>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</si>
  <si>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</si>
  <si>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</si>
  <si>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Comment</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</si>
  <si>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</si>
  <si>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</si>
  <si>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</si>
  <si>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</si>
  <si>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</si>
  <si>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</si>
  <si>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</si>
  <si>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</si>
  <si>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</si>
  <si>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</si>
  <si>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</si>
  <si>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</si>
  <si>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</si>
  <si>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</si>
  <si>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</si>
  <si>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</si>
  <si>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</si>
  <si>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</si>
  <si>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</si>
  <si>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</si>
  <si>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</si>
  <si>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</si>
  <si>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</si>
  <si>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</si>
  <si>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</si>
  <si>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</si>
  <si>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</si>
  <si>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</si>
  <si>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</si>
  <si>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</si>
  <si>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</si>
  <si>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</si>
  <si>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</si>
  <si>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</si>
  <si>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</si>
  <si>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</si>
  <si>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</si>
  <si>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</si>
  <si>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</si>
  <si>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</si>
  <si>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</si>
  <si>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</si>
  <si>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</si>
  <si>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</si>
  <si>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</si>
  <si>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</si>
  <si>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</si>
  <si>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</si>
  <si>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</si>
  <si>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</si>
  <si>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</si>
  <si>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</si>
  <si>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Test for No Regression</t>
  </si>
  <si>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</si>
  <si>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Applied from SW xxx release</t>
  </si>
  <si>
    <t>This sheet helps to fill the differents fields and sheets of the template.</t>
  </si>
  <si>
    <t>1.0</t>
  </si>
  <si>
    <t>17.01.2022</t>
  </si>
  <si>
    <t>Emanuel Jivan</t>
  </si>
  <si>
    <t>Initial revision, test for Fbl side allocation</t>
  </si>
  <si>
    <t>SW_IT_FBL_001</t>
  </si>
  <si>
    <t>Side allocation test</t>
  </si>
  <si>
    <t>Nominal</t>
  </si>
  <si>
    <t>Ok</t>
  </si>
  <si>
    <t>CANoe, WinIDEA</t>
  </si>
  <si>
    <t>Functionality of side allocation based on NVM ECU ID block</t>
  </si>
  <si>
    <t>Running software (hsm+bm+fbl+app), no DET, traps, etc</t>
  </si>
  <si>
    <t>Read DID F100</t>
  </si>
  <si>
    <t>62 f100 00 02 01 01</t>
  </si>
  <si>
    <t>62 f1 00 00 02 01 01</t>
  </si>
  <si>
    <t>62 f1 00 01 02 02 02</t>
  </si>
  <si>
    <t>50 02</t>
  </si>
  <si>
    <t>62 f1 00 01 02 02 02 (ECU in Fbl)</t>
  </si>
  <si>
    <t>50 01</t>
  </si>
  <si>
    <t xml:space="preserve">50 01 </t>
  </si>
  <si>
    <t>Transition to Fbl (10 02, with authentification)</t>
  </si>
  <si>
    <t>Transition back to App (10 01)</t>
  </si>
  <si>
    <t>Shutdown application (stop canoe), in order to write block into NVM</t>
  </si>
  <si>
    <t>Modify ID_ECU_LOCATION to 0x99 (any way possible; hijack application, nvblock write, ram mirror write, diagnostics)</t>
  </si>
  <si>
    <t>Value written into NV block</t>
  </si>
  <si>
    <t>Diagnostic Timeout</t>
  </si>
  <si>
    <t>Diagnostic Timeout due to different diag id</t>
  </si>
  <si>
    <t>NV block read 0x99 at app startup</t>
  </si>
  <si>
    <t>Step 10</t>
  </si>
  <si>
    <t>Step 11</t>
  </si>
  <si>
    <t>Alternatively, put BP at fbl startup (address 0xA0044000)</t>
  </si>
  <si>
    <t>Ecu stops at address</t>
  </si>
  <si>
    <t>Stop FL CANoe config, start CANoe FR config, run WinIDEA</t>
  </si>
  <si>
    <t>Software running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</si>
</sst>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3"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b/>
      <i/>
      <u/>
      <sz val="10"/>
      <color theme="10"/>
      <name val="Arial"/>
      <family val="2"/>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ont>
  </fonts>
  <fills count="10">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rgb="FF000080"/>
      </bottom>
      <diagonal/>
    </border>
  </borders>
  <cellStyleXfs count="3">
    <xf numFmtId="0" fontId="0" fillId="0" borderId="0"/>
    <xf numFmtId="0" fontId="23" fillId="0" borderId="0" applyNumberFormat="0" applyFill="0" applyBorder="0" applyAlignment="0" applyProtection="0"/>
    <xf numFmtId="0" fontId="1" fillId="0" borderId="0"/>
  </cellStyleXfs>
  <cellXfs count="216">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4" xfId="0" applyFont="1" applyBorder="1" applyAlignment="1" applyProtection="1">
      <alignment vertical="center"/>
      <protection locked="0"/>
    </xf>
    <xf numFmtId="0" fontId="0" fillId="0" borderId="44"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0" fontId="35" fillId="6" borderId="11" xfId="1" applyFont="1" applyFill="1" applyBorder="1" applyAlignment="1">
      <alignment vertical="top"/>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6" fillId="0" borderId="17" xfId="0" applyFont="1" applyBorder="1" applyAlignment="1">
      <alignment horizontal="center" vertical="center"/>
    </xf>
    <xf numFmtId="0" fontId="36" fillId="0" borderId="10" xfId="0" applyFont="1" applyBorder="1" applyAlignment="1">
      <alignment horizontal="center" vertical="center"/>
    </xf>
    <xf numFmtId="0" fontId="37" fillId="0" borderId="11" xfId="0" applyFont="1" applyFill="1" applyBorder="1" applyAlignment="1">
      <alignment vertical="top"/>
    </xf>
    <xf numFmtId="0" fontId="31" fillId="0" borderId="11" xfId="0" applyFont="1" applyFill="1" applyBorder="1" applyAlignment="1">
      <alignment vertical="top"/>
    </xf>
    <xf numFmtId="0" fontId="0" fillId="5" borderId="0" xfId="0" applyFill="1"/>
    <xf numFmtId="0" fontId="36" fillId="5" borderId="0" xfId="0" applyFont="1" applyFill="1" applyBorder="1" applyAlignment="1">
      <alignment horizontal="center" vertical="center"/>
    </xf>
    <xf numFmtId="0" fontId="36" fillId="5" borderId="18" xfId="0" applyFont="1" applyFill="1" applyBorder="1" applyAlignment="1">
      <alignment horizontal="center" vertical="center"/>
    </xf>
    <xf numFmtId="0" fontId="36" fillId="5" borderId="19" xfId="0" applyFont="1" applyFill="1" applyBorder="1" applyAlignment="1">
      <alignment horizontal="center" vertical="center"/>
    </xf>
    <xf numFmtId="0" fontId="0" fillId="5" borderId="0" xfId="0" applyFill="1" applyAlignment="1">
      <alignment wrapText="1"/>
    </xf>
    <xf numFmtId="0" fontId="38" fillId="7" borderId="4" xfId="0" applyFont="1" applyFill="1" applyBorder="1" applyAlignment="1">
      <alignment wrapText="1"/>
    </xf>
    <xf numFmtId="0" fontId="38" fillId="7" borderId="20" xfId="0" applyFont="1" applyFill="1" applyBorder="1" applyAlignment="1">
      <alignment vertical="center" wrapText="1"/>
    </xf>
    <xf numFmtId="0" fontId="38" fillId="7" borderId="21" xfId="0" applyFont="1" applyFill="1" applyBorder="1" applyAlignment="1">
      <alignment horizontal="center" wrapText="1"/>
    </xf>
    <xf numFmtId="0" fontId="1" fillId="8" borderId="9" xfId="2" applyFont="1" applyFill="1" applyBorder="1" applyAlignment="1">
      <alignment wrapText="1"/>
    </xf>
    <xf numFmtId="0" fontId="1" fillId="8" borderId="13" xfId="2" applyFont="1" applyFill="1" applyBorder="1" applyAlignment="1">
      <alignment wrapText="1"/>
    </xf>
    <xf numFmtId="0" fontId="36" fillId="5" borderId="7" xfId="0" applyFont="1" applyFill="1" applyBorder="1" applyAlignment="1">
      <alignment horizontal="left" vertical="center"/>
    </xf>
    <xf numFmtId="0" fontId="39" fillId="0" borderId="15" xfId="0" applyFont="1" applyBorder="1" applyAlignment="1" applyProtection="1">
      <alignment horizontal="left" vertical="center" shrinkToFit="1"/>
    </xf>
    <xf numFmtId="0" fontId="39" fillId="0" borderId="1" xfId="0" applyFont="1" applyBorder="1" applyAlignment="1" applyProtection="1">
      <alignment horizontal="left" vertical="center" shrinkToFit="1"/>
    </xf>
    <xf numFmtId="0" fontId="39" fillId="0" borderId="22" xfId="0" applyFont="1" applyBorder="1" applyAlignment="1" applyProtection="1">
      <alignment horizontal="left" vertical="center" shrinkToFit="1"/>
    </xf>
    <xf numFmtId="0" fontId="40" fillId="9" borderId="23" xfId="0" applyFont="1" applyFill="1" applyBorder="1" applyAlignment="1" applyProtection="1">
      <alignment horizontal="center" vertical="center" shrinkToFit="1"/>
      <protection locked="0"/>
    </xf>
    <xf numFmtId="0" fontId="40" fillId="9" borderId="24" xfId="0" applyFont="1" applyFill="1" applyBorder="1" applyAlignment="1" applyProtection="1">
      <alignment horizontal="center" vertical="center" shrinkToFit="1"/>
      <protection locked="0"/>
    </xf>
    <xf numFmtId="0" fontId="40" fillId="9" borderId="25" xfId="0" applyFont="1" applyFill="1" applyBorder="1" applyAlignment="1" applyProtection="1">
      <alignment horizontal="center" vertical="center" shrinkToFit="1"/>
      <protection locked="0"/>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6" fillId="0" borderId="25" xfId="0" applyFont="1" applyBorder="1" applyAlignment="1" applyProtection="1">
      <alignment horizontal="left" vertical="center" shrinkToFit="1"/>
    </xf>
    <xf numFmtId="0" fontId="4"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40" fillId="9" borderId="2" xfId="0" applyFont="1" applyFill="1" applyBorder="1" applyAlignment="1" applyProtection="1">
      <alignment horizontal="center" vertical="center" shrinkToFit="1"/>
      <protection locked="0"/>
    </xf>
    <xf numFmtId="0" fontId="40" fillId="9" borderId="0" xfId="0" applyFont="1" applyFill="1" applyBorder="1" applyAlignment="1" applyProtection="1">
      <alignment horizontal="center" vertical="center" shrinkToFit="1"/>
      <protection locked="0"/>
    </xf>
    <xf numFmtId="0" fontId="40" fillId="9" borderId="3" xfId="0" applyFont="1" applyFill="1" applyBorder="1" applyAlignment="1" applyProtection="1">
      <alignment horizontal="center" vertical="center" shrinkToFit="1"/>
      <protection locked="0"/>
    </xf>
    <xf numFmtId="0" fontId="4" fillId="0" borderId="1"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2" xfId="0" applyFont="1" applyFill="1" applyBorder="1" applyAlignment="1" applyProtection="1">
      <alignment horizontal="left" vertical="top" shrinkToFit="1"/>
      <protection locked="0"/>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6" fillId="0" borderId="25" xfId="0" applyFont="1" applyBorder="1" applyAlignment="1" applyProtection="1">
      <alignment horizontal="left" vertical="center" wrapTex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0" fontId="6" fillId="0" borderId="25" xfId="0" applyFont="1" applyFill="1" applyBorder="1" applyAlignment="1" applyProtection="1">
      <alignment horizontal="left" vertical="center" shrinkToFit="1"/>
    </xf>
    <xf numFmtId="0" fontId="4" fillId="0" borderId="15" xfId="0" applyFont="1" applyFill="1" applyBorder="1" applyAlignment="1" applyProtection="1">
      <alignment horizontal="left" vertical="top" wrapText="1"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4" fillId="0" borderId="26" xfId="0" applyFont="1" applyFill="1" applyBorder="1" applyAlignment="1" applyProtection="1">
      <alignment horizontal="left" vertical="top" wrapText="1" shrinkToFit="1"/>
      <protection locked="0"/>
    </xf>
    <xf numFmtId="0" fontId="2" fillId="0" borderId="27"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0" fontId="1"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4" fillId="0" borderId="25" xfId="0" applyFont="1" applyFill="1" applyBorder="1" applyAlignment="1" applyProtection="1">
      <alignment horizontal="left" vertical="top"/>
      <protection locked="0"/>
    </xf>
    <xf numFmtId="0" fontId="40" fillId="9" borderId="24"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2" xfId="0" applyFont="1" applyFill="1" applyBorder="1" applyAlignment="1" applyProtection="1">
      <alignment horizontal="left" vertical="top"/>
      <protection locked="0"/>
    </xf>
    <xf numFmtId="0" fontId="41" fillId="0" borderId="1" xfId="0" applyFont="1" applyFill="1" applyBorder="1" applyAlignment="1" applyProtection="1">
      <alignment horizontal="left" vertical="top" wrapText="1" shrinkToFit="1"/>
      <protection locked="0"/>
    </xf>
    <xf numFmtId="0" fontId="41" fillId="0" borderId="22" xfId="0" applyFont="1" applyFill="1" applyBorder="1" applyAlignment="1" applyProtection="1">
      <alignment horizontal="left" vertical="top" wrapText="1" shrinkToFit="1"/>
      <protection locked="0"/>
    </xf>
    <xf numFmtId="0" fontId="39" fillId="3" borderId="15" xfId="0" applyFont="1" applyFill="1" applyBorder="1" applyAlignment="1" applyProtection="1">
      <alignment horizontal="left" vertical="center" shrinkToFit="1"/>
    </xf>
    <xf numFmtId="0" fontId="39" fillId="3" borderId="1" xfId="0" applyFont="1" applyFill="1" applyBorder="1" applyAlignment="1" applyProtection="1">
      <alignment horizontal="left" vertical="center" shrinkToFit="1"/>
    </xf>
    <xf numFmtId="0" fontId="39"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6" fillId="3" borderId="25"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0" fontId="6" fillId="3" borderId="25" xfId="0" applyFont="1" applyFill="1" applyBorder="1" applyAlignment="1" applyProtection="1">
      <alignment horizontal="left" vertical="center" shrinkToFit="1"/>
    </xf>
    <xf numFmtId="49" fontId="1" fillId="0" borderId="26" xfId="0" applyNumberFormat="1" applyFont="1" applyFill="1" applyBorder="1" applyAlignment="1" applyProtection="1">
      <alignment horizontal="left" vertical="center" wrapText="1"/>
      <protection locked="0"/>
    </xf>
    <xf numFmtId="49" fontId="4" fillId="0" borderId="27"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8" fillId="7" borderId="10" xfId="0" applyFont="1" applyFill="1" applyBorder="1" applyAlignment="1">
      <alignment horizontal="center"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16" xfId="0" applyBorder="1" applyAlignment="1">
      <alignment horizontal="left" vertical="center" wrapText="1"/>
    </xf>
    <xf numFmtId="0" fontId="1" fillId="0" borderId="26" xfId="0" applyFont="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49" fontId="4" fillId="0" borderId="10" xfId="0" applyNumberFormat="1" applyFont="1" applyFill="1" applyBorder="1" applyAlignment="1">
      <alignment horizontal="left" vertical="center" wrapText="1"/>
    </xf>
    <xf numFmtId="49" fontId="5" fillId="0" borderId="0" xfId="0" applyNumberFormat="1" applyFont="1" applyFill="1" applyAlignment="1" applyProtection="1">
      <alignment horizontal="left" vertical="top" wrapText="1"/>
      <protection locked="0"/>
    </xf>
    <xf numFmtId="49" fontId="1" fillId="0" borderId="10" xfId="0" applyNumberFormat="1" applyFont="1" applyFill="1" applyBorder="1" applyAlignment="1" applyProtection="1">
      <alignment horizontal="left" vertical="center" wrapText="1"/>
      <protection locked="0"/>
    </xf>
    <xf numFmtId="49" fontId="1" fillId="0" borderId="10" xfId="0" applyNumberFormat="1" applyFont="1"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2"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top" wrapText="1"/>
      <protection locked="0"/>
    </xf>
    <xf numFmtId="0" fontId="9" fillId="5" borderId="6" xfId="0" applyFont="1" applyFill="1" applyBorder="1" applyAlignment="1">
      <alignment horizontal="left"/>
    </xf>
    <xf numFmtId="0" fontId="1" fillId="5" borderId="28" xfId="0" applyFont="1" applyFill="1" applyBorder="1" applyAlignment="1">
      <alignment horizontal="left"/>
    </xf>
    <xf numFmtId="0" fontId="1" fillId="5" borderId="29" xfId="0" applyFont="1" applyFill="1" applyBorder="1" applyAlignment="1">
      <alignment horizontal="left"/>
    </xf>
    <xf numFmtId="0" fontId="1" fillId="5" borderId="6" xfId="0" applyFont="1" applyFill="1" applyBorder="1" applyAlignment="1">
      <alignment horizontal="left" vertical="top"/>
    </xf>
    <xf numFmtId="0" fontId="1" fillId="5" borderId="28" xfId="0" applyFont="1" applyFill="1" applyBorder="1" applyAlignment="1">
      <alignment horizontal="left" vertical="top"/>
    </xf>
    <xf numFmtId="0" fontId="1" fillId="5" borderId="29" xfId="0" applyFont="1" applyFill="1" applyBorder="1" applyAlignment="1">
      <alignment horizontal="left" vertical="top"/>
    </xf>
    <xf numFmtId="0" fontId="38" fillId="7" borderId="30" xfId="0" applyFont="1" applyFill="1" applyBorder="1" applyAlignment="1">
      <alignment horizontal="center" wrapText="1"/>
    </xf>
    <xf numFmtId="0" fontId="38" fillId="7" borderId="31" xfId="0" applyFont="1" applyFill="1" applyBorder="1" applyAlignment="1">
      <alignment horizontal="center" wrapText="1"/>
    </xf>
    <xf numFmtId="0" fontId="38" fillId="7" borderId="32" xfId="0" applyFont="1" applyFill="1" applyBorder="1" applyAlignment="1">
      <alignment horizontal="center" wrapText="1"/>
    </xf>
    <xf numFmtId="0" fontId="1" fillId="5" borderId="10" xfId="2" applyFont="1" applyFill="1" applyBorder="1" applyAlignment="1">
      <alignment horizontal="left" vertical="top" wrapText="1" shrinkToFit="1"/>
    </xf>
    <xf numFmtId="0" fontId="38" fillId="7" borderId="35" xfId="0" applyFont="1" applyFill="1" applyBorder="1" applyAlignment="1">
      <alignment horizontal="left" vertical="center" wrapText="1"/>
    </xf>
    <xf numFmtId="0" fontId="38" fillId="7" borderId="37" xfId="0" applyFont="1" applyFill="1" applyBorder="1" applyAlignment="1">
      <alignment horizontal="left" vertical="center" wrapText="1"/>
    </xf>
    <xf numFmtId="0" fontId="1" fillId="5" borderId="26" xfId="2" applyFont="1" applyFill="1" applyBorder="1" applyAlignment="1">
      <alignment horizontal="left" vertical="top" wrapText="1" shrinkToFit="1"/>
    </xf>
    <xf numFmtId="0" fontId="1" fillId="5" borderId="27"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5" borderId="26" xfId="2" applyFont="1" applyFill="1" applyBorder="1" applyAlignment="1">
      <alignment horizontal="left" vertical="top" wrapText="1"/>
    </xf>
    <xf numFmtId="0" fontId="1" fillId="5" borderId="27" xfId="2" applyFont="1" applyFill="1" applyBorder="1" applyAlignment="1">
      <alignment horizontal="left" vertical="top" wrapText="1"/>
    </xf>
    <xf numFmtId="0" fontId="1" fillId="5" borderId="16" xfId="2" applyFont="1" applyFill="1" applyBorder="1" applyAlignment="1">
      <alignment horizontal="left" vertical="top" wrapTex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40" xfId="0"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0" fontId="1" fillId="5" borderId="41" xfId="2" applyFont="1" applyFill="1" applyBorder="1" applyAlignment="1">
      <alignment horizontal="left" vertical="top" wrapText="1" shrinkToFit="1"/>
    </xf>
    <xf numFmtId="0" fontId="1" fillId="5" borderId="42" xfId="2" applyFont="1" applyFill="1" applyBorder="1" applyAlignment="1">
      <alignment horizontal="left" vertical="top" wrapText="1" shrinkToFit="1"/>
    </xf>
    <xf numFmtId="0" fontId="1" fillId="5" borderId="43" xfId="2" applyFont="1" applyFill="1" applyBorder="1" applyAlignment="1">
      <alignment horizontal="left" vertical="top" wrapText="1" shrinkToFit="1"/>
    </xf>
    <xf numFmtId="0" fontId="23" fillId="6" borderId="11" xfId="1" applyFill="1" applyBorder="1" applyAlignment="1">
      <alignment vertical="top"/>
    </xf>
  </cellXfs>
  <cellStyles count="3">
    <cellStyle name="Hyperlink" xfId="1" builtinId="8"/>
    <cellStyle name="Normal" xfId="0" builtinId="0"/>
    <cellStyle name="Normal 2" xfId="2" xr:uid="{00000000-0005-0000-0000-000002000000}"/>
  </cellStyles>
  <dxfs count="58">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c:v>
                </c:pt>
                <c:pt idx="1">
                  <c:v>0</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F10" sqref="F10:K10"/>
    </sheetView>
  </sheetViews>
  <sheetFormatPr defaultColWidth="0" defaultRowHeight="12.75" zeroHeight="1" x14ac:dyDescent="0.2"/>
  <cols>
    <col min="1" max="33" width="2.85546875" style="16" customWidth="1"/>
    <col min="34" max="34" width="1.28515625" style="16" customWidth="1"/>
    <col min="35" max="60" width="3.285156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FBL - Software Integration Test Specification Report (SITS-SITR).xlsm</v>
      </c>
      <c r="AE3" s="8"/>
      <c r="AF3" s="8"/>
      <c r="AG3" s="8"/>
      <c r="AH3" s="8"/>
      <c r="AI3" s="8"/>
      <c r="AJ3" s="8"/>
      <c r="AK3" s="8"/>
    </row>
    <row r="4" spans="1:37" s="7" customFormat="1" ht="11.1" customHeight="1" x14ac:dyDescent="0.2">
      <c r="A4" s="118" t="s">
        <v>0</v>
      </c>
      <c r="B4" s="119"/>
      <c r="C4" s="119"/>
      <c r="D4" s="119"/>
      <c r="E4" s="119"/>
      <c r="F4" s="119"/>
      <c r="G4" s="119"/>
      <c r="H4" s="119"/>
      <c r="I4" s="119"/>
      <c r="J4" s="119"/>
      <c r="K4" s="119"/>
      <c r="L4" s="119"/>
      <c r="M4" s="119"/>
      <c r="N4" s="119"/>
      <c r="O4" s="119"/>
      <c r="P4" s="119"/>
      <c r="Q4" s="119"/>
      <c r="R4" s="119"/>
      <c r="S4" s="119"/>
      <c r="T4" s="119"/>
      <c r="U4" s="119"/>
      <c r="V4" s="120"/>
      <c r="W4" s="129" t="s">
        <v>1</v>
      </c>
      <c r="X4" s="130"/>
      <c r="Y4" s="130"/>
      <c r="Z4" s="130"/>
      <c r="AA4" s="131"/>
      <c r="AB4" s="132" t="s">
        <v>20</v>
      </c>
      <c r="AC4" s="133"/>
      <c r="AD4" s="133"/>
      <c r="AE4" s="133"/>
      <c r="AF4" s="133"/>
      <c r="AG4" s="134"/>
      <c r="AH4" s="10"/>
      <c r="AI4" s="10"/>
      <c r="AJ4" s="10"/>
      <c r="AK4" s="8"/>
    </row>
    <row r="5" spans="1:37" s="12" customFormat="1" ht="12.75" customHeight="1" x14ac:dyDescent="0.2">
      <c r="A5" s="112" t="str">
        <f ca="1" xml:space="preserve"> IFERROR(IF(alvDocProperty("MXAuthority")="","Process and method",alvDocProperty("MXAuthority")),"Process and method")</f>
        <v>Process and method</v>
      </c>
      <c r="B5" s="113"/>
      <c r="C5" s="113"/>
      <c r="D5" s="113"/>
      <c r="E5" s="113"/>
      <c r="F5" s="113"/>
      <c r="G5" s="113"/>
      <c r="H5" s="113"/>
      <c r="I5" s="113"/>
      <c r="J5" s="113"/>
      <c r="K5" s="113"/>
      <c r="L5" s="113"/>
      <c r="M5" s="113"/>
      <c r="N5" s="113"/>
      <c r="O5" s="113"/>
      <c r="P5" s="113"/>
      <c r="Q5" s="113"/>
      <c r="R5" s="113"/>
      <c r="S5" s="113"/>
      <c r="T5" s="113"/>
      <c r="U5" s="113"/>
      <c r="V5" s="114"/>
      <c r="W5" s="112" t="str">
        <f ca="1" xml:space="preserve"> IFERROR(IF(alvDocProperty("MXCurrent.Localized")="","Template released",alvDocProperty("MXCurrent.Localized")),"Template released")</f>
        <v>Template released</v>
      </c>
      <c r="X5" s="113"/>
      <c r="Y5" s="113"/>
      <c r="Z5" s="113"/>
      <c r="AA5" s="114"/>
      <c r="AB5" s="112" t="str">
        <f ca="1" xml:space="preserve"> IFERROR(IF(alvDocProperty("MXActual_state_Released")="","2021-10",alvDocProperty("MXActual_state_Released")),"2021-10")</f>
        <v>2021-10</v>
      </c>
      <c r="AC5" s="113"/>
      <c r="AD5" s="113"/>
      <c r="AE5" s="113"/>
      <c r="AF5" s="113"/>
      <c r="AG5" s="114"/>
      <c r="AH5" s="11"/>
      <c r="AI5" s="11"/>
      <c r="AJ5" s="11"/>
      <c r="AK5" s="11"/>
    </row>
    <row r="6" spans="1:37" s="45" customFormat="1" ht="11.1" customHeight="1" x14ac:dyDescent="0.2">
      <c r="A6" s="129" t="s">
        <v>2</v>
      </c>
      <c r="B6" s="130"/>
      <c r="C6" s="130"/>
      <c r="D6" s="131"/>
      <c r="E6" s="129" t="s">
        <v>3</v>
      </c>
      <c r="F6" s="130"/>
      <c r="G6" s="130"/>
      <c r="H6" s="130"/>
      <c r="I6" s="130"/>
      <c r="J6" s="130"/>
      <c r="K6" s="130"/>
      <c r="L6" s="130"/>
      <c r="M6" s="130"/>
      <c r="N6" s="130"/>
      <c r="O6" s="130"/>
      <c r="P6" s="130"/>
      <c r="Q6" s="130"/>
      <c r="R6" s="130"/>
      <c r="S6" s="130"/>
      <c r="T6" s="130"/>
      <c r="U6" s="130"/>
      <c r="V6" s="131"/>
      <c r="W6" s="118" t="s">
        <v>15</v>
      </c>
      <c r="X6" s="119"/>
      <c r="Y6" s="119"/>
      <c r="Z6" s="119"/>
      <c r="AA6" s="120"/>
      <c r="AB6" s="129"/>
      <c r="AC6" s="130"/>
      <c r="AD6" s="131"/>
      <c r="AE6" s="129" t="s">
        <v>4</v>
      </c>
      <c r="AF6" s="130"/>
      <c r="AG6" s="131"/>
      <c r="AH6" s="44"/>
      <c r="AI6" s="44"/>
      <c r="AJ6" s="44"/>
      <c r="AK6" s="44"/>
    </row>
    <row r="7" spans="1:37" s="14" customFormat="1" ht="12.75" customHeight="1" x14ac:dyDescent="0.2">
      <c r="A7" s="112" t="str">
        <f ca="1" xml:space="preserve"> IFERROR(IF(alvDocProperty("MXName")="","TBD",alvDocProperty("MXName")),"TBD")</f>
        <v>TBD</v>
      </c>
      <c r="B7" s="113"/>
      <c r="C7" s="113"/>
      <c r="D7" s="114"/>
      <c r="E7" s="112" t="str">
        <f ca="1" xml:space="preserve"> IFERROR(IF(alvDocProperty("MXTitle")="","Software Integration Test Specification Report (SITS-SITR)",alvDocProperty("MXTitle")),"Software Integration Test Specification Report (SITS-SITR)")</f>
        <v>Software Integration Test Specification Report (SITS-SITR)</v>
      </c>
      <c r="F7" s="113"/>
      <c r="G7" s="113"/>
      <c r="H7" s="113"/>
      <c r="I7" s="113"/>
      <c r="J7" s="113"/>
      <c r="K7" s="113"/>
      <c r="L7" s="113"/>
      <c r="M7" s="113"/>
      <c r="N7" s="113"/>
      <c r="O7" s="113"/>
      <c r="P7" s="113"/>
      <c r="Q7" s="113"/>
      <c r="R7" s="113"/>
      <c r="S7" s="113"/>
      <c r="T7" s="113"/>
      <c r="U7" s="113"/>
      <c r="V7" s="114"/>
      <c r="W7" s="112" t="str">
        <f ca="1" xml:space="preserve"> IFERROR(IF(alvDocProperty("MXDocTemplate_Name")="","SW04TEM001",alvDocProperty("MXDocTemplate_Name")),"SW04TEM001")</f>
        <v>SW04TEM001</v>
      </c>
      <c r="X7" s="113"/>
      <c r="Y7" s="113"/>
      <c r="Z7" s="113"/>
      <c r="AA7" s="114"/>
      <c r="AB7" s="112" t="str">
        <f ca="1" xml:space="preserve"> IFERROR(IF(alvDocProperty("MXRevision")="","TBD",alvDocProperty("MXRevision")),"TBD")</f>
        <v>TBD</v>
      </c>
      <c r="AC7" s="113"/>
      <c r="AD7" s="114"/>
      <c r="AE7" s="112" t="str">
        <f ca="1" xml:space="preserve"> IFERROR(IF(alvDocProperty("MXVersion")="","TBD",alvDocProperty("MXVersion")),"TBD")</f>
        <v>TBD</v>
      </c>
      <c r="AF7" s="113"/>
      <c r="AG7" s="114"/>
      <c r="AH7" s="13"/>
      <c r="AI7" s="13"/>
      <c r="AJ7" s="13"/>
      <c r="AK7" s="13"/>
    </row>
    <row r="8" spans="1:37" s="12" customFormat="1" x14ac:dyDescent="0.2">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
      <c r="A9" s="123" t="s">
        <v>21</v>
      </c>
      <c r="B9" s="124"/>
      <c r="C9" s="124"/>
      <c r="D9" s="124"/>
      <c r="E9" s="124"/>
      <c r="F9" s="124"/>
      <c r="G9" s="124"/>
      <c r="H9" s="124"/>
      <c r="I9" s="124"/>
      <c r="J9" s="124"/>
      <c r="K9" s="125"/>
      <c r="L9" s="123" t="s">
        <v>22</v>
      </c>
      <c r="M9" s="124"/>
      <c r="N9" s="124"/>
      <c r="O9" s="124"/>
      <c r="P9" s="124"/>
      <c r="Q9" s="124"/>
      <c r="R9" s="124"/>
      <c r="S9" s="124"/>
      <c r="T9" s="124"/>
      <c r="U9" s="124"/>
      <c r="V9" s="125"/>
      <c r="W9" s="123" t="s">
        <v>23</v>
      </c>
      <c r="X9" s="124"/>
      <c r="Y9" s="124"/>
      <c r="Z9" s="124"/>
      <c r="AA9" s="124"/>
      <c r="AB9" s="124"/>
      <c r="AC9" s="124"/>
      <c r="AD9" s="124"/>
      <c r="AE9" s="124"/>
      <c r="AF9" s="124"/>
      <c r="AG9" s="125"/>
      <c r="AH9" s="15"/>
      <c r="AI9" s="15"/>
    </row>
    <row r="10" spans="1:37" s="49" customFormat="1" ht="28.5" customHeight="1" x14ac:dyDescent="0.2">
      <c r="A10" s="121" t="s">
        <v>36</v>
      </c>
      <c r="B10" s="122"/>
      <c r="C10" s="122"/>
      <c r="D10" s="122"/>
      <c r="E10" s="122"/>
      <c r="F10" s="149" t="str">
        <f ca="1" xml:space="preserve"> IFERROR(IF(alvDocProperty("MXUser")="","TBD",alvDocProperty("MXUser")),"TBD")</f>
        <v>TBD</v>
      </c>
      <c r="G10" s="149"/>
      <c r="H10" s="149"/>
      <c r="I10" s="149"/>
      <c r="J10" s="149"/>
      <c r="K10" s="150"/>
      <c r="L10" s="126" t="s">
        <v>40</v>
      </c>
      <c r="M10" s="127"/>
      <c r="N10" s="127"/>
      <c r="O10" s="127"/>
      <c r="P10" s="127"/>
      <c r="Q10" s="127"/>
      <c r="R10" s="127"/>
      <c r="S10" s="127"/>
      <c r="T10" s="127"/>
      <c r="U10" s="127"/>
      <c r="V10" s="128"/>
      <c r="W10" s="135" t="s">
        <v>40</v>
      </c>
      <c r="X10" s="127"/>
      <c r="Y10" s="127"/>
      <c r="Z10" s="127"/>
      <c r="AA10" s="127"/>
      <c r="AB10" s="127"/>
      <c r="AC10" s="127"/>
      <c r="AD10" s="127"/>
      <c r="AE10" s="127"/>
      <c r="AF10" s="127"/>
      <c r="AG10" s="128"/>
      <c r="AH10" s="48"/>
      <c r="AI10" s="48"/>
    </row>
    <row r="11" spans="1:37" s="55" customFormat="1" ht="4.5" customHeight="1" x14ac:dyDescent="0.2">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
      <c r="A12" s="115" t="s">
        <v>24</v>
      </c>
      <c r="B12" s="116"/>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7"/>
      <c r="AH12" s="15"/>
      <c r="AI12" s="15"/>
      <c r="AJ12" s="15"/>
      <c r="AK12" s="15"/>
    </row>
    <row r="13" spans="1:37" s="49" customFormat="1" ht="28.5" customHeight="1" x14ac:dyDescent="0.2">
      <c r="A13" s="138" t="s">
        <v>25</v>
      </c>
      <c r="B13" s="139"/>
      <c r="C13" s="139"/>
      <c r="D13" s="139"/>
      <c r="E13" s="139"/>
      <c r="F13" s="139"/>
      <c r="G13" s="139"/>
      <c r="H13" s="139"/>
      <c r="I13" s="139"/>
      <c r="J13" s="139"/>
      <c r="K13" s="140"/>
      <c r="L13" s="135" t="s">
        <v>26</v>
      </c>
      <c r="M13" s="127"/>
      <c r="N13" s="127"/>
      <c r="O13" s="127"/>
      <c r="P13" s="127"/>
      <c r="Q13" s="127"/>
      <c r="R13" s="127"/>
      <c r="S13" s="127"/>
      <c r="T13" s="127"/>
      <c r="U13" s="127"/>
      <c r="V13" s="128"/>
      <c r="W13" s="138" t="s">
        <v>27</v>
      </c>
      <c r="X13" s="139"/>
      <c r="Y13" s="139"/>
      <c r="Z13" s="139"/>
      <c r="AA13" s="139"/>
      <c r="AB13" s="139"/>
      <c r="AC13" s="139"/>
      <c r="AD13" s="139"/>
      <c r="AE13" s="139"/>
      <c r="AF13" s="139"/>
      <c r="AG13" s="140"/>
      <c r="AH13" s="48"/>
      <c r="AI13" s="48"/>
      <c r="AJ13" s="48"/>
      <c r="AK13" s="48"/>
    </row>
    <row r="14" spans="1:37" s="55" customFormat="1" ht="4.5" customHeight="1" x14ac:dyDescent="0.2">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
      <c r="A15" s="144" t="s">
        <v>28</v>
      </c>
      <c r="B15" s="144"/>
      <c r="C15" s="144"/>
      <c r="D15" s="144"/>
      <c r="E15" s="141" t="s">
        <v>131</v>
      </c>
      <c r="F15" s="142"/>
      <c r="G15" s="142"/>
      <c r="H15" s="142"/>
      <c r="I15" s="142"/>
      <c r="J15" s="142"/>
      <c r="K15" s="142"/>
      <c r="L15" s="142"/>
      <c r="M15" s="142"/>
      <c r="N15" s="142"/>
      <c r="O15" s="142"/>
      <c r="P15" s="142"/>
      <c r="Q15" s="142"/>
      <c r="R15" s="142"/>
      <c r="S15" s="142"/>
      <c r="T15" s="142"/>
      <c r="U15" s="142"/>
      <c r="V15" s="142"/>
      <c r="W15" s="142"/>
      <c r="X15" s="142"/>
      <c r="Y15" s="142"/>
      <c r="Z15" s="142"/>
      <c r="AA15" s="142"/>
      <c r="AB15" s="142"/>
      <c r="AC15" s="142"/>
      <c r="AD15" s="142"/>
      <c r="AE15" s="142"/>
      <c r="AF15" s="142"/>
      <c r="AG15" s="143"/>
      <c r="AH15" s="17"/>
      <c r="AI15" s="17"/>
      <c r="AJ15" s="17"/>
      <c r="AK15" s="17"/>
    </row>
    <row r="16" spans="1:37" s="18" customFormat="1" ht="37.5" customHeight="1" x14ac:dyDescent="0.2">
      <c r="A16" s="145"/>
      <c r="B16" s="145"/>
      <c r="C16" s="145"/>
      <c r="D16" s="145"/>
      <c r="E16" s="146"/>
      <c r="F16" s="147"/>
      <c r="G16" s="147"/>
      <c r="H16" s="147"/>
      <c r="I16" s="147"/>
      <c r="J16" s="147"/>
      <c r="K16" s="147"/>
      <c r="L16" s="147"/>
      <c r="M16" s="147"/>
      <c r="N16" s="147"/>
      <c r="O16" s="147"/>
      <c r="P16" s="147"/>
      <c r="Q16" s="147"/>
      <c r="R16" s="147"/>
      <c r="S16" s="147"/>
      <c r="T16" s="147"/>
      <c r="U16" s="147"/>
      <c r="V16" s="147"/>
      <c r="W16" s="147"/>
      <c r="X16" s="147"/>
      <c r="Y16" s="147"/>
      <c r="Z16" s="147"/>
      <c r="AA16" s="147"/>
      <c r="AB16" s="147"/>
      <c r="AC16" s="147"/>
      <c r="AD16" s="147"/>
      <c r="AE16" s="147"/>
      <c r="AF16" s="147"/>
      <c r="AG16" s="148"/>
      <c r="AH16" s="17"/>
      <c r="AI16" s="17"/>
      <c r="AJ16" s="17"/>
      <c r="AK16" s="17"/>
    </row>
    <row r="17" spans="1:37" s="18" customFormat="1" x14ac:dyDescent="0.2">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
      <c r="A23" s="136" t="str">
        <f ca="1">MXTitle</f>
        <v>Software Integration Test Specification Report (SITS-SITR)</v>
      </c>
      <c r="B23" s="137"/>
      <c r="C23" s="137"/>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7"/>
      <c r="AI23" s="17"/>
      <c r="AJ23" s="17"/>
      <c r="AK23" s="17"/>
    </row>
    <row r="24" spans="1:37" s="18" customFormat="1" ht="25.5" x14ac:dyDescent="0.2">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
  </sheetData>
  <sheetProtection formatCells="0" formatRows="0" insertColumns="0" insertRows="0" insertHyperlinks="0" deleteRows="0" selectLockedCells="1" sort="0" autoFilter="0" pivotTables="0"/>
  <dataConsolidate/>
  <mergeCells count="31">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s>
  <phoneticPr fontId="3" type="noConversion"/>
  <conditionalFormatting sqref="W5:AA5">
    <cfRule type="cellIs" dxfId="57" priority="1" operator="equal">
      <formula>"In-Work"</formula>
    </cfRule>
    <cfRule type="cellIs" dxfId="56" priority="2" stopIfTrue="1" operator="equal">
      <formula>"draft"</formula>
    </cfRule>
    <cfRule type="cellIs" dxfId="55" priority="3" operator="equal">
      <formula>"In-Work"</formula>
    </cfRule>
    <cfRule type="cellIs" dxfId="54" priority="4" stopIfTrue="1" operator="equal">
      <formula>"draft"</formula>
    </cfRule>
    <cfRule type="cellIs" dxfId="53" priority="5" operator="equal">
      <formula>"In-Work"</formula>
    </cfRule>
    <cfRule type="cellIs" dxfId="52" priority="6" stopIfTrue="1" operator="equal">
      <formula>"draft"</formula>
    </cfRule>
    <cfRule type="cellIs" dxfId="51" priority="7" operator="equal">
      <formula>"In-Work"</formula>
    </cfRule>
    <cfRule type="cellIs" dxfId="50" priority="8" stopIfTrue="1" operator="equal">
      <formula>"draft"</formula>
    </cfRule>
    <cfRule type="cellIs" dxfId="49" priority="9" operator="equal">
      <formula>"In-Work"</formula>
    </cfRule>
    <cfRule type="cellIs" dxfId="48" priority="10" stopIfTrue="1" operator="equal">
      <formula>"draft"</formula>
    </cfRule>
    <cfRule type="cellIs" dxfId="47" priority="11" operator="equal">
      <formula>"In-Work"</formula>
    </cfRule>
    <cfRule type="cellIs" dxfId="46" priority="12" stopIfTrue="1" operator="equal">
      <formula>"draft"</formula>
    </cfRule>
    <cfRule type="cellIs" dxfId="45" priority="13" operator="equal">
      <formula>"In-Work"</formula>
    </cfRule>
    <cfRule type="cellIs" dxfId="44" priority="14" stopIfTrue="1" operator="equal">
      <formula>"draft"</formula>
    </cfRule>
    <cfRule type="cellIs" dxfId="43" priority="15" operator="equal">
      <formula>"In-Work"</formula>
    </cfRule>
    <cfRule type="cellIs" dxfId="42" priority="16" stopIfTrue="1" operator="equal">
      <formula>"draft"</formula>
    </cfRule>
    <cfRule type="cellIs" dxfId="41" priority="17" operator="equal">
      <formula>"In-Work"</formula>
    </cfRule>
    <cfRule type="cellIs" dxfId="40" priority="18" stopIfTrue="1" operator="equal">
      <formula>"draft"</formula>
    </cfRule>
    <cfRule type="cellIs" dxfId="39" priority="19" operator="equal">
      <formula>"In-Work"</formula>
    </cfRule>
    <cfRule type="cellIs" dxfId="38" priority="20" stopIfTrue="1" operator="equal">
      <formula>"draft"</formula>
    </cfRule>
    <cfRule type="cellIs" dxfId="37" priority="21" operator="equal">
      <formula>"In-Work"</formula>
    </cfRule>
    <cfRule type="cellIs" dxfId="36" priority="22" stopIfTrue="1" operator="equal">
      <formula>"draft"</formula>
    </cfRule>
    <cfRule type="cellIs" dxfId="35" priority="23" operator="equal">
      <formula>"In-Work"</formula>
    </cfRule>
    <cfRule type="cellIs" dxfId="34" priority="24" stopIfTrue="1" operator="equal">
      <formula>"draft"</formula>
    </cfRule>
    <cfRule type="cellIs" dxfId="33" priority="25" operator="equal">
      <formula>"In-Work"</formula>
    </cfRule>
    <cfRule type="cellIs" dxfId="32" priority="26" stopIfTrue="1" operator="equal">
      <formula>"draft"</formula>
    </cfRule>
    <cfRule type="cellIs" dxfId="31" priority="27" operator="equal">
      <formula>"In-Work"</formula>
    </cfRule>
    <cfRule type="cellIs" dxfId="30" priority="28" stopIfTrue="1" operator="equal">
      <formula>"draft"</formula>
    </cfRule>
    <cfRule type="cellIs" dxfId="29" priority="29" operator="equal">
      <formula>"In-Work"</formula>
    </cfRule>
    <cfRule type="cellIs" dxfId="28" priority="30" stopIfTrue="1" operator="equal">
      <formula>"draft"</formula>
    </cfRule>
    <cfRule type="cellIs" dxfId="27" priority="31" operator="equal">
      <formula>"In-Work"</formula>
    </cfRule>
    <cfRule type="cellIs" dxfId="26" priority="32" stopIfTrue="1" operator="equal">
      <formula>"draft"</formula>
    </cfRule>
    <cfRule type="cellIs" dxfId="25" priority="33" operator="equal">
      <formula>"In-Work"</formula>
    </cfRule>
    <cfRule type="cellIs" dxfId="24" priority="34" stopIfTrue="1" operator="equal">
      <formula>"draft"</formula>
    </cfRule>
    <cfRule type="cellIs" dxfId="23" priority="35" operator="equal">
      <formula>"In-Work"</formula>
    </cfRule>
    <cfRule type="cellIs" dxfId="22"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zoomScaleNormal="100" workbookViewId="0">
      <selection activeCell="V23" sqref="V23"/>
    </sheetView>
  </sheetViews>
  <sheetFormatPr defaultColWidth="0" defaultRowHeight="12.75" zeroHeight="1" x14ac:dyDescent="0.2"/>
  <cols>
    <col min="1" max="33" width="2.85546875" style="16" customWidth="1"/>
    <col min="34" max="34" width="1.28515625" style="16" customWidth="1"/>
    <col min="35" max="60" width="3.285156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FBL - Software Integration Test Specification Report (SITS-SITR).xlsm</v>
      </c>
      <c r="AE3" s="8"/>
      <c r="AF3" s="8"/>
      <c r="AG3" s="8"/>
      <c r="AH3" s="8"/>
      <c r="AI3" s="8"/>
      <c r="AJ3" s="8"/>
      <c r="AK3" s="8"/>
    </row>
    <row r="4" spans="1:37" s="7" customFormat="1" ht="11.1" customHeight="1" x14ac:dyDescent="0.2">
      <c r="A4" s="118" t="s">
        <v>0</v>
      </c>
      <c r="B4" s="119"/>
      <c r="C4" s="119"/>
      <c r="D4" s="119"/>
      <c r="E4" s="119"/>
      <c r="F4" s="119"/>
      <c r="G4" s="119"/>
      <c r="H4" s="119"/>
      <c r="I4" s="119"/>
      <c r="J4" s="119"/>
      <c r="K4" s="119"/>
      <c r="L4" s="119"/>
      <c r="M4" s="119"/>
      <c r="N4" s="119"/>
      <c r="O4" s="119"/>
      <c r="P4" s="119"/>
      <c r="Q4" s="119"/>
      <c r="R4" s="119"/>
      <c r="S4" s="119"/>
      <c r="T4" s="119"/>
      <c r="U4" s="119"/>
      <c r="V4" s="120"/>
      <c r="W4" s="154" t="s">
        <v>1</v>
      </c>
      <c r="X4" s="155"/>
      <c r="Y4" s="155"/>
      <c r="Z4" s="155"/>
      <c r="AA4" s="156"/>
      <c r="AB4" s="132" t="s">
        <v>20</v>
      </c>
      <c r="AC4" s="133"/>
      <c r="AD4" s="133"/>
      <c r="AE4" s="133"/>
      <c r="AF4" s="133"/>
      <c r="AG4" s="134"/>
      <c r="AH4" s="10"/>
      <c r="AI4" s="10"/>
      <c r="AJ4" s="10"/>
      <c r="AK4" s="8"/>
    </row>
    <row r="5" spans="1:37" s="12" customFormat="1" x14ac:dyDescent="0.2">
      <c r="A5" s="112" t="str">
        <f ca="1">MXAuthority</f>
        <v>Process and method</v>
      </c>
      <c r="B5" s="113"/>
      <c r="C5" s="113"/>
      <c r="D5" s="113"/>
      <c r="E5" s="113"/>
      <c r="F5" s="113"/>
      <c r="G5" s="113"/>
      <c r="H5" s="113"/>
      <c r="I5" s="113"/>
      <c r="J5" s="113"/>
      <c r="K5" s="113"/>
      <c r="L5" s="113"/>
      <c r="M5" s="113"/>
      <c r="N5" s="113"/>
      <c r="O5" s="113"/>
      <c r="P5" s="113"/>
      <c r="Q5" s="113"/>
      <c r="R5" s="113"/>
      <c r="S5" s="113"/>
      <c r="T5" s="113"/>
      <c r="U5" s="113"/>
      <c r="V5" s="114"/>
      <c r="W5" s="151" t="str">
        <f ca="1">MXCurrent.Localized</f>
        <v>Template released</v>
      </c>
      <c r="X5" s="152"/>
      <c r="Y5" s="152"/>
      <c r="Z5" s="152"/>
      <c r="AA5" s="153"/>
      <c r="AB5" s="112" t="str">
        <f ca="1">MXActual_state_Released</f>
        <v>2021-10</v>
      </c>
      <c r="AC5" s="113"/>
      <c r="AD5" s="113"/>
      <c r="AE5" s="113"/>
      <c r="AF5" s="113"/>
      <c r="AG5" s="114"/>
      <c r="AH5" s="11"/>
      <c r="AI5" s="11"/>
      <c r="AJ5" s="11"/>
      <c r="AK5" s="11"/>
    </row>
    <row r="6" spans="1:37" s="1" customFormat="1" ht="11.1" customHeight="1" x14ac:dyDescent="0.2">
      <c r="A6" s="157" t="s">
        <v>2</v>
      </c>
      <c r="B6" s="158"/>
      <c r="C6" s="158"/>
      <c r="D6" s="159"/>
      <c r="E6" s="157" t="s">
        <v>3</v>
      </c>
      <c r="F6" s="158"/>
      <c r="G6" s="158"/>
      <c r="H6" s="158"/>
      <c r="I6" s="158"/>
      <c r="J6" s="158"/>
      <c r="K6" s="158"/>
      <c r="L6" s="158"/>
      <c r="M6" s="158"/>
      <c r="N6" s="158"/>
      <c r="O6" s="158"/>
      <c r="P6" s="158"/>
      <c r="Q6" s="158"/>
      <c r="R6" s="158"/>
      <c r="S6" s="158"/>
      <c r="T6" s="158"/>
      <c r="U6" s="158"/>
      <c r="V6" s="159"/>
      <c r="W6" s="118" t="s">
        <v>15</v>
      </c>
      <c r="X6" s="119"/>
      <c r="Y6" s="119"/>
      <c r="Z6" s="119"/>
      <c r="AA6" s="120"/>
      <c r="AB6" s="154"/>
      <c r="AC6" s="155"/>
      <c r="AD6" s="156"/>
      <c r="AE6" s="154" t="s">
        <v>4</v>
      </c>
      <c r="AF6" s="155"/>
      <c r="AG6" s="156"/>
      <c r="AH6" s="6"/>
      <c r="AI6" s="6"/>
      <c r="AJ6" s="6"/>
      <c r="AK6" s="6"/>
    </row>
    <row r="7" spans="1:37" s="14" customFormat="1" x14ac:dyDescent="0.2">
      <c r="A7" s="151" t="str">
        <f ca="1">MXName</f>
        <v>TBD</v>
      </c>
      <c r="B7" s="152"/>
      <c r="C7" s="152"/>
      <c r="D7" s="153"/>
      <c r="E7" s="151" t="str">
        <f ca="1">MXTitle</f>
        <v>Software Integration Test Specification Report (SITS-SITR)</v>
      </c>
      <c r="F7" s="152"/>
      <c r="G7" s="152"/>
      <c r="H7" s="152"/>
      <c r="I7" s="152"/>
      <c r="J7" s="152"/>
      <c r="K7" s="152"/>
      <c r="L7" s="152"/>
      <c r="M7" s="152"/>
      <c r="N7" s="152"/>
      <c r="O7" s="152"/>
      <c r="P7" s="152"/>
      <c r="Q7" s="152"/>
      <c r="R7" s="152"/>
      <c r="S7" s="152"/>
      <c r="T7" s="152"/>
      <c r="U7" s="152"/>
      <c r="V7" s="153"/>
      <c r="W7" s="151" t="str">
        <f ca="1">TemplateRef</f>
        <v>SW04TEM001</v>
      </c>
      <c r="X7" s="152"/>
      <c r="Y7" s="152"/>
      <c r="Z7" s="152"/>
      <c r="AA7" s="153"/>
      <c r="AB7" s="151"/>
      <c r="AC7" s="152"/>
      <c r="AD7" s="153"/>
      <c r="AE7" s="151" t="str">
        <f ca="1">MXVersion</f>
        <v>TBD</v>
      </c>
      <c r="AF7" s="152"/>
      <c r="AG7" s="153"/>
      <c r="AH7" s="13"/>
      <c r="AI7" s="13"/>
      <c r="AJ7" s="13"/>
      <c r="AK7" s="13"/>
    </row>
    <row r="8" spans="1:37" ht="11.1" customHeight="1" x14ac:dyDescent="0.2">
      <c r="A8" s="157" t="s">
        <v>10</v>
      </c>
      <c r="B8" s="158"/>
      <c r="C8" s="158"/>
      <c r="D8" s="158"/>
      <c r="E8" s="158"/>
      <c r="F8" s="158"/>
      <c r="G8" s="158"/>
      <c r="H8" s="158"/>
      <c r="I8" s="158"/>
      <c r="J8" s="158"/>
      <c r="K8" s="158"/>
      <c r="L8" s="158"/>
      <c r="M8" s="158"/>
      <c r="N8" s="158"/>
      <c r="O8" s="158"/>
      <c r="P8" s="158"/>
      <c r="Q8" s="158"/>
      <c r="R8" s="158"/>
      <c r="S8" s="158"/>
      <c r="T8" s="158"/>
      <c r="U8" s="158"/>
      <c r="V8" s="158"/>
      <c r="W8" s="158"/>
      <c r="X8" s="158"/>
      <c r="Y8" s="158"/>
      <c r="Z8" s="158"/>
      <c r="AA8" s="158"/>
      <c r="AB8" s="158"/>
      <c r="AC8" s="158"/>
      <c r="AD8" s="158"/>
      <c r="AE8" s="158"/>
      <c r="AF8" s="158"/>
      <c r="AG8" s="159"/>
      <c r="AH8" s="15"/>
      <c r="AI8" s="15"/>
      <c r="AJ8" s="15"/>
      <c r="AK8" s="15"/>
    </row>
    <row r="9" spans="1:37" s="18" customFormat="1" x14ac:dyDescent="0.2">
      <c r="A9" s="179" t="s">
        <v>14</v>
      </c>
      <c r="B9" s="180"/>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1"/>
      <c r="AH9" s="17"/>
      <c r="AI9" s="17"/>
      <c r="AJ9" s="17"/>
    </row>
    <row r="10" spans="1:37" x14ac:dyDescent="0.2"/>
    <row r="11" spans="1:37" x14ac:dyDescent="0.2"/>
    <row r="12" spans="1:37" ht="26.25" x14ac:dyDescent="0.2">
      <c r="B12" s="19" t="s">
        <v>16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
    <row r="14" spans="1:37" ht="20.25" x14ac:dyDescent="0.2">
      <c r="B14" s="21" t="s">
        <v>17</v>
      </c>
      <c r="C14" s="22"/>
    </row>
    <row r="15" spans="1:37" x14ac:dyDescent="0.2">
      <c r="B15" s="168" t="s">
        <v>6</v>
      </c>
      <c r="C15" s="182"/>
      <c r="D15" s="182"/>
      <c r="E15" s="182"/>
      <c r="F15" s="182"/>
      <c r="G15" s="168" t="s">
        <v>5</v>
      </c>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c r="AF15" s="168"/>
    </row>
    <row r="16" spans="1:37" ht="24" customHeight="1" x14ac:dyDescent="0.2">
      <c r="B16" s="173" t="s">
        <v>37</v>
      </c>
      <c r="C16" s="173"/>
      <c r="D16" s="173"/>
      <c r="E16" s="173"/>
      <c r="F16" s="173"/>
      <c r="G16" s="169" t="s">
        <v>39</v>
      </c>
      <c r="H16" s="169"/>
      <c r="I16" s="169"/>
      <c r="J16" s="169"/>
      <c r="K16" s="169"/>
      <c r="L16" s="169"/>
      <c r="M16" s="169"/>
      <c r="N16" s="169"/>
      <c r="O16" s="169"/>
      <c r="P16" s="169"/>
      <c r="Q16" s="169"/>
      <c r="R16" s="169"/>
      <c r="S16" s="169"/>
      <c r="T16" s="169"/>
      <c r="U16" s="169"/>
      <c r="V16" s="169"/>
      <c r="W16" s="169"/>
      <c r="X16" s="169"/>
      <c r="Y16" s="169"/>
      <c r="Z16" s="169"/>
      <c r="AA16" s="169"/>
      <c r="AB16" s="169"/>
      <c r="AC16" s="169"/>
      <c r="AD16" s="169"/>
      <c r="AE16" s="169"/>
      <c r="AF16" s="169"/>
    </row>
    <row r="17" spans="1:45" ht="24" customHeight="1" x14ac:dyDescent="0.2">
      <c r="B17" s="173" t="s">
        <v>38</v>
      </c>
      <c r="C17" s="173"/>
      <c r="D17" s="173"/>
      <c r="E17" s="173"/>
      <c r="F17" s="173"/>
      <c r="G17" s="177" t="s">
        <v>124</v>
      </c>
      <c r="H17" s="169"/>
      <c r="I17" s="169"/>
      <c r="J17" s="169"/>
      <c r="K17" s="169"/>
      <c r="L17" s="169"/>
      <c r="M17" s="169"/>
      <c r="N17" s="169"/>
      <c r="O17" s="169"/>
      <c r="P17" s="169"/>
      <c r="Q17" s="169"/>
      <c r="R17" s="169"/>
      <c r="S17" s="169"/>
      <c r="T17" s="169"/>
      <c r="U17" s="169"/>
      <c r="V17" s="169"/>
      <c r="W17" s="169"/>
      <c r="X17" s="169"/>
      <c r="Y17" s="169"/>
      <c r="Z17" s="169"/>
      <c r="AA17" s="169"/>
      <c r="AB17" s="169"/>
      <c r="AC17" s="169"/>
      <c r="AD17" s="169"/>
      <c r="AE17" s="169"/>
      <c r="AF17" s="169"/>
    </row>
    <row r="18" spans="1:45" ht="24" customHeight="1" x14ac:dyDescent="0.2">
      <c r="B18" s="178" t="s">
        <v>119</v>
      </c>
      <c r="C18" s="173"/>
      <c r="D18" s="173"/>
      <c r="E18" s="173"/>
      <c r="F18" s="173"/>
      <c r="G18" s="177" t="s">
        <v>132</v>
      </c>
      <c r="H18" s="169"/>
      <c r="I18" s="169"/>
      <c r="J18" s="169"/>
      <c r="K18" s="169"/>
      <c r="L18" s="169"/>
      <c r="M18" s="169"/>
      <c r="N18" s="169"/>
      <c r="O18" s="169"/>
      <c r="P18" s="169"/>
      <c r="Q18" s="169"/>
      <c r="R18" s="169"/>
      <c r="S18" s="169"/>
      <c r="T18" s="169"/>
      <c r="U18" s="169"/>
      <c r="V18" s="169"/>
      <c r="W18" s="169"/>
      <c r="X18" s="169"/>
      <c r="Y18" s="169"/>
      <c r="Z18" s="169"/>
      <c r="AA18" s="169"/>
      <c r="AB18" s="169"/>
      <c r="AC18" s="169"/>
      <c r="AD18" s="169"/>
      <c r="AE18" s="169"/>
      <c r="AF18" s="169"/>
    </row>
    <row r="19" spans="1:45" ht="24" customHeight="1" x14ac:dyDescent="0.2">
      <c r="B19" s="178" t="s">
        <v>120</v>
      </c>
      <c r="C19" s="173"/>
      <c r="D19" s="173"/>
      <c r="E19" s="173"/>
      <c r="F19" s="173"/>
      <c r="G19" s="177" t="s">
        <v>126</v>
      </c>
      <c r="H19" s="169"/>
      <c r="I19" s="169"/>
      <c r="J19" s="169"/>
      <c r="K19" s="169"/>
      <c r="L19" s="169"/>
      <c r="M19" s="169"/>
      <c r="N19" s="169"/>
      <c r="O19" s="169"/>
      <c r="P19" s="169"/>
      <c r="Q19" s="169"/>
      <c r="R19" s="169"/>
      <c r="S19" s="169"/>
      <c r="T19" s="169"/>
      <c r="U19" s="169"/>
      <c r="V19" s="169"/>
      <c r="W19" s="169"/>
      <c r="X19" s="169"/>
      <c r="Y19" s="169"/>
      <c r="Z19" s="169"/>
      <c r="AA19" s="169"/>
      <c r="AB19" s="169"/>
      <c r="AC19" s="169"/>
      <c r="AD19" s="169"/>
      <c r="AE19" s="169"/>
      <c r="AF19" s="169"/>
      <c r="AS19" s="23"/>
    </row>
    <row r="20" spans="1:45" ht="24" customHeight="1" x14ac:dyDescent="0.2">
      <c r="B20" s="178" t="s">
        <v>49</v>
      </c>
      <c r="C20" s="173"/>
      <c r="D20" s="173"/>
      <c r="E20" s="173"/>
      <c r="F20" s="173"/>
      <c r="G20" s="177" t="s">
        <v>127</v>
      </c>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S20" s="23"/>
    </row>
    <row r="21" spans="1:45" ht="24" customHeight="1" x14ac:dyDescent="0.2">
      <c r="B21" s="178" t="s">
        <v>121</v>
      </c>
      <c r="C21" s="173"/>
      <c r="D21" s="173"/>
      <c r="E21" s="173"/>
      <c r="F21" s="173"/>
      <c r="G21" s="177" t="s">
        <v>125</v>
      </c>
      <c r="H21" s="169"/>
      <c r="I21" s="169"/>
      <c r="J21" s="169"/>
      <c r="K21" s="169"/>
      <c r="L21" s="169"/>
      <c r="M21" s="169"/>
      <c r="N21" s="169"/>
      <c r="O21" s="169"/>
      <c r="P21" s="169"/>
      <c r="Q21" s="169"/>
      <c r="R21" s="169"/>
      <c r="S21" s="169"/>
      <c r="T21" s="169"/>
      <c r="U21" s="169"/>
      <c r="V21" s="169"/>
      <c r="W21" s="169"/>
      <c r="X21" s="169"/>
      <c r="Y21" s="169"/>
      <c r="Z21" s="169"/>
      <c r="AA21" s="169"/>
      <c r="AB21" s="169"/>
      <c r="AC21" s="169"/>
      <c r="AD21" s="169"/>
      <c r="AE21" s="169"/>
      <c r="AF21" s="169"/>
      <c r="AS21" s="23"/>
    </row>
    <row r="22" spans="1:45" x14ac:dyDescent="0.2">
      <c r="C22" s="24"/>
      <c r="I22" s="25"/>
    </row>
    <row r="23" spans="1:45" ht="20.25" x14ac:dyDescent="0.2">
      <c r="A23" s="21"/>
      <c r="B23" s="21" t="s">
        <v>30</v>
      </c>
      <c r="C23" s="24"/>
      <c r="I23" s="25"/>
    </row>
    <row r="24" spans="1:45" x14ac:dyDescent="0.2">
      <c r="B24" s="168" t="s">
        <v>4</v>
      </c>
      <c r="C24" s="172"/>
      <c r="D24" s="172"/>
      <c r="E24" s="168" t="s">
        <v>11</v>
      </c>
      <c r="F24" s="168"/>
      <c r="G24" s="168"/>
      <c r="H24" s="168"/>
      <c r="I24" s="168" t="s">
        <v>12</v>
      </c>
      <c r="J24" s="172"/>
      <c r="K24" s="172"/>
      <c r="L24" s="172"/>
      <c r="M24" s="172"/>
      <c r="N24" s="172"/>
      <c r="O24" s="172"/>
      <c r="P24" s="172"/>
      <c r="Q24" s="172"/>
      <c r="R24" s="168" t="s">
        <v>13</v>
      </c>
      <c r="S24" s="168"/>
      <c r="T24" s="168"/>
      <c r="U24" s="168"/>
      <c r="V24" s="168"/>
      <c r="W24" s="168"/>
      <c r="X24" s="168"/>
      <c r="Y24" s="168"/>
      <c r="Z24" s="168"/>
      <c r="AA24" s="168"/>
      <c r="AB24" s="168"/>
      <c r="AC24" s="168"/>
      <c r="AD24" s="168"/>
      <c r="AE24" s="168"/>
      <c r="AF24" s="168"/>
    </row>
    <row r="25" spans="1:45" x14ac:dyDescent="0.2">
      <c r="B25" s="178" t="s">
        <v>133</v>
      </c>
      <c r="C25" s="174"/>
      <c r="D25" s="174"/>
      <c r="E25" s="177" t="s">
        <v>134</v>
      </c>
      <c r="F25" s="169"/>
      <c r="G25" s="169"/>
      <c r="H25" s="169"/>
      <c r="I25" s="177" t="s">
        <v>135</v>
      </c>
      <c r="J25" s="175"/>
      <c r="K25" s="175"/>
      <c r="L25" s="175"/>
      <c r="M25" s="175"/>
      <c r="N25" s="175"/>
      <c r="O25" s="175"/>
      <c r="P25" s="175"/>
      <c r="Q25" s="175"/>
      <c r="R25" s="177" t="s">
        <v>136</v>
      </c>
      <c r="S25" s="169"/>
      <c r="T25" s="169"/>
      <c r="U25" s="169"/>
      <c r="V25" s="169"/>
      <c r="W25" s="169"/>
      <c r="X25" s="169"/>
      <c r="Y25" s="169"/>
      <c r="Z25" s="169"/>
      <c r="AA25" s="169"/>
      <c r="AB25" s="169"/>
      <c r="AC25" s="169"/>
      <c r="AD25" s="169"/>
      <c r="AE25" s="169"/>
      <c r="AF25" s="169"/>
    </row>
    <row r="26" spans="1:45" x14ac:dyDescent="0.2">
      <c r="B26" s="173"/>
      <c r="C26" s="174"/>
      <c r="D26" s="174"/>
      <c r="E26" s="169"/>
      <c r="F26" s="169"/>
      <c r="G26" s="169"/>
      <c r="H26" s="169"/>
      <c r="I26" s="169"/>
      <c r="J26" s="175"/>
      <c r="K26" s="175"/>
      <c r="L26" s="175"/>
      <c r="M26" s="175"/>
      <c r="N26" s="175"/>
      <c r="O26" s="175"/>
      <c r="P26" s="175"/>
      <c r="Q26" s="175"/>
      <c r="R26" s="169"/>
      <c r="S26" s="169"/>
      <c r="T26" s="169"/>
      <c r="U26" s="169"/>
      <c r="V26" s="169"/>
      <c r="W26" s="169"/>
      <c r="X26" s="169"/>
      <c r="Y26" s="169"/>
      <c r="Z26" s="169"/>
      <c r="AA26" s="169"/>
      <c r="AB26" s="169"/>
      <c r="AC26" s="169"/>
      <c r="AD26" s="169"/>
      <c r="AE26" s="169"/>
      <c r="AF26" s="169"/>
    </row>
    <row r="27" spans="1:45" x14ac:dyDescent="0.2">
      <c r="B27" s="173"/>
      <c r="C27" s="174"/>
      <c r="D27" s="174"/>
      <c r="E27" s="169"/>
      <c r="F27" s="169"/>
      <c r="G27" s="169"/>
      <c r="H27" s="169"/>
      <c r="I27" s="169"/>
      <c r="J27" s="175"/>
      <c r="K27" s="175"/>
      <c r="L27" s="175"/>
      <c r="M27" s="175"/>
      <c r="N27" s="175"/>
      <c r="O27" s="175"/>
      <c r="P27" s="175"/>
      <c r="Q27" s="175"/>
      <c r="R27" s="169"/>
      <c r="S27" s="169"/>
      <c r="T27" s="169"/>
      <c r="U27" s="169"/>
      <c r="V27" s="169"/>
      <c r="W27" s="169"/>
      <c r="X27" s="169"/>
      <c r="Y27" s="169"/>
      <c r="Z27" s="169"/>
      <c r="AA27" s="169"/>
      <c r="AB27" s="169"/>
      <c r="AC27" s="169"/>
      <c r="AD27" s="169"/>
      <c r="AE27" s="169"/>
      <c r="AF27" s="169"/>
    </row>
    <row r="28" spans="1:45" x14ac:dyDescent="0.2">
      <c r="B28" s="173"/>
      <c r="C28" s="174"/>
      <c r="D28" s="174"/>
      <c r="E28" s="169"/>
      <c r="F28" s="169"/>
      <c r="G28" s="169"/>
      <c r="H28" s="169"/>
      <c r="I28" s="169"/>
      <c r="J28" s="175"/>
      <c r="K28" s="175"/>
      <c r="L28" s="175"/>
      <c r="M28" s="175"/>
      <c r="N28" s="175"/>
      <c r="O28" s="175"/>
      <c r="P28" s="175"/>
      <c r="Q28" s="175"/>
      <c r="R28" s="169"/>
      <c r="S28" s="169"/>
      <c r="T28" s="169"/>
      <c r="U28" s="169"/>
      <c r="V28" s="169"/>
      <c r="W28" s="169"/>
      <c r="X28" s="169"/>
      <c r="Y28" s="169"/>
      <c r="Z28" s="169"/>
      <c r="AA28" s="169"/>
      <c r="AB28" s="169"/>
      <c r="AC28" s="169"/>
      <c r="AD28" s="169"/>
      <c r="AE28" s="169"/>
      <c r="AF28" s="169"/>
    </row>
    <row r="29" spans="1:45" x14ac:dyDescent="0.2">
      <c r="B29" s="26" t="s">
        <v>29</v>
      </c>
      <c r="C29" s="27"/>
      <c r="D29" s="27"/>
      <c r="E29" s="28"/>
      <c r="F29" s="28"/>
      <c r="G29" s="28"/>
      <c r="H29" s="28"/>
      <c r="I29" s="28"/>
      <c r="J29" s="29"/>
      <c r="K29" s="29"/>
      <c r="L29" s="29"/>
      <c r="M29" s="29"/>
      <c r="N29" s="29"/>
      <c r="O29" s="29"/>
      <c r="P29" s="29"/>
      <c r="Q29" s="29"/>
      <c r="R29" s="28"/>
      <c r="S29" s="28"/>
      <c r="T29" s="28"/>
      <c r="U29" s="28"/>
      <c r="V29" s="28"/>
      <c r="W29" s="28"/>
      <c r="X29" s="28"/>
      <c r="Y29" s="28"/>
      <c r="Z29" s="28"/>
      <c r="AA29" s="28"/>
      <c r="AB29" s="28"/>
      <c r="AC29" s="28"/>
      <c r="AD29" s="28"/>
      <c r="AE29" s="28"/>
      <c r="AF29" s="28"/>
    </row>
    <row r="30" spans="1:45" x14ac:dyDescent="0.2">
      <c r="C30" s="24"/>
      <c r="I30" s="25"/>
    </row>
    <row r="31" spans="1:45" ht="20.25" x14ac:dyDescent="0.2">
      <c r="B31" s="21" t="s">
        <v>18</v>
      </c>
      <c r="I31" s="25"/>
    </row>
    <row r="32" spans="1:45" ht="66.75" customHeight="1" x14ac:dyDescent="0.2">
      <c r="B32" s="176" t="s">
        <v>130</v>
      </c>
      <c r="C32" s="176"/>
      <c r="D32" s="176"/>
      <c r="E32" s="176"/>
      <c r="F32" s="176"/>
      <c r="G32" s="176"/>
      <c r="H32" s="176"/>
      <c r="I32" s="176"/>
      <c r="J32" s="176"/>
      <c r="K32" s="176"/>
      <c r="L32" s="176"/>
      <c r="M32" s="176"/>
      <c r="N32" s="176"/>
      <c r="O32" s="176"/>
      <c r="P32" s="176"/>
      <c r="Q32" s="176"/>
      <c r="R32" s="176"/>
      <c r="S32" s="176"/>
      <c r="T32" s="176"/>
      <c r="U32" s="176"/>
      <c r="V32" s="176"/>
      <c r="W32" s="176"/>
      <c r="X32" s="176"/>
      <c r="Y32" s="176"/>
      <c r="Z32" s="176"/>
      <c r="AA32" s="176"/>
      <c r="AB32" s="176"/>
      <c r="AC32" s="176"/>
      <c r="AD32" s="176"/>
      <c r="AE32" s="176"/>
      <c r="AF32" s="176"/>
      <c r="AG32" s="30"/>
    </row>
    <row r="33" spans="2:32" x14ac:dyDescent="0.2">
      <c r="J33" s="31"/>
    </row>
    <row r="34" spans="2:32" ht="20.25" x14ac:dyDescent="0.2">
      <c r="B34" s="21" t="s">
        <v>19</v>
      </c>
      <c r="C34" s="22"/>
      <c r="I34" s="25"/>
    </row>
    <row r="35" spans="2:32" ht="24.75" customHeight="1" x14ac:dyDescent="0.2">
      <c r="B35" s="32" t="s">
        <v>31</v>
      </c>
      <c r="C35" s="22"/>
      <c r="I35" s="25"/>
    </row>
    <row r="36" spans="2:32" ht="12.75" customHeight="1" x14ac:dyDescent="0.2">
      <c r="B36" s="168" t="s">
        <v>7</v>
      </c>
      <c r="C36" s="168"/>
      <c r="D36" s="168"/>
      <c r="E36" s="168" t="s">
        <v>8</v>
      </c>
      <c r="F36" s="172"/>
      <c r="G36" s="172"/>
      <c r="H36" s="172"/>
      <c r="I36" s="172"/>
      <c r="J36" s="172"/>
      <c r="K36" s="172"/>
      <c r="L36" s="172"/>
      <c r="M36" s="172"/>
      <c r="N36" s="172"/>
      <c r="O36" s="172"/>
      <c r="P36" s="172"/>
      <c r="Q36" s="172"/>
      <c r="R36" s="172"/>
      <c r="S36" s="172"/>
      <c r="T36" s="172"/>
      <c r="U36" s="172"/>
      <c r="V36" s="172"/>
      <c r="W36" s="172"/>
      <c r="X36" s="172"/>
      <c r="Y36" s="168" t="s">
        <v>9</v>
      </c>
      <c r="Z36" s="168"/>
      <c r="AA36" s="168"/>
      <c r="AB36" s="168"/>
      <c r="AC36" s="168"/>
      <c r="AD36" s="168"/>
      <c r="AE36" s="168"/>
      <c r="AF36" s="168"/>
    </row>
    <row r="37" spans="2:32" x14ac:dyDescent="0.2">
      <c r="B37" s="171"/>
      <c r="C37" s="171"/>
      <c r="D37" s="171"/>
      <c r="E37" s="169"/>
      <c r="F37" s="170"/>
      <c r="G37" s="170"/>
      <c r="H37" s="170"/>
      <c r="I37" s="170"/>
      <c r="J37" s="170"/>
      <c r="K37" s="170"/>
      <c r="L37" s="170"/>
      <c r="M37" s="170"/>
      <c r="N37" s="170"/>
      <c r="O37" s="170"/>
      <c r="P37" s="170"/>
      <c r="Q37" s="170"/>
      <c r="R37" s="170"/>
      <c r="S37" s="170"/>
      <c r="T37" s="170"/>
      <c r="U37" s="170"/>
      <c r="V37" s="170"/>
      <c r="W37" s="170"/>
      <c r="X37" s="170"/>
      <c r="Y37" s="169"/>
      <c r="Z37" s="170"/>
      <c r="AA37" s="170"/>
      <c r="AB37" s="170"/>
      <c r="AC37" s="170"/>
      <c r="AD37" s="170"/>
      <c r="AE37" s="170"/>
      <c r="AF37" s="170"/>
    </row>
    <row r="38" spans="2:32" x14ac:dyDescent="0.2">
      <c r="B38" s="171"/>
      <c r="C38" s="171"/>
      <c r="D38" s="171"/>
      <c r="E38" s="169"/>
      <c r="F38" s="170"/>
      <c r="G38" s="170"/>
      <c r="H38" s="170"/>
      <c r="I38" s="170"/>
      <c r="J38" s="170"/>
      <c r="K38" s="170"/>
      <c r="L38" s="170"/>
      <c r="M38" s="170"/>
      <c r="N38" s="170"/>
      <c r="O38" s="170"/>
      <c r="P38" s="170"/>
      <c r="Q38" s="170"/>
      <c r="R38" s="170"/>
      <c r="S38" s="170"/>
      <c r="T38" s="170"/>
      <c r="U38" s="170"/>
      <c r="V38" s="170"/>
      <c r="W38" s="170"/>
      <c r="X38" s="170"/>
      <c r="Y38" s="169"/>
      <c r="Z38" s="170"/>
      <c r="AA38" s="170"/>
      <c r="AB38" s="170"/>
      <c r="AC38" s="170"/>
      <c r="AD38" s="170"/>
      <c r="AE38" s="170"/>
      <c r="AF38" s="170"/>
    </row>
    <row r="39" spans="2:32" x14ac:dyDescent="0.2">
      <c r="B39" s="171"/>
      <c r="C39" s="171"/>
      <c r="D39" s="171"/>
      <c r="E39" s="169"/>
      <c r="F39" s="170"/>
      <c r="G39" s="170"/>
      <c r="H39" s="170"/>
      <c r="I39" s="170"/>
      <c r="J39" s="170"/>
      <c r="K39" s="170"/>
      <c r="L39" s="170"/>
      <c r="M39" s="170"/>
      <c r="N39" s="170"/>
      <c r="O39" s="170"/>
      <c r="P39" s="170"/>
      <c r="Q39" s="170"/>
      <c r="R39" s="170"/>
      <c r="S39" s="170"/>
      <c r="T39" s="170"/>
      <c r="U39" s="170"/>
      <c r="V39" s="170"/>
      <c r="W39" s="170"/>
      <c r="X39" s="170"/>
      <c r="Y39" s="169"/>
      <c r="Z39" s="170"/>
      <c r="AA39" s="170"/>
      <c r="AB39" s="170"/>
      <c r="AC39" s="170"/>
      <c r="AD39" s="170"/>
      <c r="AE39" s="170"/>
      <c r="AF39" s="170"/>
    </row>
    <row r="40" spans="2:32" x14ac:dyDescent="0.2">
      <c r="B40" s="171"/>
      <c r="C40" s="171"/>
      <c r="D40" s="171"/>
      <c r="E40" s="169"/>
      <c r="F40" s="170"/>
      <c r="G40" s="170"/>
      <c r="H40" s="170"/>
      <c r="I40" s="170"/>
      <c r="J40" s="170"/>
      <c r="K40" s="170"/>
      <c r="L40" s="170"/>
      <c r="M40" s="170"/>
      <c r="N40" s="170"/>
      <c r="O40" s="170"/>
      <c r="P40" s="170"/>
      <c r="Q40" s="170"/>
      <c r="R40" s="170"/>
      <c r="S40" s="170"/>
      <c r="T40" s="170"/>
      <c r="U40" s="170"/>
      <c r="V40" s="170"/>
      <c r="W40" s="170"/>
      <c r="X40" s="170"/>
      <c r="Y40" s="169"/>
      <c r="Z40" s="170"/>
      <c r="AA40" s="170"/>
      <c r="AB40" s="170"/>
      <c r="AC40" s="170"/>
      <c r="AD40" s="170"/>
      <c r="AE40" s="170"/>
      <c r="AF40" s="170"/>
    </row>
    <row r="41" spans="2:32" ht="24.75" customHeight="1" x14ac:dyDescent="0.2">
      <c r="B41" s="32" t="s">
        <v>32</v>
      </c>
      <c r="C41" s="22"/>
      <c r="I41" s="25"/>
    </row>
    <row r="42" spans="2:32" ht="12.75" customHeight="1" x14ac:dyDescent="0.2">
      <c r="B42" s="168" t="s">
        <v>7</v>
      </c>
      <c r="C42" s="168"/>
      <c r="D42" s="168"/>
      <c r="E42" s="168" t="s">
        <v>8</v>
      </c>
      <c r="F42" s="172"/>
      <c r="G42" s="172"/>
      <c r="H42" s="172"/>
      <c r="I42" s="172"/>
      <c r="J42" s="172"/>
      <c r="K42" s="172"/>
      <c r="L42" s="172"/>
      <c r="M42" s="172"/>
      <c r="N42" s="172"/>
      <c r="O42" s="172"/>
      <c r="P42" s="172"/>
      <c r="Q42" s="172"/>
      <c r="R42" s="172"/>
      <c r="S42" s="172"/>
      <c r="T42" s="172"/>
      <c r="U42" s="172"/>
      <c r="V42" s="172"/>
      <c r="W42" s="172"/>
      <c r="X42" s="172"/>
      <c r="Y42" s="168" t="s">
        <v>9</v>
      </c>
      <c r="Z42" s="168"/>
      <c r="AA42" s="168"/>
      <c r="AB42" s="168"/>
      <c r="AC42" s="168"/>
      <c r="AD42" s="168"/>
      <c r="AE42" s="168"/>
      <c r="AF42" s="168"/>
    </row>
    <row r="43" spans="2:32" x14ac:dyDescent="0.2">
      <c r="B43" s="171"/>
      <c r="C43" s="171"/>
      <c r="D43" s="171"/>
      <c r="E43" s="169"/>
      <c r="F43" s="170"/>
      <c r="G43" s="170"/>
      <c r="H43" s="170"/>
      <c r="I43" s="170"/>
      <c r="J43" s="170"/>
      <c r="K43" s="170"/>
      <c r="L43" s="170"/>
      <c r="M43" s="170"/>
      <c r="N43" s="170"/>
      <c r="O43" s="170"/>
      <c r="P43" s="170"/>
      <c r="Q43" s="170"/>
      <c r="R43" s="170"/>
      <c r="S43" s="170"/>
      <c r="T43" s="170"/>
      <c r="U43" s="170"/>
      <c r="V43" s="170"/>
      <c r="W43" s="170"/>
      <c r="X43" s="170"/>
      <c r="Y43" s="169"/>
      <c r="Z43" s="170"/>
      <c r="AA43" s="170"/>
      <c r="AB43" s="170"/>
      <c r="AC43" s="170"/>
      <c r="AD43" s="170"/>
      <c r="AE43" s="170"/>
      <c r="AF43" s="170"/>
    </row>
    <row r="44" spans="2:32" x14ac:dyDescent="0.2">
      <c r="B44" s="171"/>
      <c r="C44" s="171"/>
      <c r="D44" s="171"/>
      <c r="E44" s="169"/>
      <c r="F44" s="170"/>
      <c r="G44" s="170"/>
      <c r="H44" s="170"/>
      <c r="I44" s="170"/>
      <c r="J44" s="170"/>
      <c r="K44" s="170"/>
      <c r="L44" s="170"/>
      <c r="M44" s="170"/>
      <c r="N44" s="170"/>
      <c r="O44" s="170"/>
      <c r="P44" s="170"/>
      <c r="Q44" s="170"/>
      <c r="R44" s="170"/>
      <c r="S44" s="170"/>
      <c r="T44" s="170"/>
      <c r="U44" s="170"/>
      <c r="V44" s="170"/>
      <c r="W44" s="170"/>
      <c r="X44" s="170"/>
      <c r="Y44" s="169"/>
      <c r="Z44" s="170"/>
      <c r="AA44" s="170"/>
      <c r="AB44" s="170"/>
      <c r="AC44" s="170"/>
      <c r="AD44" s="170"/>
      <c r="AE44" s="170"/>
      <c r="AF44" s="170"/>
    </row>
    <row r="45" spans="2:32" x14ac:dyDescent="0.2">
      <c r="B45" s="171"/>
      <c r="C45" s="171"/>
      <c r="D45" s="171"/>
      <c r="E45" s="169"/>
      <c r="F45" s="170"/>
      <c r="G45" s="170"/>
      <c r="H45" s="170"/>
      <c r="I45" s="170"/>
      <c r="J45" s="170"/>
      <c r="K45" s="170"/>
      <c r="L45" s="170"/>
      <c r="M45" s="170"/>
      <c r="N45" s="170"/>
      <c r="O45" s="170"/>
      <c r="P45" s="170"/>
      <c r="Q45" s="170"/>
      <c r="R45" s="170"/>
      <c r="S45" s="170"/>
      <c r="T45" s="170"/>
      <c r="U45" s="170"/>
      <c r="V45" s="170"/>
      <c r="W45" s="170"/>
      <c r="X45" s="170"/>
      <c r="Y45" s="169"/>
      <c r="Z45" s="170"/>
      <c r="AA45" s="170"/>
      <c r="AB45" s="170"/>
      <c r="AC45" s="170"/>
      <c r="AD45" s="170"/>
      <c r="AE45" s="170"/>
      <c r="AF45" s="170"/>
    </row>
    <row r="46" spans="2:32" x14ac:dyDescent="0.2">
      <c r="B46" s="171"/>
      <c r="C46" s="171"/>
      <c r="D46" s="171"/>
      <c r="E46" s="169"/>
      <c r="F46" s="170"/>
      <c r="G46" s="170"/>
      <c r="H46" s="170"/>
      <c r="I46" s="170"/>
      <c r="J46" s="170"/>
      <c r="K46" s="170"/>
      <c r="L46" s="170"/>
      <c r="M46" s="170"/>
      <c r="N46" s="170"/>
      <c r="O46" s="170"/>
      <c r="P46" s="170"/>
      <c r="Q46" s="170"/>
      <c r="R46" s="170"/>
      <c r="S46" s="170"/>
      <c r="T46" s="170"/>
      <c r="U46" s="170"/>
      <c r="V46" s="170"/>
      <c r="W46" s="170"/>
      <c r="X46" s="170"/>
      <c r="Y46" s="169"/>
      <c r="Z46" s="170"/>
      <c r="AA46" s="170"/>
      <c r="AB46" s="170"/>
      <c r="AC46" s="170"/>
      <c r="AD46" s="170"/>
      <c r="AE46" s="170"/>
      <c r="AF46" s="170"/>
    </row>
    <row r="47" spans="2:32" x14ac:dyDescent="0.2">
      <c r="C47" s="24"/>
      <c r="I47" s="25"/>
    </row>
    <row r="48" spans="2:32" ht="20.25" x14ac:dyDescent="0.2">
      <c r="B48" s="21" t="s">
        <v>34</v>
      </c>
      <c r="C48" s="22"/>
      <c r="I48" s="25"/>
    </row>
    <row r="49" spans="2:32" ht="12.75" customHeight="1" x14ac:dyDescent="0.2">
      <c r="B49" s="168" t="s">
        <v>33</v>
      </c>
      <c r="C49" s="168"/>
      <c r="D49" s="168"/>
      <c r="E49" s="168"/>
      <c r="F49" s="168"/>
      <c r="G49" s="168"/>
      <c r="H49" s="163"/>
      <c r="I49" s="163"/>
      <c r="J49" s="163"/>
      <c r="K49" s="163"/>
      <c r="L49" s="163"/>
      <c r="M49" s="163"/>
      <c r="N49" s="163"/>
      <c r="O49" s="163"/>
      <c r="P49" s="163"/>
      <c r="Q49" s="163"/>
      <c r="R49" s="163"/>
      <c r="S49" s="163"/>
      <c r="T49" s="163"/>
      <c r="U49" s="163"/>
      <c r="V49" s="163"/>
      <c r="W49" s="163"/>
      <c r="X49" s="163"/>
      <c r="Y49" s="163"/>
      <c r="Z49" s="163"/>
      <c r="AA49" s="163"/>
      <c r="AB49" s="163"/>
      <c r="AC49" s="163"/>
      <c r="AD49" s="163"/>
      <c r="AE49" s="163"/>
      <c r="AF49" s="163"/>
    </row>
    <row r="50" spans="2:32" ht="33.75" customHeight="1" x14ac:dyDescent="0.2">
      <c r="B50" s="160" t="s">
        <v>114</v>
      </c>
      <c r="C50" s="161"/>
      <c r="D50" s="161"/>
      <c r="E50" s="161"/>
      <c r="F50" s="161"/>
      <c r="G50" s="162"/>
      <c r="H50" s="167" t="s">
        <v>118</v>
      </c>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6"/>
    </row>
    <row r="51" spans="2:32" ht="36.75" customHeight="1" x14ac:dyDescent="0.2">
      <c r="B51" s="160" t="s">
        <v>77</v>
      </c>
      <c r="C51" s="161"/>
      <c r="D51" s="161"/>
      <c r="E51" s="161"/>
      <c r="F51" s="161"/>
      <c r="G51" s="162"/>
      <c r="H51" s="164" t="s">
        <v>78</v>
      </c>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6"/>
    </row>
    <row r="52" spans="2:32" ht="45.75" customHeight="1" x14ac:dyDescent="0.2">
      <c r="B52" s="160" t="s">
        <v>79</v>
      </c>
      <c r="C52" s="161"/>
      <c r="D52" s="161"/>
      <c r="E52" s="161"/>
      <c r="F52" s="161"/>
      <c r="G52" s="162"/>
      <c r="H52" s="164" t="s">
        <v>84</v>
      </c>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6"/>
    </row>
    <row r="53" spans="2:32" ht="45.75" customHeight="1" x14ac:dyDescent="0.2">
      <c r="B53" s="160" t="s">
        <v>80</v>
      </c>
      <c r="C53" s="161"/>
      <c r="D53" s="161"/>
      <c r="E53" s="161"/>
      <c r="F53" s="161"/>
      <c r="G53" s="162"/>
      <c r="H53" s="164" t="s">
        <v>83</v>
      </c>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6"/>
    </row>
    <row r="54" spans="2:32" ht="37.5" customHeight="1" x14ac:dyDescent="0.2">
      <c r="B54" s="160" t="s">
        <v>81</v>
      </c>
      <c r="C54" s="161"/>
      <c r="D54" s="161"/>
      <c r="E54" s="161"/>
      <c r="F54" s="161"/>
      <c r="G54" s="162"/>
      <c r="H54" s="164" t="s">
        <v>82</v>
      </c>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6"/>
    </row>
    <row r="55" spans="2:32" x14ac:dyDescent="0.2">
      <c r="B55" s="28"/>
      <c r="C55" s="28"/>
      <c r="D55" s="28"/>
      <c r="E55" s="28"/>
      <c r="F55" s="28"/>
      <c r="G55" s="28"/>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row>
    <row r="56" spans="2:32" x14ac:dyDescent="0.2">
      <c r="B56" s="28"/>
      <c r="C56" s="28"/>
      <c r="D56" s="28"/>
      <c r="E56" s="28"/>
      <c r="F56" s="28"/>
      <c r="G56" s="28"/>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row>
    <row r="57" spans="2:32" ht="26.25" x14ac:dyDescent="0.2">
      <c r="B57" s="34" t="s">
        <v>35</v>
      </c>
      <c r="C57" s="35"/>
      <c r="D57" s="35"/>
      <c r="E57" s="35"/>
      <c r="F57" s="35"/>
      <c r="G57" s="35"/>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row>
    <row r="58" spans="2:32" ht="15.75" customHeight="1" x14ac:dyDescent="0.2">
      <c r="B58" s="37"/>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
      <c r="B59" s="94" t="s">
        <v>85</v>
      </c>
      <c r="C59" s="38"/>
      <c r="D59" s="38"/>
      <c r="E59" s="38"/>
      <c r="F59" s="38"/>
      <c r="G59" s="38"/>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row>
    <row r="60" spans="2:32" x14ac:dyDescent="0.2">
      <c r="B60" s="94" t="s">
        <v>116</v>
      </c>
      <c r="C60" s="38"/>
      <c r="D60" s="38"/>
      <c r="E60" s="38"/>
      <c r="F60" s="38"/>
      <c r="G60" s="38"/>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row>
    <row r="61" spans="2:32" x14ac:dyDescent="0.2">
      <c r="B61" s="38"/>
      <c r="C61" s="38"/>
      <c r="D61" s="38"/>
      <c r="E61" s="38"/>
      <c r="F61" s="38"/>
      <c r="G61" s="38"/>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row>
    <row r="62" spans="2:32" x14ac:dyDescent="0.2">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ht="12" customHeight="1" x14ac:dyDescent="0.2"/>
    <row r="73" spans="2:34" ht="12.75" hidden="1" customHeight="1" x14ac:dyDescent="0.2">
      <c r="B73" s="16" t="s">
        <v>86</v>
      </c>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2:34" ht="12.75" hidden="1" customHeight="1" x14ac:dyDescent="0.2">
      <c r="B74" s="16" t="s">
        <v>87</v>
      </c>
      <c r="F74" s="40"/>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0"/>
    </row>
    <row r="75" spans="2:34" ht="12.75" hidden="1" customHeight="1" x14ac:dyDescent="0.2">
      <c r="B75" s="16" t="s">
        <v>88</v>
      </c>
      <c r="F75" s="40"/>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40"/>
    </row>
    <row r="76" spans="2:34" ht="12.75" hidden="1" customHeight="1" x14ac:dyDescent="0.2">
      <c r="B76" s="16" t="s">
        <v>89</v>
      </c>
      <c r="F76" s="40"/>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40"/>
    </row>
    <row r="77" spans="2:34" ht="12.75" hidden="1" customHeight="1" x14ac:dyDescent="0.2">
      <c r="B77" s="16" t="s">
        <v>90</v>
      </c>
      <c r="F77" s="42"/>
      <c r="G77" s="42"/>
      <c r="H77" s="42"/>
      <c r="I77" s="42"/>
      <c r="J77" s="40"/>
      <c r="K77" s="40"/>
      <c r="L77" s="40"/>
      <c r="M77" s="40"/>
      <c r="N77" s="40"/>
      <c r="O77" s="40"/>
      <c r="P77" s="40"/>
      <c r="Q77" s="40"/>
      <c r="R77" s="40"/>
      <c r="S77" s="42"/>
      <c r="T77" s="42"/>
      <c r="U77" s="42"/>
      <c r="V77" s="42"/>
      <c r="W77" s="42"/>
      <c r="X77" s="42"/>
      <c r="Y77" s="42"/>
      <c r="Z77" s="42"/>
      <c r="AA77" s="42"/>
      <c r="AB77" s="42"/>
      <c r="AC77" s="42"/>
      <c r="AD77" s="42"/>
      <c r="AE77" s="42"/>
      <c r="AF77" s="42"/>
      <c r="AG77" s="42"/>
      <c r="AH77" s="40"/>
    </row>
    <row r="78" spans="2:34" ht="12.75" hidden="1" customHeight="1" x14ac:dyDescent="0.2">
      <c r="B78" s="16" t="s">
        <v>91</v>
      </c>
      <c r="F78" s="42"/>
      <c r="G78" s="42"/>
      <c r="H78" s="42"/>
      <c r="I78" s="42"/>
      <c r="J78" s="40"/>
      <c r="K78" s="40"/>
      <c r="L78" s="40"/>
      <c r="M78" s="40"/>
      <c r="N78" s="40"/>
      <c r="O78" s="40"/>
      <c r="P78" s="40"/>
      <c r="Q78" s="40"/>
      <c r="R78" s="40"/>
      <c r="S78" s="42"/>
      <c r="T78" s="42"/>
      <c r="U78" s="42"/>
      <c r="V78" s="42"/>
      <c r="W78" s="42"/>
      <c r="X78" s="42"/>
      <c r="Y78" s="42"/>
      <c r="Z78" s="42"/>
      <c r="AA78" s="42"/>
      <c r="AB78" s="42"/>
      <c r="AC78" s="42"/>
      <c r="AD78" s="42"/>
      <c r="AE78" s="42"/>
      <c r="AF78" s="42"/>
      <c r="AG78" s="42"/>
      <c r="AH78" s="40"/>
    </row>
    <row r="79" spans="2:34" ht="12.75" hidden="1" customHeight="1" x14ac:dyDescent="0.2">
      <c r="B79" s="16" t="s">
        <v>92</v>
      </c>
      <c r="F79" s="43"/>
      <c r="G79" s="43"/>
      <c r="H79" s="43"/>
      <c r="I79" s="43"/>
      <c r="J79" s="43"/>
      <c r="K79" s="43"/>
      <c r="R79" s="43"/>
      <c r="S79" s="42"/>
      <c r="T79" s="42"/>
      <c r="U79" s="42"/>
      <c r="V79" s="42"/>
      <c r="W79" s="42"/>
      <c r="X79" s="42"/>
      <c r="Y79" s="42"/>
      <c r="Z79" s="42"/>
      <c r="AA79" s="42"/>
      <c r="AB79" s="42"/>
      <c r="AC79" s="42"/>
      <c r="AD79" s="42"/>
      <c r="AE79" s="42"/>
      <c r="AF79" s="42"/>
      <c r="AG79" s="42"/>
      <c r="AH79" s="43"/>
    </row>
    <row r="80" spans="2:34" ht="12.75" hidden="1" customHeight="1" x14ac:dyDescent="0.2">
      <c r="B80" s="16" t="s">
        <v>93</v>
      </c>
      <c r="R80" s="43"/>
      <c r="S80" s="43"/>
      <c r="T80" s="43"/>
      <c r="U80" s="43"/>
      <c r="V80" s="43"/>
      <c r="W80" s="43"/>
      <c r="X80" s="43"/>
      <c r="Y80" s="43"/>
      <c r="Z80" s="43"/>
      <c r="AA80" s="43"/>
      <c r="AB80" s="43"/>
      <c r="AC80" s="43"/>
      <c r="AD80" s="43"/>
      <c r="AE80" s="43"/>
      <c r="AF80" s="43"/>
      <c r="AG80" s="43"/>
      <c r="AH80" s="43"/>
    </row>
    <row r="81" spans="2:34" ht="12.75" hidden="1" customHeight="1" x14ac:dyDescent="0.2">
      <c r="B81" s="16" t="s">
        <v>94</v>
      </c>
      <c r="R81" s="43"/>
      <c r="S81" s="43"/>
      <c r="T81" s="43"/>
      <c r="U81" s="43"/>
      <c r="V81" s="43"/>
      <c r="W81" s="43"/>
      <c r="X81" s="43"/>
      <c r="Y81" s="43"/>
      <c r="Z81" s="43"/>
      <c r="AA81" s="43"/>
      <c r="AB81" s="43"/>
      <c r="AC81" s="43"/>
      <c r="AD81" s="43"/>
      <c r="AE81" s="43"/>
      <c r="AF81" s="43"/>
      <c r="AG81" s="43"/>
      <c r="AH81" s="43"/>
    </row>
    <row r="82" spans="2:34" ht="12.75" hidden="1" customHeight="1" x14ac:dyDescent="0.2">
      <c r="B82" s="16" t="s">
        <v>95</v>
      </c>
    </row>
    <row r="83" spans="2:34" ht="12.75" hidden="1" customHeight="1" x14ac:dyDescent="0.2">
      <c r="B83" s="16" t="s">
        <v>96</v>
      </c>
    </row>
    <row r="84" spans="2:34" ht="12.75" hidden="1" customHeight="1" x14ac:dyDescent="0.2">
      <c r="B84" s="16" t="s">
        <v>97</v>
      </c>
    </row>
    <row r="85" spans="2:34" ht="12.75" hidden="1" customHeight="1" x14ac:dyDescent="0.2">
      <c r="B85" s="16" t="s">
        <v>98</v>
      </c>
    </row>
    <row r="86" spans="2:34" ht="12.75" hidden="1" customHeight="1" x14ac:dyDescent="0.2">
      <c r="B86" s="16" t="s">
        <v>99</v>
      </c>
    </row>
    <row r="87" spans="2:34" ht="12.75" hidden="1" customHeight="1" x14ac:dyDescent="0.2">
      <c r="B87" s="16" t="s">
        <v>100</v>
      </c>
    </row>
    <row r="88" spans="2:34" ht="12.75" hidden="1" customHeight="1" x14ac:dyDescent="0.2">
      <c r="B88" s="16" t="s">
        <v>101</v>
      </c>
    </row>
    <row r="89" spans="2:34" ht="12.75" hidden="1" customHeight="1" x14ac:dyDescent="0.2">
      <c r="B89" s="16" t="s">
        <v>102</v>
      </c>
    </row>
    <row r="90" spans="2:34" ht="12.75" hidden="1" customHeight="1" x14ac:dyDescent="0.2">
      <c r="B90" s="16" t="s">
        <v>103</v>
      </c>
    </row>
    <row r="91" spans="2:34" ht="12.75" hidden="1" customHeight="1" x14ac:dyDescent="0.2">
      <c r="B91" s="16" t="s">
        <v>104</v>
      </c>
    </row>
    <row r="92" spans="2:34" ht="12.75" hidden="1" customHeight="1" x14ac:dyDescent="0.2">
      <c r="B92" s="16" t="s">
        <v>105</v>
      </c>
    </row>
    <row r="93" spans="2:34" ht="12.75" hidden="1" customHeight="1" x14ac:dyDescent="0.2">
      <c r="B93" s="16" t="s">
        <v>106</v>
      </c>
    </row>
    <row r="94" spans="2:34" ht="12.75" hidden="1" customHeight="1" x14ac:dyDescent="0.2">
      <c r="B94" s="16" t="s">
        <v>107</v>
      </c>
    </row>
    <row r="95" spans="2:34" ht="12.75" hidden="1" customHeight="1" x14ac:dyDescent="0.2">
      <c r="B95" s="16" t="s">
        <v>108</v>
      </c>
    </row>
    <row r="96" spans="2:34" ht="12.75" hidden="1" customHeight="1" x14ac:dyDescent="0.2">
      <c r="B96" s="16" t="s">
        <v>109</v>
      </c>
    </row>
    <row r="97" spans="2:2" ht="12.75" hidden="1" customHeight="1" x14ac:dyDescent="0.2">
      <c r="B97" s="16" t="s">
        <v>110</v>
      </c>
    </row>
    <row r="98" spans="2:2" ht="12.75" hidden="1" customHeight="1" x14ac:dyDescent="0.2">
      <c r="B98" s="16" t="s">
        <v>111</v>
      </c>
    </row>
    <row r="99" spans="2:2" ht="12.75" hidden="1" customHeight="1" x14ac:dyDescent="0.2">
      <c r="B99" s="16" t="s">
        <v>112</v>
      </c>
    </row>
    <row r="100" spans="2:2" ht="12.75" hidden="1" customHeight="1" x14ac:dyDescent="0.2">
      <c r="B100" s="16" t="s">
        <v>113</v>
      </c>
    </row>
    <row r="171" x14ac:dyDescent="0.2"/>
    <row r="172" x14ac:dyDescent="0.2"/>
    <row r="173" x14ac:dyDescent="0.2"/>
  </sheetData>
  <sheetProtection formatCells="0" formatRows="0" insertColumns="0" insertRows="0" insertHyperlinks="0" deleteRows="0" selectLockedCells="1" sort="0" autoFilter="0" pivotTables="0"/>
  <mergeCells count="95">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 ref="G16:AF16"/>
    <mergeCell ref="G21:AF21"/>
    <mergeCell ref="B21:F21"/>
    <mergeCell ref="G17:AF17"/>
    <mergeCell ref="A9:AG9"/>
    <mergeCell ref="B17:F17"/>
    <mergeCell ref="B16:F16"/>
    <mergeCell ref="B20:F20"/>
    <mergeCell ref="G20:AF20"/>
    <mergeCell ref="B19:F19"/>
    <mergeCell ref="G19:AF19"/>
    <mergeCell ref="I28:Q28"/>
    <mergeCell ref="B26:D26"/>
    <mergeCell ref="I26:Q26"/>
    <mergeCell ref="B40:D40"/>
    <mergeCell ref="E40:X40"/>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Y45:AF45"/>
    <mergeCell ref="Y46:AF46"/>
    <mergeCell ref="B44:D44"/>
    <mergeCell ref="B46:D46"/>
    <mergeCell ref="B43:D43"/>
    <mergeCell ref="B45:D45"/>
    <mergeCell ref="Y44:AF44"/>
    <mergeCell ref="E44:X44"/>
    <mergeCell ref="E46:X46"/>
    <mergeCell ref="Y43:AF43"/>
    <mergeCell ref="E45:X45"/>
    <mergeCell ref="B54:G54"/>
    <mergeCell ref="H49:AF49"/>
    <mergeCell ref="H54:AF54"/>
    <mergeCell ref="B52:G52"/>
    <mergeCell ref="H52:AF52"/>
    <mergeCell ref="B51:G51"/>
    <mergeCell ref="H51:AF51"/>
    <mergeCell ref="H53:AF53"/>
    <mergeCell ref="B53:G53"/>
    <mergeCell ref="B50:G50"/>
    <mergeCell ref="H50:AF50"/>
    <mergeCell ref="B49:G49"/>
    <mergeCell ref="E7:V7"/>
    <mergeCell ref="A4:V4"/>
    <mergeCell ref="A5:V5"/>
    <mergeCell ref="W4:AA4"/>
    <mergeCell ref="W5:AA5"/>
    <mergeCell ref="A6:D6"/>
    <mergeCell ref="A7:D7"/>
    <mergeCell ref="W6:AA6"/>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election activeCell="B1" sqref="B1:AG37"/>
    </sheetView>
  </sheetViews>
  <sheetFormatPr defaultColWidth="0" defaultRowHeight="12.75" customHeight="1" zeroHeight="1" x14ac:dyDescent="0.2"/>
  <cols>
    <col min="1" max="33" width="2.85546875" style="16" customWidth="1"/>
    <col min="34" max="34" width="1.28515625" style="16" customWidth="1"/>
    <col min="35" max="60" width="3.28515625" style="16" hidden="1" customWidth="1"/>
    <col min="61" max="16384" width="0" style="16" hidden="1"/>
  </cols>
  <sheetData>
    <row r="1" spans="2:34" x14ac:dyDescent="0.2">
      <c r="B1" s="183" t="s">
        <v>128</v>
      </c>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row>
    <row r="2" spans="2:34" ht="20.25" customHeight="1" x14ac:dyDescent="0.2">
      <c r="B2" s="183"/>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row>
    <row r="3" spans="2:34" x14ac:dyDescent="0.2">
      <c r="B3" s="183"/>
      <c r="C3" s="183"/>
      <c r="D3" s="183"/>
      <c r="E3" s="183"/>
      <c r="F3" s="183"/>
      <c r="G3" s="183"/>
      <c r="H3" s="183"/>
      <c r="I3" s="183"/>
      <c r="J3" s="183"/>
      <c r="K3" s="183"/>
      <c r="L3" s="183"/>
      <c r="M3" s="183"/>
      <c r="N3" s="183"/>
      <c r="O3" s="183"/>
      <c r="P3" s="183"/>
      <c r="Q3" s="183"/>
      <c r="R3" s="183"/>
      <c r="S3" s="183"/>
      <c r="T3" s="183"/>
      <c r="U3" s="183"/>
      <c r="V3" s="183"/>
      <c r="W3" s="183"/>
      <c r="X3" s="183"/>
      <c r="Y3" s="183"/>
      <c r="Z3" s="183"/>
      <c r="AA3" s="183"/>
      <c r="AB3" s="183"/>
      <c r="AC3" s="183"/>
      <c r="AD3" s="183"/>
      <c r="AE3" s="183"/>
      <c r="AF3" s="183"/>
      <c r="AG3" s="183"/>
    </row>
    <row r="4" spans="2:34" x14ac:dyDescent="0.2">
      <c r="B4" s="183"/>
      <c r="C4" s="183"/>
      <c r="D4" s="183"/>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row>
    <row r="5" spans="2:34" x14ac:dyDescent="0.2">
      <c r="B5" s="183"/>
      <c r="C5" s="183"/>
      <c r="D5" s="183"/>
      <c r="E5" s="183"/>
      <c r="F5" s="183"/>
      <c r="G5" s="183"/>
      <c r="H5" s="183"/>
      <c r="I5" s="183"/>
      <c r="J5" s="183"/>
      <c r="K5" s="183"/>
      <c r="L5" s="183"/>
      <c r="M5" s="183"/>
      <c r="N5" s="183"/>
      <c r="O5" s="183"/>
      <c r="P5" s="183"/>
      <c r="Q5" s="183"/>
      <c r="R5" s="183"/>
      <c r="S5" s="183"/>
      <c r="T5" s="183"/>
      <c r="U5" s="183"/>
      <c r="V5" s="183"/>
      <c r="W5" s="183"/>
      <c r="X5" s="183"/>
      <c r="Y5" s="183"/>
      <c r="Z5" s="183"/>
      <c r="AA5" s="183"/>
      <c r="AB5" s="183"/>
      <c r="AC5" s="183"/>
      <c r="AD5" s="183"/>
      <c r="AE5" s="183"/>
      <c r="AF5" s="183"/>
      <c r="AG5" s="183"/>
    </row>
    <row r="6" spans="2:34" x14ac:dyDescent="0.2">
      <c r="B6" s="183"/>
      <c r="C6" s="183"/>
      <c r="D6" s="183"/>
      <c r="E6" s="183"/>
      <c r="F6" s="183"/>
      <c r="G6" s="183"/>
      <c r="H6" s="183"/>
      <c r="I6" s="183"/>
      <c r="J6" s="183"/>
      <c r="K6" s="183"/>
      <c r="L6" s="183"/>
      <c r="M6" s="183"/>
      <c r="N6" s="183"/>
      <c r="O6" s="183"/>
      <c r="P6" s="183"/>
      <c r="Q6" s="183"/>
      <c r="R6" s="183"/>
      <c r="S6" s="183"/>
      <c r="T6" s="183"/>
      <c r="U6" s="183"/>
      <c r="V6" s="183"/>
      <c r="W6" s="183"/>
      <c r="X6" s="183"/>
      <c r="Y6" s="183"/>
      <c r="Z6" s="183"/>
      <c r="AA6" s="183"/>
      <c r="AB6" s="183"/>
      <c r="AC6" s="183"/>
      <c r="AD6" s="183"/>
      <c r="AE6" s="183"/>
      <c r="AF6" s="183"/>
      <c r="AG6" s="183"/>
    </row>
    <row r="7" spans="2:34" x14ac:dyDescent="0.2">
      <c r="B7" s="183"/>
      <c r="C7" s="183"/>
      <c r="D7" s="183"/>
      <c r="E7" s="183"/>
      <c r="F7" s="183"/>
      <c r="G7" s="183"/>
      <c r="H7" s="183"/>
      <c r="I7" s="183"/>
      <c r="J7" s="183"/>
      <c r="K7" s="183"/>
      <c r="L7" s="183"/>
      <c r="M7" s="183"/>
      <c r="N7" s="183"/>
      <c r="O7" s="183"/>
      <c r="P7" s="183"/>
      <c r="Q7" s="183"/>
      <c r="R7" s="183"/>
      <c r="S7" s="183"/>
      <c r="T7" s="183"/>
      <c r="U7" s="183"/>
      <c r="V7" s="183"/>
      <c r="W7" s="183"/>
      <c r="X7" s="183"/>
      <c r="Y7" s="183"/>
      <c r="Z7" s="183"/>
      <c r="AA7" s="183"/>
      <c r="AB7" s="183"/>
      <c r="AC7" s="183"/>
      <c r="AD7" s="183"/>
      <c r="AE7" s="183"/>
      <c r="AF7" s="183"/>
      <c r="AG7" s="183"/>
    </row>
    <row r="8" spans="2:34" x14ac:dyDescent="0.2">
      <c r="B8" s="183"/>
      <c r="C8" s="183"/>
      <c r="D8" s="183"/>
      <c r="E8" s="183"/>
      <c r="F8" s="183"/>
      <c r="G8" s="183"/>
      <c r="H8" s="183"/>
      <c r="I8" s="183"/>
      <c r="J8" s="183"/>
      <c r="K8" s="183"/>
      <c r="L8" s="183"/>
      <c r="M8" s="183"/>
      <c r="N8" s="183"/>
      <c r="O8" s="183"/>
      <c r="P8" s="183"/>
      <c r="Q8" s="183"/>
      <c r="R8" s="183"/>
      <c r="S8" s="183"/>
      <c r="T8" s="183"/>
      <c r="U8" s="183"/>
      <c r="V8" s="183"/>
      <c r="W8" s="183"/>
      <c r="X8" s="183"/>
      <c r="Y8" s="183"/>
      <c r="Z8" s="183"/>
      <c r="AA8" s="183"/>
      <c r="AB8" s="183"/>
      <c r="AC8" s="183"/>
      <c r="AD8" s="183"/>
      <c r="AE8" s="183"/>
      <c r="AF8" s="183"/>
      <c r="AG8" s="183"/>
    </row>
    <row r="9" spans="2:34" x14ac:dyDescent="0.2">
      <c r="B9" s="183"/>
      <c r="C9" s="183"/>
      <c r="D9" s="183"/>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row>
    <row r="10" spans="2:34" x14ac:dyDescent="0.2">
      <c r="B10" s="183"/>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row>
    <row r="11" spans="2:34" x14ac:dyDescent="0.2">
      <c r="B11" s="183"/>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row>
    <row r="12" spans="2:34" x14ac:dyDescent="0.2">
      <c r="B12" s="183"/>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row>
    <row r="13" spans="2:34" x14ac:dyDescent="0.2">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row>
    <row r="14" spans="2:34" x14ac:dyDescent="0.2">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40"/>
    </row>
    <row r="15" spans="2:34" x14ac:dyDescent="0.2">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40"/>
    </row>
    <row r="16" spans="2:34" x14ac:dyDescent="0.2">
      <c r="B16" s="183"/>
      <c r="C16" s="183"/>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40"/>
    </row>
    <row r="17" spans="2:34" x14ac:dyDescent="0.2">
      <c r="B17" s="183"/>
      <c r="C17" s="183"/>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40"/>
    </row>
    <row r="18" spans="2:34" x14ac:dyDescent="0.2">
      <c r="B18" s="183"/>
      <c r="C18" s="183"/>
      <c r="D18" s="183"/>
      <c r="E18" s="183"/>
      <c r="F18" s="183"/>
      <c r="G18" s="183"/>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183"/>
      <c r="AH18" s="40"/>
    </row>
    <row r="19" spans="2:34" x14ac:dyDescent="0.2">
      <c r="B19" s="183"/>
      <c r="C19" s="183"/>
      <c r="D19" s="183"/>
      <c r="E19" s="183"/>
      <c r="F19" s="183"/>
      <c r="G19" s="183"/>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40"/>
    </row>
    <row r="20" spans="2:34" x14ac:dyDescent="0.2">
      <c r="B20" s="183"/>
      <c r="C20" s="183"/>
      <c r="D20" s="183"/>
      <c r="E20" s="183"/>
      <c r="F20" s="183"/>
      <c r="G20" s="183"/>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43"/>
    </row>
    <row r="21" spans="2:34" x14ac:dyDescent="0.2">
      <c r="B21" s="183"/>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43"/>
    </row>
    <row r="22" spans="2:34" x14ac:dyDescent="0.2">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43"/>
    </row>
    <row r="23" spans="2:34" x14ac:dyDescent="0.2">
      <c r="B23" s="183"/>
      <c r="C23" s="183"/>
      <c r="D23" s="183"/>
      <c r="E23" s="183"/>
      <c r="F23" s="183"/>
      <c r="G23" s="183"/>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row>
    <row r="24" spans="2:34" x14ac:dyDescent="0.2">
      <c r="B24" s="183"/>
      <c r="C24" s="183"/>
      <c r="D24" s="183"/>
      <c r="E24" s="183"/>
      <c r="F24" s="183"/>
      <c r="G24" s="183"/>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row>
    <row r="25" spans="2:34" x14ac:dyDescent="0.2">
      <c r="B25" s="183"/>
      <c r="C25" s="183"/>
      <c r="D25" s="183"/>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row>
    <row r="26" spans="2:34" x14ac:dyDescent="0.2">
      <c r="B26" s="183"/>
      <c r="C26" s="183"/>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c r="AG26" s="183"/>
    </row>
    <row r="27" spans="2:34" x14ac:dyDescent="0.2">
      <c r="B27" s="183"/>
      <c r="C27" s="183"/>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row>
    <row r="28" spans="2:34" x14ac:dyDescent="0.2">
      <c r="B28" s="183"/>
      <c r="C28" s="183"/>
      <c r="D28" s="183"/>
      <c r="E28" s="183"/>
      <c r="F28" s="183"/>
      <c r="G28" s="183"/>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c r="AG28" s="183"/>
    </row>
    <row r="29" spans="2:34" x14ac:dyDescent="0.2">
      <c r="B29" s="183"/>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row>
    <row r="30" spans="2:34" x14ac:dyDescent="0.2">
      <c r="B30" s="183"/>
      <c r="C30" s="183"/>
      <c r="D30" s="183"/>
      <c r="E30" s="183"/>
      <c r="F30" s="183"/>
      <c r="G30" s="183"/>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row>
    <row r="31" spans="2:34" x14ac:dyDescent="0.2">
      <c r="B31" s="183"/>
      <c r="C31" s="183"/>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row>
    <row r="32" spans="2:34" x14ac:dyDescent="0.2">
      <c r="B32" s="183"/>
      <c r="C32" s="183"/>
      <c r="D32" s="183"/>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row>
    <row r="33" spans="2:33" x14ac:dyDescent="0.2">
      <c r="B33" s="183"/>
      <c r="C33" s="183"/>
      <c r="D33" s="183"/>
      <c r="E33" s="183"/>
      <c r="F33" s="183"/>
      <c r="G33" s="183"/>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row>
    <row r="34" spans="2:33" x14ac:dyDescent="0.2">
      <c r="B34" s="183"/>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row>
    <row r="35" spans="2:33" ht="12.75" customHeight="1" x14ac:dyDescent="0.2">
      <c r="B35" s="183"/>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row>
    <row r="36" spans="2:33" ht="12.75" customHeight="1" x14ac:dyDescent="0.2">
      <c r="B36" s="183"/>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row>
    <row r="37" spans="2:33" ht="12.75" customHeight="1" x14ac:dyDescent="0.2">
      <c r="B37" s="183"/>
      <c r="C37" s="183"/>
      <c r="D37" s="183"/>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row>
    <row r="38" spans="2:33" ht="12.75" customHeight="1" x14ac:dyDescent="0.2"/>
    <row r="39" spans="2:33" ht="12.75" customHeight="1" x14ac:dyDescent="0.2"/>
    <row r="40" spans="2:33" ht="12.75" customHeight="1" x14ac:dyDescent="0.2"/>
    <row r="41" spans="2:33" ht="12.75" customHeight="1" x14ac:dyDescent="0.2"/>
    <row r="42" spans="2:33" ht="12.75" customHeight="1" x14ac:dyDescent="0.2"/>
    <row r="43" spans="2:33" ht="12.75" customHeight="1" x14ac:dyDescent="0.2"/>
    <row r="44" spans="2:33" ht="12.75" customHeight="1" x14ac:dyDescent="0.2"/>
    <row r="45" spans="2:33" ht="12.75" customHeight="1" x14ac:dyDescent="0.2"/>
    <row r="46" spans="2:33" ht="12.75" customHeight="1" x14ac:dyDescent="0.2"/>
    <row r="47" spans="2:33" ht="12.75" customHeight="1" x14ac:dyDescent="0.2"/>
    <row r="48" spans="2:33"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7"/>
  <sheetViews>
    <sheetView zoomScaleNormal="100" workbookViewId="0">
      <selection activeCell="G4" sqref="G4"/>
    </sheetView>
  </sheetViews>
  <sheetFormatPr defaultRowHeight="12.75" x14ac:dyDescent="0.2"/>
  <cols>
    <col min="1" max="1" width="2.5703125" customWidth="1"/>
    <col min="2" max="2" width="5.28515625" customWidth="1"/>
    <col min="3" max="3" width="14.5703125" customWidth="1"/>
    <col min="4" max="4" width="24.28515625" customWidth="1"/>
    <col min="5" max="5" width="14" customWidth="1"/>
    <col min="6" max="6" width="24" bestFit="1" customWidth="1"/>
    <col min="7" max="7" width="11.7109375" customWidth="1"/>
    <col min="8" max="8" width="7.5703125" bestFit="1" customWidth="1"/>
    <col min="9" max="9" width="9.140625" customWidth="1"/>
    <col min="10" max="10" width="18.42578125" customWidth="1"/>
    <col min="12" max="13" width="11.42578125" customWidth="1"/>
    <col min="14" max="14" width="18.28515625" customWidth="1"/>
  </cols>
  <sheetData>
    <row r="1" spans="2:14" ht="13.5" thickBot="1" x14ac:dyDescent="0.25"/>
    <row r="2" spans="2:14" ht="45.75" thickBot="1" x14ac:dyDescent="0.25">
      <c r="B2" s="59" t="s">
        <v>41</v>
      </c>
      <c r="C2" s="60" t="s">
        <v>42</v>
      </c>
      <c r="D2" s="61" t="s">
        <v>72</v>
      </c>
      <c r="E2" s="61" t="s">
        <v>114</v>
      </c>
      <c r="F2" s="61" t="s">
        <v>43</v>
      </c>
      <c r="G2" s="61" t="s">
        <v>129</v>
      </c>
      <c r="H2" s="61" t="s">
        <v>74</v>
      </c>
      <c r="I2" s="60" t="s">
        <v>11</v>
      </c>
      <c r="J2" s="60" t="s">
        <v>73</v>
      </c>
      <c r="K2" s="60" t="s">
        <v>63</v>
      </c>
      <c r="L2" s="62" t="s">
        <v>44</v>
      </c>
      <c r="M2" s="62" t="s">
        <v>75</v>
      </c>
      <c r="N2" s="63" t="s">
        <v>76</v>
      </c>
    </row>
    <row r="3" spans="2:14" s="86" customFormat="1" ht="15" x14ac:dyDescent="0.2">
      <c r="B3" s="85">
        <v>1</v>
      </c>
      <c r="C3" s="93" t="s">
        <v>49</v>
      </c>
      <c r="D3" s="99">
        <f ca="1">IF(C3&lt;&gt;"",INDIRECT(C3&amp;"!B3"),"")</f>
        <v>0</v>
      </c>
      <c r="E3" s="100">
        <f ca="1">IF(C3&lt;&gt;"",INDIRECT(C3&amp;"!B5"),"")</f>
        <v>0</v>
      </c>
      <c r="F3" s="100">
        <f ca="1">IF(C3&lt;&gt;"",INDIRECT(C3&amp;"!B1"),"")</f>
        <v>0</v>
      </c>
      <c r="G3" s="87"/>
      <c r="H3" s="88"/>
      <c r="I3" s="89"/>
      <c r="J3" s="90"/>
      <c r="K3" s="97">
        <f ca="1">IF(C3&lt;&gt;"",INDIRECT(C3&amp;"!B9"),"")</f>
        <v>0</v>
      </c>
      <c r="L3" s="95"/>
      <c r="M3" s="91"/>
      <c r="N3" s="92"/>
    </row>
    <row r="4" spans="2:14" ht="15" x14ac:dyDescent="0.2">
      <c r="B4" s="65">
        <v>2</v>
      </c>
      <c r="C4" s="215" t="s">
        <v>137</v>
      </c>
      <c r="D4" s="67"/>
      <c r="E4" s="67"/>
      <c r="F4" s="67"/>
      <c r="G4" s="67"/>
      <c r="H4" s="67"/>
      <c r="I4" s="68"/>
      <c r="J4" s="69"/>
      <c r="K4" s="98"/>
      <c r="L4" s="96"/>
      <c r="M4" s="84"/>
      <c r="N4" s="70"/>
    </row>
    <row r="5" spans="2:14" ht="15" x14ac:dyDescent="0.2">
      <c r="B5" s="65">
        <v>3</v>
      </c>
      <c r="C5" s="66"/>
      <c r="D5" s="67"/>
      <c r="E5" s="67"/>
      <c r="F5" s="67"/>
      <c r="G5" s="67"/>
      <c r="H5" s="67"/>
      <c r="I5" s="68"/>
      <c r="J5" s="69"/>
      <c r="K5" s="98"/>
      <c r="L5" s="96"/>
      <c r="M5" s="84"/>
      <c r="N5" s="70"/>
    </row>
    <row r="6" spans="2:14" ht="15" x14ac:dyDescent="0.2">
      <c r="B6" s="65">
        <v>4</v>
      </c>
      <c r="C6" s="66"/>
      <c r="D6" s="67" t="str">
        <f t="shared" ref="D6:D47" ca="1" si="0">IF(C6&lt;&gt;"",INDIRECT(C6&amp;"!B5"),"")</f>
        <v/>
      </c>
      <c r="E6" s="67" t="str">
        <f t="shared" ref="E6:E47" ca="1" si="1">IF(C6&lt;&gt;"",INDIRECT(C6&amp;"!B7"),"")</f>
        <v/>
      </c>
      <c r="F6" s="67" t="str">
        <f t="shared" ref="F6:F47" ca="1" si="2">IF(C6&lt;&gt;"",INDIRECT(C6&amp;"!B1"),"")</f>
        <v/>
      </c>
      <c r="G6" s="67"/>
      <c r="H6" s="67"/>
      <c r="I6" s="68"/>
      <c r="J6" s="69"/>
      <c r="K6" s="98" t="str">
        <f t="shared" ref="K6:K47" ca="1" si="3">IF(C6&lt;&gt;"",INDIRECT(C6&amp;"!B11"),"")</f>
        <v/>
      </c>
      <c r="L6" s="96"/>
      <c r="M6" s="84"/>
      <c r="N6" s="70"/>
    </row>
    <row r="7" spans="2:14" ht="15" x14ac:dyDescent="0.2">
      <c r="B7" s="65">
        <v>5</v>
      </c>
      <c r="C7" s="66"/>
      <c r="D7" s="67" t="str">
        <f t="shared" ca="1" si="0"/>
        <v/>
      </c>
      <c r="E7" s="67" t="str">
        <f t="shared" ca="1" si="1"/>
        <v/>
      </c>
      <c r="F7" s="67" t="str">
        <f t="shared" ca="1" si="2"/>
        <v/>
      </c>
      <c r="G7" s="67"/>
      <c r="H7" s="67"/>
      <c r="I7" s="68"/>
      <c r="J7" s="69"/>
      <c r="K7" s="98" t="str">
        <f t="shared" ca="1" si="3"/>
        <v/>
      </c>
      <c r="L7" s="96"/>
      <c r="M7" s="84"/>
      <c r="N7" s="70"/>
    </row>
    <row r="8" spans="2:14" ht="15" x14ac:dyDescent="0.2">
      <c r="B8" s="65">
        <v>6</v>
      </c>
      <c r="C8" s="66"/>
      <c r="D8" s="67" t="str">
        <f t="shared" ca="1" si="0"/>
        <v/>
      </c>
      <c r="E8" s="67" t="str">
        <f t="shared" ca="1" si="1"/>
        <v/>
      </c>
      <c r="F8" s="67" t="str">
        <f t="shared" ca="1" si="2"/>
        <v/>
      </c>
      <c r="G8" s="67"/>
      <c r="H8" s="67"/>
      <c r="I8" s="68"/>
      <c r="J8" s="69"/>
      <c r="K8" s="98" t="str">
        <f t="shared" ca="1" si="3"/>
        <v/>
      </c>
      <c r="L8" s="96"/>
      <c r="M8" s="84"/>
      <c r="N8" s="70"/>
    </row>
    <row r="9" spans="2:14" ht="15" x14ac:dyDescent="0.2">
      <c r="B9" s="65">
        <v>7</v>
      </c>
      <c r="C9" s="66"/>
      <c r="D9" s="67" t="str">
        <f t="shared" ca="1" si="0"/>
        <v/>
      </c>
      <c r="E9" s="67" t="str">
        <f t="shared" ca="1" si="1"/>
        <v/>
      </c>
      <c r="F9" s="67" t="str">
        <f t="shared" ca="1" si="2"/>
        <v/>
      </c>
      <c r="G9" s="67"/>
      <c r="H9" s="67"/>
      <c r="I9" s="68"/>
      <c r="J9" s="69"/>
      <c r="K9" s="98" t="str">
        <f t="shared" ca="1" si="3"/>
        <v/>
      </c>
      <c r="L9" s="96"/>
      <c r="M9" s="84"/>
      <c r="N9" s="70"/>
    </row>
    <row r="10" spans="2:14" ht="15" x14ac:dyDescent="0.2">
      <c r="B10" s="65">
        <v>8</v>
      </c>
      <c r="C10" s="66"/>
      <c r="D10" s="67" t="str">
        <f t="shared" ca="1" si="0"/>
        <v/>
      </c>
      <c r="E10" s="67" t="str">
        <f t="shared" ca="1" si="1"/>
        <v/>
      </c>
      <c r="F10" s="67" t="str">
        <f ca="1">IF(C10&lt;&gt;"",INDIRECT(C10&amp;"!B1"),"")</f>
        <v/>
      </c>
      <c r="G10" s="67"/>
      <c r="H10" s="67"/>
      <c r="I10" s="68"/>
      <c r="J10" s="69"/>
      <c r="K10" s="98" t="str">
        <f t="shared" ca="1" si="3"/>
        <v/>
      </c>
      <c r="L10" s="96"/>
      <c r="M10" s="84"/>
      <c r="N10" s="70"/>
    </row>
    <row r="11" spans="2:14" ht="15" x14ac:dyDescent="0.2">
      <c r="B11" s="65">
        <v>9</v>
      </c>
      <c r="C11" s="66"/>
      <c r="D11" s="67" t="str">
        <f t="shared" ca="1" si="0"/>
        <v/>
      </c>
      <c r="E11" s="67" t="str">
        <f t="shared" ca="1" si="1"/>
        <v/>
      </c>
      <c r="F11" s="67" t="str">
        <f t="shared" ca="1" si="2"/>
        <v/>
      </c>
      <c r="G11" s="67"/>
      <c r="H11" s="67"/>
      <c r="I11" s="68"/>
      <c r="J11" s="69"/>
      <c r="K11" s="98" t="str">
        <f t="shared" ca="1" si="3"/>
        <v/>
      </c>
      <c r="L11" s="96"/>
      <c r="M11" s="84"/>
      <c r="N11" s="70"/>
    </row>
    <row r="12" spans="2:14" ht="15" x14ac:dyDescent="0.2">
      <c r="B12" s="64">
        <v>10</v>
      </c>
      <c r="C12" s="66"/>
      <c r="D12" s="67" t="str">
        <f t="shared" ca="1" si="0"/>
        <v/>
      </c>
      <c r="E12" s="67" t="str">
        <f t="shared" ca="1" si="1"/>
        <v/>
      </c>
      <c r="F12" s="67" t="str">
        <f t="shared" ca="1" si="2"/>
        <v/>
      </c>
      <c r="G12" s="67"/>
      <c r="H12" s="67"/>
      <c r="I12" s="68"/>
      <c r="J12" s="69"/>
      <c r="K12" s="98" t="str">
        <f t="shared" ca="1" si="3"/>
        <v/>
      </c>
      <c r="L12" s="96"/>
      <c r="M12" s="84"/>
      <c r="N12" s="70"/>
    </row>
    <row r="13" spans="2:14" ht="15" x14ac:dyDescent="0.2">
      <c r="B13" s="65">
        <v>11</v>
      </c>
      <c r="C13" s="66"/>
      <c r="D13" s="67" t="str">
        <f t="shared" ca="1" si="0"/>
        <v/>
      </c>
      <c r="E13" s="67" t="str">
        <f t="shared" ca="1" si="1"/>
        <v/>
      </c>
      <c r="F13" s="67" t="str">
        <f t="shared" ca="1" si="2"/>
        <v/>
      </c>
      <c r="G13" s="67"/>
      <c r="H13" s="67"/>
      <c r="I13" s="68"/>
      <c r="J13" s="69"/>
      <c r="K13" s="98" t="str">
        <f t="shared" ca="1" si="3"/>
        <v/>
      </c>
      <c r="L13" s="96"/>
      <c r="M13" s="84"/>
      <c r="N13" s="70"/>
    </row>
    <row r="14" spans="2:14" ht="15" x14ac:dyDescent="0.2">
      <c r="B14" s="65">
        <v>12</v>
      </c>
      <c r="C14" s="66"/>
      <c r="D14" s="67" t="str">
        <f t="shared" ca="1" si="0"/>
        <v/>
      </c>
      <c r="E14" s="67" t="str">
        <f t="shared" ca="1" si="1"/>
        <v/>
      </c>
      <c r="F14" s="67" t="str">
        <f t="shared" ca="1" si="2"/>
        <v/>
      </c>
      <c r="G14" s="67"/>
      <c r="H14" s="67"/>
      <c r="I14" s="68"/>
      <c r="J14" s="69"/>
      <c r="K14" s="98" t="str">
        <f t="shared" ca="1" si="3"/>
        <v/>
      </c>
      <c r="L14" s="96"/>
      <c r="M14" s="84"/>
      <c r="N14" s="70"/>
    </row>
    <row r="15" spans="2:14" ht="15" x14ac:dyDescent="0.2">
      <c r="B15" s="65">
        <v>13</v>
      </c>
      <c r="C15" s="66"/>
      <c r="D15" s="67" t="str">
        <f t="shared" ca="1" si="0"/>
        <v/>
      </c>
      <c r="E15" s="67" t="str">
        <f t="shared" ca="1" si="1"/>
        <v/>
      </c>
      <c r="F15" s="67" t="str">
        <f t="shared" ca="1" si="2"/>
        <v/>
      </c>
      <c r="G15" s="67"/>
      <c r="H15" s="67"/>
      <c r="I15" s="68"/>
      <c r="J15" s="69"/>
      <c r="K15" s="98" t="str">
        <f t="shared" ca="1" si="3"/>
        <v/>
      </c>
      <c r="L15" s="96"/>
      <c r="M15" s="84"/>
      <c r="N15" s="70"/>
    </row>
    <row r="16" spans="2:14" ht="15" x14ac:dyDescent="0.2">
      <c r="B16" s="65">
        <v>14</v>
      </c>
      <c r="C16" s="66"/>
      <c r="D16" s="67" t="str">
        <f t="shared" ca="1" si="0"/>
        <v/>
      </c>
      <c r="E16" s="67" t="str">
        <f t="shared" ca="1" si="1"/>
        <v/>
      </c>
      <c r="F16" s="67" t="str">
        <f t="shared" ca="1" si="2"/>
        <v/>
      </c>
      <c r="G16" s="67"/>
      <c r="H16" s="67"/>
      <c r="I16" s="68"/>
      <c r="J16" s="69"/>
      <c r="K16" s="98" t="str">
        <f t="shared" ca="1" si="3"/>
        <v/>
      </c>
      <c r="L16" s="96"/>
      <c r="M16" s="84"/>
      <c r="N16" s="70"/>
    </row>
    <row r="17" spans="2:14" ht="15" x14ac:dyDescent="0.2">
      <c r="B17" s="65">
        <v>15</v>
      </c>
      <c r="C17" s="66"/>
      <c r="D17" s="67" t="str">
        <f t="shared" ca="1" si="0"/>
        <v/>
      </c>
      <c r="E17" s="67" t="str">
        <f t="shared" ca="1" si="1"/>
        <v/>
      </c>
      <c r="F17" s="67" t="str">
        <f t="shared" ca="1" si="2"/>
        <v/>
      </c>
      <c r="G17" s="67"/>
      <c r="H17" s="67"/>
      <c r="I17" s="68"/>
      <c r="J17" s="69"/>
      <c r="K17" s="98" t="str">
        <f t="shared" ca="1" si="3"/>
        <v/>
      </c>
      <c r="L17" s="96"/>
      <c r="M17" s="84"/>
      <c r="N17" s="70"/>
    </row>
    <row r="18" spans="2:14" ht="15" x14ac:dyDescent="0.2">
      <c r="B18" s="65">
        <v>16</v>
      </c>
      <c r="C18" s="66"/>
      <c r="D18" s="67" t="str">
        <f t="shared" ca="1" si="0"/>
        <v/>
      </c>
      <c r="E18" s="67" t="str">
        <f t="shared" ca="1" si="1"/>
        <v/>
      </c>
      <c r="F18" s="67" t="str">
        <f t="shared" ca="1" si="2"/>
        <v/>
      </c>
      <c r="G18" s="67"/>
      <c r="H18" s="67"/>
      <c r="I18" s="68"/>
      <c r="J18" s="69"/>
      <c r="K18" s="98" t="str">
        <f t="shared" ca="1" si="3"/>
        <v/>
      </c>
      <c r="L18" s="96"/>
      <c r="M18" s="84"/>
      <c r="N18" s="70"/>
    </row>
    <row r="19" spans="2:14" ht="15" x14ac:dyDescent="0.2">
      <c r="B19" s="65">
        <v>17</v>
      </c>
      <c r="C19" s="66"/>
      <c r="D19" s="67" t="str">
        <f t="shared" ca="1" si="0"/>
        <v/>
      </c>
      <c r="E19" s="67" t="str">
        <f t="shared" ca="1" si="1"/>
        <v/>
      </c>
      <c r="F19" s="67" t="str">
        <f t="shared" ca="1" si="2"/>
        <v/>
      </c>
      <c r="G19" s="67"/>
      <c r="H19" s="67"/>
      <c r="I19" s="68"/>
      <c r="J19" s="69"/>
      <c r="K19" s="98" t="str">
        <f t="shared" ca="1" si="3"/>
        <v/>
      </c>
      <c r="L19" s="96"/>
      <c r="M19" s="84"/>
      <c r="N19" s="70"/>
    </row>
    <row r="20" spans="2:14" ht="15" x14ac:dyDescent="0.2">
      <c r="B20" s="65">
        <v>18</v>
      </c>
      <c r="C20" s="66"/>
      <c r="D20" s="67" t="str">
        <f t="shared" ca="1" si="0"/>
        <v/>
      </c>
      <c r="E20" s="67" t="str">
        <f t="shared" ca="1" si="1"/>
        <v/>
      </c>
      <c r="F20" s="67" t="str">
        <f t="shared" ca="1" si="2"/>
        <v/>
      </c>
      <c r="G20" s="67"/>
      <c r="H20" s="67"/>
      <c r="I20" s="68"/>
      <c r="J20" s="69"/>
      <c r="K20" s="98" t="str">
        <f t="shared" ca="1" si="3"/>
        <v/>
      </c>
      <c r="L20" s="96"/>
      <c r="M20" s="84"/>
      <c r="N20" s="70"/>
    </row>
    <row r="21" spans="2:14" ht="15" x14ac:dyDescent="0.2">
      <c r="B21" s="64">
        <v>19</v>
      </c>
      <c r="C21" s="66"/>
      <c r="D21" s="67" t="str">
        <f t="shared" ca="1" si="0"/>
        <v/>
      </c>
      <c r="E21" s="67" t="str">
        <f t="shared" ca="1" si="1"/>
        <v/>
      </c>
      <c r="F21" s="67" t="str">
        <f t="shared" ca="1" si="2"/>
        <v/>
      </c>
      <c r="G21" s="67"/>
      <c r="H21" s="67"/>
      <c r="I21" s="68"/>
      <c r="J21" s="69"/>
      <c r="K21" s="98" t="str">
        <f t="shared" ca="1" si="3"/>
        <v/>
      </c>
      <c r="L21" s="96"/>
      <c r="M21" s="84"/>
      <c r="N21" s="70"/>
    </row>
    <row r="22" spans="2:14" ht="15" x14ac:dyDescent="0.2">
      <c r="B22" s="65">
        <v>20</v>
      </c>
      <c r="C22" s="66"/>
      <c r="D22" s="67" t="str">
        <f t="shared" ca="1" si="0"/>
        <v/>
      </c>
      <c r="E22" s="67" t="str">
        <f t="shared" ca="1" si="1"/>
        <v/>
      </c>
      <c r="F22" s="67" t="str">
        <f t="shared" ca="1" si="2"/>
        <v/>
      </c>
      <c r="G22" s="67"/>
      <c r="H22" s="67"/>
      <c r="I22" s="68"/>
      <c r="J22" s="69"/>
      <c r="K22" s="98" t="str">
        <f t="shared" ca="1" si="3"/>
        <v/>
      </c>
      <c r="L22" s="96"/>
      <c r="M22" s="84"/>
      <c r="N22" s="70"/>
    </row>
    <row r="23" spans="2:14" ht="15" x14ac:dyDescent="0.2">
      <c r="B23" s="65">
        <v>21</v>
      </c>
      <c r="C23" s="66"/>
      <c r="D23" s="67" t="str">
        <f t="shared" ca="1" si="0"/>
        <v/>
      </c>
      <c r="E23" s="67" t="str">
        <f t="shared" ca="1" si="1"/>
        <v/>
      </c>
      <c r="F23" s="67" t="str">
        <f t="shared" ca="1" si="2"/>
        <v/>
      </c>
      <c r="G23" s="67"/>
      <c r="H23" s="67"/>
      <c r="I23" s="68"/>
      <c r="J23" s="69"/>
      <c r="K23" s="98" t="str">
        <f t="shared" ca="1" si="3"/>
        <v/>
      </c>
      <c r="L23" s="96"/>
      <c r="M23" s="84"/>
      <c r="N23" s="70"/>
    </row>
    <row r="24" spans="2:14" ht="15" x14ac:dyDescent="0.2">
      <c r="B24" s="65">
        <v>22</v>
      </c>
      <c r="C24" s="66"/>
      <c r="D24" s="67" t="str">
        <f t="shared" ca="1" si="0"/>
        <v/>
      </c>
      <c r="E24" s="67" t="str">
        <f t="shared" ca="1" si="1"/>
        <v/>
      </c>
      <c r="F24" s="67" t="str">
        <f t="shared" ca="1" si="2"/>
        <v/>
      </c>
      <c r="G24" s="67"/>
      <c r="H24" s="67"/>
      <c r="I24" s="68"/>
      <c r="J24" s="69"/>
      <c r="K24" s="98" t="str">
        <f t="shared" ca="1" si="3"/>
        <v/>
      </c>
      <c r="L24" s="96"/>
      <c r="M24" s="84"/>
      <c r="N24" s="70"/>
    </row>
    <row r="25" spans="2:14" ht="15" x14ac:dyDescent="0.2">
      <c r="B25" s="65">
        <v>23</v>
      </c>
      <c r="C25" s="66"/>
      <c r="D25" s="67" t="str">
        <f t="shared" ca="1" si="0"/>
        <v/>
      </c>
      <c r="E25" s="67" t="str">
        <f t="shared" ca="1" si="1"/>
        <v/>
      </c>
      <c r="F25" s="67" t="str">
        <f t="shared" ca="1" si="2"/>
        <v/>
      </c>
      <c r="G25" s="67"/>
      <c r="H25" s="67"/>
      <c r="I25" s="68"/>
      <c r="J25" s="69"/>
      <c r="K25" s="98" t="str">
        <f t="shared" ca="1" si="3"/>
        <v/>
      </c>
      <c r="L25" s="96"/>
      <c r="M25" s="84"/>
      <c r="N25" s="70"/>
    </row>
    <row r="26" spans="2:14" ht="15" x14ac:dyDescent="0.2">
      <c r="B26" s="65">
        <v>24</v>
      </c>
      <c r="C26" s="66"/>
      <c r="D26" s="67" t="str">
        <f t="shared" ca="1" si="0"/>
        <v/>
      </c>
      <c r="E26" s="67" t="str">
        <f t="shared" ca="1" si="1"/>
        <v/>
      </c>
      <c r="F26" s="67" t="str">
        <f t="shared" ca="1" si="2"/>
        <v/>
      </c>
      <c r="G26" s="67"/>
      <c r="H26" s="67"/>
      <c r="I26" s="68"/>
      <c r="J26" s="69"/>
      <c r="K26" s="98" t="str">
        <f t="shared" ca="1" si="3"/>
        <v/>
      </c>
      <c r="L26" s="96"/>
      <c r="M26" s="84"/>
      <c r="N26" s="70"/>
    </row>
    <row r="27" spans="2:14" ht="15" x14ac:dyDescent="0.2">
      <c r="B27" s="65">
        <v>25</v>
      </c>
      <c r="C27" s="66"/>
      <c r="D27" s="67" t="str">
        <f t="shared" ca="1" si="0"/>
        <v/>
      </c>
      <c r="E27" s="67" t="str">
        <f t="shared" ca="1" si="1"/>
        <v/>
      </c>
      <c r="F27" s="67" t="str">
        <f t="shared" ca="1" si="2"/>
        <v/>
      </c>
      <c r="G27" s="67"/>
      <c r="H27" s="67"/>
      <c r="I27" s="68"/>
      <c r="J27" s="69"/>
      <c r="K27" s="98" t="str">
        <f t="shared" ca="1" si="3"/>
        <v/>
      </c>
      <c r="L27" s="96"/>
      <c r="M27" s="84"/>
      <c r="N27" s="70"/>
    </row>
    <row r="28" spans="2:14" ht="15" x14ac:dyDescent="0.2">
      <c r="B28" s="65">
        <v>26</v>
      </c>
      <c r="C28" s="66"/>
      <c r="D28" s="67" t="str">
        <f t="shared" ca="1" si="0"/>
        <v/>
      </c>
      <c r="E28" s="67" t="str">
        <f t="shared" ca="1" si="1"/>
        <v/>
      </c>
      <c r="F28" s="67" t="str">
        <f t="shared" ca="1" si="2"/>
        <v/>
      </c>
      <c r="G28" s="67"/>
      <c r="H28" s="67"/>
      <c r="I28" s="68"/>
      <c r="J28" s="69"/>
      <c r="K28" s="98" t="str">
        <f t="shared" ca="1" si="3"/>
        <v/>
      </c>
      <c r="L28" s="96"/>
      <c r="M28" s="84"/>
      <c r="N28" s="70"/>
    </row>
    <row r="29" spans="2:14" ht="15" x14ac:dyDescent="0.2">
      <c r="B29" s="65">
        <v>27</v>
      </c>
      <c r="C29" s="66"/>
      <c r="D29" s="67" t="str">
        <f t="shared" ca="1" si="0"/>
        <v/>
      </c>
      <c r="E29" s="67" t="str">
        <f t="shared" ca="1" si="1"/>
        <v/>
      </c>
      <c r="F29" s="67" t="str">
        <f t="shared" ca="1" si="2"/>
        <v/>
      </c>
      <c r="G29" s="67"/>
      <c r="H29" s="67"/>
      <c r="I29" s="68"/>
      <c r="J29" s="69"/>
      <c r="K29" s="98" t="str">
        <f t="shared" ca="1" si="3"/>
        <v/>
      </c>
      <c r="L29" s="96"/>
      <c r="M29" s="84"/>
      <c r="N29" s="70"/>
    </row>
    <row r="30" spans="2:14" ht="15" x14ac:dyDescent="0.2">
      <c r="B30" s="64">
        <v>28</v>
      </c>
      <c r="C30" s="66"/>
      <c r="D30" s="67" t="str">
        <f t="shared" ca="1" si="0"/>
        <v/>
      </c>
      <c r="E30" s="67" t="str">
        <f t="shared" ca="1" si="1"/>
        <v/>
      </c>
      <c r="F30" s="67" t="str">
        <f t="shared" ca="1" si="2"/>
        <v/>
      </c>
      <c r="G30" s="67"/>
      <c r="H30" s="67"/>
      <c r="I30" s="68"/>
      <c r="J30" s="69"/>
      <c r="K30" s="98" t="str">
        <f t="shared" ca="1" si="3"/>
        <v/>
      </c>
      <c r="L30" s="96"/>
      <c r="M30" s="84"/>
      <c r="N30" s="70"/>
    </row>
    <row r="31" spans="2:14" ht="15" x14ac:dyDescent="0.2">
      <c r="B31" s="65">
        <v>29</v>
      </c>
      <c r="C31" s="66"/>
      <c r="D31" s="67" t="str">
        <f t="shared" ca="1" si="0"/>
        <v/>
      </c>
      <c r="E31" s="67" t="str">
        <f t="shared" ca="1" si="1"/>
        <v/>
      </c>
      <c r="F31" s="67" t="str">
        <f t="shared" ca="1" si="2"/>
        <v/>
      </c>
      <c r="G31" s="67"/>
      <c r="H31" s="67"/>
      <c r="I31" s="68"/>
      <c r="J31" s="69"/>
      <c r="K31" s="98" t="str">
        <f t="shared" ca="1" si="3"/>
        <v/>
      </c>
      <c r="L31" s="96"/>
      <c r="M31" s="84"/>
      <c r="N31" s="70"/>
    </row>
    <row r="32" spans="2:14" ht="15" x14ac:dyDescent="0.2">
      <c r="B32" s="65">
        <v>30</v>
      </c>
      <c r="C32" s="66"/>
      <c r="D32" s="67" t="str">
        <f t="shared" ca="1" si="0"/>
        <v/>
      </c>
      <c r="E32" s="67" t="str">
        <f t="shared" ca="1" si="1"/>
        <v/>
      </c>
      <c r="F32" s="67" t="str">
        <f t="shared" ca="1" si="2"/>
        <v/>
      </c>
      <c r="G32" s="67"/>
      <c r="H32" s="67"/>
      <c r="I32" s="68"/>
      <c r="J32" s="69"/>
      <c r="K32" s="98" t="str">
        <f t="shared" ca="1" si="3"/>
        <v/>
      </c>
      <c r="L32" s="96"/>
      <c r="M32" s="84"/>
      <c r="N32" s="70"/>
    </row>
    <row r="33" spans="2:14" ht="15" x14ac:dyDescent="0.2">
      <c r="B33" s="65">
        <v>31</v>
      </c>
      <c r="C33" s="66"/>
      <c r="D33" s="67" t="str">
        <f t="shared" ca="1" si="0"/>
        <v/>
      </c>
      <c r="E33" s="67" t="str">
        <f t="shared" ca="1" si="1"/>
        <v/>
      </c>
      <c r="F33" s="67" t="str">
        <f t="shared" ca="1" si="2"/>
        <v/>
      </c>
      <c r="G33" s="67"/>
      <c r="H33" s="67"/>
      <c r="I33" s="68"/>
      <c r="J33" s="69"/>
      <c r="K33" s="98" t="str">
        <f t="shared" ca="1" si="3"/>
        <v/>
      </c>
      <c r="L33" s="96"/>
      <c r="M33" s="84"/>
      <c r="N33" s="70"/>
    </row>
    <row r="34" spans="2:14" ht="15" x14ac:dyDescent="0.2">
      <c r="B34" s="65">
        <v>32</v>
      </c>
      <c r="C34" s="66"/>
      <c r="D34" s="67" t="str">
        <f t="shared" ca="1" si="0"/>
        <v/>
      </c>
      <c r="E34" s="67" t="str">
        <f t="shared" ca="1" si="1"/>
        <v/>
      </c>
      <c r="F34" s="67" t="str">
        <f t="shared" ca="1" si="2"/>
        <v/>
      </c>
      <c r="G34" s="67"/>
      <c r="H34" s="67"/>
      <c r="I34" s="68"/>
      <c r="J34" s="69"/>
      <c r="K34" s="98" t="str">
        <f t="shared" ca="1" si="3"/>
        <v/>
      </c>
      <c r="L34" s="96"/>
      <c r="M34" s="84"/>
      <c r="N34" s="70"/>
    </row>
    <row r="35" spans="2:14" ht="15" x14ac:dyDescent="0.2">
      <c r="B35" s="65">
        <v>33</v>
      </c>
      <c r="C35" s="66"/>
      <c r="D35" s="67" t="str">
        <f t="shared" ca="1" si="0"/>
        <v/>
      </c>
      <c r="E35" s="67" t="str">
        <f t="shared" ca="1" si="1"/>
        <v/>
      </c>
      <c r="F35" s="67" t="str">
        <f t="shared" ca="1" si="2"/>
        <v/>
      </c>
      <c r="G35" s="67"/>
      <c r="H35" s="67"/>
      <c r="I35" s="68"/>
      <c r="J35" s="69"/>
      <c r="K35" s="98" t="str">
        <f t="shared" ca="1" si="3"/>
        <v/>
      </c>
      <c r="L35" s="96"/>
      <c r="M35" s="84"/>
      <c r="N35" s="70"/>
    </row>
    <row r="36" spans="2:14" ht="15" x14ac:dyDescent="0.2">
      <c r="B36" s="65">
        <v>34</v>
      </c>
      <c r="C36" s="66"/>
      <c r="D36" s="67" t="str">
        <f t="shared" ca="1" si="0"/>
        <v/>
      </c>
      <c r="E36" s="67" t="str">
        <f t="shared" ca="1" si="1"/>
        <v/>
      </c>
      <c r="F36" s="67" t="str">
        <f t="shared" ca="1" si="2"/>
        <v/>
      </c>
      <c r="G36" s="67"/>
      <c r="H36" s="67"/>
      <c r="I36" s="68"/>
      <c r="J36" s="69"/>
      <c r="K36" s="98" t="str">
        <f t="shared" ca="1" si="3"/>
        <v/>
      </c>
      <c r="L36" s="96"/>
      <c r="M36" s="84"/>
      <c r="N36" s="70"/>
    </row>
    <row r="37" spans="2:14" ht="15" x14ac:dyDescent="0.2">
      <c r="B37" s="65">
        <v>35</v>
      </c>
      <c r="C37" s="66"/>
      <c r="D37" s="67" t="str">
        <f t="shared" ca="1" si="0"/>
        <v/>
      </c>
      <c r="E37" s="67" t="str">
        <f t="shared" ca="1" si="1"/>
        <v/>
      </c>
      <c r="F37" s="67" t="str">
        <f t="shared" ca="1" si="2"/>
        <v/>
      </c>
      <c r="G37" s="67"/>
      <c r="H37" s="67"/>
      <c r="I37" s="68"/>
      <c r="J37" s="69"/>
      <c r="K37" s="98" t="str">
        <f t="shared" ca="1" si="3"/>
        <v/>
      </c>
      <c r="L37" s="96"/>
      <c r="M37" s="84"/>
      <c r="N37" s="70"/>
    </row>
    <row r="38" spans="2:14" ht="15" x14ac:dyDescent="0.2">
      <c r="B38" s="65">
        <v>36</v>
      </c>
      <c r="C38" s="66"/>
      <c r="D38" s="67" t="str">
        <f t="shared" ca="1" si="0"/>
        <v/>
      </c>
      <c r="E38" s="67" t="str">
        <f t="shared" ca="1" si="1"/>
        <v/>
      </c>
      <c r="F38" s="67" t="str">
        <f t="shared" ca="1" si="2"/>
        <v/>
      </c>
      <c r="G38" s="67"/>
      <c r="H38" s="67"/>
      <c r="I38" s="68"/>
      <c r="J38" s="69"/>
      <c r="K38" s="98" t="str">
        <f t="shared" ca="1" si="3"/>
        <v/>
      </c>
      <c r="L38" s="96"/>
      <c r="M38" s="84"/>
      <c r="N38" s="70"/>
    </row>
    <row r="39" spans="2:14" ht="15" x14ac:dyDescent="0.2">
      <c r="B39" s="64">
        <v>37</v>
      </c>
      <c r="C39" s="66"/>
      <c r="D39" s="67" t="str">
        <f t="shared" ca="1" si="0"/>
        <v/>
      </c>
      <c r="E39" s="67" t="str">
        <f t="shared" ca="1" si="1"/>
        <v/>
      </c>
      <c r="F39" s="67" t="str">
        <f t="shared" ca="1" si="2"/>
        <v/>
      </c>
      <c r="G39" s="67"/>
      <c r="H39" s="67"/>
      <c r="I39" s="68"/>
      <c r="J39" s="69"/>
      <c r="K39" s="98" t="str">
        <f t="shared" ca="1" si="3"/>
        <v/>
      </c>
      <c r="L39" s="96"/>
      <c r="M39" s="84"/>
      <c r="N39" s="70"/>
    </row>
    <row r="40" spans="2:14" ht="15" x14ac:dyDescent="0.2">
      <c r="B40" s="65">
        <v>38</v>
      </c>
      <c r="C40" s="66"/>
      <c r="D40" s="67" t="str">
        <f t="shared" ca="1" si="0"/>
        <v/>
      </c>
      <c r="E40" s="67" t="str">
        <f t="shared" ca="1" si="1"/>
        <v/>
      </c>
      <c r="F40" s="67" t="str">
        <f t="shared" ca="1" si="2"/>
        <v/>
      </c>
      <c r="G40" s="67"/>
      <c r="H40" s="67"/>
      <c r="I40" s="68"/>
      <c r="J40" s="69"/>
      <c r="K40" s="98" t="str">
        <f t="shared" ca="1" si="3"/>
        <v/>
      </c>
      <c r="L40" s="96"/>
      <c r="M40" s="84"/>
      <c r="N40" s="70"/>
    </row>
    <row r="41" spans="2:14" ht="15" x14ac:dyDescent="0.2">
      <c r="B41" s="65">
        <v>39</v>
      </c>
      <c r="C41" s="66"/>
      <c r="D41" s="67" t="str">
        <f t="shared" ca="1" si="0"/>
        <v/>
      </c>
      <c r="E41" s="67" t="str">
        <f t="shared" ca="1" si="1"/>
        <v/>
      </c>
      <c r="F41" s="67" t="str">
        <f t="shared" ca="1" si="2"/>
        <v/>
      </c>
      <c r="G41" s="67"/>
      <c r="H41" s="67"/>
      <c r="I41" s="68"/>
      <c r="J41" s="69"/>
      <c r="K41" s="98" t="str">
        <f t="shared" ca="1" si="3"/>
        <v/>
      </c>
      <c r="L41" s="96"/>
      <c r="M41" s="84"/>
      <c r="N41" s="70"/>
    </row>
    <row r="42" spans="2:14" ht="15" x14ac:dyDescent="0.2">
      <c r="B42" s="65">
        <v>40</v>
      </c>
      <c r="C42" s="66"/>
      <c r="D42" s="67" t="str">
        <f t="shared" ca="1" si="0"/>
        <v/>
      </c>
      <c r="E42" s="67" t="str">
        <f t="shared" ca="1" si="1"/>
        <v/>
      </c>
      <c r="F42" s="67" t="str">
        <f t="shared" ca="1" si="2"/>
        <v/>
      </c>
      <c r="G42" s="67"/>
      <c r="H42" s="67"/>
      <c r="I42" s="68"/>
      <c r="J42" s="69"/>
      <c r="K42" s="98" t="str">
        <f t="shared" ca="1" si="3"/>
        <v/>
      </c>
      <c r="L42" s="96"/>
      <c r="M42" s="84"/>
      <c r="N42" s="70"/>
    </row>
    <row r="43" spans="2:14" ht="15" x14ac:dyDescent="0.2">
      <c r="B43" s="65">
        <v>41</v>
      </c>
      <c r="C43" s="66"/>
      <c r="D43" s="67" t="str">
        <f t="shared" ca="1" si="0"/>
        <v/>
      </c>
      <c r="E43" s="67" t="str">
        <f t="shared" ca="1" si="1"/>
        <v/>
      </c>
      <c r="F43" s="67" t="str">
        <f t="shared" ca="1" si="2"/>
        <v/>
      </c>
      <c r="G43" s="67"/>
      <c r="H43" s="67"/>
      <c r="I43" s="68"/>
      <c r="J43" s="69"/>
      <c r="K43" s="98" t="str">
        <f t="shared" ca="1" si="3"/>
        <v/>
      </c>
      <c r="L43" s="96"/>
      <c r="M43" s="84"/>
      <c r="N43" s="70"/>
    </row>
    <row r="44" spans="2:14" ht="15" x14ac:dyDescent="0.2">
      <c r="B44" s="65">
        <v>42</v>
      </c>
      <c r="C44" s="66"/>
      <c r="D44" s="67" t="str">
        <f t="shared" ca="1" si="0"/>
        <v/>
      </c>
      <c r="E44" s="67" t="str">
        <f t="shared" ca="1" si="1"/>
        <v/>
      </c>
      <c r="F44" s="67" t="str">
        <f t="shared" ca="1" si="2"/>
        <v/>
      </c>
      <c r="G44" s="67"/>
      <c r="H44" s="67"/>
      <c r="I44" s="68"/>
      <c r="J44" s="69"/>
      <c r="K44" s="98" t="str">
        <f t="shared" ca="1" si="3"/>
        <v/>
      </c>
      <c r="L44" s="96"/>
      <c r="M44" s="84"/>
      <c r="N44" s="70"/>
    </row>
    <row r="45" spans="2:14" ht="15" x14ac:dyDescent="0.2">
      <c r="B45" s="65">
        <v>43</v>
      </c>
      <c r="C45" s="66"/>
      <c r="D45" s="67" t="str">
        <f t="shared" ca="1" si="0"/>
        <v/>
      </c>
      <c r="E45" s="67" t="str">
        <f t="shared" ca="1" si="1"/>
        <v/>
      </c>
      <c r="F45" s="67" t="str">
        <f t="shared" ca="1" si="2"/>
        <v/>
      </c>
      <c r="G45" s="67"/>
      <c r="H45" s="67"/>
      <c r="I45" s="68"/>
      <c r="J45" s="69"/>
      <c r="K45" s="98" t="str">
        <f t="shared" ca="1" si="3"/>
        <v/>
      </c>
      <c r="L45" s="96"/>
      <c r="M45" s="84"/>
      <c r="N45" s="70"/>
    </row>
    <row r="46" spans="2:14" ht="15" x14ac:dyDescent="0.2">
      <c r="B46" s="65">
        <v>44</v>
      </c>
      <c r="C46" s="66"/>
      <c r="D46" s="67" t="str">
        <f t="shared" ca="1" si="0"/>
        <v/>
      </c>
      <c r="E46" s="67" t="str">
        <f t="shared" ca="1" si="1"/>
        <v/>
      </c>
      <c r="F46" s="67" t="str">
        <f t="shared" ca="1" si="2"/>
        <v/>
      </c>
      <c r="G46" s="67"/>
      <c r="H46" s="67"/>
      <c r="I46" s="68"/>
      <c r="J46" s="69"/>
      <c r="K46" s="98" t="str">
        <f t="shared" ca="1" si="3"/>
        <v/>
      </c>
      <c r="L46" s="96"/>
      <c r="M46" s="84"/>
      <c r="N46" s="70"/>
    </row>
    <row r="47" spans="2:14" ht="15.75" thickBot="1" x14ac:dyDescent="0.25">
      <c r="B47" s="71">
        <v>45</v>
      </c>
      <c r="C47" s="72"/>
      <c r="D47" s="67" t="str">
        <f t="shared" ca="1" si="0"/>
        <v/>
      </c>
      <c r="E47" s="67" t="str">
        <f t="shared" ca="1" si="1"/>
        <v/>
      </c>
      <c r="F47" s="67" t="str">
        <f t="shared" ca="1" si="2"/>
        <v/>
      </c>
      <c r="G47" s="67"/>
      <c r="H47" s="67"/>
      <c r="I47" s="68"/>
      <c r="J47" s="69"/>
      <c r="K47" s="98" t="str">
        <f t="shared" ca="1" si="3"/>
        <v/>
      </c>
      <c r="L47" s="96"/>
      <c r="M47" s="84"/>
      <c r="N47" s="70"/>
    </row>
  </sheetData>
  <conditionalFormatting sqref="K3:K47">
    <cfRule type="cellIs" dxfId="21" priority="1" operator="equal">
      <formula>"Nok"</formula>
    </cfRule>
    <cfRule type="cellIs" dxfId="20" priority="2" operator="equal">
      <formula>"Ok"</formula>
    </cfRule>
  </conditionalFormatting>
  <dataValidations count="3">
    <dataValidation type="list" allowBlank="1" showInputMessage="1" showErrorMessage="1" sqref="E4:E47" xr:uid="{00000000-0002-0000-0300-000000000000}">
      <formula1>"Nominal, Robustness, Endurance, Qualification, Other"</formula1>
    </dataValidation>
    <dataValidation type="list" allowBlank="1" showInputMessage="1" showErrorMessage="1" sqref="G3" xr:uid="{00000000-0002-0000-0300-000001000000}">
      <formula1>",X,"</formula1>
    </dataValidation>
    <dataValidation type="list" allowBlank="1" showInputMessage="1" showErrorMessage="1" sqref="H3" xr:uid="{00000000-0002-0000-0300-000002000000}">
      <formula1>"1,2,3,"</formula1>
    </dataValidation>
  </dataValidations>
  <hyperlinks>
    <hyperlink ref="C3" location="SW_IT_xxx!A1" display="SW_IT_xxx" xr:uid="{00000000-0004-0000-0300-000000000000}"/>
    <hyperlink ref="C4" location="SW_IT_FBL_001!A1" display="SW_IT_xxx" xr:uid="{0D56FC82-522D-4D92-93E3-C63D81429A79}"/>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32"/>
  <sheetViews>
    <sheetView workbookViewId="0"/>
  </sheetViews>
  <sheetFormatPr defaultRowHeight="12.75" x14ac:dyDescent="0.2"/>
  <cols>
    <col min="1" max="1" width="20.140625" style="105" customWidth="1"/>
    <col min="2" max="2" width="18.42578125" style="101" customWidth="1"/>
    <col min="3" max="7" width="9.140625" style="101"/>
    <col min="8" max="15" width="9.5703125" style="101" customWidth="1"/>
    <col min="16" max="16384" width="9.140625" style="101"/>
  </cols>
  <sheetData>
    <row r="1" spans="1:15" ht="13.5" thickBot="1" x14ac:dyDescent="0.25">
      <c r="A1" s="106" t="s">
        <v>45</v>
      </c>
      <c r="B1" s="184"/>
      <c r="C1" s="185"/>
      <c r="D1" s="185"/>
      <c r="E1" s="185"/>
      <c r="F1" s="185"/>
      <c r="G1" s="186"/>
      <c r="H1" s="75"/>
      <c r="I1" s="75"/>
      <c r="J1" s="75"/>
      <c r="K1" s="75"/>
      <c r="L1" s="75"/>
      <c r="M1" s="75"/>
      <c r="N1" s="75"/>
      <c r="O1" s="75"/>
    </row>
    <row r="2" spans="1:15" ht="13.5" thickBot="1" x14ac:dyDescent="0.25">
      <c r="A2" s="73"/>
      <c r="B2" s="74"/>
      <c r="C2" s="74"/>
      <c r="D2" s="75"/>
      <c r="E2" s="75"/>
      <c r="F2" s="75"/>
      <c r="G2" s="75"/>
      <c r="H2" s="75"/>
      <c r="I2" s="75"/>
      <c r="J2" s="75"/>
      <c r="K2" s="75"/>
      <c r="L2" s="75"/>
      <c r="M2" s="75"/>
      <c r="N2" s="75"/>
      <c r="O2" s="75"/>
    </row>
    <row r="3" spans="1:15" ht="26.25" thickBot="1" x14ac:dyDescent="0.25">
      <c r="A3" s="107" t="s">
        <v>50</v>
      </c>
      <c r="B3" s="187"/>
      <c r="C3" s="188"/>
      <c r="D3" s="188"/>
      <c r="E3" s="188"/>
      <c r="F3" s="188"/>
      <c r="G3" s="189"/>
      <c r="H3" s="75"/>
      <c r="I3" s="75"/>
      <c r="J3" s="75"/>
      <c r="K3" s="75"/>
      <c r="L3" s="75"/>
      <c r="M3" s="75"/>
      <c r="N3" s="75"/>
      <c r="O3" s="75"/>
    </row>
    <row r="4" spans="1:15" ht="13.5" thickBot="1" x14ac:dyDescent="0.25">
      <c r="A4" s="73"/>
      <c r="B4" s="74"/>
      <c r="C4" s="74"/>
      <c r="D4" s="75"/>
      <c r="E4" s="75"/>
      <c r="F4" s="75"/>
      <c r="G4" s="75"/>
      <c r="H4" s="75"/>
      <c r="I4" s="75"/>
      <c r="J4" s="75"/>
      <c r="K4" s="75"/>
      <c r="L4" s="75"/>
      <c r="M4" s="75"/>
      <c r="N4" s="75"/>
      <c r="O4" s="75"/>
    </row>
    <row r="5" spans="1:15" ht="13.5" thickBot="1" x14ac:dyDescent="0.25">
      <c r="A5" s="106" t="s">
        <v>115</v>
      </c>
      <c r="B5" s="78"/>
      <c r="C5" s="74"/>
      <c r="D5" s="75"/>
      <c r="E5" s="75"/>
      <c r="F5" s="75"/>
      <c r="G5" s="75"/>
      <c r="H5" s="75"/>
      <c r="I5" s="75"/>
      <c r="J5" s="75"/>
      <c r="K5" s="75"/>
      <c r="L5" s="75"/>
      <c r="M5" s="75"/>
      <c r="N5" s="75"/>
      <c r="O5" s="75"/>
    </row>
    <row r="6" spans="1:15" ht="13.5" thickBot="1" x14ac:dyDescent="0.25">
      <c r="A6" s="73"/>
      <c r="B6" s="74"/>
      <c r="C6" s="74"/>
      <c r="D6" s="75"/>
      <c r="E6" s="75"/>
      <c r="F6" s="75"/>
      <c r="G6" s="75"/>
      <c r="H6" s="75"/>
      <c r="I6" s="75"/>
      <c r="J6" s="75"/>
      <c r="K6" s="75"/>
      <c r="L6" s="75"/>
      <c r="M6" s="75"/>
      <c r="N6" s="75"/>
      <c r="O6" s="75"/>
    </row>
    <row r="7" spans="1:15" ht="13.5" thickBot="1" x14ac:dyDescent="0.25">
      <c r="A7" s="106" t="s">
        <v>46</v>
      </c>
      <c r="B7" s="187"/>
      <c r="C7" s="188"/>
      <c r="D7" s="188"/>
      <c r="E7" s="188"/>
      <c r="F7" s="188"/>
      <c r="G7" s="189"/>
      <c r="H7" s="75"/>
      <c r="I7" s="75"/>
      <c r="J7" s="75"/>
      <c r="K7" s="75"/>
      <c r="L7" s="75"/>
      <c r="M7" s="75"/>
      <c r="N7" s="75"/>
      <c r="O7" s="75"/>
    </row>
    <row r="8" spans="1:15" ht="13.5" thickBot="1" x14ac:dyDescent="0.25">
      <c r="A8" s="77"/>
      <c r="B8" s="76"/>
      <c r="C8" s="76"/>
      <c r="D8" s="76"/>
      <c r="E8" s="76"/>
      <c r="F8" s="76"/>
      <c r="G8" s="76"/>
      <c r="H8" s="75"/>
      <c r="I8" s="75"/>
      <c r="J8" s="75"/>
      <c r="K8" s="75"/>
      <c r="L8" s="75"/>
      <c r="M8" s="75"/>
      <c r="N8" s="75"/>
      <c r="O8" s="75"/>
    </row>
    <row r="9" spans="1:15" ht="13.5" thickBot="1" x14ac:dyDescent="0.25">
      <c r="A9" s="106" t="s">
        <v>47</v>
      </c>
      <c r="B9" s="111"/>
      <c r="C9" s="74"/>
      <c r="D9" s="75"/>
      <c r="E9" s="75"/>
      <c r="F9" s="75"/>
      <c r="G9" s="75"/>
      <c r="H9" s="75"/>
      <c r="I9" s="75"/>
      <c r="J9" s="75"/>
      <c r="K9" s="75"/>
      <c r="L9" s="75"/>
      <c r="M9" s="75"/>
      <c r="N9" s="75"/>
      <c r="O9" s="75"/>
    </row>
    <row r="10" spans="1:15" ht="13.5" thickBot="1" x14ac:dyDescent="0.25">
      <c r="A10" s="77"/>
      <c r="B10" s="102"/>
      <c r="C10" s="74"/>
      <c r="D10" s="75"/>
      <c r="E10" s="75"/>
      <c r="F10" s="75"/>
      <c r="G10" s="75"/>
      <c r="H10" s="75"/>
      <c r="I10" s="75"/>
      <c r="J10" s="75"/>
      <c r="K10" s="75"/>
      <c r="L10" s="75"/>
      <c r="M10" s="75"/>
      <c r="N10" s="75"/>
      <c r="O10" s="75"/>
    </row>
    <row r="11" spans="1:15" ht="12" customHeight="1" x14ac:dyDescent="0.2">
      <c r="A11" s="194" t="s">
        <v>117</v>
      </c>
      <c r="B11" s="202"/>
      <c r="C11" s="203"/>
      <c r="D11" s="203"/>
      <c r="E11" s="203"/>
      <c r="F11" s="203"/>
      <c r="G11" s="204"/>
      <c r="H11" s="75"/>
      <c r="I11" s="75"/>
      <c r="J11" s="75"/>
      <c r="K11" s="75"/>
      <c r="L11" s="75"/>
      <c r="M11" s="75"/>
      <c r="N11" s="75"/>
      <c r="O11" s="75"/>
    </row>
    <row r="12" spans="1:15" x14ac:dyDescent="0.2">
      <c r="A12" s="195"/>
      <c r="B12" s="205"/>
      <c r="C12" s="206"/>
      <c r="D12" s="206"/>
      <c r="E12" s="206"/>
      <c r="F12" s="206"/>
      <c r="G12" s="207"/>
      <c r="H12" s="75"/>
      <c r="I12" s="75"/>
      <c r="J12" s="75"/>
      <c r="K12" s="75"/>
      <c r="L12" s="75"/>
      <c r="M12" s="75"/>
      <c r="N12" s="75"/>
      <c r="O12" s="75"/>
    </row>
    <row r="13" spans="1:15" x14ac:dyDescent="0.2">
      <c r="A13" s="195"/>
      <c r="B13" s="205"/>
      <c r="C13" s="206"/>
      <c r="D13" s="206"/>
      <c r="E13" s="206"/>
      <c r="F13" s="206"/>
      <c r="G13" s="207"/>
      <c r="H13" s="73"/>
      <c r="I13" s="75"/>
      <c r="J13" s="75"/>
      <c r="K13" s="75"/>
      <c r="L13" s="75"/>
      <c r="M13" s="75"/>
      <c r="N13" s="75"/>
      <c r="O13" s="75"/>
    </row>
    <row r="14" spans="1:15" ht="13.5" thickBot="1" x14ac:dyDescent="0.25">
      <c r="A14" s="195"/>
      <c r="B14" s="208"/>
      <c r="C14" s="209"/>
      <c r="D14" s="209"/>
      <c r="E14" s="209"/>
      <c r="F14" s="209"/>
      <c r="G14" s="210"/>
      <c r="H14" s="79"/>
      <c r="I14" s="75"/>
      <c r="J14" s="75"/>
      <c r="K14" s="75"/>
      <c r="L14" s="75"/>
      <c r="M14" s="75"/>
      <c r="N14" s="75"/>
      <c r="O14" s="75"/>
    </row>
    <row r="15" spans="1:15" ht="13.5" thickBot="1" x14ac:dyDescent="0.25">
      <c r="A15" s="73"/>
      <c r="B15" s="73"/>
      <c r="C15" s="73"/>
      <c r="D15" s="73"/>
      <c r="E15" s="73"/>
      <c r="F15" s="73"/>
      <c r="G15" s="73"/>
      <c r="H15" s="79"/>
      <c r="I15" s="75"/>
      <c r="J15" s="75"/>
      <c r="K15" s="75"/>
      <c r="L15" s="75"/>
      <c r="M15" s="75"/>
      <c r="N15" s="75"/>
      <c r="O15" s="75"/>
    </row>
    <row r="16" spans="1:15" x14ac:dyDescent="0.2">
      <c r="A16" s="194" t="s">
        <v>48</v>
      </c>
      <c r="B16" s="202"/>
      <c r="C16" s="203"/>
      <c r="D16" s="203"/>
      <c r="E16" s="203"/>
      <c r="F16" s="203"/>
      <c r="G16" s="204"/>
      <c r="H16" s="75"/>
      <c r="I16" s="75"/>
      <c r="J16" s="75"/>
      <c r="K16" s="75"/>
      <c r="L16" s="75"/>
      <c r="M16" s="75"/>
      <c r="N16" s="75"/>
      <c r="O16" s="75"/>
    </row>
    <row r="17" spans="1:16" x14ac:dyDescent="0.2">
      <c r="A17" s="195"/>
      <c r="B17" s="205"/>
      <c r="C17" s="206"/>
      <c r="D17" s="206"/>
      <c r="E17" s="206"/>
      <c r="F17" s="206"/>
      <c r="G17" s="207"/>
      <c r="H17" s="75"/>
      <c r="I17" s="75"/>
      <c r="J17" s="75"/>
      <c r="K17" s="75"/>
      <c r="L17" s="75"/>
      <c r="M17" s="75"/>
      <c r="N17" s="75"/>
      <c r="O17" s="75"/>
    </row>
    <row r="18" spans="1:16" x14ac:dyDescent="0.2">
      <c r="A18" s="195"/>
      <c r="B18" s="205"/>
      <c r="C18" s="206"/>
      <c r="D18" s="206"/>
      <c r="E18" s="206"/>
      <c r="F18" s="206"/>
      <c r="G18" s="207"/>
      <c r="H18" s="73"/>
      <c r="I18" s="75"/>
      <c r="J18" s="75"/>
      <c r="K18" s="75"/>
      <c r="L18" s="75"/>
      <c r="M18" s="75"/>
      <c r="N18" s="75"/>
      <c r="O18" s="75"/>
    </row>
    <row r="19" spans="1:16" ht="13.5" thickBot="1" x14ac:dyDescent="0.25">
      <c r="A19" s="195"/>
      <c r="B19" s="208"/>
      <c r="C19" s="209"/>
      <c r="D19" s="209"/>
      <c r="E19" s="209"/>
      <c r="F19" s="209"/>
      <c r="G19" s="210"/>
      <c r="H19" s="79"/>
      <c r="I19" s="75"/>
      <c r="J19" s="75"/>
      <c r="K19" s="75"/>
      <c r="L19" s="75"/>
      <c r="M19" s="75"/>
      <c r="N19" s="75"/>
      <c r="O19" s="75"/>
    </row>
    <row r="20" spans="1:16" ht="13.5" thickBot="1" x14ac:dyDescent="0.25">
      <c r="A20" s="73"/>
      <c r="B20" s="73"/>
      <c r="C20" s="73"/>
      <c r="D20" s="73"/>
      <c r="E20" s="73"/>
      <c r="F20" s="73"/>
      <c r="G20" s="73"/>
      <c r="H20" s="79"/>
      <c r="I20" s="75"/>
      <c r="J20" s="75"/>
      <c r="K20" s="75"/>
      <c r="L20" s="75"/>
      <c r="M20" s="75"/>
      <c r="N20" s="75"/>
      <c r="O20" s="75"/>
    </row>
    <row r="21" spans="1:16" ht="12.75" customHeight="1" x14ac:dyDescent="0.2">
      <c r="A21" s="190" t="s">
        <v>52</v>
      </c>
      <c r="B21" s="191"/>
      <c r="C21" s="191"/>
      <c r="D21" s="191"/>
      <c r="E21" s="191"/>
      <c r="F21" s="191"/>
      <c r="G21" s="192"/>
      <c r="H21" s="190" t="s">
        <v>53</v>
      </c>
      <c r="I21" s="191"/>
      <c r="J21" s="191"/>
      <c r="K21" s="192"/>
      <c r="L21" s="190" t="s">
        <v>64</v>
      </c>
      <c r="M21" s="191"/>
      <c r="N21" s="191"/>
      <c r="O21" s="192"/>
      <c r="P21" s="108" t="s">
        <v>51</v>
      </c>
    </row>
    <row r="22" spans="1:16" x14ac:dyDescent="0.2">
      <c r="A22" s="109" t="s">
        <v>54</v>
      </c>
      <c r="B22" s="196"/>
      <c r="C22" s="197"/>
      <c r="D22" s="197"/>
      <c r="E22" s="197"/>
      <c r="F22" s="197"/>
      <c r="G22" s="198"/>
      <c r="H22" s="193"/>
      <c r="I22" s="193"/>
      <c r="J22" s="193"/>
      <c r="K22" s="193"/>
      <c r="L22" s="193"/>
      <c r="M22" s="193"/>
      <c r="N22" s="193"/>
      <c r="O22" s="193"/>
      <c r="P22" s="103"/>
    </row>
    <row r="23" spans="1:16" x14ac:dyDescent="0.2">
      <c r="A23" s="109" t="s">
        <v>55</v>
      </c>
      <c r="B23" s="196"/>
      <c r="C23" s="197"/>
      <c r="D23" s="197"/>
      <c r="E23" s="197"/>
      <c r="F23" s="197"/>
      <c r="G23" s="198"/>
      <c r="H23" s="193"/>
      <c r="I23" s="193"/>
      <c r="J23" s="193"/>
      <c r="K23" s="193"/>
      <c r="L23" s="193"/>
      <c r="M23" s="193"/>
      <c r="N23" s="193"/>
      <c r="O23" s="193"/>
      <c r="P23" s="103"/>
    </row>
    <row r="24" spans="1:16" ht="13.5" customHeight="1" x14ac:dyDescent="0.2">
      <c r="A24" s="109" t="s">
        <v>56</v>
      </c>
      <c r="B24" s="199"/>
      <c r="C24" s="200"/>
      <c r="D24" s="200"/>
      <c r="E24" s="200"/>
      <c r="F24" s="200"/>
      <c r="G24" s="201"/>
      <c r="H24" s="193"/>
      <c r="I24" s="193"/>
      <c r="J24" s="193"/>
      <c r="K24" s="193"/>
      <c r="L24" s="193"/>
      <c r="M24" s="193"/>
      <c r="N24" s="193"/>
      <c r="O24" s="193"/>
      <c r="P24" s="103"/>
    </row>
    <row r="25" spans="1:16" x14ac:dyDescent="0.2">
      <c r="A25" s="109" t="s">
        <v>57</v>
      </c>
      <c r="B25" s="196"/>
      <c r="C25" s="197"/>
      <c r="D25" s="197"/>
      <c r="E25" s="197"/>
      <c r="F25" s="197"/>
      <c r="G25" s="198"/>
      <c r="H25" s="193"/>
      <c r="I25" s="193"/>
      <c r="J25" s="193"/>
      <c r="K25" s="193"/>
      <c r="L25" s="193"/>
      <c r="M25" s="193"/>
      <c r="N25" s="193"/>
      <c r="O25" s="193"/>
      <c r="P25" s="103"/>
    </row>
    <row r="26" spans="1:16" x14ac:dyDescent="0.2">
      <c r="A26" s="109" t="s">
        <v>58</v>
      </c>
      <c r="B26" s="196"/>
      <c r="C26" s="197"/>
      <c r="D26" s="197"/>
      <c r="E26" s="197"/>
      <c r="F26" s="197"/>
      <c r="G26" s="198"/>
      <c r="H26" s="193"/>
      <c r="I26" s="193"/>
      <c r="J26" s="193"/>
      <c r="K26" s="193"/>
      <c r="L26" s="193"/>
      <c r="M26" s="193"/>
      <c r="N26" s="193"/>
      <c r="O26" s="193"/>
      <c r="P26" s="103"/>
    </row>
    <row r="27" spans="1:16" x14ac:dyDescent="0.2">
      <c r="A27" s="109" t="s">
        <v>59</v>
      </c>
      <c r="B27" s="196"/>
      <c r="C27" s="197"/>
      <c r="D27" s="197"/>
      <c r="E27" s="197"/>
      <c r="F27" s="197"/>
      <c r="G27" s="198"/>
      <c r="H27" s="193"/>
      <c r="I27" s="193"/>
      <c r="J27" s="193"/>
      <c r="K27" s="193"/>
      <c r="L27" s="193"/>
      <c r="M27" s="193"/>
      <c r="N27" s="193"/>
      <c r="O27" s="193"/>
      <c r="P27" s="103"/>
    </row>
    <row r="28" spans="1:16" x14ac:dyDescent="0.2">
      <c r="A28" s="109" t="s">
        <v>60</v>
      </c>
      <c r="B28" s="196"/>
      <c r="C28" s="197"/>
      <c r="D28" s="197"/>
      <c r="E28" s="197"/>
      <c r="F28" s="197"/>
      <c r="G28" s="198"/>
      <c r="H28" s="193"/>
      <c r="I28" s="193"/>
      <c r="J28" s="193"/>
      <c r="K28" s="193"/>
      <c r="L28" s="193"/>
      <c r="M28" s="193"/>
      <c r="N28" s="193"/>
      <c r="O28" s="193"/>
      <c r="P28" s="103"/>
    </row>
    <row r="29" spans="1:16" x14ac:dyDescent="0.2">
      <c r="A29" s="109" t="s">
        <v>61</v>
      </c>
      <c r="B29" s="196"/>
      <c r="C29" s="197"/>
      <c r="D29" s="197"/>
      <c r="E29" s="197"/>
      <c r="F29" s="197"/>
      <c r="G29" s="198"/>
      <c r="H29" s="193"/>
      <c r="I29" s="193"/>
      <c r="J29" s="193"/>
      <c r="K29" s="193"/>
      <c r="L29" s="193"/>
      <c r="M29" s="193"/>
      <c r="N29" s="193"/>
      <c r="O29" s="193"/>
      <c r="P29" s="103"/>
    </row>
    <row r="30" spans="1:16" ht="13.5" thickBot="1" x14ac:dyDescent="0.25">
      <c r="A30" s="110" t="s">
        <v>62</v>
      </c>
      <c r="B30" s="212"/>
      <c r="C30" s="213"/>
      <c r="D30" s="213"/>
      <c r="E30" s="213"/>
      <c r="F30" s="213"/>
      <c r="G30" s="214"/>
      <c r="H30" s="211"/>
      <c r="I30" s="211"/>
      <c r="J30" s="211"/>
      <c r="K30" s="211"/>
      <c r="L30" s="211"/>
      <c r="M30" s="211"/>
      <c r="N30" s="211"/>
      <c r="O30" s="211"/>
      <c r="P30" s="104"/>
    </row>
    <row r="31" spans="1:16" x14ac:dyDescent="0.2">
      <c r="B31" s="105"/>
      <c r="C31" s="105"/>
      <c r="D31" s="105"/>
      <c r="E31" s="105"/>
      <c r="F31" s="105"/>
      <c r="G31" s="105"/>
      <c r="H31" s="105"/>
    </row>
    <row r="32" spans="1:16" x14ac:dyDescent="0.2">
      <c r="B32" s="105"/>
      <c r="C32" s="105"/>
      <c r="D32" s="105"/>
      <c r="E32" s="105"/>
      <c r="F32" s="105"/>
      <c r="G32" s="105"/>
      <c r="H32" s="105"/>
    </row>
  </sheetData>
  <mergeCells count="37">
    <mergeCell ref="L30:O30"/>
    <mergeCell ref="L25:O25"/>
    <mergeCell ref="B29:G29"/>
    <mergeCell ref="B30:G30"/>
    <mergeCell ref="H25:K25"/>
    <mergeCell ref="H30:K30"/>
    <mergeCell ref="L27:O27"/>
    <mergeCell ref="L28:O28"/>
    <mergeCell ref="L29:O29"/>
    <mergeCell ref="H26:K26"/>
    <mergeCell ref="H27:K27"/>
    <mergeCell ref="A11:A14"/>
    <mergeCell ref="A16:A19"/>
    <mergeCell ref="B28:G28"/>
    <mergeCell ref="H28:K28"/>
    <mergeCell ref="H29:K29"/>
    <mergeCell ref="A21:G21"/>
    <mergeCell ref="B22:G22"/>
    <mergeCell ref="B23:G23"/>
    <mergeCell ref="B24:G24"/>
    <mergeCell ref="B27:G27"/>
    <mergeCell ref="H24:K24"/>
    <mergeCell ref="H23:K23"/>
    <mergeCell ref="B11:G14"/>
    <mergeCell ref="B16:G19"/>
    <mergeCell ref="B25:G25"/>
    <mergeCell ref="B26:G26"/>
    <mergeCell ref="L21:O21"/>
    <mergeCell ref="L22:O22"/>
    <mergeCell ref="L23:O23"/>
    <mergeCell ref="L24:O24"/>
    <mergeCell ref="L26:O26"/>
    <mergeCell ref="B1:G1"/>
    <mergeCell ref="B3:G3"/>
    <mergeCell ref="B7:G7"/>
    <mergeCell ref="H21:K21"/>
    <mergeCell ref="H22:K22"/>
  </mergeCells>
  <conditionalFormatting sqref="B9:B10">
    <cfRule type="cellIs" dxfId="19" priority="3" operator="equal">
      <formula>"Nok"</formula>
    </cfRule>
    <cfRule type="cellIs" dxfId="18" priority="4" operator="equal">
      <formula>"Ok"</formula>
    </cfRule>
  </conditionalFormatting>
  <conditionalFormatting sqref="P22:P30">
    <cfRule type="cellIs" dxfId="17" priority="1" operator="equal">
      <formula>"Nok"</formula>
    </cfRule>
    <cfRule type="cellIs" dxfId="16" priority="2"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2:P30" xr:uid="{00000000-0002-0000-0400-000002000000}">
      <formula1>"Ok, Nok, Not run, ,"</formula1>
    </dataValidation>
  </dataValidations>
  <pageMargins left="0.7" right="0.7" top="0.75" bottom="0.75" header="0.3" footer="0.3"/>
  <pageSetup paperSize="9" orientation="portrait" r:id="rId1"/>
  <headerFooter>
    <oddFooter>&amp;LTBD rev TBD ver TBD&amp;R&amp;P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1872D-7A03-4CF7-9E2E-D5A18B81FB1A}">
  <sheetPr codeName="Sheet7"/>
  <dimension ref="A1:P33"/>
  <sheetViews>
    <sheetView tabSelected="1" workbookViewId="0">
      <selection activeCell="L29" sqref="L29:O29"/>
    </sheetView>
  </sheetViews>
  <sheetFormatPr defaultRowHeight="12.75" x14ac:dyDescent="0.2"/>
  <cols>
    <col min="1" max="1" width="20.140625" style="105" customWidth="1"/>
    <col min="2" max="2" width="18.42578125" style="101" customWidth="1"/>
    <col min="3" max="7" width="9.140625" style="101"/>
    <col min="8" max="15" width="9.5703125" style="101" customWidth="1"/>
    <col min="16" max="16384" width="9.140625" style="101"/>
  </cols>
  <sheetData>
    <row r="1" spans="1:15" ht="13.5" thickBot="1" x14ac:dyDescent="0.25">
      <c r="A1" s="106" t="s">
        <v>45</v>
      </c>
      <c r="B1" s="184" t="s">
        <v>138</v>
      </c>
      <c r="C1" s="185"/>
      <c r="D1" s="185"/>
      <c r="E1" s="185"/>
      <c r="F1" s="185"/>
      <c r="G1" s="186"/>
      <c r="H1" s="75"/>
      <c r="I1" s="75"/>
      <c r="J1" s="75"/>
      <c r="K1" s="75"/>
      <c r="L1" s="75"/>
      <c r="M1" s="75"/>
      <c r="N1" s="75"/>
      <c r="O1" s="75"/>
    </row>
    <row r="2" spans="1:15" ht="13.5" thickBot="1" x14ac:dyDescent="0.25">
      <c r="A2" s="73"/>
      <c r="B2" s="74"/>
      <c r="C2" s="74"/>
      <c r="D2" s="75"/>
      <c r="E2" s="75"/>
      <c r="F2" s="75"/>
      <c r="G2" s="75"/>
      <c r="H2" s="75"/>
      <c r="I2" s="75"/>
      <c r="J2" s="75"/>
      <c r="K2" s="75"/>
      <c r="L2" s="75"/>
      <c r="M2" s="75"/>
      <c r="N2" s="75"/>
      <c r="O2" s="75"/>
    </row>
    <row r="3" spans="1:15" ht="26.25" thickBot="1" x14ac:dyDescent="0.25">
      <c r="A3" s="107" t="s">
        <v>50</v>
      </c>
      <c r="B3" s="187"/>
      <c r="C3" s="188"/>
      <c r="D3" s="188"/>
      <c r="E3" s="188"/>
      <c r="F3" s="188"/>
      <c r="G3" s="189"/>
      <c r="H3" s="75"/>
      <c r="I3" s="75"/>
      <c r="J3" s="75"/>
      <c r="K3" s="75"/>
      <c r="L3" s="75"/>
      <c r="M3" s="75"/>
      <c r="N3" s="75"/>
      <c r="O3" s="75"/>
    </row>
    <row r="4" spans="1:15" ht="13.5" thickBot="1" x14ac:dyDescent="0.25">
      <c r="A4" s="73"/>
      <c r="B4" s="74"/>
      <c r="C4" s="74"/>
      <c r="D4" s="75"/>
      <c r="E4" s="75"/>
      <c r="F4" s="75"/>
      <c r="G4" s="75"/>
      <c r="H4" s="75"/>
      <c r="I4" s="75"/>
      <c r="J4" s="75"/>
      <c r="K4" s="75"/>
      <c r="L4" s="75"/>
      <c r="M4" s="75"/>
      <c r="N4" s="75"/>
      <c r="O4" s="75"/>
    </row>
    <row r="5" spans="1:15" ht="13.5" thickBot="1" x14ac:dyDescent="0.25">
      <c r="A5" s="106" t="s">
        <v>115</v>
      </c>
      <c r="B5" s="78" t="s">
        <v>139</v>
      </c>
      <c r="C5" s="74"/>
      <c r="D5" s="75"/>
      <c r="E5" s="75"/>
      <c r="F5" s="75"/>
      <c r="G5" s="75"/>
      <c r="H5" s="75"/>
      <c r="I5" s="75"/>
      <c r="J5" s="75"/>
      <c r="K5" s="75"/>
      <c r="L5" s="75"/>
      <c r="M5" s="75"/>
      <c r="N5" s="75"/>
      <c r="O5" s="75"/>
    </row>
    <row r="6" spans="1:15" ht="13.5" thickBot="1" x14ac:dyDescent="0.25">
      <c r="A6" s="73"/>
      <c r="B6" s="74"/>
      <c r="C6" s="74"/>
      <c r="D6" s="75"/>
      <c r="E6" s="75"/>
      <c r="F6" s="75"/>
      <c r="G6" s="75"/>
      <c r="H6" s="75"/>
      <c r="I6" s="75"/>
      <c r="J6" s="75"/>
      <c r="K6" s="75"/>
      <c r="L6" s="75"/>
      <c r="M6" s="75"/>
      <c r="N6" s="75"/>
      <c r="O6" s="75"/>
    </row>
    <row r="7" spans="1:15" ht="13.5" thickBot="1" x14ac:dyDescent="0.25">
      <c r="A7" s="106" t="s">
        <v>46</v>
      </c>
      <c r="B7" s="187" t="s">
        <v>142</v>
      </c>
      <c r="C7" s="188"/>
      <c r="D7" s="188"/>
      <c r="E7" s="188"/>
      <c r="F7" s="188"/>
      <c r="G7" s="189"/>
      <c r="H7" s="75"/>
      <c r="I7" s="75"/>
      <c r="J7" s="75"/>
      <c r="K7" s="75"/>
      <c r="L7" s="75"/>
      <c r="M7" s="75"/>
      <c r="N7" s="75"/>
      <c r="O7" s="75"/>
    </row>
    <row r="8" spans="1:15" ht="13.5" thickBot="1" x14ac:dyDescent="0.25">
      <c r="A8" s="77"/>
      <c r="B8" s="76"/>
      <c r="C8" s="76"/>
      <c r="D8" s="76"/>
      <c r="E8" s="76"/>
      <c r="F8" s="76"/>
      <c r="G8" s="76"/>
      <c r="H8" s="75"/>
      <c r="I8" s="75"/>
      <c r="J8" s="75"/>
      <c r="K8" s="75"/>
      <c r="L8" s="75"/>
      <c r="M8" s="75"/>
      <c r="N8" s="75"/>
      <c r="O8" s="75"/>
    </row>
    <row r="9" spans="1:15" ht="13.5" thickBot="1" x14ac:dyDescent="0.25">
      <c r="A9" s="106" t="s">
        <v>47</v>
      </c>
      <c r="B9" s="111" t="s">
        <v>140</v>
      </c>
      <c r="C9" s="74"/>
      <c r="D9" s="75"/>
      <c r="E9" s="75"/>
      <c r="F9" s="75"/>
      <c r="G9" s="75"/>
      <c r="H9" s="75"/>
      <c r="I9" s="75"/>
      <c r="J9" s="75"/>
      <c r="K9" s="75"/>
      <c r="L9" s="75"/>
      <c r="M9" s="75"/>
      <c r="N9" s="75"/>
      <c r="O9" s="75"/>
    </row>
    <row r="10" spans="1:15" ht="13.5" thickBot="1" x14ac:dyDescent="0.25">
      <c r="A10" s="77"/>
      <c r="B10" s="102"/>
      <c r="C10" s="74"/>
      <c r="D10" s="75"/>
      <c r="E10" s="75"/>
      <c r="F10" s="75"/>
      <c r="G10" s="75"/>
      <c r="H10" s="75"/>
      <c r="I10" s="75"/>
      <c r="J10" s="75"/>
      <c r="K10" s="75"/>
      <c r="L10" s="75"/>
      <c r="M10" s="75"/>
      <c r="N10" s="75"/>
      <c r="O10" s="75"/>
    </row>
    <row r="11" spans="1:15" ht="12" customHeight="1" x14ac:dyDescent="0.2">
      <c r="A11" s="194" t="s">
        <v>117</v>
      </c>
      <c r="B11" s="202" t="s">
        <v>141</v>
      </c>
      <c r="C11" s="203"/>
      <c r="D11" s="203"/>
      <c r="E11" s="203"/>
      <c r="F11" s="203"/>
      <c r="G11" s="204"/>
      <c r="H11" s="75"/>
      <c r="I11" s="75"/>
      <c r="J11" s="75"/>
      <c r="K11" s="75"/>
      <c r="L11" s="75"/>
      <c r="M11" s="75"/>
      <c r="N11" s="75"/>
      <c r="O11" s="75"/>
    </row>
    <row r="12" spans="1:15" x14ac:dyDescent="0.2">
      <c r="A12" s="195"/>
      <c r="B12" s="205"/>
      <c r="C12" s="206"/>
      <c r="D12" s="206"/>
      <c r="E12" s="206"/>
      <c r="F12" s="206"/>
      <c r="G12" s="207"/>
      <c r="H12" s="75"/>
      <c r="I12" s="75"/>
      <c r="J12" s="75"/>
      <c r="K12" s="75"/>
      <c r="L12" s="75"/>
      <c r="M12" s="75"/>
      <c r="N12" s="75"/>
      <c r="O12" s="75"/>
    </row>
    <row r="13" spans="1:15" x14ac:dyDescent="0.2">
      <c r="A13" s="195"/>
      <c r="B13" s="205"/>
      <c r="C13" s="206"/>
      <c r="D13" s="206"/>
      <c r="E13" s="206"/>
      <c r="F13" s="206"/>
      <c r="G13" s="207"/>
      <c r="H13" s="73"/>
      <c r="I13" s="75"/>
      <c r="J13" s="75"/>
      <c r="K13" s="75"/>
      <c r="L13" s="75"/>
      <c r="M13" s="75"/>
      <c r="N13" s="75"/>
      <c r="O13" s="75"/>
    </row>
    <row r="14" spans="1:15" ht="13.5" thickBot="1" x14ac:dyDescent="0.25">
      <c r="A14" s="195"/>
      <c r="B14" s="208"/>
      <c r="C14" s="209"/>
      <c r="D14" s="209"/>
      <c r="E14" s="209"/>
      <c r="F14" s="209"/>
      <c r="G14" s="210"/>
      <c r="H14" s="79"/>
      <c r="I14" s="75"/>
      <c r="J14" s="75"/>
      <c r="K14" s="75"/>
      <c r="L14" s="75"/>
      <c r="M14" s="75"/>
      <c r="N14" s="75"/>
      <c r="O14" s="75"/>
    </row>
    <row r="15" spans="1:15" ht="13.5" thickBot="1" x14ac:dyDescent="0.25">
      <c r="A15" s="73"/>
      <c r="B15" s="73"/>
      <c r="C15" s="73"/>
      <c r="D15" s="73"/>
      <c r="E15" s="73"/>
      <c r="F15" s="73"/>
      <c r="G15" s="73"/>
      <c r="H15" s="79"/>
      <c r="I15" s="75"/>
      <c r="J15" s="75"/>
      <c r="K15" s="75"/>
      <c r="L15" s="75"/>
      <c r="M15" s="75"/>
      <c r="N15" s="75"/>
      <c r="O15" s="75"/>
    </row>
    <row r="16" spans="1:15" x14ac:dyDescent="0.2">
      <c r="A16" s="194" t="s">
        <v>48</v>
      </c>
      <c r="B16" s="202" t="s">
        <v>143</v>
      </c>
      <c r="C16" s="203"/>
      <c r="D16" s="203"/>
      <c r="E16" s="203"/>
      <c r="F16" s="203"/>
      <c r="G16" s="204"/>
      <c r="H16" s="75"/>
      <c r="I16" s="75"/>
      <c r="J16" s="75"/>
      <c r="K16" s="75"/>
      <c r="L16" s="75"/>
      <c r="M16" s="75"/>
      <c r="N16" s="75"/>
      <c r="O16" s="75"/>
    </row>
    <row r="17" spans="1:16" x14ac:dyDescent="0.2">
      <c r="A17" s="195"/>
      <c r="B17" s="205"/>
      <c r="C17" s="206"/>
      <c r="D17" s="206"/>
      <c r="E17" s="206"/>
      <c r="F17" s="206"/>
      <c r="G17" s="207"/>
      <c r="H17" s="75"/>
      <c r="I17" s="75"/>
      <c r="J17" s="75"/>
      <c r="K17" s="75"/>
      <c r="L17" s="75"/>
      <c r="M17" s="75"/>
      <c r="N17" s="75"/>
      <c r="O17" s="75"/>
    </row>
    <row r="18" spans="1:16" x14ac:dyDescent="0.2">
      <c r="A18" s="195"/>
      <c r="B18" s="205"/>
      <c r="C18" s="206"/>
      <c r="D18" s="206"/>
      <c r="E18" s="206"/>
      <c r="F18" s="206"/>
      <c r="G18" s="207"/>
      <c r="H18" s="73"/>
      <c r="I18" s="75"/>
      <c r="J18" s="75"/>
      <c r="K18" s="75"/>
      <c r="L18" s="75"/>
      <c r="M18" s="75"/>
      <c r="N18" s="75"/>
      <c r="O18" s="75"/>
    </row>
    <row r="19" spans="1:16" ht="13.5" thickBot="1" x14ac:dyDescent="0.25">
      <c r="A19" s="195"/>
      <c r="B19" s="208"/>
      <c r="C19" s="209"/>
      <c r="D19" s="209"/>
      <c r="E19" s="209"/>
      <c r="F19" s="209"/>
      <c r="G19" s="210"/>
      <c r="H19" s="79"/>
      <c r="I19" s="75"/>
      <c r="J19" s="75"/>
      <c r="K19" s="75"/>
      <c r="L19" s="75"/>
      <c r="M19" s="75"/>
      <c r="N19" s="75"/>
      <c r="O19" s="75"/>
    </row>
    <row r="20" spans="1:16" ht="13.5" thickBot="1" x14ac:dyDescent="0.25">
      <c r="A20" s="73"/>
      <c r="B20" s="73"/>
      <c r="C20" s="73"/>
      <c r="D20" s="73"/>
      <c r="E20" s="73"/>
      <c r="F20" s="73"/>
      <c r="G20" s="73"/>
      <c r="H20" s="79"/>
      <c r="I20" s="75"/>
      <c r="J20" s="75"/>
      <c r="K20" s="75"/>
      <c r="L20" s="75"/>
      <c r="M20" s="75"/>
      <c r="N20" s="75"/>
      <c r="O20" s="75"/>
    </row>
    <row r="21" spans="1:16" ht="12.75" customHeight="1" x14ac:dyDescent="0.2">
      <c r="A21" s="190" t="s">
        <v>52</v>
      </c>
      <c r="B21" s="191"/>
      <c r="C21" s="191"/>
      <c r="D21" s="191"/>
      <c r="E21" s="191"/>
      <c r="F21" s="191"/>
      <c r="G21" s="192"/>
      <c r="H21" s="190" t="s">
        <v>53</v>
      </c>
      <c r="I21" s="191"/>
      <c r="J21" s="191"/>
      <c r="K21" s="192"/>
      <c r="L21" s="190" t="s">
        <v>64</v>
      </c>
      <c r="M21" s="191"/>
      <c r="N21" s="191"/>
      <c r="O21" s="192"/>
      <c r="P21" s="108" t="s">
        <v>51</v>
      </c>
    </row>
    <row r="22" spans="1:16" x14ac:dyDescent="0.2">
      <c r="A22" s="109" t="s">
        <v>54</v>
      </c>
      <c r="B22" s="196" t="s">
        <v>144</v>
      </c>
      <c r="C22" s="197"/>
      <c r="D22" s="197"/>
      <c r="E22" s="197"/>
      <c r="F22" s="197"/>
      <c r="G22" s="198"/>
      <c r="H22" s="193" t="s">
        <v>146</v>
      </c>
      <c r="I22" s="193"/>
      <c r="J22" s="193"/>
      <c r="K22" s="193"/>
      <c r="L22" s="193" t="s">
        <v>145</v>
      </c>
      <c r="M22" s="193"/>
      <c r="N22" s="193"/>
      <c r="O22" s="193"/>
      <c r="P22" s="103" t="s">
        <v>140</v>
      </c>
    </row>
    <row r="23" spans="1:16" x14ac:dyDescent="0.2">
      <c r="A23" s="109" t="s">
        <v>55</v>
      </c>
      <c r="B23" s="196" t="s">
        <v>152</v>
      </c>
      <c r="C23" s="197"/>
      <c r="D23" s="197"/>
      <c r="E23" s="197"/>
      <c r="F23" s="197"/>
      <c r="G23" s="198"/>
      <c r="H23" s="193" t="s">
        <v>148</v>
      </c>
      <c r="I23" s="193"/>
      <c r="J23" s="193"/>
      <c r="K23" s="193"/>
      <c r="L23" s="193" t="s">
        <v>148</v>
      </c>
      <c r="M23" s="193"/>
      <c r="N23" s="193"/>
      <c r="O23" s="193"/>
      <c r="P23" s="103" t="s">
        <v>140</v>
      </c>
    </row>
    <row r="24" spans="1:16" ht="13.5" customHeight="1" x14ac:dyDescent="0.2">
      <c r="A24" s="109" t="s">
        <v>56</v>
      </c>
      <c r="B24" s="196" t="s">
        <v>144</v>
      </c>
      <c r="C24" s="197"/>
      <c r="D24" s="197"/>
      <c r="E24" s="197"/>
      <c r="F24" s="197"/>
      <c r="G24" s="198"/>
      <c r="H24" s="193" t="s">
        <v>149</v>
      </c>
      <c r="I24" s="193"/>
      <c r="J24" s="193"/>
      <c r="K24" s="193"/>
      <c r="L24" s="193" t="s">
        <v>147</v>
      </c>
      <c r="M24" s="193"/>
      <c r="N24" s="193"/>
      <c r="O24" s="193"/>
      <c r="P24" s="103" t="s">
        <v>140</v>
      </c>
    </row>
    <row r="25" spans="1:16" x14ac:dyDescent="0.2">
      <c r="A25" s="109" t="s">
        <v>57</v>
      </c>
      <c r="B25" s="196" t="s">
        <v>153</v>
      </c>
      <c r="C25" s="197"/>
      <c r="D25" s="197"/>
      <c r="E25" s="197"/>
      <c r="F25" s="197"/>
      <c r="G25" s="198"/>
      <c r="H25" s="193" t="s">
        <v>151</v>
      </c>
      <c r="I25" s="193"/>
      <c r="J25" s="193"/>
      <c r="K25" s="193"/>
      <c r="L25" s="193" t="s">
        <v>150</v>
      </c>
      <c r="M25" s="193"/>
      <c r="N25" s="193"/>
      <c r="O25" s="193"/>
      <c r="P25" s="103" t="s">
        <v>140</v>
      </c>
    </row>
    <row r="26" spans="1:16" ht="26.25" customHeight="1" x14ac:dyDescent="0.2">
      <c r="A26" s="109" t="s">
        <v>58</v>
      </c>
      <c r="B26" s="196" t="s">
        <v>155</v>
      </c>
      <c r="C26" s="197"/>
      <c r="D26" s="197"/>
      <c r="E26" s="197"/>
      <c r="F26" s="197"/>
      <c r="G26" s="198"/>
      <c r="H26" s="193" t="s">
        <v>156</v>
      </c>
      <c r="I26" s="193"/>
      <c r="J26" s="193"/>
      <c r="K26" s="193"/>
      <c r="L26" s="193" t="s">
        <v>156</v>
      </c>
      <c r="M26" s="193"/>
      <c r="N26" s="193"/>
      <c r="O26" s="193"/>
      <c r="P26" s="103" t="s">
        <v>140</v>
      </c>
    </row>
    <row r="27" spans="1:16" x14ac:dyDescent="0.2">
      <c r="A27" s="109" t="s">
        <v>59</v>
      </c>
      <c r="B27" s="196" t="s">
        <v>154</v>
      </c>
      <c r="C27" s="197"/>
      <c r="D27" s="197"/>
      <c r="E27" s="197"/>
      <c r="F27" s="197"/>
      <c r="G27" s="198"/>
      <c r="H27" s="193" t="s">
        <v>159</v>
      </c>
      <c r="I27" s="193"/>
      <c r="J27" s="193"/>
      <c r="K27" s="193"/>
      <c r="L27" s="193" t="s">
        <v>159</v>
      </c>
      <c r="M27" s="193"/>
      <c r="N27" s="193"/>
      <c r="O27" s="193"/>
      <c r="P27" s="103" t="s">
        <v>140</v>
      </c>
    </row>
    <row r="28" spans="1:16" ht="12.75" customHeight="1" x14ac:dyDescent="0.2">
      <c r="A28" s="109" t="s">
        <v>60</v>
      </c>
      <c r="B28" s="196" t="s">
        <v>152</v>
      </c>
      <c r="C28" s="197"/>
      <c r="D28" s="197"/>
      <c r="E28" s="197"/>
      <c r="F28" s="197"/>
      <c r="G28" s="198"/>
      <c r="H28" s="193" t="s">
        <v>148</v>
      </c>
      <c r="I28" s="193"/>
      <c r="J28" s="193"/>
      <c r="K28" s="193"/>
      <c r="L28" s="193" t="s">
        <v>148</v>
      </c>
      <c r="M28" s="193"/>
      <c r="N28" s="193"/>
      <c r="O28" s="193"/>
      <c r="P28" s="103" t="s">
        <v>140</v>
      </c>
    </row>
    <row r="29" spans="1:16" ht="12.75" customHeight="1" x14ac:dyDescent="0.2">
      <c r="A29" s="109" t="s">
        <v>61</v>
      </c>
      <c r="B29" s="196" t="s">
        <v>144</v>
      </c>
      <c r="C29" s="197"/>
      <c r="D29" s="197"/>
      <c r="E29" s="197"/>
      <c r="F29" s="197"/>
      <c r="G29" s="198"/>
      <c r="H29" s="193" t="s">
        <v>158</v>
      </c>
      <c r="I29" s="193"/>
      <c r="J29" s="193"/>
      <c r="K29" s="193"/>
      <c r="L29" s="193" t="s">
        <v>157</v>
      </c>
      <c r="M29" s="193"/>
      <c r="N29" s="193"/>
      <c r="O29" s="193"/>
      <c r="P29" s="103" t="s">
        <v>140</v>
      </c>
    </row>
    <row r="30" spans="1:16" x14ac:dyDescent="0.2">
      <c r="A30" s="109" t="s">
        <v>62</v>
      </c>
      <c r="B30" s="193" t="s">
        <v>162</v>
      </c>
      <c r="C30" s="193"/>
      <c r="D30" s="193"/>
      <c r="E30" s="193"/>
      <c r="F30" s="193"/>
      <c r="G30" s="193"/>
      <c r="H30" s="193" t="s">
        <v>163</v>
      </c>
      <c r="I30" s="193"/>
      <c r="J30" s="193"/>
      <c r="K30" s="193"/>
      <c r="L30" s="193" t="s">
        <v>163</v>
      </c>
      <c r="M30" s="193"/>
      <c r="N30" s="193"/>
      <c r="O30" s="193"/>
      <c r="P30" s="103" t="s">
        <v>140</v>
      </c>
    </row>
    <row r="31" spans="1:16" x14ac:dyDescent="0.2">
      <c r="A31" s="109" t="s">
        <v>160</v>
      </c>
      <c r="B31" s="193" t="s">
        <v>164</v>
      </c>
      <c r="C31" s="193"/>
      <c r="D31" s="193"/>
      <c r="E31" s="193"/>
      <c r="F31" s="193"/>
      <c r="G31" s="193"/>
      <c r="H31" s="193" t="s">
        <v>165</v>
      </c>
      <c r="I31" s="193"/>
      <c r="J31" s="193"/>
      <c r="K31" s="193"/>
      <c r="L31" s="193" t="s">
        <v>165</v>
      </c>
      <c r="M31" s="193"/>
      <c r="N31" s="193"/>
      <c r="O31" s="193"/>
      <c r="P31" s="103" t="s">
        <v>140</v>
      </c>
    </row>
    <row r="32" spans="1:16" ht="13.5" thickBot="1" x14ac:dyDescent="0.25">
      <c r="A32" s="110" t="s">
        <v>161</v>
      </c>
      <c r="B32" s="196" t="s">
        <v>144</v>
      </c>
      <c r="C32" s="197"/>
      <c r="D32" s="197"/>
      <c r="E32" s="197"/>
      <c r="F32" s="197"/>
      <c r="G32" s="198"/>
      <c r="H32" s="193" t="s">
        <v>149</v>
      </c>
      <c r="I32" s="193"/>
      <c r="J32" s="193"/>
      <c r="K32" s="193"/>
      <c r="L32" s="193" t="s">
        <v>147</v>
      </c>
      <c r="M32" s="193"/>
      <c r="N32" s="193"/>
      <c r="O32" s="193"/>
      <c r="P32" s="103" t="s">
        <v>140</v>
      </c>
    </row>
    <row r="33" spans="1:1" x14ac:dyDescent="0.2">
      <c r="A33" s="101"/>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6:G26"/>
    <mergeCell ref="H28:K28"/>
    <mergeCell ref="L28:O28"/>
    <mergeCell ref="B28:G28"/>
    <mergeCell ref="B25:G25"/>
    <mergeCell ref="H25:K25"/>
    <mergeCell ref="L25:O25"/>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B1:G1"/>
    <mergeCell ref="B3:G3"/>
    <mergeCell ref="B7:G7"/>
    <mergeCell ref="A11:A14"/>
    <mergeCell ref="B11:G14"/>
    <mergeCell ref="A16:A19"/>
    <mergeCell ref="B16:G19"/>
  </mergeCells>
  <phoneticPr fontId="42" type="noConversion"/>
  <conditionalFormatting sqref="B9:B10">
    <cfRule type="cellIs" dxfId="15" priority="13" operator="equal">
      <formula>"Nok"</formula>
    </cfRule>
    <cfRule type="cellIs" dxfId="14" priority="14" operator="equal">
      <formula>"Ok"</formula>
    </cfRule>
  </conditionalFormatting>
  <conditionalFormatting sqref="P22:P27">
    <cfRule type="cellIs" dxfId="13" priority="11" operator="equal">
      <formula>"Nok"</formula>
    </cfRule>
    <cfRule type="cellIs" dxfId="12" priority="12" operator="equal">
      <formula>"Ok"</formula>
    </cfRule>
  </conditionalFormatting>
  <conditionalFormatting sqref="P29">
    <cfRule type="cellIs" dxfId="11" priority="7" operator="equal">
      <formula>"Nok"</formula>
    </cfRule>
    <cfRule type="cellIs" dxfId="10" priority="8" operator="equal">
      <formula>"Ok"</formula>
    </cfRule>
  </conditionalFormatting>
  <conditionalFormatting sqref="P28">
    <cfRule type="cellIs" dxfId="9" priority="9" operator="equal">
      <formula>"Nok"</formula>
    </cfRule>
    <cfRule type="cellIs" dxfId="8" priority="10" operator="equal">
      <formula>"Ok"</formula>
    </cfRule>
  </conditionalFormatting>
  <conditionalFormatting sqref="P30">
    <cfRule type="cellIs" dxfId="5" priority="5" operator="equal">
      <formula>"Nok"</formula>
    </cfRule>
    <cfRule type="cellIs" dxfId="4" priority="6" operator="equal">
      <formula>"Ok"</formula>
    </cfRule>
  </conditionalFormatting>
  <conditionalFormatting sqref="P31">
    <cfRule type="cellIs" dxfId="3" priority="3" operator="equal">
      <formula>"Nok"</formula>
    </cfRule>
    <cfRule type="cellIs" dxfId="2" priority="4" operator="equal">
      <formula>"Ok"</formula>
    </cfRule>
  </conditionalFormatting>
  <conditionalFormatting sqref="P32">
    <cfRule type="cellIs" dxfId="1" priority="1" operator="equal">
      <formula>"Nok"</formula>
    </cfRule>
    <cfRule type="cellIs" dxfId="0" priority="2" operator="equal">
      <formula>"Ok"</formula>
    </cfRule>
  </conditionalFormatting>
  <dataValidations count="3">
    <dataValidation type="list" allowBlank="1" showInputMessage="1" showErrorMessage="1" sqref="P22:P32" xr:uid="{78DA1117-0BCB-484A-9783-BB1151D4D51D}">
      <formula1>"Ok, Nok, Not run, ,"</formula1>
    </dataValidation>
    <dataValidation type="list" allowBlank="1" showInputMessage="1" showErrorMessage="1" sqref="B9" xr:uid="{AD086372-A8CA-49DD-8D0F-1A1E475A21D0}">
      <formula1>"Ok, Nok, Not run, NA"</formula1>
    </dataValidation>
    <dataValidation type="list" allowBlank="1" showInputMessage="1" showErrorMessage="1" sqref="B5" xr:uid="{A54520E7-3540-4323-9D88-6E56AAB45822}">
      <formula1>"Nominal, Robustness, Endurance, Qualification"</formula1>
    </dataValidation>
  </dataValidations>
  <pageMargins left="0.7" right="0.7" top="0.75" bottom="0.75" header="0.3" footer="0.3"/>
  <pageSetup paperSize="9" orientation="portrait" r:id="rId1"/>
  <headerFooter>
    <oddFooter>&amp;LTBD rev TBD ver TBD&amp;R&amp;P</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RowHeight="15" x14ac:dyDescent="0.25"/>
  <cols>
    <col min="1" max="1" width="4.28515625" style="80" customWidth="1"/>
    <col min="2" max="2" width="24.85546875" style="80" customWidth="1"/>
    <col min="3" max="3" width="4.5703125" style="80" customWidth="1"/>
    <col min="4" max="4" width="4.42578125" style="80" customWidth="1"/>
    <col min="5" max="5" width="29.85546875" style="80" bestFit="1" customWidth="1"/>
    <col min="6" max="6" width="7.7109375" style="80" bestFit="1" customWidth="1"/>
    <col min="7" max="16384" width="9.140625" style="80"/>
  </cols>
  <sheetData>
    <row r="2" spans="2:6" x14ac:dyDescent="0.25">
      <c r="B2" s="81" t="s">
        <v>65</v>
      </c>
      <c r="C2" s="81">
        <f ca="1">COUNTIF('Tests Synthesis'!K3:K47, "Ok")</f>
        <v>0</v>
      </c>
      <c r="E2" s="82" t="s">
        <v>66</v>
      </c>
      <c r="F2" s="83">
        <f ca="1">IF(C6=0,0,C2/C6)</f>
        <v>0</v>
      </c>
    </row>
    <row r="3" spans="2:6" x14ac:dyDescent="0.25">
      <c r="B3" s="81" t="s">
        <v>67</v>
      </c>
      <c r="C3" s="81">
        <f ca="1">COUNTIF('Tests Synthesis'!K3:K47, "Nok")</f>
        <v>0</v>
      </c>
      <c r="E3" s="82" t="s">
        <v>68</v>
      </c>
      <c r="F3" s="83">
        <f ca="1">IF(C6=0,0,C3/C6)</f>
        <v>0</v>
      </c>
    </row>
    <row r="4" spans="2:6" x14ac:dyDescent="0.25">
      <c r="B4" s="81" t="s">
        <v>69</v>
      </c>
      <c r="C4" s="81">
        <f ca="1">COUNTIF('Tests Synthesis'!K3:K47, "not run")</f>
        <v>0</v>
      </c>
      <c r="E4" s="81" t="s">
        <v>70</v>
      </c>
      <c r="F4" s="83">
        <f ca="1">IF(C6=0,0,C4/C6)</f>
        <v>0</v>
      </c>
    </row>
    <row r="5" spans="2:6" x14ac:dyDescent="0.25">
      <c r="B5" s="81" t="s">
        <v>122</v>
      </c>
      <c r="C5" s="81">
        <f ca="1">COUNTIF('Tests Synthesis'!K4:K48, "NA")</f>
        <v>0</v>
      </c>
      <c r="E5" s="81" t="s">
        <v>123</v>
      </c>
      <c r="F5" s="83">
        <f>IF(C7=0,0,C5/C7)</f>
        <v>0</v>
      </c>
    </row>
    <row r="6" spans="2:6" x14ac:dyDescent="0.25">
      <c r="B6" s="81" t="s">
        <v>71</v>
      </c>
      <c r="C6" s="81">
        <f ca="1">SUM(C2:C4)</f>
        <v>0</v>
      </c>
    </row>
  </sheetData>
  <pageMargins left="0.7" right="0.7" top="0.75" bottom="0.75" header="0.3" footer="0.3"/>
  <pageSetup paperSize="9" orientation="portrait" r:id="rId1"/>
  <headerFooter>
    <oddFooter>&amp;LTBD rev TBD ver TBD&amp;R&amp;P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FrontPage</vt:lpstr>
      <vt:lpstr>General info</vt:lpstr>
      <vt:lpstr>Guide (help)</vt:lpstr>
      <vt:lpstr>Tests Synthesis</vt:lpstr>
      <vt:lpstr>SW_IT_xxx</vt:lpstr>
      <vt:lpstr>SW_IT_FBL_001</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Emanuel Jivan</cp:lastModifiedBy>
  <cp:lastPrinted>2011-11-28T23:54:39Z</cp:lastPrinted>
  <dcterms:created xsi:type="dcterms:W3CDTF">2008-08-11T11:06:44Z</dcterms:created>
  <dcterms:modified xsi:type="dcterms:W3CDTF">2022-01-17T12:47:45Z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TBD</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