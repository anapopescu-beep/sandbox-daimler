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_Sandbox\DAI_MMA\View_Development\Components\Application\Autoliv\CIL\Tests\"/>
    </mc:Choice>
  </mc:AlternateContent>
  <xr:revisionPtr revIDLastSave="0" documentId="13_ncr:1_{21CB5F1A-2AA1-42AD-8726-6C213DB14EC1}" xr6:coauthVersionLast="47" xr6:coauthVersionMax="47" xr10:uidLastSave="{00000000-0000-0000-0000-000000000000}"/>
  <bookViews>
    <workbookView xWindow="57480" yWindow="-120" windowWidth="29040" windowHeight="15840" tabRatio="921" activeTab="3" xr2:uid="{00000000-000D-0000-FFFF-FFFF00000000}"/>
  </bookViews>
  <sheets>
    <sheet name="FrontPage" sheetId="4" r:id="rId1"/>
    <sheet name="General info" sheetId="11" r:id="rId2"/>
    <sheet name="Guide (help)" sheetId="18" r:id="rId3"/>
    <sheet name="Tests Synthesis" sheetId="13" r:id="rId4"/>
    <sheet name="SW_IT_CIL_0001" sheetId="14" r:id="rId5"/>
    <sheet name="SW_IT_CIL_0002" sheetId="19" r:id="rId6"/>
    <sheet name="SW_IT_CIL_0003" sheetId="20" r:id="rId7"/>
    <sheet name="SW_IT_CIL_0004" sheetId="21" r:id="rId8"/>
    <sheet name="SW_IT_CIL_0005" sheetId="23" r:id="rId9"/>
    <sheet name="SW_IT_CIL_0006" sheetId="22" r:id="rId10"/>
    <sheet name="SW_IT_CIL_0007" sheetId="24" r:id="rId11"/>
    <sheet name="SW_IT_CIL_0008" sheetId="25" r:id="rId12"/>
    <sheet name="SW_IT_CIL_0009" sheetId="26" r:id="rId13"/>
    <sheet name="SW_IT_CIL_0010" sheetId="27" r:id="rId14"/>
    <sheet name="SW_IT_CIL_0011" sheetId="29" r:id="rId15"/>
    <sheet name="SW_IT_CIL_0012" sheetId="35" r:id="rId16"/>
    <sheet name="SW_IT_CIL_0013" sheetId="36" r:id="rId17"/>
    <sheet name="SW_IT_CIL_0014" sheetId="37" r:id="rId18"/>
    <sheet name="SW_IT_CIL_0015" sheetId="38" r:id="rId19"/>
    <sheet name="SW_IT_CIL_0016" sheetId="39" r:id="rId20"/>
    <sheet name="SW_IT_CIL_0017" sheetId="40" r:id="rId21"/>
    <sheet name="SW_IT_CIL_0018" sheetId="41" r:id="rId22"/>
    <sheet name="SW_IT_CIL_0019" sheetId="42" r:id="rId23"/>
    <sheet name="SW_IT_CIL_0020" sheetId="43" r:id="rId24"/>
    <sheet name="SW_IT_CIL_0021" sheetId="44" r:id="rId25"/>
    <sheet name="SW_IT_CIL_0022" sheetId="45" r:id="rId26"/>
    <sheet name="SW_IT_CIL_0023" sheetId="46" r:id="rId27"/>
    <sheet name="SW_IT_CIL_0024" sheetId="47" r:id="rId28"/>
    <sheet name="SW_IT_CIL_0025" sheetId="48" r:id="rId29"/>
    <sheet name="SW_IT_CIL_0026" sheetId="49" r:id="rId30"/>
    <sheet name="SW_IT_CIL_0027" sheetId="50" r:id="rId31"/>
    <sheet name="SW_IT_CIL_0028" sheetId="51" r:id="rId32"/>
    <sheet name="SW_IT_CIL_0029" sheetId="52" r:id="rId33"/>
    <sheet name="SW_IT_CIL_0031" sheetId="54" r:id="rId34"/>
    <sheet name="SW_IT_CIL_0032" sheetId="55" r:id="rId35"/>
    <sheet name="SW_IT_CIL_0033" sheetId="56" r:id="rId36"/>
    <sheet name="Metrics" sheetId="16" r:id="rId37"/>
  </sheets>
  <externalReferences>
    <externalReference r:id="rId38"/>
  </externalReference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 i="16" l="1"/>
  <c r="K47" i="13"/>
  <c r="F47" i="13"/>
  <c r="E47" i="13"/>
  <c r="D47" i="13"/>
  <c r="K46" i="13"/>
  <c r="F46" i="13"/>
  <c r="E46" i="13"/>
  <c r="D46" i="13"/>
  <c r="K45" i="13"/>
  <c r="F45" i="13"/>
  <c r="E45" i="13"/>
  <c r="D45" i="13"/>
  <c r="K44" i="13"/>
  <c r="F44" i="13"/>
  <c r="E44" i="13"/>
  <c r="D44" i="13"/>
  <c r="K43" i="13"/>
  <c r="F43" i="13"/>
  <c r="E43" i="13"/>
  <c r="D43" i="13"/>
  <c r="K42" i="13"/>
  <c r="F42" i="13"/>
  <c r="E42" i="13"/>
  <c r="D42" i="13"/>
  <c r="K41" i="13"/>
  <c r="F41" i="13"/>
  <c r="E41" i="13"/>
  <c r="D41" i="13"/>
  <c r="K40" i="13"/>
  <c r="F40" i="13"/>
  <c r="E40" i="13"/>
  <c r="D40" i="13"/>
  <c r="K39" i="13"/>
  <c r="F39" i="13"/>
  <c r="E39" i="13"/>
  <c r="D39" i="13"/>
  <c r="K38" i="13"/>
  <c r="F38" i="13"/>
  <c r="E38" i="13"/>
  <c r="D38" i="13"/>
  <c r="K37" i="13"/>
  <c r="F37" i="13"/>
  <c r="E37" i="13"/>
  <c r="D37" i="13"/>
  <c r="K36" i="13"/>
  <c r="F36" i="13"/>
  <c r="E36" i="13"/>
  <c r="D36" i="13"/>
  <c r="K35" i="13"/>
  <c r="F35" i="13"/>
  <c r="E35" i="13"/>
  <c r="D35" i="13"/>
  <c r="AD3" i="4"/>
  <c r="AD3" i="11" s="1"/>
  <c r="W7" i="4"/>
  <c r="K31" i="13"/>
  <c r="D14" i="13"/>
  <c r="E19" i="13"/>
  <c r="D18" i="13"/>
  <c r="D24" i="13"/>
  <c r="K17" i="13"/>
  <c r="D5" i="13"/>
  <c r="D27" i="13"/>
  <c r="D23" i="13"/>
  <c r="F27" i="13"/>
  <c r="F25" i="13"/>
  <c r="D15" i="13"/>
  <c r="E18" i="13"/>
  <c r="F26" i="13"/>
  <c r="K9" i="13"/>
  <c r="D17" i="13"/>
  <c r="F6" i="13"/>
  <c r="E28" i="13"/>
  <c r="F10" i="13"/>
  <c r="K5" i="13"/>
  <c r="K25" i="13"/>
  <c r="E15" i="13"/>
  <c r="D22" i="13"/>
  <c r="E23" i="13"/>
  <c r="E11" i="13"/>
  <c r="F33" i="13"/>
  <c r="F16" i="13"/>
  <c r="F17" i="13"/>
  <c r="E16" i="13"/>
  <c r="K14" i="13"/>
  <c r="F18" i="13"/>
  <c r="K27" i="13"/>
  <c r="D21" i="13"/>
  <c r="E29" i="13"/>
  <c r="K6" i="13"/>
  <c r="D31" i="13"/>
  <c r="K29" i="13"/>
  <c r="E7" i="13"/>
  <c r="F28" i="13"/>
  <c r="F22" i="13"/>
  <c r="E8" i="13"/>
  <c r="E12" i="13"/>
  <c r="K15" i="13"/>
  <c r="D3" i="13"/>
  <c r="F3" i="13"/>
  <c r="E10" i="13"/>
  <c r="F15" i="13"/>
  <c r="K34" i="13"/>
  <c r="K8" i="13"/>
  <c r="D6" i="13"/>
  <c r="K19" i="13"/>
  <c r="F11" i="13"/>
  <c r="E31" i="13"/>
  <c r="K24" i="13"/>
  <c r="D10" i="13"/>
  <c r="D9" i="13"/>
  <c r="K16" i="13"/>
  <c r="D20" i="13"/>
  <c r="K26" i="13"/>
  <c r="F12" i="13"/>
  <c r="D16" i="13"/>
  <c r="F8" i="13"/>
  <c r="D34" i="13"/>
  <c r="E30" i="13"/>
  <c r="D33" i="13"/>
  <c r="E6" i="13"/>
  <c r="D25" i="13"/>
  <c r="E32" i="13"/>
  <c r="K20" i="13"/>
  <c r="D28" i="13"/>
  <c r="E20" i="13"/>
  <c r="F19" i="13"/>
  <c r="F20" i="13"/>
  <c r="F21" i="13"/>
  <c r="E26" i="13"/>
  <c r="K33" i="13"/>
  <c r="E33" i="13"/>
  <c r="E14" i="13"/>
  <c r="K7" i="13"/>
  <c r="D4" i="13"/>
  <c r="K3" i="13"/>
  <c r="F29" i="13"/>
  <c r="F7" i="13"/>
  <c r="K32" i="13"/>
  <c r="K22" i="13"/>
  <c r="E13" i="13"/>
  <c r="D8" i="13"/>
  <c r="D30" i="13"/>
  <c r="K23" i="13"/>
  <c r="E34" i="13"/>
  <c r="D11" i="13"/>
  <c r="D26" i="13"/>
  <c r="F32" i="13"/>
  <c r="E22" i="13"/>
  <c r="E21" i="13"/>
  <c r="K12" i="13"/>
  <c r="K4" i="13"/>
  <c r="F31" i="13"/>
  <c r="K21" i="13"/>
  <c r="F30" i="13"/>
  <c r="D7" i="13"/>
  <c r="F4" i="13"/>
  <c r="K10" i="13"/>
  <c r="E5" i="13"/>
  <c r="F23" i="13"/>
  <c r="K30" i="13"/>
  <c r="D19" i="13"/>
  <c r="K11" i="13"/>
  <c r="D13" i="13"/>
  <c r="F24" i="13"/>
  <c r="E17" i="13"/>
  <c r="E27" i="13"/>
  <c r="D32" i="13"/>
  <c r="K13" i="13"/>
  <c r="E25" i="13"/>
  <c r="D29" i="13"/>
  <c r="F14" i="13"/>
  <c r="K28" i="13"/>
  <c r="K18" i="13"/>
  <c r="F5" i="13"/>
  <c r="E9" i="13"/>
  <c r="F34" i="13"/>
  <c r="F9" i="13"/>
  <c r="E24" i="13"/>
  <c r="D12" i="13"/>
  <c r="E4" i="13"/>
  <c r="E3" i="13"/>
  <c r="W7" i="11" l="1"/>
  <c r="A7" i="11"/>
  <c r="W5" i="11"/>
  <c r="E7" i="11"/>
  <c r="A23" i="4"/>
  <c r="AB5" i="11"/>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8FDCBE47-0A32-4674-AD09-A4D2A4C92CB3}">
      <text>
        <r>
          <rPr>
            <sz val="9"/>
            <color indexed="81"/>
            <rFont val="Tahoma"/>
            <family val="2"/>
          </rPr>
          <t>Template from process AEM_PROCESS_1.17.00 Last change : AEM_PROCESS_1.05.00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41" authorId="1" shapeId="0" xr:uid="{00000000-0006-0000-0100-000007000000}">
      <text>
        <r>
          <rPr>
            <sz val="9"/>
            <color indexed="81"/>
            <rFont val="Tahoma"/>
            <family val="2"/>
          </rPr>
          <t>The referenced documents correspond to the customer or standard documents to be applied for the integration.</t>
        </r>
      </text>
    </comment>
    <comment ref="B42"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42" authorId="0" shapeId="0" xr:uid="{00000000-0006-0000-0100-000009000000}">
      <text>
        <r>
          <rPr>
            <sz val="8"/>
            <color indexed="81"/>
            <rFont val="Tahoma"/>
            <family val="2"/>
          </rPr>
          <t>Title of reference documents.</t>
        </r>
      </text>
    </comment>
    <comment ref="Y42" authorId="0" shapeId="0" xr:uid="{00000000-0006-0000-0100-00000A000000}">
      <text>
        <r>
          <rPr>
            <sz val="8"/>
            <color indexed="81"/>
            <rFont val="Tahoma"/>
            <family val="2"/>
          </rPr>
          <t>Reference number, e.g. E123456 and revision of the reference.</t>
        </r>
      </text>
    </comment>
    <comment ref="N47"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8"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8" authorId="0" shapeId="0" xr:uid="{00000000-0006-0000-0100-00000D000000}">
      <text>
        <r>
          <rPr>
            <sz val="8"/>
            <color indexed="81"/>
            <rFont val="Tahoma"/>
            <family val="2"/>
          </rPr>
          <t>Title of reference documents.</t>
        </r>
      </text>
    </comment>
    <comment ref="Y48"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8D92D49A-56DB-40BD-BD4E-B2D607AACA34}">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400-000001000000}">
      <text>
        <r>
          <rPr>
            <b/>
            <sz val="9"/>
            <color indexed="81"/>
            <rFont val="Tahoma"/>
            <family val="2"/>
          </rPr>
          <t xml:space="preserve">See Guide (help)
</t>
        </r>
        <r>
          <rPr>
            <sz val="9"/>
            <color indexed="81"/>
            <rFont val="Tahoma"/>
            <family val="2"/>
          </rPr>
          <t xml:space="preserve">
</t>
        </r>
      </text>
    </comment>
    <comment ref="A3" authorId="0" shapeId="0" xr:uid="{00000000-0006-0000-0400-000002000000}">
      <text>
        <r>
          <rPr>
            <b/>
            <sz val="9"/>
            <color indexed="81"/>
            <rFont val="Tahoma"/>
            <family val="2"/>
          </rPr>
          <t xml:space="preserve">See Guide (help)
</t>
        </r>
        <r>
          <rPr>
            <sz val="9"/>
            <color indexed="81"/>
            <rFont val="Tahoma"/>
            <family val="2"/>
          </rPr>
          <t xml:space="preserve">
</t>
        </r>
      </text>
    </comment>
    <comment ref="A5" authorId="0" shapeId="0" xr:uid="{00000000-0006-0000-0400-000003000000}">
      <text>
        <r>
          <rPr>
            <sz val="9"/>
            <color indexed="81"/>
            <rFont val="Tahoma"/>
            <family val="2"/>
          </rPr>
          <t>Definition is in the "General info" tab.
Use the dropdown list.</t>
        </r>
      </text>
    </comment>
    <comment ref="A9" authorId="0" shapeId="0" xr:uid="{00000000-0006-0000-0400-000004000000}">
      <text>
        <r>
          <rPr>
            <b/>
            <sz val="9"/>
            <color indexed="81"/>
            <rFont val="Tahoma"/>
            <family val="2"/>
          </rPr>
          <t>See Guide (help)</t>
        </r>
        <r>
          <rPr>
            <sz val="9"/>
            <color indexed="81"/>
            <rFont val="Tahoma"/>
            <family val="2"/>
          </rPr>
          <t xml:space="preserve">
</t>
        </r>
      </text>
    </comment>
    <comment ref="A11" authorId="0" shapeId="0" xr:uid="{00000000-0006-0000-04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4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BB9F3CD6-5AD1-4F5A-A8A4-D76023DC6726}">
      <text>
        <r>
          <rPr>
            <b/>
            <sz val="9"/>
            <color indexed="81"/>
            <rFont val="Tahoma"/>
            <family val="2"/>
          </rPr>
          <t xml:space="preserve">See Guide (help)
</t>
        </r>
        <r>
          <rPr>
            <sz val="9"/>
            <color indexed="81"/>
            <rFont val="Tahoma"/>
            <family val="2"/>
          </rPr>
          <t xml:space="preserve">
</t>
        </r>
      </text>
    </comment>
    <comment ref="A3" authorId="0" shapeId="0" xr:uid="{7FF2C1E4-07F0-43B8-AF1F-FCB9BE4E1785}">
      <text>
        <r>
          <rPr>
            <b/>
            <sz val="9"/>
            <color indexed="81"/>
            <rFont val="Tahoma"/>
            <family val="2"/>
          </rPr>
          <t xml:space="preserve">See Guide (help)
</t>
        </r>
        <r>
          <rPr>
            <sz val="9"/>
            <color indexed="81"/>
            <rFont val="Tahoma"/>
            <family val="2"/>
          </rPr>
          <t xml:space="preserve">
</t>
        </r>
      </text>
    </comment>
    <comment ref="A5" authorId="0" shapeId="0" xr:uid="{711EA8CB-8A42-46C8-A517-A2EC46F3639E}">
      <text>
        <r>
          <rPr>
            <sz val="9"/>
            <color indexed="81"/>
            <rFont val="Tahoma"/>
            <family val="2"/>
          </rPr>
          <t>Definition is in the "General info" tab.
Use the dropdown list.</t>
        </r>
      </text>
    </comment>
    <comment ref="A9" authorId="0" shapeId="0" xr:uid="{9B31A14F-56F9-48E5-BB7F-9E0F7BF2B1D7}">
      <text>
        <r>
          <rPr>
            <b/>
            <sz val="9"/>
            <color indexed="81"/>
            <rFont val="Tahoma"/>
            <family val="2"/>
          </rPr>
          <t>See Guide (help)</t>
        </r>
        <r>
          <rPr>
            <sz val="9"/>
            <color indexed="81"/>
            <rFont val="Tahoma"/>
            <family val="2"/>
          </rPr>
          <t xml:space="preserve">
</t>
        </r>
      </text>
    </comment>
    <comment ref="A11" authorId="0" shapeId="0" xr:uid="{BE476AA0-189E-4B31-9EB1-84715D5F6443}">
      <text>
        <r>
          <rPr>
            <b/>
            <sz val="9"/>
            <color indexed="81"/>
            <rFont val="Tahoma"/>
            <family val="2"/>
          </rPr>
          <t xml:space="preserve">Describe the test environment and setup.
</t>
        </r>
        <r>
          <rPr>
            <sz val="9"/>
            <color indexed="81"/>
            <rFont val="Tahoma"/>
            <family val="2"/>
          </rPr>
          <t xml:space="preserve">
</t>
        </r>
      </text>
    </comment>
    <comment ref="A16" authorId="0" shapeId="0" xr:uid="{02C7A592-9631-4FDE-840A-5394B7EF74C0}">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F3FC6E75-815F-4658-968D-2FC8413F9301}">
      <text>
        <r>
          <rPr>
            <b/>
            <sz val="9"/>
            <color indexed="81"/>
            <rFont val="Tahoma"/>
            <family val="2"/>
          </rPr>
          <t xml:space="preserve">See Guide (help)
</t>
        </r>
        <r>
          <rPr>
            <sz val="9"/>
            <color indexed="81"/>
            <rFont val="Tahoma"/>
            <family val="2"/>
          </rPr>
          <t xml:space="preserve">
</t>
        </r>
      </text>
    </comment>
    <comment ref="A3" authorId="0" shapeId="0" xr:uid="{28FAA443-262D-4762-8D26-13777B7DFE12}">
      <text>
        <r>
          <rPr>
            <b/>
            <sz val="9"/>
            <color indexed="81"/>
            <rFont val="Tahoma"/>
            <family val="2"/>
          </rPr>
          <t xml:space="preserve">See Guide (help)
</t>
        </r>
        <r>
          <rPr>
            <sz val="9"/>
            <color indexed="81"/>
            <rFont val="Tahoma"/>
            <family val="2"/>
          </rPr>
          <t xml:space="preserve">
</t>
        </r>
      </text>
    </comment>
    <comment ref="A5" authorId="0" shapeId="0" xr:uid="{FADA06DC-9270-4FDF-8A34-62FFFE1EDC24}">
      <text>
        <r>
          <rPr>
            <sz val="9"/>
            <color indexed="81"/>
            <rFont val="Tahoma"/>
            <family val="2"/>
          </rPr>
          <t>Definition is in the "General info" tab.
Use the dropdown list.</t>
        </r>
      </text>
    </comment>
    <comment ref="A9" authorId="0" shapeId="0" xr:uid="{1B183C3C-A685-4AC0-A8BD-E09C400970D8}">
      <text>
        <r>
          <rPr>
            <b/>
            <sz val="9"/>
            <color indexed="81"/>
            <rFont val="Tahoma"/>
            <family val="2"/>
          </rPr>
          <t>See Guide (help)</t>
        </r>
        <r>
          <rPr>
            <sz val="9"/>
            <color indexed="81"/>
            <rFont val="Tahoma"/>
            <family val="2"/>
          </rPr>
          <t xml:space="preserve">
</t>
        </r>
      </text>
    </comment>
    <comment ref="A11" authorId="0" shapeId="0" xr:uid="{98AF9BD2-5C7D-4011-924E-917801AA7083}">
      <text>
        <r>
          <rPr>
            <b/>
            <sz val="9"/>
            <color indexed="81"/>
            <rFont val="Tahoma"/>
            <family val="2"/>
          </rPr>
          <t xml:space="preserve">Describe the test environment and setup.
</t>
        </r>
        <r>
          <rPr>
            <sz val="9"/>
            <color indexed="81"/>
            <rFont val="Tahoma"/>
            <family val="2"/>
          </rPr>
          <t xml:space="preserve">
</t>
        </r>
      </text>
    </comment>
    <comment ref="A16" authorId="0" shapeId="0" xr:uid="{3DCAE673-7667-4DBB-A5EE-FEB53E7B4B00}">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9642B29A-168B-4B07-8D83-412CD28EA9FA}">
      <text>
        <r>
          <rPr>
            <b/>
            <sz val="9"/>
            <color indexed="81"/>
            <rFont val="Tahoma"/>
            <family val="2"/>
          </rPr>
          <t xml:space="preserve">See Guide (help)
</t>
        </r>
        <r>
          <rPr>
            <sz val="9"/>
            <color indexed="81"/>
            <rFont val="Tahoma"/>
            <family val="2"/>
          </rPr>
          <t xml:space="preserve">
</t>
        </r>
      </text>
    </comment>
    <comment ref="A3" authorId="0" shapeId="0" xr:uid="{B36556A0-D38C-4D26-BFF3-D7A5063ADF64}">
      <text>
        <r>
          <rPr>
            <b/>
            <sz val="9"/>
            <color indexed="81"/>
            <rFont val="Tahoma"/>
            <family val="2"/>
          </rPr>
          <t xml:space="preserve">See Guide (help)
</t>
        </r>
        <r>
          <rPr>
            <sz val="9"/>
            <color indexed="81"/>
            <rFont val="Tahoma"/>
            <family val="2"/>
          </rPr>
          <t xml:space="preserve">
</t>
        </r>
      </text>
    </comment>
    <comment ref="A5" authorId="0" shapeId="0" xr:uid="{EE2DC577-11CF-404F-A14D-60F9BB9E627E}">
      <text>
        <r>
          <rPr>
            <sz val="9"/>
            <color indexed="81"/>
            <rFont val="Tahoma"/>
            <family val="2"/>
          </rPr>
          <t>Definition is in the "General info" tab.
Use the dropdown list.</t>
        </r>
      </text>
    </comment>
    <comment ref="A9" authorId="0" shapeId="0" xr:uid="{C1CA73DF-8CF1-4702-897A-594D1D2AF151}">
      <text>
        <r>
          <rPr>
            <b/>
            <sz val="9"/>
            <color indexed="81"/>
            <rFont val="Tahoma"/>
            <family val="2"/>
          </rPr>
          <t>See Guide (help)</t>
        </r>
        <r>
          <rPr>
            <sz val="9"/>
            <color indexed="81"/>
            <rFont val="Tahoma"/>
            <family val="2"/>
          </rPr>
          <t xml:space="preserve">
</t>
        </r>
      </text>
    </comment>
    <comment ref="A11" authorId="0" shapeId="0" xr:uid="{FFC3909E-CF3F-4FAC-8CE4-B76CD9372EBD}">
      <text>
        <r>
          <rPr>
            <b/>
            <sz val="9"/>
            <color indexed="81"/>
            <rFont val="Tahoma"/>
            <family val="2"/>
          </rPr>
          <t xml:space="preserve">Describe the test environment and setup.
</t>
        </r>
        <r>
          <rPr>
            <sz val="9"/>
            <color indexed="81"/>
            <rFont val="Tahoma"/>
            <family val="2"/>
          </rPr>
          <t xml:space="preserve">
</t>
        </r>
      </text>
    </comment>
    <comment ref="A16" authorId="0" shapeId="0" xr:uid="{61501020-9E72-4EBD-91EA-0D5120B5F0FE}">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31BA291-68BF-42E6-9AA5-60CC990D12F6}">
      <text>
        <r>
          <rPr>
            <b/>
            <sz val="9"/>
            <color indexed="81"/>
            <rFont val="Tahoma"/>
            <family val="2"/>
          </rPr>
          <t xml:space="preserve">See Guide (help)
</t>
        </r>
        <r>
          <rPr>
            <sz val="9"/>
            <color indexed="81"/>
            <rFont val="Tahoma"/>
            <family val="2"/>
          </rPr>
          <t xml:space="preserve">
</t>
        </r>
      </text>
    </comment>
    <comment ref="A3" authorId="0" shapeId="0" xr:uid="{9828B303-9442-49B8-A8E5-B01194C4A21A}">
      <text>
        <r>
          <rPr>
            <b/>
            <sz val="9"/>
            <color indexed="81"/>
            <rFont val="Tahoma"/>
            <family val="2"/>
          </rPr>
          <t xml:space="preserve">See Guide (help)
</t>
        </r>
        <r>
          <rPr>
            <sz val="9"/>
            <color indexed="81"/>
            <rFont val="Tahoma"/>
            <family val="2"/>
          </rPr>
          <t xml:space="preserve">
</t>
        </r>
      </text>
    </comment>
    <comment ref="A5" authorId="0" shapeId="0" xr:uid="{BAFDBF79-8209-4629-8B18-15FC4C902FF5}">
      <text>
        <r>
          <rPr>
            <sz val="9"/>
            <color indexed="81"/>
            <rFont val="Tahoma"/>
            <family val="2"/>
          </rPr>
          <t>Definition is in the "General info" tab.
Use the dropdown list.</t>
        </r>
      </text>
    </comment>
    <comment ref="A9" authorId="0" shapeId="0" xr:uid="{11EA5944-462E-436E-9178-7C6E718C6E48}">
      <text>
        <r>
          <rPr>
            <b/>
            <sz val="9"/>
            <color indexed="81"/>
            <rFont val="Tahoma"/>
            <family val="2"/>
          </rPr>
          <t>See Guide (help)</t>
        </r>
        <r>
          <rPr>
            <sz val="9"/>
            <color indexed="81"/>
            <rFont val="Tahoma"/>
            <family val="2"/>
          </rPr>
          <t xml:space="preserve">
</t>
        </r>
      </text>
    </comment>
    <comment ref="A11" authorId="0" shapeId="0" xr:uid="{3BD9902F-D2A9-4AD7-8002-7A29205D7FBC}">
      <text>
        <r>
          <rPr>
            <b/>
            <sz val="9"/>
            <color indexed="81"/>
            <rFont val="Tahoma"/>
            <family val="2"/>
          </rPr>
          <t xml:space="preserve">Describe the test environment and setup.
</t>
        </r>
        <r>
          <rPr>
            <sz val="9"/>
            <color indexed="81"/>
            <rFont val="Tahoma"/>
            <family val="2"/>
          </rPr>
          <t xml:space="preserve">
</t>
        </r>
      </text>
    </comment>
    <comment ref="A16" authorId="0" shapeId="0" xr:uid="{746FD78A-0FF8-40FD-A398-1D92A01DCCFC}">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CC2C27A-709D-4849-A78C-1EC3B4399999}">
      <text>
        <r>
          <rPr>
            <b/>
            <sz val="9"/>
            <color indexed="81"/>
            <rFont val="Tahoma"/>
            <family val="2"/>
          </rPr>
          <t xml:space="preserve">See Guide (help)
</t>
        </r>
        <r>
          <rPr>
            <sz val="9"/>
            <color indexed="81"/>
            <rFont val="Tahoma"/>
            <family val="2"/>
          </rPr>
          <t xml:space="preserve">
</t>
        </r>
      </text>
    </comment>
    <comment ref="A3" authorId="0" shapeId="0" xr:uid="{66CA5F7C-992C-4BD8-ABAF-8C059644C7CB}">
      <text>
        <r>
          <rPr>
            <b/>
            <sz val="9"/>
            <color indexed="81"/>
            <rFont val="Tahoma"/>
            <family val="2"/>
          </rPr>
          <t xml:space="preserve">See Guide (help)
</t>
        </r>
        <r>
          <rPr>
            <sz val="9"/>
            <color indexed="81"/>
            <rFont val="Tahoma"/>
            <family val="2"/>
          </rPr>
          <t xml:space="preserve">
</t>
        </r>
      </text>
    </comment>
    <comment ref="A5" authorId="0" shapeId="0" xr:uid="{0759E5CC-EA7B-4CF0-827F-65639556AF3F}">
      <text>
        <r>
          <rPr>
            <sz val="9"/>
            <color indexed="81"/>
            <rFont val="Tahoma"/>
            <family val="2"/>
          </rPr>
          <t>Definition is in the "General info" tab.
Use the dropdown list.</t>
        </r>
      </text>
    </comment>
    <comment ref="A9" authorId="0" shapeId="0" xr:uid="{BC4A15CD-4296-4AE0-B2A9-66595BC1FDA2}">
      <text>
        <r>
          <rPr>
            <b/>
            <sz val="9"/>
            <color indexed="81"/>
            <rFont val="Tahoma"/>
            <family val="2"/>
          </rPr>
          <t>See Guide (help)</t>
        </r>
        <r>
          <rPr>
            <sz val="9"/>
            <color indexed="81"/>
            <rFont val="Tahoma"/>
            <family val="2"/>
          </rPr>
          <t xml:space="preserve">
</t>
        </r>
      </text>
    </comment>
    <comment ref="A11" authorId="0" shapeId="0" xr:uid="{778C7603-9042-49B6-AAD7-9900EF6D8241}">
      <text>
        <r>
          <rPr>
            <b/>
            <sz val="9"/>
            <color indexed="81"/>
            <rFont val="Tahoma"/>
            <family val="2"/>
          </rPr>
          <t xml:space="preserve">Describe the test environment and setup.
</t>
        </r>
        <r>
          <rPr>
            <sz val="9"/>
            <color indexed="81"/>
            <rFont val="Tahoma"/>
            <family val="2"/>
          </rPr>
          <t xml:space="preserve">
</t>
        </r>
      </text>
    </comment>
    <comment ref="A16" authorId="0" shapeId="0" xr:uid="{31ADEBF0-AAD4-4DBE-A48E-CCCE9949DA3B}">
      <text>
        <r>
          <rPr>
            <b/>
            <sz val="9"/>
            <color indexed="81"/>
            <rFont val="Tahoma"/>
            <family val="2"/>
          </rPr>
          <t>Give the initial state before beginning the test.</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2FF02B3-A56D-43BC-A446-426084C4B6F8}">
      <text>
        <r>
          <rPr>
            <b/>
            <sz val="9"/>
            <color indexed="81"/>
            <rFont val="Tahoma"/>
            <family val="2"/>
          </rPr>
          <t xml:space="preserve">See Guide (help)
</t>
        </r>
        <r>
          <rPr>
            <sz val="9"/>
            <color indexed="81"/>
            <rFont val="Tahoma"/>
            <family val="2"/>
          </rPr>
          <t xml:space="preserve">
</t>
        </r>
      </text>
    </comment>
    <comment ref="A3" authorId="0" shapeId="0" xr:uid="{C18C15C4-8FAF-45EE-A31E-524909256CDE}">
      <text>
        <r>
          <rPr>
            <b/>
            <sz val="9"/>
            <color indexed="81"/>
            <rFont val="Tahoma"/>
            <family val="2"/>
          </rPr>
          <t xml:space="preserve">See Guide (help)
</t>
        </r>
        <r>
          <rPr>
            <sz val="9"/>
            <color indexed="81"/>
            <rFont val="Tahoma"/>
            <family val="2"/>
          </rPr>
          <t xml:space="preserve">
</t>
        </r>
      </text>
    </comment>
    <comment ref="A5" authorId="0" shapeId="0" xr:uid="{AF9E3565-89CF-4148-8148-1169B41F2F2B}">
      <text>
        <r>
          <rPr>
            <sz val="9"/>
            <color indexed="81"/>
            <rFont val="Tahoma"/>
            <family val="2"/>
          </rPr>
          <t>Definition is in the "General info" tab.
Use the dropdown list.</t>
        </r>
      </text>
    </comment>
    <comment ref="A9" authorId="0" shapeId="0" xr:uid="{DADA4153-EA9F-4E01-BB93-9FD455A9B830}">
      <text>
        <r>
          <rPr>
            <b/>
            <sz val="9"/>
            <color indexed="81"/>
            <rFont val="Tahoma"/>
            <family val="2"/>
          </rPr>
          <t>See Guide (help)</t>
        </r>
        <r>
          <rPr>
            <sz val="9"/>
            <color indexed="81"/>
            <rFont val="Tahoma"/>
            <family val="2"/>
          </rPr>
          <t xml:space="preserve">
</t>
        </r>
      </text>
    </comment>
    <comment ref="A11" authorId="0" shapeId="0" xr:uid="{127DEBCE-49EB-46EB-A1E1-FD7AD7157F75}">
      <text>
        <r>
          <rPr>
            <b/>
            <sz val="9"/>
            <color indexed="81"/>
            <rFont val="Tahoma"/>
            <family val="2"/>
          </rPr>
          <t xml:space="preserve">Describe the test environment and setup.
</t>
        </r>
        <r>
          <rPr>
            <sz val="9"/>
            <color indexed="81"/>
            <rFont val="Tahoma"/>
            <family val="2"/>
          </rPr>
          <t xml:space="preserve">
</t>
        </r>
      </text>
    </comment>
    <comment ref="A16" authorId="0" shapeId="0" xr:uid="{33AA7B48-5AC9-4F33-B482-4153B2E4D669}">
      <text>
        <r>
          <rPr>
            <b/>
            <sz val="9"/>
            <color indexed="81"/>
            <rFont val="Tahoma"/>
            <family val="2"/>
          </rPr>
          <t>Give the initial state before beginning the test.</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7000D4E-6D1B-478A-B176-906540F744A4}">
      <text>
        <r>
          <rPr>
            <b/>
            <sz val="9"/>
            <color indexed="81"/>
            <rFont val="Tahoma"/>
            <family val="2"/>
          </rPr>
          <t xml:space="preserve">See Guide (help)
</t>
        </r>
        <r>
          <rPr>
            <sz val="9"/>
            <color indexed="81"/>
            <rFont val="Tahoma"/>
            <family val="2"/>
          </rPr>
          <t xml:space="preserve">
</t>
        </r>
      </text>
    </comment>
    <comment ref="A3" authorId="0" shapeId="0" xr:uid="{172A4397-88B6-4218-B980-C49AEFC26F96}">
      <text>
        <r>
          <rPr>
            <b/>
            <sz val="9"/>
            <color indexed="81"/>
            <rFont val="Tahoma"/>
            <family val="2"/>
          </rPr>
          <t xml:space="preserve">See Guide (help)
</t>
        </r>
        <r>
          <rPr>
            <sz val="9"/>
            <color indexed="81"/>
            <rFont val="Tahoma"/>
            <family val="2"/>
          </rPr>
          <t xml:space="preserve">
</t>
        </r>
      </text>
    </comment>
    <comment ref="A5" authorId="0" shapeId="0" xr:uid="{776582A8-4765-4454-9DB2-344FB65E60A4}">
      <text>
        <r>
          <rPr>
            <sz val="9"/>
            <color indexed="81"/>
            <rFont val="Tahoma"/>
            <family val="2"/>
          </rPr>
          <t>Definition is in the "General info" tab.
Use the dropdown list.</t>
        </r>
      </text>
    </comment>
    <comment ref="A9" authorId="0" shapeId="0" xr:uid="{755BAD8B-9EA3-4B41-B528-D97FD8042F0A}">
      <text>
        <r>
          <rPr>
            <b/>
            <sz val="9"/>
            <color indexed="81"/>
            <rFont val="Tahoma"/>
            <family val="2"/>
          </rPr>
          <t>See Guide (help)</t>
        </r>
        <r>
          <rPr>
            <sz val="9"/>
            <color indexed="81"/>
            <rFont val="Tahoma"/>
            <family val="2"/>
          </rPr>
          <t xml:space="preserve">
</t>
        </r>
      </text>
    </comment>
    <comment ref="A11" authorId="0" shapeId="0" xr:uid="{07114A48-EF4A-4B4A-A4C1-F0693957A7DE}">
      <text>
        <r>
          <rPr>
            <b/>
            <sz val="9"/>
            <color indexed="81"/>
            <rFont val="Tahoma"/>
            <family val="2"/>
          </rPr>
          <t xml:space="preserve">Describe the test environment and setup.
</t>
        </r>
        <r>
          <rPr>
            <sz val="9"/>
            <color indexed="81"/>
            <rFont val="Tahoma"/>
            <family val="2"/>
          </rPr>
          <t xml:space="preserve">
</t>
        </r>
      </text>
    </comment>
    <comment ref="A16" authorId="0" shapeId="0" xr:uid="{BCF5FD74-8E0D-4B12-8DC5-8FD24F535699}">
      <text>
        <r>
          <rPr>
            <b/>
            <sz val="9"/>
            <color indexed="81"/>
            <rFont val="Tahoma"/>
            <family val="2"/>
          </rPr>
          <t>Give the initial state before beginning the test.</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A25A34A-A80F-4735-AB47-561F83B88B14}">
      <text>
        <r>
          <rPr>
            <b/>
            <sz val="9"/>
            <color indexed="81"/>
            <rFont val="Tahoma"/>
            <family val="2"/>
          </rPr>
          <t xml:space="preserve">See Guide (help)
</t>
        </r>
        <r>
          <rPr>
            <sz val="9"/>
            <color indexed="81"/>
            <rFont val="Tahoma"/>
            <family val="2"/>
          </rPr>
          <t xml:space="preserve">
</t>
        </r>
      </text>
    </comment>
    <comment ref="A3" authorId="0" shapeId="0" xr:uid="{17897598-8145-48E0-8D3E-3EE537D05DEF}">
      <text>
        <r>
          <rPr>
            <b/>
            <sz val="9"/>
            <color indexed="81"/>
            <rFont val="Tahoma"/>
            <family val="2"/>
          </rPr>
          <t xml:space="preserve">See Guide (help)
</t>
        </r>
        <r>
          <rPr>
            <sz val="9"/>
            <color indexed="81"/>
            <rFont val="Tahoma"/>
            <family val="2"/>
          </rPr>
          <t xml:space="preserve">
</t>
        </r>
      </text>
    </comment>
    <comment ref="A5" authorId="0" shapeId="0" xr:uid="{1BA94835-F88B-4B8B-9BDE-A4059A21B478}">
      <text>
        <r>
          <rPr>
            <sz val="9"/>
            <color indexed="81"/>
            <rFont val="Tahoma"/>
            <family val="2"/>
          </rPr>
          <t>Definition is in the "General info" tab.
Use the dropdown list.</t>
        </r>
      </text>
    </comment>
    <comment ref="A9" authorId="0" shapeId="0" xr:uid="{6426F382-1AB9-4F75-B98D-7270AB2F198B}">
      <text>
        <r>
          <rPr>
            <b/>
            <sz val="9"/>
            <color indexed="81"/>
            <rFont val="Tahoma"/>
            <family val="2"/>
          </rPr>
          <t>See Guide (help)</t>
        </r>
        <r>
          <rPr>
            <sz val="9"/>
            <color indexed="81"/>
            <rFont val="Tahoma"/>
            <family val="2"/>
          </rPr>
          <t xml:space="preserve">
</t>
        </r>
      </text>
    </comment>
    <comment ref="A11" authorId="0" shapeId="0" xr:uid="{4F7A80EB-092C-4C7A-858B-D0680A3FEB87}">
      <text>
        <r>
          <rPr>
            <b/>
            <sz val="9"/>
            <color indexed="81"/>
            <rFont val="Tahoma"/>
            <family val="2"/>
          </rPr>
          <t xml:space="preserve">Describe the test environment and setup.
</t>
        </r>
        <r>
          <rPr>
            <sz val="9"/>
            <color indexed="81"/>
            <rFont val="Tahoma"/>
            <family val="2"/>
          </rPr>
          <t xml:space="preserve">
</t>
        </r>
      </text>
    </comment>
    <comment ref="A16" authorId="0" shapeId="0" xr:uid="{F7EF2C60-B467-45DA-91BC-CEE51C682650}">
      <text>
        <r>
          <rPr>
            <b/>
            <sz val="9"/>
            <color indexed="81"/>
            <rFont val="Tahoma"/>
            <family val="2"/>
          </rPr>
          <t>Give the initial state before beginning the test.</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43B5144-A169-443F-B289-FBF0C92E1CDE}">
      <text>
        <r>
          <rPr>
            <b/>
            <sz val="9"/>
            <color indexed="81"/>
            <rFont val="Tahoma"/>
            <family val="2"/>
          </rPr>
          <t xml:space="preserve">See Guide (help)
</t>
        </r>
        <r>
          <rPr>
            <sz val="9"/>
            <color indexed="81"/>
            <rFont val="Tahoma"/>
            <family val="2"/>
          </rPr>
          <t xml:space="preserve">
</t>
        </r>
      </text>
    </comment>
    <comment ref="A3" authorId="0" shapeId="0" xr:uid="{C2DA208E-A99D-45B2-8CCB-7B3D4110B091}">
      <text>
        <r>
          <rPr>
            <b/>
            <sz val="9"/>
            <color indexed="81"/>
            <rFont val="Tahoma"/>
            <family val="2"/>
          </rPr>
          <t xml:space="preserve">See Guide (help)
</t>
        </r>
        <r>
          <rPr>
            <sz val="9"/>
            <color indexed="81"/>
            <rFont val="Tahoma"/>
            <family val="2"/>
          </rPr>
          <t xml:space="preserve">
</t>
        </r>
      </text>
    </comment>
    <comment ref="A5" authorId="0" shapeId="0" xr:uid="{A3754979-875D-4135-B945-6C79B7E6084C}">
      <text>
        <r>
          <rPr>
            <sz val="9"/>
            <color indexed="81"/>
            <rFont val="Tahoma"/>
            <family val="2"/>
          </rPr>
          <t>Definition is in the "General info" tab.
Use the dropdown list.</t>
        </r>
      </text>
    </comment>
    <comment ref="A9" authorId="0" shapeId="0" xr:uid="{C70F2941-E723-473F-9C37-AC7FC29E2A04}">
      <text>
        <r>
          <rPr>
            <b/>
            <sz val="9"/>
            <color indexed="81"/>
            <rFont val="Tahoma"/>
            <family val="2"/>
          </rPr>
          <t>See Guide (help)</t>
        </r>
        <r>
          <rPr>
            <sz val="9"/>
            <color indexed="81"/>
            <rFont val="Tahoma"/>
            <family val="2"/>
          </rPr>
          <t xml:space="preserve">
</t>
        </r>
      </text>
    </comment>
    <comment ref="A11" authorId="0" shapeId="0" xr:uid="{E16BEFB9-82CD-4439-8B1F-2E36D59B73B0}">
      <text>
        <r>
          <rPr>
            <b/>
            <sz val="9"/>
            <color indexed="81"/>
            <rFont val="Tahoma"/>
            <family val="2"/>
          </rPr>
          <t xml:space="preserve">Describe the test environment and setup.
</t>
        </r>
        <r>
          <rPr>
            <sz val="9"/>
            <color indexed="81"/>
            <rFont val="Tahoma"/>
            <family val="2"/>
          </rPr>
          <t xml:space="preserve">
</t>
        </r>
      </text>
    </comment>
    <comment ref="A16" authorId="0" shapeId="0" xr:uid="{DAE9424D-9B8D-49E4-8B6D-86A8BF3CA553}">
      <text>
        <r>
          <rPr>
            <b/>
            <sz val="9"/>
            <color indexed="81"/>
            <rFont val="Tahoma"/>
            <family val="2"/>
          </rPr>
          <t>Give the initial state before beginning the test.</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1BD858F7-874F-49E0-A4EC-2D0EF877365F}">
      <text>
        <r>
          <rPr>
            <b/>
            <sz val="9"/>
            <color indexed="81"/>
            <rFont val="Tahoma"/>
            <family val="2"/>
          </rPr>
          <t xml:space="preserve">See Guide (help)
</t>
        </r>
        <r>
          <rPr>
            <sz val="9"/>
            <color indexed="81"/>
            <rFont val="Tahoma"/>
            <family val="2"/>
          </rPr>
          <t xml:space="preserve">
</t>
        </r>
      </text>
    </comment>
    <comment ref="A3" authorId="0" shapeId="0" xr:uid="{372F3C07-498B-4666-8B1A-03F56B94B6F0}">
      <text>
        <r>
          <rPr>
            <b/>
            <sz val="9"/>
            <color indexed="81"/>
            <rFont val="Tahoma"/>
            <family val="2"/>
          </rPr>
          <t xml:space="preserve">See Guide (help)
</t>
        </r>
        <r>
          <rPr>
            <sz val="9"/>
            <color indexed="81"/>
            <rFont val="Tahoma"/>
            <family val="2"/>
          </rPr>
          <t xml:space="preserve">
</t>
        </r>
      </text>
    </comment>
    <comment ref="A5" authorId="0" shapeId="0" xr:uid="{32360549-5524-4217-B48A-D8C15641FA42}">
      <text>
        <r>
          <rPr>
            <sz val="9"/>
            <color indexed="81"/>
            <rFont val="Tahoma"/>
            <family val="2"/>
          </rPr>
          <t>Definition is in the "General info" tab.
Use the dropdown list.</t>
        </r>
      </text>
    </comment>
    <comment ref="A9" authorId="0" shapeId="0" xr:uid="{DB06EF5F-F355-4D55-8D60-21865B4D7CE8}">
      <text>
        <r>
          <rPr>
            <b/>
            <sz val="9"/>
            <color indexed="81"/>
            <rFont val="Tahoma"/>
            <family val="2"/>
          </rPr>
          <t>See Guide (help)</t>
        </r>
        <r>
          <rPr>
            <sz val="9"/>
            <color indexed="81"/>
            <rFont val="Tahoma"/>
            <family val="2"/>
          </rPr>
          <t xml:space="preserve">
</t>
        </r>
      </text>
    </comment>
    <comment ref="A11" authorId="0" shapeId="0" xr:uid="{8D505322-9915-4A93-B4B4-F10E0436659A}">
      <text>
        <r>
          <rPr>
            <b/>
            <sz val="9"/>
            <color indexed="81"/>
            <rFont val="Tahoma"/>
            <family val="2"/>
          </rPr>
          <t xml:space="preserve">Describe the test environment and setup.
</t>
        </r>
        <r>
          <rPr>
            <sz val="9"/>
            <color indexed="81"/>
            <rFont val="Tahoma"/>
            <family val="2"/>
          </rPr>
          <t xml:space="preserve">
</t>
        </r>
      </text>
    </comment>
    <comment ref="A16" authorId="0" shapeId="0" xr:uid="{F32D657B-82E6-4290-A053-E7049749F3B3}">
      <text>
        <r>
          <rPr>
            <b/>
            <sz val="9"/>
            <color indexed="81"/>
            <rFont val="Tahoma"/>
            <family val="2"/>
          </rPr>
          <t>Give the initial state before beginning the test.</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EA64EFF3-F371-4C10-9A4A-28E8B5697048}">
      <text>
        <r>
          <rPr>
            <b/>
            <sz val="9"/>
            <color indexed="81"/>
            <rFont val="Tahoma"/>
            <family val="2"/>
          </rPr>
          <t xml:space="preserve">See Guide (help)
</t>
        </r>
        <r>
          <rPr>
            <sz val="9"/>
            <color indexed="81"/>
            <rFont val="Tahoma"/>
            <family val="2"/>
          </rPr>
          <t xml:space="preserve">
</t>
        </r>
      </text>
    </comment>
    <comment ref="A3" authorId="0" shapeId="0" xr:uid="{B4D5C8B7-6672-4947-9300-4D7454AAA722}">
      <text>
        <r>
          <rPr>
            <b/>
            <sz val="9"/>
            <color indexed="81"/>
            <rFont val="Tahoma"/>
            <family val="2"/>
          </rPr>
          <t xml:space="preserve">See Guide (help)
</t>
        </r>
        <r>
          <rPr>
            <sz val="9"/>
            <color indexed="81"/>
            <rFont val="Tahoma"/>
            <family val="2"/>
          </rPr>
          <t xml:space="preserve">
</t>
        </r>
      </text>
    </comment>
    <comment ref="A5" authorId="0" shapeId="0" xr:uid="{B8A4690E-9194-4232-9457-B8E56E3B4027}">
      <text>
        <r>
          <rPr>
            <sz val="9"/>
            <color indexed="81"/>
            <rFont val="Tahoma"/>
            <family val="2"/>
          </rPr>
          <t>Definition is in the "General info" tab.
Use the dropdown list.</t>
        </r>
      </text>
    </comment>
    <comment ref="A9" authorId="0" shapeId="0" xr:uid="{C77327E7-2065-436A-963D-4884104978D7}">
      <text>
        <r>
          <rPr>
            <b/>
            <sz val="9"/>
            <color indexed="81"/>
            <rFont val="Tahoma"/>
            <family val="2"/>
          </rPr>
          <t>See Guide (help)</t>
        </r>
        <r>
          <rPr>
            <sz val="9"/>
            <color indexed="81"/>
            <rFont val="Tahoma"/>
            <family val="2"/>
          </rPr>
          <t xml:space="preserve">
</t>
        </r>
      </text>
    </comment>
    <comment ref="A11" authorId="0" shapeId="0" xr:uid="{7C7C1AD9-62BB-4E8D-855A-9851AA107927}">
      <text>
        <r>
          <rPr>
            <b/>
            <sz val="9"/>
            <color indexed="81"/>
            <rFont val="Tahoma"/>
            <family val="2"/>
          </rPr>
          <t xml:space="preserve">Describe the test environment and setup.
</t>
        </r>
        <r>
          <rPr>
            <sz val="9"/>
            <color indexed="81"/>
            <rFont val="Tahoma"/>
            <family val="2"/>
          </rPr>
          <t xml:space="preserve">
</t>
        </r>
      </text>
    </comment>
    <comment ref="A16" authorId="0" shapeId="0" xr:uid="{6DA1A36B-9F8E-48AF-83CC-A694D667A821}">
      <text>
        <r>
          <rPr>
            <b/>
            <sz val="9"/>
            <color indexed="81"/>
            <rFont val="Tahoma"/>
            <family val="2"/>
          </rPr>
          <t>Give the initial state before beginning the test.</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8397A4F5-52D1-44E3-8EFD-6F37317D3746}">
      <text>
        <r>
          <rPr>
            <b/>
            <sz val="9"/>
            <color indexed="81"/>
            <rFont val="Tahoma"/>
            <family val="2"/>
          </rPr>
          <t xml:space="preserve">See Guide (help)
</t>
        </r>
        <r>
          <rPr>
            <sz val="9"/>
            <color indexed="81"/>
            <rFont val="Tahoma"/>
            <family val="2"/>
          </rPr>
          <t xml:space="preserve">
</t>
        </r>
      </text>
    </comment>
    <comment ref="A3" authorId="0" shapeId="0" xr:uid="{80F2F709-9537-4B46-9E25-0B8F512D788B}">
      <text>
        <r>
          <rPr>
            <b/>
            <sz val="9"/>
            <color indexed="81"/>
            <rFont val="Tahoma"/>
            <family val="2"/>
          </rPr>
          <t xml:space="preserve">See Guide (help)
</t>
        </r>
        <r>
          <rPr>
            <sz val="9"/>
            <color indexed="81"/>
            <rFont val="Tahoma"/>
            <family val="2"/>
          </rPr>
          <t xml:space="preserve">
</t>
        </r>
      </text>
    </comment>
    <comment ref="A5" authorId="0" shapeId="0" xr:uid="{E6F43E20-D72B-46DE-9D7E-513A268F19F1}">
      <text>
        <r>
          <rPr>
            <sz val="9"/>
            <color indexed="81"/>
            <rFont val="Tahoma"/>
            <family val="2"/>
          </rPr>
          <t>Definition is in the "General info" tab.
Use the dropdown list.</t>
        </r>
      </text>
    </comment>
    <comment ref="A9" authorId="0" shapeId="0" xr:uid="{FA8EAD84-CBCB-4F18-97C9-8AF8AE145D7A}">
      <text>
        <r>
          <rPr>
            <b/>
            <sz val="9"/>
            <color indexed="81"/>
            <rFont val="Tahoma"/>
            <family val="2"/>
          </rPr>
          <t>See Guide (help)</t>
        </r>
        <r>
          <rPr>
            <sz val="9"/>
            <color indexed="81"/>
            <rFont val="Tahoma"/>
            <family val="2"/>
          </rPr>
          <t xml:space="preserve">
</t>
        </r>
      </text>
    </comment>
    <comment ref="A11" authorId="0" shapeId="0" xr:uid="{3BC05CF3-6FBD-4FDC-8CB2-7C596EF20052}">
      <text>
        <r>
          <rPr>
            <b/>
            <sz val="9"/>
            <color indexed="81"/>
            <rFont val="Tahoma"/>
            <family val="2"/>
          </rPr>
          <t xml:space="preserve">Describe the test environment and setup.
</t>
        </r>
        <r>
          <rPr>
            <sz val="9"/>
            <color indexed="81"/>
            <rFont val="Tahoma"/>
            <family val="2"/>
          </rPr>
          <t xml:space="preserve">
</t>
        </r>
      </text>
    </comment>
    <comment ref="A16" authorId="0" shapeId="0" xr:uid="{DBF8AD2E-FBB5-4DF6-9C18-7F84289C94B0}">
      <text>
        <r>
          <rPr>
            <b/>
            <sz val="9"/>
            <color indexed="81"/>
            <rFont val="Tahoma"/>
            <family val="2"/>
          </rPr>
          <t>Give the initial state before beginning the test.</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560EFF3B-AED9-4900-B4DD-088AD80EA82D}">
      <text>
        <r>
          <rPr>
            <b/>
            <sz val="9"/>
            <color indexed="81"/>
            <rFont val="Tahoma"/>
            <family val="2"/>
          </rPr>
          <t xml:space="preserve">See Guide (help)
</t>
        </r>
        <r>
          <rPr>
            <sz val="9"/>
            <color indexed="81"/>
            <rFont val="Tahoma"/>
            <family val="2"/>
          </rPr>
          <t xml:space="preserve">
</t>
        </r>
      </text>
    </comment>
    <comment ref="A3" authorId="0" shapeId="0" xr:uid="{65F5DBDB-33E6-439A-AD02-F8E79CB99CA5}">
      <text>
        <r>
          <rPr>
            <b/>
            <sz val="9"/>
            <color indexed="81"/>
            <rFont val="Tahoma"/>
            <family val="2"/>
          </rPr>
          <t xml:space="preserve">See Guide (help)
</t>
        </r>
        <r>
          <rPr>
            <sz val="9"/>
            <color indexed="81"/>
            <rFont val="Tahoma"/>
            <family val="2"/>
          </rPr>
          <t xml:space="preserve">
</t>
        </r>
      </text>
    </comment>
    <comment ref="A5" authorId="0" shapeId="0" xr:uid="{1121805E-6D44-4B40-8355-0F6E86E175C8}">
      <text>
        <r>
          <rPr>
            <sz val="9"/>
            <color indexed="81"/>
            <rFont val="Tahoma"/>
            <family val="2"/>
          </rPr>
          <t>Definition is in the "General info" tab.
Use the dropdown list.</t>
        </r>
      </text>
    </comment>
    <comment ref="A9" authorId="0" shapeId="0" xr:uid="{D8D5C0B4-B3D2-4CFA-B18E-61136009D36E}">
      <text>
        <r>
          <rPr>
            <b/>
            <sz val="9"/>
            <color indexed="81"/>
            <rFont val="Tahoma"/>
            <family val="2"/>
          </rPr>
          <t>See Guide (help)</t>
        </r>
        <r>
          <rPr>
            <sz val="9"/>
            <color indexed="81"/>
            <rFont val="Tahoma"/>
            <family val="2"/>
          </rPr>
          <t xml:space="preserve">
</t>
        </r>
      </text>
    </comment>
    <comment ref="A11" authorId="0" shapeId="0" xr:uid="{7CD92A87-670F-42F5-9FAC-0004323D4597}">
      <text>
        <r>
          <rPr>
            <b/>
            <sz val="9"/>
            <color indexed="81"/>
            <rFont val="Tahoma"/>
            <family val="2"/>
          </rPr>
          <t xml:space="preserve">Describe the test environment and setup.
</t>
        </r>
        <r>
          <rPr>
            <sz val="9"/>
            <color indexed="81"/>
            <rFont val="Tahoma"/>
            <family val="2"/>
          </rPr>
          <t xml:space="preserve">
</t>
        </r>
      </text>
    </comment>
    <comment ref="A16" authorId="0" shapeId="0" xr:uid="{BF20BDAF-2C0D-4B71-B501-2C1F4BB9557F}">
      <text>
        <r>
          <rPr>
            <b/>
            <sz val="9"/>
            <color indexed="81"/>
            <rFont val="Tahoma"/>
            <family val="2"/>
          </rPr>
          <t>Give the initial state before beginning the test.</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FA7DBB9-ACB4-4679-A5E2-6AEFA9700ECF}">
      <text>
        <r>
          <rPr>
            <b/>
            <sz val="9"/>
            <color indexed="81"/>
            <rFont val="Tahoma"/>
            <family val="2"/>
          </rPr>
          <t xml:space="preserve">See Guide (help)
</t>
        </r>
        <r>
          <rPr>
            <sz val="9"/>
            <color indexed="81"/>
            <rFont val="Tahoma"/>
            <family val="2"/>
          </rPr>
          <t xml:space="preserve">
</t>
        </r>
      </text>
    </comment>
    <comment ref="A3" authorId="0" shapeId="0" xr:uid="{9990EA44-6144-4BCC-9F8A-35E070DAFB4F}">
      <text>
        <r>
          <rPr>
            <b/>
            <sz val="9"/>
            <color indexed="81"/>
            <rFont val="Tahoma"/>
            <family val="2"/>
          </rPr>
          <t xml:space="preserve">See Guide (help)
</t>
        </r>
        <r>
          <rPr>
            <sz val="9"/>
            <color indexed="81"/>
            <rFont val="Tahoma"/>
            <family val="2"/>
          </rPr>
          <t xml:space="preserve">
</t>
        </r>
      </text>
    </comment>
    <comment ref="A5" authorId="0" shapeId="0" xr:uid="{C4CCB809-71EE-4624-9C7D-586898C07DCA}">
      <text>
        <r>
          <rPr>
            <sz val="9"/>
            <color indexed="81"/>
            <rFont val="Tahoma"/>
            <family val="2"/>
          </rPr>
          <t>Definition is in the "General info" tab.
Use the dropdown list.</t>
        </r>
      </text>
    </comment>
    <comment ref="A9" authorId="0" shapeId="0" xr:uid="{858825CF-6A43-4C14-9F16-2BD31D5B99F1}">
      <text>
        <r>
          <rPr>
            <b/>
            <sz val="9"/>
            <color indexed="81"/>
            <rFont val="Tahoma"/>
            <family val="2"/>
          </rPr>
          <t>See Guide (help)</t>
        </r>
        <r>
          <rPr>
            <sz val="9"/>
            <color indexed="81"/>
            <rFont val="Tahoma"/>
            <family val="2"/>
          </rPr>
          <t xml:space="preserve">
</t>
        </r>
      </text>
    </comment>
    <comment ref="A11" authorId="0" shapeId="0" xr:uid="{C865BD93-BFD4-4FA5-A63F-CE77228B3024}">
      <text>
        <r>
          <rPr>
            <b/>
            <sz val="9"/>
            <color indexed="81"/>
            <rFont val="Tahoma"/>
            <family val="2"/>
          </rPr>
          <t xml:space="preserve">Describe the test environment and setup.
</t>
        </r>
        <r>
          <rPr>
            <sz val="9"/>
            <color indexed="81"/>
            <rFont val="Tahoma"/>
            <family val="2"/>
          </rPr>
          <t xml:space="preserve">
</t>
        </r>
      </text>
    </comment>
    <comment ref="A16" authorId="0" shapeId="0" xr:uid="{6011628F-0887-4175-AD78-5DD7DEED4467}">
      <text>
        <r>
          <rPr>
            <b/>
            <sz val="9"/>
            <color indexed="81"/>
            <rFont val="Tahoma"/>
            <family val="2"/>
          </rPr>
          <t>Give the initial state before beginning the test.</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6257B6D-F078-43AF-89B9-823EECDF23BF}">
      <text>
        <r>
          <rPr>
            <b/>
            <sz val="9"/>
            <color indexed="81"/>
            <rFont val="Tahoma"/>
            <family val="2"/>
          </rPr>
          <t xml:space="preserve">See Guide (help)
</t>
        </r>
        <r>
          <rPr>
            <sz val="9"/>
            <color indexed="81"/>
            <rFont val="Tahoma"/>
            <family val="2"/>
          </rPr>
          <t xml:space="preserve">
</t>
        </r>
      </text>
    </comment>
    <comment ref="A3" authorId="0" shapeId="0" xr:uid="{BE9BF805-0C46-4C8E-A821-932717322398}">
      <text>
        <r>
          <rPr>
            <b/>
            <sz val="9"/>
            <color indexed="81"/>
            <rFont val="Tahoma"/>
            <family val="2"/>
          </rPr>
          <t xml:space="preserve">See Guide (help)
</t>
        </r>
        <r>
          <rPr>
            <sz val="9"/>
            <color indexed="81"/>
            <rFont val="Tahoma"/>
            <family val="2"/>
          </rPr>
          <t xml:space="preserve">
</t>
        </r>
      </text>
    </comment>
    <comment ref="A5" authorId="0" shapeId="0" xr:uid="{4FE8D089-86A5-43B3-BB26-4C607F3822BF}">
      <text>
        <r>
          <rPr>
            <sz val="9"/>
            <color indexed="81"/>
            <rFont val="Tahoma"/>
            <family val="2"/>
          </rPr>
          <t>Definition is in the "General info" tab.
Use the dropdown list.</t>
        </r>
      </text>
    </comment>
    <comment ref="A9" authorId="0" shapeId="0" xr:uid="{B907F3A6-D01F-4D04-91DB-B51746F277C9}">
      <text>
        <r>
          <rPr>
            <b/>
            <sz val="9"/>
            <color indexed="81"/>
            <rFont val="Tahoma"/>
            <family val="2"/>
          </rPr>
          <t>See Guide (help)</t>
        </r>
        <r>
          <rPr>
            <sz val="9"/>
            <color indexed="81"/>
            <rFont val="Tahoma"/>
            <family val="2"/>
          </rPr>
          <t xml:space="preserve">
</t>
        </r>
      </text>
    </comment>
    <comment ref="A11" authorId="0" shapeId="0" xr:uid="{ECF45A08-2DB3-4E28-B8E7-E512622BEF56}">
      <text>
        <r>
          <rPr>
            <b/>
            <sz val="9"/>
            <color indexed="81"/>
            <rFont val="Tahoma"/>
            <family val="2"/>
          </rPr>
          <t xml:space="preserve">Describe the test environment and setup.
</t>
        </r>
        <r>
          <rPr>
            <sz val="9"/>
            <color indexed="81"/>
            <rFont val="Tahoma"/>
            <family val="2"/>
          </rPr>
          <t xml:space="preserve">
</t>
        </r>
      </text>
    </comment>
    <comment ref="A16" authorId="0" shapeId="0" xr:uid="{007CF3A7-505D-418F-9D60-FF8AA4204F2C}">
      <text>
        <r>
          <rPr>
            <b/>
            <sz val="9"/>
            <color indexed="81"/>
            <rFont val="Tahoma"/>
            <family val="2"/>
          </rPr>
          <t>Give the initial state before beginning the test.</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6CB0B09-15E8-47BB-8673-A83DBBDB5E07}">
      <text>
        <r>
          <rPr>
            <b/>
            <sz val="9"/>
            <color indexed="81"/>
            <rFont val="Tahoma"/>
            <family val="2"/>
          </rPr>
          <t xml:space="preserve">See Guide (help)
</t>
        </r>
        <r>
          <rPr>
            <sz val="9"/>
            <color indexed="81"/>
            <rFont val="Tahoma"/>
            <family val="2"/>
          </rPr>
          <t xml:space="preserve">
</t>
        </r>
      </text>
    </comment>
    <comment ref="A3" authorId="0" shapeId="0" xr:uid="{CE97CCBB-8A07-4950-A967-EB445215C04C}">
      <text>
        <r>
          <rPr>
            <b/>
            <sz val="9"/>
            <color indexed="81"/>
            <rFont val="Tahoma"/>
            <family val="2"/>
          </rPr>
          <t xml:space="preserve">See Guide (help)
</t>
        </r>
        <r>
          <rPr>
            <sz val="9"/>
            <color indexed="81"/>
            <rFont val="Tahoma"/>
            <family val="2"/>
          </rPr>
          <t xml:space="preserve">
</t>
        </r>
      </text>
    </comment>
    <comment ref="A5" authorId="0" shapeId="0" xr:uid="{717359B7-CBB6-4D73-8F32-ABA6AA7F4D3E}">
      <text>
        <r>
          <rPr>
            <sz val="9"/>
            <color indexed="81"/>
            <rFont val="Tahoma"/>
            <family val="2"/>
          </rPr>
          <t>Definition is in the "General info" tab.
Use the dropdown list.</t>
        </r>
      </text>
    </comment>
    <comment ref="A9" authorId="0" shapeId="0" xr:uid="{AC381712-47B6-41D1-8049-849AD3F91A0F}">
      <text>
        <r>
          <rPr>
            <b/>
            <sz val="9"/>
            <color indexed="81"/>
            <rFont val="Tahoma"/>
            <family val="2"/>
          </rPr>
          <t>See Guide (help)</t>
        </r>
        <r>
          <rPr>
            <sz val="9"/>
            <color indexed="81"/>
            <rFont val="Tahoma"/>
            <family val="2"/>
          </rPr>
          <t xml:space="preserve">
</t>
        </r>
      </text>
    </comment>
    <comment ref="A11" authorId="0" shapeId="0" xr:uid="{4B13E575-2D3C-4D69-B104-9C7674DAE5E2}">
      <text>
        <r>
          <rPr>
            <b/>
            <sz val="9"/>
            <color indexed="81"/>
            <rFont val="Tahoma"/>
            <family val="2"/>
          </rPr>
          <t xml:space="preserve">Describe the test environment and setup.
</t>
        </r>
        <r>
          <rPr>
            <sz val="9"/>
            <color indexed="81"/>
            <rFont val="Tahoma"/>
            <family val="2"/>
          </rPr>
          <t xml:space="preserve">
</t>
        </r>
      </text>
    </comment>
    <comment ref="A16" authorId="0" shapeId="0" xr:uid="{DB18AB49-14ED-4893-8DD2-21D26B5302A3}">
      <text>
        <r>
          <rPr>
            <b/>
            <sz val="9"/>
            <color indexed="81"/>
            <rFont val="Tahoma"/>
            <family val="2"/>
          </rPr>
          <t>Give the initial state before beginning the test.</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5CE4882-D270-49B8-8C51-03867F4F96B8}">
      <text>
        <r>
          <rPr>
            <b/>
            <sz val="9"/>
            <color indexed="81"/>
            <rFont val="Tahoma"/>
            <family val="2"/>
          </rPr>
          <t xml:space="preserve">See Guide (help)
</t>
        </r>
        <r>
          <rPr>
            <sz val="9"/>
            <color indexed="81"/>
            <rFont val="Tahoma"/>
            <family val="2"/>
          </rPr>
          <t xml:space="preserve">
</t>
        </r>
      </text>
    </comment>
    <comment ref="A3" authorId="0" shapeId="0" xr:uid="{0CDBFFEB-7A47-4A02-BBBC-2987C028C6B8}">
      <text>
        <r>
          <rPr>
            <b/>
            <sz val="9"/>
            <color indexed="81"/>
            <rFont val="Tahoma"/>
            <family val="2"/>
          </rPr>
          <t xml:space="preserve">See Guide (help)
</t>
        </r>
        <r>
          <rPr>
            <sz val="9"/>
            <color indexed="81"/>
            <rFont val="Tahoma"/>
            <family val="2"/>
          </rPr>
          <t xml:space="preserve">
</t>
        </r>
      </text>
    </comment>
    <comment ref="A5" authorId="0" shapeId="0" xr:uid="{1F3D2A4F-002E-406C-8B9E-1FA08728C140}">
      <text>
        <r>
          <rPr>
            <sz val="9"/>
            <color indexed="81"/>
            <rFont val="Tahoma"/>
            <family val="2"/>
          </rPr>
          <t>Definition is in the "General info" tab.
Use the dropdown list.</t>
        </r>
      </text>
    </comment>
    <comment ref="A9" authorId="0" shapeId="0" xr:uid="{1C6E8806-67FE-4996-8A82-AB296A1CB3B1}">
      <text>
        <r>
          <rPr>
            <b/>
            <sz val="9"/>
            <color indexed="81"/>
            <rFont val="Tahoma"/>
            <family val="2"/>
          </rPr>
          <t>See Guide (help)</t>
        </r>
        <r>
          <rPr>
            <sz val="9"/>
            <color indexed="81"/>
            <rFont val="Tahoma"/>
            <family val="2"/>
          </rPr>
          <t xml:space="preserve">
</t>
        </r>
      </text>
    </comment>
    <comment ref="A11" authorId="0" shapeId="0" xr:uid="{0959D980-BFD6-462D-8409-8A072076B321}">
      <text>
        <r>
          <rPr>
            <b/>
            <sz val="9"/>
            <color indexed="81"/>
            <rFont val="Tahoma"/>
            <family val="2"/>
          </rPr>
          <t xml:space="preserve">Describe the test environment and setup.
</t>
        </r>
        <r>
          <rPr>
            <sz val="9"/>
            <color indexed="81"/>
            <rFont val="Tahoma"/>
            <family val="2"/>
          </rPr>
          <t xml:space="preserve">
</t>
        </r>
      </text>
    </comment>
    <comment ref="A16" authorId="0" shapeId="0" xr:uid="{85F82E06-2603-4FEF-A20A-3B3E346ED0BF}">
      <text>
        <r>
          <rPr>
            <b/>
            <sz val="9"/>
            <color indexed="81"/>
            <rFont val="Tahoma"/>
            <family val="2"/>
          </rPr>
          <t>Give the initial state before beginning the test.</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97208E13-E33B-45DA-9BEB-E96686A4F2FF}">
      <text>
        <r>
          <rPr>
            <b/>
            <sz val="9"/>
            <color indexed="81"/>
            <rFont val="Tahoma"/>
            <family val="2"/>
          </rPr>
          <t xml:space="preserve">See Guide (help)
</t>
        </r>
        <r>
          <rPr>
            <sz val="9"/>
            <color indexed="81"/>
            <rFont val="Tahoma"/>
            <family val="2"/>
          </rPr>
          <t xml:space="preserve">
</t>
        </r>
      </text>
    </comment>
    <comment ref="A3" authorId="0" shapeId="0" xr:uid="{46CD45CD-FDD7-4A61-97B1-D9613DAE1C9D}">
      <text>
        <r>
          <rPr>
            <b/>
            <sz val="9"/>
            <color indexed="81"/>
            <rFont val="Tahoma"/>
            <family val="2"/>
          </rPr>
          <t xml:space="preserve">See Guide (help)
</t>
        </r>
        <r>
          <rPr>
            <sz val="9"/>
            <color indexed="81"/>
            <rFont val="Tahoma"/>
            <family val="2"/>
          </rPr>
          <t xml:space="preserve">
</t>
        </r>
      </text>
    </comment>
    <comment ref="A5" authorId="0" shapeId="0" xr:uid="{79137E0C-DE2F-4BC8-8104-331172BE3B28}">
      <text>
        <r>
          <rPr>
            <sz val="9"/>
            <color indexed="81"/>
            <rFont val="Tahoma"/>
            <family val="2"/>
          </rPr>
          <t>Definition is in the "General info" tab.
Use the dropdown list.</t>
        </r>
      </text>
    </comment>
    <comment ref="A9" authorId="0" shapeId="0" xr:uid="{C79F66AC-2F6D-4314-B68E-3849F653E7A9}">
      <text>
        <r>
          <rPr>
            <b/>
            <sz val="9"/>
            <color indexed="81"/>
            <rFont val="Tahoma"/>
            <family val="2"/>
          </rPr>
          <t>See Guide (help)</t>
        </r>
        <r>
          <rPr>
            <sz val="9"/>
            <color indexed="81"/>
            <rFont val="Tahoma"/>
            <family val="2"/>
          </rPr>
          <t xml:space="preserve">
</t>
        </r>
      </text>
    </comment>
    <comment ref="A11" authorId="0" shapeId="0" xr:uid="{26E2A30D-E59E-4672-B137-183ED5CD8774}">
      <text>
        <r>
          <rPr>
            <b/>
            <sz val="9"/>
            <color indexed="81"/>
            <rFont val="Tahoma"/>
            <family val="2"/>
          </rPr>
          <t xml:space="preserve">Describe the test environment and setup.
</t>
        </r>
        <r>
          <rPr>
            <sz val="9"/>
            <color indexed="81"/>
            <rFont val="Tahoma"/>
            <family val="2"/>
          </rPr>
          <t xml:space="preserve">
</t>
        </r>
      </text>
    </comment>
    <comment ref="A16" authorId="0" shapeId="0" xr:uid="{280932CF-5B0C-4792-9FCF-9CA2DBB717E0}">
      <text>
        <r>
          <rPr>
            <b/>
            <sz val="9"/>
            <color indexed="81"/>
            <rFont val="Tahoma"/>
            <family val="2"/>
          </rPr>
          <t>Give the initial state before beginning the test.</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1CF30CC9-C0A6-479F-AF52-C57679A72463}">
      <text>
        <r>
          <rPr>
            <b/>
            <sz val="9"/>
            <color indexed="81"/>
            <rFont val="Tahoma"/>
            <family val="2"/>
          </rPr>
          <t xml:space="preserve">See Guide (help)
</t>
        </r>
        <r>
          <rPr>
            <sz val="9"/>
            <color indexed="81"/>
            <rFont val="Tahoma"/>
            <family val="2"/>
          </rPr>
          <t xml:space="preserve">
</t>
        </r>
      </text>
    </comment>
    <comment ref="A3" authorId="0" shapeId="0" xr:uid="{962E7001-DC02-4547-88F2-F142AD38DFE3}">
      <text>
        <r>
          <rPr>
            <b/>
            <sz val="9"/>
            <color indexed="81"/>
            <rFont val="Tahoma"/>
            <family val="2"/>
          </rPr>
          <t xml:space="preserve">See Guide (help)
</t>
        </r>
        <r>
          <rPr>
            <sz val="9"/>
            <color indexed="81"/>
            <rFont val="Tahoma"/>
            <family val="2"/>
          </rPr>
          <t xml:space="preserve">
</t>
        </r>
      </text>
    </comment>
    <comment ref="A5" authorId="0" shapeId="0" xr:uid="{01D69CA3-09B0-4D22-B2FE-75E2DFC97ACA}">
      <text>
        <r>
          <rPr>
            <sz val="9"/>
            <color indexed="81"/>
            <rFont val="Tahoma"/>
            <family val="2"/>
          </rPr>
          <t>Definition is in the "General info" tab.
Use the dropdown list.</t>
        </r>
      </text>
    </comment>
    <comment ref="A9" authorId="0" shapeId="0" xr:uid="{259E260F-BE84-4239-9381-223FDD349874}">
      <text>
        <r>
          <rPr>
            <b/>
            <sz val="9"/>
            <color indexed="81"/>
            <rFont val="Tahoma"/>
            <family val="2"/>
          </rPr>
          <t>See Guide (help)</t>
        </r>
        <r>
          <rPr>
            <sz val="9"/>
            <color indexed="81"/>
            <rFont val="Tahoma"/>
            <family val="2"/>
          </rPr>
          <t xml:space="preserve">
</t>
        </r>
      </text>
    </comment>
    <comment ref="A11" authorId="0" shapeId="0" xr:uid="{8B1FB852-8825-4ABF-81F3-992F580D5D8B}">
      <text>
        <r>
          <rPr>
            <b/>
            <sz val="9"/>
            <color indexed="81"/>
            <rFont val="Tahoma"/>
            <family val="2"/>
          </rPr>
          <t xml:space="preserve">Describe the test environment and setup.
</t>
        </r>
        <r>
          <rPr>
            <sz val="9"/>
            <color indexed="81"/>
            <rFont val="Tahoma"/>
            <family val="2"/>
          </rPr>
          <t xml:space="preserve">
</t>
        </r>
      </text>
    </comment>
    <comment ref="A16" authorId="0" shapeId="0" xr:uid="{74C7A5BB-94AC-40AC-ACA7-00BC75EE28C2}">
      <text>
        <r>
          <rPr>
            <b/>
            <sz val="9"/>
            <color indexed="81"/>
            <rFont val="Tahoma"/>
            <family val="2"/>
          </rPr>
          <t>Give the initial state before beginning the test.</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28B28138-4A34-4343-96F7-EC80D4DE9E9D}">
      <text>
        <r>
          <rPr>
            <b/>
            <sz val="9"/>
            <color indexed="81"/>
            <rFont val="Tahoma"/>
            <family val="2"/>
          </rPr>
          <t xml:space="preserve">See Guide (help)
</t>
        </r>
        <r>
          <rPr>
            <sz val="9"/>
            <color indexed="81"/>
            <rFont val="Tahoma"/>
            <family val="2"/>
          </rPr>
          <t xml:space="preserve">
</t>
        </r>
      </text>
    </comment>
    <comment ref="A3" authorId="0" shapeId="0" xr:uid="{E1B90EE7-1F69-48EC-A54B-5D3FD4C775EF}">
      <text>
        <r>
          <rPr>
            <b/>
            <sz val="9"/>
            <color indexed="81"/>
            <rFont val="Tahoma"/>
            <family val="2"/>
          </rPr>
          <t xml:space="preserve">See Guide (help)
</t>
        </r>
        <r>
          <rPr>
            <sz val="9"/>
            <color indexed="81"/>
            <rFont val="Tahoma"/>
            <family val="2"/>
          </rPr>
          <t xml:space="preserve">
</t>
        </r>
      </text>
    </comment>
    <comment ref="A5" authorId="0" shapeId="0" xr:uid="{789CC8C6-3880-4998-8F4F-C28050B9B1F4}">
      <text>
        <r>
          <rPr>
            <sz val="9"/>
            <color indexed="81"/>
            <rFont val="Tahoma"/>
            <family val="2"/>
          </rPr>
          <t>Definition is in the "General info" tab.
Use the dropdown list.</t>
        </r>
      </text>
    </comment>
    <comment ref="A9" authorId="0" shapeId="0" xr:uid="{BDA7F6C9-E5A7-4017-9A1D-FB32142C2614}">
      <text>
        <r>
          <rPr>
            <b/>
            <sz val="9"/>
            <color indexed="81"/>
            <rFont val="Tahoma"/>
            <family val="2"/>
          </rPr>
          <t>See Guide (help)</t>
        </r>
        <r>
          <rPr>
            <sz val="9"/>
            <color indexed="81"/>
            <rFont val="Tahoma"/>
            <family val="2"/>
          </rPr>
          <t xml:space="preserve">
</t>
        </r>
      </text>
    </comment>
    <comment ref="A11" authorId="0" shapeId="0" xr:uid="{4AA4BA7F-1379-4D36-92F5-18D54BF432AC}">
      <text>
        <r>
          <rPr>
            <b/>
            <sz val="9"/>
            <color indexed="81"/>
            <rFont val="Tahoma"/>
            <family val="2"/>
          </rPr>
          <t xml:space="preserve">Describe the test environment and setup.
</t>
        </r>
        <r>
          <rPr>
            <sz val="9"/>
            <color indexed="81"/>
            <rFont val="Tahoma"/>
            <family val="2"/>
          </rPr>
          <t xml:space="preserve">
</t>
        </r>
      </text>
    </comment>
    <comment ref="A16" authorId="0" shapeId="0" xr:uid="{1DA04D1F-4526-4F65-8085-9AA4DB263F5E}">
      <text>
        <r>
          <rPr>
            <b/>
            <sz val="9"/>
            <color indexed="81"/>
            <rFont val="Tahoma"/>
            <family val="2"/>
          </rPr>
          <t>Give the initial state before beginning the test.</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3DEA84B-383B-4C2F-85B4-43A7EF50CF99}">
      <text>
        <r>
          <rPr>
            <b/>
            <sz val="9"/>
            <color indexed="81"/>
            <rFont val="Tahoma"/>
            <family val="2"/>
          </rPr>
          <t xml:space="preserve">See Guide (help)
</t>
        </r>
        <r>
          <rPr>
            <sz val="9"/>
            <color indexed="81"/>
            <rFont val="Tahoma"/>
            <family val="2"/>
          </rPr>
          <t xml:space="preserve">
</t>
        </r>
      </text>
    </comment>
    <comment ref="A3" authorId="0" shapeId="0" xr:uid="{6888DFE8-56BB-438F-8772-E29856B27164}">
      <text>
        <r>
          <rPr>
            <b/>
            <sz val="9"/>
            <color indexed="81"/>
            <rFont val="Tahoma"/>
            <family val="2"/>
          </rPr>
          <t xml:space="preserve">See Guide (help)
</t>
        </r>
        <r>
          <rPr>
            <sz val="9"/>
            <color indexed="81"/>
            <rFont val="Tahoma"/>
            <family val="2"/>
          </rPr>
          <t xml:space="preserve">
</t>
        </r>
      </text>
    </comment>
    <comment ref="A5" authorId="0" shapeId="0" xr:uid="{43AA10D5-951A-473E-ACA1-B39FC802A905}">
      <text>
        <r>
          <rPr>
            <sz val="9"/>
            <color indexed="81"/>
            <rFont val="Tahoma"/>
            <family val="2"/>
          </rPr>
          <t>Definition is in the "General info" tab.
Use the dropdown list.</t>
        </r>
      </text>
    </comment>
    <comment ref="A9" authorId="0" shapeId="0" xr:uid="{8A180815-486A-4259-A84B-DB309BDA5F21}">
      <text>
        <r>
          <rPr>
            <b/>
            <sz val="9"/>
            <color indexed="81"/>
            <rFont val="Tahoma"/>
            <family val="2"/>
          </rPr>
          <t>See Guide (help)</t>
        </r>
        <r>
          <rPr>
            <sz val="9"/>
            <color indexed="81"/>
            <rFont val="Tahoma"/>
            <family val="2"/>
          </rPr>
          <t xml:space="preserve">
</t>
        </r>
      </text>
    </comment>
    <comment ref="A11" authorId="0" shapeId="0" xr:uid="{85161355-75E7-4B93-8807-6F4B963FA0D7}">
      <text>
        <r>
          <rPr>
            <b/>
            <sz val="9"/>
            <color indexed="81"/>
            <rFont val="Tahoma"/>
            <family val="2"/>
          </rPr>
          <t xml:space="preserve">Describe the test environment and setup.
</t>
        </r>
        <r>
          <rPr>
            <sz val="9"/>
            <color indexed="81"/>
            <rFont val="Tahoma"/>
            <family val="2"/>
          </rPr>
          <t xml:space="preserve">
</t>
        </r>
      </text>
    </comment>
    <comment ref="A16" authorId="0" shapeId="0" xr:uid="{1FBA9724-D733-4094-BE83-86196E9502CE}">
      <text>
        <r>
          <rPr>
            <b/>
            <sz val="9"/>
            <color indexed="81"/>
            <rFont val="Tahoma"/>
            <family val="2"/>
          </rPr>
          <t>Give the initial state before beginning the test.</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F8A2FC59-8ECA-496B-86C5-9B5A4F604C13}">
      <text>
        <r>
          <rPr>
            <b/>
            <sz val="9"/>
            <color indexed="81"/>
            <rFont val="Tahoma"/>
            <family val="2"/>
          </rPr>
          <t xml:space="preserve">See Guide (help)
</t>
        </r>
        <r>
          <rPr>
            <sz val="9"/>
            <color indexed="81"/>
            <rFont val="Tahoma"/>
            <family val="2"/>
          </rPr>
          <t xml:space="preserve">
</t>
        </r>
      </text>
    </comment>
    <comment ref="A3" authorId="0" shapeId="0" xr:uid="{5E305386-BCF4-4574-BE1D-4E7D9ECEADE5}">
      <text>
        <r>
          <rPr>
            <b/>
            <sz val="9"/>
            <color indexed="81"/>
            <rFont val="Tahoma"/>
            <family val="2"/>
          </rPr>
          <t xml:space="preserve">See Guide (help)
</t>
        </r>
        <r>
          <rPr>
            <sz val="9"/>
            <color indexed="81"/>
            <rFont val="Tahoma"/>
            <family val="2"/>
          </rPr>
          <t xml:space="preserve">
</t>
        </r>
      </text>
    </comment>
    <comment ref="A5" authorId="0" shapeId="0" xr:uid="{FFC3D83F-2933-4C7C-8C53-3D75005A4F94}">
      <text>
        <r>
          <rPr>
            <sz val="9"/>
            <color indexed="81"/>
            <rFont val="Tahoma"/>
            <family val="2"/>
          </rPr>
          <t>Definition is in the "General info" tab.
Use the dropdown list.</t>
        </r>
      </text>
    </comment>
    <comment ref="A9" authorId="0" shapeId="0" xr:uid="{0446FE5B-CACA-4C98-8EAD-DE8A957FC374}">
      <text>
        <r>
          <rPr>
            <b/>
            <sz val="9"/>
            <color indexed="81"/>
            <rFont val="Tahoma"/>
            <family val="2"/>
          </rPr>
          <t>See Guide (help)</t>
        </r>
        <r>
          <rPr>
            <sz val="9"/>
            <color indexed="81"/>
            <rFont val="Tahoma"/>
            <family val="2"/>
          </rPr>
          <t xml:space="preserve">
</t>
        </r>
      </text>
    </comment>
    <comment ref="A11" authorId="0" shapeId="0" xr:uid="{2049EB5D-EC53-4BE1-B736-5AA5BBEE4A9E}">
      <text>
        <r>
          <rPr>
            <b/>
            <sz val="9"/>
            <color indexed="81"/>
            <rFont val="Tahoma"/>
            <family val="2"/>
          </rPr>
          <t xml:space="preserve">Describe the test environment and setup.
</t>
        </r>
        <r>
          <rPr>
            <sz val="9"/>
            <color indexed="81"/>
            <rFont val="Tahoma"/>
            <family val="2"/>
          </rPr>
          <t xml:space="preserve">
</t>
        </r>
      </text>
    </comment>
    <comment ref="A16" authorId="0" shapeId="0" xr:uid="{E2DBBEBC-DB82-447A-B08D-CDA710695BF6}">
      <text>
        <r>
          <rPr>
            <b/>
            <sz val="9"/>
            <color indexed="81"/>
            <rFont val="Tahoma"/>
            <family val="2"/>
          </rPr>
          <t>Give the initial state before beginning the test.</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B428A4A6-1C58-476F-A613-C22497BBC42C}">
      <text>
        <r>
          <rPr>
            <b/>
            <sz val="9"/>
            <color indexed="81"/>
            <rFont val="Tahoma"/>
            <family val="2"/>
          </rPr>
          <t xml:space="preserve">See Guide (help)
</t>
        </r>
        <r>
          <rPr>
            <sz val="9"/>
            <color indexed="81"/>
            <rFont val="Tahoma"/>
            <family val="2"/>
          </rPr>
          <t xml:space="preserve">
</t>
        </r>
      </text>
    </comment>
    <comment ref="A3" authorId="0" shapeId="0" xr:uid="{5F638B99-205C-4369-810F-B03A044FDB31}">
      <text>
        <r>
          <rPr>
            <b/>
            <sz val="9"/>
            <color indexed="81"/>
            <rFont val="Tahoma"/>
            <family val="2"/>
          </rPr>
          <t xml:space="preserve">See Guide (help)
</t>
        </r>
        <r>
          <rPr>
            <sz val="9"/>
            <color indexed="81"/>
            <rFont val="Tahoma"/>
            <family val="2"/>
          </rPr>
          <t xml:space="preserve">
</t>
        </r>
      </text>
    </comment>
    <comment ref="A5" authorId="0" shapeId="0" xr:uid="{588D4880-45F2-46CE-A4AB-D281BB137E4D}">
      <text>
        <r>
          <rPr>
            <sz val="9"/>
            <color indexed="81"/>
            <rFont val="Tahoma"/>
            <family val="2"/>
          </rPr>
          <t>Definition is in the "General info" tab.
Use the dropdown list.</t>
        </r>
      </text>
    </comment>
    <comment ref="A9" authorId="0" shapeId="0" xr:uid="{5D181FD6-A8ED-4B45-BE79-0EDB5A01F267}">
      <text>
        <r>
          <rPr>
            <b/>
            <sz val="9"/>
            <color indexed="81"/>
            <rFont val="Tahoma"/>
            <family val="2"/>
          </rPr>
          <t>See Guide (help)</t>
        </r>
        <r>
          <rPr>
            <sz val="9"/>
            <color indexed="81"/>
            <rFont val="Tahoma"/>
            <family val="2"/>
          </rPr>
          <t xml:space="preserve">
</t>
        </r>
      </text>
    </comment>
    <comment ref="A11" authorId="0" shapeId="0" xr:uid="{376D47AD-DEA9-4B83-A4B2-E37A123FFE5C}">
      <text>
        <r>
          <rPr>
            <b/>
            <sz val="9"/>
            <color indexed="81"/>
            <rFont val="Tahoma"/>
            <family val="2"/>
          </rPr>
          <t xml:space="preserve">Describe the test environment and setup.
</t>
        </r>
        <r>
          <rPr>
            <sz val="9"/>
            <color indexed="81"/>
            <rFont val="Tahoma"/>
            <family val="2"/>
          </rPr>
          <t xml:space="preserve">
</t>
        </r>
      </text>
    </comment>
    <comment ref="A16" authorId="0" shapeId="0" xr:uid="{857323EC-5C2C-424B-83D9-E35FC2232DA1}">
      <text>
        <r>
          <rPr>
            <b/>
            <sz val="9"/>
            <color indexed="81"/>
            <rFont val="Tahoma"/>
            <family val="2"/>
          </rPr>
          <t>Give the initial state before beginning the test.</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99E29081-E62B-4615-8D9A-B2EA1852FFC9}">
      <text>
        <r>
          <rPr>
            <b/>
            <sz val="9"/>
            <color indexed="81"/>
            <rFont val="Tahoma"/>
            <family val="2"/>
          </rPr>
          <t xml:space="preserve">See Guide (help)
</t>
        </r>
        <r>
          <rPr>
            <sz val="9"/>
            <color indexed="81"/>
            <rFont val="Tahoma"/>
            <family val="2"/>
          </rPr>
          <t xml:space="preserve">
</t>
        </r>
      </text>
    </comment>
    <comment ref="A3" authorId="0" shapeId="0" xr:uid="{1B54D3D7-FD40-4603-8135-236CE4DB6105}">
      <text>
        <r>
          <rPr>
            <b/>
            <sz val="9"/>
            <color indexed="81"/>
            <rFont val="Tahoma"/>
            <family val="2"/>
          </rPr>
          <t xml:space="preserve">See Guide (help)
</t>
        </r>
        <r>
          <rPr>
            <sz val="9"/>
            <color indexed="81"/>
            <rFont val="Tahoma"/>
            <family val="2"/>
          </rPr>
          <t xml:space="preserve">
</t>
        </r>
      </text>
    </comment>
    <comment ref="A5" authorId="0" shapeId="0" xr:uid="{9630533D-46FD-4C18-B6DC-51AD2CA64B45}">
      <text>
        <r>
          <rPr>
            <sz val="9"/>
            <color indexed="81"/>
            <rFont val="Tahoma"/>
            <family val="2"/>
          </rPr>
          <t>Definition is in the "General info" tab.
Use the dropdown list.</t>
        </r>
      </text>
    </comment>
    <comment ref="A9" authorId="0" shapeId="0" xr:uid="{EC7A0657-BDA6-4D5D-8055-B77FAFB557D1}">
      <text>
        <r>
          <rPr>
            <b/>
            <sz val="9"/>
            <color indexed="81"/>
            <rFont val="Tahoma"/>
            <family val="2"/>
          </rPr>
          <t>See Guide (help)</t>
        </r>
        <r>
          <rPr>
            <sz val="9"/>
            <color indexed="81"/>
            <rFont val="Tahoma"/>
            <family val="2"/>
          </rPr>
          <t xml:space="preserve">
</t>
        </r>
      </text>
    </comment>
    <comment ref="A11" authorId="0" shapeId="0" xr:uid="{5713EB34-29F3-4C11-8ED4-FB359D16DBB6}">
      <text>
        <r>
          <rPr>
            <b/>
            <sz val="9"/>
            <color indexed="81"/>
            <rFont val="Tahoma"/>
            <family val="2"/>
          </rPr>
          <t xml:space="preserve">Describe the test environment and setup.
</t>
        </r>
        <r>
          <rPr>
            <sz val="9"/>
            <color indexed="81"/>
            <rFont val="Tahoma"/>
            <family val="2"/>
          </rPr>
          <t xml:space="preserve">
</t>
        </r>
      </text>
    </comment>
    <comment ref="A16" authorId="0" shapeId="0" xr:uid="{412B5CEC-6DC7-4854-AE2E-A244A5FB1683}">
      <text>
        <r>
          <rPr>
            <b/>
            <sz val="9"/>
            <color indexed="81"/>
            <rFont val="Tahoma"/>
            <family val="2"/>
          </rPr>
          <t>Give the initial state before beginning the test.</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FB577111-F5E5-44BA-8D0C-B50B8D728D44}">
      <text>
        <r>
          <rPr>
            <b/>
            <sz val="9"/>
            <color indexed="81"/>
            <rFont val="Tahoma"/>
            <family val="2"/>
          </rPr>
          <t xml:space="preserve">See Guide (help)
</t>
        </r>
        <r>
          <rPr>
            <sz val="9"/>
            <color indexed="81"/>
            <rFont val="Tahoma"/>
            <family val="2"/>
          </rPr>
          <t xml:space="preserve">
</t>
        </r>
      </text>
    </comment>
    <comment ref="A3" authorId="0" shapeId="0" xr:uid="{1DDEB90E-339D-43FE-AEDB-9EC73F611D71}">
      <text>
        <r>
          <rPr>
            <b/>
            <sz val="9"/>
            <color indexed="81"/>
            <rFont val="Tahoma"/>
            <family val="2"/>
          </rPr>
          <t xml:space="preserve">See Guide (help)
</t>
        </r>
        <r>
          <rPr>
            <sz val="9"/>
            <color indexed="81"/>
            <rFont val="Tahoma"/>
            <family val="2"/>
          </rPr>
          <t xml:space="preserve">
</t>
        </r>
      </text>
    </comment>
    <comment ref="A5" authorId="0" shapeId="0" xr:uid="{ACB35758-0FFB-4BB3-A806-E40DC7B3C0EF}">
      <text>
        <r>
          <rPr>
            <sz val="9"/>
            <color indexed="81"/>
            <rFont val="Tahoma"/>
            <family val="2"/>
          </rPr>
          <t>Definition is in the "General info" tab.
Use the dropdown list.</t>
        </r>
      </text>
    </comment>
    <comment ref="A9" authorId="0" shapeId="0" xr:uid="{C724780A-4F2E-498B-8574-AFCFCCCC1CF7}">
      <text>
        <r>
          <rPr>
            <b/>
            <sz val="9"/>
            <color indexed="81"/>
            <rFont val="Tahoma"/>
            <family val="2"/>
          </rPr>
          <t>See Guide (help)</t>
        </r>
        <r>
          <rPr>
            <sz val="9"/>
            <color indexed="81"/>
            <rFont val="Tahoma"/>
            <family val="2"/>
          </rPr>
          <t xml:space="preserve">
</t>
        </r>
      </text>
    </comment>
    <comment ref="A11" authorId="0" shapeId="0" xr:uid="{864C1862-4CA1-4A21-9647-8252BEE62ECA}">
      <text>
        <r>
          <rPr>
            <b/>
            <sz val="9"/>
            <color indexed="81"/>
            <rFont val="Tahoma"/>
            <family val="2"/>
          </rPr>
          <t xml:space="preserve">Describe the test environment and setup.
</t>
        </r>
        <r>
          <rPr>
            <sz val="9"/>
            <color indexed="81"/>
            <rFont val="Tahoma"/>
            <family val="2"/>
          </rPr>
          <t xml:space="preserve">
</t>
        </r>
      </text>
    </comment>
    <comment ref="A16" authorId="0" shapeId="0" xr:uid="{61C57A04-24EE-44AD-9EB4-A0BF1670CCFE}">
      <text>
        <r>
          <rPr>
            <b/>
            <sz val="9"/>
            <color indexed="81"/>
            <rFont val="Tahoma"/>
            <family val="2"/>
          </rPr>
          <t>Give the initial state before beginning the test.</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85DCCE38-E125-4E7E-8FFF-843AC9BE97EA}">
      <text>
        <r>
          <rPr>
            <b/>
            <sz val="9"/>
            <color indexed="81"/>
            <rFont val="Tahoma"/>
            <family val="2"/>
          </rPr>
          <t xml:space="preserve">See Guide (help)
</t>
        </r>
        <r>
          <rPr>
            <sz val="9"/>
            <color indexed="81"/>
            <rFont val="Tahoma"/>
            <family val="2"/>
          </rPr>
          <t xml:space="preserve">
</t>
        </r>
      </text>
    </comment>
    <comment ref="A3" authorId="0" shapeId="0" xr:uid="{388C22C3-0C09-4473-9F3C-7A2D48B556E3}">
      <text>
        <r>
          <rPr>
            <b/>
            <sz val="9"/>
            <color indexed="81"/>
            <rFont val="Tahoma"/>
            <family val="2"/>
          </rPr>
          <t xml:space="preserve">See Guide (help)
</t>
        </r>
        <r>
          <rPr>
            <sz val="9"/>
            <color indexed="81"/>
            <rFont val="Tahoma"/>
            <family val="2"/>
          </rPr>
          <t xml:space="preserve">
</t>
        </r>
      </text>
    </comment>
    <comment ref="A5" authorId="0" shapeId="0" xr:uid="{36A32686-AE83-402C-857F-A16C1BF7DC59}">
      <text>
        <r>
          <rPr>
            <sz val="9"/>
            <color indexed="81"/>
            <rFont val="Tahoma"/>
            <family val="2"/>
          </rPr>
          <t>Definition is in the "General info" tab.
Use the dropdown list.</t>
        </r>
      </text>
    </comment>
    <comment ref="A9" authorId="0" shapeId="0" xr:uid="{9E271F88-ABEC-40A3-9A7B-2C2F259B281E}">
      <text>
        <r>
          <rPr>
            <b/>
            <sz val="9"/>
            <color indexed="81"/>
            <rFont val="Tahoma"/>
            <family val="2"/>
          </rPr>
          <t>See Guide (help)</t>
        </r>
        <r>
          <rPr>
            <sz val="9"/>
            <color indexed="81"/>
            <rFont val="Tahoma"/>
            <family val="2"/>
          </rPr>
          <t xml:space="preserve">
</t>
        </r>
      </text>
    </comment>
    <comment ref="A11" authorId="0" shapeId="0" xr:uid="{2832196C-D395-4A92-8B73-B72964E68D19}">
      <text>
        <r>
          <rPr>
            <b/>
            <sz val="9"/>
            <color indexed="81"/>
            <rFont val="Tahoma"/>
            <family val="2"/>
          </rPr>
          <t xml:space="preserve">Describe the test environment and setup.
</t>
        </r>
        <r>
          <rPr>
            <sz val="9"/>
            <color indexed="81"/>
            <rFont val="Tahoma"/>
            <family val="2"/>
          </rPr>
          <t xml:space="preserve">
</t>
        </r>
      </text>
    </comment>
    <comment ref="A16" authorId="0" shapeId="0" xr:uid="{70A40185-B8DB-4E71-8F1F-BBF9F6137C37}">
      <text>
        <r>
          <rPr>
            <b/>
            <sz val="9"/>
            <color indexed="81"/>
            <rFont val="Tahoma"/>
            <family val="2"/>
          </rPr>
          <t>Give the initial state before beginning the test.</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237EAA22-D774-4E2F-B33A-37AE58EBB258}">
      <text>
        <r>
          <rPr>
            <b/>
            <sz val="9"/>
            <color indexed="81"/>
            <rFont val="Tahoma"/>
            <family val="2"/>
          </rPr>
          <t xml:space="preserve">See Guide (help)
</t>
        </r>
        <r>
          <rPr>
            <sz val="9"/>
            <color indexed="81"/>
            <rFont val="Tahoma"/>
            <family val="2"/>
          </rPr>
          <t xml:space="preserve">
</t>
        </r>
      </text>
    </comment>
    <comment ref="A3" authorId="0" shapeId="0" xr:uid="{C7DF8FC3-312A-4DFE-8DC1-B4C7DC3FB480}">
      <text>
        <r>
          <rPr>
            <b/>
            <sz val="9"/>
            <color indexed="81"/>
            <rFont val="Tahoma"/>
            <family val="2"/>
          </rPr>
          <t xml:space="preserve">See Guide (help)
</t>
        </r>
        <r>
          <rPr>
            <sz val="9"/>
            <color indexed="81"/>
            <rFont val="Tahoma"/>
            <family val="2"/>
          </rPr>
          <t xml:space="preserve">
</t>
        </r>
      </text>
    </comment>
    <comment ref="A5" authorId="0" shapeId="0" xr:uid="{78BCDD15-E6D6-404A-BDDF-136DD888FBDF}">
      <text>
        <r>
          <rPr>
            <sz val="9"/>
            <color indexed="81"/>
            <rFont val="Tahoma"/>
            <family val="2"/>
          </rPr>
          <t>Definition is in the "General info" tab.
Use the dropdown list.</t>
        </r>
      </text>
    </comment>
    <comment ref="A9" authorId="0" shapeId="0" xr:uid="{C2F78451-9CB3-48CE-BAAC-294630C1ED2C}">
      <text>
        <r>
          <rPr>
            <b/>
            <sz val="9"/>
            <color indexed="81"/>
            <rFont val="Tahoma"/>
            <family val="2"/>
          </rPr>
          <t>See Guide (help)</t>
        </r>
        <r>
          <rPr>
            <sz val="9"/>
            <color indexed="81"/>
            <rFont val="Tahoma"/>
            <family val="2"/>
          </rPr>
          <t xml:space="preserve">
</t>
        </r>
      </text>
    </comment>
    <comment ref="A11" authorId="0" shapeId="0" xr:uid="{FC0042C5-BBFA-43CB-9FBA-6FADBF3D9E42}">
      <text>
        <r>
          <rPr>
            <b/>
            <sz val="9"/>
            <color indexed="81"/>
            <rFont val="Tahoma"/>
            <family val="2"/>
          </rPr>
          <t xml:space="preserve">Describe the test environment and setup.
</t>
        </r>
        <r>
          <rPr>
            <sz val="9"/>
            <color indexed="81"/>
            <rFont val="Tahoma"/>
            <family val="2"/>
          </rPr>
          <t xml:space="preserve">
</t>
        </r>
      </text>
    </comment>
    <comment ref="A16" authorId="0" shapeId="0" xr:uid="{24AAE98F-B7FE-437B-83CC-78DE193B6250}">
      <text>
        <r>
          <rPr>
            <b/>
            <sz val="9"/>
            <color indexed="81"/>
            <rFont val="Tahoma"/>
            <family val="2"/>
          </rPr>
          <t>Give the initial state before beginning the test.</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36C2820-FA93-4887-A6CE-EAD838A2FE86}">
      <text>
        <r>
          <rPr>
            <b/>
            <sz val="9"/>
            <color indexed="81"/>
            <rFont val="Tahoma"/>
            <family val="2"/>
          </rPr>
          <t xml:space="preserve">See Guide (help)
</t>
        </r>
        <r>
          <rPr>
            <sz val="9"/>
            <color indexed="81"/>
            <rFont val="Tahoma"/>
            <family val="2"/>
          </rPr>
          <t xml:space="preserve">
</t>
        </r>
      </text>
    </comment>
    <comment ref="A3" authorId="0" shapeId="0" xr:uid="{C0823D77-AB9C-42BC-A1CD-CA132EB222A2}">
      <text>
        <r>
          <rPr>
            <b/>
            <sz val="9"/>
            <color indexed="81"/>
            <rFont val="Tahoma"/>
            <family val="2"/>
          </rPr>
          <t xml:space="preserve">See Guide (help)
</t>
        </r>
        <r>
          <rPr>
            <sz val="9"/>
            <color indexed="81"/>
            <rFont val="Tahoma"/>
            <family val="2"/>
          </rPr>
          <t xml:space="preserve">
</t>
        </r>
      </text>
    </comment>
    <comment ref="A5" authorId="0" shapeId="0" xr:uid="{FC9C6289-019B-41A8-BF70-7410710061AB}">
      <text>
        <r>
          <rPr>
            <sz val="9"/>
            <color indexed="81"/>
            <rFont val="Tahoma"/>
            <family val="2"/>
          </rPr>
          <t>Definition is in the "General info" tab.
Use the dropdown list.</t>
        </r>
      </text>
    </comment>
    <comment ref="A9" authorId="0" shapeId="0" xr:uid="{645B03CF-E29B-4CF7-9ACF-AB0B13A1FA78}">
      <text>
        <r>
          <rPr>
            <b/>
            <sz val="9"/>
            <color indexed="81"/>
            <rFont val="Tahoma"/>
            <family val="2"/>
          </rPr>
          <t>See Guide (help)</t>
        </r>
        <r>
          <rPr>
            <sz val="9"/>
            <color indexed="81"/>
            <rFont val="Tahoma"/>
            <family val="2"/>
          </rPr>
          <t xml:space="preserve">
</t>
        </r>
      </text>
    </comment>
    <comment ref="A11" authorId="0" shapeId="0" xr:uid="{FEACB77A-F339-4C2B-85DD-0FFA2D9292B4}">
      <text>
        <r>
          <rPr>
            <b/>
            <sz val="9"/>
            <color indexed="81"/>
            <rFont val="Tahoma"/>
            <family val="2"/>
          </rPr>
          <t xml:space="preserve">Describe the test environment and setup.
</t>
        </r>
        <r>
          <rPr>
            <sz val="9"/>
            <color indexed="81"/>
            <rFont val="Tahoma"/>
            <family val="2"/>
          </rPr>
          <t xml:space="preserve">
</t>
        </r>
      </text>
    </comment>
    <comment ref="A16" authorId="0" shapeId="0" xr:uid="{28B707EF-A7E2-4BAB-BD6C-B8F0FF04205F}">
      <text>
        <r>
          <rPr>
            <b/>
            <sz val="9"/>
            <color indexed="81"/>
            <rFont val="Tahoma"/>
            <family val="2"/>
          </rPr>
          <t>Give the initial state before beginning the test.</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AD74A3A7-1CB4-42B6-B7F7-A76270CFAC50}">
      <text>
        <r>
          <rPr>
            <b/>
            <sz val="9"/>
            <color indexed="81"/>
            <rFont val="Tahoma"/>
            <family val="2"/>
          </rPr>
          <t xml:space="preserve">See Guide (help)
</t>
        </r>
        <r>
          <rPr>
            <sz val="9"/>
            <color indexed="81"/>
            <rFont val="Tahoma"/>
            <family val="2"/>
          </rPr>
          <t xml:space="preserve">
</t>
        </r>
      </text>
    </comment>
    <comment ref="A3" authorId="0" shapeId="0" xr:uid="{5A1D8540-0363-4406-8B35-B8EF2A7F942E}">
      <text>
        <r>
          <rPr>
            <b/>
            <sz val="9"/>
            <color indexed="81"/>
            <rFont val="Tahoma"/>
            <family val="2"/>
          </rPr>
          <t xml:space="preserve">See Guide (help)
</t>
        </r>
        <r>
          <rPr>
            <sz val="9"/>
            <color indexed="81"/>
            <rFont val="Tahoma"/>
            <family val="2"/>
          </rPr>
          <t xml:space="preserve">
</t>
        </r>
      </text>
    </comment>
    <comment ref="A5" authorId="0" shapeId="0" xr:uid="{022E4D08-E6CB-46DF-8688-23F921D604C2}">
      <text>
        <r>
          <rPr>
            <sz val="9"/>
            <color indexed="81"/>
            <rFont val="Tahoma"/>
            <family val="2"/>
          </rPr>
          <t>Definition is in the "General info" tab.
Use the dropdown list.</t>
        </r>
      </text>
    </comment>
    <comment ref="A9" authorId="0" shapeId="0" xr:uid="{FEB9B09E-1A9E-4149-A281-2444B84E150C}">
      <text>
        <r>
          <rPr>
            <b/>
            <sz val="9"/>
            <color indexed="81"/>
            <rFont val="Tahoma"/>
            <family val="2"/>
          </rPr>
          <t>See Guide (help)</t>
        </r>
        <r>
          <rPr>
            <sz val="9"/>
            <color indexed="81"/>
            <rFont val="Tahoma"/>
            <family val="2"/>
          </rPr>
          <t xml:space="preserve">
</t>
        </r>
      </text>
    </comment>
    <comment ref="A11" authorId="0" shapeId="0" xr:uid="{D85BDB6B-97D0-4165-9860-CD879E981526}">
      <text>
        <r>
          <rPr>
            <b/>
            <sz val="9"/>
            <color indexed="81"/>
            <rFont val="Tahoma"/>
            <family val="2"/>
          </rPr>
          <t xml:space="preserve">Describe the test environment and setup.
</t>
        </r>
        <r>
          <rPr>
            <sz val="9"/>
            <color indexed="81"/>
            <rFont val="Tahoma"/>
            <family val="2"/>
          </rPr>
          <t xml:space="preserve">
</t>
        </r>
      </text>
    </comment>
    <comment ref="A16" authorId="0" shapeId="0" xr:uid="{93455DE8-FCDA-47EE-A590-F7B6133657E8}">
      <text>
        <r>
          <rPr>
            <b/>
            <sz val="9"/>
            <color indexed="81"/>
            <rFont val="Tahoma"/>
            <family val="2"/>
          </rPr>
          <t>Give the initial state before beginning the test.</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F7BA237-ABB4-4A43-8A43-EE6581F0EA35}">
      <text>
        <r>
          <rPr>
            <b/>
            <sz val="9"/>
            <color indexed="81"/>
            <rFont val="Tahoma"/>
            <family val="2"/>
          </rPr>
          <t xml:space="preserve">See Guide (help)
</t>
        </r>
        <r>
          <rPr>
            <sz val="9"/>
            <color indexed="81"/>
            <rFont val="Tahoma"/>
            <family val="2"/>
          </rPr>
          <t xml:space="preserve">
</t>
        </r>
      </text>
    </comment>
    <comment ref="A3" authorId="0" shapeId="0" xr:uid="{DBF740AE-8C18-483B-876C-C0788F2DBD9F}">
      <text>
        <r>
          <rPr>
            <b/>
            <sz val="9"/>
            <color indexed="81"/>
            <rFont val="Tahoma"/>
            <family val="2"/>
          </rPr>
          <t xml:space="preserve">See Guide (help)
</t>
        </r>
        <r>
          <rPr>
            <sz val="9"/>
            <color indexed="81"/>
            <rFont val="Tahoma"/>
            <family val="2"/>
          </rPr>
          <t xml:space="preserve">
</t>
        </r>
      </text>
    </comment>
    <comment ref="A5" authorId="0" shapeId="0" xr:uid="{6E4E6E70-3147-463E-9791-6828F6B1CBC1}">
      <text>
        <r>
          <rPr>
            <sz val="9"/>
            <color indexed="81"/>
            <rFont val="Tahoma"/>
            <family val="2"/>
          </rPr>
          <t>Definition is in the "General info" tab.
Use the dropdown list.</t>
        </r>
      </text>
    </comment>
    <comment ref="A9" authorId="0" shapeId="0" xr:uid="{30B58360-466A-46FB-9D58-98D998D1BC4A}">
      <text>
        <r>
          <rPr>
            <b/>
            <sz val="9"/>
            <color indexed="81"/>
            <rFont val="Tahoma"/>
            <family val="2"/>
          </rPr>
          <t>See Guide (help)</t>
        </r>
        <r>
          <rPr>
            <sz val="9"/>
            <color indexed="81"/>
            <rFont val="Tahoma"/>
            <family val="2"/>
          </rPr>
          <t xml:space="preserve">
</t>
        </r>
      </text>
    </comment>
    <comment ref="A11" authorId="0" shapeId="0" xr:uid="{9BD9CAD3-454D-42BF-831E-5113D0D66C71}">
      <text>
        <r>
          <rPr>
            <b/>
            <sz val="9"/>
            <color indexed="81"/>
            <rFont val="Tahoma"/>
            <family val="2"/>
          </rPr>
          <t xml:space="preserve">Describe the test environment and setup.
</t>
        </r>
        <r>
          <rPr>
            <sz val="9"/>
            <color indexed="81"/>
            <rFont val="Tahoma"/>
            <family val="2"/>
          </rPr>
          <t xml:space="preserve">
</t>
        </r>
      </text>
    </comment>
    <comment ref="A16" authorId="0" shapeId="0" xr:uid="{374157D6-833A-4983-9721-5FE7BC10197F}">
      <text>
        <r>
          <rPr>
            <b/>
            <sz val="9"/>
            <color indexed="81"/>
            <rFont val="Tahoma"/>
            <family val="2"/>
          </rPr>
          <t>Give the initial state before beginning the test.</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3C871DEC-557B-4CC3-8D57-3814671ED3CB}">
      <text>
        <r>
          <rPr>
            <b/>
            <sz val="9"/>
            <color indexed="81"/>
            <rFont val="Tahoma"/>
            <family val="2"/>
          </rPr>
          <t xml:space="preserve">See Guide (help)
</t>
        </r>
        <r>
          <rPr>
            <sz val="9"/>
            <color indexed="81"/>
            <rFont val="Tahoma"/>
            <family val="2"/>
          </rPr>
          <t xml:space="preserve">
</t>
        </r>
      </text>
    </comment>
    <comment ref="A3" authorId="0" shapeId="0" xr:uid="{F9AE549B-60A7-4AD2-8611-6D02D5E690FF}">
      <text>
        <r>
          <rPr>
            <b/>
            <sz val="9"/>
            <color indexed="81"/>
            <rFont val="Tahoma"/>
            <family val="2"/>
          </rPr>
          <t xml:space="preserve">See Guide (help)
</t>
        </r>
        <r>
          <rPr>
            <sz val="9"/>
            <color indexed="81"/>
            <rFont val="Tahoma"/>
            <family val="2"/>
          </rPr>
          <t xml:space="preserve">
</t>
        </r>
      </text>
    </comment>
    <comment ref="A5" authorId="0" shapeId="0" xr:uid="{4F297EA1-B0E2-451E-9EF7-44C8AC30AD00}">
      <text>
        <r>
          <rPr>
            <sz val="9"/>
            <color indexed="81"/>
            <rFont val="Tahoma"/>
            <family val="2"/>
          </rPr>
          <t>Definition is in the "General info" tab.
Use the dropdown list.</t>
        </r>
      </text>
    </comment>
    <comment ref="A9" authorId="0" shapeId="0" xr:uid="{75584691-BE0A-4202-916E-EAFE72793BE2}">
      <text>
        <r>
          <rPr>
            <b/>
            <sz val="9"/>
            <color indexed="81"/>
            <rFont val="Tahoma"/>
            <family val="2"/>
          </rPr>
          <t>See Guide (help)</t>
        </r>
        <r>
          <rPr>
            <sz val="9"/>
            <color indexed="81"/>
            <rFont val="Tahoma"/>
            <family val="2"/>
          </rPr>
          <t xml:space="preserve">
</t>
        </r>
      </text>
    </comment>
    <comment ref="A11" authorId="0" shapeId="0" xr:uid="{FA1CBDF0-EB6D-40EE-8812-7DCD2CA136A3}">
      <text>
        <r>
          <rPr>
            <b/>
            <sz val="9"/>
            <color indexed="81"/>
            <rFont val="Tahoma"/>
            <family val="2"/>
          </rPr>
          <t xml:space="preserve">Describe the test environment and setup.
</t>
        </r>
        <r>
          <rPr>
            <sz val="9"/>
            <color indexed="81"/>
            <rFont val="Tahoma"/>
            <family val="2"/>
          </rPr>
          <t xml:space="preserve">
</t>
        </r>
      </text>
    </comment>
    <comment ref="A16" authorId="0" shapeId="0" xr:uid="{CE83D509-ADED-4FCD-892B-99FD10FCCA02}">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<sst xmlns="http://schemas.openxmlformats.org/spreadsheetml/2006/main" count="2091" uniqueCount="633">
  <si>
    <t>Project Number &amp; Name</t>
  </si>
  <si>
    <t>Document state</t>
  </si>
  <si>
    <t>Document id</t>
  </si>
  <si>
    <t>Document title</t>
  </si>
  <si>
    <t>Version</t>
  </si>
  <si>
    <t>Description/comment</t>
  </si>
  <si>
    <t>Tab</t>
  </si>
  <si>
    <t>ID</t>
  </si>
  <si>
    <t>Title</t>
  </si>
  <si>
    <t>Reference &amp; revision</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</si>
  <si>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</si>
  <si>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</si>
  <si>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</si>
  <si>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</si>
  <si>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</si>
  <si>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</si>
  <si>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</si>
  <si>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</si>
  <si>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</si>
  <si>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</si>
  <si>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</si>
  <si>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</si>
  <si>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</si>
  <si>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</si>
  <si>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</si>
  <si>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</si>
  <si>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</si>
  <si>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</si>
  <si>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</si>
  <si>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</si>
  <si>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</si>
  <si>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</si>
  <si>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</si>
  <si>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</si>
  <si>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</si>
  <si>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</si>
  <si>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</si>
  <si>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</si>
  <si>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</si>
  <si>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</si>
  <si>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</si>
  <si>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</si>
  <si>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</si>
  <si>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</si>
  <si>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</si>
  <si>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</si>
  <si>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</si>
  <si>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</si>
  <si>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</si>
  <si>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</si>
  <si>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</si>
  <si>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</si>
  <si>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</si>
  <si>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</si>
  <si>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</si>
  <si>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</si>
  <si>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</si>
  <si>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</si>
  <si>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</si>
  <si>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</si>
  <si>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</si>
  <si>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</si>
  <si>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</si>
  <si>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</si>
  <si>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</si>
  <si>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</si>
  <si>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</si>
  <si>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</si>
  <si>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</si>
  <si>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</si>
  <si>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</si>
  <si>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</si>
  <si>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</si>
  <si>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</si>
  <si>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</si>
  <si>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</si>
  <si>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</si>
  <si>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</si>
  <si>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</si>
  <si>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</si>
  <si>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</si>
  <si>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</si>
  <si>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</si>
  <si>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</si>
  <si>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</si>
  <si>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</si>
  <si>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</si>
  <si>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</si>
  <si>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</si>
  <si>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</si>
  <si>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</si>
  <si>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</si>
  <si>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</si>
  <si>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</si>
  <si>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</si>
  <si>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</si>
  <si>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</si>
  <si>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</si>
  <si>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</si>
  <si>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</si>
  <si>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</si>
  <si>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</si>
  <si>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</si>
  <si>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</si>
  <si>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</si>
  <si>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</si>
  <si>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</si>
  <si>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</si>
  <si>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</si>
  <si>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</si>
  <si>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</si>
  <si>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</si>
  <si>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</si>
  <si>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</si>
  <si>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</si>
  <si>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</si>
  <si>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</si>
  <si>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</si>
  <si>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</si>
  <si>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</si>
  <si>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</si>
  <si>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</si>
  <si>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This sheet helps to fill the differents fields and sheets of the template.</t>
  </si>
  <si>
    <t>254888 DAIMLER MER W174W178 EL SB ECU</t>
  </si>
  <si>
    <t>Initial revision</t>
  </si>
  <si>
    <t>17.01.2022</t>
  </si>
  <si>
    <t>NA</t>
  </si>
  <si>
    <t xml:space="preserve">See Project Master Document for the roles and Project Members List for the name of people </t>
  </si>
  <si>
    <t>Stefan Dominte</t>
  </si>
  <si>
    <t>SW_IT_CIL_0001</t>
  </si>
  <si>
    <t>DAIMLER MER ECU or Mock-up board
Power supply connected
CAN case connected
CANoe for DAIMLER MER configuration
ic5000 debuger
WinIdea</t>
  </si>
  <si>
    <t>Ok</t>
  </si>
  <si>
    <t>Nominal</t>
  </si>
  <si>
    <t>SW_IT_CIL_0002</t>
  </si>
  <si>
    <t>SW_IT_CIL_0003</t>
  </si>
  <si>
    <t>SW_IT_CIL_0004</t>
  </si>
  <si>
    <t>SW_IT_CIL_0005</t>
  </si>
  <si>
    <t>SW_IT_CIL_0006</t>
  </si>
  <si>
    <t>Testing Pres_Enbl CAN signal received values</t>
  </si>
  <si>
    <t>Testing Pres_Enbl CAN signals values</t>
  </si>
  <si>
    <t>Testing Pres_Lvl CAN signals values</t>
  </si>
  <si>
    <t>Testing Pres_Lvl CAN signal received values</t>
  </si>
  <si>
    <t>Testing Pres_Tens_Supp CAN signal received values</t>
  </si>
  <si>
    <t>Testing Pres_Tens_Supp CAN signals values</t>
  </si>
  <si>
    <t>Testing ISw Stat CAN signal received values</t>
  </si>
  <si>
    <t>Testing ISw Stat CAN signals values</t>
  </si>
  <si>
    <t>Testing Bckl_Sw_D_Stat CAN signal received values</t>
  </si>
  <si>
    <t>Testing Bckl_Sw_D_Stat CAN signals values</t>
  </si>
  <si>
    <t>Testing Bckl_Sw_FP_Stat CAN signal received values</t>
  </si>
  <si>
    <t>Testing Bckl_Sw_FP_Stat CAN signals values</t>
  </si>
  <si>
    <t>Latest PTC SW flashed with application
Power On CANoe simulation and the power supply
Run the software</t>
  </si>
  <si>
    <t>In CANoe, send the "Adjust Sec TickCount of VSM" message and read the SecOC Local TickCount Read DID (22 01 8A).</t>
  </si>
  <si>
    <t>Change the NVP_BLOCK_ID_ECU_LOCATION_RamBlockData.NVP_u8ECULocation to 0x9C</t>
  </si>
  <si>
    <t>Change the NVP_BLOCK_ID_ECU_LOCATION_RamBlockData.NVP_u8ECULocation to 0x99</t>
  </si>
  <si>
    <t>CIL - Software Integration Test Specification Report.xls</t>
  </si>
  <si>
    <t>Testing PS_Curve_FL_Stat_ST3 signal transmits values .</t>
  </si>
  <si>
    <t>In WinIdea add cil_u8PSCurve and NVP_BLOCK_ID_ECU_LOCATION_RamBlockData.NVP_u8ECULocation variables to Watch</t>
  </si>
  <si>
    <t>Testing RBTM_FL_Disp_Rq_ST3 signal transmits values .</t>
  </si>
  <si>
    <t>Testing RBTM_FL_Disp_Rq_ST3 signal values.</t>
  </si>
  <si>
    <t>Testing PS_Curve_FL_Stat_ST3 signal values.</t>
  </si>
  <si>
    <t>Testing RBTM_FL_Tgl_Rq_ST3 signal values.</t>
  </si>
  <si>
    <t>Testing RBTM_FL_Tgl_Rq_ST3 signal transmits values .</t>
  </si>
  <si>
    <t>Testing BltSlckDec_Md_FL_Stat_ST3 signal transmits values .</t>
  </si>
  <si>
    <t>Testing BltSlckDec_Md_FL_Stat_ST3 signal values.</t>
  </si>
  <si>
    <t>Testing PS_Curve_FR_Stat_ST3 signal transmits values .</t>
  </si>
  <si>
    <t>Testing RBTM_FR_Disp_Rq_ST3 signal transmits values .</t>
  </si>
  <si>
    <t>Testing RBTM_FR_Disp_Rq_ST3 signal values.</t>
  </si>
  <si>
    <t>Testing RBTM_FR_Tgl_Rq_ST3 signal values.</t>
  </si>
  <si>
    <t>Testing RBTM_FR_Tgl_Rq_ST3 signal transmits values .</t>
  </si>
  <si>
    <t>SW_IT_CIL_0007</t>
  </si>
  <si>
    <t>SW_IT_CIL_0008</t>
  </si>
  <si>
    <t>SW_IT_CIL_0009</t>
  </si>
  <si>
    <t>SW_IT_CIL_0010</t>
  </si>
  <si>
    <t>SW_IT_CIL_0011</t>
  </si>
  <si>
    <t>SW_IT_CIL_0012</t>
  </si>
  <si>
    <t>SW_IT_CIL_0013</t>
  </si>
  <si>
    <t>SW_IT_CIL_0014</t>
  </si>
  <si>
    <t>In WinIdea add cil_u8RBTMTgl and NVP_BLOCK_ID_ECU_LOCATION_RamBlockData.NVP_u8ECULocation variables to Watch</t>
  </si>
  <si>
    <t>In WinIdea add cil_u8RBTMDisp and NVP_BLOCK_ID_ECU_LOCATION_RamBlockData.NVP_u8ECULocation variables to Watch</t>
  </si>
  <si>
    <t>In WinIdea add  cil_u8BltSlckDec and NVP_BLOCK_ID_ECU_LOCATION_RamBlockData.NVP_u8ECULocation variables to Watch</t>
  </si>
  <si>
    <t>Signals should be set.</t>
  </si>
  <si>
    <t>Signals are set correct.</t>
  </si>
  <si>
    <t>RBTM_FL_Disp_Rq_ST3 value should be 0</t>
  </si>
  <si>
    <t>BltSlckDec_Md_FL_Stat_ST3 value should be 3</t>
  </si>
  <si>
    <t>BltSlckDec_Md_FL_Stat_ST3 is 3</t>
  </si>
  <si>
    <t>RBTM_FL_Disp_Rq_ST3 is 0</t>
  </si>
  <si>
    <t>PS_Curve_FR_Stat_ST3 value should be 1</t>
  </si>
  <si>
    <t>PS_Curve_FR_Stat_ST3 is 1</t>
  </si>
  <si>
    <t>PS_Curve_FR_Stat_ST3 is 2</t>
  </si>
  <si>
    <t>PS_Curve_FR_Stat_ST3 value should be 2</t>
  </si>
  <si>
    <t>RBTM_FR_Disp_Rq_ST3 value should be 0</t>
  </si>
  <si>
    <t>RBTM_FR_Disp_Rq_ST3 is 0</t>
  </si>
  <si>
    <t>03.02.2022</t>
  </si>
  <si>
    <t>Testing BltSlckDec_Md_FR_Stat_ST3 signal transmits values .</t>
  </si>
  <si>
    <t xml:space="preserve">In CANoe, set signals for starting tennsioning: Isw_Stat = 4(ON), Bckl Sw_D &amp; Bckl Sw_FP = 0(OK), Presf Act_Adj = 0, Presf_Enbl_ST3 =1(enable) </t>
  </si>
  <si>
    <t>In CANoe watch on frame RBTM_FL_Stat_ST3 the value for RBTM_FL_Disp_Rq_ST3.</t>
  </si>
  <si>
    <t>In CANoe watch on frame RBTM_FL_Stat_ST3 the value for RBTM_FL_Tgl_Rq_ST3.</t>
  </si>
  <si>
    <t>In CANoe watch on frame RBTM_FR_Stat_ST3 the value for RBTM_FR_Disp_Rq_ST3.</t>
  </si>
  <si>
    <t>In CANoe watch on frame RBTM_FR_Stat_ST3 the value for RBTM_FR_Tgl_Rq_ST3.</t>
  </si>
  <si>
    <t>Change ECU side location to right:  Use the "How to document for change ECU side location".</t>
  </si>
  <si>
    <t>In WinIdea add cil_u8RBTMDisp and NVP_BLOCK_ID_ECU_LOCATION_RamBlockData.NVP_u8ECULocation variables to Watch and change the value of NVP_BLOCK_ID_ECU_LOCATION_RamBlockData.NVP_u8ECULocation to 0x99</t>
  </si>
  <si>
    <t>RBTM_FR_Tgl_Rq_ST3 value should toggle every time the frame is send</t>
  </si>
  <si>
    <t>RBTM_FR_Tgl_Rq_ST3 value toggled</t>
  </si>
  <si>
    <t>Testing if Impact_Y signal will abort the tensioning.</t>
  </si>
  <si>
    <t>PS_Curve_FR_Stat_ST3 is 1.</t>
  </si>
  <si>
    <t>PS_Curve_FR_Stat_ST3 value should be 1.</t>
  </si>
  <si>
    <t>Testing Impact_Y signal abortion impact.</t>
  </si>
  <si>
    <t>Testing if Impact_X signal will abort the tensioning.</t>
  </si>
  <si>
    <t>Testing Impact_X signal abortion impact.</t>
  </si>
  <si>
    <t>Testing if Impact_RO_type1_ST3 signal will abort the tensioning.</t>
  </si>
  <si>
    <t>Testing Impact_RO_type1_ST3 signal abortion impact.</t>
  </si>
  <si>
    <t xml:space="preserve">In CANoe change the value for Impact_RO_type1_ST3 signal value to 1 </t>
  </si>
  <si>
    <t>Testing if Impact_RO_type2_ST3 signal will abort the tensioning.</t>
  </si>
  <si>
    <t>Testing Impact_RO_type2_ST3 signal abortion impact.</t>
  </si>
  <si>
    <t xml:space="preserve">In CANoe change the value for Impact_RO_type2_ST3 signal value to 1 </t>
  </si>
  <si>
    <t>In CANoe, set signals for starting tennsioning: Isw_Stat = 4(ON), Bckl Sw_D &amp; Bckl Sw_FP = 0(OK), Presf Act_Adj = 0, Presf_Enbl_ST3 =1(enable), Impact_Y = 0</t>
  </si>
  <si>
    <t xml:space="preserve">In CANoe, set signals for starting tennsioning: Isw_Stat = 4(ON), Bckl Sw_D &amp; Bckl Sw_FP = 0(OK), Presf Act_Adj = 0, Presf_Enbl_ST3 =1(enable), Impact_X = 0 </t>
  </si>
  <si>
    <t>In CANoe, set signals for starting tennsioning: Isw_Stat = 4(ON), Bckl Sw_D &amp; Bckl Sw_FP = 0(OK), Presf Act_Adj = 0, Presf_Enbl_ST3 =1(enable), Impact_RO_type1_ST3 = 0</t>
  </si>
  <si>
    <t>In CANoe, set signals for starting tennsioning: Isw_Stat = 4(ON), Bckl Sw_D &amp; Bckl Sw_FP = 0(OK), Presf Act_Adj = 0, Presf_Enbl_ST3 =1(enable), Impact_RO_type2_ST3 = 0</t>
  </si>
  <si>
    <t>Testing if Executed Cycle Number is read.</t>
  </si>
  <si>
    <t>Testing if Executed Cycle Number is read from BFE module.</t>
  </si>
  <si>
    <t>Set a breakpoint in the cil_ManageOutputSignals function where the switch is made for the executed cycle ("switch(u8Cycle)").</t>
  </si>
  <si>
    <t>PS_Curve_FR_Stat_ST3 value should be 0.</t>
  </si>
  <si>
    <t>PS_Curve_FR_Stat_ST3 is 0.</t>
  </si>
  <si>
    <t>Case KU8_NO_PRECRASH_REQUEST should be executed.</t>
  </si>
  <si>
    <t>Case KU8_NO_PRECRASH_REQUEST is executed.</t>
  </si>
  <si>
    <t>ARCH_SW_CIL_0559</t>
  </si>
  <si>
    <t>Testing the data written and read by CIL module.</t>
  </si>
  <si>
    <t>Testing data validity processed by CIL.</t>
  </si>
  <si>
    <t>Breakpoints are reached.</t>
  </si>
  <si>
    <t>Breakpoints reached.</t>
  </si>
  <si>
    <t>Breakpoint is reached.</t>
  </si>
  <si>
    <t>Breakpoint reached.</t>
  </si>
  <si>
    <t>Step1</t>
  </si>
  <si>
    <t>In CANoe, set signals for starting tennsioning: Isw_Stat = 4(ON), Bckl Sw_D &amp; Bckl Sw_FP = 0(OK), Presf Act_Adj = 0, Presf_Enbl_ST3 =1(enable), Impact_RO_type1_ST3 = 0, Impact_RO_type2_ST3 = 0, Impact_X = 0, Impact_Y = 0</t>
  </si>
  <si>
    <t>Delete the breakpoint.</t>
  </si>
  <si>
    <t>Step6</t>
  </si>
  <si>
    <t>Step8</t>
  </si>
  <si>
    <t>SW_IT_CIL_0015</t>
  </si>
  <si>
    <t>SW_IT_CIL_0016</t>
  </si>
  <si>
    <t>SW_IT_CIL_0017</t>
  </si>
  <si>
    <t>SW_IT_CIL_0018</t>
  </si>
  <si>
    <t>SW_IT_CIL_0019</t>
  </si>
  <si>
    <t>SW_IT_CIL_0020</t>
  </si>
  <si>
    <t>In CANoe change the value for Presf_Lvl_V2 signal to 1</t>
  </si>
  <si>
    <t>PS_Curve_FR_Stat_ST3 value should be 0</t>
  </si>
  <si>
    <t>PS_Curve_FR_Stat_ST3 is 0</t>
  </si>
  <si>
    <t>ARCH_SW_CIL_0014,  ARCH_SW_CIL_0015,  ARCH_SW_CIL_0021, ARCH_SW_CIL_0558</t>
  </si>
  <si>
    <t>ARCH_SW_CIL_0001,  ARCH_SW_CIL_0003,  ARCH_SW_CIL_0025,  ARCH_SW_CIL_0351</t>
  </si>
  <si>
    <t>ARCH_SW_CIL_0005,  ARCH_SW_CIL_0006,  ARCH_SW_CIL_0027,  ARCH_SW_CIL_0351</t>
  </si>
  <si>
    <t>ARCH_SW_CIL_0007,  ARCH_SW_CIL_0008,  ARCH_SW_CIL_0028,  ARCH_SW_CIL_0351</t>
  </si>
  <si>
    <t>ARCH_SW_CIL_0007,  ARCH_SW_CIL_0009,  ARCH_SW_CIL_0029,  ARCH_SW_CIL_0351</t>
  </si>
  <si>
    <t>ARCH_SW_CIL_0011,  ARCH_SW_CIL_0016,  ARCH_SW_CIL_0017,  ARCH_SW_CIL_0018,  ARCH_SW_CIL_0558</t>
  </si>
  <si>
    <t>ARCH_SW_CIL_0010,  ARCH_SW_CIL_0012,  ARCH_SW_CIL_0019,  ARCH_SW_CIL_0558</t>
  </si>
  <si>
    <t>ARCH_SW_CIL_0010,  ARCH_SW_CIL_0013,  ARCH_SW_CIL_0020,  ARCH_SW_CIL_0558</t>
  </si>
  <si>
    <t>ARCH_SW_CIL_0030,  ARCH_SW_CIL_0041,  ARCH_SW_CIL_0035,  ARCH_SW_CIL_0036,  ARCH_SW_CIL_0558</t>
  </si>
  <si>
    <t xml:space="preserve">ARCH_SW_CIL_0352,  ARCH_SW_CIL_0353,  ARCH_SW_CIL_0354,  ARCH_SW_CIL_0355,  ARCH_SW_CIL_00356 </t>
  </si>
  <si>
    <t>In WinIdea add NVP_BLOCK_ID_ECU_LOCATION_RamBlockData.NVP_u8ECULocation variables to Watch</t>
  </si>
  <si>
    <t>PS_Curve_FL_Stat_ST3 value should be 0.</t>
  </si>
  <si>
    <t>PS_Curve_FL_Stat_ST3 is 0.</t>
  </si>
  <si>
    <t>PS_Curve_FL_Stat_ST3 is 1.</t>
  </si>
  <si>
    <t>PS_Curve_FL_Stat_ST3 is 2.</t>
  </si>
  <si>
    <t>PS_Curve_FL_Stat_ST3 value should be 1.</t>
  </si>
  <si>
    <t>PS_Curve_FL_Stat_ST3 value should be 2.</t>
  </si>
  <si>
    <t>In CANoe, set signals for starting tennsioning: Isw_Stat = 4(ON), Bckl Sw_D &amp; Bckl Sw_FP = 0(OK), Presf Act_Adj = 0, Presf_Enbl_ST3 =1(enable) .</t>
  </si>
  <si>
    <t>In CANoe change the value for Presf_Lvl_V2 signal to 1.</t>
  </si>
  <si>
    <t>Breakpoint will be reached.</t>
  </si>
  <si>
    <t>Set a breakpoint in CIL_ComCBk_Impact2 function where the Impact2 frame is read.</t>
  </si>
  <si>
    <t>In CANoe change the value for Impact_Y signal value to 1 .</t>
  </si>
  <si>
    <t>Set a breakpoint in CIL_ComCBk_Impact3 function where the Impact3 frame is read.</t>
  </si>
  <si>
    <t>In CANoe change the value for Impact_X signal value to 1 .</t>
  </si>
  <si>
    <t>ARCH_SW_CIL_0001,  ARCH_SW_CIL_0002,  ARCH_SW_CIL_0022,  ARCH_SW_CIL_0023,  ARCH_SW_CIL_0024,  ARCH_SW_CIL_0351, ARCH_SW_CIL_0042, ARCH_SW_CIL_0043, ARCH_SW_CIL_0044</t>
  </si>
  <si>
    <t>In CANoe, set on TX channel the Presf_Lvl_V2 signal to 0x00(NO_LVL) and watch the value of Meas_RBTM_02 signal.</t>
  </si>
  <si>
    <t>In CANoe, set on TX channel the Presf_Lvl_V2 signal to 0x01(LVL_1) and watch the value of Meas_RBTM_02 signal.</t>
  </si>
  <si>
    <t>In CANoe, set on TX channel the Presf_Lvl_V2 signal to 0x02(LVL2) and watch the value of Meas_RBTM_02 signal.</t>
  </si>
  <si>
    <t>In CANoe, set on TX channel the Presf_Lvl_V2 signal to 0x03(LVL3) and watch the value of Meas_RBTM_02 signal.</t>
  </si>
  <si>
    <t>In CANoe, set on TX channel the Presf_Lvl_V2 signal to 0x04(LVL4) and watch the value of Meas_RBTM_02 signal.</t>
  </si>
  <si>
    <t>In CANoe, set on TX channel the Presf_Lvl_V2 signal to 0x05(LVL5) and watch the value of Meas_RBTM_02 signal.</t>
  </si>
  <si>
    <t>Meas_RBTM_02 value should be 2, cycle 1 performed.</t>
  </si>
  <si>
    <t>Meas_RBTM_02 value is 0.</t>
  </si>
  <si>
    <t>Meas_RBTM_02 value should be 255, no cycle performed.</t>
  </si>
  <si>
    <t>Meas_RBTM_02 value should be 0, cycle 0 performed.</t>
  </si>
  <si>
    <t>Meas_RBTM_02 value should be 21, cycle 21 performed.</t>
  </si>
  <si>
    <t>Meas_RBTM_02 value is 255.</t>
  </si>
  <si>
    <t>Meas_RBTM_02 value should be 1, cycle 1 performed.</t>
  </si>
  <si>
    <t>Meas_RBTM_02 value should be 3, cycle 1 performed.</t>
  </si>
  <si>
    <t>In CANoe, set on TX channel the Presf_Enbl_ST3 signal to 0x00(FALSE),  Presf_Lvl_V2 signal to 1 and watch the value of Meas_RBTM_02 signal.</t>
  </si>
  <si>
    <t>In CANoe, set on TX channel the Presf_Enbl_ST3 signal to 0x01(TRUE),  Presf_Lvl_V2 signal to 1 and watch the value of Meas_RBTM_02 signal.</t>
  </si>
  <si>
    <t>In CANoe, set on TX channel the Presf_Enbl_ST3 signal to 0x03(SNA),  Presf_Lvl_V2 signal to 1 and watch the value of Meas_RBTM_02 signal.</t>
  </si>
  <si>
    <t>In CANoe, set on TX channel the PresfAct_TensSupp signal to 0x00(No), Presf_Lvl_V2 signal to 1 and watch the value of Meas_RBTM_02 signal.</t>
  </si>
  <si>
    <t>In CANoe, set on TX channel the PresfAct_TensSupp signal to 0x01(Left), Presf_Lvl_V2 signal to 1 and watch the value of Meas_RBTM_02 signal.</t>
  </si>
  <si>
    <t>In CANoe, set on TX channel the PresfAct_TensSupp signal to 0x02(Right), Presf_Lvl_V2 signal to 1 and watch the value of Meas_RBTM_02 signal.</t>
  </si>
  <si>
    <t>In CANoe, set on TX channel the PresfAct_TensSupp signal to 0x03(Both), Presf_Lvl_V2 signal to 1 and watch the value of Meas_RBTM_02 signal.</t>
  </si>
  <si>
    <t>In CANoe, set on TX channel the PresfAct_TensSupp signal to 0x07(SNA), Presf_Lvl_V2 signal to 1 and watch the value of Meas_RBTM_02 signal.</t>
  </si>
  <si>
    <t>In CANoe, set on TX channel the Isw_Stat signal to 0x00(Lock), Presf_Lvl_V2 signal to 1 and watch the value of Meas_RBTM_02 signal.</t>
  </si>
  <si>
    <t>In CANoe, set on TX channel the Isw_Stat signal to 0x01(Off), Presf_Lvl_V2 signal to 1 and watch the value of Meas_RBTM_02 signal.</t>
  </si>
  <si>
    <t>In CANoe, set on TX channel the Isw_Stat signal to 0x02(Acc), Presf_Lvl_V2 signal to 1 and watch the value of Meas_RBTM_02 signal.</t>
  </si>
  <si>
    <t>In CANoe, set on TX channel the Isw_Stat signal to 0x04(On), Presf_Lvl_V2 signal to 1 and watch the value of Meas_RBTM_02 signal.</t>
  </si>
  <si>
    <t>In CANoe, set on TX channel the Isw_Stat signal to 0x05(Start), Presf_Lvl_V2 signal to 1 and watch the value of Meas_RBTM_02 signal.</t>
  </si>
  <si>
    <t>In CANoe, set on TX channel the Isw_Stat signal to 0x07(SNA), Presf_Lvl_V2 signal to 1 and watch the value of Meas_RBTM_02 signal.</t>
  </si>
  <si>
    <t>In CANoe, set on TX channel the Bckl_Sw_D signal to 0x00(Ok), Presf_Lvl_V2 signal to 1 and watch the value of Meas_RBTM_02 signal.</t>
  </si>
  <si>
    <t>In CANoe, set on TX channel the Bckl_Sw_D signal to 0x01(Not), Presf_Lvl_V2 signal to 1 and watch the value of Meas_RBTM_02 signal.</t>
  </si>
  <si>
    <t>In CANoe, set on TX channel the Bckl_Sw_D signal to 0x02(Flt), Presf_Lvl_V2 signal to 1 and watch the value of Meas_RBTM_02 signal.</t>
  </si>
  <si>
    <t>In CANoe, set on TX channel the Bckl_Sw_D signal to 0x03(SNA), Presf_Lvl_V2 signal to 1 and watch the value of Meas_RBTM_02 signal.</t>
  </si>
  <si>
    <t>In CANoe, set on TX channel the Bckl_Sw_FP signal to 0x00(Ok), Presf_Lvl_V2 signal to 1 and watch the value of Meas_RBTM_02 signal.</t>
  </si>
  <si>
    <t>In CANoe, set on TX channel the Bckl_Sw_FP signal to 0x01(Not), Presf_Lvl_V2 signal to 1 and watch the value of Meas_RBTM_02 signal.</t>
  </si>
  <si>
    <t>In CANoe, set on TX channel the Bckl_Sw_FP signal to 0x02(Flt), Presf_Lvl_V2 signal to 1 and watch the value of Meas_RBTM_02 signal.</t>
  </si>
  <si>
    <t>In CANoe, set on TX channel the Bckl_Sw_FP signal to 0x03(SNA), Presf_Lvl_V2 signal to 1 and watch the value of Meas_RBTM_02 signal.</t>
  </si>
  <si>
    <t>In CANoe change the value for Presf_Lvl_V2 signal to 0 and watch the value of PS_Curve_FL_Stat_ST3 signal.</t>
  </si>
  <si>
    <t>In CANoe change the value for Presf_Lvl_V2 signal to 1 and watch the value of PS_Curve_FL_Stat_ST3 signal.</t>
  </si>
  <si>
    <t>In CANoe change the value for Presf_Lvl_V2 signal to 3 and watch the value of PS_Curve_FL_Stat_ST3 signal.</t>
  </si>
  <si>
    <t>In CANoe change the value for Presf_Lvl_V2 signal to 0 and watch the value of PS_Curve_FR_Stat_ST3 signal.</t>
  </si>
  <si>
    <t>In CANoe change the value for Presf_Lvl_V2 signal to 1 and watch the value of PS_Curve_FR_Stat_ST3 signal.</t>
  </si>
  <si>
    <t>In CANoe change the value for Presf_Lvl_V2 signal to 3 and watch the value of PS_Curve_FR_Stat_ST3 signal.</t>
  </si>
  <si>
    <t>BltSlckDec_Md_FR_Stat_ST3 is 3</t>
  </si>
  <si>
    <t>BltSlckDec_Md_FR_Stat_ST3 value should be 3</t>
  </si>
  <si>
    <t>Testing BltSlckDec_Md_FR_Stat_ST3 signal values.</t>
  </si>
  <si>
    <t>Meas_RBTM_02 value should be 255, cycle aborted.</t>
  </si>
  <si>
    <t>ARCH_SW_CIL_0037,  ARCH_SW_CIL_0038,  ARCH_SW_CIL_0030,  ARCH_SW_CIL_0040,  ARCH_SW_CIL_0558</t>
  </si>
  <si>
    <t>ARCH_SW_CIL_0039, ARCH_SW_CIL_0031,  ARCH_SW_CIL_0032,  ARCH_SW_CIL_0558</t>
  </si>
  <si>
    <t>ARCH_SW_CIL_0039, ARCH_SW_CIL_0033,  ARCH_SW_CIL_0034,  ARCH_SW_CIL_0558</t>
  </si>
  <si>
    <t>In CANoe change the value for the Presf_Lvl_V2 signal to Presf_LVL_SIGNAL_NOLVL = 0.</t>
  </si>
  <si>
    <t>In CANoe change the value for the Presf_Lvl_V2 signal to Presf_LVL_SIGNAL_LVL1 = 1.</t>
  </si>
  <si>
    <t>Testing BSR request</t>
  </si>
  <si>
    <t>Testing if BSR request is executed if preconditions are met.</t>
  </si>
  <si>
    <t>Testing WHA request and WHA repetition.</t>
  </si>
  <si>
    <t>Testing if WHA request is executed if preconditions are met and HWA repetition is executed.</t>
  </si>
  <si>
    <t>ARCH_SW_CIL_0045, ARCH_SW_CIL_0046, ARCH_SW_CIL_00357</t>
  </si>
  <si>
    <t>SW_IT_CIL_0021</t>
  </si>
  <si>
    <t>SW_IT_CIL_0022</t>
  </si>
  <si>
    <t>Step2</t>
  </si>
  <si>
    <t>Step3</t>
  </si>
  <si>
    <t>Step4</t>
  </si>
  <si>
    <t>In CANoe, set signal Bckl Sw_D = 0(OK) and than change the value to 1 and watch the value of Meas_RBTM_02 signal.</t>
  </si>
  <si>
    <t>In CANoe, set signal Bckl Sw_FP = 0(OK) and than change the value to 1 and watch the value of Meas_RBTM_02 signal.</t>
  </si>
  <si>
    <t>1.1</t>
  </si>
  <si>
    <t>1.2</t>
  </si>
  <si>
    <t>1.3</t>
  </si>
  <si>
    <t>1.4</t>
  </si>
  <si>
    <t>1.5</t>
  </si>
  <si>
    <t>1.6</t>
  </si>
  <si>
    <t>1.7</t>
  </si>
  <si>
    <t>Add integration tests for CIL module</t>
  </si>
  <si>
    <t>Mirela Obada</t>
  </si>
  <si>
    <t>07.04.2022</t>
  </si>
  <si>
    <t>Integration test for CIL module for R1.1</t>
  </si>
  <si>
    <t>08.04.2022</t>
  </si>
  <si>
    <t>Traceability updated for CIL ITS</t>
  </si>
  <si>
    <t>Emanuel Jivan</t>
  </si>
  <si>
    <t>CIL Integration test reivew.</t>
  </si>
  <si>
    <t>11.04.2022</t>
  </si>
  <si>
    <t>ITS update after review</t>
  </si>
  <si>
    <t>Integration test update after HWA implementation</t>
  </si>
  <si>
    <t>In CANoe change the value for Presf_Lvl_V2 signal to 3.</t>
  </si>
  <si>
    <t>In CANoe watch on frame BeltAdj_FR_Stat_ST3 the value for BltSlckDec_Md_FR_Stat_ST3.</t>
  </si>
  <si>
    <t>In CANoe watch on frame BeltAdj_FL_Stat_ST3 the value for BltSlckDec_Md_FL_Stat_ST3.</t>
  </si>
  <si>
    <t>1.8</t>
  </si>
  <si>
    <t>1.9</t>
  </si>
  <si>
    <t>23.01.2022</t>
  </si>
  <si>
    <t>Correct date update</t>
  </si>
  <si>
    <t>Revision updated</t>
  </si>
  <si>
    <t>23.06.2022</t>
  </si>
  <si>
    <t>SW_IT_CIL_0023</t>
  </si>
  <si>
    <t>ARCH_SW_CIL_0011,  ARCH_SW_CIL_0016,  ARCH_SW_CIL_0558, ARCH_SW_CIL_0050</t>
  </si>
  <si>
    <t>ARCH_SW_CIL_0010,  ARCH_SW_CIL_0012,  ARCH_SW_CIL_0019,  ARCH_SW_CIL_0558, ARCH_SW_CIL_0065</t>
  </si>
  <si>
    <t>23.01.2021</t>
  </si>
  <si>
    <t>2.0</t>
  </si>
  <si>
    <t>29.08.2022</t>
  </si>
  <si>
    <t>Vlad Chiovenau</t>
  </si>
  <si>
    <t>Integration Test for CIL module for R3.0</t>
  </si>
  <si>
    <t>Meas8_RBTM_FL_02 value is 18 and than changed to 19.</t>
  </si>
  <si>
    <t>Meas8_RBTM_FL_02 value should be 18, cycle 18 performed and then the value should change to 19, cycle 19 performed.</t>
  </si>
  <si>
    <t>In CANoe, set on TX channel the Presf_Lvl_V2 signal to 0x02(LVL2) and watch the value of RBTM_FL_Tens_ST3</t>
  </si>
  <si>
    <t>RBTMFL_Actv_Lvl_ST35 switches to 2</t>
  </si>
  <si>
    <t>RBTMFL_Actv_Lvl_ST35 switches to 3</t>
  </si>
  <si>
    <t xml:space="preserve">ARCH_SW_CIL_0047, ARCH_SW_CIL_00358, ARCH_SW_CIL_0700, ARCH_SW_CIL_0703, </t>
  </si>
  <si>
    <t>ARCH_SW_CIL_0001,  ARCH_SW_CIL_0004,  ARCH_SW_CIL_0026,  ARCH_SW_CIL_0351, ARCH_SW_CIL_0048, ARCH_SW_CIL_0049</t>
  </si>
  <si>
    <t>RBTMFL_SP_Lvl_Rq_ST35 signal handling</t>
  </si>
  <si>
    <t>ARCH_SW_CIL_0051, ARCH_SW_CIL_0052, ARCH_SW_CIL_0053, ARCH_SW_CIL_0054, ARCH_SW_CIL_0055, ARCH_SW_CIL_0056, ARCH_SW_CIL_0057, ARCH_SW_CIL_0080, ARCH_SW_CIL_0078</t>
  </si>
  <si>
    <t>Testing the RBTMFL_SP_Lvl_Rq_ST35 signal handling by application</t>
  </si>
  <si>
    <t>BP set</t>
  </si>
  <si>
    <t>ARCH_SW_CIL_0058, ARCH_SW_CIL_0059, ARCH_SW_CIL_0060, ARCH_SW_CIL_0061, ARCH_SW_CIL_0062, ARCH_SW_CIL_0063, ARCH_SW_CIL_0064, ARCH_SW_CIL_0081, ARCH_SW_CIL_0077</t>
  </si>
  <si>
    <t>RBTMFR_SP_Lvl_Rq_ST35 signal handling</t>
  </si>
  <si>
    <t>Testing the RBTMFR_SP_Lvl_Rq_ST35 signal handling by application</t>
  </si>
  <si>
    <t>Set a BP in cil_TriggerTensioningProfiles before the swithc statemanet.</t>
  </si>
  <si>
    <t>Modify RBTMFL_SP_Lvl_Rq_ST35 to 1, evaluate u8CycleRequest</t>
  </si>
  <si>
    <t>BP reached, u8CycleRequest = 1</t>
  </si>
  <si>
    <t>Set a bp at line Rte_Write_psrCustomerSpecific_u8PreCrashRequest(KU8_PRECRASH_SEVERITY_LEVEL_1); KU8_PRECRASH_SEVERITY_LEVEL_1 = Profile 0</t>
  </si>
  <si>
    <t xml:space="preserve">BP reached, Profile 0 triggered </t>
  </si>
  <si>
    <t>BP reached, u8CycleRequest = 2</t>
  </si>
  <si>
    <t>BP reached, u8CycleRequest = 3</t>
  </si>
  <si>
    <t>BP reached, u8CycleRequest = 4</t>
  </si>
  <si>
    <t>BP reached, u8CycleRequest = 5</t>
  </si>
  <si>
    <t>BP reached, u8CycleRequest = 8</t>
  </si>
  <si>
    <t>Modify RBTMFL_SP_Lvl_Rq_ST35 to 3, evaluate u8CycleRequest</t>
  </si>
  <si>
    <t xml:space="preserve">BP reached, Profile 1 triggered </t>
  </si>
  <si>
    <t>Modify RBTMFL_SP_Lvl_Rq_ST35 to 4, evaluate u8CycleRequest</t>
  </si>
  <si>
    <t xml:space="preserve">BP reached, Profile 2 triggered </t>
  </si>
  <si>
    <t>Modify RBTMFL_SP_Lvl_Rq_ST35 to 5, evaluate u8CycleRequest</t>
  </si>
  <si>
    <t xml:space="preserve">BP reached, Profile 3 triggered </t>
  </si>
  <si>
    <t>Modify RBTMFL_SP_Lvl_Rq_ST35 to 8, evaluate u8CycleRequest</t>
  </si>
  <si>
    <t>Set a bp at line Rte_Write_psrCustomerSpecific_u8PreCrashRequest(KU8_PRECRASH_SEVERITY_LEVEL_2); KU8_PRECRASH_SEVERITY_LEVEL_2 = Profile 1</t>
  </si>
  <si>
    <t>Set a bp at line Rte_Write_psrCustomerSpecific_u8PreCrashRequest(KU8_PRECRASH_SEVERITY_LEVEL_3); KU8_PRECRASH_SEVERITY_LEVEL_3 = Profile 2</t>
  </si>
  <si>
    <t>Set a bp at line Rte_Write_psrCustomerSpecific_u8PreCrashRequest(KU8_PRECRASH_SEVERITY_LEVEL_4); KU8_PRECRASH_SEVERITY_LEVEL_4 = Profile 3</t>
  </si>
  <si>
    <t>Modify RBTMFL_SP_Lvl_Rq_ST35 to 2, evaluate u8CycleRequest in cil_TriggerHWAProfile function</t>
  </si>
  <si>
    <t>Set a bp at line Rte_Write_psrCustomerSpecific_u8HapticRequest(KU8_HAPTIC_REQUEST_0);</t>
  </si>
  <si>
    <t>BP reached, HWA profile triggered</t>
  </si>
  <si>
    <t>Set a bp at line Rte_Write_psrCustomerSpecific_u8PreCrashRequest(KU8_NO_PRECRASH_SEVERITY_LEVEL);</t>
  </si>
  <si>
    <t xml:space="preserve">BP reached, No prfile triggered </t>
  </si>
  <si>
    <t>Step5</t>
  </si>
  <si>
    <t>Step7</t>
  </si>
  <si>
    <t>Step9</t>
  </si>
  <si>
    <t>Step10</t>
  </si>
  <si>
    <t>Step11</t>
  </si>
  <si>
    <t>Step12</t>
  </si>
  <si>
    <t>Step13</t>
  </si>
  <si>
    <t>Step14</t>
  </si>
  <si>
    <t>Change ECU Location to right</t>
  </si>
  <si>
    <t>ECU Location = Right</t>
  </si>
  <si>
    <t>Step 8</t>
  </si>
  <si>
    <t>Step 9</t>
  </si>
  <si>
    <t>Step 10</t>
  </si>
  <si>
    <t>Step 11</t>
  </si>
  <si>
    <t>Step 12</t>
  </si>
  <si>
    <t>Step 13</t>
  </si>
  <si>
    <t>Step 14</t>
  </si>
  <si>
    <t>Step 15</t>
  </si>
  <si>
    <t>SW_IT_CIL_0024</t>
  </si>
  <si>
    <t>V. Chioveanu</t>
  </si>
  <si>
    <t>Handling of Signal RBTM FL/FR Actv_Lvl_ST35</t>
  </si>
  <si>
    <t>Testing the Signal RBTM FL/FR Actv_Lvl_ST35 handling by application</t>
  </si>
  <si>
    <t>Input/Output Param for CIL_RUNMANAGEMEASUREMENTFRAME</t>
  </si>
  <si>
    <t>Testing the input and output parameters of CIL_RUNMANAGEMEASUREMENTFRAME function</t>
  </si>
  <si>
    <t>Input from ADCIf to ManageMFTransmision</t>
  </si>
  <si>
    <t>ARCH_SW_CIL_0750, ARCH_SW_CIL_0751, ARCH_SW_CIL_0752, ARCH_SW_CIL_0753, ARCH_SW_CIL_0754, ARCH_SW_CIL_0755</t>
  </si>
  <si>
    <t>Input from ATM to ManageMFTransmision</t>
  </si>
  <si>
    <t>ARCH_SW_CIL_0756</t>
  </si>
  <si>
    <t>Testing the ADC inputs for CIL_ManageMFTransmision</t>
  </si>
  <si>
    <t>Testing the ATM inputs for CIL_ManageMFTransmision</t>
  </si>
  <si>
    <t>ARCH_SW_CIL_0757, ARCH_SW_CIL_0758, ARCH_SW_CIL_0759, ARCH_SW_CIL_0760</t>
  </si>
  <si>
    <t>Input from BMM to ManageMFTransmision</t>
  </si>
  <si>
    <t>Testing the BMM inputs for CIL_ManageMFTransmision</t>
  </si>
  <si>
    <t>Input from PAL to ManageMFTransmision</t>
  </si>
  <si>
    <t>ARCH_SW_CIL_0761, ARCH_SW_CIL_0762, ARCH_SW_CIL_0763</t>
  </si>
  <si>
    <t>Testing the PAL inputs for CIL_ManageMFTransmision</t>
  </si>
  <si>
    <t>ARCH_SW_CIL_0764, ARCH_SW_CIL_0765, ARCH_SW_CIL_0766, ARCH_SW_CIL_0767, ARCH_SW_CIL_0768, ARCH_SW_CIL_0769, ARCH_SW_CIL_0770</t>
  </si>
  <si>
    <t>Input from PMP to ManageMFTransmision</t>
  </si>
  <si>
    <t>Testing the PMP inputs for CIL_ManageMFTransmision</t>
  </si>
  <si>
    <t>ARCH_SW_CIL_0771, ARCH_SW_CIL_0772</t>
  </si>
  <si>
    <t>Input from BFE to ManageMFTransmision</t>
  </si>
  <si>
    <t>Testing the BFE inputs for CIL_ManageMFTransmision</t>
  </si>
  <si>
    <t>Set a BP in cil_Update_07Cx_Block13_InfosToSend function at line  Rte_Read_prrCycleNumber_u8CycleNumber(&amp;u8CurrentCycle); and run the debugger.</t>
  </si>
  <si>
    <t>Press "Step in" button on debugger.</t>
  </si>
  <si>
    <t>Activate Measurement frme Block 8 (2E FE FF 02 00 00 80)</t>
  </si>
  <si>
    <t>Positive response</t>
  </si>
  <si>
    <t>BP reached</t>
  </si>
  <si>
    <t xml:space="preserve">Jump in BFE module at Rte_Write_psrExecutedCycle_u8CycleNumber(u8PreviousExecutedFunction); function call </t>
  </si>
  <si>
    <t>Remove all BP</t>
  </si>
  <si>
    <t>Set a BP in cil_Update_07Cx_Block13_InfosToSend function at line   Rte_Read_prrStepNumber_u8StepNumber(&amp;u8CurrentStep); and run the debugger.</t>
  </si>
  <si>
    <t xml:space="preserve">Jump in BFE module at Rte_Write_psrExecutedStep_u8StepNumber(u8PreviousStepToExecute); function call </t>
  </si>
  <si>
    <t>SW_IT_CIL_0025</t>
  </si>
  <si>
    <t>26.08.2022</t>
  </si>
  <si>
    <t>30.08.2022</t>
  </si>
  <si>
    <t>DAI_SBE_PP4G_MMA_R030</t>
  </si>
  <si>
    <t>SW_IT_CIL_0026</t>
  </si>
  <si>
    <t>SW_IT_CIL_0027</t>
  </si>
  <si>
    <t>SW_IT_CIL_0028</t>
  </si>
  <si>
    <t>SW_IT_CIL_0029</t>
  </si>
  <si>
    <t>SW_IT_CIL_0031</t>
  </si>
  <si>
    <t>SW_IT_CIL_0032</t>
  </si>
  <si>
    <t>SW_IT_CIL_0033</t>
  </si>
  <si>
    <t>Activate Measurement frme Block 2 (2E FE FF 02 00 00 02)</t>
  </si>
  <si>
    <t>Latest PTC SW flashed with application
Power On CANoe simulation and the power supply
Run the software
Supplier session 107E</t>
  </si>
  <si>
    <t>Set a BP in cil_Update_07Cx_Block02_InfosToSend function at line   Rte_Call_pclKL30_V_Get(&amp;u16ScaledKL30Voltage); and run the debugger.</t>
  </si>
  <si>
    <t>Jump in PMP module in PMP_runGetBatteryVoltage function</t>
  </si>
  <si>
    <t>Set a BP in cil_Update_07Cx_Block03_InfosToSend function at line   Rte_Call_pclMotor_Vp_Get(&amp;u16MotorPlus); and run the debugger.</t>
  </si>
  <si>
    <t>Jump in PMP module at PMP_runGetMotorVp function</t>
  </si>
  <si>
    <t>Set a BP in cil_Update_07Cx_Block03_InfosToSend function at line   Rte_Call_pclMotor_Vn_Get(&amp;u16MotorPlus); and run the debugger.</t>
  </si>
  <si>
    <t>Jump in PMP module at PMP_runGetMotorVn function</t>
  </si>
  <si>
    <t>Set a BP in cil_Update_07Cx_Block07_InfosToSend function at line   Rte_Call_pclECU_T_GetFiltered_deg and run the debugger.</t>
  </si>
  <si>
    <t>Jump in PMP module at PMP_runGetFilteredTemperature_deg function</t>
  </si>
  <si>
    <t>Set a BP in cil_Update_07Cx_Block03_InfosToSend function at line   Rte_Call_pclECU_T_GetFiltered(&amp;u16Temperature); and run the debugger.</t>
  </si>
  <si>
    <t xml:space="preserve">Jump in PMP module at PMP_runGetFilteredTemperature function  </t>
  </si>
  <si>
    <t>Set a BP in cil_Update_07Cx_Block10_InfosToSend function at line   Rte_Call_pclHS1_V_raw_Get(&amp;u16HS1_V_raw); and run the debugger.</t>
  </si>
  <si>
    <t>Set a BP in cil_Update_07Cx_Block17_InfosToSend function at line   Rte_Call_pclHS1_V_raw_Get(&amp;u16HS1_V_raw); and run the debugger.</t>
  </si>
  <si>
    <t>Jump in BFE module at PMP_runGetHS1Level function</t>
  </si>
  <si>
    <t>Step 16</t>
  </si>
  <si>
    <t>Step 17</t>
  </si>
  <si>
    <t>Step 18</t>
  </si>
  <si>
    <t>Step 19</t>
  </si>
  <si>
    <t>Step 20</t>
  </si>
  <si>
    <t>Step 21</t>
  </si>
  <si>
    <t>Step 22</t>
  </si>
  <si>
    <t>Step 23</t>
  </si>
  <si>
    <t>Set a BP in cil_Update_07Cx_Block20_InfosToSend function at line   Rte_Call_pclMotor_T_GetDeficiencyLevel(&amp;u32DeficiencyLevel); and run the debugger.</t>
  </si>
  <si>
    <t>Jump in BFE module at PMP_runGetDeficiencyLevel function</t>
  </si>
  <si>
    <t>Set a BP in cil_Update_07Cx_Block02_InfosToSend function at line   Rte_Call_pclMotor_I_Get_mA(&amp;s32ScaledMotorCurrent); and run the debugger.</t>
  </si>
  <si>
    <t>Set a BP in cil_Update_07Cx_Block13_InfosToSend function at line   Rte_Call_pclMotor_I_Get_A(&amp;s8MotorCurrentInA); and run the debugger.</t>
  </si>
  <si>
    <t>Set a BP in cil_Update_07Cx_Block13_InfosToSend function at line   Rte_Call_pclMotor_P_GetPowerOrder(&amp;s16PWMDutyCycle); and run the debugger.</t>
  </si>
  <si>
    <t>Activate Measurement frme Block 2,3,7,17 and 20 (2E FE FF 02 09 00 46)</t>
  </si>
  <si>
    <t>Activate Measurement frme Block 2,5 and 13 (2E FE FF 02 00 10 12)</t>
  </si>
  <si>
    <t>Jump in PAL module in PAL_runReadMotorCurrentInmA function</t>
  </si>
  <si>
    <t>Jump in PAL module in PAL_runReadMotorCurrentInA function</t>
  </si>
  <si>
    <t>Jump in PAL module in PAL_runGetPWMOrder function</t>
  </si>
  <si>
    <t>Set a BP in cil_Update_07Cx_Block05_InfosToSend function at line   Rte_Call_pclBelt_D_GetFromT0_deg(&amp;s16BobbinPosition); and run the debugger.</t>
  </si>
  <si>
    <t>Jump in BMM module in BMM_runGetPositionFromT0_deg function</t>
  </si>
  <si>
    <t>Set a BP in cil_Update_07Cx_Block13_InfosToSend function at line   Rte_Call_pclBelt_D_GetFromMinPos_mm(&amp;s16BeltPayoutInmm);; and run the debugger.</t>
  </si>
  <si>
    <t>Jump in BMM module in PAL_runReadMotorCurrentInmA function</t>
  </si>
  <si>
    <t>BP not reached</t>
  </si>
  <si>
    <t>BMM_runGetPositionFromT0_deg cannot be reached</t>
  </si>
  <si>
    <t>Nok</t>
  </si>
  <si>
    <t>BMM_runGetPositionFromMinPos_mm cannot be reaced</t>
  </si>
  <si>
    <t>Set a BP in cil_Update_07Cx_Block14_InfosToSend function at line   BMM_runGetPositionRange_mm; and run the debugger.</t>
  </si>
  <si>
    <t>Jump in BMM module in BMM_runGetPositionRange_mm  function</t>
  </si>
  <si>
    <t>BP cannot be reached</t>
  </si>
  <si>
    <t>BMM_runGetPositionRange_mm cannot be reaced</t>
  </si>
  <si>
    <t>Set a BP in cil_Update_07Cx_Block06_InfosToSend function at line   Rte_Call_pclBelt_S_GetSpeed_deg_s(&amp;s32BobbinSpeed); and run the debugger.</t>
  </si>
  <si>
    <t>Jump in BMM module in BMM_runGetSpeed_deg_s function</t>
  </si>
  <si>
    <t>BMM_runGetSpeed_deg_s cannot be reaced</t>
  </si>
  <si>
    <t>Activate Measurement frme Block 5,6, 14 and 13 (2E FE FF 02 00 30 30)</t>
  </si>
  <si>
    <t>Set a BP in cil_Update_07Cx_Block06_InfosToSend function at line    Rte_Call_pclAutotestServices_GetTestResult(ATM_KU8_ID_TEST_HALL_EFFECT_SENSORS,&amp;u8HESTestResult); and run the debugger.</t>
  </si>
  <si>
    <t>Jump in ATM module in ATM_runGetTestResult function</t>
  </si>
  <si>
    <t>Activate Measurement frme Block 6 (2E FE FF 02 00 00 20)</t>
  </si>
  <si>
    <t>ATM_runGetTestResult cannot be reached</t>
  </si>
  <si>
    <t>Set a BP in cil_Update_07Cx_Block09_InfosToSend function at line    Rte_Call_pclMotor_Ip_raw_raw_Get(&amp;u16MotorCurrentTensRaw); and run the debugger.</t>
  </si>
  <si>
    <t>Jump in AdcIf module in AdcIf_runGetMotor_Ip function</t>
  </si>
  <si>
    <t>Jump in AdcIf module in AdcIf_runGetMotor_In function</t>
  </si>
  <si>
    <t>Set a BP in cil_Update_07Cx_Block09_InfosToSend function at line   Rte_Call_pclMotor_In_raw_raw_Get(&amp;u16MotorCurrentRelRaw); and run the debugger.</t>
  </si>
  <si>
    <t>Set a BP in cil_Update_07Cx_Block09_InfosToSend function at line    Rte_Call_pclKL30_V_raw_Get(&amp;u16KL30_V_raw); and run the debugger.</t>
  </si>
  <si>
    <t>Jump in AdcIf module in AdcIf_runGetKL30_V function</t>
  </si>
  <si>
    <t>Set a BP in cil_Update_07Cx_Block10_InfosToSend function at line   Rte_Call_pclHBS_A_V_raw_Get(&amp;u16HBSAVoltageRaw); and run the debugger.</t>
  </si>
  <si>
    <t>Jump in AdcIf module in AdcIf_runGetHBS_A_V function</t>
  </si>
  <si>
    <t>Jump in AdcIf module in AdcIf_runGetHBS_B_V function</t>
  </si>
  <si>
    <t>Set a BP in cil_Update_07Cx_Block10_InfosToSend function at line   Rte_Call_pclHBS_B_V_raw_Get(&amp;u16HBSBVoltageRaw); and run the debugger.</t>
  </si>
  <si>
    <t>Jump in AdcIf module in AdcIf_runGetHS1_V function</t>
  </si>
  <si>
    <t>Activate Measurement frme Block 9 and 10 (2E FE FF 02 00 03 00)</t>
  </si>
  <si>
    <t>In cil_Update_07Cx_InfosToSend function check that NVP_au8MeasFrameBlockConfig is read</t>
  </si>
  <si>
    <t>NVP_au8MeasFrameBlockConfig read</t>
  </si>
  <si>
    <t>In CIL_runManageMeasurementFrame function check that NVP_u8MeasFrameTiming  is read</t>
  </si>
  <si>
    <t>NVP_u8MeasFrameTiming read</t>
  </si>
  <si>
    <t>Activate Measurement frme Block 1 (2E FE FF 02 00 00 01)</t>
  </si>
  <si>
    <t>in CANoe check the Meas8_RBTM_FL_01_ST3 signal</t>
  </si>
  <si>
    <t>value is 01</t>
  </si>
  <si>
    <t>value is 02</t>
  </si>
  <si>
    <t>value is 03</t>
  </si>
  <si>
    <t>value is 04</t>
  </si>
  <si>
    <t>value is 05</t>
  </si>
  <si>
    <t>Step 24</t>
  </si>
  <si>
    <t>Step 25</t>
  </si>
  <si>
    <t>value is 06</t>
  </si>
  <si>
    <t>Step 26</t>
  </si>
  <si>
    <t>Step 27</t>
  </si>
  <si>
    <t>value is 07</t>
  </si>
  <si>
    <t>Step 28</t>
  </si>
  <si>
    <t>Step 29</t>
  </si>
  <si>
    <t>value is 08</t>
  </si>
  <si>
    <t>Step 30</t>
  </si>
  <si>
    <t>Step 31</t>
  </si>
  <si>
    <t>value is 09</t>
  </si>
  <si>
    <t>Step 32</t>
  </si>
  <si>
    <t>Step 33</t>
  </si>
  <si>
    <t>value is 10</t>
  </si>
  <si>
    <t>Step 34</t>
  </si>
  <si>
    <t>Step 35</t>
  </si>
  <si>
    <t>value is 11</t>
  </si>
  <si>
    <t>Step 36</t>
  </si>
  <si>
    <t>Step 37</t>
  </si>
  <si>
    <t>value is 12</t>
  </si>
  <si>
    <t>Step 38</t>
  </si>
  <si>
    <t>Step 39</t>
  </si>
  <si>
    <t>value is 13</t>
  </si>
  <si>
    <t>Step 40</t>
  </si>
  <si>
    <t>Step 41</t>
  </si>
  <si>
    <t>value is 14</t>
  </si>
  <si>
    <t>Activate Measurement frme Block 3 (2E FE FF 02 00 00 04)</t>
  </si>
  <si>
    <t>Activate Measurement frme Block 4 (2E FE FF 02 00 00 08)</t>
  </si>
  <si>
    <t>Activate Measurement frme Block 5 (2E FE FF 02 00 00 10)</t>
  </si>
  <si>
    <t>Activate Measurement frme Block 7 (2E FE FF 02 00 00 40)</t>
  </si>
  <si>
    <t>Activate Measurement frme Block 9 (2E FE FF 02 00 01 00)</t>
  </si>
  <si>
    <t>Activate Measurement frme Block 10 (2E FE FF 02 00 02 00)</t>
  </si>
  <si>
    <t>Activate Measurement frme Block 11 (2E FE FF 02 00 04 00)</t>
  </si>
  <si>
    <t>Activate Measurement frme Block 12 (2E FE FF 02 00 08 00)</t>
  </si>
  <si>
    <t>Activate Measurement frme Block 13 (2E FE FF 02 00 10 00)</t>
  </si>
  <si>
    <t>Activate Measurement frme Block 14 (2E FE FF 02 00 20 00)</t>
  </si>
  <si>
    <t>Activate Measurement frme Block 15 (2E FE FF 02 00 40 00)</t>
  </si>
  <si>
    <t>value is 15</t>
  </si>
  <si>
    <t>Activate Measurement frme Block 16 (2E FE FF 02 00 80 00)</t>
  </si>
  <si>
    <t>Activate Measurement frme Block 17 (2E FE FF 02 01 00 00)</t>
  </si>
  <si>
    <t>value is 16</t>
  </si>
  <si>
    <t>value is 17</t>
  </si>
  <si>
    <t>value is 18</t>
  </si>
  <si>
    <t>value is 19</t>
  </si>
  <si>
    <t>Step 42</t>
  </si>
  <si>
    <t>Step 43</t>
  </si>
  <si>
    <t>value is 20</t>
  </si>
  <si>
    <t>value is 21</t>
  </si>
  <si>
    <t>Activate Measurement frme Block 18 (2E FE FF 02 02 00 00)</t>
  </si>
  <si>
    <t>Activate Measurement frme Block 19 (2E FE FF 02 04 00 00)</t>
  </si>
  <si>
    <t>Activate Measurement frme Block 20 (2E FE FF 02 08 00 00)</t>
  </si>
  <si>
    <t>In cil_ManageOutputSignals function check that interface Rte_Write_CIL_AC_CommunicationInteractionLayer_RBTMFL_Actv_Lvl_ST35_RBTMFL_Actv_Lvl_ST35(cil_u8Actv_Lvl); is called</t>
  </si>
  <si>
    <t>Interface called</t>
  </si>
  <si>
    <t>In CIL_AppliToCAN.c check that cil_u8Actv_Lvl is intitialized as 0x3F</t>
  </si>
  <si>
    <t>0x3F</t>
  </si>
  <si>
    <t>In CANoe modify the Prefs_Lvl_V2 signal to PRE-SAFE1  - LVL 1</t>
  </si>
  <si>
    <t>Profile 1 executed (0x01)</t>
  </si>
  <si>
    <t>In CANoe modify the Prefs_Lvl_V2 signal to PRE-SAFE3  - LVL 3</t>
  </si>
  <si>
    <t>Profile 3 executed (0x03)</t>
  </si>
  <si>
    <t>In CANoe modify the Prefs_Lvl_V2 signal to PRE-SAFE4  - LVL 4</t>
  </si>
  <si>
    <t>In CANoe modify the Prefs_Lvl_V2 signal to PRE-SAFE5  - LVL 5</t>
  </si>
  <si>
    <t>In CANoe modify the Prefs_Lvl_V2 signal to HWA  - LVL 2</t>
  </si>
  <si>
    <t>Profile 4 executed (0x04)</t>
  </si>
  <si>
    <t>Profile 5 executed (0x05)</t>
  </si>
  <si>
    <t>Profile 2 executed (0x02)</t>
  </si>
  <si>
    <t>In CANoe modify the Bckl_Sw_D signal NOK then to OK to activate  BSR</t>
  </si>
  <si>
    <t>Profile 19 executed (0x13)</t>
  </si>
  <si>
    <t>In CANoe modify the Prefs_Lvl_V2 signal to PRE-SAFE8  - LVL 8</t>
  </si>
  <si>
    <t>Profile rejected (0x3E)</t>
  </si>
  <si>
    <t>ARCH_SW_CIL_0066, ARCH_SW_CIL_0067, ARCH_SW_CIL_0068, ARCH_SW_CIL_0069, ARCH_SW_CIL_0070, ARCH_SW_CIL_0083, ARCH_SW_CIL_0084, ARCH_SW_CIL_0085, ARCH_SW_CIL_0071, ARCH_SW_CIL_0072, ARCH_SW_CIL_0073, ARCH_SW_CIL_0079</t>
  </si>
  <si>
    <t>In CANoe modify the Prefs_Lvl_V2 signal to PRE-SAFE1  - LVL 1 then In CANoe modify the Prefs_Lvl_V2 signal to PRE-SAFE3  - LVL 3</t>
  </si>
  <si>
    <t>Profile 3 inhibited</t>
  </si>
  <si>
    <t>ARCH_SW_CIL_0701, ARCH_SW_CIL_0702, ARCH_SW_CIL_0711, ARCH_SW_CIL_0712, ARCH_SW_CIL_0713, ARCH_SW_CIL_0714, ARCH_SW_CIL_0715, ARCH_SW_CIL_0716, ARCH_SW_CIL_0717, ARCH_SW_CIL_0718, ARCH_SW_CIL_0719, ARCH_SW_CIL_0720, ARCH_SW_CIL_0721, ARCH_SW_CIL_0722, ARCH_SW_CIL_0723, ARCH_SW_CIL_0724, ARCH_SW_CIL_0725, ARCH_SW_CIL_0726, ARCH_SW_CIL_0727, ARCH_SW_CIL_0728, ARCH_SW_CIL_0729</t>
  </si>
  <si>
    <t>In WinIdea add NVP_BLOCK_ID_ECU_LOCATION_RamBlockData.NVP_u8ECULocation variables to Watch and change the value at the address of NVP_BLOCK_ID_ECU_LOCATION_RamBlockData.NVP_u8ECULocation to 0x99</t>
  </si>
  <si>
    <t>In WinIdea add NVP_BLOCK_ID_ECU_LOCATION_RamBlockData.NVP_u8ECULocation variables to Watch and change the value at the address of NVP_BLOCK_ID_ECU_LOCATION_RamBlockData.NVP_u8ECULocation to 0x9C</t>
  </si>
  <si>
    <t>Meas_RBTM_02 value should be 26, BSR started.</t>
  </si>
  <si>
    <t>Meas_RBTM_02 value is 26.</t>
  </si>
  <si>
    <t>Set two breakpoints in the cil_TriggerTensioningProfiles function where the EnableCycle0 is read.</t>
  </si>
  <si>
    <t>Set a breakpoint in the cil_TriggerTensioningProfiles function where the IsCarCrashDetected is written.</t>
  </si>
  <si>
    <t>Set a breakpoint in the cil_TriggerTensioningProfiles function where the PreCrashRequestEnable is written.</t>
  </si>
  <si>
    <t>Set two breakpoints in the cil_TriggerTensioningProfiles function where the IsCarAccelerationLow and PreCrashSeverityLevel are written for KU8_CIL_PRESF_LVL_SIGNAL_LVL1 case.</t>
  </si>
  <si>
    <t>Applied from SW R03.0 release</t>
  </si>
  <si>
    <r>
      <t xml:space="preserve">Comment
</t>
    </r>
    <r>
      <rPr>
        <i/>
        <sz val="11"/>
        <rFont val="Calibri"/>
        <family val="2"/>
      </rPr>
      <t>(aplicable only if test not executed)</t>
    </r>
  </si>
  <si>
    <t>Test for Regression</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</si>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</sst>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45"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amily val="2"/>
    </font>
    <font>
      <sz val="8"/>
      <name val="Arial"/>
    </font>
    <font>
      <sz val="11"/>
      <name val="Calibri"/>
      <family val="2"/>
      <charset val="238"/>
    </font>
    <font>
      <i/>
      <sz val="11"/>
      <name val="Calibri"/>
      <family val="2"/>
    </font>
  </fonts>
  <fills count="11">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rgb="FFC5D9F1"/>
        <bgColor rgb="FF000000"/>
      </patternFill>
    </fill>
  </fills>
  <borders count="4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thin">
        <color rgb="FF000080"/>
      </bottom>
      <diagonal/>
    </border>
    <border>
      <left style="thin">
        <color indexed="64"/>
      </left>
      <right style="thin">
        <color indexed="64"/>
      </right>
      <top style="medium">
        <color indexed="64"/>
      </top>
      <bottom/>
      <diagonal/>
    </border>
  </borders>
  <cellStyleXfs count="3">
    <xf numFmtId="0" fontId="0" fillId="0" borderId="0"/>
    <xf numFmtId="0" fontId="23" fillId="0" borderId="0" applyNumberFormat="0" applyFill="0" applyBorder="0" applyAlignment="0" applyProtection="0"/>
    <xf numFmtId="0" fontId="1" fillId="0" borderId="0"/>
  </cellStyleXfs>
  <cellXfs count="237">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43" xfId="0" applyFont="1" applyBorder="1" applyAlignment="1" applyProtection="1">
      <alignment vertical="center"/>
      <protection locked="0"/>
    </xf>
    <xf numFmtId="0" fontId="0" fillId="0" borderId="43"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29" fillId="0" borderId="14" xfId="0" applyFont="1" applyBorder="1" applyAlignment="1">
      <alignment vertical="top"/>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33" fillId="0" borderId="0" xfId="0" applyFont="1" applyFill="1" applyBorder="1"/>
    <xf numFmtId="0" fontId="33" fillId="0" borderId="10" xfId="0" applyFont="1" applyFill="1" applyBorder="1"/>
    <xf numFmtId="0" fontId="20" fillId="0" borderId="10" xfId="0" applyFont="1" applyFill="1" applyBorder="1"/>
    <xf numFmtId="10" fontId="33" fillId="0" borderId="10" xfId="0" applyNumberFormat="1" applyFont="1" applyFill="1" applyBorder="1"/>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1" fillId="6" borderId="11" xfId="0" applyFont="1" applyFill="1" applyBorder="1" applyAlignment="1">
      <alignment horizontal="center" vertical="center" wrapText="1"/>
    </xf>
    <xf numFmtId="0" fontId="34" fillId="6" borderId="15" xfId="0" applyFont="1" applyFill="1" applyBorder="1" applyAlignment="1">
      <alignment vertical="top"/>
    </xf>
    <xf numFmtId="0" fontId="31" fillId="6" borderId="12" xfId="0" applyFont="1" applyFill="1" applyBorder="1" applyAlignment="1">
      <alignment vertical="top" wrapText="1"/>
    </xf>
    <xf numFmtId="49" fontId="1" fillId="0" borderId="0" xfId="0" applyNumberFormat="1" applyFont="1" applyFill="1" applyBorder="1" applyAlignment="1" applyProtection="1">
      <alignment horizontal="left" vertical="center"/>
      <protection locked="0"/>
    </xf>
    <xf numFmtId="0" fontId="34" fillId="6" borderId="16" xfId="0" applyFont="1" applyFill="1" applyBorder="1" applyAlignment="1">
      <alignment vertical="top"/>
    </xf>
    <xf numFmtId="0" fontId="29" fillId="0" borderId="16" xfId="0" applyFont="1" applyBorder="1" applyAlignment="1">
      <alignment vertical="top"/>
    </xf>
    <xf numFmtId="0" fontId="35" fillId="0" borderId="10" xfId="0" applyFont="1" applyBorder="1" applyAlignment="1">
      <alignment horizontal="center" vertical="center"/>
    </xf>
    <xf numFmtId="0" fontId="0" fillId="5" borderId="0" xfId="0" applyFill="1"/>
    <xf numFmtId="0" fontId="35" fillId="5" borderId="0" xfId="0" applyFont="1" applyFill="1" applyBorder="1" applyAlignment="1">
      <alignment horizontal="center" vertical="center"/>
    </xf>
    <xf numFmtId="0" fontId="35" fillId="5" borderId="17" xfId="0" applyFont="1" applyFill="1" applyBorder="1" applyAlignment="1">
      <alignment horizontal="center" vertical="center"/>
    </xf>
    <xf numFmtId="0" fontId="35" fillId="5" borderId="18" xfId="0" applyFont="1" applyFill="1" applyBorder="1" applyAlignment="1">
      <alignment horizontal="center" vertical="center"/>
    </xf>
    <xf numFmtId="0" fontId="0" fillId="5" borderId="0" xfId="0" applyFill="1" applyAlignment="1">
      <alignment wrapText="1"/>
    </xf>
    <xf numFmtId="0" fontId="37" fillId="7" borderId="4" xfId="0" applyFont="1" applyFill="1" applyBorder="1" applyAlignment="1">
      <alignment wrapText="1"/>
    </xf>
    <xf numFmtId="0" fontId="37" fillId="7" borderId="19" xfId="0" applyFont="1" applyFill="1" applyBorder="1" applyAlignment="1">
      <alignment vertical="center" wrapText="1"/>
    </xf>
    <xf numFmtId="0" fontId="37" fillId="7" borderId="20" xfId="0" applyFont="1" applyFill="1" applyBorder="1" applyAlignment="1">
      <alignment horizontal="center" wrapText="1"/>
    </xf>
    <xf numFmtId="0" fontId="1" fillId="8" borderId="9" xfId="2" applyFont="1" applyFill="1" applyBorder="1" applyAlignment="1">
      <alignment wrapText="1"/>
    </xf>
    <xf numFmtId="0" fontId="1" fillId="8" borderId="13" xfId="2" applyFont="1" applyFill="1" applyBorder="1" applyAlignment="1">
      <alignment wrapText="1"/>
    </xf>
    <xf numFmtId="0" fontId="35" fillId="5" borderId="7" xfId="0" applyFont="1" applyFill="1" applyBorder="1" applyAlignment="1">
      <alignment horizontal="left" vertical="center"/>
    </xf>
    <xf numFmtId="0" fontId="23" fillId="0" borderId="10" xfId="1" applyBorder="1" applyAlignment="1">
      <alignment vertical="top"/>
    </xf>
    <xf numFmtId="0" fontId="36" fillId="0" borderId="11" xfId="0" applyFont="1" applyBorder="1" applyAlignment="1">
      <alignment vertical="top"/>
    </xf>
    <xf numFmtId="0" fontId="1" fillId="5" borderId="25" xfId="2" applyFill="1" applyBorder="1" applyAlignment="1">
      <alignment horizontal="left" vertical="center" wrapText="1" shrinkToFit="1"/>
    </xf>
    <xf numFmtId="0" fontId="1" fillId="5" borderId="26" xfId="2" applyFill="1" applyBorder="1" applyAlignment="1">
      <alignment horizontal="left" vertical="center" wrapText="1" shrinkToFit="1"/>
    </xf>
    <xf numFmtId="0" fontId="1" fillId="5" borderId="16" xfId="2" applyFill="1" applyBorder="1" applyAlignment="1">
      <alignment horizontal="left" vertical="center" wrapText="1" shrinkToFit="1"/>
    </xf>
    <xf numFmtId="0" fontId="35" fillId="5" borderId="10" xfId="0" applyFont="1" applyFill="1" applyBorder="1" applyAlignment="1">
      <alignment horizontal="center" vertical="center"/>
    </xf>
    <xf numFmtId="0" fontId="35" fillId="0" borderId="44" xfId="0" applyFont="1" applyBorder="1" applyAlignment="1">
      <alignment horizontal="center" vertical="center"/>
    </xf>
    <xf numFmtId="0" fontId="43" fillId="10" borderId="7" xfId="0" applyFont="1" applyFill="1" applyBorder="1" applyAlignment="1">
      <alignment horizontal="center" vertical="center" wrapText="1"/>
    </xf>
    <xf numFmtId="0" fontId="38" fillId="0" borderId="15" xfId="0" applyFont="1" applyBorder="1" applyAlignment="1" applyProtection="1">
      <alignment horizontal="left" vertical="center" shrinkToFit="1"/>
    </xf>
    <xf numFmtId="0" fontId="38" fillId="0" borderId="1" xfId="0" applyFont="1" applyBorder="1" applyAlignment="1" applyProtection="1">
      <alignment horizontal="left" vertical="center" shrinkToFit="1"/>
    </xf>
    <xf numFmtId="0" fontId="38" fillId="0" borderId="21" xfId="0" applyFont="1" applyBorder="1" applyAlignment="1" applyProtection="1">
      <alignment horizontal="left" vertical="center" shrinkToFit="1"/>
    </xf>
    <xf numFmtId="0" fontId="39" fillId="9" borderId="22" xfId="0" applyFont="1" applyFill="1" applyBorder="1" applyAlignment="1" applyProtection="1">
      <alignment horizontal="center" vertical="center" shrinkToFit="1"/>
      <protection locked="0"/>
    </xf>
    <xf numFmtId="0" fontId="39" fillId="9" borderId="23" xfId="0" applyFont="1" applyFill="1" applyBorder="1" applyAlignment="1" applyProtection="1">
      <alignment horizontal="center" vertical="center" shrinkToFit="1"/>
      <protection locked="0"/>
    </xf>
    <xf numFmtId="0" fontId="39" fillId="9" borderId="24" xfId="0" applyFont="1" applyFill="1" applyBorder="1" applyAlignment="1" applyProtection="1">
      <alignment horizontal="center" vertical="center" shrinkToFit="1"/>
      <protection locked="0"/>
    </xf>
    <xf numFmtId="0" fontId="6" fillId="0" borderId="22" xfId="0" applyFont="1" applyBorder="1" applyAlignment="1" applyProtection="1">
      <alignment horizontal="left" vertical="center" shrinkToFit="1"/>
    </xf>
    <xf numFmtId="0" fontId="6" fillId="0" borderId="23" xfId="0" applyFont="1" applyBorder="1" applyAlignment="1" applyProtection="1">
      <alignment horizontal="left" vertical="center" shrinkToFit="1"/>
    </xf>
    <xf numFmtId="0" fontId="6" fillId="0" borderId="24" xfId="0" applyFont="1" applyBorder="1" applyAlignment="1" applyProtection="1">
      <alignment horizontal="left" vertical="center" shrinkToFit="1"/>
    </xf>
    <xf numFmtId="0" fontId="4" fillId="0" borderId="15"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0" fontId="39" fillId="9" borderId="2" xfId="0" applyFont="1" applyFill="1" applyBorder="1" applyAlignment="1" applyProtection="1">
      <alignment horizontal="center" vertical="center" shrinkToFit="1"/>
      <protection locked="0"/>
    </xf>
    <xf numFmtId="0" fontId="39" fillId="9" borderId="0" xfId="0" applyFont="1" applyFill="1" applyBorder="1" applyAlignment="1" applyProtection="1">
      <alignment horizontal="center" vertical="center" shrinkToFit="1"/>
      <protection locked="0"/>
    </xf>
    <xf numFmtId="0" fontId="39" fillId="9" borderId="3" xfId="0" applyFont="1" applyFill="1" applyBorder="1" applyAlignment="1" applyProtection="1">
      <alignment horizontal="center" vertical="center" shrinkToFit="1"/>
      <protection locked="0"/>
    </xf>
    <xf numFmtId="0" fontId="1" fillId="0" borderId="1" xfId="0" applyFont="1" applyFill="1" applyBorder="1" applyAlignment="1" applyProtection="1">
      <alignment horizontal="left" vertical="top" wrapText="1" shrinkToFit="1"/>
      <protection locked="0"/>
    </xf>
    <xf numFmtId="0" fontId="2" fillId="0" borderId="1" xfId="0" applyFont="1" applyFill="1" applyBorder="1" applyAlignment="1" applyProtection="1">
      <alignment horizontal="left" vertical="top" shrinkToFit="1"/>
      <protection locked="0"/>
    </xf>
    <xf numFmtId="0" fontId="2" fillId="0" borderId="21" xfId="0" applyFont="1" applyFill="1" applyBorder="1" applyAlignment="1" applyProtection="1">
      <alignment horizontal="left" vertical="top" shrinkToFit="1"/>
      <protection locked="0"/>
    </xf>
    <xf numFmtId="4" fontId="38" fillId="0" borderId="15" xfId="0" applyNumberFormat="1" applyFont="1" applyBorder="1" applyAlignment="1" applyProtection="1">
      <alignment horizontal="left" vertical="center" shrinkToFit="1"/>
    </xf>
    <xf numFmtId="4" fontId="38" fillId="0" borderId="1" xfId="0" applyNumberFormat="1" applyFont="1" applyBorder="1" applyAlignment="1" applyProtection="1">
      <alignment horizontal="left" vertical="center" shrinkToFit="1"/>
    </xf>
    <xf numFmtId="4" fontId="38" fillId="0" borderId="21" xfId="0" applyNumberFormat="1" applyFont="1" applyBorder="1" applyAlignment="1" applyProtection="1">
      <alignment horizontal="left" vertical="center" shrinkToFi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6" fillId="0" borderId="24" xfId="0" applyFont="1" applyBorder="1" applyAlignment="1" applyProtection="1">
      <alignment horizontal="left" vertical="center" wrapText="1"/>
    </xf>
    <xf numFmtId="0" fontId="6" fillId="0" borderId="22" xfId="0" applyFont="1" applyFill="1" applyBorder="1" applyAlignment="1" applyProtection="1">
      <alignment horizontal="left" vertical="center" shrinkToFit="1"/>
    </xf>
    <xf numFmtId="0" fontId="6" fillId="0" borderId="23" xfId="0" applyFont="1" applyFill="1" applyBorder="1" applyAlignment="1" applyProtection="1">
      <alignment horizontal="left" vertical="center" shrinkToFit="1"/>
    </xf>
    <xf numFmtId="0" fontId="6" fillId="0" borderId="24" xfId="0" applyFont="1" applyFill="1" applyBorder="1" applyAlignment="1" applyProtection="1">
      <alignment horizontal="left" vertical="center" shrinkToFit="1"/>
    </xf>
    <xf numFmtId="0" fontId="1" fillId="0" borderId="15" xfId="0" applyFont="1" applyFill="1" applyBorder="1" applyAlignment="1" applyProtection="1">
      <alignment horizontal="left" vertical="top" wrapText="1" shrinkToFit="1"/>
      <protection locked="0"/>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1" fillId="0" borderId="25" xfId="0" applyFont="1" applyFill="1" applyBorder="1" applyAlignment="1" applyProtection="1">
      <alignment horizontal="left" vertical="top" wrapText="1" shrinkToFit="1"/>
      <protection locked="0"/>
    </xf>
    <xf numFmtId="0" fontId="2" fillId="0" borderId="26" xfId="0" applyFont="1" applyFill="1" applyBorder="1" applyAlignment="1" applyProtection="1">
      <alignment horizontal="left" vertical="top" shrinkToFit="1"/>
      <protection locked="0"/>
    </xf>
    <xf numFmtId="0" fontId="2" fillId="0" borderId="16" xfId="0" applyFont="1" applyFill="1" applyBorder="1" applyAlignment="1" applyProtection="1">
      <alignment horizontal="left" vertical="top" shrinkToFit="1"/>
      <protection locked="0"/>
    </xf>
    <xf numFmtId="0" fontId="1" fillId="0" borderId="22" xfId="0" applyFont="1" applyFill="1" applyBorder="1" applyAlignment="1" applyProtection="1">
      <alignment horizontal="left" vertical="top"/>
      <protection locked="0"/>
    </xf>
    <xf numFmtId="0" fontId="4" fillId="0" borderId="23" xfId="0" applyFont="1" applyFill="1" applyBorder="1" applyAlignment="1" applyProtection="1">
      <alignment horizontal="left" vertical="top"/>
      <protection locked="0"/>
    </xf>
    <xf numFmtId="0" fontId="4" fillId="0" borderId="24" xfId="0" applyFont="1" applyFill="1" applyBorder="1" applyAlignment="1" applyProtection="1">
      <alignment horizontal="left" vertical="top"/>
      <protection locked="0"/>
    </xf>
    <xf numFmtId="0" fontId="39" fillId="9" borderId="23" xfId="0" applyFont="1" applyFill="1" applyBorder="1" applyAlignment="1" applyProtection="1">
      <alignment horizontal="center" vertical="center" wrapText="1"/>
      <protection locked="0"/>
    </xf>
    <xf numFmtId="0" fontId="39" fillId="9" borderId="0" xfId="0" applyFont="1" applyFill="1" applyBorder="1" applyAlignment="1" applyProtection="1">
      <alignment horizontal="center" vertical="center" wrapText="1"/>
      <protection locked="0"/>
    </xf>
    <xf numFmtId="0" fontId="4" fillId="0" borderId="15"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21" xfId="0" applyFont="1" applyFill="1" applyBorder="1" applyAlignment="1" applyProtection="1">
      <alignment horizontal="left" vertical="top"/>
      <protection locked="0"/>
    </xf>
    <xf numFmtId="0" fontId="40" fillId="0" borderId="1" xfId="0" applyFont="1" applyFill="1" applyBorder="1" applyAlignment="1" applyProtection="1">
      <alignment horizontal="left" vertical="top" wrapText="1" shrinkToFit="1"/>
      <protection locked="0"/>
    </xf>
    <xf numFmtId="0" fontId="40" fillId="0" borderId="21" xfId="0" applyFont="1" applyFill="1" applyBorder="1" applyAlignment="1" applyProtection="1">
      <alignment horizontal="left" vertical="top" wrapText="1" shrinkToFit="1"/>
      <protection locked="0"/>
    </xf>
    <xf numFmtId="0" fontId="38" fillId="3" borderId="15" xfId="0" applyFont="1" applyFill="1" applyBorder="1" applyAlignment="1" applyProtection="1">
      <alignment horizontal="left" vertical="center" shrinkToFit="1"/>
    </xf>
    <xf numFmtId="0" fontId="38" fillId="3" borderId="1" xfId="0" applyFont="1" applyFill="1" applyBorder="1" applyAlignment="1" applyProtection="1">
      <alignment horizontal="left" vertical="center" shrinkToFit="1"/>
    </xf>
    <xf numFmtId="0" fontId="38" fillId="3" borderId="21" xfId="0" applyFont="1" applyFill="1" applyBorder="1" applyAlignment="1" applyProtection="1">
      <alignment horizontal="left" vertical="center" shrinkToFit="1"/>
    </xf>
    <xf numFmtId="0" fontId="6" fillId="3" borderId="22"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wrapText="1"/>
    </xf>
    <xf numFmtId="0" fontId="6" fillId="3" borderId="24" xfId="0" applyFont="1" applyFill="1" applyBorder="1" applyAlignment="1" applyProtection="1">
      <alignment horizontal="left" vertical="center" wrapText="1"/>
    </xf>
    <xf numFmtId="0" fontId="6" fillId="3" borderId="22" xfId="0" applyFont="1" applyFill="1" applyBorder="1" applyAlignment="1" applyProtection="1">
      <alignment horizontal="left" vertical="center" shrinkToFit="1"/>
    </xf>
    <xf numFmtId="0" fontId="6" fillId="3" borderId="23" xfId="0" applyFont="1" applyFill="1" applyBorder="1" applyAlignment="1" applyProtection="1">
      <alignment horizontal="left" vertical="center" shrinkToFit="1"/>
    </xf>
    <xf numFmtId="0" fontId="6" fillId="3" borderId="24" xfId="0" applyFont="1" applyFill="1" applyBorder="1" applyAlignment="1" applyProtection="1">
      <alignment horizontal="left" vertical="center" shrinkToFit="1"/>
    </xf>
    <xf numFmtId="49" fontId="1" fillId="0" borderId="25" xfId="0" applyNumberFormat="1" applyFont="1" applyFill="1" applyBorder="1" applyAlignment="1" applyProtection="1">
      <alignment horizontal="left" vertical="center" wrapText="1"/>
      <protection locked="0"/>
    </xf>
    <xf numFmtId="49" fontId="4" fillId="0" borderId="26" xfId="0" applyNumberFormat="1" applyFont="1" applyFill="1" applyBorder="1" applyAlignment="1" applyProtection="1">
      <alignment horizontal="left" vertical="center" wrapText="1"/>
      <protection locked="0"/>
    </xf>
    <xf numFmtId="49" fontId="4" fillId="0" borderId="16" xfId="0" applyNumberFormat="1" applyFont="1" applyFill="1" applyBorder="1" applyAlignment="1" applyProtection="1">
      <alignment horizontal="left" vertical="center" wrapText="1"/>
      <protection locked="0"/>
    </xf>
    <xf numFmtId="0" fontId="37" fillId="7" borderId="10" xfId="0" applyFont="1" applyFill="1" applyBorder="1" applyAlignment="1">
      <alignment horizontal="center"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16" xfId="0" applyBorder="1" applyAlignment="1">
      <alignment horizontal="left" vertical="center" wrapText="1"/>
    </xf>
    <xf numFmtId="0" fontId="1" fillId="0" borderId="25" xfId="0" applyFont="1" applyBorder="1" applyAlignment="1">
      <alignment horizontal="left" vertical="center" wrapText="1"/>
    </xf>
    <xf numFmtId="0" fontId="8" fillId="2" borderId="10" xfId="0" applyFont="1" applyFill="1" applyBorder="1" applyAlignment="1" applyProtection="1">
      <alignment horizontal="center" vertical="center" wrapText="1"/>
      <protection locked="0"/>
    </xf>
    <xf numFmtId="49" fontId="4"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49" fontId="4" fillId="0" borderId="10" xfId="0" applyNumberFormat="1" applyFont="1" applyFill="1" applyBorder="1" applyAlignment="1" applyProtection="1">
      <alignment vertical="center" wrapText="1"/>
      <protection locked="0"/>
    </xf>
    <xf numFmtId="49" fontId="1"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center" vertical="center" wrapText="1"/>
    </xf>
    <xf numFmtId="49" fontId="1"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lignment horizontal="center" vertical="center" wrapText="1"/>
    </xf>
    <xf numFmtId="49" fontId="5" fillId="0" borderId="0" xfId="0" applyNumberFormat="1" applyFont="1" applyFill="1" applyAlignment="1" applyProtection="1">
      <alignment horizontal="left" vertical="top" wrapText="1"/>
      <protection locked="0"/>
    </xf>
    <xf numFmtId="49" fontId="4" fillId="0" borderId="10" xfId="0" applyNumberFormat="1" applyFont="1" applyFill="1" applyBorder="1" applyAlignment="1">
      <alignment horizontal="left" vertical="center" wrapText="1"/>
    </xf>
    <xf numFmtId="49" fontId="4" fillId="0" borderId="10" xfId="0" applyNumberFormat="1" applyFont="1" applyFill="1" applyBorder="1" applyAlignment="1" applyProtection="1">
      <alignment horizontal="center" vertical="center" wrapText="1"/>
      <protection locked="0"/>
    </xf>
    <xf numFmtId="4" fontId="38" fillId="3" borderId="15" xfId="0" applyNumberFormat="1" applyFont="1" applyFill="1" applyBorder="1" applyAlignment="1" applyProtection="1">
      <alignment horizontal="left" vertical="center" shrinkToFit="1"/>
    </xf>
    <xf numFmtId="4" fontId="38" fillId="3" borderId="1" xfId="0" applyNumberFormat="1" applyFont="1" applyFill="1" applyBorder="1" applyAlignment="1" applyProtection="1">
      <alignment horizontal="left" vertical="center" shrinkToFit="1"/>
    </xf>
    <xf numFmtId="4" fontId="38" fillId="3" borderId="21" xfId="0" applyNumberFormat="1"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0" fontId="11" fillId="3" borderId="15"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1" xfId="0" applyFont="1" applyFill="1" applyBorder="1" applyAlignment="1" applyProtection="1">
      <alignment horizontal="left" vertical="center" shrinkToFit="1"/>
    </xf>
    <xf numFmtId="49" fontId="1" fillId="0" borderId="0" xfId="0" applyNumberFormat="1" applyFont="1" applyFill="1" applyBorder="1" applyAlignment="1" applyProtection="1">
      <alignment horizontal="left" vertical="top" wrapText="1"/>
      <protection locked="0"/>
    </xf>
    <xf numFmtId="0" fontId="37" fillId="7" borderId="29" xfId="0" applyFont="1" applyFill="1" applyBorder="1" applyAlignment="1">
      <alignment horizontal="center" wrapText="1"/>
    </xf>
    <xf numFmtId="0" fontId="37" fillId="7" borderId="30" xfId="0" applyFont="1" applyFill="1" applyBorder="1" applyAlignment="1">
      <alignment horizontal="center" wrapText="1"/>
    </xf>
    <xf numFmtId="0" fontId="37" fillId="7" borderId="31" xfId="0" applyFont="1" applyFill="1" applyBorder="1" applyAlignment="1">
      <alignment horizontal="center" wrapText="1"/>
    </xf>
    <xf numFmtId="0" fontId="1" fillId="5" borderId="25" xfId="2" applyFill="1" applyBorder="1" applyAlignment="1">
      <alignment horizontal="left" vertical="center" wrapText="1" shrinkToFit="1"/>
    </xf>
    <xf numFmtId="0" fontId="1" fillId="5" borderId="26" xfId="2" applyFill="1" applyBorder="1" applyAlignment="1">
      <alignment horizontal="left" vertical="center" wrapText="1" shrinkToFit="1"/>
    </xf>
    <xf numFmtId="0" fontId="1" fillId="5" borderId="16" xfId="2" applyFill="1" applyBorder="1" applyAlignment="1">
      <alignment horizontal="left" vertical="center" wrapText="1" shrinkToFit="1"/>
    </xf>
    <xf numFmtId="0" fontId="1" fillId="5" borderId="10" xfId="2" applyFont="1" applyFill="1" applyBorder="1" applyAlignment="1">
      <alignment horizontal="left" vertical="top" wrapText="1" shrinkToFit="1"/>
    </xf>
    <xf numFmtId="0" fontId="9" fillId="5" borderId="6" xfId="0" applyFont="1" applyFill="1" applyBorder="1" applyAlignment="1">
      <alignment horizontal="left"/>
    </xf>
    <xf numFmtId="0" fontId="1" fillId="5" borderId="27" xfId="0" applyFont="1" applyFill="1" applyBorder="1" applyAlignment="1">
      <alignment horizontal="left"/>
    </xf>
    <xf numFmtId="0" fontId="1" fillId="5" borderId="28" xfId="0" applyFont="1" applyFill="1" applyBorder="1" applyAlignment="1">
      <alignment horizontal="left"/>
    </xf>
    <xf numFmtId="0" fontId="1" fillId="5" borderId="6" xfId="0" applyFont="1" applyFill="1" applyBorder="1" applyAlignment="1">
      <alignment horizontal="left" vertical="top"/>
    </xf>
    <xf numFmtId="0" fontId="1" fillId="5" borderId="27" xfId="0" applyFont="1" applyFill="1" applyBorder="1" applyAlignment="1">
      <alignment horizontal="left" vertical="top"/>
    </xf>
    <xf numFmtId="0" fontId="1" fillId="5" borderId="28" xfId="0" applyFont="1" applyFill="1" applyBorder="1" applyAlignment="1">
      <alignment horizontal="left" vertical="top"/>
    </xf>
    <xf numFmtId="0" fontId="37" fillId="7" borderId="34" xfId="0" applyFont="1" applyFill="1" applyBorder="1" applyAlignment="1">
      <alignment horizontal="left" vertical="center" wrapText="1"/>
    </xf>
    <xf numFmtId="0" fontId="37" fillId="7" borderId="36" xfId="0" applyFont="1" applyFill="1" applyBorder="1" applyAlignment="1">
      <alignment horizontal="left" vertical="center" wrapText="1"/>
    </xf>
    <xf numFmtId="49" fontId="1" fillId="5" borderId="25" xfId="2" applyNumberFormat="1" applyFill="1" applyBorder="1" applyAlignment="1">
      <alignment horizontal="left" vertical="center" wrapText="1" shrinkToFit="1"/>
    </xf>
    <xf numFmtId="49" fontId="1" fillId="5" borderId="26" xfId="2" applyNumberFormat="1" applyFill="1" applyBorder="1" applyAlignment="1">
      <alignment horizontal="left" vertical="center" wrapText="1" shrinkToFit="1"/>
    </xf>
    <xf numFmtId="49" fontId="1" fillId="5" borderId="16" xfId="2" applyNumberFormat="1" applyFill="1" applyBorder="1" applyAlignment="1">
      <alignment horizontal="left" vertical="center" wrapText="1" shrinkToFit="1"/>
    </xf>
    <xf numFmtId="0" fontId="1" fillId="5" borderId="32" xfId="0" applyFont="1" applyFill="1" applyBorder="1" applyAlignment="1">
      <alignment horizontal="left" vertical="top" wrapText="1" shrinkToFit="1"/>
    </xf>
    <xf numFmtId="0" fontId="1" fillId="5" borderId="33" xfId="0" applyFont="1" applyFill="1" applyBorder="1" applyAlignment="1">
      <alignment horizontal="left" vertical="top" wrapText="1" shrinkToFit="1"/>
    </xf>
    <xf numFmtId="0" fontId="1" fillId="5" borderId="34" xfId="0" applyFont="1" applyFill="1" applyBorder="1" applyAlignment="1">
      <alignment horizontal="left" vertical="top" wrapText="1" shrinkToFit="1"/>
    </xf>
    <xf numFmtId="0" fontId="1" fillId="5" borderId="35" xfId="0" applyFont="1" applyFill="1" applyBorder="1" applyAlignment="1">
      <alignment horizontal="left" vertical="top" wrapText="1" shrinkToFit="1"/>
    </xf>
    <xf numFmtId="0" fontId="1" fillId="5" borderId="0"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37" xfId="0" applyFont="1" applyFill="1" applyBorder="1" applyAlignment="1">
      <alignment horizontal="left" vertical="top" wrapText="1" shrinkToFit="1"/>
    </xf>
    <xf numFmtId="0" fontId="1" fillId="5" borderId="38" xfId="0" applyFont="1" applyFill="1" applyBorder="1" applyAlignment="1">
      <alignment horizontal="left" vertical="top" wrapText="1" shrinkToFit="1"/>
    </xf>
    <xf numFmtId="0" fontId="1" fillId="5" borderId="39" xfId="0" applyFont="1" applyFill="1" applyBorder="1" applyAlignment="1">
      <alignment horizontal="left" vertical="top" wrapText="1" shrinkToFit="1"/>
    </xf>
    <xf numFmtId="49" fontId="1" fillId="5" borderId="25" xfId="2" applyNumberFormat="1" applyFill="1" applyBorder="1" applyAlignment="1">
      <alignment horizontal="left" vertical="top" wrapText="1" shrinkToFit="1"/>
    </xf>
    <xf numFmtId="49" fontId="1" fillId="5" borderId="26" xfId="2" applyNumberFormat="1" applyFill="1" applyBorder="1" applyAlignment="1">
      <alignment horizontal="left" vertical="top" wrapText="1" shrinkToFit="1"/>
    </xf>
    <xf numFmtId="49" fontId="1" fillId="5" borderId="16" xfId="2" applyNumberFormat="1" applyFill="1" applyBorder="1" applyAlignment="1">
      <alignment horizontal="left" vertical="top" wrapText="1" shrinkToFit="1"/>
    </xf>
    <xf numFmtId="0" fontId="1" fillId="5" borderId="40" xfId="2" applyFont="1" applyFill="1" applyBorder="1" applyAlignment="1">
      <alignment horizontal="left" vertical="top" wrapText="1" shrinkToFit="1"/>
    </xf>
    <xf numFmtId="0" fontId="1" fillId="5" borderId="41" xfId="2" applyFont="1" applyFill="1" applyBorder="1" applyAlignment="1">
      <alignment horizontal="left" vertical="top" wrapText="1" shrinkToFit="1"/>
    </xf>
    <xf numFmtId="0" fontId="1" fillId="5" borderId="42" xfId="2" applyFont="1" applyFill="1" applyBorder="1" applyAlignment="1">
      <alignment horizontal="left" vertical="top" wrapText="1" shrinkToFit="1"/>
    </xf>
    <xf numFmtId="0" fontId="1" fillId="5" borderId="14" xfId="2" applyFont="1" applyFill="1" applyBorder="1" applyAlignment="1">
      <alignment horizontal="left" vertical="top" wrapText="1" shrinkToFit="1"/>
    </xf>
    <xf numFmtId="0" fontId="1" fillId="5" borderId="25" xfId="2" applyFont="1" applyFill="1" applyBorder="1" applyAlignment="1">
      <alignment horizontal="left" vertical="top" wrapText="1" shrinkToFit="1"/>
    </xf>
    <xf numFmtId="0" fontId="1" fillId="5" borderId="26"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9" fillId="5" borderId="27" xfId="0" applyFont="1" applyFill="1" applyBorder="1" applyAlignment="1">
      <alignment horizontal="left"/>
    </xf>
    <xf numFmtId="0" fontId="9" fillId="5" borderId="28" xfId="0" applyFont="1" applyFill="1" applyBorder="1" applyAlignment="1">
      <alignment horizontal="left"/>
    </xf>
    <xf numFmtId="0" fontId="1" fillId="5" borderId="10" xfId="2" applyFont="1" applyFill="1" applyBorder="1" applyAlignment="1">
      <alignment horizontal="left" vertical="center" wrapText="1" shrinkToFit="1"/>
    </xf>
    <xf numFmtId="0" fontId="1" fillId="5" borderId="25" xfId="2" applyFont="1" applyFill="1" applyBorder="1" applyAlignment="1">
      <alignment horizontal="left" vertical="center" wrapText="1" shrinkToFit="1"/>
    </xf>
    <xf numFmtId="0" fontId="1" fillId="5" borderId="26" xfId="2" applyFont="1" applyFill="1" applyBorder="1" applyAlignment="1">
      <alignment horizontal="left" vertical="center" wrapText="1" shrinkToFit="1"/>
    </xf>
    <xf numFmtId="0" fontId="1" fillId="5" borderId="16" xfId="2" applyFont="1" applyFill="1" applyBorder="1" applyAlignment="1">
      <alignment horizontal="left" vertical="center" wrapText="1" shrinkToFit="1"/>
    </xf>
    <xf numFmtId="49" fontId="1" fillId="5" borderId="10" xfId="2" applyNumberFormat="1" applyFill="1" applyBorder="1" applyAlignment="1">
      <alignment horizontal="left" vertical="top" wrapText="1" shrinkToFit="1"/>
    </xf>
  </cellXfs>
  <cellStyles count="3">
    <cellStyle name="Hyperlink" xfId="1" builtinId="8"/>
    <cellStyle name="Normal" xfId="0" builtinId="0"/>
    <cellStyle name="Normal 2" xfId="2" xr:uid="{00000000-0005-0000-0000-000002000000}"/>
  </cellStyles>
  <dxfs count="406">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0.9375</c:v>
                </c:pt>
                <c:pt idx="1">
                  <c:v>6.25E-2</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EC3B1DB7-EFD0-4450-A4A6-37F30917EA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C873E46E-CC37-47C9-B846-1DF96BCE9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B18CBB95-9994-499B-BF63-42E7193B7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773197C6-D8B1-4205-A2F6-3F6FDCBCEC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3B8DEE3C-F3F6-4252-8DA4-4575A22FE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E15" sqref="E15:AG15"/>
    </sheetView>
  </sheetViews>
  <sheetFormatPr defaultColWidth="0" defaultRowHeight="13.2" zeroHeight="1" x14ac:dyDescent="0.25"/>
  <cols>
    <col min="1" max="33" width="2.664062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CIL - Software Integration Test Specification Report.xlsm</v>
      </c>
      <c r="AE3" s="8"/>
      <c r="AF3" s="8"/>
      <c r="AG3" s="8"/>
      <c r="AH3" s="8"/>
      <c r="AI3" s="8"/>
      <c r="AJ3" s="8"/>
      <c r="AK3" s="8"/>
    </row>
    <row r="4" spans="1:37" s="7" customFormat="1" ht="11.1" customHeight="1" x14ac:dyDescent="0.25">
      <c r="A4" s="121" t="s">
        <v>0</v>
      </c>
      <c r="B4" s="122"/>
      <c r="C4" s="122"/>
      <c r="D4" s="122"/>
      <c r="E4" s="122"/>
      <c r="F4" s="122"/>
      <c r="G4" s="122"/>
      <c r="H4" s="122"/>
      <c r="I4" s="122"/>
      <c r="J4" s="122"/>
      <c r="K4" s="122"/>
      <c r="L4" s="122"/>
      <c r="M4" s="122"/>
      <c r="N4" s="122"/>
      <c r="O4" s="122"/>
      <c r="P4" s="122"/>
      <c r="Q4" s="122"/>
      <c r="R4" s="122"/>
      <c r="S4" s="122"/>
      <c r="T4" s="122"/>
      <c r="U4" s="122"/>
      <c r="V4" s="123"/>
      <c r="W4" s="135" t="s">
        <v>1</v>
      </c>
      <c r="X4" s="136"/>
      <c r="Y4" s="136"/>
      <c r="Z4" s="136"/>
      <c r="AA4" s="137"/>
      <c r="AB4" s="138" t="s">
        <v>19</v>
      </c>
      <c r="AC4" s="139"/>
      <c r="AD4" s="139"/>
      <c r="AE4" s="139"/>
      <c r="AF4" s="139"/>
      <c r="AG4" s="140"/>
      <c r="AH4" s="10"/>
      <c r="AI4" s="10"/>
      <c r="AJ4" s="10"/>
      <c r="AK4" s="8"/>
    </row>
    <row r="5" spans="1:37" s="12" customFormat="1" ht="12.75" customHeight="1" x14ac:dyDescent="0.25">
      <c r="A5" s="115" t="s">
        <v>123</v>
      </c>
      <c r="B5" s="116"/>
      <c r="C5" s="116"/>
      <c r="D5" s="116"/>
      <c r="E5" s="116"/>
      <c r="F5" s="116"/>
      <c r="G5" s="116"/>
      <c r="H5" s="116"/>
      <c r="I5" s="116"/>
      <c r="J5" s="116"/>
      <c r="K5" s="116"/>
      <c r="L5" s="116"/>
      <c r="M5" s="116"/>
      <c r="N5" s="116"/>
      <c r="O5" s="116"/>
      <c r="P5" s="116"/>
      <c r="Q5" s="116"/>
      <c r="R5" s="116"/>
      <c r="S5" s="116"/>
      <c r="T5" s="116"/>
      <c r="U5" s="116"/>
      <c r="V5" s="117"/>
      <c r="W5" s="115" t="s">
        <v>124</v>
      </c>
      <c r="X5" s="116"/>
      <c r="Y5" s="116"/>
      <c r="Z5" s="116"/>
      <c r="AA5" s="117"/>
      <c r="AB5" s="115" t="s">
        <v>361</v>
      </c>
      <c r="AC5" s="116"/>
      <c r="AD5" s="116"/>
      <c r="AE5" s="116"/>
      <c r="AF5" s="116"/>
      <c r="AG5" s="117"/>
      <c r="AH5" s="11"/>
      <c r="AI5" s="11"/>
      <c r="AJ5" s="11"/>
      <c r="AK5" s="11"/>
    </row>
    <row r="6" spans="1:37" s="45" customFormat="1" ht="11.1" customHeight="1" x14ac:dyDescent="0.25">
      <c r="A6" s="135" t="s">
        <v>2</v>
      </c>
      <c r="B6" s="136"/>
      <c r="C6" s="136"/>
      <c r="D6" s="137"/>
      <c r="E6" s="135" t="s">
        <v>3</v>
      </c>
      <c r="F6" s="136"/>
      <c r="G6" s="136"/>
      <c r="H6" s="136"/>
      <c r="I6" s="136"/>
      <c r="J6" s="136"/>
      <c r="K6" s="136"/>
      <c r="L6" s="136"/>
      <c r="M6" s="136"/>
      <c r="N6" s="136"/>
      <c r="O6" s="136"/>
      <c r="P6" s="136"/>
      <c r="Q6" s="136"/>
      <c r="R6" s="136"/>
      <c r="S6" s="136"/>
      <c r="T6" s="136"/>
      <c r="U6" s="136"/>
      <c r="V6" s="137"/>
      <c r="W6" s="121" t="s">
        <v>14</v>
      </c>
      <c r="X6" s="122"/>
      <c r="Y6" s="122"/>
      <c r="Z6" s="122"/>
      <c r="AA6" s="123"/>
      <c r="AB6" s="135"/>
      <c r="AC6" s="136"/>
      <c r="AD6" s="137"/>
      <c r="AE6" s="135" t="s">
        <v>4</v>
      </c>
      <c r="AF6" s="136"/>
      <c r="AG6" s="137"/>
      <c r="AH6" s="44"/>
      <c r="AI6" s="44"/>
      <c r="AJ6" s="44"/>
      <c r="AK6" s="44"/>
    </row>
    <row r="7" spans="1:37" s="14" customFormat="1" ht="12.75" customHeight="1" x14ac:dyDescent="0.25">
      <c r="A7" s="115" t="s">
        <v>126</v>
      </c>
      <c r="B7" s="116"/>
      <c r="C7" s="116"/>
      <c r="D7" s="117"/>
      <c r="E7" s="115" t="s">
        <v>154</v>
      </c>
      <c r="F7" s="116"/>
      <c r="G7" s="116"/>
      <c r="H7" s="116"/>
      <c r="I7" s="116"/>
      <c r="J7" s="116"/>
      <c r="K7" s="116"/>
      <c r="L7" s="116"/>
      <c r="M7" s="116"/>
      <c r="N7" s="116"/>
      <c r="O7" s="116"/>
      <c r="P7" s="116"/>
      <c r="Q7" s="116"/>
      <c r="R7" s="116"/>
      <c r="S7" s="116"/>
      <c r="T7" s="116"/>
      <c r="U7" s="116"/>
      <c r="V7" s="117"/>
      <c r="W7" s="115" t="str">
        <f ca="1" xml:space="preserve"> IFERROR(IF([1]!alvDocProperty("MXDocTemplate_Name")="","SW04TEM001",[1]!alvDocProperty("MXDocTemplate_Name")),"SW04TEM001")</f>
        <v>SW04TEM001</v>
      </c>
      <c r="X7" s="116"/>
      <c r="Y7" s="116"/>
      <c r="Z7" s="116"/>
      <c r="AA7" s="117"/>
      <c r="AB7" s="115"/>
      <c r="AC7" s="116"/>
      <c r="AD7" s="117"/>
      <c r="AE7" s="132">
        <v>2</v>
      </c>
      <c r="AF7" s="133"/>
      <c r="AG7" s="134"/>
      <c r="AH7" s="13"/>
      <c r="AI7" s="13"/>
      <c r="AJ7" s="13"/>
      <c r="AK7" s="13"/>
    </row>
    <row r="8" spans="1:37" s="12" customFormat="1" x14ac:dyDescent="0.25">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5">
      <c r="A9" s="126" t="s">
        <v>20</v>
      </c>
      <c r="B9" s="127"/>
      <c r="C9" s="127"/>
      <c r="D9" s="127"/>
      <c r="E9" s="127"/>
      <c r="F9" s="127"/>
      <c r="G9" s="127"/>
      <c r="H9" s="127"/>
      <c r="I9" s="127"/>
      <c r="J9" s="127"/>
      <c r="K9" s="128"/>
      <c r="L9" s="126" t="s">
        <v>21</v>
      </c>
      <c r="M9" s="127"/>
      <c r="N9" s="127"/>
      <c r="O9" s="127"/>
      <c r="P9" s="127"/>
      <c r="Q9" s="127"/>
      <c r="R9" s="127"/>
      <c r="S9" s="127"/>
      <c r="T9" s="127"/>
      <c r="U9" s="127"/>
      <c r="V9" s="128"/>
      <c r="W9" s="126" t="s">
        <v>22</v>
      </c>
      <c r="X9" s="127"/>
      <c r="Y9" s="127"/>
      <c r="Z9" s="127"/>
      <c r="AA9" s="127"/>
      <c r="AB9" s="127"/>
      <c r="AC9" s="127"/>
      <c r="AD9" s="127"/>
      <c r="AE9" s="127"/>
      <c r="AF9" s="127"/>
      <c r="AG9" s="128"/>
      <c r="AH9" s="15"/>
      <c r="AI9" s="15"/>
    </row>
    <row r="10" spans="1:37" s="49" customFormat="1" ht="28.5" customHeight="1" x14ac:dyDescent="0.25">
      <c r="A10" s="124" t="s">
        <v>32</v>
      </c>
      <c r="B10" s="125"/>
      <c r="C10" s="125"/>
      <c r="D10" s="125"/>
      <c r="E10" s="125"/>
      <c r="F10" s="155" t="s">
        <v>368</v>
      </c>
      <c r="G10" s="155"/>
      <c r="H10" s="155"/>
      <c r="I10" s="155"/>
      <c r="J10" s="155"/>
      <c r="K10" s="156"/>
      <c r="L10" s="129" t="s">
        <v>127</v>
      </c>
      <c r="M10" s="130"/>
      <c r="N10" s="130"/>
      <c r="O10" s="130"/>
      <c r="P10" s="130"/>
      <c r="Q10" s="130"/>
      <c r="R10" s="130"/>
      <c r="S10" s="130"/>
      <c r="T10" s="130"/>
      <c r="U10" s="130"/>
      <c r="V10" s="131"/>
      <c r="W10" s="141" t="s">
        <v>127</v>
      </c>
      <c r="X10" s="130"/>
      <c r="Y10" s="130"/>
      <c r="Z10" s="130"/>
      <c r="AA10" s="130"/>
      <c r="AB10" s="130"/>
      <c r="AC10" s="130"/>
      <c r="AD10" s="130"/>
      <c r="AE10" s="130"/>
      <c r="AF10" s="130"/>
      <c r="AG10" s="131"/>
      <c r="AH10" s="48"/>
      <c r="AI10" s="48"/>
    </row>
    <row r="11" spans="1:37" s="55" customFormat="1" ht="4.5" customHeight="1" x14ac:dyDescent="0.25">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5">
      <c r="A12" s="118" t="s">
        <v>23</v>
      </c>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20"/>
      <c r="AH12" s="15"/>
      <c r="AI12" s="15"/>
      <c r="AJ12" s="15"/>
      <c r="AK12" s="15"/>
    </row>
    <row r="13" spans="1:37" s="49" customFormat="1" ht="28.5" customHeight="1" x14ac:dyDescent="0.25">
      <c r="A13" s="144" t="s">
        <v>127</v>
      </c>
      <c r="B13" s="145"/>
      <c r="C13" s="145"/>
      <c r="D13" s="145"/>
      <c r="E13" s="145"/>
      <c r="F13" s="145"/>
      <c r="G13" s="145"/>
      <c r="H13" s="145"/>
      <c r="I13" s="145"/>
      <c r="J13" s="145"/>
      <c r="K13" s="146"/>
      <c r="L13" s="141" t="s">
        <v>127</v>
      </c>
      <c r="M13" s="130"/>
      <c r="N13" s="130"/>
      <c r="O13" s="130"/>
      <c r="P13" s="130"/>
      <c r="Q13" s="130"/>
      <c r="R13" s="130"/>
      <c r="S13" s="130"/>
      <c r="T13" s="130"/>
      <c r="U13" s="130"/>
      <c r="V13" s="131"/>
      <c r="W13" s="144" t="s">
        <v>127</v>
      </c>
      <c r="X13" s="145"/>
      <c r="Y13" s="145"/>
      <c r="Z13" s="145"/>
      <c r="AA13" s="145"/>
      <c r="AB13" s="145"/>
      <c r="AC13" s="145"/>
      <c r="AD13" s="145"/>
      <c r="AE13" s="145"/>
      <c r="AF13" s="145"/>
      <c r="AG13" s="146"/>
      <c r="AH13" s="48"/>
      <c r="AI13" s="48"/>
      <c r="AJ13" s="48"/>
      <c r="AK13" s="48"/>
    </row>
    <row r="14" spans="1:37" s="55" customFormat="1" ht="4.5" customHeight="1" x14ac:dyDescent="0.25">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37.5" customHeight="1" x14ac:dyDescent="0.25">
      <c r="A15" s="150" t="s">
        <v>24</v>
      </c>
      <c r="B15" s="150"/>
      <c r="C15" s="150"/>
      <c r="D15" s="150"/>
      <c r="E15" s="147" t="s">
        <v>629</v>
      </c>
      <c r="F15" s="148"/>
      <c r="G15" s="148"/>
      <c r="H15" s="148"/>
      <c r="I15" s="148"/>
      <c r="J15" s="148"/>
      <c r="K15" s="148"/>
      <c r="L15" s="148"/>
      <c r="M15" s="148"/>
      <c r="N15" s="148"/>
      <c r="O15" s="148"/>
      <c r="P15" s="148"/>
      <c r="Q15" s="148"/>
      <c r="R15" s="148"/>
      <c r="S15" s="148"/>
      <c r="T15" s="148"/>
      <c r="U15" s="148"/>
      <c r="V15" s="148"/>
      <c r="W15" s="148"/>
      <c r="X15" s="148"/>
      <c r="Y15" s="148"/>
      <c r="Z15" s="148"/>
      <c r="AA15" s="148"/>
      <c r="AB15" s="148"/>
      <c r="AC15" s="148"/>
      <c r="AD15" s="148"/>
      <c r="AE15" s="148"/>
      <c r="AF15" s="148"/>
      <c r="AG15" s="149"/>
      <c r="AH15" s="17"/>
      <c r="AI15" s="17"/>
      <c r="AJ15" s="17"/>
      <c r="AK15" s="17"/>
    </row>
    <row r="16" spans="1:37" s="18" customFormat="1" ht="37.5" customHeight="1" x14ac:dyDescent="0.25">
      <c r="A16" s="151"/>
      <c r="B16" s="151"/>
      <c r="C16" s="151"/>
      <c r="D16" s="151"/>
      <c r="E16" s="152"/>
      <c r="F16" s="153"/>
      <c r="G16" s="153"/>
      <c r="H16" s="153"/>
      <c r="I16" s="153"/>
      <c r="J16" s="153"/>
      <c r="K16" s="153"/>
      <c r="L16" s="153"/>
      <c r="M16" s="153"/>
      <c r="N16" s="153"/>
      <c r="O16" s="153"/>
      <c r="P16" s="153"/>
      <c r="Q16" s="153"/>
      <c r="R16" s="153"/>
      <c r="S16" s="153"/>
      <c r="T16" s="153"/>
      <c r="U16" s="153"/>
      <c r="V16" s="153"/>
      <c r="W16" s="153"/>
      <c r="X16" s="153"/>
      <c r="Y16" s="153"/>
      <c r="Z16" s="153"/>
      <c r="AA16" s="153"/>
      <c r="AB16" s="153"/>
      <c r="AC16" s="153"/>
      <c r="AD16" s="153"/>
      <c r="AE16" s="153"/>
      <c r="AF16" s="153"/>
      <c r="AG16" s="154"/>
      <c r="AH16" s="17"/>
      <c r="AI16" s="17"/>
      <c r="AJ16" s="17"/>
      <c r="AK16" s="17"/>
    </row>
    <row r="17" spans="1:37" s="18" customFormat="1" x14ac:dyDescent="0.25">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5">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5">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5">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5">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5">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5">
      <c r="A23" s="142" t="str">
        <f>MXTitle</f>
        <v>CIL - Software Integration Test Specification Report.xls</v>
      </c>
      <c r="B23" s="143"/>
      <c r="C23" s="143"/>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143"/>
      <c r="AB23" s="143"/>
      <c r="AC23" s="143"/>
      <c r="AD23" s="143"/>
      <c r="AE23" s="143"/>
      <c r="AF23" s="143"/>
      <c r="AG23" s="143"/>
      <c r="AH23" s="17"/>
      <c r="AI23" s="17"/>
      <c r="AJ23" s="17"/>
      <c r="AK23" s="17"/>
    </row>
    <row r="24" spans="1:37" s="18" customFormat="1" ht="24.6" x14ac:dyDescent="0.25">
      <c r="C24" s="17"/>
      <c r="D24" s="17"/>
      <c r="E24" s="17"/>
      <c r="F24" s="17"/>
      <c r="G24" s="17"/>
      <c r="H24" s="17"/>
      <c r="I24" s="17"/>
      <c r="J24" s="17"/>
      <c r="K24" s="17"/>
      <c r="L24" s="17"/>
      <c r="M24" s="17"/>
      <c r="N24" s="17"/>
      <c r="O24" s="17"/>
      <c r="P24" s="17"/>
      <c r="Q24" s="57"/>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5">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5"/>
  </sheetData>
  <sheetProtection formatCells="0" formatRows="0" insertColumns="0" insertRows="0" insertHyperlinks="0" deleteRows="0" selectLockedCells="1" sort="0" autoFilter="0" pivotTables="0"/>
  <dataConsolidate/>
  <mergeCells count="31">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s>
  <phoneticPr fontId="3" type="noConversion"/>
  <conditionalFormatting sqref="W5:AA5">
    <cfRule type="cellIs" dxfId="405" priority="1" operator="equal">
      <formula>"In-Work"</formula>
    </cfRule>
    <cfRule type="cellIs" dxfId="404" priority="2" stopIfTrue="1" operator="equal">
      <formula>"draft"</formula>
    </cfRule>
    <cfRule type="cellIs" dxfId="403" priority="3" operator="equal">
      <formula>"In-Work"</formula>
    </cfRule>
    <cfRule type="cellIs" dxfId="402" priority="4" stopIfTrue="1" operator="equal">
      <formula>"draft"</formula>
    </cfRule>
    <cfRule type="cellIs" dxfId="401" priority="5" operator="equal">
      <formula>"In-Work"</formula>
    </cfRule>
    <cfRule type="cellIs" dxfId="400" priority="6" stopIfTrue="1" operator="equal">
      <formula>"draft"</formula>
    </cfRule>
    <cfRule type="cellIs" dxfId="399" priority="7" operator="equal">
      <formula>"In-Work"</formula>
    </cfRule>
    <cfRule type="cellIs" dxfId="398" priority="8" stopIfTrue="1" operator="equal">
      <formula>"draft"</formula>
    </cfRule>
    <cfRule type="cellIs" dxfId="397" priority="9" operator="equal">
      <formula>"In-Work"</formula>
    </cfRule>
    <cfRule type="cellIs" dxfId="396" priority="10" stopIfTrue="1" operator="equal">
      <formula>"draft"</formula>
    </cfRule>
    <cfRule type="cellIs" dxfId="395" priority="11" operator="equal">
      <formula>"In-Work"</formula>
    </cfRule>
    <cfRule type="cellIs" dxfId="394" priority="12" stopIfTrue="1" operator="equal">
      <formula>"draft"</formula>
    </cfRule>
    <cfRule type="cellIs" dxfId="393" priority="13" operator="equal">
      <formula>"In-Work"</formula>
    </cfRule>
    <cfRule type="cellIs" dxfId="392" priority="14" stopIfTrue="1" operator="equal">
      <formula>"draft"</formula>
    </cfRule>
    <cfRule type="cellIs" dxfId="391" priority="15" operator="equal">
      <formula>"In-Work"</formula>
    </cfRule>
    <cfRule type="cellIs" dxfId="390" priority="16" stopIfTrue="1" operator="equal">
      <formula>"draft"</formula>
    </cfRule>
    <cfRule type="cellIs" dxfId="389" priority="17" operator="equal">
      <formula>"In-Work"</formula>
    </cfRule>
    <cfRule type="cellIs" dxfId="388" priority="18" stopIfTrue="1" operator="equal">
      <formula>"draft"</formula>
    </cfRule>
    <cfRule type="cellIs" dxfId="387" priority="19" operator="equal">
      <formula>"In-Work"</formula>
    </cfRule>
    <cfRule type="cellIs" dxfId="386" priority="20" stopIfTrue="1" operator="equal">
      <formula>"draft"</formula>
    </cfRule>
    <cfRule type="cellIs" dxfId="385" priority="21" operator="equal">
      <formula>"In-Work"</formula>
    </cfRule>
    <cfRule type="cellIs" dxfId="384" priority="22" stopIfTrue="1" operator="equal">
      <formula>"draft"</formula>
    </cfRule>
    <cfRule type="cellIs" dxfId="383" priority="23" operator="equal">
      <formula>"In-Work"</formula>
    </cfRule>
    <cfRule type="cellIs" dxfId="382" priority="24" stopIfTrue="1" operator="equal">
      <formula>"draft"</formula>
    </cfRule>
    <cfRule type="cellIs" dxfId="381" priority="25" operator="equal">
      <formula>"In-Work"</formula>
    </cfRule>
    <cfRule type="cellIs" dxfId="380" priority="26" stopIfTrue="1" operator="equal">
      <formula>"draft"</formula>
    </cfRule>
    <cfRule type="cellIs" dxfId="379" priority="27" operator="equal">
      <formula>"In-Work"</formula>
    </cfRule>
    <cfRule type="cellIs" dxfId="378" priority="28" stopIfTrue="1" operator="equal">
      <formula>"draft"</formula>
    </cfRule>
    <cfRule type="cellIs" dxfId="377" priority="29" operator="equal">
      <formula>"In-Work"</formula>
    </cfRule>
    <cfRule type="cellIs" dxfId="376" priority="30" stopIfTrue="1" operator="equal">
      <formula>"draft"</formula>
    </cfRule>
    <cfRule type="cellIs" dxfId="375" priority="31" operator="equal">
      <formula>"In-Work"</formula>
    </cfRule>
    <cfRule type="cellIs" dxfId="374" priority="32" stopIfTrue="1" operator="equal">
      <formula>"draft"</formula>
    </cfRule>
    <cfRule type="cellIs" dxfId="373" priority="33" operator="equal">
      <formula>"In-Work"</formula>
    </cfRule>
    <cfRule type="cellIs" dxfId="372" priority="34" stopIfTrue="1" operator="equal">
      <formula>"draft"</formula>
    </cfRule>
    <cfRule type="cellIs" dxfId="371" priority="35" operator="equal">
      <formula>"In-Work"</formula>
    </cfRule>
    <cfRule type="cellIs" dxfId="370" priority="36"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2&amp;R&amp;P</oddFooter>
  </headerFooter>
  <ignoredErrors>
    <ignoredError sqref="A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9"/>
  <sheetViews>
    <sheetView showGridLines="0" zoomScaleNormal="100" workbookViewId="0">
      <selection activeCell="A8" sqref="A8:AG8"/>
    </sheetView>
  </sheetViews>
  <sheetFormatPr defaultColWidth="0" defaultRowHeight="13.2" zeroHeight="1" x14ac:dyDescent="0.25"/>
  <cols>
    <col min="1" max="33" width="2.664062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9" t="str">
        <f ca="1">FileName</f>
        <v>CIL - Software Integration Test Specification Report.xlsm</v>
      </c>
      <c r="AE3" s="8"/>
      <c r="AF3" s="8"/>
      <c r="AG3" s="8"/>
      <c r="AH3" s="8"/>
      <c r="AI3" s="8"/>
      <c r="AJ3" s="8"/>
      <c r="AK3" s="8"/>
    </row>
    <row r="4" spans="1:37" s="7" customFormat="1" ht="11.1" customHeight="1" x14ac:dyDescent="0.25">
      <c r="A4" s="121" t="s">
        <v>0</v>
      </c>
      <c r="B4" s="122"/>
      <c r="C4" s="122"/>
      <c r="D4" s="122"/>
      <c r="E4" s="122"/>
      <c r="F4" s="122"/>
      <c r="G4" s="122"/>
      <c r="H4" s="122"/>
      <c r="I4" s="122"/>
      <c r="J4" s="122"/>
      <c r="K4" s="122"/>
      <c r="L4" s="122"/>
      <c r="M4" s="122"/>
      <c r="N4" s="122"/>
      <c r="O4" s="122"/>
      <c r="P4" s="122"/>
      <c r="Q4" s="122"/>
      <c r="R4" s="122"/>
      <c r="S4" s="122"/>
      <c r="T4" s="122"/>
      <c r="U4" s="122"/>
      <c r="V4" s="123"/>
      <c r="W4" s="160" t="s">
        <v>1</v>
      </c>
      <c r="X4" s="161"/>
      <c r="Y4" s="161"/>
      <c r="Z4" s="161"/>
      <c r="AA4" s="162"/>
      <c r="AB4" s="138" t="s">
        <v>19</v>
      </c>
      <c r="AC4" s="139"/>
      <c r="AD4" s="139"/>
      <c r="AE4" s="139"/>
      <c r="AF4" s="139"/>
      <c r="AG4" s="140"/>
      <c r="AH4" s="10"/>
      <c r="AI4" s="10"/>
      <c r="AJ4" s="10"/>
      <c r="AK4" s="8"/>
    </row>
    <row r="5" spans="1:37" s="12" customFormat="1" x14ac:dyDescent="0.25">
      <c r="A5" s="115" t="s">
        <v>123</v>
      </c>
      <c r="B5" s="116"/>
      <c r="C5" s="116"/>
      <c r="D5" s="116"/>
      <c r="E5" s="116"/>
      <c r="F5" s="116"/>
      <c r="G5" s="116"/>
      <c r="H5" s="116"/>
      <c r="I5" s="116"/>
      <c r="J5" s="116"/>
      <c r="K5" s="116"/>
      <c r="L5" s="116"/>
      <c r="M5" s="116"/>
      <c r="N5" s="116"/>
      <c r="O5" s="116"/>
      <c r="P5" s="116"/>
      <c r="Q5" s="116"/>
      <c r="R5" s="116"/>
      <c r="S5" s="116"/>
      <c r="T5" s="116"/>
      <c r="U5" s="116"/>
      <c r="V5" s="117"/>
      <c r="W5" s="157" t="str">
        <f>MXCurrent.Localized</f>
        <v>Initial revision</v>
      </c>
      <c r="X5" s="158"/>
      <c r="Y5" s="158"/>
      <c r="Z5" s="158"/>
      <c r="AA5" s="159"/>
      <c r="AB5" s="115" t="str">
        <f>MXActual_state_Released</f>
        <v>23.06.2022</v>
      </c>
      <c r="AC5" s="116"/>
      <c r="AD5" s="116"/>
      <c r="AE5" s="116"/>
      <c r="AF5" s="116"/>
      <c r="AG5" s="117"/>
      <c r="AH5" s="11"/>
      <c r="AI5" s="11"/>
      <c r="AJ5" s="11"/>
      <c r="AK5" s="11"/>
    </row>
    <row r="6" spans="1:37" s="1" customFormat="1" ht="11.1" customHeight="1" x14ac:dyDescent="0.25">
      <c r="A6" s="163" t="s">
        <v>2</v>
      </c>
      <c r="B6" s="164"/>
      <c r="C6" s="164"/>
      <c r="D6" s="165"/>
      <c r="E6" s="163" t="s">
        <v>3</v>
      </c>
      <c r="F6" s="164"/>
      <c r="G6" s="164"/>
      <c r="H6" s="164"/>
      <c r="I6" s="164"/>
      <c r="J6" s="164"/>
      <c r="K6" s="164"/>
      <c r="L6" s="164"/>
      <c r="M6" s="164"/>
      <c r="N6" s="164"/>
      <c r="O6" s="164"/>
      <c r="P6" s="164"/>
      <c r="Q6" s="164"/>
      <c r="R6" s="164"/>
      <c r="S6" s="164"/>
      <c r="T6" s="164"/>
      <c r="U6" s="164"/>
      <c r="V6" s="165"/>
      <c r="W6" s="121" t="s">
        <v>14</v>
      </c>
      <c r="X6" s="122"/>
      <c r="Y6" s="122"/>
      <c r="Z6" s="122"/>
      <c r="AA6" s="123"/>
      <c r="AB6" s="160"/>
      <c r="AC6" s="161"/>
      <c r="AD6" s="162"/>
      <c r="AE6" s="160" t="s">
        <v>4</v>
      </c>
      <c r="AF6" s="161"/>
      <c r="AG6" s="162"/>
      <c r="AH6" s="6"/>
      <c r="AI6" s="6"/>
      <c r="AJ6" s="6"/>
      <c r="AK6" s="6"/>
    </row>
    <row r="7" spans="1:37" s="14" customFormat="1" x14ac:dyDescent="0.25">
      <c r="A7" s="157" t="str">
        <f>MXName</f>
        <v>NA</v>
      </c>
      <c r="B7" s="158"/>
      <c r="C7" s="158"/>
      <c r="D7" s="159"/>
      <c r="E7" s="157" t="str">
        <f>MXTitle</f>
        <v>CIL - Software Integration Test Specification Report.xls</v>
      </c>
      <c r="F7" s="158"/>
      <c r="G7" s="158"/>
      <c r="H7" s="158"/>
      <c r="I7" s="158"/>
      <c r="J7" s="158"/>
      <c r="K7" s="158"/>
      <c r="L7" s="158"/>
      <c r="M7" s="158"/>
      <c r="N7" s="158"/>
      <c r="O7" s="158"/>
      <c r="P7" s="158"/>
      <c r="Q7" s="158"/>
      <c r="R7" s="158"/>
      <c r="S7" s="158"/>
      <c r="T7" s="158"/>
      <c r="U7" s="158"/>
      <c r="V7" s="159"/>
      <c r="W7" s="157" t="str">
        <f ca="1">TemplateRef</f>
        <v>SW04TEM001</v>
      </c>
      <c r="X7" s="158"/>
      <c r="Y7" s="158"/>
      <c r="Z7" s="158"/>
      <c r="AA7" s="159"/>
      <c r="AB7" s="157"/>
      <c r="AC7" s="158"/>
      <c r="AD7" s="159"/>
      <c r="AE7" s="185">
        <v>2</v>
      </c>
      <c r="AF7" s="186"/>
      <c r="AG7" s="187"/>
      <c r="AH7" s="13"/>
      <c r="AI7" s="13"/>
      <c r="AJ7" s="13"/>
      <c r="AK7" s="13"/>
    </row>
    <row r="8" spans="1:37" ht="11.1" customHeight="1" x14ac:dyDescent="0.25">
      <c r="A8" s="163"/>
      <c r="B8" s="164"/>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4"/>
      <c r="AC8" s="164"/>
      <c r="AD8" s="164"/>
      <c r="AE8" s="164"/>
      <c r="AF8" s="164"/>
      <c r="AG8" s="165"/>
      <c r="AH8" s="15"/>
      <c r="AI8" s="15"/>
      <c r="AJ8" s="15"/>
      <c r="AK8" s="15"/>
    </row>
    <row r="9" spans="1:37" s="18" customFormat="1" x14ac:dyDescent="0.25">
      <c r="A9" s="189" t="s">
        <v>13</v>
      </c>
      <c r="B9" s="190"/>
      <c r="C9" s="190"/>
      <c r="D9" s="190"/>
      <c r="E9" s="190"/>
      <c r="F9" s="190"/>
      <c r="G9" s="190"/>
      <c r="H9" s="190"/>
      <c r="I9" s="190"/>
      <c r="J9" s="190"/>
      <c r="K9" s="190"/>
      <c r="L9" s="190"/>
      <c r="M9" s="190"/>
      <c r="N9" s="190"/>
      <c r="O9" s="190"/>
      <c r="P9" s="190"/>
      <c r="Q9" s="190"/>
      <c r="R9" s="190"/>
      <c r="S9" s="190"/>
      <c r="T9" s="190"/>
      <c r="U9" s="190"/>
      <c r="V9" s="190"/>
      <c r="W9" s="190"/>
      <c r="X9" s="190"/>
      <c r="Y9" s="190"/>
      <c r="Z9" s="190"/>
      <c r="AA9" s="190"/>
      <c r="AB9" s="190"/>
      <c r="AC9" s="190"/>
      <c r="AD9" s="190"/>
      <c r="AE9" s="190"/>
      <c r="AF9" s="190"/>
      <c r="AG9" s="191"/>
      <c r="AH9" s="17"/>
      <c r="AI9" s="17"/>
      <c r="AJ9" s="17"/>
    </row>
    <row r="10" spans="1:37" x14ac:dyDescent="0.25"/>
    <row r="11" spans="1:37" x14ac:dyDescent="0.25"/>
    <row r="12" spans="1:37" ht="24.6" x14ac:dyDescent="0.25">
      <c r="B12" s="19" t="s">
        <v>15</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5"/>
    <row r="14" spans="1:37" ht="20.399999999999999" x14ac:dyDescent="0.25">
      <c r="B14" s="21" t="s">
        <v>16</v>
      </c>
      <c r="C14" s="22"/>
    </row>
    <row r="15" spans="1:37" x14ac:dyDescent="0.25">
      <c r="B15" s="174" t="s">
        <v>6</v>
      </c>
      <c r="C15" s="188"/>
      <c r="D15" s="188"/>
      <c r="E15" s="188"/>
      <c r="F15" s="188"/>
      <c r="G15" s="174" t="s">
        <v>5</v>
      </c>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row>
    <row r="16" spans="1:37" ht="24" customHeight="1" x14ac:dyDescent="0.25">
      <c r="B16" s="184" t="s">
        <v>33</v>
      </c>
      <c r="C16" s="184"/>
      <c r="D16" s="184"/>
      <c r="E16" s="184"/>
      <c r="F16" s="184"/>
      <c r="G16" s="175" t="s">
        <v>35</v>
      </c>
      <c r="H16" s="175"/>
      <c r="I16" s="175"/>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row>
    <row r="17" spans="1:45" ht="24" customHeight="1" x14ac:dyDescent="0.25">
      <c r="B17" s="184" t="s">
        <v>34</v>
      </c>
      <c r="C17" s="184"/>
      <c r="D17" s="184"/>
      <c r="E17" s="184"/>
      <c r="F17" s="184"/>
      <c r="G17" s="178" t="s">
        <v>116</v>
      </c>
      <c r="H17" s="175"/>
      <c r="I17" s="175"/>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row>
    <row r="18" spans="1:45" ht="24" customHeight="1" x14ac:dyDescent="0.25">
      <c r="B18" s="180" t="s">
        <v>111</v>
      </c>
      <c r="C18" s="184"/>
      <c r="D18" s="184"/>
      <c r="E18" s="184"/>
      <c r="F18" s="184"/>
      <c r="G18" s="178" t="s">
        <v>122</v>
      </c>
      <c r="H18" s="175"/>
      <c r="I18" s="175"/>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45" ht="24" customHeight="1" x14ac:dyDescent="0.25">
      <c r="B19" s="180" t="s">
        <v>112</v>
      </c>
      <c r="C19" s="184"/>
      <c r="D19" s="184"/>
      <c r="E19" s="184"/>
      <c r="F19" s="184"/>
      <c r="G19" s="178" t="s">
        <v>118</v>
      </c>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c r="AS19" s="23"/>
    </row>
    <row r="20" spans="1:45" ht="24" customHeight="1" x14ac:dyDescent="0.25">
      <c r="B20" s="180" t="s">
        <v>44</v>
      </c>
      <c r="C20" s="184"/>
      <c r="D20" s="184"/>
      <c r="E20" s="184"/>
      <c r="F20" s="184"/>
      <c r="G20" s="178" t="s">
        <v>119</v>
      </c>
      <c r="H20" s="175"/>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c r="AS20" s="23"/>
    </row>
    <row r="21" spans="1:45" ht="24" customHeight="1" x14ac:dyDescent="0.25">
      <c r="B21" s="180" t="s">
        <v>113</v>
      </c>
      <c r="C21" s="184"/>
      <c r="D21" s="184"/>
      <c r="E21" s="184"/>
      <c r="F21" s="184"/>
      <c r="G21" s="178" t="s">
        <v>117</v>
      </c>
      <c r="H21" s="175"/>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c r="AS21" s="23"/>
    </row>
    <row r="22" spans="1:45" x14ac:dyDescent="0.25">
      <c r="C22" s="24"/>
      <c r="I22" s="25"/>
    </row>
    <row r="23" spans="1:45" ht="20.399999999999999" x14ac:dyDescent="0.25">
      <c r="A23" s="21"/>
      <c r="B23" s="21" t="s">
        <v>26</v>
      </c>
      <c r="C23" s="24"/>
      <c r="I23" s="25"/>
    </row>
    <row r="24" spans="1:45" x14ac:dyDescent="0.25">
      <c r="B24" s="174" t="s">
        <v>4</v>
      </c>
      <c r="C24" s="179"/>
      <c r="D24" s="179"/>
      <c r="E24" s="174" t="s">
        <v>10</v>
      </c>
      <c r="F24" s="174"/>
      <c r="G24" s="174"/>
      <c r="H24" s="174"/>
      <c r="I24" s="174" t="s">
        <v>11</v>
      </c>
      <c r="J24" s="179"/>
      <c r="K24" s="179"/>
      <c r="L24" s="179"/>
      <c r="M24" s="179"/>
      <c r="N24" s="179"/>
      <c r="O24" s="179"/>
      <c r="P24" s="179"/>
      <c r="Q24" s="179"/>
      <c r="R24" s="174" t="s">
        <v>12</v>
      </c>
      <c r="S24" s="174"/>
      <c r="T24" s="174"/>
      <c r="U24" s="174"/>
      <c r="V24" s="174"/>
      <c r="W24" s="174"/>
      <c r="X24" s="174"/>
      <c r="Y24" s="174"/>
      <c r="Z24" s="174"/>
      <c r="AA24" s="174"/>
      <c r="AB24" s="174"/>
      <c r="AC24" s="174"/>
      <c r="AD24" s="174"/>
      <c r="AE24" s="174"/>
      <c r="AF24" s="174"/>
    </row>
    <row r="25" spans="1:45" x14ac:dyDescent="0.25">
      <c r="B25" s="180" t="s">
        <v>335</v>
      </c>
      <c r="C25" s="181"/>
      <c r="D25" s="181"/>
      <c r="E25" s="178" t="s">
        <v>125</v>
      </c>
      <c r="F25" s="175"/>
      <c r="G25" s="175"/>
      <c r="H25" s="175"/>
      <c r="I25" s="178" t="s">
        <v>128</v>
      </c>
      <c r="J25" s="183"/>
      <c r="K25" s="183"/>
      <c r="L25" s="183"/>
      <c r="M25" s="183"/>
      <c r="N25" s="183"/>
      <c r="O25" s="183"/>
      <c r="P25" s="183"/>
      <c r="Q25" s="183"/>
      <c r="R25" s="178" t="s">
        <v>124</v>
      </c>
      <c r="S25" s="175"/>
      <c r="T25" s="175"/>
      <c r="U25" s="175"/>
      <c r="V25" s="175"/>
      <c r="W25" s="175"/>
      <c r="X25" s="175"/>
      <c r="Y25" s="175"/>
      <c r="Z25" s="175"/>
      <c r="AA25" s="175"/>
      <c r="AB25" s="175"/>
      <c r="AC25" s="175"/>
      <c r="AD25" s="175"/>
      <c r="AE25" s="175"/>
      <c r="AF25" s="175"/>
    </row>
    <row r="26" spans="1:45" x14ac:dyDescent="0.25">
      <c r="B26" s="180" t="s">
        <v>336</v>
      </c>
      <c r="C26" s="181"/>
      <c r="D26" s="181"/>
      <c r="E26" s="178" t="s">
        <v>192</v>
      </c>
      <c r="F26" s="175"/>
      <c r="G26" s="175"/>
      <c r="H26" s="175"/>
      <c r="I26" s="178" t="s">
        <v>343</v>
      </c>
      <c r="J26" s="183"/>
      <c r="K26" s="183"/>
      <c r="L26" s="183"/>
      <c r="M26" s="183"/>
      <c r="N26" s="183"/>
      <c r="O26" s="183"/>
      <c r="P26" s="183"/>
      <c r="Q26" s="183"/>
      <c r="R26" s="178" t="s">
        <v>342</v>
      </c>
      <c r="S26" s="175"/>
      <c r="T26" s="175"/>
      <c r="U26" s="175"/>
      <c r="V26" s="175"/>
      <c r="W26" s="175"/>
      <c r="X26" s="175"/>
      <c r="Y26" s="175"/>
      <c r="Z26" s="175"/>
      <c r="AA26" s="175"/>
      <c r="AB26" s="175"/>
      <c r="AC26" s="175"/>
      <c r="AD26" s="175"/>
      <c r="AE26" s="175"/>
      <c r="AF26" s="175"/>
    </row>
    <row r="27" spans="1:45" x14ac:dyDescent="0.25">
      <c r="B27" s="180" t="s">
        <v>337</v>
      </c>
      <c r="C27" s="181"/>
      <c r="D27" s="181"/>
      <c r="E27" s="178" t="s">
        <v>344</v>
      </c>
      <c r="F27" s="175"/>
      <c r="G27" s="175"/>
      <c r="H27" s="175"/>
      <c r="I27" s="178" t="s">
        <v>128</v>
      </c>
      <c r="J27" s="183"/>
      <c r="K27" s="183"/>
      <c r="L27" s="183"/>
      <c r="M27" s="183"/>
      <c r="N27" s="183"/>
      <c r="O27" s="183"/>
      <c r="P27" s="183"/>
      <c r="Q27" s="183"/>
      <c r="R27" s="178" t="s">
        <v>345</v>
      </c>
      <c r="S27" s="175"/>
      <c r="T27" s="175"/>
      <c r="U27" s="175"/>
      <c r="V27" s="175"/>
      <c r="W27" s="175"/>
      <c r="X27" s="175"/>
      <c r="Y27" s="175"/>
      <c r="Z27" s="175"/>
      <c r="AA27" s="175"/>
      <c r="AB27" s="175"/>
      <c r="AC27" s="175"/>
      <c r="AD27" s="175"/>
      <c r="AE27" s="175"/>
      <c r="AF27" s="175"/>
    </row>
    <row r="28" spans="1:45" x14ac:dyDescent="0.25">
      <c r="B28" s="180" t="s">
        <v>338</v>
      </c>
      <c r="C28" s="181"/>
      <c r="D28" s="181"/>
      <c r="E28" s="178" t="s">
        <v>346</v>
      </c>
      <c r="F28" s="175"/>
      <c r="G28" s="175"/>
      <c r="H28" s="175"/>
      <c r="I28" s="178" t="s">
        <v>128</v>
      </c>
      <c r="J28" s="183"/>
      <c r="K28" s="183"/>
      <c r="L28" s="183"/>
      <c r="M28" s="183"/>
      <c r="N28" s="183"/>
      <c r="O28" s="183"/>
      <c r="P28" s="183"/>
      <c r="Q28" s="183"/>
      <c r="R28" s="178" t="s">
        <v>347</v>
      </c>
      <c r="S28" s="175"/>
      <c r="T28" s="175"/>
      <c r="U28" s="175"/>
      <c r="V28" s="175"/>
      <c r="W28" s="175"/>
      <c r="X28" s="175"/>
      <c r="Y28" s="175"/>
      <c r="Z28" s="175"/>
      <c r="AA28" s="175"/>
      <c r="AB28" s="175"/>
      <c r="AC28" s="175"/>
      <c r="AD28" s="175"/>
      <c r="AE28" s="175"/>
      <c r="AF28" s="175"/>
    </row>
    <row r="29" spans="1:45" x14ac:dyDescent="0.25">
      <c r="B29" s="180" t="s">
        <v>339</v>
      </c>
      <c r="C29" s="181"/>
      <c r="D29" s="181"/>
      <c r="E29" s="178" t="s">
        <v>346</v>
      </c>
      <c r="F29" s="175"/>
      <c r="G29" s="175"/>
      <c r="H29" s="175"/>
      <c r="I29" s="178" t="s">
        <v>348</v>
      </c>
      <c r="J29" s="183"/>
      <c r="K29" s="183"/>
      <c r="L29" s="183"/>
      <c r="M29" s="183"/>
      <c r="N29" s="183"/>
      <c r="O29" s="183"/>
      <c r="P29" s="183"/>
      <c r="Q29" s="183"/>
      <c r="R29" s="178" t="s">
        <v>349</v>
      </c>
      <c r="S29" s="175"/>
      <c r="T29" s="175"/>
      <c r="U29" s="175"/>
      <c r="V29" s="175"/>
      <c r="W29" s="175"/>
      <c r="X29" s="175"/>
      <c r="Y29" s="175"/>
      <c r="Z29" s="175"/>
      <c r="AA29" s="175"/>
      <c r="AB29" s="175"/>
      <c r="AC29" s="175"/>
      <c r="AD29" s="175"/>
      <c r="AE29" s="175"/>
      <c r="AF29" s="175"/>
    </row>
    <row r="30" spans="1:45" x14ac:dyDescent="0.25">
      <c r="B30" s="180" t="s">
        <v>340</v>
      </c>
      <c r="C30" s="181"/>
      <c r="D30" s="181"/>
      <c r="E30" s="178" t="s">
        <v>350</v>
      </c>
      <c r="F30" s="175"/>
      <c r="G30" s="175"/>
      <c r="H30" s="175"/>
      <c r="I30" s="178" t="s">
        <v>128</v>
      </c>
      <c r="J30" s="183"/>
      <c r="K30" s="183"/>
      <c r="L30" s="183"/>
      <c r="M30" s="183"/>
      <c r="N30" s="183"/>
      <c r="O30" s="183"/>
      <c r="P30" s="183"/>
      <c r="Q30" s="183"/>
      <c r="R30" s="178" t="s">
        <v>351</v>
      </c>
      <c r="S30" s="175"/>
      <c r="T30" s="175"/>
      <c r="U30" s="175"/>
      <c r="V30" s="175"/>
      <c r="W30" s="175"/>
      <c r="X30" s="175"/>
      <c r="Y30" s="175"/>
      <c r="Z30" s="175"/>
      <c r="AA30" s="175"/>
      <c r="AB30" s="175"/>
      <c r="AC30" s="175"/>
      <c r="AD30" s="175"/>
      <c r="AE30" s="175"/>
      <c r="AF30" s="175"/>
    </row>
    <row r="31" spans="1:45" x14ac:dyDescent="0.25">
      <c r="B31" s="180" t="s">
        <v>341</v>
      </c>
      <c r="C31" s="181"/>
      <c r="D31" s="181"/>
      <c r="E31" s="178" t="s">
        <v>358</v>
      </c>
      <c r="F31" s="175"/>
      <c r="G31" s="175"/>
      <c r="H31" s="175"/>
      <c r="I31" s="178" t="s">
        <v>128</v>
      </c>
      <c r="J31" s="183"/>
      <c r="K31" s="183"/>
      <c r="L31" s="183"/>
      <c r="M31" s="183"/>
      <c r="N31" s="183"/>
      <c r="O31" s="183"/>
      <c r="P31" s="183"/>
      <c r="Q31" s="183"/>
      <c r="R31" s="178" t="s">
        <v>352</v>
      </c>
      <c r="S31" s="175"/>
      <c r="T31" s="175"/>
      <c r="U31" s="175"/>
      <c r="V31" s="175"/>
      <c r="W31" s="175"/>
      <c r="X31" s="175"/>
      <c r="Y31" s="175"/>
      <c r="Z31" s="175"/>
      <c r="AA31" s="175"/>
      <c r="AB31" s="175"/>
      <c r="AC31" s="175"/>
      <c r="AD31" s="175"/>
      <c r="AE31" s="175"/>
      <c r="AF31" s="175"/>
    </row>
    <row r="32" spans="1:45" x14ac:dyDescent="0.25">
      <c r="B32" s="180" t="s">
        <v>356</v>
      </c>
      <c r="C32" s="181"/>
      <c r="D32" s="181"/>
      <c r="E32" s="178" t="s">
        <v>358</v>
      </c>
      <c r="F32" s="175"/>
      <c r="G32" s="175"/>
      <c r="H32" s="175"/>
      <c r="I32" s="178" t="s">
        <v>128</v>
      </c>
      <c r="J32" s="183"/>
      <c r="K32" s="183"/>
      <c r="L32" s="183"/>
      <c r="M32" s="183"/>
      <c r="N32" s="183"/>
      <c r="O32" s="183"/>
      <c r="P32" s="183"/>
      <c r="Q32" s="183"/>
      <c r="R32" s="178" t="s">
        <v>359</v>
      </c>
      <c r="S32" s="175"/>
      <c r="T32" s="175"/>
      <c r="U32" s="175"/>
      <c r="V32" s="175"/>
      <c r="W32" s="175"/>
      <c r="X32" s="175"/>
      <c r="Y32" s="175"/>
      <c r="Z32" s="175"/>
      <c r="AA32" s="175"/>
      <c r="AB32" s="175"/>
      <c r="AC32" s="175"/>
      <c r="AD32" s="175"/>
      <c r="AE32" s="175"/>
      <c r="AF32" s="175"/>
    </row>
    <row r="33" spans="2:33" x14ac:dyDescent="0.25">
      <c r="B33" s="180" t="s">
        <v>357</v>
      </c>
      <c r="C33" s="181"/>
      <c r="D33" s="181"/>
      <c r="E33" s="178" t="s">
        <v>365</v>
      </c>
      <c r="F33" s="175"/>
      <c r="G33" s="175"/>
      <c r="H33" s="175"/>
      <c r="I33" s="178" t="s">
        <v>128</v>
      </c>
      <c r="J33" s="183"/>
      <c r="K33" s="183"/>
      <c r="L33" s="183"/>
      <c r="M33" s="183"/>
      <c r="N33" s="183"/>
      <c r="O33" s="183"/>
      <c r="P33" s="183"/>
      <c r="Q33" s="183"/>
      <c r="R33" s="178" t="s">
        <v>360</v>
      </c>
      <c r="S33" s="175"/>
      <c r="T33" s="175"/>
      <c r="U33" s="175"/>
      <c r="V33" s="175"/>
      <c r="W33" s="175"/>
      <c r="X33" s="175"/>
      <c r="Y33" s="175"/>
      <c r="Z33" s="175"/>
      <c r="AA33" s="175"/>
      <c r="AB33" s="175"/>
      <c r="AC33" s="175"/>
      <c r="AD33" s="175"/>
      <c r="AE33" s="175"/>
      <c r="AF33" s="175"/>
    </row>
    <row r="34" spans="2:33" x14ac:dyDescent="0.25">
      <c r="B34" s="180" t="s">
        <v>366</v>
      </c>
      <c r="C34" s="181"/>
      <c r="D34" s="181"/>
      <c r="E34" s="178" t="s">
        <v>367</v>
      </c>
      <c r="F34" s="175"/>
      <c r="G34" s="175"/>
      <c r="H34" s="175"/>
      <c r="I34" s="178" t="s">
        <v>368</v>
      </c>
      <c r="J34" s="183"/>
      <c r="K34" s="183"/>
      <c r="L34" s="183"/>
      <c r="M34" s="183"/>
      <c r="N34" s="183"/>
      <c r="O34" s="183"/>
      <c r="P34" s="183"/>
      <c r="Q34" s="183"/>
      <c r="R34" s="178" t="s">
        <v>369</v>
      </c>
      <c r="S34" s="175"/>
      <c r="T34" s="175"/>
      <c r="U34" s="175"/>
      <c r="V34" s="175"/>
      <c r="W34" s="175"/>
      <c r="X34" s="175"/>
      <c r="Y34" s="175"/>
      <c r="Z34" s="175"/>
      <c r="AA34" s="175"/>
      <c r="AB34" s="175"/>
      <c r="AC34" s="175"/>
      <c r="AD34" s="175"/>
      <c r="AE34" s="175"/>
      <c r="AF34" s="175"/>
    </row>
    <row r="35" spans="2:33" x14ac:dyDescent="0.25">
      <c r="B35" s="26" t="s">
        <v>25</v>
      </c>
      <c r="C35" s="27"/>
      <c r="D35" s="27"/>
      <c r="E35" s="28"/>
      <c r="F35" s="28"/>
      <c r="G35" s="28"/>
      <c r="H35" s="28"/>
      <c r="I35" s="28"/>
      <c r="J35" s="29"/>
      <c r="K35" s="29"/>
      <c r="L35" s="29"/>
      <c r="M35" s="29"/>
      <c r="N35" s="29"/>
      <c r="O35" s="29"/>
      <c r="P35" s="29"/>
      <c r="Q35" s="29"/>
      <c r="R35" s="28"/>
      <c r="S35" s="28"/>
      <c r="T35" s="28"/>
      <c r="U35" s="28"/>
      <c r="V35" s="28"/>
      <c r="W35" s="28"/>
      <c r="X35" s="28"/>
      <c r="Y35" s="28"/>
      <c r="Z35" s="28"/>
      <c r="AA35" s="28"/>
      <c r="AB35" s="28"/>
      <c r="AC35" s="28"/>
      <c r="AD35" s="28"/>
      <c r="AE35" s="28"/>
      <c r="AF35" s="28"/>
    </row>
    <row r="36" spans="2:33" x14ac:dyDescent="0.25">
      <c r="C36" s="24"/>
      <c r="I36" s="25"/>
    </row>
    <row r="37" spans="2:33" ht="20.399999999999999" x14ac:dyDescent="0.25">
      <c r="B37" s="21" t="s">
        <v>17</v>
      </c>
      <c r="I37" s="25"/>
    </row>
    <row r="38" spans="2:33" ht="66.75" customHeight="1" x14ac:dyDescent="0.25">
      <c r="B38" s="182" t="s">
        <v>121</v>
      </c>
      <c r="C38" s="182"/>
      <c r="D38" s="182"/>
      <c r="E38" s="182"/>
      <c r="F38" s="182"/>
      <c r="G38" s="182"/>
      <c r="H38" s="182"/>
      <c r="I38" s="182"/>
      <c r="J38" s="182"/>
      <c r="K38" s="182"/>
      <c r="L38" s="182"/>
      <c r="M38" s="182"/>
      <c r="N38" s="182"/>
      <c r="O38" s="182"/>
      <c r="P38" s="182"/>
      <c r="Q38" s="182"/>
      <c r="R38" s="182"/>
      <c r="S38" s="182"/>
      <c r="T38" s="182"/>
      <c r="U38" s="182"/>
      <c r="V38" s="182"/>
      <c r="W38" s="182"/>
      <c r="X38" s="182"/>
      <c r="Y38" s="182"/>
      <c r="Z38" s="182"/>
      <c r="AA38" s="182"/>
      <c r="AB38" s="182"/>
      <c r="AC38" s="182"/>
      <c r="AD38" s="182"/>
      <c r="AE38" s="182"/>
      <c r="AF38" s="182"/>
      <c r="AG38" s="30"/>
    </row>
    <row r="39" spans="2:33" x14ac:dyDescent="0.25">
      <c r="J39" s="31"/>
    </row>
    <row r="40" spans="2:33" ht="20.399999999999999" x14ac:dyDescent="0.25">
      <c r="B40" s="21" t="s">
        <v>18</v>
      </c>
      <c r="C40" s="22"/>
      <c r="I40" s="25"/>
    </row>
    <row r="41" spans="2:33" ht="24.75" customHeight="1" x14ac:dyDescent="0.25">
      <c r="B41" s="32" t="s">
        <v>27</v>
      </c>
      <c r="C41" s="22"/>
      <c r="I41" s="25"/>
    </row>
    <row r="42" spans="2:33" ht="12.75" customHeight="1" x14ac:dyDescent="0.25">
      <c r="B42" s="174" t="s">
        <v>7</v>
      </c>
      <c r="C42" s="174"/>
      <c r="D42" s="174"/>
      <c r="E42" s="174" t="s">
        <v>8</v>
      </c>
      <c r="F42" s="179"/>
      <c r="G42" s="179"/>
      <c r="H42" s="179"/>
      <c r="I42" s="179"/>
      <c r="J42" s="179"/>
      <c r="K42" s="179"/>
      <c r="L42" s="179"/>
      <c r="M42" s="179"/>
      <c r="N42" s="179"/>
      <c r="O42" s="179"/>
      <c r="P42" s="179"/>
      <c r="Q42" s="179"/>
      <c r="R42" s="179"/>
      <c r="S42" s="179"/>
      <c r="T42" s="179"/>
      <c r="U42" s="179"/>
      <c r="V42" s="179"/>
      <c r="W42" s="179"/>
      <c r="X42" s="179"/>
      <c r="Y42" s="174" t="s">
        <v>9</v>
      </c>
      <c r="Z42" s="174"/>
      <c r="AA42" s="174"/>
      <c r="AB42" s="174"/>
      <c r="AC42" s="174"/>
      <c r="AD42" s="174"/>
      <c r="AE42" s="174"/>
      <c r="AF42" s="174"/>
    </row>
    <row r="43" spans="2:33" x14ac:dyDescent="0.25">
      <c r="B43" s="177"/>
      <c r="C43" s="177"/>
      <c r="D43" s="177"/>
      <c r="E43" s="175"/>
      <c r="F43" s="176"/>
      <c r="G43" s="176"/>
      <c r="H43" s="176"/>
      <c r="I43" s="176"/>
      <c r="J43" s="176"/>
      <c r="K43" s="176"/>
      <c r="L43" s="176"/>
      <c r="M43" s="176"/>
      <c r="N43" s="176"/>
      <c r="O43" s="176"/>
      <c r="P43" s="176"/>
      <c r="Q43" s="176"/>
      <c r="R43" s="176"/>
      <c r="S43" s="176"/>
      <c r="T43" s="176"/>
      <c r="U43" s="176"/>
      <c r="V43" s="176"/>
      <c r="W43" s="176"/>
      <c r="X43" s="176"/>
      <c r="Y43" s="175"/>
      <c r="Z43" s="176"/>
      <c r="AA43" s="176"/>
      <c r="AB43" s="176"/>
      <c r="AC43" s="176"/>
      <c r="AD43" s="176"/>
      <c r="AE43" s="176"/>
      <c r="AF43" s="176"/>
    </row>
    <row r="44" spans="2:33" x14ac:dyDescent="0.25">
      <c r="B44" s="177"/>
      <c r="C44" s="177"/>
      <c r="D44" s="177"/>
      <c r="E44" s="175"/>
      <c r="F44" s="176"/>
      <c r="G44" s="176"/>
      <c r="H44" s="176"/>
      <c r="I44" s="176"/>
      <c r="J44" s="176"/>
      <c r="K44" s="176"/>
      <c r="L44" s="176"/>
      <c r="M44" s="176"/>
      <c r="N44" s="176"/>
      <c r="O44" s="176"/>
      <c r="P44" s="176"/>
      <c r="Q44" s="176"/>
      <c r="R44" s="176"/>
      <c r="S44" s="176"/>
      <c r="T44" s="176"/>
      <c r="U44" s="176"/>
      <c r="V44" s="176"/>
      <c r="W44" s="176"/>
      <c r="X44" s="176"/>
      <c r="Y44" s="175"/>
      <c r="Z44" s="176"/>
      <c r="AA44" s="176"/>
      <c r="AB44" s="176"/>
      <c r="AC44" s="176"/>
      <c r="AD44" s="176"/>
      <c r="AE44" s="176"/>
      <c r="AF44" s="176"/>
    </row>
    <row r="45" spans="2:33" x14ac:dyDescent="0.25">
      <c r="B45" s="177"/>
      <c r="C45" s="177"/>
      <c r="D45" s="177"/>
      <c r="E45" s="175"/>
      <c r="F45" s="176"/>
      <c r="G45" s="176"/>
      <c r="H45" s="176"/>
      <c r="I45" s="176"/>
      <c r="J45" s="176"/>
      <c r="K45" s="176"/>
      <c r="L45" s="176"/>
      <c r="M45" s="176"/>
      <c r="N45" s="176"/>
      <c r="O45" s="176"/>
      <c r="P45" s="176"/>
      <c r="Q45" s="176"/>
      <c r="R45" s="176"/>
      <c r="S45" s="176"/>
      <c r="T45" s="176"/>
      <c r="U45" s="176"/>
      <c r="V45" s="176"/>
      <c r="W45" s="176"/>
      <c r="X45" s="176"/>
      <c r="Y45" s="175"/>
      <c r="Z45" s="176"/>
      <c r="AA45" s="176"/>
      <c r="AB45" s="176"/>
      <c r="AC45" s="176"/>
      <c r="AD45" s="176"/>
      <c r="AE45" s="176"/>
      <c r="AF45" s="176"/>
    </row>
    <row r="46" spans="2:33" x14ac:dyDescent="0.25">
      <c r="B46" s="177"/>
      <c r="C46" s="177"/>
      <c r="D46" s="177"/>
      <c r="E46" s="175"/>
      <c r="F46" s="176"/>
      <c r="G46" s="176"/>
      <c r="H46" s="176"/>
      <c r="I46" s="176"/>
      <c r="J46" s="176"/>
      <c r="K46" s="176"/>
      <c r="L46" s="176"/>
      <c r="M46" s="176"/>
      <c r="N46" s="176"/>
      <c r="O46" s="176"/>
      <c r="P46" s="176"/>
      <c r="Q46" s="176"/>
      <c r="R46" s="176"/>
      <c r="S46" s="176"/>
      <c r="T46" s="176"/>
      <c r="U46" s="176"/>
      <c r="V46" s="176"/>
      <c r="W46" s="176"/>
      <c r="X46" s="176"/>
      <c r="Y46" s="175"/>
      <c r="Z46" s="176"/>
      <c r="AA46" s="176"/>
      <c r="AB46" s="176"/>
      <c r="AC46" s="176"/>
      <c r="AD46" s="176"/>
      <c r="AE46" s="176"/>
      <c r="AF46" s="176"/>
    </row>
    <row r="47" spans="2:33" ht="24.75" customHeight="1" x14ac:dyDescent="0.25">
      <c r="B47" s="32" t="s">
        <v>28</v>
      </c>
      <c r="C47" s="22"/>
      <c r="I47" s="25"/>
    </row>
    <row r="48" spans="2:33" ht="12.75" customHeight="1" x14ac:dyDescent="0.25">
      <c r="B48" s="174" t="s">
        <v>7</v>
      </c>
      <c r="C48" s="174"/>
      <c r="D48" s="174"/>
      <c r="E48" s="174" t="s">
        <v>8</v>
      </c>
      <c r="F48" s="179"/>
      <c r="G48" s="179"/>
      <c r="H48" s="179"/>
      <c r="I48" s="179"/>
      <c r="J48" s="179"/>
      <c r="K48" s="179"/>
      <c r="L48" s="179"/>
      <c r="M48" s="179"/>
      <c r="N48" s="179"/>
      <c r="O48" s="179"/>
      <c r="P48" s="179"/>
      <c r="Q48" s="179"/>
      <c r="R48" s="179"/>
      <c r="S48" s="179"/>
      <c r="T48" s="179"/>
      <c r="U48" s="179"/>
      <c r="V48" s="179"/>
      <c r="W48" s="179"/>
      <c r="X48" s="179"/>
      <c r="Y48" s="174" t="s">
        <v>9</v>
      </c>
      <c r="Z48" s="174"/>
      <c r="AA48" s="174"/>
      <c r="AB48" s="174"/>
      <c r="AC48" s="174"/>
      <c r="AD48" s="174"/>
      <c r="AE48" s="174"/>
      <c r="AF48" s="174"/>
    </row>
    <row r="49" spans="2:32" x14ac:dyDescent="0.25">
      <c r="B49" s="177"/>
      <c r="C49" s="177"/>
      <c r="D49" s="177"/>
      <c r="E49" s="175"/>
      <c r="F49" s="176"/>
      <c r="G49" s="176"/>
      <c r="H49" s="176"/>
      <c r="I49" s="176"/>
      <c r="J49" s="176"/>
      <c r="K49" s="176"/>
      <c r="L49" s="176"/>
      <c r="M49" s="176"/>
      <c r="N49" s="176"/>
      <c r="O49" s="176"/>
      <c r="P49" s="176"/>
      <c r="Q49" s="176"/>
      <c r="R49" s="176"/>
      <c r="S49" s="176"/>
      <c r="T49" s="176"/>
      <c r="U49" s="176"/>
      <c r="V49" s="176"/>
      <c r="W49" s="176"/>
      <c r="X49" s="176"/>
      <c r="Y49" s="175"/>
      <c r="Z49" s="176"/>
      <c r="AA49" s="176"/>
      <c r="AB49" s="176"/>
      <c r="AC49" s="176"/>
      <c r="AD49" s="176"/>
      <c r="AE49" s="176"/>
      <c r="AF49" s="176"/>
    </row>
    <row r="50" spans="2:32" x14ac:dyDescent="0.25">
      <c r="B50" s="177"/>
      <c r="C50" s="177"/>
      <c r="D50" s="177"/>
      <c r="E50" s="175"/>
      <c r="F50" s="176"/>
      <c r="G50" s="176"/>
      <c r="H50" s="176"/>
      <c r="I50" s="176"/>
      <c r="J50" s="176"/>
      <c r="K50" s="176"/>
      <c r="L50" s="176"/>
      <c r="M50" s="176"/>
      <c r="N50" s="176"/>
      <c r="O50" s="176"/>
      <c r="P50" s="176"/>
      <c r="Q50" s="176"/>
      <c r="R50" s="176"/>
      <c r="S50" s="176"/>
      <c r="T50" s="176"/>
      <c r="U50" s="176"/>
      <c r="V50" s="176"/>
      <c r="W50" s="176"/>
      <c r="X50" s="176"/>
      <c r="Y50" s="175"/>
      <c r="Z50" s="176"/>
      <c r="AA50" s="176"/>
      <c r="AB50" s="176"/>
      <c r="AC50" s="176"/>
      <c r="AD50" s="176"/>
      <c r="AE50" s="176"/>
      <c r="AF50" s="176"/>
    </row>
    <row r="51" spans="2:32" x14ac:dyDescent="0.25">
      <c r="B51" s="177"/>
      <c r="C51" s="177"/>
      <c r="D51" s="177"/>
      <c r="E51" s="175"/>
      <c r="F51" s="176"/>
      <c r="G51" s="176"/>
      <c r="H51" s="176"/>
      <c r="I51" s="176"/>
      <c r="J51" s="176"/>
      <c r="K51" s="176"/>
      <c r="L51" s="176"/>
      <c r="M51" s="176"/>
      <c r="N51" s="176"/>
      <c r="O51" s="176"/>
      <c r="P51" s="176"/>
      <c r="Q51" s="176"/>
      <c r="R51" s="176"/>
      <c r="S51" s="176"/>
      <c r="T51" s="176"/>
      <c r="U51" s="176"/>
      <c r="V51" s="176"/>
      <c r="W51" s="176"/>
      <c r="X51" s="176"/>
      <c r="Y51" s="175"/>
      <c r="Z51" s="176"/>
      <c r="AA51" s="176"/>
      <c r="AB51" s="176"/>
      <c r="AC51" s="176"/>
      <c r="AD51" s="176"/>
      <c r="AE51" s="176"/>
      <c r="AF51" s="176"/>
    </row>
    <row r="52" spans="2:32" x14ac:dyDescent="0.25">
      <c r="B52" s="177"/>
      <c r="C52" s="177"/>
      <c r="D52" s="177"/>
      <c r="E52" s="175"/>
      <c r="F52" s="176"/>
      <c r="G52" s="176"/>
      <c r="H52" s="176"/>
      <c r="I52" s="176"/>
      <c r="J52" s="176"/>
      <c r="K52" s="176"/>
      <c r="L52" s="176"/>
      <c r="M52" s="176"/>
      <c r="N52" s="176"/>
      <c r="O52" s="176"/>
      <c r="P52" s="176"/>
      <c r="Q52" s="176"/>
      <c r="R52" s="176"/>
      <c r="S52" s="176"/>
      <c r="T52" s="176"/>
      <c r="U52" s="176"/>
      <c r="V52" s="176"/>
      <c r="W52" s="176"/>
      <c r="X52" s="176"/>
      <c r="Y52" s="175"/>
      <c r="Z52" s="176"/>
      <c r="AA52" s="176"/>
      <c r="AB52" s="176"/>
      <c r="AC52" s="176"/>
      <c r="AD52" s="176"/>
      <c r="AE52" s="176"/>
      <c r="AF52" s="176"/>
    </row>
    <row r="53" spans="2:32" x14ac:dyDescent="0.25">
      <c r="C53" s="24"/>
      <c r="I53" s="25"/>
    </row>
    <row r="54" spans="2:32" ht="20.399999999999999" x14ac:dyDescent="0.25">
      <c r="B54" s="21" t="s">
        <v>30</v>
      </c>
      <c r="C54" s="22"/>
      <c r="I54" s="25"/>
    </row>
    <row r="55" spans="2:32" ht="12.75" customHeight="1" x14ac:dyDescent="0.25">
      <c r="B55" s="174" t="s">
        <v>29</v>
      </c>
      <c r="C55" s="174"/>
      <c r="D55" s="174"/>
      <c r="E55" s="174"/>
      <c r="F55" s="174"/>
      <c r="G55" s="174"/>
      <c r="H55" s="169"/>
      <c r="I55" s="169"/>
      <c r="J55" s="169"/>
      <c r="K55" s="169"/>
      <c r="L55" s="169"/>
      <c r="M55" s="169"/>
      <c r="N55" s="169"/>
      <c r="O55" s="169"/>
      <c r="P55" s="169"/>
      <c r="Q55" s="169"/>
      <c r="R55" s="169"/>
      <c r="S55" s="169"/>
      <c r="T55" s="169"/>
      <c r="U55" s="169"/>
      <c r="V55" s="169"/>
      <c r="W55" s="169"/>
      <c r="X55" s="169"/>
      <c r="Y55" s="169"/>
      <c r="Z55" s="169"/>
      <c r="AA55" s="169"/>
      <c r="AB55" s="169"/>
      <c r="AC55" s="169"/>
      <c r="AD55" s="169"/>
      <c r="AE55" s="169"/>
      <c r="AF55" s="169"/>
    </row>
    <row r="56" spans="2:32" ht="33.75" customHeight="1" x14ac:dyDescent="0.25">
      <c r="B56" s="166" t="s">
        <v>106</v>
      </c>
      <c r="C56" s="167"/>
      <c r="D56" s="167"/>
      <c r="E56" s="167"/>
      <c r="F56" s="167"/>
      <c r="G56" s="168"/>
      <c r="H56" s="173" t="s">
        <v>110</v>
      </c>
      <c r="I56" s="171"/>
      <c r="J56" s="171"/>
      <c r="K56" s="171"/>
      <c r="L56" s="171"/>
      <c r="M56" s="171"/>
      <c r="N56" s="171"/>
      <c r="O56" s="171"/>
      <c r="P56" s="171"/>
      <c r="Q56" s="171"/>
      <c r="R56" s="171"/>
      <c r="S56" s="171"/>
      <c r="T56" s="171"/>
      <c r="U56" s="171"/>
      <c r="V56" s="171"/>
      <c r="W56" s="171"/>
      <c r="X56" s="171"/>
      <c r="Y56" s="171"/>
      <c r="Z56" s="171"/>
      <c r="AA56" s="171"/>
      <c r="AB56" s="171"/>
      <c r="AC56" s="171"/>
      <c r="AD56" s="171"/>
      <c r="AE56" s="171"/>
      <c r="AF56" s="172"/>
    </row>
    <row r="57" spans="2:32" ht="36.75" customHeight="1" x14ac:dyDescent="0.25">
      <c r="B57" s="166" t="s">
        <v>69</v>
      </c>
      <c r="C57" s="167"/>
      <c r="D57" s="167"/>
      <c r="E57" s="167"/>
      <c r="F57" s="167"/>
      <c r="G57" s="168"/>
      <c r="H57" s="170" t="s">
        <v>70</v>
      </c>
      <c r="I57" s="171"/>
      <c r="J57" s="171"/>
      <c r="K57" s="171"/>
      <c r="L57" s="171"/>
      <c r="M57" s="171"/>
      <c r="N57" s="171"/>
      <c r="O57" s="171"/>
      <c r="P57" s="171"/>
      <c r="Q57" s="171"/>
      <c r="R57" s="171"/>
      <c r="S57" s="171"/>
      <c r="T57" s="171"/>
      <c r="U57" s="171"/>
      <c r="V57" s="171"/>
      <c r="W57" s="171"/>
      <c r="X57" s="171"/>
      <c r="Y57" s="171"/>
      <c r="Z57" s="171"/>
      <c r="AA57" s="171"/>
      <c r="AB57" s="171"/>
      <c r="AC57" s="171"/>
      <c r="AD57" s="171"/>
      <c r="AE57" s="171"/>
      <c r="AF57" s="172"/>
    </row>
    <row r="58" spans="2:32" ht="45.75" customHeight="1" x14ac:dyDescent="0.25">
      <c r="B58" s="166" t="s">
        <v>71</v>
      </c>
      <c r="C58" s="167"/>
      <c r="D58" s="167"/>
      <c r="E58" s="167"/>
      <c r="F58" s="167"/>
      <c r="G58" s="168"/>
      <c r="H58" s="170" t="s">
        <v>76</v>
      </c>
      <c r="I58" s="171"/>
      <c r="J58" s="171"/>
      <c r="K58" s="171"/>
      <c r="L58" s="171"/>
      <c r="M58" s="171"/>
      <c r="N58" s="171"/>
      <c r="O58" s="171"/>
      <c r="P58" s="171"/>
      <c r="Q58" s="171"/>
      <c r="R58" s="171"/>
      <c r="S58" s="171"/>
      <c r="T58" s="171"/>
      <c r="U58" s="171"/>
      <c r="V58" s="171"/>
      <c r="W58" s="171"/>
      <c r="X58" s="171"/>
      <c r="Y58" s="171"/>
      <c r="Z58" s="171"/>
      <c r="AA58" s="171"/>
      <c r="AB58" s="171"/>
      <c r="AC58" s="171"/>
      <c r="AD58" s="171"/>
      <c r="AE58" s="171"/>
      <c r="AF58" s="172"/>
    </row>
    <row r="59" spans="2:32" ht="45.75" customHeight="1" x14ac:dyDescent="0.25">
      <c r="B59" s="166" t="s">
        <v>72</v>
      </c>
      <c r="C59" s="167"/>
      <c r="D59" s="167"/>
      <c r="E59" s="167"/>
      <c r="F59" s="167"/>
      <c r="G59" s="168"/>
      <c r="H59" s="170" t="s">
        <v>75</v>
      </c>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2"/>
    </row>
    <row r="60" spans="2:32" ht="37.5" customHeight="1" x14ac:dyDescent="0.25">
      <c r="B60" s="166" t="s">
        <v>73</v>
      </c>
      <c r="C60" s="167"/>
      <c r="D60" s="167"/>
      <c r="E60" s="167"/>
      <c r="F60" s="167"/>
      <c r="G60" s="168"/>
      <c r="H60" s="170" t="s">
        <v>74</v>
      </c>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2"/>
    </row>
    <row r="61" spans="2:32" x14ac:dyDescent="0.25">
      <c r="B61" s="28"/>
      <c r="C61" s="28"/>
      <c r="D61" s="28"/>
      <c r="E61" s="28"/>
      <c r="F61" s="28"/>
      <c r="G61" s="28"/>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row>
    <row r="62" spans="2:32" x14ac:dyDescent="0.25">
      <c r="B62" s="28"/>
      <c r="C62" s="28"/>
      <c r="D62" s="28"/>
      <c r="E62" s="28"/>
      <c r="F62" s="28"/>
      <c r="G62" s="28"/>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row>
    <row r="63" spans="2:32" ht="24.6" x14ac:dyDescent="0.25">
      <c r="B63" s="34" t="s">
        <v>31</v>
      </c>
      <c r="C63" s="35"/>
      <c r="D63" s="35"/>
      <c r="E63" s="35"/>
      <c r="F63" s="35"/>
      <c r="G63" s="35"/>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row>
    <row r="64" spans="2:32" ht="15.75" customHeight="1" x14ac:dyDescent="0.25">
      <c r="B64" s="37"/>
      <c r="C64" s="28"/>
      <c r="D64" s="28"/>
      <c r="E64" s="28"/>
      <c r="F64" s="28"/>
      <c r="G64" s="28"/>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row>
    <row r="65" spans="2:34" x14ac:dyDescent="0.25">
      <c r="B65" s="92" t="s">
        <v>77</v>
      </c>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5">
      <c r="B66" s="92" t="s">
        <v>108</v>
      </c>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5">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5">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5">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5">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5">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x14ac:dyDescent="0.25">
      <c r="B72" s="38"/>
      <c r="C72" s="38"/>
      <c r="D72" s="38"/>
      <c r="E72" s="38"/>
      <c r="F72" s="38"/>
      <c r="G72" s="38"/>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row>
    <row r="73" spans="2:34" x14ac:dyDescent="0.25">
      <c r="B73" s="38"/>
      <c r="C73" s="38"/>
      <c r="D73" s="38"/>
      <c r="E73" s="38"/>
      <c r="F73" s="38"/>
      <c r="G73" s="38"/>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row>
    <row r="74" spans="2:34" x14ac:dyDescent="0.25">
      <c r="B74" s="38"/>
      <c r="C74" s="38"/>
      <c r="D74" s="38"/>
      <c r="E74" s="38"/>
      <c r="F74" s="38"/>
      <c r="G74" s="38"/>
      <c r="H74" s="39"/>
      <c r="I74" s="39"/>
      <c r="J74" s="39"/>
      <c r="K74" s="39"/>
      <c r="L74" s="39"/>
      <c r="M74" s="39"/>
      <c r="N74" s="39"/>
      <c r="O74" s="39"/>
      <c r="P74" s="39"/>
      <c r="Q74" s="39"/>
      <c r="R74" s="39"/>
      <c r="S74" s="39"/>
      <c r="T74" s="39"/>
      <c r="U74" s="39"/>
      <c r="V74" s="39"/>
      <c r="W74" s="39"/>
      <c r="X74" s="39"/>
      <c r="Y74" s="39"/>
      <c r="Z74" s="39"/>
      <c r="AA74" s="39"/>
      <c r="AB74" s="39"/>
      <c r="AC74" s="39"/>
      <c r="AD74" s="39"/>
      <c r="AE74" s="39"/>
      <c r="AF74" s="39"/>
    </row>
    <row r="75" spans="2:34" x14ac:dyDescent="0.25">
      <c r="B75" s="38"/>
      <c r="C75" s="38"/>
      <c r="D75" s="38"/>
      <c r="E75" s="38"/>
      <c r="F75" s="38"/>
      <c r="G75" s="38"/>
      <c r="H75" s="39"/>
      <c r="I75" s="39"/>
      <c r="J75" s="39"/>
      <c r="K75" s="39"/>
      <c r="L75" s="39"/>
      <c r="M75" s="39"/>
      <c r="N75" s="39"/>
      <c r="O75" s="39"/>
      <c r="P75" s="39"/>
      <c r="Q75" s="39"/>
      <c r="R75" s="39"/>
      <c r="S75" s="39"/>
      <c r="T75" s="39"/>
      <c r="U75" s="39"/>
      <c r="V75" s="39"/>
      <c r="W75" s="39"/>
      <c r="X75" s="39"/>
      <c r="Y75" s="39"/>
      <c r="Z75" s="39"/>
      <c r="AA75" s="39"/>
      <c r="AB75" s="39"/>
      <c r="AC75" s="39"/>
      <c r="AD75" s="39"/>
      <c r="AE75" s="39"/>
      <c r="AF75" s="39"/>
    </row>
    <row r="76" spans="2:34" x14ac:dyDescent="0.25">
      <c r="B76" s="38"/>
      <c r="C76" s="38"/>
      <c r="D76" s="38"/>
      <c r="E76" s="38"/>
      <c r="F76" s="38"/>
      <c r="G76" s="38"/>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row>
    <row r="77" spans="2:34" x14ac:dyDescent="0.25">
      <c r="B77" s="38"/>
      <c r="C77" s="38"/>
      <c r="D77" s="38"/>
      <c r="E77" s="38"/>
      <c r="F77" s="38"/>
      <c r="G77" s="38"/>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row>
    <row r="78" spans="2:34" ht="12" customHeight="1" x14ac:dyDescent="0.25"/>
    <row r="79" spans="2:34" ht="12.75" hidden="1" customHeight="1" x14ac:dyDescent="0.25">
      <c r="B79" s="16" t="s">
        <v>78</v>
      </c>
      <c r="F79" s="40"/>
      <c r="G79" s="40"/>
      <c r="H79" s="40"/>
      <c r="I79" s="40"/>
      <c r="J79" s="40"/>
      <c r="K79" s="40"/>
      <c r="L79" s="40"/>
      <c r="M79" s="40"/>
      <c r="N79" s="40"/>
      <c r="O79" s="40"/>
      <c r="P79" s="40"/>
      <c r="Q79" s="40"/>
      <c r="R79" s="40"/>
      <c r="S79" s="40"/>
      <c r="T79" s="40"/>
      <c r="U79" s="40"/>
      <c r="V79" s="40"/>
      <c r="W79" s="40"/>
      <c r="X79" s="40"/>
      <c r="Y79" s="40"/>
      <c r="Z79" s="40"/>
      <c r="AA79" s="40"/>
      <c r="AB79" s="40"/>
      <c r="AC79" s="40"/>
      <c r="AD79" s="40"/>
      <c r="AE79" s="40"/>
      <c r="AF79" s="40"/>
      <c r="AG79" s="40"/>
      <c r="AH79" s="40"/>
    </row>
    <row r="80" spans="2:34" ht="12.75" hidden="1" customHeight="1" x14ac:dyDescent="0.25">
      <c r="B80" s="16" t="s">
        <v>79</v>
      </c>
      <c r="F80" s="40"/>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0"/>
    </row>
    <row r="81" spans="2:34" ht="12.75" hidden="1" customHeight="1" x14ac:dyDescent="0.25">
      <c r="B81" s="16" t="s">
        <v>80</v>
      </c>
      <c r="F81" s="40"/>
      <c r="G81" s="38"/>
      <c r="H81" s="38"/>
      <c r="I81" s="38"/>
      <c r="J81" s="38"/>
      <c r="K81" s="38"/>
      <c r="L81" s="38"/>
      <c r="M81" s="38"/>
      <c r="N81" s="38"/>
      <c r="O81" s="38"/>
      <c r="P81" s="38"/>
      <c r="Q81" s="38"/>
      <c r="R81" s="38"/>
      <c r="S81" s="38"/>
      <c r="T81" s="38"/>
      <c r="U81" s="38"/>
      <c r="V81" s="38"/>
      <c r="W81" s="38"/>
      <c r="X81" s="38"/>
      <c r="Y81" s="38"/>
      <c r="Z81" s="38"/>
      <c r="AA81" s="38"/>
      <c r="AB81" s="38"/>
      <c r="AC81" s="38"/>
      <c r="AD81" s="38"/>
      <c r="AE81" s="38"/>
      <c r="AF81" s="38"/>
      <c r="AG81" s="38"/>
      <c r="AH81" s="40"/>
    </row>
    <row r="82" spans="2:34" ht="12.75" hidden="1" customHeight="1" x14ac:dyDescent="0.25">
      <c r="B82" s="16" t="s">
        <v>81</v>
      </c>
      <c r="F82" s="40"/>
      <c r="G82" s="38"/>
      <c r="H82" s="38"/>
      <c r="I82" s="38"/>
      <c r="J82" s="38"/>
      <c r="K82" s="38"/>
      <c r="L82" s="38"/>
      <c r="M82" s="38"/>
      <c r="N82" s="38"/>
      <c r="O82" s="38"/>
      <c r="P82" s="38"/>
      <c r="Q82" s="38"/>
      <c r="R82" s="38"/>
      <c r="S82" s="38"/>
      <c r="T82" s="38"/>
      <c r="U82" s="38"/>
      <c r="V82" s="38"/>
      <c r="W82" s="38"/>
      <c r="X82" s="38"/>
      <c r="Y82" s="38"/>
      <c r="Z82" s="38"/>
      <c r="AA82" s="38"/>
      <c r="AB82" s="38"/>
      <c r="AC82" s="38"/>
      <c r="AD82" s="38"/>
      <c r="AE82" s="38"/>
      <c r="AF82" s="38"/>
      <c r="AG82" s="38"/>
      <c r="AH82" s="40"/>
    </row>
    <row r="83" spans="2:34" ht="12.75" hidden="1" customHeight="1" x14ac:dyDescent="0.25">
      <c r="B83" s="16" t="s">
        <v>82</v>
      </c>
      <c r="F83" s="42"/>
      <c r="G83" s="42"/>
      <c r="H83" s="42"/>
      <c r="I83" s="42"/>
      <c r="J83" s="40"/>
      <c r="K83" s="40"/>
      <c r="L83" s="40"/>
      <c r="M83" s="40"/>
      <c r="N83" s="40"/>
      <c r="O83" s="40"/>
      <c r="P83" s="40"/>
      <c r="Q83" s="40"/>
      <c r="R83" s="40"/>
      <c r="S83" s="42"/>
      <c r="T83" s="42"/>
      <c r="U83" s="42"/>
      <c r="V83" s="42"/>
      <c r="W83" s="42"/>
      <c r="X83" s="42"/>
      <c r="Y83" s="42"/>
      <c r="Z83" s="42"/>
      <c r="AA83" s="42"/>
      <c r="AB83" s="42"/>
      <c r="AC83" s="42"/>
      <c r="AD83" s="42"/>
      <c r="AE83" s="42"/>
      <c r="AF83" s="42"/>
      <c r="AG83" s="42"/>
      <c r="AH83" s="40"/>
    </row>
    <row r="84" spans="2:34" ht="12.75" hidden="1" customHeight="1" x14ac:dyDescent="0.25">
      <c r="B84" s="16" t="s">
        <v>83</v>
      </c>
      <c r="F84" s="42"/>
      <c r="G84" s="42"/>
      <c r="H84" s="42"/>
      <c r="I84" s="42"/>
      <c r="J84" s="40"/>
      <c r="K84" s="40"/>
      <c r="L84" s="40"/>
      <c r="M84" s="40"/>
      <c r="N84" s="40"/>
      <c r="O84" s="40"/>
      <c r="P84" s="40"/>
      <c r="Q84" s="40"/>
      <c r="R84" s="40"/>
      <c r="S84" s="42"/>
      <c r="T84" s="42"/>
      <c r="U84" s="42"/>
      <c r="V84" s="42"/>
      <c r="W84" s="42"/>
      <c r="X84" s="42"/>
      <c r="Y84" s="42"/>
      <c r="Z84" s="42"/>
      <c r="AA84" s="42"/>
      <c r="AB84" s="42"/>
      <c r="AC84" s="42"/>
      <c r="AD84" s="42"/>
      <c r="AE84" s="42"/>
      <c r="AF84" s="42"/>
      <c r="AG84" s="42"/>
      <c r="AH84" s="40"/>
    </row>
    <row r="85" spans="2:34" ht="12.75" hidden="1" customHeight="1" x14ac:dyDescent="0.25">
      <c r="B85" s="16" t="s">
        <v>84</v>
      </c>
      <c r="F85" s="43"/>
      <c r="G85" s="43"/>
      <c r="H85" s="43"/>
      <c r="I85" s="43"/>
      <c r="J85" s="43"/>
      <c r="K85" s="43"/>
      <c r="R85" s="43"/>
      <c r="S85" s="42"/>
      <c r="T85" s="42"/>
      <c r="U85" s="42"/>
      <c r="V85" s="42"/>
      <c r="W85" s="42"/>
      <c r="X85" s="42"/>
      <c r="Y85" s="42"/>
      <c r="Z85" s="42"/>
      <c r="AA85" s="42"/>
      <c r="AB85" s="42"/>
      <c r="AC85" s="42"/>
      <c r="AD85" s="42"/>
      <c r="AE85" s="42"/>
      <c r="AF85" s="42"/>
      <c r="AG85" s="42"/>
      <c r="AH85" s="43"/>
    </row>
    <row r="86" spans="2:34" ht="12.75" hidden="1" customHeight="1" x14ac:dyDescent="0.25">
      <c r="B86" s="16" t="s">
        <v>85</v>
      </c>
      <c r="R86" s="43"/>
      <c r="S86" s="43"/>
      <c r="T86" s="43"/>
      <c r="U86" s="43"/>
      <c r="V86" s="43"/>
      <c r="W86" s="43"/>
      <c r="X86" s="43"/>
      <c r="Y86" s="43"/>
      <c r="Z86" s="43"/>
      <c r="AA86" s="43"/>
      <c r="AB86" s="43"/>
      <c r="AC86" s="43"/>
      <c r="AD86" s="43"/>
      <c r="AE86" s="43"/>
      <c r="AF86" s="43"/>
      <c r="AG86" s="43"/>
      <c r="AH86" s="43"/>
    </row>
    <row r="87" spans="2:34" ht="12.75" hidden="1" customHeight="1" x14ac:dyDescent="0.25">
      <c r="B87" s="16" t="s">
        <v>86</v>
      </c>
      <c r="R87" s="43"/>
      <c r="S87" s="43"/>
      <c r="T87" s="43"/>
      <c r="U87" s="43"/>
      <c r="V87" s="43"/>
      <c r="W87" s="43"/>
      <c r="X87" s="43"/>
      <c r="Y87" s="43"/>
      <c r="Z87" s="43"/>
      <c r="AA87" s="43"/>
      <c r="AB87" s="43"/>
      <c r="AC87" s="43"/>
      <c r="AD87" s="43"/>
      <c r="AE87" s="43"/>
      <c r="AF87" s="43"/>
      <c r="AG87" s="43"/>
      <c r="AH87" s="43"/>
    </row>
    <row r="88" spans="2:34" ht="12.75" hidden="1" customHeight="1" x14ac:dyDescent="0.25">
      <c r="B88" s="16" t="s">
        <v>87</v>
      </c>
    </row>
    <row r="89" spans="2:34" ht="12.75" hidden="1" customHeight="1" x14ac:dyDescent="0.25">
      <c r="B89" s="16" t="s">
        <v>88</v>
      </c>
    </row>
    <row r="90" spans="2:34" ht="12.75" hidden="1" customHeight="1" x14ac:dyDescent="0.25">
      <c r="B90" s="16" t="s">
        <v>89</v>
      </c>
    </row>
    <row r="91" spans="2:34" ht="12.75" hidden="1" customHeight="1" x14ac:dyDescent="0.25">
      <c r="B91" s="16" t="s">
        <v>90</v>
      </c>
    </row>
    <row r="92" spans="2:34" ht="12.75" hidden="1" customHeight="1" x14ac:dyDescent="0.25">
      <c r="B92" s="16" t="s">
        <v>91</v>
      </c>
    </row>
    <row r="93" spans="2:34" ht="12.75" hidden="1" customHeight="1" x14ac:dyDescent="0.25">
      <c r="B93" s="16" t="s">
        <v>92</v>
      </c>
    </row>
    <row r="94" spans="2:34" ht="12.75" hidden="1" customHeight="1" x14ac:dyDescent="0.25">
      <c r="B94" s="16" t="s">
        <v>93</v>
      </c>
    </row>
    <row r="95" spans="2:34" ht="12.75" hidden="1" customHeight="1" x14ac:dyDescent="0.25">
      <c r="B95" s="16" t="s">
        <v>94</v>
      </c>
    </row>
    <row r="96" spans="2:34" ht="12.75" hidden="1" customHeight="1" x14ac:dyDescent="0.25">
      <c r="B96" s="16" t="s">
        <v>95</v>
      </c>
    </row>
    <row r="97" spans="2:2" ht="12.75" hidden="1" customHeight="1" x14ac:dyDescent="0.25">
      <c r="B97" s="16" t="s">
        <v>96</v>
      </c>
    </row>
    <row r="98" spans="2:2" ht="12.75" hidden="1" customHeight="1" x14ac:dyDescent="0.25">
      <c r="B98" s="16" t="s">
        <v>97</v>
      </c>
    </row>
    <row r="99" spans="2:2" ht="12.75" hidden="1" customHeight="1" x14ac:dyDescent="0.25">
      <c r="B99" s="16" t="s">
        <v>98</v>
      </c>
    </row>
    <row r="100" spans="2:2" ht="12.75" hidden="1" customHeight="1" x14ac:dyDescent="0.25">
      <c r="B100" s="16" t="s">
        <v>99</v>
      </c>
    </row>
    <row r="101" spans="2:2" ht="12.75" hidden="1" customHeight="1" x14ac:dyDescent="0.25">
      <c r="B101" s="16" t="s">
        <v>100</v>
      </c>
    </row>
    <row r="102" spans="2:2" ht="12.75" hidden="1" customHeight="1" x14ac:dyDescent="0.25">
      <c r="B102" s="16" t="s">
        <v>101</v>
      </c>
    </row>
    <row r="103" spans="2:2" ht="12.75" hidden="1" customHeight="1" x14ac:dyDescent="0.25">
      <c r="B103" s="16" t="s">
        <v>102</v>
      </c>
    </row>
    <row r="104" spans="2:2" ht="12.75" hidden="1" customHeight="1" x14ac:dyDescent="0.25">
      <c r="B104" s="16" t="s">
        <v>103</v>
      </c>
    </row>
    <row r="105" spans="2:2" ht="12.75" hidden="1" customHeight="1" x14ac:dyDescent="0.25">
      <c r="B105" s="16" t="s">
        <v>104</v>
      </c>
    </row>
    <row r="106" spans="2:2" ht="12.75" hidden="1" customHeight="1" x14ac:dyDescent="0.25">
      <c r="B106" s="16" t="s">
        <v>105</v>
      </c>
    </row>
    <row r="161" x14ac:dyDescent="0.25"/>
    <row r="162" x14ac:dyDescent="0.25"/>
    <row r="163" x14ac:dyDescent="0.25"/>
    <row r="164" x14ac:dyDescent="0.25"/>
    <row r="165" x14ac:dyDescent="0.25"/>
    <row r="166" x14ac:dyDescent="0.25"/>
    <row r="177" x14ac:dyDescent="0.25"/>
    <row r="178" x14ac:dyDescent="0.25"/>
    <row r="179" x14ac:dyDescent="0.25"/>
  </sheetData>
  <sheetProtection formatCells="0" formatRows="0" insertColumns="0" insertRows="0" insertHyperlinks="0" deleteRows="0" selectLockedCells="1" sort="0" autoFilter="0" pivotTables="0"/>
  <mergeCells count="119">
    <mergeCell ref="E49:X49"/>
    <mergeCell ref="AB4:AG4"/>
    <mergeCell ref="AB5:AG5"/>
    <mergeCell ref="AE6:AG6"/>
    <mergeCell ref="AE7:AG7"/>
    <mergeCell ref="A8:AG8"/>
    <mergeCell ref="AB6:AD6"/>
    <mergeCell ref="AB7:AD7"/>
    <mergeCell ref="E6:V6"/>
    <mergeCell ref="B15:F15"/>
    <mergeCell ref="B24:D24"/>
    <mergeCell ref="B18:F18"/>
    <mergeCell ref="G18:AF18"/>
    <mergeCell ref="W7:AA7"/>
    <mergeCell ref="G15:AF15"/>
    <mergeCell ref="G16:AF16"/>
    <mergeCell ref="G21:AF21"/>
    <mergeCell ref="B21:F21"/>
    <mergeCell ref="G17:AF17"/>
    <mergeCell ref="A9:AG9"/>
    <mergeCell ref="B17:F17"/>
    <mergeCell ref="B16:F16"/>
    <mergeCell ref="B20:F20"/>
    <mergeCell ref="G20:AF20"/>
    <mergeCell ref="B19:F19"/>
    <mergeCell ref="G19:AF19"/>
    <mergeCell ref="I34:Q34"/>
    <mergeCell ref="B26:D26"/>
    <mergeCell ref="I26:Q26"/>
    <mergeCell ref="B46:D46"/>
    <mergeCell ref="E46:X46"/>
    <mergeCell ref="B29:D29"/>
    <mergeCell ref="E29:H29"/>
    <mergeCell ref="I29:Q29"/>
    <mergeCell ref="R29:AF29"/>
    <mergeCell ref="B28:D28"/>
    <mergeCell ref="E28:H28"/>
    <mergeCell ref="I28:Q28"/>
    <mergeCell ref="R28:AF28"/>
    <mergeCell ref="B30:D30"/>
    <mergeCell ref="E30:H30"/>
    <mergeCell ref="I30:Q30"/>
    <mergeCell ref="I25:Q25"/>
    <mergeCell ref="B43:D43"/>
    <mergeCell ref="I24:Q24"/>
    <mergeCell ref="R24:AF24"/>
    <mergeCell ref="E27:H27"/>
    <mergeCell ref="I27:Q27"/>
    <mergeCell ref="R27:AF27"/>
    <mergeCell ref="R25:AF25"/>
    <mergeCell ref="R26:AF26"/>
    <mergeCell ref="B38:AF38"/>
    <mergeCell ref="E24:H24"/>
    <mergeCell ref="E25:H25"/>
    <mergeCell ref="E26:H26"/>
    <mergeCell ref="E34:H34"/>
    <mergeCell ref="B27:D27"/>
    <mergeCell ref="B25:D25"/>
    <mergeCell ref="R30:AF30"/>
    <mergeCell ref="B31:D31"/>
    <mergeCell ref="E31:H31"/>
    <mergeCell ref="I31:Q31"/>
    <mergeCell ref="R31:AF31"/>
    <mergeCell ref="B32:D32"/>
    <mergeCell ref="E32:H32"/>
    <mergeCell ref="I32:Q32"/>
    <mergeCell ref="R32:AF32"/>
    <mergeCell ref="B33:D33"/>
    <mergeCell ref="E33:H33"/>
    <mergeCell ref="I33:Q33"/>
    <mergeCell ref="R33:AF33"/>
    <mergeCell ref="B49:D49"/>
    <mergeCell ref="B51:D51"/>
    <mergeCell ref="Y50:AF50"/>
    <mergeCell ref="E50:X50"/>
    <mergeCell ref="E52:X52"/>
    <mergeCell ref="Y49:AF49"/>
    <mergeCell ref="E51:X51"/>
    <mergeCell ref="Y48:AF48"/>
    <mergeCell ref="R34:AF34"/>
    <mergeCell ref="Y42:AF42"/>
    <mergeCell ref="B42:D42"/>
    <mergeCell ref="E42:X42"/>
    <mergeCell ref="E45:X45"/>
    <mergeCell ref="E44:X44"/>
    <mergeCell ref="E43:X43"/>
    <mergeCell ref="B44:D44"/>
    <mergeCell ref="Y43:AF43"/>
    <mergeCell ref="Y44:AF44"/>
    <mergeCell ref="Y46:AF46"/>
    <mergeCell ref="B48:D48"/>
    <mergeCell ref="Y45:AF45"/>
    <mergeCell ref="B45:D45"/>
    <mergeCell ref="B34:D34"/>
    <mergeCell ref="E48:X48"/>
    <mergeCell ref="E7:V7"/>
    <mergeCell ref="A4:V4"/>
    <mergeCell ref="A5:V5"/>
    <mergeCell ref="W4:AA4"/>
    <mergeCell ref="W5:AA5"/>
    <mergeCell ref="A6:D6"/>
    <mergeCell ref="A7:D7"/>
    <mergeCell ref="W6:AA6"/>
    <mergeCell ref="B60:G60"/>
    <mergeCell ref="H55:AF55"/>
    <mergeCell ref="H60:AF60"/>
    <mergeCell ref="B58:G58"/>
    <mergeCell ref="H58:AF58"/>
    <mergeCell ref="B57:G57"/>
    <mergeCell ref="H57:AF57"/>
    <mergeCell ref="H59:AF59"/>
    <mergeCell ref="B59:G59"/>
    <mergeCell ref="B56:G56"/>
    <mergeCell ref="H56:AF56"/>
    <mergeCell ref="B55:G55"/>
    <mergeCell ref="Y51:AF51"/>
    <mergeCell ref="Y52:AF52"/>
    <mergeCell ref="B50:D50"/>
    <mergeCell ref="B52:D52"/>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2&amp;R&amp;P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heetViews>
  <sheetFormatPr defaultColWidth="0" defaultRowHeight="12.75" customHeight="1" zeroHeight="1" x14ac:dyDescent="0.25"/>
  <cols>
    <col min="1" max="33" width="2.6640625" style="16" customWidth="1"/>
    <col min="34" max="34" width="1.33203125" style="16" customWidth="1"/>
    <col min="35" max="60" width="3.33203125" style="16" hidden="1" customWidth="1"/>
    <col min="61" max="16384" width="0" style="16" hidden="1"/>
  </cols>
  <sheetData>
    <row r="1" spans="2:34" ht="13.2" x14ac:dyDescent="0.25">
      <c r="B1" s="192" t="s">
        <v>120</v>
      </c>
      <c r="C1" s="192"/>
      <c r="D1" s="192"/>
      <c r="E1" s="192"/>
      <c r="F1" s="192"/>
      <c r="G1" s="192"/>
      <c r="H1" s="192"/>
      <c r="I1" s="192"/>
      <c r="J1" s="192"/>
      <c r="K1" s="192"/>
      <c r="L1" s="192"/>
      <c r="M1" s="192"/>
      <c r="N1" s="192"/>
      <c r="O1" s="192"/>
      <c r="P1" s="192"/>
      <c r="Q1" s="192"/>
      <c r="R1" s="192"/>
      <c r="S1" s="192"/>
      <c r="T1" s="192"/>
      <c r="U1" s="192"/>
      <c r="V1" s="192"/>
      <c r="W1" s="192"/>
      <c r="X1" s="192"/>
      <c r="Y1" s="192"/>
      <c r="Z1" s="192"/>
      <c r="AA1" s="192"/>
      <c r="AB1" s="192"/>
      <c r="AC1" s="192"/>
      <c r="AD1" s="192"/>
      <c r="AE1" s="192"/>
      <c r="AF1" s="192"/>
      <c r="AG1" s="192"/>
    </row>
    <row r="2" spans="2:34" ht="20.25" customHeight="1" x14ac:dyDescent="0.25">
      <c r="B2" s="192"/>
      <c r="C2" s="192"/>
      <c r="D2" s="192"/>
      <c r="E2" s="192"/>
      <c r="F2" s="192"/>
      <c r="G2" s="192"/>
      <c r="H2" s="192"/>
      <c r="I2" s="192"/>
      <c r="J2" s="192"/>
      <c r="K2" s="192"/>
      <c r="L2" s="192"/>
      <c r="M2" s="192"/>
      <c r="N2" s="192"/>
      <c r="O2" s="192"/>
      <c r="P2" s="192"/>
      <c r="Q2" s="192"/>
      <c r="R2" s="192"/>
      <c r="S2" s="192"/>
      <c r="T2" s="192"/>
      <c r="U2" s="192"/>
      <c r="V2" s="192"/>
      <c r="W2" s="192"/>
      <c r="X2" s="192"/>
      <c r="Y2" s="192"/>
      <c r="Z2" s="192"/>
      <c r="AA2" s="192"/>
      <c r="AB2" s="192"/>
      <c r="AC2" s="192"/>
      <c r="AD2" s="192"/>
      <c r="AE2" s="192"/>
      <c r="AF2" s="192"/>
      <c r="AG2" s="192"/>
    </row>
    <row r="3" spans="2:34" ht="13.2" x14ac:dyDescent="0.25">
      <c r="B3" s="192"/>
      <c r="C3" s="192"/>
      <c r="D3" s="192"/>
      <c r="E3" s="192"/>
      <c r="F3" s="192"/>
      <c r="G3" s="192"/>
      <c r="H3" s="192"/>
      <c r="I3" s="192"/>
      <c r="J3" s="192"/>
      <c r="K3" s="192"/>
      <c r="L3" s="192"/>
      <c r="M3" s="192"/>
      <c r="N3" s="192"/>
      <c r="O3" s="192"/>
      <c r="P3" s="192"/>
      <c r="Q3" s="192"/>
      <c r="R3" s="192"/>
      <c r="S3" s="192"/>
      <c r="T3" s="192"/>
      <c r="U3" s="192"/>
      <c r="V3" s="192"/>
      <c r="W3" s="192"/>
      <c r="X3" s="192"/>
      <c r="Y3" s="192"/>
      <c r="Z3" s="192"/>
      <c r="AA3" s="192"/>
      <c r="AB3" s="192"/>
      <c r="AC3" s="192"/>
      <c r="AD3" s="192"/>
      <c r="AE3" s="192"/>
      <c r="AF3" s="192"/>
      <c r="AG3" s="192"/>
    </row>
    <row r="4" spans="2:34" ht="13.2" x14ac:dyDescent="0.25">
      <c r="B4" s="192"/>
      <c r="C4" s="192"/>
      <c r="D4" s="192"/>
      <c r="E4" s="192"/>
      <c r="F4" s="192"/>
      <c r="G4" s="192"/>
      <c r="H4" s="192"/>
      <c r="I4" s="192"/>
      <c r="J4" s="192"/>
      <c r="K4" s="192"/>
      <c r="L4" s="192"/>
      <c r="M4" s="192"/>
      <c r="N4" s="192"/>
      <c r="O4" s="192"/>
      <c r="P4" s="192"/>
      <c r="Q4" s="192"/>
      <c r="R4" s="192"/>
      <c r="S4" s="192"/>
      <c r="T4" s="192"/>
      <c r="U4" s="192"/>
      <c r="V4" s="192"/>
      <c r="W4" s="192"/>
      <c r="X4" s="192"/>
      <c r="Y4" s="192"/>
      <c r="Z4" s="192"/>
      <c r="AA4" s="192"/>
      <c r="AB4" s="192"/>
      <c r="AC4" s="192"/>
      <c r="AD4" s="192"/>
      <c r="AE4" s="192"/>
      <c r="AF4" s="192"/>
      <c r="AG4" s="192"/>
    </row>
    <row r="5" spans="2:34" ht="13.2" x14ac:dyDescent="0.25">
      <c r="B5" s="192"/>
      <c r="C5" s="192"/>
      <c r="D5" s="192"/>
      <c r="E5" s="192"/>
      <c r="F5" s="192"/>
      <c r="G5" s="192"/>
      <c r="H5" s="192"/>
      <c r="I5" s="192"/>
      <c r="J5" s="192"/>
      <c r="K5" s="192"/>
      <c r="L5" s="192"/>
      <c r="M5" s="192"/>
      <c r="N5" s="192"/>
      <c r="O5" s="192"/>
      <c r="P5" s="192"/>
      <c r="Q5" s="192"/>
      <c r="R5" s="192"/>
      <c r="S5" s="192"/>
      <c r="T5" s="192"/>
      <c r="U5" s="192"/>
      <c r="V5" s="192"/>
      <c r="W5" s="192"/>
      <c r="X5" s="192"/>
      <c r="Y5" s="192"/>
      <c r="Z5" s="192"/>
      <c r="AA5" s="192"/>
      <c r="AB5" s="192"/>
      <c r="AC5" s="192"/>
      <c r="AD5" s="192"/>
      <c r="AE5" s="192"/>
      <c r="AF5" s="192"/>
      <c r="AG5" s="192"/>
    </row>
    <row r="6" spans="2:34" ht="13.2" x14ac:dyDescent="0.25">
      <c r="B6" s="192"/>
      <c r="C6" s="192"/>
      <c r="D6" s="192"/>
      <c r="E6" s="192"/>
      <c r="F6" s="192"/>
      <c r="G6" s="192"/>
      <c r="H6" s="192"/>
      <c r="I6" s="192"/>
      <c r="J6" s="192"/>
      <c r="K6" s="192"/>
      <c r="L6" s="192"/>
      <c r="M6" s="192"/>
      <c r="N6" s="192"/>
      <c r="O6" s="192"/>
      <c r="P6" s="192"/>
      <c r="Q6" s="192"/>
      <c r="R6" s="192"/>
      <c r="S6" s="192"/>
      <c r="T6" s="192"/>
      <c r="U6" s="192"/>
      <c r="V6" s="192"/>
      <c r="W6" s="192"/>
      <c r="X6" s="192"/>
      <c r="Y6" s="192"/>
      <c r="Z6" s="192"/>
      <c r="AA6" s="192"/>
      <c r="AB6" s="192"/>
      <c r="AC6" s="192"/>
      <c r="AD6" s="192"/>
      <c r="AE6" s="192"/>
      <c r="AF6" s="192"/>
      <c r="AG6" s="192"/>
    </row>
    <row r="7" spans="2:34" ht="13.2" x14ac:dyDescent="0.25">
      <c r="B7" s="192"/>
      <c r="C7" s="192"/>
      <c r="D7" s="192"/>
      <c r="E7" s="192"/>
      <c r="F7" s="192"/>
      <c r="G7" s="192"/>
      <c r="H7" s="192"/>
      <c r="I7" s="192"/>
      <c r="J7" s="192"/>
      <c r="K7" s="192"/>
      <c r="L7" s="192"/>
      <c r="M7" s="192"/>
      <c r="N7" s="192"/>
      <c r="O7" s="192"/>
      <c r="P7" s="192"/>
      <c r="Q7" s="192"/>
      <c r="R7" s="192"/>
      <c r="S7" s="192"/>
      <c r="T7" s="192"/>
      <c r="U7" s="192"/>
      <c r="V7" s="192"/>
      <c r="W7" s="192"/>
      <c r="X7" s="192"/>
      <c r="Y7" s="192"/>
      <c r="Z7" s="192"/>
      <c r="AA7" s="192"/>
      <c r="AB7" s="192"/>
      <c r="AC7" s="192"/>
      <c r="AD7" s="192"/>
      <c r="AE7" s="192"/>
      <c r="AF7" s="192"/>
      <c r="AG7" s="192"/>
    </row>
    <row r="8" spans="2:34" ht="13.2" x14ac:dyDescent="0.25">
      <c r="B8" s="192"/>
      <c r="C8" s="192"/>
      <c r="D8" s="192"/>
      <c r="E8" s="192"/>
      <c r="F8" s="192"/>
      <c r="G8" s="192"/>
      <c r="H8" s="192"/>
      <c r="I8" s="192"/>
      <c r="J8" s="192"/>
      <c r="K8" s="192"/>
      <c r="L8" s="192"/>
      <c r="M8" s="192"/>
      <c r="N8" s="192"/>
      <c r="O8" s="192"/>
      <c r="P8" s="192"/>
      <c r="Q8" s="192"/>
      <c r="R8" s="192"/>
      <c r="S8" s="192"/>
      <c r="T8" s="192"/>
      <c r="U8" s="192"/>
      <c r="V8" s="192"/>
      <c r="W8" s="192"/>
      <c r="X8" s="192"/>
      <c r="Y8" s="192"/>
      <c r="Z8" s="192"/>
      <c r="AA8" s="192"/>
      <c r="AB8" s="192"/>
      <c r="AC8" s="192"/>
      <c r="AD8" s="192"/>
      <c r="AE8" s="192"/>
      <c r="AF8" s="192"/>
      <c r="AG8" s="192"/>
    </row>
    <row r="9" spans="2:34" ht="13.2" x14ac:dyDescent="0.25">
      <c r="B9" s="192"/>
      <c r="C9" s="192"/>
      <c r="D9" s="192"/>
      <c r="E9" s="192"/>
      <c r="F9" s="192"/>
      <c r="G9" s="192"/>
      <c r="H9" s="192"/>
      <c r="I9" s="192"/>
      <c r="J9" s="192"/>
      <c r="K9" s="192"/>
      <c r="L9" s="192"/>
      <c r="M9" s="192"/>
      <c r="N9" s="192"/>
      <c r="O9" s="192"/>
      <c r="P9" s="192"/>
      <c r="Q9" s="192"/>
      <c r="R9" s="192"/>
      <c r="S9" s="192"/>
      <c r="T9" s="192"/>
      <c r="U9" s="192"/>
      <c r="V9" s="192"/>
      <c r="W9" s="192"/>
      <c r="X9" s="192"/>
      <c r="Y9" s="192"/>
      <c r="Z9" s="192"/>
      <c r="AA9" s="192"/>
      <c r="AB9" s="192"/>
      <c r="AC9" s="192"/>
      <c r="AD9" s="192"/>
      <c r="AE9" s="192"/>
      <c r="AF9" s="192"/>
      <c r="AG9" s="192"/>
    </row>
    <row r="10" spans="2:34" ht="13.2" x14ac:dyDescent="0.25">
      <c r="B10" s="192"/>
      <c r="C10" s="192"/>
      <c r="D10" s="192"/>
      <c r="E10" s="192"/>
      <c r="F10" s="192"/>
      <c r="G10" s="192"/>
      <c r="H10" s="192"/>
      <c r="I10" s="192"/>
      <c r="J10" s="192"/>
      <c r="K10" s="192"/>
      <c r="L10" s="192"/>
      <c r="M10" s="192"/>
      <c r="N10" s="192"/>
      <c r="O10" s="192"/>
      <c r="P10" s="192"/>
      <c r="Q10" s="192"/>
      <c r="R10" s="192"/>
      <c r="S10" s="192"/>
      <c r="T10" s="192"/>
      <c r="U10" s="192"/>
      <c r="V10" s="192"/>
      <c r="W10" s="192"/>
      <c r="X10" s="192"/>
      <c r="Y10" s="192"/>
      <c r="Z10" s="192"/>
      <c r="AA10" s="192"/>
      <c r="AB10" s="192"/>
      <c r="AC10" s="192"/>
      <c r="AD10" s="192"/>
      <c r="AE10" s="192"/>
      <c r="AF10" s="192"/>
      <c r="AG10" s="192"/>
    </row>
    <row r="11" spans="2:34" ht="13.2" x14ac:dyDescent="0.25">
      <c r="B11" s="192"/>
      <c r="C11" s="192"/>
      <c r="D11" s="192"/>
      <c r="E11" s="192"/>
      <c r="F11" s="192"/>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row>
    <row r="12" spans="2:34" ht="13.2" x14ac:dyDescent="0.25">
      <c r="B12" s="192"/>
      <c r="C12" s="192"/>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row>
    <row r="13" spans="2:34" ht="13.2" x14ac:dyDescent="0.25">
      <c r="B13" s="192"/>
      <c r="C13" s="192"/>
      <c r="D13" s="192"/>
      <c r="E13" s="192"/>
      <c r="F13" s="192"/>
      <c r="G13" s="192"/>
      <c r="H13" s="192"/>
      <c r="I13" s="192"/>
      <c r="J13" s="192"/>
      <c r="K13" s="192"/>
      <c r="L13" s="192"/>
      <c r="M13" s="192"/>
      <c r="N13" s="192"/>
      <c r="O13" s="192"/>
      <c r="P13" s="192"/>
      <c r="Q13" s="192"/>
      <c r="R13" s="192"/>
      <c r="S13" s="192"/>
      <c r="T13" s="192"/>
      <c r="U13" s="192"/>
      <c r="V13" s="192"/>
      <c r="W13" s="192"/>
      <c r="X13" s="192"/>
      <c r="Y13" s="192"/>
      <c r="Z13" s="192"/>
      <c r="AA13" s="192"/>
      <c r="AB13" s="192"/>
      <c r="AC13" s="192"/>
      <c r="AD13" s="192"/>
      <c r="AE13" s="192"/>
      <c r="AF13" s="192"/>
      <c r="AG13" s="192"/>
    </row>
    <row r="14" spans="2:34" ht="13.2" x14ac:dyDescent="0.25">
      <c r="B14" s="192"/>
      <c r="C14" s="192"/>
      <c r="D14" s="192"/>
      <c r="E14" s="192"/>
      <c r="F14" s="192"/>
      <c r="G14" s="192"/>
      <c r="H14" s="192"/>
      <c r="I14" s="192"/>
      <c r="J14" s="192"/>
      <c r="K14" s="192"/>
      <c r="L14" s="192"/>
      <c r="M14" s="192"/>
      <c r="N14" s="192"/>
      <c r="O14" s="192"/>
      <c r="P14" s="192"/>
      <c r="Q14" s="192"/>
      <c r="R14" s="192"/>
      <c r="S14" s="192"/>
      <c r="T14" s="192"/>
      <c r="U14" s="192"/>
      <c r="V14" s="192"/>
      <c r="W14" s="192"/>
      <c r="X14" s="192"/>
      <c r="Y14" s="192"/>
      <c r="Z14" s="192"/>
      <c r="AA14" s="192"/>
      <c r="AB14" s="192"/>
      <c r="AC14" s="192"/>
      <c r="AD14" s="192"/>
      <c r="AE14" s="192"/>
      <c r="AF14" s="192"/>
      <c r="AG14" s="192"/>
      <c r="AH14" s="40"/>
    </row>
    <row r="15" spans="2:34" ht="13.2" x14ac:dyDescent="0.25">
      <c r="B15" s="192"/>
      <c r="C15" s="192"/>
      <c r="D15" s="192"/>
      <c r="E15" s="192"/>
      <c r="F15" s="192"/>
      <c r="G15" s="192"/>
      <c r="H15" s="192"/>
      <c r="I15" s="192"/>
      <c r="J15" s="192"/>
      <c r="K15" s="192"/>
      <c r="L15" s="192"/>
      <c r="M15" s="192"/>
      <c r="N15" s="192"/>
      <c r="O15" s="192"/>
      <c r="P15" s="192"/>
      <c r="Q15" s="192"/>
      <c r="R15" s="192"/>
      <c r="S15" s="192"/>
      <c r="T15" s="192"/>
      <c r="U15" s="192"/>
      <c r="V15" s="192"/>
      <c r="W15" s="192"/>
      <c r="X15" s="192"/>
      <c r="Y15" s="192"/>
      <c r="Z15" s="192"/>
      <c r="AA15" s="192"/>
      <c r="AB15" s="192"/>
      <c r="AC15" s="192"/>
      <c r="AD15" s="192"/>
      <c r="AE15" s="192"/>
      <c r="AF15" s="192"/>
      <c r="AG15" s="192"/>
      <c r="AH15" s="40"/>
    </row>
    <row r="16" spans="2:34" ht="13.2" x14ac:dyDescent="0.25">
      <c r="B16" s="192"/>
      <c r="C16" s="192"/>
      <c r="D16" s="192"/>
      <c r="E16" s="192"/>
      <c r="F16" s="192"/>
      <c r="G16" s="192"/>
      <c r="H16" s="192"/>
      <c r="I16" s="192"/>
      <c r="J16" s="192"/>
      <c r="K16" s="192"/>
      <c r="L16" s="192"/>
      <c r="M16" s="192"/>
      <c r="N16" s="192"/>
      <c r="O16" s="192"/>
      <c r="P16" s="192"/>
      <c r="Q16" s="192"/>
      <c r="R16" s="192"/>
      <c r="S16" s="192"/>
      <c r="T16" s="192"/>
      <c r="U16" s="192"/>
      <c r="V16" s="192"/>
      <c r="W16" s="192"/>
      <c r="X16" s="192"/>
      <c r="Y16" s="192"/>
      <c r="Z16" s="192"/>
      <c r="AA16" s="192"/>
      <c r="AB16" s="192"/>
      <c r="AC16" s="192"/>
      <c r="AD16" s="192"/>
      <c r="AE16" s="192"/>
      <c r="AF16" s="192"/>
      <c r="AG16" s="192"/>
      <c r="AH16" s="40"/>
    </row>
    <row r="17" spans="2:34" ht="13.2" x14ac:dyDescent="0.25">
      <c r="B17" s="192"/>
      <c r="C17" s="192"/>
      <c r="D17" s="192"/>
      <c r="E17" s="192"/>
      <c r="F17" s="192"/>
      <c r="G17" s="192"/>
      <c r="H17" s="192"/>
      <c r="I17" s="192"/>
      <c r="J17" s="192"/>
      <c r="K17" s="192"/>
      <c r="L17" s="192"/>
      <c r="M17" s="192"/>
      <c r="N17" s="192"/>
      <c r="O17" s="192"/>
      <c r="P17" s="192"/>
      <c r="Q17" s="192"/>
      <c r="R17" s="192"/>
      <c r="S17" s="192"/>
      <c r="T17" s="192"/>
      <c r="U17" s="192"/>
      <c r="V17" s="192"/>
      <c r="W17" s="192"/>
      <c r="X17" s="192"/>
      <c r="Y17" s="192"/>
      <c r="Z17" s="192"/>
      <c r="AA17" s="192"/>
      <c r="AB17" s="192"/>
      <c r="AC17" s="192"/>
      <c r="AD17" s="192"/>
      <c r="AE17" s="192"/>
      <c r="AF17" s="192"/>
      <c r="AG17" s="192"/>
      <c r="AH17" s="40"/>
    </row>
    <row r="18" spans="2:34" ht="13.2" x14ac:dyDescent="0.25">
      <c r="B18" s="192"/>
      <c r="C18" s="192"/>
      <c r="D18" s="192"/>
      <c r="E18" s="192"/>
      <c r="F18" s="192"/>
      <c r="G18" s="192"/>
      <c r="H18" s="192"/>
      <c r="I18" s="192"/>
      <c r="J18" s="192"/>
      <c r="K18" s="192"/>
      <c r="L18" s="192"/>
      <c r="M18" s="192"/>
      <c r="N18" s="192"/>
      <c r="O18" s="192"/>
      <c r="P18" s="192"/>
      <c r="Q18" s="192"/>
      <c r="R18" s="192"/>
      <c r="S18" s="192"/>
      <c r="T18" s="192"/>
      <c r="U18" s="192"/>
      <c r="V18" s="192"/>
      <c r="W18" s="192"/>
      <c r="X18" s="192"/>
      <c r="Y18" s="192"/>
      <c r="Z18" s="192"/>
      <c r="AA18" s="192"/>
      <c r="AB18" s="192"/>
      <c r="AC18" s="192"/>
      <c r="AD18" s="192"/>
      <c r="AE18" s="192"/>
      <c r="AF18" s="192"/>
      <c r="AG18" s="192"/>
      <c r="AH18" s="40"/>
    </row>
    <row r="19" spans="2:34" ht="13.2" x14ac:dyDescent="0.25">
      <c r="B19" s="192"/>
      <c r="C19" s="192"/>
      <c r="D19" s="192"/>
      <c r="E19" s="192"/>
      <c r="F19" s="192"/>
      <c r="G19" s="192"/>
      <c r="H19" s="192"/>
      <c r="I19" s="192"/>
      <c r="J19" s="192"/>
      <c r="K19" s="192"/>
      <c r="L19" s="192"/>
      <c r="M19" s="192"/>
      <c r="N19" s="192"/>
      <c r="O19" s="192"/>
      <c r="P19" s="192"/>
      <c r="Q19" s="192"/>
      <c r="R19" s="192"/>
      <c r="S19" s="192"/>
      <c r="T19" s="192"/>
      <c r="U19" s="192"/>
      <c r="V19" s="192"/>
      <c r="W19" s="192"/>
      <c r="X19" s="192"/>
      <c r="Y19" s="192"/>
      <c r="Z19" s="192"/>
      <c r="AA19" s="192"/>
      <c r="AB19" s="192"/>
      <c r="AC19" s="192"/>
      <c r="AD19" s="192"/>
      <c r="AE19" s="192"/>
      <c r="AF19" s="192"/>
      <c r="AG19" s="192"/>
      <c r="AH19" s="40"/>
    </row>
    <row r="20" spans="2:34" ht="13.2" x14ac:dyDescent="0.25">
      <c r="B20" s="192"/>
      <c r="C20" s="192"/>
      <c r="D20" s="192"/>
      <c r="E20" s="192"/>
      <c r="F20" s="192"/>
      <c r="G20" s="192"/>
      <c r="H20" s="192"/>
      <c r="I20" s="192"/>
      <c r="J20" s="192"/>
      <c r="K20" s="192"/>
      <c r="L20" s="192"/>
      <c r="M20" s="192"/>
      <c r="N20" s="192"/>
      <c r="O20" s="192"/>
      <c r="P20" s="192"/>
      <c r="Q20" s="192"/>
      <c r="R20" s="192"/>
      <c r="S20" s="192"/>
      <c r="T20" s="192"/>
      <c r="U20" s="192"/>
      <c r="V20" s="192"/>
      <c r="W20" s="192"/>
      <c r="X20" s="192"/>
      <c r="Y20" s="192"/>
      <c r="Z20" s="192"/>
      <c r="AA20" s="192"/>
      <c r="AB20" s="192"/>
      <c r="AC20" s="192"/>
      <c r="AD20" s="192"/>
      <c r="AE20" s="192"/>
      <c r="AF20" s="192"/>
      <c r="AG20" s="192"/>
      <c r="AH20" s="43"/>
    </row>
    <row r="21" spans="2:34" ht="13.2" x14ac:dyDescent="0.25">
      <c r="B21" s="192"/>
      <c r="C21" s="192"/>
      <c r="D21" s="192"/>
      <c r="E21" s="192"/>
      <c r="F21" s="192"/>
      <c r="G21" s="192"/>
      <c r="H21" s="192"/>
      <c r="I21" s="192"/>
      <c r="J21" s="192"/>
      <c r="K21" s="192"/>
      <c r="L21" s="192"/>
      <c r="M21" s="192"/>
      <c r="N21" s="192"/>
      <c r="O21" s="192"/>
      <c r="P21" s="192"/>
      <c r="Q21" s="192"/>
      <c r="R21" s="192"/>
      <c r="S21" s="192"/>
      <c r="T21" s="192"/>
      <c r="U21" s="192"/>
      <c r="V21" s="192"/>
      <c r="W21" s="192"/>
      <c r="X21" s="192"/>
      <c r="Y21" s="192"/>
      <c r="Z21" s="192"/>
      <c r="AA21" s="192"/>
      <c r="AB21" s="192"/>
      <c r="AC21" s="192"/>
      <c r="AD21" s="192"/>
      <c r="AE21" s="192"/>
      <c r="AF21" s="192"/>
      <c r="AG21" s="192"/>
      <c r="AH21" s="43"/>
    </row>
    <row r="22" spans="2:34" ht="13.2" x14ac:dyDescent="0.25">
      <c r="B22" s="192"/>
      <c r="C22" s="192"/>
      <c r="D22" s="192"/>
      <c r="E22" s="192"/>
      <c r="F22" s="192"/>
      <c r="G22" s="192"/>
      <c r="H22" s="192"/>
      <c r="I22" s="192"/>
      <c r="J22" s="192"/>
      <c r="K22" s="192"/>
      <c r="L22" s="192"/>
      <c r="M22" s="192"/>
      <c r="N22" s="192"/>
      <c r="O22" s="192"/>
      <c r="P22" s="192"/>
      <c r="Q22" s="192"/>
      <c r="R22" s="192"/>
      <c r="S22" s="192"/>
      <c r="T22" s="192"/>
      <c r="U22" s="192"/>
      <c r="V22" s="192"/>
      <c r="W22" s="192"/>
      <c r="X22" s="192"/>
      <c r="Y22" s="192"/>
      <c r="Z22" s="192"/>
      <c r="AA22" s="192"/>
      <c r="AB22" s="192"/>
      <c r="AC22" s="192"/>
      <c r="AD22" s="192"/>
      <c r="AE22" s="192"/>
      <c r="AF22" s="192"/>
      <c r="AG22" s="192"/>
      <c r="AH22" s="43"/>
    </row>
    <row r="23" spans="2:34" ht="13.2" x14ac:dyDescent="0.25">
      <c r="B23" s="192"/>
      <c r="C23" s="192"/>
      <c r="D23" s="192"/>
      <c r="E23" s="192"/>
      <c r="F23" s="192"/>
      <c r="G23" s="192"/>
      <c r="H23" s="192"/>
      <c r="I23" s="192"/>
      <c r="J23" s="192"/>
      <c r="K23" s="192"/>
      <c r="L23" s="192"/>
      <c r="M23" s="192"/>
      <c r="N23" s="192"/>
      <c r="O23" s="192"/>
      <c r="P23" s="192"/>
      <c r="Q23" s="192"/>
      <c r="R23" s="192"/>
      <c r="S23" s="192"/>
      <c r="T23" s="192"/>
      <c r="U23" s="192"/>
      <c r="V23" s="192"/>
      <c r="W23" s="192"/>
      <c r="X23" s="192"/>
      <c r="Y23" s="192"/>
      <c r="Z23" s="192"/>
      <c r="AA23" s="192"/>
      <c r="AB23" s="192"/>
      <c r="AC23" s="192"/>
      <c r="AD23" s="192"/>
      <c r="AE23" s="192"/>
      <c r="AF23" s="192"/>
      <c r="AG23" s="192"/>
    </row>
    <row r="24" spans="2:34" ht="13.2" x14ac:dyDescent="0.25">
      <c r="B24" s="192"/>
      <c r="C24" s="192"/>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92"/>
      <c r="AG24" s="192"/>
    </row>
    <row r="25" spans="2:34" ht="13.2" x14ac:dyDescent="0.25">
      <c r="B25" s="192"/>
      <c r="C25" s="192"/>
      <c r="D25" s="192"/>
      <c r="E25" s="192"/>
      <c r="F25" s="192"/>
      <c r="G25" s="192"/>
      <c r="H25" s="192"/>
      <c r="I25" s="192"/>
      <c r="J25" s="192"/>
      <c r="K25" s="192"/>
      <c r="L25" s="192"/>
      <c r="M25" s="192"/>
      <c r="N25" s="192"/>
      <c r="O25" s="192"/>
      <c r="P25" s="192"/>
      <c r="Q25" s="192"/>
      <c r="R25" s="192"/>
      <c r="S25" s="192"/>
      <c r="T25" s="192"/>
      <c r="U25" s="192"/>
      <c r="V25" s="192"/>
      <c r="W25" s="192"/>
      <c r="X25" s="192"/>
      <c r="Y25" s="192"/>
      <c r="Z25" s="192"/>
      <c r="AA25" s="192"/>
      <c r="AB25" s="192"/>
      <c r="AC25" s="192"/>
      <c r="AD25" s="192"/>
      <c r="AE25" s="192"/>
      <c r="AF25" s="192"/>
      <c r="AG25" s="192"/>
    </row>
    <row r="26" spans="2:34" ht="13.2" x14ac:dyDescent="0.25">
      <c r="B26" s="192"/>
      <c r="C26" s="192"/>
      <c r="D26" s="192"/>
      <c r="E26" s="192"/>
      <c r="F26" s="192"/>
      <c r="G26" s="192"/>
      <c r="H26" s="192"/>
      <c r="I26" s="192"/>
      <c r="J26" s="192"/>
      <c r="K26" s="192"/>
      <c r="L26" s="192"/>
      <c r="M26" s="192"/>
      <c r="N26" s="192"/>
      <c r="O26" s="192"/>
      <c r="P26" s="192"/>
      <c r="Q26" s="192"/>
      <c r="R26" s="192"/>
      <c r="S26" s="192"/>
      <c r="T26" s="192"/>
      <c r="U26" s="192"/>
      <c r="V26" s="192"/>
      <c r="W26" s="192"/>
      <c r="X26" s="192"/>
      <c r="Y26" s="192"/>
      <c r="Z26" s="192"/>
      <c r="AA26" s="192"/>
      <c r="AB26" s="192"/>
      <c r="AC26" s="192"/>
      <c r="AD26" s="192"/>
      <c r="AE26" s="192"/>
      <c r="AF26" s="192"/>
      <c r="AG26" s="192"/>
    </row>
    <row r="27" spans="2:34" ht="13.2" x14ac:dyDescent="0.25">
      <c r="B27" s="192"/>
      <c r="C27" s="192"/>
      <c r="D27" s="192"/>
      <c r="E27" s="192"/>
      <c r="F27" s="192"/>
      <c r="G27" s="192"/>
      <c r="H27" s="192"/>
      <c r="I27" s="192"/>
      <c r="J27" s="192"/>
      <c r="K27" s="192"/>
      <c r="L27" s="192"/>
      <c r="M27" s="192"/>
      <c r="N27" s="192"/>
      <c r="O27" s="192"/>
      <c r="P27" s="192"/>
      <c r="Q27" s="192"/>
      <c r="R27" s="192"/>
      <c r="S27" s="192"/>
      <c r="T27" s="192"/>
      <c r="U27" s="192"/>
      <c r="V27" s="192"/>
      <c r="W27" s="192"/>
      <c r="X27" s="192"/>
      <c r="Y27" s="192"/>
      <c r="Z27" s="192"/>
      <c r="AA27" s="192"/>
      <c r="AB27" s="192"/>
      <c r="AC27" s="192"/>
      <c r="AD27" s="192"/>
      <c r="AE27" s="192"/>
      <c r="AF27" s="192"/>
      <c r="AG27" s="192"/>
    </row>
    <row r="28" spans="2:34" ht="13.2" x14ac:dyDescent="0.25">
      <c r="B28" s="192"/>
      <c r="C28" s="192"/>
      <c r="D28" s="192"/>
      <c r="E28" s="192"/>
      <c r="F28" s="192"/>
      <c r="G28" s="192"/>
      <c r="H28" s="192"/>
      <c r="I28" s="192"/>
      <c r="J28" s="192"/>
      <c r="K28" s="192"/>
      <c r="L28" s="192"/>
      <c r="M28" s="192"/>
      <c r="N28" s="192"/>
      <c r="O28" s="192"/>
      <c r="P28" s="192"/>
      <c r="Q28" s="192"/>
      <c r="R28" s="192"/>
      <c r="S28" s="192"/>
      <c r="T28" s="192"/>
      <c r="U28" s="192"/>
      <c r="V28" s="192"/>
      <c r="W28" s="192"/>
      <c r="X28" s="192"/>
      <c r="Y28" s="192"/>
      <c r="Z28" s="192"/>
      <c r="AA28" s="192"/>
      <c r="AB28" s="192"/>
      <c r="AC28" s="192"/>
      <c r="AD28" s="192"/>
      <c r="AE28" s="192"/>
      <c r="AF28" s="192"/>
      <c r="AG28" s="192"/>
    </row>
    <row r="29" spans="2:34" ht="13.2" x14ac:dyDescent="0.25">
      <c r="B29" s="192"/>
      <c r="C29" s="192"/>
      <c r="D29" s="192"/>
      <c r="E29" s="192"/>
      <c r="F29" s="192"/>
      <c r="G29" s="192"/>
      <c r="H29" s="192"/>
      <c r="I29" s="192"/>
      <c r="J29" s="192"/>
      <c r="K29" s="192"/>
      <c r="L29" s="192"/>
      <c r="M29" s="192"/>
      <c r="N29" s="192"/>
      <c r="O29" s="192"/>
      <c r="P29" s="192"/>
      <c r="Q29" s="192"/>
      <c r="R29" s="192"/>
      <c r="S29" s="192"/>
      <c r="T29" s="192"/>
      <c r="U29" s="192"/>
      <c r="V29" s="192"/>
      <c r="W29" s="192"/>
      <c r="X29" s="192"/>
      <c r="Y29" s="192"/>
      <c r="Z29" s="192"/>
      <c r="AA29" s="192"/>
      <c r="AB29" s="192"/>
      <c r="AC29" s="192"/>
      <c r="AD29" s="192"/>
      <c r="AE29" s="192"/>
      <c r="AF29" s="192"/>
      <c r="AG29" s="192"/>
    </row>
    <row r="30" spans="2:34" ht="13.2" x14ac:dyDescent="0.25">
      <c r="B30" s="192"/>
      <c r="C30" s="192"/>
      <c r="D30" s="192"/>
      <c r="E30" s="192"/>
      <c r="F30" s="192"/>
      <c r="G30" s="192"/>
      <c r="H30" s="192"/>
      <c r="I30" s="192"/>
      <c r="J30" s="192"/>
      <c r="K30" s="192"/>
      <c r="L30" s="192"/>
      <c r="M30" s="192"/>
      <c r="N30" s="192"/>
      <c r="O30" s="192"/>
      <c r="P30" s="192"/>
      <c r="Q30" s="192"/>
      <c r="R30" s="192"/>
      <c r="S30" s="192"/>
      <c r="T30" s="192"/>
      <c r="U30" s="192"/>
      <c r="V30" s="192"/>
      <c r="W30" s="192"/>
      <c r="X30" s="192"/>
      <c r="Y30" s="192"/>
      <c r="Z30" s="192"/>
      <c r="AA30" s="192"/>
      <c r="AB30" s="192"/>
      <c r="AC30" s="192"/>
      <c r="AD30" s="192"/>
      <c r="AE30" s="192"/>
      <c r="AF30" s="192"/>
      <c r="AG30" s="192"/>
    </row>
    <row r="31" spans="2:34" ht="13.2" x14ac:dyDescent="0.25">
      <c r="B31" s="192"/>
      <c r="C31" s="192"/>
      <c r="D31" s="192"/>
      <c r="E31" s="192"/>
      <c r="F31" s="192"/>
      <c r="G31" s="192"/>
      <c r="H31" s="192"/>
      <c r="I31" s="192"/>
      <c r="J31" s="192"/>
      <c r="K31" s="192"/>
      <c r="L31" s="192"/>
      <c r="M31" s="192"/>
      <c r="N31" s="192"/>
      <c r="O31" s="192"/>
      <c r="P31" s="192"/>
      <c r="Q31" s="192"/>
      <c r="R31" s="192"/>
      <c r="S31" s="192"/>
      <c r="T31" s="192"/>
      <c r="U31" s="192"/>
      <c r="V31" s="192"/>
      <c r="W31" s="192"/>
      <c r="X31" s="192"/>
      <c r="Y31" s="192"/>
      <c r="Z31" s="192"/>
      <c r="AA31" s="192"/>
      <c r="AB31" s="192"/>
      <c r="AC31" s="192"/>
      <c r="AD31" s="192"/>
      <c r="AE31" s="192"/>
      <c r="AF31" s="192"/>
      <c r="AG31" s="192"/>
    </row>
    <row r="32" spans="2:34" ht="13.2" x14ac:dyDescent="0.25">
      <c r="B32" s="192"/>
      <c r="C32" s="192"/>
      <c r="D32" s="192"/>
      <c r="E32" s="192"/>
      <c r="F32" s="192"/>
      <c r="G32" s="192"/>
      <c r="H32" s="192"/>
      <c r="I32" s="192"/>
      <c r="J32" s="192"/>
      <c r="K32" s="192"/>
      <c r="L32" s="192"/>
      <c r="M32" s="192"/>
      <c r="N32" s="192"/>
      <c r="O32" s="192"/>
      <c r="P32" s="192"/>
      <c r="Q32" s="192"/>
      <c r="R32" s="192"/>
      <c r="S32" s="192"/>
      <c r="T32" s="192"/>
      <c r="U32" s="192"/>
      <c r="V32" s="192"/>
      <c r="W32" s="192"/>
      <c r="X32" s="192"/>
      <c r="Y32" s="192"/>
      <c r="Z32" s="192"/>
      <c r="AA32" s="192"/>
      <c r="AB32" s="192"/>
      <c r="AC32" s="192"/>
      <c r="AD32" s="192"/>
      <c r="AE32" s="192"/>
      <c r="AF32" s="192"/>
      <c r="AG32" s="192"/>
    </row>
    <row r="33" spans="2:33" ht="13.2" x14ac:dyDescent="0.25">
      <c r="B33" s="192"/>
      <c r="C33" s="192"/>
      <c r="D33" s="192"/>
      <c r="E33" s="192"/>
      <c r="F33" s="192"/>
      <c r="G33" s="192"/>
      <c r="H33" s="192"/>
      <c r="I33" s="192"/>
      <c r="J33" s="192"/>
      <c r="K33" s="192"/>
      <c r="L33" s="192"/>
      <c r="M33" s="192"/>
      <c r="N33" s="192"/>
      <c r="O33" s="192"/>
      <c r="P33" s="192"/>
      <c r="Q33" s="192"/>
      <c r="R33" s="192"/>
      <c r="S33" s="192"/>
      <c r="T33" s="192"/>
      <c r="U33" s="192"/>
      <c r="V33" s="192"/>
      <c r="W33" s="192"/>
      <c r="X33" s="192"/>
      <c r="Y33" s="192"/>
      <c r="Z33" s="192"/>
      <c r="AA33" s="192"/>
      <c r="AB33" s="192"/>
      <c r="AC33" s="192"/>
      <c r="AD33" s="192"/>
      <c r="AE33" s="192"/>
      <c r="AF33" s="192"/>
      <c r="AG33" s="192"/>
    </row>
    <row r="34" spans="2:33" ht="13.2" x14ac:dyDescent="0.25">
      <c r="B34" s="192"/>
      <c r="C34" s="192"/>
      <c r="D34" s="192"/>
      <c r="E34" s="192"/>
      <c r="F34" s="192"/>
      <c r="G34" s="192"/>
      <c r="H34" s="192"/>
      <c r="I34" s="192"/>
      <c r="J34" s="192"/>
      <c r="K34" s="192"/>
      <c r="L34" s="192"/>
      <c r="M34" s="192"/>
      <c r="N34" s="192"/>
      <c r="O34" s="192"/>
      <c r="P34" s="192"/>
      <c r="Q34" s="192"/>
      <c r="R34" s="192"/>
      <c r="S34" s="192"/>
      <c r="T34" s="192"/>
      <c r="U34" s="192"/>
      <c r="V34" s="192"/>
      <c r="W34" s="192"/>
      <c r="X34" s="192"/>
      <c r="Y34" s="192"/>
      <c r="Z34" s="192"/>
      <c r="AA34" s="192"/>
      <c r="AB34" s="192"/>
      <c r="AC34" s="192"/>
      <c r="AD34" s="192"/>
      <c r="AE34" s="192"/>
      <c r="AF34" s="192"/>
      <c r="AG34" s="192"/>
    </row>
    <row r="35" spans="2:33" ht="12.75" customHeight="1" x14ac:dyDescent="0.25">
      <c r="B35" s="192"/>
      <c r="C35" s="192"/>
      <c r="D35" s="192"/>
      <c r="E35" s="192"/>
      <c r="F35" s="192"/>
      <c r="G35" s="192"/>
      <c r="H35" s="192"/>
      <c r="I35" s="192"/>
      <c r="J35" s="192"/>
      <c r="K35" s="192"/>
      <c r="L35" s="192"/>
      <c r="M35" s="192"/>
      <c r="N35" s="192"/>
      <c r="O35" s="192"/>
      <c r="P35" s="192"/>
      <c r="Q35" s="192"/>
      <c r="R35" s="192"/>
      <c r="S35" s="192"/>
      <c r="T35" s="192"/>
      <c r="U35" s="192"/>
      <c r="V35" s="192"/>
      <c r="W35" s="192"/>
      <c r="X35" s="192"/>
      <c r="Y35" s="192"/>
      <c r="Z35" s="192"/>
      <c r="AA35" s="192"/>
      <c r="AB35" s="192"/>
      <c r="AC35" s="192"/>
      <c r="AD35" s="192"/>
      <c r="AE35" s="192"/>
      <c r="AF35" s="192"/>
      <c r="AG35" s="192"/>
    </row>
    <row r="36" spans="2:33" ht="12.75" customHeight="1" x14ac:dyDescent="0.25">
      <c r="B36" s="192"/>
      <c r="C36" s="192"/>
      <c r="D36" s="192"/>
      <c r="E36" s="192"/>
      <c r="F36" s="192"/>
      <c r="G36" s="192"/>
      <c r="H36" s="192"/>
      <c r="I36" s="192"/>
      <c r="J36" s="192"/>
      <c r="K36" s="192"/>
      <c r="L36" s="192"/>
      <c r="M36" s="192"/>
      <c r="N36" s="192"/>
      <c r="O36" s="192"/>
      <c r="P36" s="192"/>
      <c r="Q36" s="192"/>
      <c r="R36" s="192"/>
      <c r="S36" s="192"/>
      <c r="T36" s="192"/>
      <c r="U36" s="192"/>
      <c r="V36" s="192"/>
      <c r="W36" s="192"/>
      <c r="X36" s="192"/>
      <c r="Y36" s="192"/>
      <c r="Z36" s="192"/>
      <c r="AA36" s="192"/>
      <c r="AB36" s="192"/>
      <c r="AC36" s="192"/>
      <c r="AD36" s="192"/>
      <c r="AE36" s="192"/>
      <c r="AF36" s="192"/>
      <c r="AG36" s="192"/>
    </row>
    <row r="37" spans="2:33" ht="12.75" customHeight="1" x14ac:dyDescent="0.25">
      <c r="B37" s="192"/>
      <c r="C37" s="192"/>
      <c r="D37" s="192"/>
      <c r="E37" s="192"/>
      <c r="F37" s="192"/>
      <c r="G37" s="192"/>
      <c r="H37" s="192"/>
      <c r="I37" s="192"/>
      <c r="J37" s="192"/>
      <c r="K37" s="192"/>
      <c r="L37" s="192"/>
      <c r="M37" s="192"/>
      <c r="N37" s="192"/>
      <c r="O37" s="192"/>
      <c r="P37" s="192"/>
      <c r="Q37" s="192"/>
      <c r="R37" s="192"/>
      <c r="S37" s="192"/>
      <c r="T37" s="192"/>
      <c r="U37" s="192"/>
      <c r="V37" s="192"/>
      <c r="W37" s="192"/>
      <c r="X37" s="192"/>
      <c r="Y37" s="192"/>
      <c r="Z37" s="192"/>
      <c r="AA37" s="192"/>
      <c r="AB37" s="192"/>
      <c r="AC37" s="192"/>
      <c r="AD37" s="192"/>
      <c r="AE37" s="192"/>
      <c r="AF37" s="192"/>
      <c r="AG37" s="192"/>
    </row>
    <row r="38" spans="2:33" ht="12.75" customHeight="1" x14ac:dyDescent="0.25"/>
    <row r="39" spans="2:33" ht="12.75" customHeight="1" x14ac:dyDescent="0.25"/>
    <row r="40" spans="2:33" ht="12.75" customHeight="1" x14ac:dyDescent="0.25"/>
    <row r="41" spans="2:33" ht="12.75" customHeight="1" x14ac:dyDescent="0.25"/>
    <row r="42" spans="2:33" ht="12.75" customHeight="1" x14ac:dyDescent="0.25"/>
    <row r="43" spans="2:33" ht="12.75" customHeight="1" x14ac:dyDescent="0.25"/>
    <row r="44" spans="2:33" ht="12.75" customHeight="1" x14ac:dyDescent="0.25"/>
    <row r="45" spans="2:33" ht="12.75" customHeight="1" x14ac:dyDescent="0.25"/>
    <row r="46" spans="2:33" ht="12.75" customHeight="1" x14ac:dyDescent="0.25"/>
    <row r="47" spans="2:33" ht="12.75" customHeight="1" x14ac:dyDescent="0.25"/>
    <row r="48" spans="2:3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2&amp;R&amp;P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47"/>
  <sheetViews>
    <sheetView tabSelected="1" zoomScaleNormal="100" workbookViewId="0">
      <selection activeCell="F7" sqref="F7"/>
    </sheetView>
  </sheetViews>
  <sheetFormatPr defaultRowHeight="13.2" x14ac:dyDescent="0.25"/>
  <cols>
    <col min="1" max="1" width="2.5546875" customWidth="1"/>
    <col min="2" max="2" width="5.33203125" customWidth="1"/>
    <col min="3" max="3" width="15.109375" customWidth="1"/>
    <col min="4" max="4" width="53.33203125" customWidth="1"/>
    <col min="5" max="5" width="14" customWidth="1"/>
    <col min="6" max="6" width="53.6640625" bestFit="1" customWidth="1"/>
    <col min="7" max="7" width="11.6640625" customWidth="1"/>
    <col min="8" max="8" width="7.5546875" bestFit="1" customWidth="1"/>
    <col min="9" max="9" width="10.33203125" customWidth="1"/>
    <col min="10" max="10" width="18.44140625" customWidth="1"/>
    <col min="12" max="13" width="11.44140625" customWidth="1"/>
    <col min="14" max="14" width="18.33203125" customWidth="1"/>
  </cols>
  <sheetData>
    <row r="1" spans="2:14" ht="13.8" thickBot="1" x14ac:dyDescent="0.3"/>
    <row r="2" spans="2:14" ht="43.8" thickBot="1" x14ac:dyDescent="0.3">
      <c r="B2" s="59" t="s">
        <v>36</v>
      </c>
      <c r="C2" s="60" t="s">
        <v>37</v>
      </c>
      <c r="D2" s="61" t="s">
        <v>65</v>
      </c>
      <c r="E2" s="61" t="s">
        <v>106</v>
      </c>
      <c r="F2" s="61" t="s">
        <v>38</v>
      </c>
      <c r="G2" s="61" t="s">
        <v>631</v>
      </c>
      <c r="H2" s="61" t="s">
        <v>67</v>
      </c>
      <c r="I2" s="60" t="s">
        <v>10</v>
      </c>
      <c r="J2" s="60" t="s">
        <v>66</v>
      </c>
      <c r="K2" s="60" t="s">
        <v>56</v>
      </c>
      <c r="L2" s="62" t="s">
        <v>39</v>
      </c>
      <c r="M2" s="62" t="s">
        <v>68</v>
      </c>
      <c r="N2" s="114" t="s">
        <v>630</v>
      </c>
    </row>
    <row r="3" spans="2:14" s="85" customFormat="1" ht="28.8" x14ac:dyDescent="0.25">
      <c r="B3" s="84">
        <v>1</v>
      </c>
      <c r="C3" s="107" t="s">
        <v>129</v>
      </c>
      <c r="D3" s="108" t="str">
        <f t="shared" ref="D3:D16" ca="1" si="0">IF(C3&lt;&gt;"",INDIRECT(C3&amp;"!B3"),"")</f>
        <v>ARCH_SW_CIL_0001,  ARCH_SW_CIL_0002,  ARCH_SW_CIL_0022,  ARCH_SW_CIL_0023,  ARCH_SW_CIL_0024,  ARCH_SW_CIL_0351, ARCH_SW_CIL_0042, ARCH_SW_CIL_0043, ARCH_SW_CIL_0044</v>
      </c>
      <c r="E3" s="66" t="str">
        <f t="shared" ref="E3:E16" ca="1" si="1">IF(C3&lt;&gt;"",INDIRECT(C3&amp;"!B5"),"")</f>
        <v>Nominal</v>
      </c>
      <c r="F3" s="66" t="str">
        <f t="shared" ref="F3:F8" ca="1" si="2">IF(C3&lt;&gt;"",INDIRECT(C3&amp;"!B1"),"")</f>
        <v>Testing Pres_Lvl CAN signal received values</v>
      </c>
      <c r="G3" s="86"/>
      <c r="H3" s="87">
        <v>1</v>
      </c>
      <c r="I3" s="88" t="s">
        <v>461</v>
      </c>
      <c r="J3" s="89" t="s">
        <v>463</v>
      </c>
      <c r="K3" s="113" t="str">
        <f t="shared" ref="K3:K16" ca="1" si="3">IF(C3&lt;&gt;"",INDIRECT(C3&amp;"!B9"),"")</f>
        <v>Ok</v>
      </c>
      <c r="L3" s="93" t="s">
        <v>428</v>
      </c>
      <c r="M3" s="90"/>
      <c r="N3" s="91"/>
    </row>
    <row r="4" spans="2:14" ht="28.8" x14ac:dyDescent="0.25">
      <c r="B4" s="64">
        <v>2</v>
      </c>
      <c r="C4" s="107" t="s">
        <v>133</v>
      </c>
      <c r="D4" s="108" t="str">
        <f t="shared" ca="1" si="0"/>
        <v>ARCH_SW_CIL_0001,  ARCH_SW_CIL_0003,  ARCH_SW_CIL_0025,  ARCH_SW_CIL_0351</v>
      </c>
      <c r="E4" s="66" t="str">
        <f t="shared" ca="1" si="1"/>
        <v>Nominal</v>
      </c>
      <c r="F4" s="66" t="str">
        <f t="shared" ca="1" si="2"/>
        <v>Testing Pres_Enbl CAN signal received values</v>
      </c>
      <c r="G4" s="86"/>
      <c r="H4" s="87">
        <v>1</v>
      </c>
      <c r="I4" s="88" t="s">
        <v>461</v>
      </c>
      <c r="J4" s="89" t="s">
        <v>463</v>
      </c>
      <c r="K4" s="95" t="str">
        <f t="shared" ca="1" si="3"/>
        <v>Ok</v>
      </c>
      <c r="L4" s="93" t="s">
        <v>428</v>
      </c>
      <c r="M4" s="90"/>
      <c r="N4" s="91"/>
    </row>
    <row r="5" spans="2:14" ht="28.8" x14ac:dyDescent="0.25">
      <c r="B5" s="64">
        <v>3</v>
      </c>
      <c r="C5" s="107" t="s">
        <v>134</v>
      </c>
      <c r="D5" s="108" t="str">
        <f t="shared" ca="1" si="0"/>
        <v>ARCH_SW_CIL_0001,  ARCH_SW_CIL_0004,  ARCH_SW_CIL_0026,  ARCH_SW_CIL_0351, ARCH_SW_CIL_0048, ARCH_SW_CIL_0049</v>
      </c>
      <c r="E5" s="66" t="str">
        <f t="shared" ca="1" si="1"/>
        <v>Nominal</v>
      </c>
      <c r="F5" s="66" t="str">
        <f t="shared" ca="1" si="2"/>
        <v>Testing Pres_Tens_Supp CAN signal received values</v>
      </c>
      <c r="G5" s="86"/>
      <c r="H5" s="87">
        <v>1</v>
      </c>
      <c r="I5" s="88" t="s">
        <v>461</v>
      </c>
      <c r="J5" s="89" t="s">
        <v>463</v>
      </c>
      <c r="K5" s="95" t="str">
        <f t="shared" ca="1" si="3"/>
        <v>Ok</v>
      </c>
      <c r="L5" s="93" t="s">
        <v>428</v>
      </c>
      <c r="M5" s="90"/>
      <c r="N5" s="91"/>
    </row>
    <row r="6" spans="2:14" ht="28.8" x14ac:dyDescent="0.25">
      <c r="B6" s="64">
        <v>4</v>
      </c>
      <c r="C6" s="107" t="s">
        <v>135</v>
      </c>
      <c r="D6" s="108" t="str">
        <f t="shared" ca="1" si="0"/>
        <v>ARCH_SW_CIL_0005,  ARCH_SW_CIL_0006,  ARCH_SW_CIL_0027,  ARCH_SW_CIL_0351</v>
      </c>
      <c r="E6" s="66" t="str">
        <f t="shared" ca="1" si="1"/>
        <v>Nominal</v>
      </c>
      <c r="F6" s="66" t="str">
        <f t="shared" ca="1" si="2"/>
        <v>Testing ISw Stat CAN signal received values</v>
      </c>
      <c r="G6" s="86"/>
      <c r="H6" s="87">
        <v>1</v>
      </c>
      <c r="I6" s="88" t="s">
        <v>461</v>
      </c>
      <c r="J6" s="89" t="s">
        <v>463</v>
      </c>
      <c r="K6" s="95" t="str">
        <f t="shared" ca="1" si="3"/>
        <v>Ok</v>
      </c>
      <c r="L6" s="93" t="s">
        <v>428</v>
      </c>
      <c r="M6" s="90"/>
      <c r="N6" s="91"/>
    </row>
    <row r="7" spans="2:14" ht="28.8" x14ac:dyDescent="0.25">
      <c r="B7" s="64">
        <v>5</v>
      </c>
      <c r="C7" s="107" t="s">
        <v>136</v>
      </c>
      <c r="D7" s="108" t="str">
        <f t="shared" ca="1" si="0"/>
        <v>ARCH_SW_CIL_0007,  ARCH_SW_CIL_0008,  ARCH_SW_CIL_0028,  ARCH_SW_CIL_0351</v>
      </c>
      <c r="E7" s="66" t="str">
        <f t="shared" ca="1" si="1"/>
        <v>Nominal</v>
      </c>
      <c r="F7" s="66" t="str">
        <f t="shared" ca="1" si="2"/>
        <v>Testing Bckl_Sw_D_Stat CAN signal received values</v>
      </c>
      <c r="G7" s="86" t="s">
        <v>632</v>
      </c>
      <c r="H7" s="87">
        <v>1</v>
      </c>
      <c r="I7" s="88" t="s">
        <v>461</v>
      </c>
      <c r="J7" s="89" t="s">
        <v>463</v>
      </c>
      <c r="K7" s="95" t="str">
        <f t="shared" ca="1" si="3"/>
        <v>Ok</v>
      </c>
      <c r="L7" s="93" t="s">
        <v>428</v>
      </c>
      <c r="M7" s="90"/>
      <c r="N7" s="91"/>
    </row>
    <row r="8" spans="2:14" ht="28.8" x14ac:dyDescent="0.25">
      <c r="B8" s="64">
        <v>6</v>
      </c>
      <c r="C8" s="107" t="s">
        <v>137</v>
      </c>
      <c r="D8" s="108" t="str">
        <f t="shared" ca="1" si="0"/>
        <v>ARCH_SW_CIL_0007,  ARCH_SW_CIL_0009,  ARCH_SW_CIL_0029,  ARCH_SW_CIL_0351</v>
      </c>
      <c r="E8" s="66" t="str">
        <f t="shared" ca="1" si="1"/>
        <v>Nominal</v>
      </c>
      <c r="F8" s="66" t="str">
        <f t="shared" ca="1" si="2"/>
        <v>Testing Bckl_Sw_FP_Stat CAN signal received values</v>
      </c>
      <c r="G8" s="86" t="s">
        <v>632</v>
      </c>
      <c r="H8" s="87">
        <v>1</v>
      </c>
      <c r="I8" s="88" t="s">
        <v>461</v>
      </c>
      <c r="J8" s="89" t="s">
        <v>463</v>
      </c>
      <c r="K8" s="95" t="str">
        <f t="shared" ca="1" si="3"/>
        <v>Ok</v>
      </c>
      <c r="L8" s="93" t="s">
        <v>428</v>
      </c>
      <c r="M8" s="90"/>
      <c r="N8" s="91"/>
    </row>
    <row r="9" spans="2:14" ht="28.8" x14ac:dyDescent="0.25">
      <c r="B9" s="64">
        <v>7</v>
      </c>
      <c r="C9" s="107" t="s">
        <v>169</v>
      </c>
      <c r="D9" s="108" t="str">
        <f t="shared" ca="1" si="0"/>
        <v>ARCH_SW_CIL_0011,  ARCH_SW_CIL_0016,  ARCH_SW_CIL_0558, ARCH_SW_CIL_0050</v>
      </c>
      <c r="E9" s="66" t="str">
        <f t="shared" ca="1" si="1"/>
        <v>Nominal</v>
      </c>
      <c r="F9" s="66" t="str">
        <f t="shared" ref="F9:F47" ca="1" si="4">IF(C9&lt;&gt;"",INDIRECT(C9&amp;"!B1"),"")</f>
        <v>Testing PS_Curve_FL_Stat_ST3 signal transmits values .</v>
      </c>
      <c r="G9" s="86"/>
      <c r="H9" s="87">
        <v>1</v>
      </c>
      <c r="I9" s="88" t="s">
        <v>461</v>
      </c>
      <c r="J9" s="89" t="s">
        <v>463</v>
      </c>
      <c r="K9" s="95" t="str">
        <f ca="1">IF(C9&lt;&gt;"",INDIRECT(C9&amp;"!B9"),"")</f>
        <v>Ok</v>
      </c>
      <c r="L9" s="93" t="s">
        <v>428</v>
      </c>
      <c r="M9" s="90"/>
      <c r="N9" s="91"/>
    </row>
    <row r="10" spans="2:14" ht="28.8" x14ac:dyDescent="0.25">
      <c r="B10" s="64">
        <v>8</v>
      </c>
      <c r="C10" s="107" t="s">
        <v>170</v>
      </c>
      <c r="D10" s="108" t="str">
        <f ca="1">IF(C10&lt;&gt;"",INDIRECT(C10&amp;"!B3"),"")</f>
        <v>ARCH_SW_CIL_0010,  ARCH_SW_CIL_0012,  ARCH_SW_CIL_0019,  ARCH_SW_CIL_0558, ARCH_SW_CIL_0065</v>
      </c>
      <c r="E10" s="66" t="str">
        <f t="shared" ca="1" si="1"/>
        <v>Nominal</v>
      </c>
      <c r="F10" s="66" t="str">
        <f ca="1">IF(C10&lt;&gt;"",INDIRECT(C10&amp;"!B1"),"")</f>
        <v>Testing RBTM_FL_Disp_Rq_ST3 signal transmits values .</v>
      </c>
      <c r="G10" s="86"/>
      <c r="H10" s="87">
        <v>1</v>
      </c>
      <c r="I10" s="88" t="s">
        <v>461</v>
      </c>
      <c r="J10" s="89" t="s">
        <v>463</v>
      </c>
      <c r="K10" s="95" t="str">
        <f t="shared" ca="1" si="3"/>
        <v>Ok</v>
      </c>
      <c r="L10" s="93" t="s">
        <v>428</v>
      </c>
      <c r="M10" s="90"/>
      <c r="N10" s="91"/>
    </row>
    <row r="11" spans="2:14" ht="28.8" x14ac:dyDescent="0.25">
      <c r="B11" s="64">
        <v>9</v>
      </c>
      <c r="C11" s="107" t="s">
        <v>171</v>
      </c>
      <c r="D11" s="108" t="str">
        <f t="shared" ca="1" si="0"/>
        <v>ARCH_SW_CIL_0010,  ARCH_SW_CIL_0013,  ARCH_SW_CIL_0020,  ARCH_SW_CIL_0558</v>
      </c>
      <c r="E11" s="66" t="str">
        <f t="shared" ca="1" si="1"/>
        <v>Nominal</v>
      </c>
      <c r="F11" s="66" t="str">
        <f t="shared" ca="1" si="4"/>
        <v>Testing RBTM_FL_Tgl_Rq_ST3 signal transmits values .</v>
      </c>
      <c r="G11" s="86"/>
      <c r="H11" s="87">
        <v>1</v>
      </c>
      <c r="I11" s="88" t="s">
        <v>461</v>
      </c>
      <c r="J11" s="89" t="s">
        <v>463</v>
      </c>
      <c r="K11" s="95" t="str">
        <f t="shared" ca="1" si="3"/>
        <v>Ok</v>
      </c>
      <c r="L11" s="93" t="s">
        <v>428</v>
      </c>
      <c r="M11" s="90"/>
      <c r="N11" s="91"/>
    </row>
    <row r="12" spans="2:14" ht="28.8" x14ac:dyDescent="0.25">
      <c r="B12" s="63">
        <v>10</v>
      </c>
      <c r="C12" s="107" t="s">
        <v>172</v>
      </c>
      <c r="D12" s="108" t="str">
        <f t="shared" ca="1" si="0"/>
        <v>ARCH_SW_CIL_0014,  ARCH_SW_CIL_0015,  ARCH_SW_CIL_0021, ARCH_SW_CIL_0558</v>
      </c>
      <c r="E12" s="66" t="str">
        <f t="shared" ca="1" si="1"/>
        <v>Nominal</v>
      </c>
      <c r="F12" s="66" t="str">
        <f t="shared" ca="1" si="4"/>
        <v>Testing BltSlckDec_Md_FL_Stat_ST3 signal transmits values .</v>
      </c>
      <c r="G12" s="86"/>
      <c r="H12" s="87">
        <v>1</v>
      </c>
      <c r="I12" s="88" t="s">
        <v>461</v>
      </c>
      <c r="J12" s="89" t="s">
        <v>463</v>
      </c>
      <c r="K12" s="95" t="str">
        <f t="shared" ca="1" si="3"/>
        <v>Ok</v>
      </c>
      <c r="L12" s="93" t="s">
        <v>428</v>
      </c>
      <c r="M12" s="90"/>
      <c r="N12" s="91"/>
    </row>
    <row r="13" spans="2:14" ht="28.8" x14ac:dyDescent="0.25">
      <c r="B13" s="64">
        <v>11</v>
      </c>
      <c r="C13" s="107" t="s">
        <v>173</v>
      </c>
      <c r="D13" s="108" t="str">
        <f t="shared" ca="1" si="0"/>
        <v>ARCH_SW_CIL_0011,  ARCH_SW_CIL_0016,  ARCH_SW_CIL_0017,  ARCH_SW_CIL_0018,  ARCH_SW_CIL_0558</v>
      </c>
      <c r="E13" s="66" t="str">
        <f t="shared" ca="1" si="1"/>
        <v>Nominal</v>
      </c>
      <c r="F13" s="66" t="s">
        <v>165</v>
      </c>
      <c r="G13" s="86"/>
      <c r="H13" s="87">
        <v>1</v>
      </c>
      <c r="I13" s="88" t="s">
        <v>367</v>
      </c>
      <c r="J13" s="89" t="s">
        <v>463</v>
      </c>
      <c r="K13" s="95" t="str">
        <f t="shared" ca="1" si="3"/>
        <v>Ok</v>
      </c>
      <c r="L13" s="93" t="s">
        <v>428</v>
      </c>
      <c r="M13" s="90"/>
      <c r="N13" s="91"/>
    </row>
    <row r="14" spans="2:14" ht="28.8" x14ac:dyDescent="0.25">
      <c r="B14" s="64">
        <v>12</v>
      </c>
      <c r="C14" s="107" t="s">
        <v>174</v>
      </c>
      <c r="D14" s="108" t="str">
        <f t="shared" ca="1" si="0"/>
        <v>ARCH_SW_CIL_0010,  ARCH_SW_CIL_0012,  ARCH_SW_CIL_0019,  ARCH_SW_CIL_0558</v>
      </c>
      <c r="E14" s="66" t="str">
        <f t="shared" ca="1" si="1"/>
        <v>Nominal</v>
      </c>
      <c r="F14" s="66" t="str">
        <f t="shared" ca="1" si="4"/>
        <v>Testing RBTM_FR_Disp_Rq_ST3 signal transmits values .</v>
      </c>
      <c r="G14" s="86"/>
      <c r="H14" s="87">
        <v>1</v>
      </c>
      <c r="I14" s="88" t="s">
        <v>367</v>
      </c>
      <c r="J14" s="89" t="s">
        <v>463</v>
      </c>
      <c r="K14" s="95" t="str">
        <f t="shared" ca="1" si="3"/>
        <v>Ok</v>
      </c>
      <c r="L14" s="93" t="s">
        <v>428</v>
      </c>
      <c r="M14" s="90"/>
      <c r="N14" s="91"/>
    </row>
    <row r="15" spans="2:14" ht="28.8" x14ac:dyDescent="0.25">
      <c r="B15" s="64">
        <v>13</v>
      </c>
      <c r="C15" s="107" t="s">
        <v>175</v>
      </c>
      <c r="D15" s="108" t="str">
        <f t="shared" ca="1" si="0"/>
        <v>ARCH_SW_CIL_0010,  ARCH_SW_CIL_0013,  ARCH_SW_CIL_0020,  ARCH_SW_CIL_0558</v>
      </c>
      <c r="E15" s="66" t="str">
        <f t="shared" ca="1" si="1"/>
        <v>Nominal</v>
      </c>
      <c r="F15" s="66" t="str">
        <f t="shared" ca="1" si="4"/>
        <v>Testing RBTM_FR_Tgl_Rq_ST3 signal transmits values .</v>
      </c>
      <c r="G15" s="86"/>
      <c r="H15" s="87">
        <v>1</v>
      </c>
      <c r="I15" s="88" t="s">
        <v>367</v>
      </c>
      <c r="J15" s="89" t="s">
        <v>463</v>
      </c>
      <c r="K15" s="95" t="str">
        <f t="shared" ca="1" si="3"/>
        <v>Ok</v>
      </c>
      <c r="L15" s="93" t="s">
        <v>428</v>
      </c>
      <c r="M15" s="90"/>
      <c r="N15" s="91"/>
    </row>
    <row r="16" spans="2:14" ht="28.8" x14ac:dyDescent="0.25">
      <c r="B16" s="64">
        <v>14</v>
      </c>
      <c r="C16" s="107" t="s">
        <v>176</v>
      </c>
      <c r="D16" s="108" t="str">
        <f t="shared" ca="1" si="0"/>
        <v>ARCH_SW_CIL_0014,  ARCH_SW_CIL_0015,  ARCH_SW_CIL_0021, ARCH_SW_CIL_0558</v>
      </c>
      <c r="E16" s="66" t="str">
        <f t="shared" ca="1" si="1"/>
        <v>Nominal</v>
      </c>
      <c r="F16" s="66" t="str">
        <f t="shared" ca="1" si="4"/>
        <v>Testing BltSlckDec_Md_FR_Stat_ST3 signal transmits values .</v>
      </c>
      <c r="G16" s="86"/>
      <c r="H16" s="87">
        <v>1</v>
      </c>
      <c r="I16" s="88" t="s">
        <v>367</v>
      </c>
      <c r="J16" s="89" t="s">
        <v>463</v>
      </c>
      <c r="K16" s="95" t="str">
        <f t="shared" ca="1" si="3"/>
        <v>Ok</v>
      </c>
      <c r="L16" s="93" t="s">
        <v>428</v>
      </c>
      <c r="M16" s="90"/>
      <c r="N16" s="91"/>
    </row>
    <row r="17" spans="2:14" ht="28.8" x14ac:dyDescent="0.25">
      <c r="B17" s="64">
        <v>14</v>
      </c>
      <c r="C17" s="107" t="s">
        <v>238</v>
      </c>
      <c r="D17" s="108" t="str">
        <f t="shared" ref="D17:D22" ca="1" si="5">IF(C17&lt;&gt;"",INDIRECT(C17&amp;"!B3"),"")</f>
        <v>ARCH_SW_CIL_0037,  ARCH_SW_CIL_0038,  ARCH_SW_CIL_0030,  ARCH_SW_CIL_0040,  ARCH_SW_CIL_0558</v>
      </c>
      <c r="E17" s="66" t="str">
        <f t="shared" ref="E17:E22" ca="1" si="6">IF(C17&lt;&gt;"",INDIRECT(C17&amp;"!B5"),"")</f>
        <v>Nominal</v>
      </c>
      <c r="F17" s="66" t="str">
        <f t="shared" ref="F17:F22" ca="1" si="7">IF(C17&lt;&gt;"",INDIRECT(C17&amp;"!B1"),"")</f>
        <v>Testing if Impact_Y signal will abort the tensioning.</v>
      </c>
      <c r="G17" s="86"/>
      <c r="H17" s="87">
        <v>1</v>
      </c>
      <c r="I17" s="88" t="s">
        <v>367</v>
      </c>
      <c r="J17" s="89" t="s">
        <v>463</v>
      </c>
      <c r="K17" s="95" t="str">
        <f t="shared" ref="K17:K22" ca="1" si="8">IF(C17&lt;&gt;"",INDIRECT(C17&amp;"!B9"),"")</f>
        <v>Ok</v>
      </c>
      <c r="L17" s="93" t="s">
        <v>428</v>
      </c>
      <c r="M17" s="90"/>
      <c r="N17" s="91"/>
    </row>
    <row r="18" spans="2:14" ht="28.8" x14ac:dyDescent="0.25">
      <c r="B18" s="64">
        <v>14</v>
      </c>
      <c r="C18" s="107" t="s">
        <v>239</v>
      </c>
      <c r="D18" s="108" t="str">
        <f t="shared" ca="1" si="5"/>
        <v>ARCH_SW_CIL_0030,  ARCH_SW_CIL_0041,  ARCH_SW_CIL_0035,  ARCH_SW_CIL_0036,  ARCH_SW_CIL_0558</v>
      </c>
      <c r="E18" s="66" t="str">
        <f t="shared" ca="1" si="6"/>
        <v>Nominal</v>
      </c>
      <c r="F18" s="66" t="str">
        <f t="shared" ca="1" si="7"/>
        <v>Testing if Impact_X signal will abort the tensioning.</v>
      </c>
      <c r="G18" s="86" t="s">
        <v>632</v>
      </c>
      <c r="H18" s="87">
        <v>1</v>
      </c>
      <c r="I18" s="88" t="s">
        <v>367</v>
      </c>
      <c r="J18" s="89" t="s">
        <v>463</v>
      </c>
      <c r="K18" s="95" t="str">
        <f t="shared" ca="1" si="8"/>
        <v>Ok</v>
      </c>
      <c r="L18" s="93" t="s">
        <v>428</v>
      </c>
      <c r="M18" s="90"/>
      <c r="N18" s="91"/>
    </row>
    <row r="19" spans="2:14" ht="28.8" x14ac:dyDescent="0.25">
      <c r="B19" s="64">
        <v>14</v>
      </c>
      <c r="C19" s="107" t="s">
        <v>240</v>
      </c>
      <c r="D19" s="108" t="str">
        <f t="shared" ca="1" si="5"/>
        <v>ARCH_SW_CIL_0039, ARCH_SW_CIL_0031,  ARCH_SW_CIL_0032,  ARCH_SW_CIL_0558</v>
      </c>
      <c r="E19" s="66" t="str">
        <f t="shared" ca="1" si="6"/>
        <v>Nominal</v>
      </c>
      <c r="F19" s="66" t="str">
        <f t="shared" ca="1" si="7"/>
        <v>Testing if Impact_RO_type1_ST3 signal will abort the tensioning.</v>
      </c>
      <c r="G19" s="86" t="s">
        <v>632</v>
      </c>
      <c r="H19" s="87">
        <v>1</v>
      </c>
      <c r="I19" s="88" t="s">
        <v>367</v>
      </c>
      <c r="J19" s="89" t="s">
        <v>463</v>
      </c>
      <c r="K19" s="95" t="str">
        <f t="shared" ca="1" si="8"/>
        <v>Ok</v>
      </c>
      <c r="L19" s="93" t="s">
        <v>428</v>
      </c>
      <c r="M19" s="90"/>
      <c r="N19" s="91"/>
    </row>
    <row r="20" spans="2:14" ht="28.8" x14ac:dyDescent="0.25">
      <c r="B20" s="64">
        <v>14</v>
      </c>
      <c r="C20" s="107" t="s">
        <v>241</v>
      </c>
      <c r="D20" s="108" t="str">
        <f t="shared" ca="1" si="5"/>
        <v>ARCH_SW_CIL_0039, ARCH_SW_CIL_0033,  ARCH_SW_CIL_0034,  ARCH_SW_CIL_0558</v>
      </c>
      <c r="E20" s="66" t="str">
        <f t="shared" ca="1" si="6"/>
        <v>Nominal</v>
      </c>
      <c r="F20" s="66" t="str">
        <f t="shared" ca="1" si="7"/>
        <v>Testing if Impact_RO_type2_ST3 signal will abort the tensioning.</v>
      </c>
      <c r="G20" s="86" t="s">
        <v>632</v>
      </c>
      <c r="H20" s="87">
        <v>1</v>
      </c>
      <c r="I20" s="88" t="s">
        <v>367</v>
      </c>
      <c r="J20" s="89" t="s">
        <v>463</v>
      </c>
      <c r="K20" s="95" t="str">
        <f t="shared" ca="1" si="8"/>
        <v>Ok</v>
      </c>
      <c r="L20" s="93" t="s">
        <v>428</v>
      </c>
      <c r="M20" s="90"/>
      <c r="N20" s="91"/>
    </row>
    <row r="21" spans="2:14" ht="28.8" x14ac:dyDescent="0.25">
      <c r="B21" s="64">
        <v>14</v>
      </c>
      <c r="C21" s="107" t="s">
        <v>242</v>
      </c>
      <c r="D21" s="108" t="str">
        <f t="shared" ca="1" si="5"/>
        <v>ARCH_SW_CIL_0559</v>
      </c>
      <c r="E21" s="66" t="str">
        <f t="shared" ca="1" si="6"/>
        <v>Nominal</v>
      </c>
      <c r="F21" s="66" t="str">
        <f t="shared" ca="1" si="7"/>
        <v>Testing if Executed Cycle Number is read from BFE module.</v>
      </c>
      <c r="G21" s="86"/>
      <c r="H21" s="87">
        <v>1</v>
      </c>
      <c r="I21" s="88" t="s">
        <v>367</v>
      </c>
      <c r="J21" s="89" t="s">
        <v>463</v>
      </c>
      <c r="K21" s="95" t="str">
        <f t="shared" ca="1" si="8"/>
        <v>Ok</v>
      </c>
      <c r="L21" s="93" t="s">
        <v>428</v>
      </c>
      <c r="M21" s="90"/>
      <c r="N21" s="91"/>
    </row>
    <row r="22" spans="2:14" ht="28.8" x14ac:dyDescent="0.25">
      <c r="B22" s="64">
        <v>14</v>
      </c>
      <c r="C22" s="107" t="s">
        <v>243</v>
      </c>
      <c r="D22" s="108" t="str">
        <f t="shared" ca="1" si="5"/>
        <v xml:space="preserve">ARCH_SW_CIL_0352,  ARCH_SW_CIL_0353,  ARCH_SW_CIL_0354,  ARCH_SW_CIL_0355,  ARCH_SW_CIL_00356 </v>
      </c>
      <c r="E22" s="66" t="str">
        <f t="shared" ca="1" si="6"/>
        <v>Nominal</v>
      </c>
      <c r="F22" s="66" t="str">
        <f t="shared" ca="1" si="7"/>
        <v>Testing the data written and read by CIL module.</v>
      </c>
      <c r="G22" s="86"/>
      <c r="H22" s="87">
        <v>1</v>
      </c>
      <c r="I22" s="88" t="s">
        <v>367</v>
      </c>
      <c r="J22" s="89" t="s">
        <v>463</v>
      </c>
      <c r="K22" s="95" t="str">
        <f t="shared" ca="1" si="8"/>
        <v>Ok</v>
      </c>
      <c r="L22" s="93" t="s">
        <v>428</v>
      </c>
      <c r="M22" s="90"/>
      <c r="N22" s="91"/>
    </row>
    <row r="23" spans="2:14" ht="28.8" x14ac:dyDescent="0.25">
      <c r="B23" s="64">
        <v>21</v>
      </c>
      <c r="C23" s="107" t="s">
        <v>328</v>
      </c>
      <c r="D23" s="108" t="str">
        <f t="shared" ref="D23:D24" ca="1" si="9">IF(C23&lt;&gt;"",INDIRECT(C23&amp;"!B3"),"")</f>
        <v>ARCH_SW_CIL_0045, ARCH_SW_CIL_0046, ARCH_SW_CIL_00357</v>
      </c>
      <c r="E23" s="66" t="str">
        <f t="shared" ref="E23:E24" ca="1" si="10">IF(C23&lt;&gt;"",INDIRECT(C23&amp;"!B5"),"")</f>
        <v>Nominal</v>
      </c>
      <c r="F23" s="66" t="str">
        <f t="shared" ref="F23:F24" ca="1" si="11">IF(C23&lt;&gt;"",INDIRECT(C23&amp;"!B1"),"")</f>
        <v>Testing BSR request</v>
      </c>
      <c r="G23" s="86" t="s">
        <v>632</v>
      </c>
      <c r="H23" s="87">
        <v>1</v>
      </c>
      <c r="I23" s="88" t="s">
        <v>367</v>
      </c>
      <c r="J23" s="89" t="s">
        <v>463</v>
      </c>
      <c r="K23" s="95" t="str">
        <f t="shared" ref="K23:K24" ca="1" si="12">IF(C23&lt;&gt;"",INDIRECT(C23&amp;"!B9"),"")</f>
        <v>Ok</v>
      </c>
      <c r="L23" s="93" t="s">
        <v>428</v>
      </c>
      <c r="M23" s="90"/>
      <c r="N23" s="91"/>
    </row>
    <row r="24" spans="2:14" ht="28.8" x14ac:dyDescent="0.25">
      <c r="B24" s="64">
        <v>22</v>
      </c>
      <c r="C24" s="107" t="s">
        <v>329</v>
      </c>
      <c r="D24" s="108" t="str">
        <f t="shared" ca="1" si="9"/>
        <v xml:space="preserve">ARCH_SW_CIL_0047, ARCH_SW_CIL_00358, ARCH_SW_CIL_0700, ARCH_SW_CIL_0703, </v>
      </c>
      <c r="E24" s="66" t="str">
        <f t="shared" ca="1" si="10"/>
        <v>Nominal</v>
      </c>
      <c r="F24" s="66" t="str">
        <f t="shared" ca="1" si="11"/>
        <v>Testing WHA request and WHA repetition.</v>
      </c>
      <c r="G24" s="86" t="s">
        <v>632</v>
      </c>
      <c r="H24" s="87">
        <v>1</v>
      </c>
      <c r="I24" s="88" t="s">
        <v>367</v>
      </c>
      <c r="J24" s="89" t="s">
        <v>463</v>
      </c>
      <c r="K24" s="95" t="str">
        <f t="shared" ca="1" si="12"/>
        <v>Ok</v>
      </c>
      <c r="L24" s="93" t="s">
        <v>428</v>
      </c>
      <c r="M24" s="90"/>
      <c r="N24" s="91"/>
    </row>
    <row r="25" spans="2:14" ht="28.8" x14ac:dyDescent="0.25">
      <c r="B25" s="64">
        <v>23</v>
      </c>
      <c r="C25" s="107" t="s">
        <v>362</v>
      </c>
      <c r="D25" s="108" t="str">
        <f t="shared" ref="D25" ca="1" si="13">IF(C25&lt;&gt;"",INDIRECT(C25&amp;"!B3"),"")</f>
        <v>ARCH_SW_CIL_0051, ARCH_SW_CIL_0052, ARCH_SW_CIL_0053, ARCH_SW_CIL_0054, ARCH_SW_CIL_0055, ARCH_SW_CIL_0056, ARCH_SW_CIL_0057, ARCH_SW_CIL_0080, ARCH_SW_CIL_0078</v>
      </c>
      <c r="E25" s="66" t="str">
        <f t="shared" ref="E25" ca="1" si="14">IF(C25&lt;&gt;"",INDIRECT(C25&amp;"!B5"),"")</f>
        <v>Nominal</v>
      </c>
      <c r="F25" s="66" t="str">
        <f t="shared" ref="F25" ca="1" si="15">IF(C25&lt;&gt;"",INDIRECT(C25&amp;"!B1"),"")</f>
        <v>RBTMFL_SP_Lvl_Rq_ST35 signal handling</v>
      </c>
      <c r="G25" s="86" t="s">
        <v>632</v>
      </c>
      <c r="H25" s="87">
        <v>1</v>
      </c>
      <c r="I25" s="88" t="s">
        <v>462</v>
      </c>
      <c r="J25" s="89" t="s">
        <v>463</v>
      </c>
      <c r="K25" s="95" t="str">
        <f t="shared" ref="K25" ca="1" si="16">IF(C25&lt;&gt;"",INDIRECT(C25&amp;"!B9"),"")</f>
        <v>Ok</v>
      </c>
      <c r="L25" s="93" t="s">
        <v>428</v>
      </c>
      <c r="M25" s="90"/>
      <c r="N25" s="91"/>
    </row>
    <row r="26" spans="2:14" ht="28.8" x14ac:dyDescent="0.25">
      <c r="B26" s="64">
        <v>23</v>
      </c>
      <c r="C26" s="107" t="s">
        <v>427</v>
      </c>
      <c r="D26" s="108" t="str">
        <f t="shared" ref="D26" ca="1" si="17">IF(C26&lt;&gt;"",INDIRECT(C26&amp;"!B3"),"")</f>
        <v>ARCH_SW_CIL_0058, ARCH_SW_CIL_0059, ARCH_SW_CIL_0060, ARCH_SW_CIL_0061, ARCH_SW_CIL_0062, ARCH_SW_CIL_0063, ARCH_SW_CIL_0064, ARCH_SW_CIL_0081, ARCH_SW_CIL_0077</v>
      </c>
      <c r="E26" s="66" t="str">
        <f t="shared" ref="E26" ca="1" si="18">IF(C26&lt;&gt;"",INDIRECT(C26&amp;"!B5"),"")</f>
        <v>Nominal</v>
      </c>
      <c r="F26" s="66" t="str">
        <f t="shared" ref="F26" ca="1" si="19">IF(C26&lt;&gt;"",INDIRECT(C26&amp;"!B1"),"")</f>
        <v>RBTMFR_SP_Lvl_Rq_ST35 signal handling</v>
      </c>
      <c r="G26" s="86" t="s">
        <v>632</v>
      </c>
      <c r="H26" s="87">
        <v>1</v>
      </c>
      <c r="I26" s="88" t="s">
        <v>462</v>
      </c>
      <c r="J26" s="89" t="s">
        <v>463</v>
      </c>
      <c r="K26" s="95" t="str">
        <f t="shared" ref="K26" ca="1" si="20">IF(C26&lt;&gt;"",INDIRECT(C26&amp;"!B9"),"")</f>
        <v>Ok</v>
      </c>
      <c r="L26" s="93" t="s">
        <v>428</v>
      </c>
      <c r="M26" s="90"/>
      <c r="N26" s="91"/>
    </row>
    <row r="27" spans="2:14" ht="28.8" x14ac:dyDescent="0.25">
      <c r="B27" s="64">
        <v>24</v>
      </c>
      <c r="C27" s="107" t="s">
        <v>460</v>
      </c>
      <c r="D27" s="108" t="str">
        <f t="shared" ref="D27:D34" ca="1" si="21">IF(C27&lt;&gt;"",INDIRECT(C27&amp;"!B3"),"")</f>
        <v>ARCH_SW_CIL_0066, ARCH_SW_CIL_0067, ARCH_SW_CIL_0068, ARCH_SW_CIL_0069, ARCH_SW_CIL_0070, ARCH_SW_CIL_0083, ARCH_SW_CIL_0084, ARCH_SW_CIL_0085, ARCH_SW_CIL_0071, ARCH_SW_CIL_0072, ARCH_SW_CIL_0073, ARCH_SW_CIL_0079</v>
      </c>
      <c r="E27" s="66" t="str">
        <f t="shared" ref="E27:E34" ca="1" si="22">IF(C27&lt;&gt;"",INDIRECT(C27&amp;"!B5"),"")</f>
        <v>Nominal</v>
      </c>
      <c r="F27" s="66" t="str">
        <f t="shared" ref="F27:F34" ca="1" si="23">IF(C27&lt;&gt;"",INDIRECT(C27&amp;"!B1"),"")</f>
        <v>Handling of Signal RBTM FL/FR Actv_Lvl_ST35</v>
      </c>
      <c r="G27" s="86"/>
      <c r="H27" s="87">
        <v>1</v>
      </c>
      <c r="I27" s="88" t="s">
        <v>462</v>
      </c>
      <c r="J27" s="89" t="s">
        <v>463</v>
      </c>
      <c r="K27" s="95" t="str">
        <f t="shared" ref="K27:K34" ca="1" si="24">IF(C27&lt;&gt;"",INDIRECT(C27&amp;"!B9"),"")</f>
        <v>Ok</v>
      </c>
      <c r="L27" s="93" t="s">
        <v>428</v>
      </c>
      <c r="M27" s="90"/>
      <c r="N27" s="91"/>
    </row>
    <row r="28" spans="2:14" ht="28.8" x14ac:dyDescent="0.25">
      <c r="B28" s="64">
        <v>25</v>
      </c>
      <c r="C28" s="107" t="s">
        <v>464</v>
      </c>
      <c r="D28" s="108" t="str">
        <f t="shared" ca="1" si="21"/>
        <v>ARCH_SW_CIL_0701, ARCH_SW_CIL_0702, ARCH_SW_CIL_0711, ARCH_SW_CIL_0712, ARCH_SW_CIL_0713, ARCH_SW_CIL_0714, ARCH_SW_CIL_0715, ARCH_SW_CIL_0716, ARCH_SW_CIL_0717, ARCH_SW_CIL_0718, ARCH_SW_CIL_0719, ARCH_SW_CIL_0720, ARCH_SW_CIL_0721, ARCH_SW_CIL_0722, ARCH_SW_CIL_0723, ARCH_SW_CIL_0724, ARCH_SW_CIL_0725, ARCH_SW_CIL_0726, ARCH_SW_CIL_0727, ARCH_SW_CIL_0728, ARCH_SW_CIL_0729</v>
      </c>
      <c r="E28" s="66" t="str">
        <f t="shared" ca="1" si="22"/>
        <v>Nominal</v>
      </c>
      <c r="F28" s="66" t="str">
        <f t="shared" ca="1" si="23"/>
        <v>Input/Output Param for CIL_RUNMANAGEMEASUREMENTFRAME</v>
      </c>
      <c r="G28" s="86"/>
      <c r="H28" s="87">
        <v>1</v>
      </c>
      <c r="I28" s="88" t="s">
        <v>462</v>
      </c>
      <c r="J28" s="89" t="s">
        <v>463</v>
      </c>
      <c r="K28" s="95" t="str">
        <f t="shared" ca="1" si="24"/>
        <v>Ok</v>
      </c>
      <c r="L28" s="93" t="s">
        <v>428</v>
      </c>
      <c r="M28" s="90"/>
      <c r="N28" s="91"/>
    </row>
    <row r="29" spans="2:14" ht="28.8" x14ac:dyDescent="0.25">
      <c r="B29" s="64">
        <v>26</v>
      </c>
      <c r="C29" s="107" t="s">
        <v>465</v>
      </c>
      <c r="D29" s="108" t="str">
        <f t="shared" ca="1" si="21"/>
        <v>ARCH_SW_CIL_0750, ARCH_SW_CIL_0751, ARCH_SW_CIL_0752, ARCH_SW_CIL_0753, ARCH_SW_CIL_0754, ARCH_SW_CIL_0755</v>
      </c>
      <c r="E29" s="66" t="str">
        <f t="shared" ca="1" si="22"/>
        <v>Nominal</v>
      </c>
      <c r="F29" s="66" t="str">
        <f t="shared" ca="1" si="23"/>
        <v>Input from ADCIf to ManageMFTransmision</v>
      </c>
      <c r="G29" s="86"/>
      <c r="H29" s="87">
        <v>1</v>
      </c>
      <c r="I29" s="88" t="s">
        <v>462</v>
      </c>
      <c r="J29" s="89" t="s">
        <v>463</v>
      </c>
      <c r="K29" s="95" t="str">
        <f t="shared" ca="1" si="24"/>
        <v>Ok</v>
      </c>
      <c r="L29" s="93" t="s">
        <v>428</v>
      </c>
      <c r="M29" s="90"/>
      <c r="N29" s="91"/>
    </row>
    <row r="30" spans="2:14" ht="28.8" x14ac:dyDescent="0.25">
      <c r="B30" s="64">
        <v>27</v>
      </c>
      <c r="C30" s="107" t="s">
        <v>466</v>
      </c>
      <c r="D30" s="108" t="str">
        <f t="shared" ca="1" si="21"/>
        <v>ARCH_SW_CIL_0756</v>
      </c>
      <c r="E30" s="66" t="str">
        <f t="shared" ca="1" si="22"/>
        <v>Nominal</v>
      </c>
      <c r="F30" s="66" t="str">
        <f t="shared" ca="1" si="23"/>
        <v>Input from ATM to ManageMFTransmision</v>
      </c>
      <c r="G30" s="86"/>
      <c r="H30" s="87">
        <v>1</v>
      </c>
      <c r="I30" s="88" t="s">
        <v>462</v>
      </c>
      <c r="J30" s="89" t="s">
        <v>463</v>
      </c>
      <c r="K30" s="95" t="str">
        <f t="shared" ca="1" si="24"/>
        <v>Nok</v>
      </c>
      <c r="L30" s="93" t="s">
        <v>428</v>
      </c>
      <c r="M30" s="90">
        <v>814526</v>
      </c>
      <c r="N30" s="91"/>
    </row>
    <row r="31" spans="2:14" ht="28.8" x14ac:dyDescent="0.25">
      <c r="B31" s="63">
        <v>28</v>
      </c>
      <c r="C31" s="107" t="s">
        <v>467</v>
      </c>
      <c r="D31" s="108" t="str">
        <f t="shared" ca="1" si="21"/>
        <v>ARCH_SW_CIL_0757, ARCH_SW_CIL_0758, ARCH_SW_CIL_0759, ARCH_SW_CIL_0760</v>
      </c>
      <c r="E31" s="66" t="str">
        <f t="shared" ca="1" si="22"/>
        <v>Nominal</v>
      </c>
      <c r="F31" s="66" t="str">
        <f t="shared" ca="1" si="23"/>
        <v>Input from BMM to ManageMFTransmision</v>
      </c>
      <c r="G31" s="86"/>
      <c r="H31" s="87">
        <v>1</v>
      </c>
      <c r="I31" s="88" t="s">
        <v>462</v>
      </c>
      <c r="J31" s="89" t="s">
        <v>463</v>
      </c>
      <c r="K31" s="95" t="str">
        <f t="shared" ca="1" si="24"/>
        <v>Nok</v>
      </c>
      <c r="L31" s="93" t="s">
        <v>428</v>
      </c>
      <c r="M31" s="90">
        <v>814526</v>
      </c>
      <c r="N31" s="91"/>
    </row>
    <row r="32" spans="2:14" ht="28.8" x14ac:dyDescent="0.25">
      <c r="B32" s="64">
        <v>30</v>
      </c>
      <c r="C32" s="107" t="s">
        <v>468</v>
      </c>
      <c r="D32" s="108" t="str">
        <f t="shared" ca="1" si="21"/>
        <v>ARCH_SW_CIL_0761, ARCH_SW_CIL_0762, ARCH_SW_CIL_0763</v>
      </c>
      <c r="E32" s="66" t="str">
        <f t="shared" ca="1" si="22"/>
        <v>Nominal</v>
      </c>
      <c r="F32" s="66" t="str">
        <f t="shared" ca="1" si="23"/>
        <v>Input from PAL to ManageMFTransmision</v>
      </c>
      <c r="G32" s="86"/>
      <c r="H32" s="87">
        <v>1</v>
      </c>
      <c r="I32" s="88" t="s">
        <v>462</v>
      </c>
      <c r="J32" s="89" t="s">
        <v>463</v>
      </c>
      <c r="K32" s="95" t="str">
        <f t="shared" ca="1" si="24"/>
        <v>Ok</v>
      </c>
      <c r="L32" s="93" t="s">
        <v>428</v>
      </c>
      <c r="M32" s="90"/>
      <c r="N32" s="91"/>
    </row>
    <row r="33" spans="2:14" ht="28.8" x14ac:dyDescent="0.25">
      <c r="B33" s="64">
        <v>31</v>
      </c>
      <c r="C33" s="107" t="s">
        <v>469</v>
      </c>
      <c r="D33" s="108" t="str">
        <f t="shared" ca="1" si="21"/>
        <v>ARCH_SW_CIL_0764, ARCH_SW_CIL_0765, ARCH_SW_CIL_0766, ARCH_SW_CIL_0767, ARCH_SW_CIL_0768, ARCH_SW_CIL_0769, ARCH_SW_CIL_0770</v>
      </c>
      <c r="E33" s="66" t="str">
        <f t="shared" ca="1" si="22"/>
        <v>Nominal</v>
      </c>
      <c r="F33" s="66" t="str">
        <f t="shared" ca="1" si="23"/>
        <v>Input from PMP to ManageMFTransmision</v>
      </c>
      <c r="G33" s="86"/>
      <c r="H33" s="87">
        <v>1</v>
      </c>
      <c r="I33" s="88" t="s">
        <v>462</v>
      </c>
      <c r="J33" s="89" t="s">
        <v>463</v>
      </c>
      <c r="K33" s="95" t="str">
        <f t="shared" ca="1" si="24"/>
        <v>Ok</v>
      </c>
      <c r="L33" s="93" t="s">
        <v>428</v>
      </c>
      <c r="M33" s="90"/>
      <c r="N33" s="91"/>
    </row>
    <row r="34" spans="2:14" ht="28.8" x14ac:dyDescent="0.25">
      <c r="B34" s="64">
        <v>32</v>
      </c>
      <c r="C34" s="107" t="s">
        <v>470</v>
      </c>
      <c r="D34" s="108" t="str">
        <f t="shared" ca="1" si="21"/>
        <v>ARCH_SW_CIL_0771, ARCH_SW_CIL_0772</v>
      </c>
      <c r="E34" s="66" t="str">
        <f t="shared" ca="1" si="22"/>
        <v>Nominal</v>
      </c>
      <c r="F34" s="66" t="str">
        <f t="shared" ca="1" si="23"/>
        <v>Input from BFE to ManageMFTransmision</v>
      </c>
      <c r="G34" s="86"/>
      <c r="H34" s="87">
        <v>1</v>
      </c>
      <c r="I34" s="88" t="s">
        <v>462</v>
      </c>
      <c r="J34" s="89" t="s">
        <v>463</v>
      </c>
      <c r="K34" s="95" t="str">
        <f t="shared" ca="1" si="24"/>
        <v>Ok</v>
      </c>
      <c r="L34" s="93" t="s">
        <v>428</v>
      </c>
      <c r="M34" s="90"/>
      <c r="N34" s="91"/>
    </row>
    <row r="35" spans="2:14" ht="14.4" x14ac:dyDescent="0.25">
      <c r="B35" s="64">
        <v>33</v>
      </c>
      <c r="C35" s="65"/>
      <c r="D35" s="66" t="str">
        <f t="shared" ref="D35:D47" ca="1" si="25">IF(C35&lt;&gt;"",INDIRECT(C35&amp;"!B5"),"")</f>
        <v/>
      </c>
      <c r="E35" s="66" t="str">
        <f t="shared" ref="E35:E47" ca="1" si="26">IF(C35&lt;&gt;"",INDIRECT(C35&amp;"!B7"),"")</f>
        <v/>
      </c>
      <c r="F35" s="66" t="str">
        <f t="shared" ca="1" si="4"/>
        <v/>
      </c>
      <c r="G35" s="66"/>
      <c r="H35" s="66"/>
      <c r="I35" s="67"/>
      <c r="J35" s="68"/>
      <c r="K35" s="95" t="str">
        <f t="shared" ref="K35:K47" ca="1" si="27">IF(C35&lt;&gt;"",INDIRECT(C35&amp;"!B11"),"")</f>
        <v/>
      </c>
      <c r="L35" s="94"/>
      <c r="M35" s="83"/>
      <c r="N35" s="69"/>
    </row>
    <row r="36" spans="2:14" ht="14.4" x14ac:dyDescent="0.25">
      <c r="B36" s="64">
        <v>34</v>
      </c>
      <c r="C36" s="65"/>
      <c r="D36" s="66" t="str">
        <f t="shared" ca="1" si="25"/>
        <v/>
      </c>
      <c r="E36" s="66" t="str">
        <f t="shared" ca="1" si="26"/>
        <v/>
      </c>
      <c r="F36" s="66" t="str">
        <f t="shared" ca="1" si="4"/>
        <v/>
      </c>
      <c r="G36" s="66"/>
      <c r="H36" s="66"/>
      <c r="I36" s="67"/>
      <c r="J36" s="68"/>
      <c r="K36" s="95" t="str">
        <f t="shared" ca="1" si="27"/>
        <v/>
      </c>
      <c r="L36" s="94"/>
      <c r="M36" s="83"/>
      <c r="N36" s="69"/>
    </row>
    <row r="37" spans="2:14" ht="14.4" x14ac:dyDescent="0.25">
      <c r="B37" s="64">
        <v>35</v>
      </c>
      <c r="C37" s="65"/>
      <c r="D37" s="66" t="str">
        <f t="shared" ca="1" si="25"/>
        <v/>
      </c>
      <c r="E37" s="66" t="str">
        <f t="shared" ca="1" si="26"/>
        <v/>
      </c>
      <c r="F37" s="66" t="str">
        <f t="shared" ca="1" si="4"/>
        <v/>
      </c>
      <c r="G37" s="66"/>
      <c r="H37" s="66"/>
      <c r="I37" s="67"/>
      <c r="J37" s="68"/>
      <c r="K37" s="95" t="str">
        <f t="shared" ca="1" si="27"/>
        <v/>
      </c>
      <c r="L37" s="94"/>
      <c r="M37" s="83"/>
      <c r="N37" s="69"/>
    </row>
    <row r="38" spans="2:14" ht="14.4" x14ac:dyDescent="0.25">
      <c r="B38" s="64">
        <v>36</v>
      </c>
      <c r="C38" s="65"/>
      <c r="D38" s="66" t="str">
        <f t="shared" ca="1" si="25"/>
        <v/>
      </c>
      <c r="E38" s="66" t="str">
        <f t="shared" ca="1" si="26"/>
        <v/>
      </c>
      <c r="F38" s="66" t="str">
        <f t="shared" ca="1" si="4"/>
        <v/>
      </c>
      <c r="G38" s="66"/>
      <c r="H38" s="66"/>
      <c r="I38" s="67"/>
      <c r="J38" s="68"/>
      <c r="K38" s="95" t="str">
        <f t="shared" ca="1" si="27"/>
        <v/>
      </c>
      <c r="L38" s="94"/>
      <c r="M38" s="83"/>
      <c r="N38" s="69"/>
    </row>
    <row r="39" spans="2:14" ht="14.4" x14ac:dyDescent="0.25">
      <c r="B39" s="63">
        <v>37</v>
      </c>
      <c r="C39" s="65"/>
      <c r="D39" s="66" t="str">
        <f t="shared" ca="1" si="25"/>
        <v/>
      </c>
      <c r="E39" s="66" t="str">
        <f t="shared" ca="1" si="26"/>
        <v/>
      </c>
      <c r="F39" s="66" t="str">
        <f t="shared" ca="1" si="4"/>
        <v/>
      </c>
      <c r="G39" s="66"/>
      <c r="H39" s="66"/>
      <c r="I39" s="67"/>
      <c r="J39" s="68"/>
      <c r="K39" s="95" t="str">
        <f t="shared" ca="1" si="27"/>
        <v/>
      </c>
      <c r="L39" s="94"/>
      <c r="M39" s="83"/>
      <c r="N39" s="69"/>
    </row>
    <row r="40" spans="2:14" ht="14.4" x14ac:dyDescent="0.25">
      <c r="B40" s="64">
        <v>38</v>
      </c>
      <c r="C40" s="65"/>
      <c r="D40" s="66" t="str">
        <f t="shared" ca="1" si="25"/>
        <v/>
      </c>
      <c r="E40" s="66" t="str">
        <f t="shared" ca="1" si="26"/>
        <v/>
      </c>
      <c r="F40" s="66" t="str">
        <f t="shared" ca="1" si="4"/>
        <v/>
      </c>
      <c r="G40" s="66"/>
      <c r="H40" s="66"/>
      <c r="I40" s="67"/>
      <c r="J40" s="68"/>
      <c r="K40" s="95" t="str">
        <f t="shared" ca="1" si="27"/>
        <v/>
      </c>
      <c r="L40" s="94"/>
      <c r="M40" s="83"/>
      <c r="N40" s="69"/>
    </row>
    <row r="41" spans="2:14" ht="14.4" x14ac:dyDescent="0.25">
      <c r="B41" s="64">
        <v>39</v>
      </c>
      <c r="C41" s="65"/>
      <c r="D41" s="66" t="str">
        <f t="shared" ca="1" si="25"/>
        <v/>
      </c>
      <c r="E41" s="66" t="str">
        <f t="shared" ca="1" si="26"/>
        <v/>
      </c>
      <c r="F41" s="66" t="str">
        <f t="shared" ca="1" si="4"/>
        <v/>
      </c>
      <c r="G41" s="66"/>
      <c r="H41" s="66"/>
      <c r="I41" s="67"/>
      <c r="J41" s="68"/>
      <c r="K41" s="95" t="str">
        <f t="shared" ca="1" si="27"/>
        <v/>
      </c>
      <c r="L41" s="94"/>
      <c r="M41" s="83"/>
      <c r="N41" s="69"/>
    </row>
    <row r="42" spans="2:14" ht="14.4" x14ac:dyDescent="0.25">
      <c r="B42" s="64">
        <v>40</v>
      </c>
      <c r="C42" s="65"/>
      <c r="D42" s="66" t="str">
        <f t="shared" ca="1" si="25"/>
        <v/>
      </c>
      <c r="E42" s="66" t="str">
        <f t="shared" ca="1" si="26"/>
        <v/>
      </c>
      <c r="F42" s="66" t="str">
        <f t="shared" ca="1" si="4"/>
        <v/>
      </c>
      <c r="G42" s="66"/>
      <c r="H42" s="66"/>
      <c r="I42" s="67"/>
      <c r="J42" s="68"/>
      <c r="K42" s="95" t="str">
        <f t="shared" ca="1" si="27"/>
        <v/>
      </c>
      <c r="L42" s="94"/>
      <c r="M42" s="83"/>
      <c r="N42" s="69"/>
    </row>
    <row r="43" spans="2:14" ht="14.4" x14ac:dyDescent="0.25">
      <c r="B43" s="64">
        <v>41</v>
      </c>
      <c r="C43" s="65"/>
      <c r="D43" s="66" t="str">
        <f t="shared" ca="1" si="25"/>
        <v/>
      </c>
      <c r="E43" s="66" t="str">
        <f t="shared" ca="1" si="26"/>
        <v/>
      </c>
      <c r="F43" s="66" t="str">
        <f t="shared" ca="1" si="4"/>
        <v/>
      </c>
      <c r="G43" s="66"/>
      <c r="H43" s="66"/>
      <c r="I43" s="67"/>
      <c r="J43" s="68"/>
      <c r="K43" s="95" t="str">
        <f t="shared" ca="1" si="27"/>
        <v/>
      </c>
      <c r="L43" s="94"/>
      <c r="M43" s="83"/>
      <c r="N43" s="69"/>
    </row>
    <row r="44" spans="2:14" ht="14.4" x14ac:dyDescent="0.25">
      <c r="B44" s="64">
        <v>42</v>
      </c>
      <c r="C44" s="65"/>
      <c r="D44" s="66" t="str">
        <f t="shared" ca="1" si="25"/>
        <v/>
      </c>
      <c r="E44" s="66" t="str">
        <f t="shared" ca="1" si="26"/>
        <v/>
      </c>
      <c r="F44" s="66" t="str">
        <f t="shared" ca="1" si="4"/>
        <v/>
      </c>
      <c r="G44" s="66"/>
      <c r="H44" s="66"/>
      <c r="I44" s="67"/>
      <c r="J44" s="68"/>
      <c r="K44" s="95" t="str">
        <f t="shared" ca="1" si="27"/>
        <v/>
      </c>
      <c r="L44" s="94"/>
      <c r="M44" s="83"/>
      <c r="N44" s="69"/>
    </row>
    <row r="45" spans="2:14" ht="14.4" x14ac:dyDescent="0.25">
      <c r="B45" s="64">
        <v>43</v>
      </c>
      <c r="C45" s="65"/>
      <c r="D45" s="66" t="str">
        <f t="shared" ca="1" si="25"/>
        <v/>
      </c>
      <c r="E45" s="66" t="str">
        <f t="shared" ca="1" si="26"/>
        <v/>
      </c>
      <c r="F45" s="66" t="str">
        <f t="shared" ca="1" si="4"/>
        <v/>
      </c>
      <c r="G45" s="66"/>
      <c r="H45" s="66"/>
      <c r="I45" s="67"/>
      <c r="J45" s="68"/>
      <c r="K45" s="95" t="str">
        <f t="shared" ca="1" si="27"/>
        <v/>
      </c>
      <c r="L45" s="94"/>
      <c r="M45" s="83"/>
      <c r="N45" s="69"/>
    </row>
    <row r="46" spans="2:14" ht="14.4" x14ac:dyDescent="0.25">
      <c r="B46" s="64">
        <v>44</v>
      </c>
      <c r="C46" s="65"/>
      <c r="D46" s="66" t="str">
        <f t="shared" ca="1" si="25"/>
        <v/>
      </c>
      <c r="E46" s="66" t="str">
        <f t="shared" ca="1" si="26"/>
        <v/>
      </c>
      <c r="F46" s="66" t="str">
        <f t="shared" ca="1" si="4"/>
        <v/>
      </c>
      <c r="G46" s="66"/>
      <c r="H46" s="66"/>
      <c r="I46" s="67"/>
      <c r="J46" s="68"/>
      <c r="K46" s="95" t="str">
        <f t="shared" ca="1" si="27"/>
        <v/>
      </c>
      <c r="L46" s="94"/>
      <c r="M46" s="83"/>
      <c r="N46" s="69"/>
    </row>
    <row r="47" spans="2:14" ht="15" thickBot="1" x14ac:dyDescent="0.3">
      <c r="B47" s="70">
        <v>45</v>
      </c>
      <c r="C47" s="71"/>
      <c r="D47" s="66" t="str">
        <f t="shared" ca="1" si="25"/>
        <v/>
      </c>
      <c r="E47" s="66" t="str">
        <f t="shared" ca="1" si="26"/>
        <v/>
      </c>
      <c r="F47" s="66" t="str">
        <f t="shared" ca="1" si="4"/>
        <v/>
      </c>
      <c r="G47" s="66"/>
      <c r="H47" s="66"/>
      <c r="I47" s="67"/>
      <c r="J47" s="68"/>
      <c r="K47" s="95" t="str">
        <f t="shared" ca="1" si="27"/>
        <v/>
      </c>
      <c r="L47" s="94"/>
      <c r="M47" s="83"/>
      <c r="N47" s="69"/>
    </row>
  </sheetData>
  <phoneticPr fontId="41" type="noConversion"/>
  <conditionalFormatting sqref="K27:K47">
    <cfRule type="cellIs" dxfId="369" priority="35" operator="equal">
      <formula>"Nok"</formula>
    </cfRule>
    <cfRule type="cellIs" dxfId="368" priority="36" operator="equal">
      <formula>"Ok"</formula>
    </cfRule>
  </conditionalFormatting>
  <conditionalFormatting sqref="K3">
    <cfRule type="cellIs" dxfId="367" priority="33" operator="equal">
      <formula>"Nok"</formula>
    </cfRule>
    <cfRule type="cellIs" dxfId="366" priority="34" operator="equal">
      <formula>"Ok"</formula>
    </cfRule>
  </conditionalFormatting>
  <conditionalFormatting sqref="K4">
    <cfRule type="cellIs" dxfId="365" priority="31" operator="equal">
      <formula>"Nok"</formula>
    </cfRule>
    <cfRule type="cellIs" dxfId="364" priority="32" operator="equal">
      <formula>"Ok"</formula>
    </cfRule>
  </conditionalFormatting>
  <conditionalFormatting sqref="K5">
    <cfRule type="cellIs" dxfId="363" priority="29" operator="equal">
      <formula>"Nok"</formula>
    </cfRule>
    <cfRule type="cellIs" dxfId="362" priority="30" operator="equal">
      <formula>"Ok"</formula>
    </cfRule>
  </conditionalFormatting>
  <conditionalFormatting sqref="K6">
    <cfRule type="cellIs" dxfId="361" priority="27" operator="equal">
      <formula>"Nok"</formula>
    </cfRule>
    <cfRule type="cellIs" dxfId="360" priority="28" operator="equal">
      <formula>"Ok"</formula>
    </cfRule>
  </conditionalFormatting>
  <conditionalFormatting sqref="K7 K9 K11 K13 K15">
    <cfRule type="cellIs" dxfId="359" priority="25" operator="equal">
      <formula>"Nok"</formula>
    </cfRule>
    <cfRule type="cellIs" dxfId="358" priority="26" operator="equal">
      <formula>"Ok"</formula>
    </cfRule>
  </conditionalFormatting>
  <conditionalFormatting sqref="K8 K10 K12 K14 K16">
    <cfRule type="cellIs" dxfId="357" priority="23" operator="equal">
      <formula>"Nok"</formula>
    </cfRule>
    <cfRule type="cellIs" dxfId="356" priority="24" operator="equal">
      <formula>"Ok"</formula>
    </cfRule>
  </conditionalFormatting>
  <conditionalFormatting sqref="K17">
    <cfRule type="cellIs" dxfId="355" priority="19" operator="equal">
      <formula>"Nok"</formula>
    </cfRule>
    <cfRule type="cellIs" dxfId="354" priority="20" operator="equal">
      <formula>"Ok"</formula>
    </cfRule>
  </conditionalFormatting>
  <conditionalFormatting sqref="K18">
    <cfRule type="cellIs" dxfId="353" priority="17" operator="equal">
      <formula>"Nok"</formula>
    </cfRule>
    <cfRule type="cellIs" dxfId="352" priority="18" operator="equal">
      <formula>"Ok"</formula>
    </cfRule>
  </conditionalFormatting>
  <conditionalFormatting sqref="K19">
    <cfRule type="cellIs" dxfId="351" priority="15" operator="equal">
      <formula>"Nok"</formula>
    </cfRule>
    <cfRule type="cellIs" dxfId="350" priority="16" operator="equal">
      <formula>"Ok"</formula>
    </cfRule>
  </conditionalFormatting>
  <conditionalFormatting sqref="K20">
    <cfRule type="cellIs" dxfId="349" priority="13" operator="equal">
      <formula>"Nok"</formula>
    </cfRule>
    <cfRule type="cellIs" dxfId="348" priority="14" operator="equal">
      <formula>"Ok"</formula>
    </cfRule>
  </conditionalFormatting>
  <conditionalFormatting sqref="K21">
    <cfRule type="cellIs" dxfId="347" priority="11" operator="equal">
      <formula>"Nok"</formula>
    </cfRule>
    <cfRule type="cellIs" dxfId="346" priority="12" operator="equal">
      <formula>"Ok"</formula>
    </cfRule>
  </conditionalFormatting>
  <conditionalFormatting sqref="K22">
    <cfRule type="cellIs" dxfId="345" priority="9" operator="equal">
      <formula>"Nok"</formula>
    </cfRule>
    <cfRule type="cellIs" dxfId="344" priority="10" operator="equal">
      <formula>"Ok"</formula>
    </cfRule>
  </conditionalFormatting>
  <conditionalFormatting sqref="K23">
    <cfRule type="cellIs" dxfId="343" priority="7" operator="equal">
      <formula>"Nok"</formula>
    </cfRule>
    <cfRule type="cellIs" dxfId="342" priority="8" operator="equal">
      <formula>"Ok"</formula>
    </cfRule>
  </conditionalFormatting>
  <conditionalFormatting sqref="K24:K25">
    <cfRule type="cellIs" dxfId="341" priority="5" operator="equal">
      <formula>"Nok"</formula>
    </cfRule>
    <cfRule type="cellIs" dxfId="340" priority="6" operator="equal">
      <formula>"Ok"</formula>
    </cfRule>
  </conditionalFormatting>
  <conditionalFormatting sqref="K26">
    <cfRule type="cellIs" dxfId="339" priority="3" operator="equal">
      <formula>"Nok"</formula>
    </cfRule>
    <cfRule type="cellIs" dxfId="338" priority="4" operator="equal">
      <formula>"Ok"</formula>
    </cfRule>
  </conditionalFormatting>
  <dataValidations count="3">
    <dataValidation type="list" allowBlank="1" showInputMessage="1" showErrorMessage="1" sqref="E35:E47" xr:uid="{00000000-0002-0000-0300-000000000000}">
      <formula1>"Nominal, Robustness, Endurance, Qualification, Other"</formula1>
    </dataValidation>
    <dataValidation type="list" allowBlank="1" showInputMessage="1" showErrorMessage="1" sqref="G3:G34" xr:uid="{32962E0A-C472-462C-8C4B-AA8F2A6FDCE7}">
      <formula1>",X,"</formula1>
    </dataValidation>
    <dataValidation type="list" allowBlank="1" showInputMessage="1" showErrorMessage="1" sqref="H3:H34" xr:uid="{450F32B0-BEFE-4CE1-86BE-E6829A783650}">
      <formula1>"1,2,3,"</formula1>
    </dataValidation>
  </dataValidations>
  <hyperlinks>
    <hyperlink ref="C3" location="SW_IT_CIL_0001!A1" display="SW_IT_CIL_0001" xr:uid="{00000000-0004-0000-0300-000000000000}"/>
    <hyperlink ref="C4" location="SW_IT_CIL_0002!A1" display="SW_IT_CIL_0002" xr:uid="{12B1B525-C685-487F-9B58-D9BA439944B1}"/>
    <hyperlink ref="C5" location="SW_IT_CIL_0003!A1" display="SW_IT_CIL_0003" xr:uid="{ECCA7D67-556B-49EB-8359-56AFB54D4B24}"/>
    <hyperlink ref="C6" location="SW_IT_CIL_0004!A1" display="SW_IT_CIL_0004" xr:uid="{0D982692-7E4F-4E74-AC1F-F68929649B1C}"/>
    <hyperlink ref="C7" location="SW_IT_CIL_0005!A1" display="SW_IT_CIL_0005" xr:uid="{D648EC95-4F45-4B7D-8846-592C0D7F9ED3}"/>
    <hyperlink ref="C8" location="SW_IT_CIL_0006!A1" display="SW_IT_CIL_0006" xr:uid="{8B063775-CA34-4158-BECC-FACA0314EBC2}"/>
    <hyperlink ref="C9" location="SW_IT_CIL_0007!A1" display="SW_IT_CIL_0007" xr:uid="{C29ADFD9-8DA9-4C96-8BEC-E3B15AF15766}"/>
    <hyperlink ref="C13" location="SW_IT_CIL_0011!A1" display="SW_IT_CIL_0011" xr:uid="{08B27A86-0E00-47BB-B26E-E24CA9A0D82C}"/>
    <hyperlink ref="C10" location="SW_IT_CIL_0008!A1" display="SW_IT_CIL_0008" xr:uid="{0827F89B-7166-4993-A1E8-E84473C1759D}"/>
    <hyperlink ref="C14" location="SW_IT_CIL_0012!A1" display="SW_IT_CIL_0012" xr:uid="{D3E5368E-2C13-4F15-8AC9-A1B2F7C737E2}"/>
    <hyperlink ref="C11" location="SW_IT_CIL_0009!A1" display="SW_IT_CIL_0009" xr:uid="{01EA887B-B168-472A-A5A1-21A5119A06B2}"/>
    <hyperlink ref="C15" location="SW_IT_CIL_0013!A1" display="SW_IT_CIL_0013" xr:uid="{AB097109-4BC7-4CCA-BAF1-7FA7A1C1B328}"/>
    <hyperlink ref="C12" location="SW_IT_CIL_0010!A1" display="SW_IT_CIL_0010" xr:uid="{1679FA7F-0881-429A-87C7-7071219384B3}"/>
    <hyperlink ref="C16" location="SW_IT_CIL_0014!A1" display="SW_IT_CIL_0014" xr:uid="{F2EAAAC6-717B-4435-B801-80A17933FA47}"/>
    <hyperlink ref="C17" location="SW_IT_CIL_0015!A1" display="SW_IT_CIL_0015" xr:uid="{0608F1A5-FFC4-4BCA-9188-40964F50E69B}"/>
    <hyperlink ref="C18" location="SW_IT_CIL_0016!A1" display="SW_IT_CIL_0016" xr:uid="{BA72072D-EA4C-44C7-89B1-FDAE5731AE6A}"/>
    <hyperlink ref="C19" location="SW_IT_CIL_0017!A1" display="SW_IT_CIL_0017" xr:uid="{152FD810-4246-4C7D-8114-53B5E68CC12B}"/>
    <hyperlink ref="C20" location="SW_IT_CIL_0018!A1" display="SW_IT_CIL_0018" xr:uid="{1073D213-F48B-4AC9-BD13-319B709C2130}"/>
    <hyperlink ref="C21" location="SW_IT_CIL_0019!A1" display="SW_IT_CIL_0019" xr:uid="{A9025329-16FA-4570-B457-D3878CCCC0E7}"/>
    <hyperlink ref="C22" location="SW_IT_CIL_0020!A1" display="SW_IT_CIL_0020" xr:uid="{DAFB8098-40F7-47C6-967D-06F3EDE922A1}"/>
    <hyperlink ref="C23" location="SW_IT_CIL_0021!A1" display="SW_IT_CIL_0021" xr:uid="{92291962-1B8B-4BA8-9EE8-18B477405728}"/>
    <hyperlink ref="C24" location="SW_IT_CIL_0022!A1" display="SW_IT_CIL_0022" xr:uid="{9ABC0D4A-913F-4C1E-817B-647AFFFF3F38}"/>
    <hyperlink ref="C25" location="SW_IT_CIL_0023!A1" display="SW_IT_CIL_0023" xr:uid="{A16457EF-B3F2-4171-A698-B0A4DEE6AF36}"/>
    <hyperlink ref="C26" location="SW_IT_CIL_0024!A1" display="SW_IT_CIL_0024" xr:uid="{F1236296-D2D6-4785-AB78-BFE154E8632D}"/>
    <hyperlink ref="C27" location="SW_IT_CIL_0025!A1" display="SW_IT_CIL_0025" xr:uid="{2C13DB54-2111-4B02-B05D-8C9ACA1CA362}"/>
    <hyperlink ref="C28" location="SW_IT_CIL_0026!A1" display="SW_IT_CIL_0026" xr:uid="{274F90A1-CB66-4548-AE59-A54CB2B6C4E0}"/>
    <hyperlink ref="C29" location="SW_IT_CIL_0027!A1" display="SW_IT_CIL_0027" xr:uid="{81F7973D-70B8-4538-B886-0DBE79079B41}"/>
    <hyperlink ref="C30" location="SW_IT_CIL_0028!A1" display="SW_IT_CIL_0028" xr:uid="{AEE9190F-091A-4FBB-91BA-646279C473C2}"/>
    <hyperlink ref="C31" location="SW_IT_CIL_0029!A1" display="SW_IT_CIL_0029" xr:uid="{6C0FB10F-4B01-4E3D-91DC-B7FB3D587727}"/>
    <hyperlink ref="C32" location="SW_IT_CIL_0031!A1" display="SW_IT_CIL_0031" xr:uid="{27C5E3BD-AB47-4262-8F65-0FA9CCC0C127}"/>
    <hyperlink ref="C33" location="SW_IT_CIL_0032!A1" display="SW_IT_CIL_0032" xr:uid="{15D90E7A-D94B-41C5-BD1A-0745662C723A}"/>
    <hyperlink ref="C34" location="SW_IT_CIL_0033!A1" display="SW_IT_CIL_0033" xr:uid="{0118E319-EE84-4131-BB27-DFC832D86E66}"/>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2&amp;R&amp;P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P30"/>
  <sheetViews>
    <sheetView workbookViewId="0">
      <selection activeCell="B3" sqref="B3:G3"/>
    </sheetView>
  </sheetViews>
  <sheetFormatPr defaultColWidth="9.33203125" defaultRowHeight="13.2" x14ac:dyDescent="0.25"/>
  <cols>
    <col min="1" max="1" width="20.33203125" style="100"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1" t="s">
        <v>40</v>
      </c>
      <c r="B1" s="200" t="s">
        <v>141</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271</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140</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36.450000000000003" customHeight="1" x14ac:dyDescent="0.25">
      <c r="A22" s="104" t="s">
        <v>49</v>
      </c>
      <c r="B22" s="208" t="s">
        <v>151</v>
      </c>
      <c r="C22" s="209"/>
      <c r="D22" s="209"/>
      <c r="E22" s="209"/>
      <c r="F22" s="209"/>
      <c r="G22" s="210"/>
      <c r="H22" s="196"/>
      <c r="I22" s="197"/>
      <c r="J22" s="197"/>
      <c r="K22" s="198"/>
      <c r="L22" s="196"/>
      <c r="M22" s="197"/>
      <c r="N22" s="197"/>
      <c r="O22" s="198"/>
      <c r="P22" s="98"/>
    </row>
    <row r="23" spans="1:16" ht="40.5" customHeight="1" x14ac:dyDescent="0.25">
      <c r="A23" s="104" t="s">
        <v>50</v>
      </c>
      <c r="B23" s="208" t="s">
        <v>272</v>
      </c>
      <c r="C23" s="209"/>
      <c r="D23" s="209"/>
      <c r="E23" s="209"/>
      <c r="F23" s="209"/>
      <c r="G23" s="210"/>
      <c r="H23" s="199" t="s">
        <v>280</v>
      </c>
      <c r="I23" s="199"/>
      <c r="J23" s="199"/>
      <c r="K23" s="199"/>
      <c r="L23" s="199" t="s">
        <v>280</v>
      </c>
      <c r="M23" s="199"/>
      <c r="N23" s="199"/>
      <c r="O23" s="199"/>
      <c r="P23" s="98" t="s">
        <v>131</v>
      </c>
    </row>
    <row r="24" spans="1:16" ht="40.950000000000003" customHeight="1" x14ac:dyDescent="0.25">
      <c r="A24" s="104" t="s">
        <v>51</v>
      </c>
      <c r="B24" s="208" t="s">
        <v>273</v>
      </c>
      <c r="C24" s="209"/>
      <c r="D24" s="209"/>
      <c r="E24" s="209"/>
      <c r="F24" s="209"/>
      <c r="G24" s="210"/>
      <c r="H24" s="199" t="s">
        <v>281</v>
      </c>
      <c r="I24" s="199"/>
      <c r="J24" s="199"/>
      <c r="K24" s="199"/>
      <c r="L24" s="199" t="s">
        <v>281</v>
      </c>
      <c r="M24" s="199"/>
      <c r="N24" s="199"/>
      <c r="O24" s="199"/>
      <c r="P24" s="98" t="s">
        <v>131</v>
      </c>
    </row>
    <row r="25" spans="1:16" ht="39.450000000000003" customHeight="1" x14ac:dyDescent="0.25">
      <c r="A25" s="104" t="s">
        <v>52</v>
      </c>
      <c r="B25" s="208" t="s">
        <v>274</v>
      </c>
      <c r="C25" s="209"/>
      <c r="D25" s="209"/>
      <c r="E25" s="209"/>
      <c r="F25" s="209"/>
      <c r="G25" s="210"/>
      <c r="H25" s="199" t="s">
        <v>282</v>
      </c>
      <c r="I25" s="199"/>
      <c r="J25" s="199"/>
      <c r="K25" s="199"/>
      <c r="L25" s="199" t="s">
        <v>282</v>
      </c>
      <c r="M25" s="199"/>
      <c r="N25" s="199"/>
      <c r="O25" s="199"/>
      <c r="P25" s="98" t="s">
        <v>131</v>
      </c>
    </row>
    <row r="26" spans="1:16" ht="39.450000000000003" customHeight="1" x14ac:dyDescent="0.25">
      <c r="A26" s="104" t="s">
        <v>53</v>
      </c>
      <c r="B26" s="208" t="s">
        <v>275</v>
      </c>
      <c r="C26" s="209"/>
      <c r="D26" s="209"/>
      <c r="E26" s="209"/>
      <c r="F26" s="209"/>
      <c r="G26" s="210"/>
      <c r="H26" s="199" t="s">
        <v>284</v>
      </c>
      <c r="I26" s="199"/>
      <c r="J26" s="199"/>
      <c r="K26" s="199"/>
      <c r="L26" s="199" t="s">
        <v>284</v>
      </c>
      <c r="M26" s="199"/>
      <c r="N26" s="199"/>
      <c r="O26" s="199"/>
      <c r="P26" s="98" t="s">
        <v>131</v>
      </c>
    </row>
    <row r="27" spans="1:16" ht="27" customHeight="1" x14ac:dyDescent="0.25">
      <c r="A27" s="104" t="s">
        <v>54</v>
      </c>
      <c r="B27" s="208" t="s">
        <v>276</v>
      </c>
      <c r="C27" s="209"/>
      <c r="D27" s="209"/>
      <c r="E27" s="209"/>
      <c r="F27" s="209"/>
      <c r="G27" s="210"/>
      <c r="H27" s="199" t="s">
        <v>278</v>
      </c>
      <c r="I27" s="199"/>
      <c r="J27" s="199"/>
      <c r="K27" s="199"/>
      <c r="L27" s="199" t="s">
        <v>278</v>
      </c>
      <c r="M27" s="199"/>
      <c r="N27" s="199"/>
      <c r="O27" s="199"/>
      <c r="P27" s="98" t="s">
        <v>131</v>
      </c>
    </row>
    <row r="28" spans="1:16" ht="33.6" customHeight="1" x14ac:dyDescent="0.25">
      <c r="A28" s="104" t="s">
        <v>55</v>
      </c>
      <c r="B28" s="208" t="s">
        <v>277</v>
      </c>
      <c r="C28" s="209"/>
      <c r="D28" s="209"/>
      <c r="E28" s="209"/>
      <c r="F28" s="209"/>
      <c r="G28" s="210"/>
      <c r="H28" s="199" t="s">
        <v>285</v>
      </c>
      <c r="I28" s="199"/>
      <c r="J28" s="199"/>
      <c r="K28" s="199"/>
      <c r="L28" s="199" t="s">
        <v>285</v>
      </c>
      <c r="M28" s="199"/>
      <c r="N28" s="199"/>
      <c r="O28" s="199"/>
      <c r="P28" s="98" t="s">
        <v>131</v>
      </c>
    </row>
    <row r="29" spans="1:16" x14ac:dyDescent="0.25">
      <c r="B29" s="100"/>
      <c r="C29" s="100"/>
      <c r="D29" s="100"/>
      <c r="E29" s="100"/>
      <c r="F29" s="100"/>
      <c r="G29" s="100"/>
      <c r="H29" s="100"/>
    </row>
    <row r="30" spans="1:16" x14ac:dyDescent="0.25">
      <c r="B30" s="100"/>
      <c r="C30" s="100"/>
      <c r="D30" s="100"/>
      <c r="E30" s="100"/>
      <c r="F30" s="100"/>
      <c r="G30" s="100"/>
      <c r="H30" s="100"/>
    </row>
  </sheetData>
  <mergeCells count="31">
    <mergeCell ref="L28:O28"/>
    <mergeCell ref="B27:G27"/>
    <mergeCell ref="B28:G28"/>
    <mergeCell ref="H23:K23"/>
    <mergeCell ref="H28:K28"/>
    <mergeCell ref="L25:O25"/>
    <mergeCell ref="L26:O26"/>
    <mergeCell ref="L27:O27"/>
    <mergeCell ref="H24:K24"/>
    <mergeCell ref="H25:K25"/>
    <mergeCell ref="L24:O24"/>
    <mergeCell ref="A11:A14"/>
    <mergeCell ref="A16:A19"/>
    <mergeCell ref="B26:G26"/>
    <mergeCell ref="H26:K26"/>
    <mergeCell ref="H27:K27"/>
    <mergeCell ref="A21:G21"/>
    <mergeCell ref="B22:G22"/>
    <mergeCell ref="B25:G25"/>
    <mergeCell ref="B11:G14"/>
    <mergeCell ref="B16:G19"/>
    <mergeCell ref="B23:G23"/>
    <mergeCell ref="B24:G24"/>
    <mergeCell ref="L21:O21"/>
    <mergeCell ref="L22:O22"/>
    <mergeCell ref="L23:O23"/>
    <mergeCell ref="B1:G1"/>
    <mergeCell ref="B3:G3"/>
    <mergeCell ref="B7:G7"/>
    <mergeCell ref="H21:K21"/>
    <mergeCell ref="H22:K22"/>
  </mergeCells>
  <conditionalFormatting sqref="B9:B10">
    <cfRule type="cellIs" dxfId="337" priority="25" operator="equal">
      <formula>"Nok"</formula>
    </cfRule>
    <cfRule type="cellIs" dxfId="336" priority="26" operator="equal">
      <formula>"Ok"</formula>
    </cfRule>
  </conditionalFormatting>
  <conditionalFormatting sqref="P22">
    <cfRule type="cellIs" dxfId="335" priority="15" operator="equal">
      <formula>"Nok"</formula>
    </cfRule>
    <cfRule type="cellIs" dxfId="334" priority="16" operator="equal">
      <formula>"Ok"</formula>
    </cfRule>
  </conditionalFormatting>
  <conditionalFormatting sqref="P23:P28">
    <cfRule type="cellIs" dxfId="333" priority="5" operator="equal">
      <formula>"Nok"</formula>
    </cfRule>
    <cfRule type="cellIs" dxfId="332" priority="6" operator="equal">
      <formula>"Ok"</formula>
    </cfRule>
  </conditionalFormatting>
  <dataValidations count="3">
    <dataValidation type="list" allowBlank="1" showInputMessage="1" showErrorMessage="1" sqref="B5" xr:uid="{00000000-0002-0000-0400-000000000000}">
      <formula1>"Nominal, Robustness, Endurance, Qualification"</formula1>
    </dataValidation>
    <dataValidation type="list" allowBlank="1" showInputMessage="1" showErrorMessage="1" sqref="B9" xr:uid="{00000000-0002-0000-0400-000001000000}">
      <formula1>"Ok, Nok, Not run, NA"</formula1>
    </dataValidation>
    <dataValidation type="list" allowBlank="1" showInputMessage="1" showErrorMessage="1" sqref="P22:P28" xr:uid="{00000000-0002-0000-0400-000002000000}">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019D9-84FC-49DE-928F-A17EE4D495F3}">
  <sheetPr codeName="Sheet7"/>
  <dimension ref="A1:P28"/>
  <sheetViews>
    <sheetView workbookViewId="0">
      <selection activeCell="B3" sqref="B3:G3"/>
    </sheetView>
  </sheetViews>
  <sheetFormatPr defaultColWidth="9.33203125" defaultRowHeight="13.2" x14ac:dyDescent="0.25"/>
  <cols>
    <col min="1" max="1" width="20.33203125" style="100" customWidth="1"/>
    <col min="2" max="2" width="18.44140625" style="96" customWidth="1"/>
    <col min="3" max="7" width="9.33203125" style="96"/>
    <col min="8" max="15" width="9.5546875" style="96" customWidth="1"/>
    <col min="16" max="16384" width="9.33203125" style="96"/>
  </cols>
  <sheetData>
    <row r="1" spans="1:15" ht="13.8" thickBot="1" x14ac:dyDescent="0.3">
      <c r="A1" s="101" t="s">
        <v>40</v>
      </c>
      <c r="B1" s="200" t="s">
        <v>138</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248</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139</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26.7" customHeight="1" x14ac:dyDescent="0.25">
      <c r="A22" s="104" t="s">
        <v>49</v>
      </c>
      <c r="B22" s="208" t="s">
        <v>151</v>
      </c>
      <c r="C22" s="209"/>
      <c r="D22" s="209"/>
      <c r="E22" s="209"/>
      <c r="F22" s="209"/>
      <c r="G22" s="210"/>
      <c r="H22" s="196"/>
      <c r="I22" s="197"/>
      <c r="J22" s="197"/>
      <c r="K22" s="198"/>
      <c r="L22" s="196"/>
      <c r="M22" s="197"/>
      <c r="N22" s="197"/>
      <c r="O22" s="198"/>
      <c r="P22" s="98"/>
    </row>
    <row r="23" spans="1:16" ht="38.700000000000003" customHeight="1" x14ac:dyDescent="0.25">
      <c r="A23" s="104" t="s">
        <v>50</v>
      </c>
      <c r="B23" s="208" t="s">
        <v>286</v>
      </c>
      <c r="C23" s="209"/>
      <c r="D23" s="209"/>
      <c r="E23" s="209"/>
      <c r="F23" s="209"/>
      <c r="G23" s="210"/>
      <c r="H23" s="199" t="s">
        <v>280</v>
      </c>
      <c r="I23" s="199"/>
      <c r="J23" s="199"/>
      <c r="K23" s="199"/>
      <c r="L23" s="199" t="s">
        <v>283</v>
      </c>
      <c r="M23" s="199"/>
      <c r="N23" s="199"/>
      <c r="O23" s="199"/>
      <c r="P23" s="98" t="s">
        <v>131</v>
      </c>
    </row>
    <row r="24" spans="1:16" ht="39.450000000000003" customHeight="1" x14ac:dyDescent="0.25">
      <c r="A24" s="104" t="s">
        <v>51</v>
      </c>
      <c r="B24" s="208" t="s">
        <v>287</v>
      </c>
      <c r="C24" s="209"/>
      <c r="D24" s="209"/>
      <c r="E24" s="209"/>
      <c r="F24" s="209"/>
      <c r="G24" s="210"/>
      <c r="H24" s="199" t="s">
        <v>281</v>
      </c>
      <c r="I24" s="199"/>
      <c r="J24" s="199"/>
      <c r="K24" s="199"/>
      <c r="L24" s="199" t="s">
        <v>279</v>
      </c>
      <c r="M24" s="199"/>
      <c r="N24" s="199"/>
      <c r="O24" s="199"/>
      <c r="P24" s="98" t="s">
        <v>131</v>
      </c>
    </row>
    <row r="25" spans="1:16" ht="27" customHeight="1" x14ac:dyDescent="0.25">
      <c r="A25" s="104" t="s">
        <v>52</v>
      </c>
      <c r="B25" s="208" t="s">
        <v>288</v>
      </c>
      <c r="C25" s="209"/>
      <c r="D25" s="209"/>
      <c r="E25" s="209"/>
      <c r="F25" s="209"/>
      <c r="G25" s="210"/>
      <c r="H25" s="199" t="s">
        <v>280</v>
      </c>
      <c r="I25" s="199"/>
      <c r="J25" s="199"/>
      <c r="K25" s="199"/>
      <c r="L25" s="199" t="s">
        <v>283</v>
      </c>
      <c r="M25" s="199"/>
      <c r="N25" s="199"/>
      <c r="O25" s="199"/>
      <c r="P25" s="98" t="s">
        <v>131</v>
      </c>
    </row>
    <row r="26" spans="1:16" x14ac:dyDescent="0.25">
      <c r="A26" s="104"/>
      <c r="B26" s="220"/>
      <c r="C26" s="221"/>
      <c r="D26" s="221"/>
      <c r="E26" s="221"/>
      <c r="F26" s="221"/>
      <c r="G26" s="222"/>
      <c r="H26" s="199"/>
      <c r="I26" s="199"/>
      <c r="J26" s="199"/>
      <c r="K26" s="199"/>
      <c r="L26" s="199"/>
      <c r="M26" s="199"/>
      <c r="N26" s="199"/>
      <c r="O26" s="199"/>
      <c r="P26" s="98"/>
    </row>
    <row r="27" spans="1:16" x14ac:dyDescent="0.25">
      <c r="B27" s="100"/>
      <c r="C27" s="100"/>
      <c r="D27" s="100"/>
      <c r="E27" s="100"/>
      <c r="F27" s="100"/>
      <c r="G27" s="100"/>
      <c r="H27" s="100"/>
    </row>
    <row r="28" spans="1:16" x14ac:dyDescent="0.25">
      <c r="B28" s="100"/>
      <c r="C28" s="100"/>
      <c r="D28" s="100"/>
      <c r="E28" s="100"/>
      <c r="F28" s="100"/>
      <c r="G28" s="100"/>
      <c r="H28" s="100"/>
    </row>
  </sheetData>
  <mergeCells count="25">
    <mergeCell ref="H23:K23"/>
    <mergeCell ref="L23:O23"/>
    <mergeCell ref="B1:G1"/>
    <mergeCell ref="B3:G3"/>
    <mergeCell ref="B7:G7"/>
    <mergeCell ref="A21:G21"/>
    <mergeCell ref="H21:K21"/>
    <mergeCell ref="L21:O21"/>
    <mergeCell ref="H22:K22"/>
    <mergeCell ref="L22:O22"/>
    <mergeCell ref="B22:G22"/>
    <mergeCell ref="A11:A14"/>
    <mergeCell ref="B11:G14"/>
    <mergeCell ref="A16:A19"/>
    <mergeCell ref="B16:G19"/>
    <mergeCell ref="B23:G23"/>
    <mergeCell ref="B26:G26"/>
    <mergeCell ref="H26:K26"/>
    <mergeCell ref="L26:O26"/>
    <mergeCell ref="B24:G24"/>
    <mergeCell ref="H24:K24"/>
    <mergeCell ref="L24:O24"/>
    <mergeCell ref="B25:G25"/>
    <mergeCell ref="H25:K25"/>
    <mergeCell ref="L25:O25"/>
  </mergeCells>
  <conditionalFormatting sqref="B9:B10">
    <cfRule type="cellIs" dxfId="331" priority="13" operator="equal">
      <formula>"Nok"</formula>
    </cfRule>
    <cfRule type="cellIs" dxfId="330" priority="14" operator="equal">
      <formula>"Ok"</formula>
    </cfRule>
  </conditionalFormatting>
  <conditionalFormatting sqref="P26">
    <cfRule type="cellIs" dxfId="329" priority="11" operator="equal">
      <formula>"Nok"</formula>
    </cfRule>
    <cfRule type="cellIs" dxfId="328" priority="12" operator="equal">
      <formula>"Ok"</formula>
    </cfRule>
  </conditionalFormatting>
  <conditionalFormatting sqref="P22:P25">
    <cfRule type="cellIs" dxfId="327" priority="1" operator="equal">
      <formula>"Nok"</formula>
    </cfRule>
    <cfRule type="cellIs" dxfId="326" priority="2" operator="equal">
      <formula>"Ok"</formula>
    </cfRule>
  </conditionalFormatting>
  <dataValidations count="3">
    <dataValidation type="list" allowBlank="1" showInputMessage="1" showErrorMessage="1" sqref="P22:P26" xr:uid="{0FB66D9A-5DFC-4544-B73F-1161D4114261}">
      <formula1>"Ok, Nok, Not run, ,"</formula1>
    </dataValidation>
    <dataValidation type="list" allowBlank="1" showInputMessage="1" showErrorMessage="1" sqref="B9" xr:uid="{059FC140-7702-4DBF-A826-964D241C0ED6}">
      <formula1>"Ok, Nok, Not run, NA"</formula1>
    </dataValidation>
    <dataValidation type="list" allowBlank="1" showInputMessage="1" showErrorMessage="1" sqref="B5" xr:uid="{0843CA0A-57F7-4737-8739-582F724A8B8B}">
      <formula1>"Nominal, Robustness, Endurance, Qualification"</formula1>
    </dataValidation>
  </dataValidations>
  <pageMargins left="0.7" right="0.7" top="0.75" bottom="0.75" header="0.3" footer="0.3"/>
  <pageSetup paperSize="9" orientation="portrait" r:id="rId1"/>
  <headerFooter>
    <oddFooter>&amp;LNA ver 2&amp;R&amp;P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F0025-275B-4CD2-B3DC-70C108C61271}">
  <sheetPr codeName="Sheet8"/>
  <dimension ref="A1:P31"/>
  <sheetViews>
    <sheetView workbookViewId="0">
      <selection activeCell="I3" sqref="A1:P31"/>
    </sheetView>
  </sheetViews>
  <sheetFormatPr defaultColWidth="9.33203125" defaultRowHeight="13.2" x14ac:dyDescent="0.25"/>
  <cols>
    <col min="1" max="1" width="20.33203125" style="100" customWidth="1"/>
    <col min="2" max="2" width="18.44140625" style="96" customWidth="1"/>
    <col min="3" max="7" width="9.33203125" style="96"/>
    <col min="8" max="15" width="9.5546875" style="96" customWidth="1"/>
    <col min="16" max="16384" width="9.33203125" style="96"/>
  </cols>
  <sheetData>
    <row r="1" spans="1:15" ht="13.8" thickBot="1" x14ac:dyDescent="0.3">
      <c r="A1" s="101" t="s">
        <v>40</v>
      </c>
      <c r="B1" s="200" t="s">
        <v>142</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376</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143</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25.5" customHeight="1" x14ac:dyDescent="0.25">
      <c r="A22" s="104" t="s">
        <v>49</v>
      </c>
      <c r="B22" s="208" t="s">
        <v>151</v>
      </c>
      <c r="C22" s="209"/>
      <c r="D22" s="209"/>
      <c r="E22" s="209"/>
      <c r="F22" s="209"/>
      <c r="G22" s="210"/>
      <c r="H22" s="196"/>
      <c r="I22" s="197"/>
      <c r="J22" s="197"/>
      <c r="K22" s="198"/>
      <c r="L22" s="196"/>
      <c r="M22" s="197"/>
      <c r="N22" s="197"/>
      <c r="O22" s="198"/>
      <c r="P22" s="98"/>
    </row>
    <row r="23" spans="1:16" ht="39.450000000000003" customHeight="1" x14ac:dyDescent="0.25">
      <c r="A23" s="104" t="s">
        <v>50</v>
      </c>
      <c r="B23" s="208" t="s">
        <v>289</v>
      </c>
      <c r="C23" s="209"/>
      <c r="D23" s="209"/>
      <c r="E23" s="209"/>
      <c r="F23" s="209"/>
      <c r="G23" s="210"/>
      <c r="H23" s="199" t="s">
        <v>281</v>
      </c>
      <c r="I23" s="199"/>
      <c r="J23" s="199"/>
      <c r="K23" s="199"/>
      <c r="L23" s="199" t="s">
        <v>279</v>
      </c>
      <c r="M23" s="199"/>
      <c r="N23" s="199"/>
      <c r="O23" s="199"/>
      <c r="P23" s="98" t="s">
        <v>131</v>
      </c>
    </row>
    <row r="24" spans="1:16" ht="40.5" customHeight="1" x14ac:dyDescent="0.25">
      <c r="A24" s="104" t="s">
        <v>51</v>
      </c>
      <c r="B24" s="208" t="s">
        <v>290</v>
      </c>
      <c r="C24" s="209"/>
      <c r="D24" s="209"/>
      <c r="E24" s="209"/>
      <c r="F24" s="209"/>
      <c r="G24" s="210"/>
      <c r="H24" s="199" t="s">
        <v>280</v>
      </c>
      <c r="I24" s="199"/>
      <c r="J24" s="199"/>
      <c r="K24" s="199"/>
      <c r="L24" s="199" t="s">
        <v>283</v>
      </c>
      <c r="M24" s="199"/>
      <c r="N24" s="199"/>
      <c r="O24" s="199"/>
      <c r="P24" s="98" t="s">
        <v>131</v>
      </c>
    </row>
    <row r="25" spans="1:16" ht="39.450000000000003" customHeight="1" x14ac:dyDescent="0.25">
      <c r="A25" s="104" t="s">
        <v>52</v>
      </c>
      <c r="B25" s="208" t="s">
        <v>291</v>
      </c>
      <c r="C25" s="209"/>
      <c r="D25" s="209"/>
      <c r="E25" s="209"/>
      <c r="F25" s="209"/>
      <c r="G25" s="210"/>
      <c r="H25" s="199" t="s">
        <v>280</v>
      </c>
      <c r="I25" s="199"/>
      <c r="J25" s="199"/>
      <c r="K25" s="199"/>
      <c r="L25" s="199" t="s">
        <v>283</v>
      </c>
      <c r="M25" s="199"/>
      <c r="N25" s="199"/>
      <c r="O25" s="199"/>
      <c r="P25" s="98" t="s">
        <v>131</v>
      </c>
    </row>
    <row r="26" spans="1:16" ht="39" customHeight="1" x14ac:dyDescent="0.25">
      <c r="A26" s="104" t="s">
        <v>53</v>
      </c>
      <c r="B26" s="208" t="s">
        <v>292</v>
      </c>
      <c r="C26" s="209"/>
      <c r="D26" s="209"/>
      <c r="E26" s="209"/>
      <c r="F26" s="209"/>
      <c r="G26" s="210"/>
      <c r="H26" s="199" t="s">
        <v>280</v>
      </c>
      <c r="I26" s="199"/>
      <c r="J26" s="199"/>
      <c r="K26" s="199"/>
      <c r="L26" s="199" t="s">
        <v>283</v>
      </c>
      <c r="M26" s="199"/>
      <c r="N26" s="199"/>
      <c r="O26" s="199"/>
      <c r="P26" s="98" t="s">
        <v>131</v>
      </c>
    </row>
    <row r="27" spans="1:16" ht="37.5" customHeight="1" x14ac:dyDescent="0.25">
      <c r="A27" s="104" t="s">
        <v>54</v>
      </c>
      <c r="B27" s="208" t="s">
        <v>293</v>
      </c>
      <c r="C27" s="209"/>
      <c r="D27" s="209"/>
      <c r="E27" s="209"/>
      <c r="F27" s="209"/>
      <c r="G27" s="210"/>
      <c r="H27" s="199" t="s">
        <v>280</v>
      </c>
      <c r="I27" s="199"/>
      <c r="J27" s="199"/>
      <c r="K27" s="199"/>
      <c r="L27" s="199" t="s">
        <v>283</v>
      </c>
      <c r="M27" s="199"/>
      <c r="N27" s="199"/>
      <c r="O27" s="199"/>
      <c r="P27" s="98" t="s">
        <v>131</v>
      </c>
    </row>
    <row r="28" spans="1:16" x14ac:dyDescent="0.25">
      <c r="A28" s="104"/>
      <c r="B28" s="227"/>
      <c r="C28" s="228"/>
      <c r="D28" s="228"/>
      <c r="E28" s="228"/>
      <c r="F28" s="228"/>
      <c r="G28" s="229"/>
      <c r="H28" s="199"/>
      <c r="I28" s="199"/>
      <c r="J28" s="199"/>
      <c r="K28" s="199"/>
      <c r="L28" s="199"/>
      <c r="M28" s="199"/>
      <c r="N28" s="199"/>
      <c r="O28" s="199"/>
      <c r="P28" s="98"/>
    </row>
    <row r="29" spans="1:16" ht="13.8" thickBot="1" x14ac:dyDescent="0.3">
      <c r="A29" s="105"/>
      <c r="B29" s="223"/>
      <c r="C29" s="224"/>
      <c r="D29" s="224"/>
      <c r="E29" s="224"/>
      <c r="F29" s="224"/>
      <c r="G29" s="225"/>
      <c r="H29" s="226"/>
      <c r="I29" s="226"/>
      <c r="J29" s="226"/>
      <c r="K29" s="226"/>
      <c r="L29" s="226"/>
      <c r="M29" s="226"/>
      <c r="N29" s="226"/>
      <c r="O29" s="226"/>
      <c r="P29" s="99"/>
    </row>
    <row r="30" spans="1:16" x14ac:dyDescent="0.25">
      <c r="B30" s="100"/>
      <c r="C30" s="100"/>
      <c r="D30" s="100"/>
      <c r="E30" s="100"/>
      <c r="F30" s="100"/>
      <c r="G30" s="100"/>
      <c r="H30" s="100"/>
    </row>
    <row r="31" spans="1:16" x14ac:dyDescent="0.25">
      <c r="B31" s="100"/>
      <c r="C31" s="100"/>
      <c r="D31" s="100"/>
      <c r="E31" s="100"/>
      <c r="F31" s="100"/>
      <c r="G31" s="100"/>
      <c r="H31" s="100"/>
    </row>
  </sheetData>
  <mergeCells count="34">
    <mergeCell ref="H23:K23"/>
    <mergeCell ref="L23:O23"/>
    <mergeCell ref="B1:G1"/>
    <mergeCell ref="B3:G3"/>
    <mergeCell ref="B7:G7"/>
    <mergeCell ref="A21:G21"/>
    <mergeCell ref="H21:K21"/>
    <mergeCell ref="L21:O21"/>
    <mergeCell ref="H22:K22"/>
    <mergeCell ref="L22:O22"/>
    <mergeCell ref="B22:G22"/>
    <mergeCell ref="A11:A14"/>
    <mergeCell ref="B11:G14"/>
    <mergeCell ref="A16:A19"/>
    <mergeCell ref="B16:G19"/>
    <mergeCell ref="B23:G23"/>
    <mergeCell ref="B24:G24"/>
    <mergeCell ref="H24:K24"/>
    <mergeCell ref="L24:O24"/>
    <mergeCell ref="B25:G25"/>
    <mergeCell ref="H25:K25"/>
    <mergeCell ref="L25:O25"/>
    <mergeCell ref="B26:G26"/>
    <mergeCell ref="H26:K26"/>
    <mergeCell ref="L26:O26"/>
    <mergeCell ref="B29:G29"/>
    <mergeCell ref="H29:K29"/>
    <mergeCell ref="L29:O29"/>
    <mergeCell ref="B27:G27"/>
    <mergeCell ref="H27:K27"/>
    <mergeCell ref="L27:O27"/>
    <mergeCell ref="B28:G28"/>
    <mergeCell ref="H28:K28"/>
    <mergeCell ref="L28:O28"/>
  </mergeCells>
  <conditionalFormatting sqref="B9:B10">
    <cfRule type="cellIs" dxfId="325" priority="11" operator="equal">
      <formula>"Nok"</formula>
    </cfRule>
    <cfRule type="cellIs" dxfId="324" priority="12" operator="equal">
      <formula>"Ok"</formula>
    </cfRule>
  </conditionalFormatting>
  <conditionalFormatting sqref="P28:P29">
    <cfRule type="cellIs" dxfId="323" priority="9" operator="equal">
      <formula>"Nok"</formula>
    </cfRule>
    <cfRule type="cellIs" dxfId="322" priority="10" operator="equal">
      <formula>"Ok"</formula>
    </cfRule>
  </conditionalFormatting>
  <conditionalFormatting sqref="P22:P27">
    <cfRule type="cellIs" dxfId="321" priority="1" operator="equal">
      <formula>"Nok"</formula>
    </cfRule>
    <cfRule type="cellIs" dxfId="320" priority="2" operator="equal">
      <formula>"Ok"</formula>
    </cfRule>
  </conditionalFormatting>
  <dataValidations count="3">
    <dataValidation type="list" allowBlank="1" showInputMessage="1" showErrorMessage="1" sqref="B5" xr:uid="{05A5934F-ED2D-4F41-A78F-6E39D8BE8E18}">
      <formula1>"Nominal, Robustness, Endurance, Qualification"</formula1>
    </dataValidation>
    <dataValidation type="list" allowBlank="1" showInputMessage="1" showErrorMessage="1" sqref="B9" xr:uid="{D7AA1071-92B0-4F17-B0E2-F836902E3295}">
      <formula1>"Ok, Nok, Not run, NA"</formula1>
    </dataValidation>
    <dataValidation type="list" allowBlank="1" showInputMessage="1" showErrorMessage="1" sqref="P22:P29" xr:uid="{80699889-CA18-480A-B0F6-506440F47EDD}">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6A50F-6ECA-46B1-ACCE-ADA21FB811BB}">
  <sheetPr codeName="Sheet9"/>
  <dimension ref="A1:P31"/>
  <sheetViews>
    <sheetView topLeftCell="A4" workbookViewId="0">
      <selection activeCell="L25" sqref="L25:O25"/>
    </sheetView>
  </sheetViews>
  <sheetFormatPr defaultColWidth="9.33203125" defaultRowHeight="13.2" x14ac:dyDescent="0.25"/>
  <cols>
    <col min="1" max="1" width="20.33203125" style="100" customWidth="1"/>
    <col min="2" max="2" width="18.44140625" style="96" customWidth="1"/>
    <col min="3" max="7" width="9.33203125" style="96"/>
    <col min="8" max="15" width="9.5546875" style="96" customWidth="1"/>
    <col min="16" max="16384" width="9.33203125" style="96"/>
  </cols>
  <sheetData>
    <row r="1" spans="1:15" ht="13.8" thickBot="1" x14ac:dyDescent="0.3">
      <c r="A1" s="101" t="s">
        <v>40</v>
      </c>
      <c r="B1" s="200" t="s">
        <v>144</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249</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145</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25.5" customHeight="1" x14ac:dyDescent="0.25">
      <c r="A22" s="104" t="s">
        <v>49</v>
      </c>
      <c r="B22" s="208" t="s">
        <v>151</v>
      </c>
      <c r="C22" s="209"/>
      <c r="D22" s="209"/>
      <c r="E22" s="209"/>
      <c r="F22" s="209"/>
      <c r="G22" s="210"/>
      <c r="H22" s="196"/>
      <c r="I22" s="197"/>
      <c r="J22" s="197"/>
      <c r="K22" s="198"/>
      <c r="L22" s="196"/>
      <c r="M22" s="197"/>
      <c r="N22" s="197"/>
      <c r="O22" s="198"/>
      <c r="P22" s="98"/>
    </row>
    <row r="23" spans="1:16" ht="38.700000000000003" customHeight="1" x14ac:dyDescent="0.25">
      <c r="A23" s="104" t="s">
        <v>50</v>
      </c>
      <c r="B23" s="208" t="s">
        <v>294</v>
      </c>
      <c r="C23" s="209"/>
      <c r="D23" s="209"/>
      <c r="E23" s="209"/>
      <c r="F23" s="209"/>
      <c r="G23" s="210"/>
      <c r="H23" s="199" t="s">
        <v>280</v>
      </c>
      <c r="I23" s="199"/>
      <c r="J23" s="199"/>
      <c r="K23" s="199"/>
      <c r="L23" s="199" t="s">
        <v>283</v>
      </c>
      <c r="M23" s="199"/>
      <c r="N23" s="199"/>
      <c r="O23" s="199"/>
      <c r="P23" s="98" t="s">
        <v>131</v>
      </c>
    </row>
    <row r="24" spans="1:16" ht="39.450000000000003" customHeight="1" x14ac:dyDescent="0.25">
      <c r="A24" s="104" t="s">
        <v>51</v>
      </c>
      <c r="B24" s="208" t="s">
        <v>295</v>
      </c>
      <c r="C24" s="209"/>
      <c r="D24" s="209"/>
      <c r="E24" s="209"/>
      <c r="F24" s="209"/>
      <c r="G24" s="210"/>
      <c r="H24" s="199" t="s">
        <v>280</v>
      </c>
      <c r="I24" s="199"/>
      <c r="J24" s="199"/>
      <c r="K24" s="199"/>
      <c r="L24" s="199" t="s">
        <v>283</v>
      </c>
      <c r="M24" s="199"/>
      <c r="N24" s="199"/>
      <c r="O24" s="199"/>
      <c r="P24" s="98" t="s">
        <v>131</v>
      </c>
    </row>
    <row r="25" spans="1:16" ht="39.450000000000003" customHeight="1" x14ac:dyDescent="0.25">
      <c r="A25" s="104" t="s">
        <v>52</v>
      </c>
      <c r="B25" s="208" t="s">
        <v>296</v>
      </c>
      <c r="C25" s="209"/>
      <c r="D25" s="209"/>
      <c r="E25" s="209"/>
      <c r="F25" s="209"/>
      <c r="G25" s="210"/>
      <c r="H25" s="199" t="s">
        <v>280</v>
      </c>
      <c r="I25" s="199"/>
      <c r="J25" s="199"/>
      <c r="K25" s="199"/>
      <c r="L25" s="199" t="s">
        <v>283</v>
      </c>
      <c r="M25" s="199"/>
      <c r="N25" s="199"/>
      <c r="O25" s="199"/>
      <c r="P25" s="98" t="s">
        <v>131</v>
      </c>
    </row>
    <row r="26" spans="1:16" ht="44.7" customHeight="1" x14ac:dyDescent="0.25">
      <c r="A26" s="104" t="s">
        <v>53</v>
      </c>
      <c r="B26" s="208" t="s">
        <v>297</v>
      </c>
      <c r="C26" s="209"/>
      <c r="D26" s="209"/>
      <c r="E26" s="209"/>
      <c r="F26" s="209"/>
      <c r="G26" s="210"/>
      <c r="H26" s="199" t="s">
        <v>281</v>
      </c>
      <c r="I26" s="199"/>
      <c r="J26" s="199"/>
      <c r="K26" s="199"/>
      <c r="L26" s="199" t="s">
        <v>279</v>
      </c>
      <c r="M26" s="199"/>
      <c r="N26" s="199"/>
      <c r="O26" s="199"/>
      <c r="P26" s="98" t="s">
        <v>131</v>
      </c>
    </row>
    <row r="27" spans="1:16" ht="40.200000000000003" customHeight="1" x14ac:dyDescent="0.25">
      <c r="A27" s="104" t="s">
        <v>54</v>
      </c>
      <c r="B27" s="208" t="s">
        <v>298</v>
      </c>
      <c r="C27" s="209"/>
      <c r="D27" s="209"/>
      <c r="E27" s="209"/>
      <c r="F27" s="209"/>
      <c r="G27" s="210"/>
      <c r="H27" s="199" t="s">
        <v>280</v>
      </c>
      <c r="I27" s="199"/>
      <c r="J27" s="199"/>
      <c r="K27" s="199"/>
      <c r="L27" s="199" t="s">
        <v>283</v>
      </c>
      <c r="M27" s="199"/>
      <c r="N27" s="199"/>
      <c r="O27" s="199"/>
      <c r="P27" s="98" t="s">
        <v>131</v>
      </c>
    </row>
    <row r="28" spans="1:16" ht="44.7" customHeight="1" x14ac:dyDescent="0.25">
      <c r="A28" s="104" t="s">
        <v>55</v>
      </c>
      <c r="B28" s="208" t="s">
        <v>299</v>
      </c>
      <c r="C28" s="209"/>
      <c r="D28" s="209"/>
      <c r="E28" s="209"/>
      <c r="F28" s="209"/>
      <c r="G28" s="210"/>
      <c r="H28" s="199" t="s">
        <v>280</v>
      </c>
      <c r="I28" s="199"/>
      <c r="J28" s="199"/>
      <c r="K28" s="199"/>
      <c r="L28" s="199" t="s">
        <v>283</v>
      </c>
      <c r="M28" s="199"/>
      <c r="N28" s="199"/>
      <c r="O28" s="199"/>
      <c r="P28" s="98" t="s">
        <v>131</v>
      </c>
    </row>
    <row r="29" spans="1:16" ht="13.8" thickBot="1" x14ac:dyDescent="0.3">
      <c r="A29" s="105"/>
      <c r="B29" s="223"/>
      <c r="C29" s="224"/>
      <c r="D29" s="224"/>
      <c r="E29" s="224"/>
      <c r="F29" s="224"/>
      <c r="G29" s="225"/>
      <c r="H29" s="226"/>
      <c r="I29" s="226"/>
      <c r="J29" s="226"/>
      <c r="K29" s="226"/>
      <c r="L29" s="226"/>
      <c r="M29" s="226"/>
      <c r="N29" s="226"/>
      <c r="O29" s="226"/>
      <c r="P29" s="99"/>
    </row>
    <row r="30" spans="1:16" x14ac:dyDescent="0.25">
      <c r="B30" s="100"/>
      <c r="C30" s="100"/>
      <c r="D30" s="100"/>
      <c r="E30" s="100"/>
      <c r="F30" s="100"/>
      <c r="G30" s="100"/>
      <c r="H30" s="100"/>
    </row>
    <row r="31" spans="1:16" x14ac:dyDescent="0.25">
      <c r="B31" s="100"/>
      <c r="C31" s="100"/>
      <c r="D31" s="100"/>
      <c r="E31" s="100"/>
      <c r="F31" s="100"/>
      <c r="G31" s="100"/>
      <c r="H31" s="100"/>
    </row>
  </sheetData>
  <mergeCells count="34">
    <mergeCell ref="H23:K23"/>
    <mergeCell ref="L23:O23"/>
    <mergeCell ref="B1:G1"/>
    <mergeCell ref="B3:G3"/>
    <mergeCell ref="B7:G7"/>
    <mergeCell ref="A21:G21"/>
    <mergeCell ref="H21:K21"/>
    <mergeCell ref="L21:O21"/>
    <mergeCell ref="H22:K22"/>
    <mergeCell ref="L22:O22"/>
    <mergeCell ref="B22:G22"/>
    <mergeCell ref="A11:A14"/>
    <mergeCell ref="B11:G14"/>
    <mergeCell ref="A16:A19"/>
    <mergeCell ref="B16:G19"/>
    <mergeCell ref="B23:G23"/>
    <mergeCell ref="B24:G24"/>
    <mergeCell ref="H24:K24"/>
    <mergeCell ref="L24:O24"/>
    <mergeCell ref="B25:G25"/>
    <mergeCell ref="H25:K25"/>
    <mergeCell ref="L25:O25"/>
    <mergeCell ref="B26:G26"/>
    <mergeCell ref="H26:K26"/>
    <mergeCell ref="L26:O26"/>
    <mergeCell ref="B29:G29"/>
    <mergeCell ref="H29:K29"/>
    <mergeCell ref="L29:O29"/>
    <mergeCell ref="B27:G27"/>
    <mergeCell ref="H27:K27"/>
    <mergeCell ref="L27:O27"/>
    <mergeCell ref="B28:G28"/>
    <mergeCell ref="H28:K28"/>
    <mergeCell ref="L28:O28"/>
  </mergeCells>
  <conditionalFormatting sqref="B9:B10">
    <cfRule type="cellIs" dxfId="319" priority="9" operator="equal">
      <formula>"Nok"</formula>
    </cfRule>
    <cfRule type="cellIs" dxfId="318" priority="10" operator="equal">
      <formula>"Ok"</formula>
    </cfRule>
  </conditionalFormatting>
  <conditionalFormatting sqref="P29">
    <cfRule type="cellIs" dxfId="317" priority="7" operator="equal">
      <formula>"Nok"</formula>
    </cfRule>
    <cfRule type="cellIs" dxfId="316" priority="8" operator="equal">
      <formula>"Ok"</formula>
    </cfRule>
  </conditionalFormatting>
  <conditionalFormatting sqref="P22:P28">
    <cfRule type="cellIs" dxfId="315" priority="1" operator="equal">
      <formula>"Nok"</formula>
    </cfRule>
    <cfRule type="cellIs" dxfId="314" priority="2" operator="equal">
      <formula>"Ok"</formula>
    </cfRule>
  </conditionalFormatting>
  <dataValidations count="3">
    <dataValidation type="list" allowBlank="1" showInputMessage="1" showErrorMessage="1" sqref="B9" xr:uid="{0CB0340F-0B68-4E3E-883E-7B794076649F}">
      <formula1>"Ok, Nok, Not run, NA"</formula1>
    </dataValidation>
    <dataValidation type="list" allowBlank="1" showInputMessage="1" showErrorMessage="1" sqref="B5" xr:uid="{736817DC-3A14-4D1E-B848-92D4F44506B9}">
      <formula1>"Nominal, Robustness, Endurance, Qualification"</formula1>
    </dataValidation>
    <dataValidation type="list" allowBlank="1" showInputMessage="1" showErrorMessage="1" sqref="P22:P29" xr:uid="{658A0435-C2EA-456B-864F-C8CD4F9FAB9A}">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BE76A-6336-4E7C-AE7E-72174626F6E2}">
  <sheetPr codeName="Sheet11"/>
  <dimension ref="A1:P32"/>
  <sheetViews>
    <sheetView topLeftCell="A7" workbookViewId="0">
      <selection activeCell="B24" sqref="B24:G24"/>
    </sheetView>
  </sheetViews>
  <sheetFormatPr defaultColWidth="9.33203125" defaultRowHeight="13.2" x14ac:dyDescent="0.25"/>
  <cols>
    <col min="1" max="1" width="20.33203125" style="100" customWidth="1"/>
    <col min="2" max="2" width="18.44140625" style="96" customWidth="1"/>
    <col min="3" max="7" width="9.33203125" style="96"/>
    <col min="8" max="15" width="9.5546875" style="96" customWidth="1"/>
    <col min="16" max="16384" width="9.33203125" style="96"/>
  </cols>
  <sheetData>
    <row r="1" spans="1:15" ht="13.8" thickBot="1" x14ac:dyDescent="0.3">
      <c r="A1" s="101" t="s">
        <v>40</v>
      </c>
      <c r="B1" s="200" t="s">
        <v>146</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250</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147</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31.2" customHeight="1" x14ac:dyDescent="0.25">
      <c r="A22" s="104" t="s">
        <v>49</v>
      </c>
      <c r="B22" s="208" t="s">
        <v>151</v>
      </c>
      <c r="C22" s="209"/>
      <c r="D22" s="209"/>
      <c r="E22" s="209"/>
      <c r="F22" s="209"/>
      <c r="G22" s="210"/>
      <c r="H22" s="196"/>
      <c r="I22" s="197"/>
      <c r="J22" s="197"/>
      <c r="K22" s="198"/>
      <c r="L22" s="196"/>
      <c r="M22" s="197"/>
      <c r="N22" s="197"/>
      <c r="O22" s="198"/>
      <c r="P22" s="98"/>
    </row>
    <row r="23" spans="1:16" ht="41.7" customHeight="1" x14ac:dyDescent="0.25">
      <c r="A23" s="104" t="s">
        <v>50</v>
      </c>
      <c r="B23" s="227" t="s">
        <v>257</v>
      </c>
      <c r="C23" s="228"/>
      <c r="D23" s="228"/>
      <c r="E23" s="228"/>
      <c r="F23" s="228"/>
      <c r="G23" s="229"/>
      <c r="H23" s="199"/>
      <c r="I23" s="199"/>
      <c r="J23" s="199"/>
      <c r="K23" s="199"/>
      <c r="L23" s="199"/>
      <c r="M23" s="199"/>
      <c r="N23" s="199"/>
      <c r="O23" s="199"/>
      <c r="P23" s="98"/>
    </row>
    <row r="24" spans="1:16" ht="37.950000000000003" customHeight="1" x14ac:dyDescent="0.25">
      <c r="A24" s="104" t="s">
        <v>51</v>
      </c>
      <c r="B24" s="227" t="s">
        <v>152</v>
      </c>
      <c r="C24" s="228"/>
      <c r="D24" s="228"/>
      <c r="E24" s="228"/>
      <c r="F24" s="228"/>
      <c r="G24" s="229"/>
      <c r="H24" s="199"/>
      <c r="I24" s="199"/>
      <c r="J24" s="199"/>
      <c r="K24" s="199"/>
      <c r="L24" s="199"/>
      <c r="M24" s="199"/>
      <c r="N24" s="199"/>
      <c r="O24" s="199"/>
      <c r="P24" s="98"/>
    </row>
    <row r="25" spans="1:16" ht="37.5" customHeight="1" x14ac:dyDescent="0.25">
      <c r="A25" s="104" t="s">
        <v>52</v>
      </c>
      <c r="B25" s="208" t="s">
        <v>300</v>
      </c>
      <c r="C25" s="209"/>
      <c r="D25" s="209"/>
      <c r="E25" s="209"/>
      <c r="F25" s="209"/>
      <c r="G25" s="210"/>
      <c r="H25" s="199" t="s">
        <v>281</v>
      </c>
      <c r="I25" s="199"/>
      <c r="J25" s="199"/>
      <c r="K25" s="199"/>
      <c r="L25" s="199" t="s">
        <v>279</v>
      </c>
      <c r="M25" s="199"/>
      <c r="N25" s="199"/>
      <c r="O25" s="199"/>
      <c r="P25" s="98" t="s">
        <v>131</v>
      </c>
    </row>
    <row r="26" spans="1:16" ht="39.450000000000003" customHeight="1" x14ac:dyDescent="0.25">
      <c r="A26" s="104" t="s">
        <v>53</v>
      </c>
      <c r="B26" s="208" t="s">
        <v>301</v>
      </c>
      <c r="C26" s="209"/>
      <c r="D26" s="209"/>
      <c r="E26" s="209"/>
      <c r="F26" s="209"/>
      <c r="G26" s="210"/>
      <c r="H26" s="199" t="s">
        <v>280</v>
      </c>
      <c r="I26" s="199"/>
      <c r="J26" s="199"/>
      <c r="K26" s="199"/>
      <c r="L26" s="199" t="s">
        <v>283</v>
      </c>
      <c r="M26" s="199"/>
      <c r="N26" s="199"/>
      <c r="O26" s="199"/>
      <c r="P26" s="98" t="s">
        <v>131</v>
      </c>
    </row>
    <row r="27" spans="1:16" ht="37.950000000000003" customHeight="1" x14ac:dyDescent="0.25">
      <c r="A27" s="104" t="s">
        <v>54</v>
      </c>
      <c r="B27" s="208" t="s">
        <v>302</v>
      </c>
      <c r="C27" s="209"/>
      <c r="D27" s="209"/>
      <c r="E27" s="209"/>
      <c r="F27" s="209"/>
      <c r="G27" s="210"/>
      <c r="H27" s="199" t="s">
        <v>280</v>
      </c>
      <c r="I27" s="199"/>
      <c r="J27" s="199"/>
      <c r="K27" s="199"/>
      <c r="L27" s="199" t="s">
        <v>283</v>
      </c>
      <c r="M27" s="199"/>
      <c r="N27" s="199"/>
      <c r="O27" s="199"/>
      <c r="P27" s="98" t="s">
        <v>131</v>
      </c>
    </row>
    <row r="28" spans="1:16" ht="40.200000000000003" customHeight="1" x14ac:dyDescent="0.25">
      <c r="A28" s="104" t="s">
        <v>55</v>
      </c>
      <c r="B28" s="208" t="s">
        <v>303</v>
      </c>
      <c r="C28" s="209"/>
      <c r="D28" s="209"/>
      <c r="E28" s="209"/>
      <c r="F28" s="209"/>
      <c r="G28" s="210"/>
      <c r="H28" s="199" t="s">
        <v>280</v>
      </c>
      <c r="I28" s="199"/>
      <c r="J28" s="199"/>
      <c r="K28" s="199"/>
      <c r="L28" s="199" t="s">
        <v>283</v>
      </c>
      <c r="M28" s="199"/>
      <c r="N28" s="199"/>
      <c r="O28" s="199"/>
      <c r="P28" s="98" t="s">
        <v>131</v>
      </c>
    </row>
    <row r="29" spans="1:16" x14ac:dyDescent="0.25">
      <c r="A29" s="104"/>
      <c r="B29" s="227"/>
      <c r="C29" s="228"/>
      <c r="D29" s="228"/>
      <c r="E29" s="228"/>
      <c r="F29" s="228"/>
      <c r="G29" s="229"/>
      <c r="H29" s="199"/>
      <c r="I29" s="199"/>
      <c r="J29" s="199"/>
      <c r="K29" s="199"/>
      <c r="L29" s="199"/>
      <c r="M29" s="199"/>
      <c r="N29" s="199"/>
      <c r="O29" s="199"/>
      <c r="P29" s="98"/>
    </row>
    <row r="30" spans="1:16" ht="13.8" thickBot="1" x14ac:dyDescent="0.3">
      <c r="A30" s="105"/>
      <c r="B30" s="223"/>
      <c r="C30" s="224"/>
      <c r="D30" s="224"/>
      <c r="E30" s="224"/>
      <c r="F30" s="224"/>
      <c r="G30" s="225"/>
      <c r="H30" s="226"/>
      <c r="I30" s="226"/>
      <c r="J30" s="226"/>
      <c r="K30" s="226"/>
      <c r="L30" s="226"/>
      <c r="M30" s="226"/>
      <c r="N30" s="226"/>
      <c r="O30" s="226"/>
      <c r="P30" s="99"/>
    </row>
    <row r="31" spans="1:16" x14ac:dyDescent="0.25">
      <c r="B31" s="100"/>
      <c r="C31" s="100"/>
      <c r="D31" s="100"/>
      <c r="E31" s="100"/>
      <c r="F31" s="100"/>
      <c r="G31" s="100"/>
      <c r="H31" s="100"/>
    </row>
    <row r="32" spans="1:16" x14ac:dyDescent="0.25">
      <c r="B32" s="100"/>
      <c r="C32" s="100"/>
      <c r="D32" s="100"/>
      <c r="E32" s="100"/>
      <c r="F32" s="100"/>
      <c r="G32" s="100"/>
      <c r="H32" s="100"/>
    </row>
  </sheetData>
  <mergeCells count="37">
    <mergeCell ref="H23:K23"/>
    <mergeCell ref="L23:O23"/>
    <mergeCell ref="B1:G1"/>
    <mergeCell ref="B3:G3"/>
    <mergeCell ref="B7:G7"/>
    <mergeCell ref="A21:G21"/>
    <mergeCell ref="H21:K21"/>
    <mergeCell ref="L21:O21"/>
    <mergeCell ref="H22:K22"/>
    <mergeCell ref="L22:O22"/>
    <mergeCell ref="B22:G22"/>
    <mergeCell ref="A11:A14"/>
    <mergeCell ref="B11:G14"/>
    <mergeCell ref="A16:A19"/>
    <mergeCell ref="B16:G19"/>
    <mergeCell ref="B23:G23"/>
    <mergeCell ref="H27:K27"/>
    <mergeCell ref="L27:O27"/>
    <mergeCell ref="B25:G25"/>
    <mergeCell ref="H25:K25"/>
    <mergeCell ref="L25:O25"/>
    <mergeCell ref="B24:G24"/>
    <mergeCell ref="H24:K24"/>
    <mergeCell ref="L24:O24"/>
    <mergeCell ref="B30:G30"/>
    <mergeCell ref="H30:K30"/>
    <mergeCell ref="L30:O30"/>
    <mergeCell ref="B28:G28"/>
    <mergeCell ref="H28:K28"/>
    <mergeCell ref="L28:O28"/>
    <mergeCell ref="B29:G29"/>
    <mergeCell ref="H29:K29"/>
    <mergeCell ref="L29:O29"/>
    <mergeCell ref="B26:G26"/>
    <mergeCell ref="H26:K26"/>
    <mergeCell ref="L26:O26"/>
    <mergeCell ref="B27:G27"/>
  </mergeCells>
  <conditionalFormatting sqref="B9:B10">
    <cfRule type="cellIs" dxfId="313" priority="11" operator="equal">
      <formula>"Nok"</formula>
    </cfRule>
    <cfRule type="cellIs" dxfId="312" priority="12" operator="equal">
      <formula>"Ok"</formula>
    </cfRule>
  </conditionalFormatting>
  <conditionalFormatting sqref="P29:P30">
    <cfRule type="cellIs" dxfId="311" priority="9" operator="equal">
      <formula>"Nok"</formula>
    </cfRule>
    <cfRule type="cellIs" dxfId="310" priority="10" operator="equal">
      <formula>"Ok"</formula>
    </cfRule>
  </conditionalFormatting>
  <conditionalFormatting sqref="P23:P24">
    <cfRule type="cellIs" dxfId="309" priority="7" operator="equal">
      <formula>"Nok"</formula>
    </cfRule>
    <cfRule type="cellIs" dxfId="308" priority="8" operator="equal">
      <formula>"Ok"</formula>
    </cfRule>
  </conditionalFormatting>
  <conditionalFormatting sqref="P22">
    <cfRule type="cellIs" dxfId="307" priority="3" operator="equal">
      <formula>"Nok"</formula>
    </cfRule>
    <cfRule type="cellIs" dxfId="306" priority="4" operator="equal">
      <formula>"Ok"</formula>
    </cfRule>
  </conditionalFormatting>
  <conditionalFormatting sqref="P25:P28">
    <cfRule type="cellIs" dxfId="305" priority="1" operator="equal">
      <formula>"Nok"</formula>
    </cfRule>
    <cfRule type="cellIs" dxfId="304" priority="2" operator="equal">
      <formula>"Ok"</formula>
    </cfRule>
  </conditionalFormatting>
  <dataValidations count="3">
    <dataValidation type="list" allowBlank="1" showInputMessage="1" showErrorMessage="1" sqref="P22:P30" xr:uid="{1B218286-3E17-41EE-A3EB-DF7356B41F9E}">
      <formula1>"Ok, Nok, Not run, ,"</formula1>
    </dataValidation>
    <dataValidation type="list" allowBlank="1" showInputMessage="1" showErrorMessage="1" sqref="B9" xr:uid="{F3E2631C-E483-4ADA-AE29-0E1F93B544E6}">
      <formula1>"Ok, Nok, Not run, NA"</formula1>
    </dataValidation>
    <dataValidation type="list" allowBlank="1" showInputMessage="1" showErrorMessage="1" sqref="B5" xr:uid="{D1CDB27E-559D-4357-A959-3A0850374910}">
      <formula1>"Nominal, Robustness, Endurance, Qualification"</formula1>
    </dataValidation>
  </dataValidations>
  <pageMargins left="0.7" right="0.7" top="0.75" bottom="0.75" header="0.3" footer="0.3"/>
  <pageSetup paperSize="9" orientation="portrait" r:id="rId1"/>
  <headerFooter>
    <oddFooter>&amp;LNA ver 2&amp;R&amp;P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60122-A8FC-451F-B013-1EFC16B3F2D2}">
  <sheetPr codeName="Sheet10"/>
  <dimension ref="A1:P32"/>
  <sheetViews>
    <sheetView topLeftCell="A10" workbookViewId="0">
      <selection activeCell="P28" sqref="P28"/>
    </sheetView>
  </sheetViews>
  <sheetFormatPr defaultColWidth="9.33203125" defaultRowHeight="13.2" x14ac:dyDescent="0.25"/>
  <cols>
    <col min="1" max="1" width="20.33203125" style="100" customWidth="1"/>
    <col min="2" max="2" width="18.44140625" style="96" customWidth="1"/>
    <col min="3" max="7" width="9.33203125" style="96"/>
    <col min="8" max="15" width="9.5546875" style="96" customWidth="1"/>
    <col min="16" max="16384" width="9.33203125" style="96"/>
  </cols>
  <sheetData>
    <row r="1" spans="1:15" ht="13.8" thickBot="1" x14ac:dyDescent="0.3">
      <c r="A1" s="101" t="s">
        <v>40</v>
      </c>
      <c r="B1" s="200" t="s">
        <v>148</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251</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149</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34.5" customHeight="1" x14ac:dyDescent="0.25">
      <c r="A22" s="104" t="s">
        <v>49</v>
      </c>
      <c r="B22" s="208" t="s">
        <v>151</v>
      </c>
      <c r="C22" s="209"/>
      <c r="D22" s="209"/>
      <c r="E22" s="209"/>
      <c r="F22" s="209"/>
      <c r="G22" s="210"/>
      <c r="H22" s="196"/>
      <c r="I22" s="197"/>
      <c r="J22" s="197"/>
      <c r="K22" s="198"/>
      <c r="L22" s="196"/>
      <c r="M22" s="197"/>
      <c r="N22" s="197"/>
      <c r="O22" s="198"/>
      <c r="P22" s="98"/>
    </row>
    <row r="23" spans="1:16" ht="41.7" customHeight="1" x14ac:dyDescent="0.25">
      <c r="A23" s="104" t="s">
        <v>50</v>
      </c>
      <c r="B23" s="227" t="s">
        <v>257</v>
      </c>
      <c r="C23" s="228"/>
      <c r="D23" s="228"/>
      <c r="E23" s="228"/>
      <c r="F23" s="228"/>
      <c r="G23" s="229"/>
      <c r="H23" s="199"/>
      <c r="I23" s="199"/>
      <c r="J23" s="199"/>
      <c r="K23" s="199"/>
      <c r="L23" s="199"/>
      <c r="M23" s="199"/>
      <c r="N23" s="199"/>
      <c r="O23" s="199"/>
      <c r="P23" s="98"/>
    </row>
    <row r="24" spans="1:16" ht="39.450000000000003" customHeight="1" x14ac:dyDescent="0.25">
      <c r="A24" s="104" t="s">
        <v>51</v>
      </c>
      <c r="B24" s="227" t="s">
        <v>153</v>
      </c>
      <c r="C24" s="228"/>
      <c r="D24" s="228"/>
      <c r="E24" s="228"/>
      <c r="F24" s="228"/>
      <c r="G24" s="229"/>
      <c r="H24" s="199"/>
      <c r="I24" s="199"/>
      <c r="J24" s="199"/>
      <c r="K24" s="199"/>
      <c r="L24" s="199"/>
      <c r="M24" s="199"/>
      <c r="N24" s="199"/>
      <c r="O24" s="199"/>
      <c r="P24" s="98"/>
    </row>
    <row r="25" spans="1:16" ht="39" customHeight="1" x14ac:dyDescent="0.25">
      <c r="A25" s="104" t="s">
        <v>52</v>
      </c>
      <c r="B25" s="208" t="s">
        <v>304</v>
      </c>
      <c r="C25" s="209"/>
      <c r="D25" s="209"/>
      <c r="E25" s="209"/>
      <c r="F25" s="209"/>
      <c r="G25" s="210"/>
      <c r="H25" s="199" t="s">
        <v>281</v>
      </c>
      <c r="I25" s="199"/>
      <c r="J25" s="199"/>
      <c r="K25" s="199"/>
      <c r="L25" s="199" t="s">
        <v>279</v>
      </c>
      <c r="M25" s="199"/>
      <c r="N25" s="199"/>
      <c r="O25" s="199"/>
      <c r="P25" s="98" t="s">
        <v>131</v>
      </c>
    </row>
    <row r="26" spans="1:16" ht="39" customHeight="1" x14ac:dyDescent="0.25">
      <c r="A26" s="104" t="s">
        <v>53</v>
      </c>
      <c r="B26" s="208" t="s">
        <v>305</v>
      </c>
      <c r="C26" s="209"/>
      <c r="D26" s="209"/>
      <c r="E26" s="209"/>
      <c r="F26" s="209"/>
      <c r="G26" s="210"/>
      <c r="H26" s="199" t="s">
        <v>280</v>
      </c>
      <c r="I26" s="199"/>
      <c r="J26" s="199"/>
      <c r="K26" s="199"/>
      <c r="L26" s="199" t="s">
        <v>283</v>
      </c>
      <c r="M26" s="199"/>
      <c r="N26" s="199"/>
      <c r="O26" s="199"/>
      <c r="P26" s="98" t="s">
        <v>131</v>
      </c>
    </row>
    <row r="27" spans="1:16" ht="38.700000000000003" customHeight="1" x14ac:dyDescent="0.25">
      <c r="A27" s="104" t="s">
        <v>54</v>
      </c>
      <c r="B27" s="208" t="s">
        <v>306</v>
      </c>
      <c r="C27" s="209"/>
      <c r="D27" s="209"/>
      <c r="E27" s="209"/>
      <c r="F27" s="209"/>
      <c r="G27" s="210"/>
      <c r="H27" s="199" t="s">
        <v>280</v>
      </c>
      <c r="I27" s="199"/>
      <c r="J27" s="199"/>
      <c r="K27" s="199"/>
      <c r="L27" s="199" t="s">
        <v>283</v>
      </c>
      <c r="M27" s="199"/>
      <c r="N27" s="199"/>
      <c r="O27" s="199"/>
      <c r="P27" s="98" t="s">
        <v>131</v>
      </c>
    </row>
    <row r="28" spans="1:16" ht="38.700000000000003" customHeight="1" x14ac:dyDescent="0.25">
      <c r="A28" s="104" t="s">
        <v>55</v>
      </c>
      <c r="B28" s="208" t="s">
        <v>307</v>
      </c>
      <c r="C28" s="209"/>
      <c r="D28" s="209"/>
      <c r="E28" s="209"/>
      <c r="F28" s="209"/>
      <c r="G28" s="210"/>
      <c r="H28" s="199" t="s">
        <v>280</v>
      </c>
      <c r="I28" s="199"/>
      <c r="J28" s="199"/>
      <c r="K28" s="199"/>
      <c r="L28" s="199" t="s">
        <v>283</v>
      </c>
      <c r="M28" s="199"/>
      <c r="N28" s="199"/>
      <c r="O28" s="199"/>
      <c r="P28" s="98" t="s">
        <v>131</v>
      </c>
    </row>
    <row r="29" spans="1:16" x14ac:dyDescent="0.25">
      <c r="A29" s="104"/>
      <c r="B29" s="227"/>
      <c r="C29" s="228"/>
      <c r="D29" s="228"/>
      <c r="E29" s="228"/>
      <c r="F29" s="228"/>
      <c r="G29" s="229"/>
      <c r="H29" s="199"/>
      <c r="I29" s="199"/>
      <c r="J29" s="199"/>
      <c r="K29" s="199"/>
      <c r="L29" s="199"/>
      <c r="M29" s="199"/>
      <c r="N29" s="199"/>
      <c r="O29" s="199"/>
      <c r="P29" s="98"/>
    </row>
    <row r="30" spans="1:16" ht="13.8" thickBot="1" x14ac:dyDescent="0.3">
      <c r="A30" s="105"/>
      <c r="B30" s="223"/>
      <c r="C30" s="224"/>
      <c r="D30" s="224"/>
      <c r="E30" s="224"/>
      <c r="F30" s="224"/>
      <c r="G30" s="225"/>
      <c r="H30" s="226"/>
      <c r="I30" s="226"/>
      <c r="J30" s="226"/>
      <c r="K30" s="226"/>
      <c r="L30" s="226"/>
      <c r="M30" s="226"/>
      <c r="N30" s="226"/>
      <c r="O30" s="226"/>
      <c r="P30" s="99"/>
    </row>
    <row r="31" spans="1:16" x14ac:dyDescent="0.25">
      <c r="B31" s="100"/>
      <c r="C31" s="100"/>
      <c r="D31" s="100"/>
      <c r="E31" s="100"/>
      <c r="F31" s="100"/>
      <c r="G31" s="100"/>
      <c r="H31" s="100"/>
    </row>
    <row r="32" spans="1:16" x14ac:dyDescent="0.25">
      <c r="B32" s="100"/>
      <c r="C32" s="100"/>
      <c r="D32" s="100"/>
      <c r="E32" s="100"/>
      <c r="F32" s="100"/>
      <c r="G32" s="100"/>
      <c r="H32" s="100"/>
    </row>
  </sheetData>
  <mergeCells count="37">
    <mergeCell ref="H23:K23"/>
    <mergeCell ref="L23:O23"/>
    <mergeCell ref="B1:G1"/>
    <mergeCell ref="B3:G3"/>
    <mergeCell ref="B7:G7"/>
    <mergeCell ref="A21:G21"/>
    <mergeCell ref="H21:K21"/>
    <mergeCell ref="L21:O21"/>
    <mergeCell ref="H22:K22"/>
    <mergeCell ref="L22:O22"/>
    <mergeCell ref="B22:G22"/>
    <mergeCell ref="A11:A14"/>
    <mergeCell ref="B11:G14"/>
    <mergeCell ref="A16:A19"/>
    <mergeCell ref="B16:G19"/>
    <mergeCell ref="B23:G23"/>
    <mergeCell ref="B24:G24"/>
    <mergeCell ref="H24:K24"/>
    <mergeCell ref="L24:O24"/>
    <mergeCell ref="B25:G25"/>
    <mergeCell ref="H25:K25"/>
    <mergeCell ref="L25:O25"/>
    <mergeCell ref="B26:G26"/>
    <mergeCell ref="H26:K26"/>
    <mergeCell ref="L26:O26"/>
    <mergeCell ref="B27:G27"/>
    <mergeCell ref="H27:K27"/>
    <mergeCell ref="L27:O27"/>
    <mergeCell ref="B30:G30"/>
    <mergeCell ref="H30:K30"/>
    <mergeCell ref="L30:O30"/>
    <mergeCell ref="B28:G28"/>
    <mergeCell ref="H28:K28"/>
    <mergeCell ref="L28:O28"/>
    <mergeCell ref="B29:G29"/>
    <mergeCell ref="H29:K29"/>
    <mergeCell ref="L29:O29"/>
  </mergeCells>
  <conditionalFormatting sqref="B9:B10">
    <cfRule type="cellIs" dxfId="303" priority="11" operator="equal">
      <formula>"Nok"</formula>
    </cfRule>
    <cfRule type="cellIs" dxfId="302" priority="12" operator="equal">
      <formula>"Ok"</formula>
    </cfRule>
  </conditionalFormatting>
  <conditionalFormatting sqref="P29:P30">
    <cfRule type="cellIs" dxfId="301" priority="9" operator="equal">
      <formula>"Nok"</formula>
    </cfRule>
    <cfRule type="cellIs" dxfId="300" priority="10" operator="equal">
      <formula>"Ok"</formula>
    </cfRule>
  </conditionalFormatting>
  <conditionalFormatting sqref="P23:P24">
    <cfRule type="cellIs" dxfId="299" priority="7" operator="equal">
      <formula>"Nok"</formula>
    </cfRule>
    <cfRule type="cellIs" dxfId="298" priority="8" operator="equal">
      <formula>"Ok"</formula>
    </cfRule>
  </conditionalFormatting>
  <conditionalFormatting sqref="P22">
    <cfRule type="cellIs" dxfId="297" priority="3" operator="equal">
      <formula>"Nok"</formula>
    </cfRule>
    <cfRule type="cellIs" dxfId="296" priority="4" operator="equal">
      <formula>"Ok"</formula>
    </cfRule>
  </conditionalFormatting>
  <conditionalFormatting sqref="P25:P28">
    <cfRule type="cellIs" dxfId="295" priority="1" operator="equal">
      <formula>"Nok"</formula>
    </cfRule>
    <cfRule type="cellIs" dxfId="294" priority="2" operator="equal">
      <formula>"Ok"</formula>
    </cfRule>
  </conditionalFormatting>
  <dataValidations count="3">
    <dataValidation type="list" allowBlank="1" showInputMessage="1" showErrorMessage="1" sqref="B5" xr:uid="{3A3C226A-EA9C-41B4-A9B9-8221B14CFE84}">
      <formula1>"Nominal, Robustness, Endurance, Qualification"</formula1>
    </dataValidation>
    <dataValidation type="list" allowBlank="1" showInputMessage="1" showErrorMessage="1" sqref="B9" xr:uid="{79514B4A-7124-44D3-B477-0DEC69A51191}">
      <formula1>"Ok, Nok, Not run, NA"</formula1>
    </dataValidation>
    <dataValidation type="list" allowBlank="1" showInputMessage="1" showErrorMessage="1" sqref="P22:P30" xr:uid="{8D25E97D-250A-4F6E-A31E-C63873669B6D}">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A5D58-93BA-413B-9F27-839491D0705B}">
  <sheetPr codeName="Sheet12"/>
  <dimension ref="A1:P30"/>
  <sheetViews>
    <sheetView workbookViewId="0">
      <selection activeCell="B3" sqref="B3:G3"/>
    </sheetView>
  </sheetViews>
  <sheetFormatPr defaultColWidth="9.33203125" defaultRowHeight="13.2" x14ac:dyDescent="0.25"/>
  <cols>
    <col min="1" max="1" width="20.33203125" style="100" customWidth="1"/>
    <col min="2" max="2" width="18.44140625" style="96" customWidth="1"/>
    <col min="3" max="7" width="9.33203125" style="96"/>
    <col min="8" max="15" width="9.5546875" style="96" customWidth="1"/>
    <col min="16" max="16384" width="9.33203125" style="96"/>
  </cols>
  <sheetData>
    <row r="1" spans="1:15" ht="13.8" thickBot="1" x14ac:dyDescent="0.3">
      <c r="A1" s="101" t="s">
        <v>40</v>
      </c>
      <c r="B1" s="200" t="s">
        <v>155</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363</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159</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25.95" customHeight="1" x14ac:dyDescent="0.25">
      <c r="A22" s="104" t="s">
        <v>49</v>
      </c>
      <c r="B22" s="227" t="s">
        <v>156</v>
      </c>
      <c r="C22" s="228"/>
      <c r="D22" s="228"/>
      <c r="E22" s="228"/>
      <c r="F22" s="228"/>
      <c r="G22" s="229"/>
      <c r="H22" s="109"/>
      <c r="I22" s="110"/>
      <c r="J22" s="110"/>
      <c r="K22" s="111"/>
      <c r="L22" s="109"/>
      <c r="M22" s="110"/>
      <c r="N22" s="110"/>
      <c r="O22" s="111"/>
      <c r="P22" s="98"/>
    </row>
    <row r="23" spans="1:16" ht="41.7" customHeight="1" x14ac:dyDescent="0.25">
      <c r="A23" s="104" t="s">
        <v>50</v>
      </c>
      <c r="B23" s="227" t="s">
        <v>152</v>
      </c>
      <c r="C23" s="228"/>
      <c r="D23" s="228"/>
      <c r="E23" s="228"/>
      <c r="F23" s="228"/>
      <c r="G23" s="229"/>
      <c r="H23" s="199"/>
      <c r="I23" s="199"/>
      <c r="J23" s="199"/>
      <c r="K23" s="199"/>
      <c r="L23" s="199"/>
      <c r="M23" s="199"/>
      <c r="N23" s="199"/>
      <c r="O23" s="199"/>
      <c r="P23" s="98"/>
    </row>
    <row r="24" spans="1:16" ht="39.450000000000003" customHeight="1" x14ac:dyDescent="0.25">
      <c r="A24" s="104" t="s">
        <v>51</v>
      </c>
      <c r="B24" s="227" t="s">
        <v>264</v>
      </c>
      <c r="C24" s="228"/>
      <c r="D24" s="228"/>
      <c r="E24" s="228"/>
      <c r="F24" s="228"/>
      <c r="G24" s="229"/>
      <c r="H24" s="227" t="s">
        <v>180</v>
      </c>
      <c r="I24" s="228"/>
      <c r="J24" s="228"/>
      <c r="K24" s="229"/>
      <c r="L24" s="227" t="s">
        <v>181</v>
      </c>
      <c r="M24" s="228"/>
      <c r="N24" s="228"/>
      <c r="O24" s="229"/>
      <c r="P24" s="98" t="s">
        <v>131</v>
      </c>
    </row>
    <row r="25" spans="1:16" ht="39" customHeight="1" x14ac:dyDescent="0.25">
      <c r="A25" s="104" t="s">
        <v>52</v>
      </c>
      <c r="B25" s="220" t="s">
        <v>308</v>
      </c>
      <c r="C25" s="221"/>
      <c r="D25" s="221"/>
      <c r="E25" s="221"/>
      <c r="F25" s="221"/>
      <c r="G25" s="222"/>
      <c r="H25" s="227" t="s">
        <v>258</v>
      </c>
      <c r="I25" s="228"/>
      <c r="J25" s="228"/>
      <c r="K25" s="229"/>
      <c r="L25" s="227" t="s">
        <v>259</v>
      </c>
      <c r="M25" s="228"/>
      <c r="N25" s="228"/>
      <c r="O25" s="229"/>
      <c r="P25" s="98" t="s">
        <v>131</v>
      </c>
    </row>
    <row r="26" spans="1:16" ht="39" customHeight="1" x14ac:dyDescent="0.25">
      <c r="A26" s="104" t="s">
        <v>53</v>
      </c>
      <c r="B26" s="220" t="s">
        <v>309</v>
      </c>
      <c r="C26" s="221"/>
      <c r="D26" s="221"/>
      <c r="E26" s="221"/>
      <c r="F26" s="221"/>
      <c r="G26" s="222"/>
      <c r="H26" s="227" t="s">
        <v>262</v>
      </c>
      <c r="I26" s="228"/>
      <c r="J26" s="228"/>
      <c r="K26" s="229"/>
      <c r="L26" s="227" t="s">
        <v>260</v>
      </c>
      <c r="M26" s="228"/>
      <c r="N26" s="228"/>
      <c r="O26" s="229"/>
      <c r="P26" s="98" t="s">
        <v>131</v>
      </c>
    </row>
    <row r="27" spans="1:16" ht="42.45" customHeight="1" x14ac:dyDescent="0.25">
      <c r="A27" s="104" t="s">
        <v>54</v>
      </c>
      <c r="B27" s="220" t="s">
        <v>310</v>
      </c>
      <c r="C27" s="221"/>
      <c r="D27" s="221"/>
      <c r="E27" s="221"/>
      <c r="F27" s="221"/>
      <c r="G27" s="222"/>
      <c r="H27" s="227" t="s">
        <v>263</v>
      </c>
      <c r="I27" s="228"/>
      <c r="J27" s="228"/>
      <c r="K27" s="229"/>
      <c r="L27" s="227" t="s">
        <v>261</v>
      </c>
      <c r="M27" s="228"/>
      <c r="N27" s="228"/>
      <c r="O27" s="229"/>
      <c r="P27" s="98" t="s">
        <v>131</v>
      </c>
    </row>
    <row r="28" spans="1:16" ht="26.7" customHeight="1" x14ac:dyDescent="0.25">
      <c r="A28" s="104"/>
      <c r="B28" s="220"/>
      <c r="C28" s="221"/>
      <c r="D28" s="221"/>
      <c r="E28" s="221"/>
      <c r="F28" s="221"/>
      <c r="G28" s="222"/>
      <c r="H28" s="199"/>
      <c r="I28" s="199"/>
      <c r="J28" s="199"/>
      <c r="K28" s="199"/>
      <c r="L28" s="199"/>
      <c r="M28" s="199"/>
      <c r="N28" s="199"/>
      <c r="O28" s="199"/>
      <c r="P28" s="98"/>
    </row>
    <row r="29" spans="1:16" x14ac:dyDescent="0.25">
      <c r="B29" s="100"/>
      <c r="C29" s="100"/>
      <c r="D29" s="100"/>
      <c r="E29" s="100"/>
      <c r="F29" s="100"/>
      <c r="G29" s="100"/>
      <c r="H29" s="100"/>
    </row>
    <row r="30" spans="1:16" x14ac:dyDescent="0.25">
      <c r="B30" s="100"/>
      <c r="C30" s="100"/>
      <c r="D30" s="100"/>
      <c r="E30" s="100"/>
      <c r="F30" s="100"/>
      <c r="G30" s="100"/>
      <c r="H30" s="100"/>
    </row>
  </sheetData>
  <mergeCells count="29">
    <mergeCell ref="B28:G28"/>
    <mergeCell ref="H28:K28"/>
    <mergeCell ref="L28:O28"/>
    <mergeCell ref="L27:O27"/>
    <mergeCell ref="H27:K27"/>
    <mergeCell ref="B27:G27"/>
    <mergeCell ref="B25:G25"/>
    <mergeCell ref="H25:K25"/>
    <mergeCell ref="L25:O25"/>
    <mergeCell ref="B26:G26"/>
    <mergeCell ref="H26:K26"/>
    <mergeCell ref="L26:O26"/>
    <mergeCell ref="B22:G22"/>
    <mergeCell ref="H23:K23"/>
    <mergeCell ref="L23:O23"/>
    <mergeCell ref="B24:G24"/>
    <mergeCell ref="H24:K24"/>
    <mergeCell ref="L24:O24"/>
    <mergeCell ref="B23:G23"/>
    <mergeCell ref="A21:G21"/>
    <mergeCell ref="H21:K21"/>
    <mergeCell ref="L21:O21"/>
    <mergeCell ref="A16:A19"/>
    <mergeCell ref="B16:G19"/>
    <mergeCell ref="B1:G1"/>
    <mergeCell ref="B3:G3"/>
    <mergeCell ref="B7:G7"/>
    <mergeCell ref="A11:A14"/>
    <mergeCell ref="B11:G14"/>
  </mergeCells>
  <conditionalFormatting sqref="B9:B10">
    <cfRule type="cellIs" dxfId="293" priority="19" operator="equal">
      <formula>"Nok"</formula>
    </cfRule>
    <cfRule type="cellIs" dxfId="292" priority="20" operator="equal">
      <formula>"Ok"</formula>
    </cfRule>
  </conditionalFormatting>
  <conditionalFormatting sqref="P28">
    <cfRule type="cellIs" dxfId="291" priority="15" operator="equal">
      <formula>"Nok"</formula>
    </cfRule>
    <cfRule type="cellIs" dxfId="290" priority="16" operator="equal">
      <formula>"Ok"</formula>
    </cfRule>
  </conditionalFormatting>
  <conditionalFormatting sqref="P22:P23">
    <cfRule type="cellIs" dxfId="289" priority="5" operator="equal">
      <formula>"Nok"</formula>
    </cfRule>
    <cfRule type="cellIs" dxfId="288" priority="6" operator="equal">
      <formula>"Ok"</formula>
    </cfRule>
  </conditionalFormatting>
  <conditionalFormatting sqref="P24:P27">
    <cfRule type="cellIs" dxfId="287" priority="1" operator="equal">
      <formula>"Nok"</formula>
    </cfRule>
    <cfRule type="cellIs" dxfId="286" priority="2" operator="equal">
      <formula>"Ok"</formula>
    </cfRule>
  </conditionalFormatting>
  <dataValidations count="3">
    <dataValidation type="list" allowBlank="1" showInputMessage="1" showErrorMessage="1" sqref="B9" xr:uid="{2788F234-6FFF-439C-963D-EB3793585000}">
      <formula1>"Ok, Nok, Not run, NA"</formula1>
    </dataValidation>
    <dataValidation type="list" allowBlank="1" showInputMessage="1" showErrorMessage="1" sqref="B5" xr:uid="{3F341500-6ABF-4B48-B0CF-6CBB59B99875}">
      <formula1>"Nominal, Robustness, Endurance, Qualification"</formula1>
    </dataValidation>
    <dataValidation type="list" allowBlank="1" showInputMessage="1" showErrorMessage="1" sqref="P22:P28" xr:uid="{58CF8AB5-B7E0-44CB-B046-9946A651B110}">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83927-3F69-42AD-B1C8-5CE470149887}">
  <sheetPr codeName="Sheet13"/>
  <dimension ref="A1:P32"/>
  <sheetViews>
    <sheetView workbookViewId="0">
      <selection activeCell="B3" sqref="B3:G3"/>
    </sheetView>
  </sheetViews>
  <sheetFormatPr defaultColWidth="9.33203125" defaultRowHeight="13.2" x14ac:dyDescent="0.25"/>
  <cols>
    <col min="1" max="1" width="20.33203125" style="100" customWidth="1"/>
    <col min="2" max="2" width="18.44140625" style="96" customWidth="1"/>
    <col min="3" max="6" width="9.33203125" style="96"/>
    <col min="7" max="7" width="12" style="96" customWidth="1"/>
    <col min="8" max="15" width="9.5546875" style="96" customWidth="1"/>
    <col min="16" max="16384" width="9.33203125" style="96"/>
  </cols>
  <sheetData>
    <row r="1" spans="1:15" ht="13.8" thickBot="1" x14ac:dyDescent="0.3">
      <c r="A1" s="101" t="s">
        <v>40</v>
      </c>
      <c r="B1" s="200" t="s">
        <v>157</v>
      </c>
      <c r="C1" s="230"/>
      <c r="D1" s="230"/>
      <c r="E1" s="230"/>
      <c r="F1" s="230"/>
      <c r="G1" s="231"/>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364</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158</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ht="13.2" customHeight="1" x14ac:dyDescent="0.25">
      <c r="A16" s="206" t="s">
        <v>43</v>
      </c>
      <c r="B16" s="211" t="s">
        <v>150</v>
      </c>
      <c r="C16" s="212"/>
      <c r="D16" s="212"/>
      <c r="E16" s="212"/>
      <c r="F16" s="212"/>
      <c r="G16" s="213"/>
      <c r="H16" s="74"/>
      <c r="I16" s="74"/>
      <c r="J16" s="74"/>
      <c r="K16" s="74"/>
      <c r="L16" s="74"/>
      <c r="M16" s="74"/>
      <c r="N16" s="74"/>
      <c r="O16" s="74"/>
    </row>
    <row r="17" spans="1:16" ht="13.2" customHeight="1"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1.7" customHeight="1" x14ac:dyDescent="0.25">
      <c r="A22" s="104" t="s">
        <v>49</v>
      </c>
      <c r="B22" s="227" t="s">
        <v>178</v>
      </c>
      <c r="C22" s="228"/>
      <c r="D22" s="228"/>
      <c r="E22" s="228"/>
      <c r="F22" s="228"/>
      <c r="G22" s="229"/>
      <c r="H22" s="227"/>
      <c r="I22" s="228"/>
      <c r="J22" s="228"/>
      <c r="K22" s="229"/>
      <c r="L22" s="227"/>
      <c r="M22" s="228"/>
      <c r="N22" s="228"/>
      <c r="O22" s="229"/>
      <c r="P22" s="98"/>
    </row>
    <row r="23" spans="1:16" ht="41.7" customHeight="1" x14ac:dyDescent="0.25">
      <c r="A23" s="104" t="s">
        <v>50</v>
      </c>
      <c r="B23" s="227" t="s">
        <v>152</v>
      </c>
      <c r="C23" s="228"/>
      <c r="D23" s="228"/>
      <c r="E23" s="228"/>
      <c r="F23" s="228"/>
      <c r="G23" s="229"/>
      <c r="H23" s="199"/>
      <c r="I23" s="199"/>
      <c r="J23" s="199"/>
      <c r="K23" s="199"/>
      <c r="L23" s="199"/>
      <c r="M23" s="199"/>
      <c r="N23" s="199"/>
      <c r="O23" s="199"/>
      <c r="P23" s="98"/>
    </row>
    <row r="24" spans="1:16" ht="39.450000000000003" customHeight="1" x14ac:dyDescent="0.25">
      <c r="A24" s="104" t="s">
        <v>51</v>
      </c>
      <c r="B24" s="227" t="s">
        <v>194</v>
      </c>
      <c r="C24" s="228"/>
      <c r="D24" s="228"/>
      <c r="E24" s="228"/>
      <c r="F24" s="228"/>
      <c r="G24" s="229"/>
      <c r="H24" s="227" t="s">
        <v>180</v>
      </c>
      <c r="I24" s="228"/>
      <c r="J24" s="228"/>
      <c r="K24" s="229"/>
      <c r="L24" s="227" t="s">
        <v>181</v>
      </c>
      <c r="M24" s="228"/>
      <c r="N24" s="228"/>
      <c r="O24" s="229"/>
      <c r="P24" s="98" t="s">
        <v>131</v>
      </c>
    </row>
    <row r="25" spans="1:16" ht="39" customHeight="1" x14ac:dyDescent="0.25">
      <c r="A25" s="104" t="s">
        <v>52</v>
      </c>
      <c r="B25" s="220" t="s">
        <v>195</v>
      </c>
      <c r="C25" s="221"/>
      <c r="D25" s="221"/>
      <c r="E25" s="221"/>
      <c r="F25" s="221"/>
      <c r="G25" s="222"/>
      <c r="H25" s="227" t="s">
        <v>182</v>
      </c>
      <c r="I25" s="228"/>
      <c r="J25" s="228"/>
      <c r="K25" s="229"/>
      <c r="L25" s="227" t="s">
        <v>185</v>
      </c>
      <c r="M25" s="228"/>
      <c r="N25" s="228"/>
      <c r="O25" s="229"/>
      <c r="P25" s="98" t="s">
        <v>131</v>
      </c>
    </row>
    <row r="26" spans="1:16" x14ac:dyDescent="0.25">
      <c r="A26" s="104"/>
      <c r="B26" s="220"/>
      <c r="C26" s="221"/>
      <c r="D26" s="221"/>
      <c r="E26" s="221"/>
      <c r="F26" s="221"/>
      <c r="G26" s="222"/>
      <c r="H26" s="227"/>
      <c r="I26" s="228"/>
      <c r="J26" s="228"/>
      <c r="K26" s="229"/>
      <c r="L26" s="227"/>
      <c r="M26" s="228"/>
      <c r="N26" s="228"/>
      <c r="O26" s="229"/>
      <c r="P26" s="98"/>
    </row>
    <row r="27" spans="1:16" x14ac:dyDescent="0.25">
      <c r="B27" s="100"/>
      <c r="C27" s="100"/>
      <c r="D27" s="100"/>
      <c r="E27" s="100"/>
      <c r="F27" s="100"/>
      <c r="G27" s="100"/>
      <c r="H27" s="100"/>
    </row>
    <row r="28" spans="1:16" ht="13.2" customHeight="1" x14ac:dyDescent="0.25">
      <c r="B28" s="100"/>
      <c r="C28" s="100"/>
      <c r="D28" s="100"/>
      <c r="E28" s="100"/>
      <c r="F28" s="100"/>
      <c r="G28" s="100"/>
      <c r="H28" s="100"/>
    </row>
    <row r="29" spans="1:16" ht="13.2" customHeight="1" x14ac:dyDescent="0.25"/>
    <row r="30" spans="1:16" ht="13.2" customHeight="1" x14ac:dyDescent="0.25"/>
    <row r="31" spans="1:16" ht="13.2" customHeight="1" x14ac:dyDescent="0.25"/>
    <row r="32" spans="1:16" ht="13.2" customHeight="1" x14ac:dyDescent="0.25"/>
  </sheetData>
  <mergeCells count="25">
    <mergeCell ref="B25:G25"/>
    <mergeCell ref="H25:K25"/>
    <mergeCell ref="L25:O25"/>
    <mergeCell ref="B26:G26"/>
    <mergeCell ref="H26:K26"/>
    <mergeCell ref="L26:O26"/>
    <mergeCell ref="B22:G22"/>
    <mergeCell ref="H22:K22"/>
    <mergeCell ref="L22:O22"/>
    <mergeCell ref="B24:G24"/>
    <mergeCell ref="H24:K24"/>
    <mergeCell ref="L24:O24"/>
    <mergeCell ref="B23:G23"/>
    <mergeCell ref="H23:K23"/>
    <mergeCell ref="L23:O23"/>
    <mergeCell ref="A21:G21"/>
    <mergeCell ref="H21:K21"/>
    <mergeCell ref="L21:O21"/>
    <mergeCell ref="A16:A19"/>
    <mergeCell ref="B16:G19"/>
    <mergeCell ref="B1:G1"/>
    <mergeCell ref="B3:G3"/>
    <mergeCell ref="B7:G7"/>
    <mergeCell ref="A11:A14"/>
    <mergeCell ref="B11:G14"/>
  </mergeCells>
  <conditionalFormatting sqref="B9:B10">
    <cfRule type="cellIs" dxfId="285" priority="13" operator="equal">
      <formula>"Nok"</formula>
    </cfRule>
    <cfRule type="cellIs" dxfId="284" priority="14" operator="equal">
      <formula>"Ok"</formula>
    </cfRule>
  </conditionalFormatting>
  <conditionalFormatting sqref="P26">
    <cfRule type="cellIs" dxfId="283" priority="11" operator="equal">
      <formula>"Nok"</formula>
    </cfRule>
    <cfRule type="cellIs" dxfId="282" priority="12" operator="equal">
      <formula>"Ok"</formula>
    </cfRule>
  </conditionalFormatting>
  <conditionalFormatting sqref="P22:P23">
    <cfRule type="cellIs" dxfId="281" priority="3" operator="equal">
      <formula>"Nok"</formula>
    </cfRule>
    <cfRule type="cellIs" dxfId="280" priority="4" operator="equal">
      <formula>"Ok"</formula>
    </cfRule>
  </conditionalFormatting>
  <conditionalFormatting sqref="P24:P25">
    <cfRule type="cellIs" dxfId="279" priority="1" operator="equal">
      <formula>"Nok"</formula>
    </cfRule>
    <cfRule type="cellIs" dxfId="278" priority="2" operator="equal">
      <formula>"Ok"</formula>
    </cfRule>
  </conditionalFormatting>
  <dataValidations count="3">
    <dataValidation type="list" allowBlank="1" showInputMessage="1" showErrorMessage="1" sqref="B5" xr:uid="{50247EC4-B133-4102-AFF5-0C6878F537FB}">
      <formula1>"Nominal, Robustness, Endurance, Qualification"</formula1>
    </dataValidation>
    <dataValidation type="list" allowBlank="1" showInputMessage="1" showErrorMessage="1" sqref="B9" xr:uid="{6BC5609D-7A46-4B37-88DE-7001C937A95E}">
      <formula1>"Ok, Nok, Not run, NA"</formula1>
    </dataValidation>
    <dataValidation type="list" allowBlank="1" showInputMessage="1" showErrorMessage="1" sqref="P22:P26" xr:uid="{0D43A695-4655-4FE5-BFF4-99DA0F2BBE9E}">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2F99B-5BD3-48D3-9C40-E07CFB3C1219}">
  <sheetPr codeName="Sheet14"/>
  <dimension ref="A1:P28"/>
  <sheetViews>
    <sheetView workbookViewId="0">
      <selection activeCell="B3" sqref="B3:G3"/>
    </sheetView>
  </sheetViews>
  <sheetFormatPr defaultColWidth="9.33203125" defaultRowHeight="13.2" x14ac:dyDescent="0.25"/>
  <cols>
    <col min="1" max="1" width="20.33203125" style="100" customWidth="1"/>
    <col min="2" max="2" width="18.44140625" style="96" customWidth="1"/>
    <col min="3" max="7" width="9.33203125" style="96"/>
    <col min="8" max="15" width="9.5546875" style="96" customWidth="1"/>
    <col min="16" max="16384" width="9.33203125" style="96"/>
  </cols>
  <sheetData>
    <row r="1" spans="1:15" ht="13.8" thickBot="1" x14ac:dyDescent="0.3">
      <c r="A1" s="101" t="s">
        <v>40</v>
      </c>
      <c r="B1" s="200" t="s">
        <v>161</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254</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160</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1.7" customHeight="1" x14ac:dyDescent="0.25">
      <c r="A22" s="104" t="s">
        <v>49</v>
      </c>
      <c r="B22" s="227" t="s">
        <v>177</v>
      </c>
      <c r="C22" s="228"/>
      <c r="D22" s="228"/>
      <c r="E22" s="228"/>
      <c r="F22" s="228"/>
      <c r="G22" s="229"/>
      <c r="H22" s="199"/>
      <c r="I22" s="199"/>
      <c r="J22" s="199"/>
      <c r="K22" s="199"/>
      <c r="L22" s="199"/>
      <c r="M22" s="199"/>
      <c r="N22" s="199"/>
      <c r="O22" s="199"/>
      <c r="P22" s="98"/>
    </row>
    <row r="23" spans="1:16" ht="41.7" customHeight="1" x14ac:dyDescent="0.25">
      <c r="A23" s="104" t="s">
        <v>50</v>
      </c>
      <c r="B23" s="227" t="s">
        <v>152</v>
      </c>
      <c r="C23" s="228"/>
      <c r="D23" s="228"/>
      <c r="E23" s="228"/>
      <c r="F23" s="228"/>
      <c r="G23" s="229"/>
      <c r="H23" s="199"/>
      <c r="I23" s="199"/>
      <c r="J23" s="199"/>
      <c r="K23" s="199"/>
      <c r="L23" s="199"/>
      <c r="M23" s="199"/>
      <c r="N23" s="199"/>
      <c r="O23" s="199"/>
      <c r="P23" s="98"/>
    </row>
    <row r="24" spans="1:16" ht="39.450000000000003" customHeight="1" x14ac:dyDescent="0.25">
      <c r="A24" s="104" t="s">
        <v>51</v>
      </c>
      <c r="B24" s="227" t="s">
        <v>194</v>
      </c>
      <c r="C24" s="228"/>
      <c r="D24" s="228"/>
      <c r="E24" s="228"/>
      <c r="F24" s="228"/>
      <c r="G24" s="229"/>
      <c r="H24" s="227" t="s">
        <v>180</v>
      </c>
      <c r="I24" s="228"/>
      <c r="J24" s="228"/>
      <c r="K24" s="229"/>
      <c r="L24" s="227" t="s">
        <v>181</v>
      </c>
      <c r="M24" s="228"/>
      <c r="N24" s="228"/>
      <c r="O24" s="229"/>
      <c r="P24" s="98" t="s">
        <v>131</v>
      </c>
    </row>
    <row r="25" spans="1:16" ht="39" customHeight="1" x14ac:dyDescent="0.25">
      <c r="A25" s="104" t="s">
        <v>52</v>
      </c>
      <c r="B25" s="220" t="s">
        <v>196</v>
      </c>
      <c r="C25" s="221"/>
      <c r="D25" s="221"/>
      <c r="E25" s="221"/>
      <c r="F25" s="221"/>
      <c r="G25" s="222"/>
      <c r="H25" s="227" t="s">
        <v>201</v>
      </c>
      <c r="I25" s="228"/>
      <c r="J25" s="228"/>
      <c r="K25" s="229"/>
      <c r="L25" s="227" t="s">
        <v>202</v>
      </c>
      <c r="M25" s="228"/>
      <c r="N25" s="228"/>
      <c r="O25" s="229"/>
      <c r="P25" s="98" t="s">
        <v>131</v>
      </c>
    </row>
    <row r="26" spans="1:16" x14ac:dyDescent="0.25">
      <c r="A26" s="104"/>
      <c r="B26" s="220"/>
      <c r="C26" s="221"/>
      <c r="D26" s="221"/>
      <c r="E26" s="221"/>
      <c r="F26" s="221"/>
      <c r="G26" s="222"/>
      <c r="H26" s="199"/>
      <c r="I26" s="199"/>
      <c r="J26" s="199"/>
      <c r="K26" s="199"/>
      <c r="L26" s="227"/>
      <c r="M26" s="228"/>
      <c r="N26" s="228"/>
      <c r="O26" s="229"/>
      <c r="P26" s="98"/>
    </row>
    <row r="27" spans="1:16" x14ac:dyDescent="0.25">
      <c r="B27" s="100"/>
      <c r="C27" s="100"/>
      <c r="D27" s="100"/>
      <c r="E27" s="100"/>
      <c r="F27" s="100"/>
      <c r="G27" s="100"/>
      <c r="H27" s="100"/>
    </row>
    <row r="28" spans="1:16" x14ac:dyDescent="0.25">
      <c r="B28" s="100"/>
      <c r="C28" s="100"/>
      <c r="D28" s="100"/>
      <c r="E28" s="100"/>
      <c r="F28" s="100"/>
      <c r="G28" s="100"/>
      <c r="H28" s="100"/>
    </row>
  </sheetData>
  <mergeCells count="25">
    <mergeCell ref="B25:G25"/>
    <mergeCell ref="H25:K25"/>
    <mergeCell ref="L25:O25"/>
    <mergeCell ref="B26:G26"/>
    <mergeCell ref="H26:K26"/>
    <mergeCell ref="L26:O26"/>
    <mergeCell ref="B22:G22"/>
    <mergeCell ref="H22:K22"/>
    <mergeCell ref="L22:O22"/>
    <mergeCell ref="B24:G24"/>
    <mergeCell ref="H24:K24"/>
    <mergeCell ref="L24:O24"/>
    <mergeCell ref="B23:G23"/>
    <mergeCell ref="H23:K23"/>
    <mergeCell ref="L23:O23"/>
    <mergeCell ref="A21:G21"/>
    <mergeCell ref="H21:K21"/>
    <mergeCell ref="L21:O21"/>
    <mergeCell ref="A16:A19"/>
    <mergeCell ref="B16:G19"/>
    <mergeCell ref="B1:G1"/>
    <mergeCell ref="B3:G3"/>
    <mergeCell ref="B7:G7"/>
    <mergeCell ref="A11:A14"/>
    <mergeCell ref="B11:G14"/>
  </mergeCells>
  <conditionalFormatting sqref="B9:B10">
    <cfRule type="cellIs" dxfId="277" priority="19" operator="equal">
      <formula>"Nok"</formula>
    </cfRule>
    <cfRule type="cellIs" dxfId="276" priority="20" operator="equal">
      <formula>"Ok"</formula>
    </cfRule>
  </conditionalFormatting>
  <conditionalFormatting sqref="P26">
    <cfRule type="cellIs" dxfId="275" priority="17" operator="equal">
      <formula>"Nok"</formula>
    </cfRule>
    <cfRule type="cellIs" dxfId="274" priority="18" operator="equal">
      <formula>"Ok"</formula>
    </cfRule>
  </conditionalFormatting>
  <conditionalFormatting sqref="P22:P23">
    <cfRule type="cellIs" dxfId="273" priority="9" operator="equal">
      <formula>"Nok"</formula>
    </cfRule>
    <cfRule type="cellIs" dxfId="272" priority="10" operator="equal">
      <formula>"Ok"</formula>
    </cfRule>
  </conditionalFormatting>
  <conditionalFormatting sqref="P24:P25">
    <cfRule type="cellIs" dxfId="271" priority="1" operator="equal">
      <formula>"Nok"</formula>
    </cfRule>
    <cfRule type="cellIs" dxfId="270" priority="2" operator="equal">
      <formula>"Ok"</formula>
    </cfRule>
  </conditionalFormatting>
  <dataValidations count="3">
    <dataValidation type="list" allowBlank="1" showInputMessage="1" showErrorMessage="1" sqref="B9" xr:uid="{E43B832A-3E8E-422B-A972-230FB1127667}">
      <formula1>"Ok, Nok, Not run, NA"</formula1>
    </dataValidation>
    <dataValidation type="list" allowBlank="1" showInputMessage="1" showErrorMessage="1" sqref="B5" xr:uid="{0EF50487-A696-468F-BBAE-A6117BE4AD45}">
      <formula1>"Nominal, Robustness, Endurance, Qualification"</formula1>
    </dataValidation>
    <dataValidation type="list" allowBlank="1" showInputMessage="1" showErrorMessage="1" sqref="P22:P26" xr:uid="{00108437-E203-48EA-8F5B-1FF3A2A0772F}">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5819-1A82-417B-A739-3F62BEC4034C}">
  <sheetPr codeName="Sheet15"/>
  <dimension ref="A1:P28"/>
  <sheetViews>
    <sheetView workbookViewId="0">
      <selection activeCell="B3" sqref="B3:G3"/>
    </sheetView>
  </sheetViews>
  <sheetFormatPr defaultColWidth="9.33203125" defaultRowHeight="13.2" x14ac:dyDescent="0.25"/>
  <cols>
    <col min="1" max="1" width="20.33203125" style="100" customWidth="1"/>
    <col min="2" max="2" width="18.44140625" style="96" customWidth="1"/>
    <col min="3" max="7" width="9.33203125" style="96"/>
    <col min="8" max="15" width="9.5546875" style="96" customWidth="1"/>
    <col min="16" max="16384" width="9.33203125" style="96"/>
  </cols>
  <sheetData>
    <row r="1" spans="1:15" ht="13.8" thickBot="1" x14ac:dyDescent="0.3">
      <c r="A1" s="101" t="s">
        <v>40</v>
      </c>
      <c r="B1" s="200" t="s">
        <v>162</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247</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163</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1.7" customHeight="1" x14ac:dyDescent="0.25">
      <c r="A22" s="104" t="s">
        <v>49</v>
      </c>
      <c r="B22" s="227" t="s">
        <v>179</v>
      </c>
      <c r="C22" s="228"/>
      <c r="D22" s="228"/>
      <c r="E22" s="228"/>
      <c r="F22" s="228"/>
      <c r="G22" s="229"/>
      <c r="H22" s="199"/>
      <c r="I22" s="199"/>
      <c r="J22" s="199"/>
      <c r="K22" s="199"/>
      <c r="L22" s="199"/>
      <c r="M22" s="199"/>
      <c r="N22" s="199"/>
      <c r="O22" s="199"/>
      <c r="P22" s="98"/>
    </row>
    <row r="23" spans="1:16" ht="41.7" customHeight="1" x14ac:dyDescent="0.25">
      <c r="A23" s="104" t="s">
        <v>50</v>
      </c>
      <c r="B23" s="227" t="s">
        <v>152</v>
      </c>
      <c r="C23" s="228"/>
      <c r="D23" s="228"/>
      <c r="E23" s="228"/>
      <c r="F23" s="228"/>
      <c r="G23" s="229"/>
      <c r="H23" s="199"/>
      <c r="I23" s="199"/>
      <c r="J23" s="199"/>
      <c r="K23" s="199"/>
      <c r="L23" s="199"/>
      <c r="M23" s="199"/>
      <c r="N23" s="199"/>
      <c r="O23" s="199"/>
      <c r="P23" s="98"/>
    </row>
    <row r="24" spans="1:16" ht="39.450000000000003" customHeight="1" x14ac:dyDescent="0.25">
      <c r="A24" s="104" t="s">
        <v>51</v>
      </c>
      <c r="B24" s="227" t="s">
        <v>194</v>
      </c>
      <c r="C24" s="228"/>
      <c r="D24" s="228"/>
      <c r="E24" s="228"/>
      <c r="F24" s="228"/>
      <c r="G24" s="229"/>
      <c r="H24" s="227" t="s">
        <v>180</v>
      </c>
      <c r="I24" s="228"/>
      <c r="J24" s="228"/>
      <c r="K24" s="229"/>
      <c r="L24" s="227" t="s">
        <v>181</v>
      </c>
      <c r="M24" s="228"/>
      <c r="N24" s="228"/>
      <c r="O24" s="229"/>
      <c r="P24" s="98" t="s">
        <v>131</v>
      </c>
    </row>
    <row r="25" spans="1:16" ht="39" customHeight="1" x14ac:dyDescent="0.25">
      <c r="A25" s="104" t="s">
        <v>52</v>
      </c>
      <c r="B25" s="220" t="s">
        <v>355</v>
      </c>
      <c r="C25" s="221"/>
      <c r="D25" s="221"/>
      <c r="E25" s="221"/>
      <c r="F25" s="221"/>
      <c r="G25" s="222"/>
      <c r="H25" s="227" t="s">
        <v>183</v>
      </c>
      <c r="I25" s="228"/>
      <c r="J25" s="228"/>
      <c r="K25" s="229"/>
      <c r="L25" s="227" t="s">
        <v>184</v>
      </c>
      <c r="M25" s="228"/>
      <c r="N25" s="228"/>
      <c r="O25" s="229"/>
      <c r="P25" s="98" t="s">
        <v>131</v>
      </c>
    </row>
    <row r="26" spans="1:16" x14ac:dyDescent="0.25">
      <c r="A26" s="104"/>
      <c r="B26" s="220"/>
      <c r="C26" s="221"/>
      <c r="D26" s="221"/>
      <c r="E26" s="221"/>
      <c r="F26" s="221"/>
      <c r="G26" s="222"/>
      <c r="H26" s="199"/>
      <c r="I26" s="199"/>
      <c r="J26" s="199"/>
      <c r="K26" s="199"/>
      <c r="L26" s="227"/>
      <c r="M26" s="228"/>
      <c r="N26" s="228"/>
      <c r="O26" s="229"/>
      <c r="P26" s="98"/>
    </row>
    <row r="27" spans="1:16" x14ac:dyDescent="0.25">
      <c r="B27" s="100"/>
      <c r="C27" s="100"/>
      <c r="D27" s="100"/>
      <c r="E27" s="100"/>
      <c r="F27" s="100"/>
      <c r="G27" s="100"/>
      <c r="H27" s="100"/>
    </row>
    <row r="28" spans="1:16" x14ac:dyDescent="0.25">
      <c r="B28" s="100"/>
      <c r="C28" s="100"/>
      <c r="D28" s="100"/>
      <c r="E28" s="100"/>
      <c r="F28" s="100"/>
      <c r="G28" s="100"/>
      <c r="H28" s="100"/>
    </row>
  </sheetData>
  <mergeCells count="25">
    <mergeCell ref="B25:G25"/>
    <mergeCell ref="H25:K25"/>
    <mergeCell ref="L25:O25"/>
    <mergeCell ref="B26:G26"/>
    <mergeCell ref="H26:K26"/>
    <mergeCell ref="L26:O26"/>
    <mergeCell ref="B22:G22"/>
    <mergeCell ref="H22:K22"/>
    <mergeCell ref="L22:O22"/>
    <mergeCell ref="B24:G24"/>
    <mergeCell ref="H24:K24"/>
    <mergeCell ref="L24:O24"/>
    <mergeCell ref="B23:G23"/>
    <mergeCell ref="H23:K23"/>
    <mergeCell ref="L23:O23"/>
    <mergeCell ref="A21:G21"/>
    <mergeCell ref="H21:K21"/>
    <mergeCell ref="L21:O21"/>
    <mergeCell ref="A16:A19"/>
    <mergeCell ref="B16:G19"/>
    <mergeCell ref="B1:G1"/>
    <mergeCell ref="B3:G3"/>
    <mergeCell ref="B7:G7"/>
    <mergeCell ref="A11:A14"/>
    <mergeCell ref="B11:G14"/>
  </mergeCells>
  <conditionalFormatting sqref="B9:B10">
    <cfRule type="cellIs" dxfId="269" priority="19" operator="equal">
      <formula>"Nok"</formula>
    </cfRule>
    <cfRule type="cellIs" dxfId="268" priority="20" operator="equal">
      <formula>"Ok"</formula>
    </cfRule>
  </conditionalFormatting>
  <conditionalFormatting sqref="P26">
    <cfRule type="cellIs" dxfId="267" priority="17" operator="equal">
      <formula>"Nok"</formula>
    </cfRule>
    <cfRule type="cellIs" dxfId="266" priority="18" operator="equal">
      <formula>"Ok"</formula>
    </cfRule>
  </conditionalFormatting>
  <conditionalFormatting sqref="P22:P23">
    <cfRule type="cellIs" dxfId="265" priority="9" operator="equal">
      <formula>"Nok"</formula>
    </cfRule>
    <cfRule type="cellIs" dxfId="264" priority="10" operator="equal">
      <formula>"Ok"</formula>
    </cfRule>
  </conditionalFormatting>
  <conditionalFormatting sqref="P24:P25">
    <cfRule type="cellIs" dxfId="263" priority="1" operator="equal">
      <formula>"Nok"</formula>
    </cfRule>
    <cfRule type="cellIs" dxfId="262" priority="2" operator="equal">
      <formula>"Ok"</formula>
    </cfRule>
  </conditionalFormatting>
  <dataValidations count="3">
    <dataValidation type="list" allowBlank="1" showInputMessage="1" showErrorMessage="1" sqref="B5" xr:uid="{9EE6E12E-CC70-44D1-97B4-2271FFC5A830}">
      <formula1>"Nominal, Robustness, Endurance, Qualification"</formula1>
    </dataValidation>
    <dataValidation type="list" allowBlank="1" showInputMessage="1" showErrorMessage="1" sqref="B9" xr:uid="{C102A559-E6DB-4B4E-9F6F-4DD74BA70834}">
      <formula1>"Ok, Nok, Not run, NA"</formula1>
    </dataValidation>
    <dataValidation type="list" allowBlank="1" showInputMessage="1" showErrorMessage="1" sqref="P22:P26" xr:uid="{ED85DD66-2218-41FB-9F7D-F3F129406B90}">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616DA-EBAF-4111-AFC8-2262BFDB2F68}">
  <sheetPr codeName="Sheet17"/>
  <dimension ref="A1:P31"/>
  <sheetViews>
    <sheetView topLeftCell="A7" workbookViewId="0">
      <selection activeCell="P27" sqref="P27"/>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164</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252</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166</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65.7" customHeight="1" x14ac:dyDescent="0.25">
      <c r="A22" s="104" t="s">
        <v>49</v>
      </c>
      <c r="B22" s="227" t="s">
        <v>200</v>
      </c>
      <c r="C22" s="228"/>
      <c r="D22" s="228"/>
      <c r="E22" s="228"/>
      <c r="F22" s="228"/>
      <c r="G22" s="229"/>
      <c r="H22" s="199"/>
      <c r="I22" s="199"/>
      <c r="J22" s="199"/>
      <c r="K22" s="199"/>
      <c r="L22" s="199"/>
      <c r="M22" s="199"/>
      <c r="N22" s="199"/>
      <c r="O22" s="199"/>
      <c r="P22" s="98"/>
    </row>
    <row r="23" spans="1:16" ht="39.450000000000003" customHeight="1" x14ac:dyDescent="0.25">
      <c r="A23" s="104" t="s">
        <v>50</v>
      </c>
      <c r="B23" s="227" t="s">
        <v>199</v>
      </c>
      <c r="C23" s="228"/>
      <c r="D23" s="228"/>
      <c r="E23" s="228"/>
      <c r="F23" s="228"/>
      <c r="G23" s="229"/>
      <c r="H23" s="199"/>
      <c r="I23" s="199"/>
      <c r="J23" s="199"/>
      <c r="K23" s="199"/>
      <c r="L23" s="199"/>
      <c r="M23" s="199"/>
      <c r="N23" s="199"/>
      <c r="O23" s="199"/>
      <c r="P23" s="98"/>
    </row>
    <row r="24" spans="1:16" ht="39" customHeight="1" x14ac:dyDescent="0.25">
      <c r="A24" s="104" t="s">
        <v>51</v>
      </c>
      <c r="B24" s="227" t="s">
        <v>194</v>
      </c>
      <c r="C24" s="228"/>
      <c r="D24" s="228"/>
      <c r="E24" s="228"/>
      <c r="F24" s="228"/>
      <c r="G24" s="229"/>
      <c r="H24" s="227" t="s">
        <v>180</v>
      </c>
      <c r="I24" s="228"/>
      <c r="J24" s="228"/>
      <c r="K24" s="229"/>
      <c r="L24" s="227" t="s">
        <v>181</v>
      </c>
      <c r="M24" s="228"/>
      <c r="N24" s="228"/>
      <c r="O24" s="229"/>
      <c r="P24" s="98" t="s">
        <v>131</v>
      </c>
    </row>
    <row r="25" spans="1:16" ht="39" customHeight="1" x14ac:dyDescent="0.25">
      <c r="A25" s="104" t="s">
        <v>52</v>
      </c>
      <c r="B25" s="220" t="s">
        <v>311</v>
      </c>
      <c r="C25" s="221"/>
      <c r="D25" s="221"/>
      <c r="E25" s="221"/>
      <c r="F25" s="221"/>
      <c r="G25" s="222"/>
      <c r="H25" s="227" t="s">
        <v>245</v>
      </c>
      <c r="I25" s="228"/>
      <c r="J25" s="228"/>
      <c r="K25" s="229"/>
      <c r="L25" s="227" t="s">
        <v>246</v>
      </c>
      <c r="M25" s="228"/>
      <c r="N25" s="228"/>
      <c r="O25" s="229"/>
      <c r="P25" s="98" t="s">
        <v>131</v>
      </c>
    </row>
    <row r="26" spans="1:16" ht="43.2" customHeight="1" x14ac:dyDescent="0.25">
      <c r="A26" s="104" t="s">
        <v>53</v>
      </c>
      <c r="B26" s="220" t="s">
        <v>312</v>
      </c>
      <c r="C26" s="221"/>
      <c r="D26" s="221"/>
      <c r="E26" s="221"/>
      <c r="F26" s="221"/>
      <c r="G26" s="222"/>
      <c r="H26" s="199" t="s">
        <v>186</v>
      </c>
      <c r="I26" s="199"/>
      <c r="J26" s="199"/>
      <c r="K26" s="199"/>
      <c r="L26" s="199" t="s">
        <v>187</v>
      </c>
      <c r="M26" s="199"/>
      <c r="N26" s="199"/>
      <c r="O26" s="199"/>
      <c r="P26" s="98" t="s">
        <v>131</v>
      </c>
    </row>
    <row r="27" spans="1:16" ht="31.2" customHeight="1" x14ac:dyDescent="0.25">
      <c r="A27" s="104" t="s">
        <v>54</v>
      </c>
      <c r="B27" s="220" t="s">
        <v>313</v>
      </c>
      <c r="C27" s="221"/>
      <c r="D27" s="221"/>
      <c r="E27" s="221"/>
      <c r="F27" s="221"/>
      <c r="G27" s="222"/>
      <c r="H27" s="199" t="s">
        <v>189</v>
      </c>
      <c r="I27" s="199"/>
      <c r="J27" s="199"/>
      <c r="K27" s="199"/>
      <c r="L27" s="199" t="s">
        <v>188</v>
      </c>
      <c r="M27" s="199"/>
      <c r="N27" s="199"/>
      <c r="O27" s="199"/>
      <c r="P27" s="98" t="s">
        <v>131</v>
      </c>
    </row>
    <row r="28" spans="1:16" ht="33" customHeight="1" x14ac:dyDescent="0.25">
      <c r="A28" s="104"/>
      <c r="B28" s="220"/>
      <c r="C28" s="221"/>
      <c r="D28" s="221"/>
      <c r="E28" s="221"/>
      <c r="F28" s="221"/>
      <c r="G28" s="222"/>
      <c r="H28" s="199"/>
      <c r="I28" s="199"/>
      <c r="J28" s="199"/>
      <c r="K28" s="199"/>
      <c r="L28" s="199"/>
      <c r="M28" s="199"/>
      <c r="N28" s="199"/>
      <c r="O28" s="199"/>
      <c r="P28" s="98"/>
    </row>
    <row r="29" spans="1:16" ht="13.8" thickBot="1" x14ac:dyDescent="0.3">
      <c r="A29" s="105"/>
      <c r="B29" s="223"/>
      <c r="C29" s="224"/>
      <c r="D29" s="224"/>
      <c r="E29" s="224"/>
      <c r="F29" s="224"/>
      <c r="G29" s="225"/>
      <c r="H29" s="226"/>
      <c r="I29" s="226"/>
      <c r="J29" s="226"/>
      <c r="K29" s="226"/>
      <c r="L29" s="226"/>
      <c r="M29" s="226"/>
      <c r="N29" s="226"/>
      <c r="O29" s="226"/>
      <c r="P29" s="99"/>
    </row>
    <row r="30" spans="1:16" x14ac:dyDescent="0.25">
      <c r="B30" s="100"/>
      <c r="C30" s="100"/>
      <c r="D30" s="100"/>
      <c r="E30" s="100"/>
      <c r="F30" s="100"/>
      <c r="G30" s="100"/>
      <c r="H30" s="100"/>
    </row>
    <row r="31" spans="1:16" x14ac:dyDescent="0.25">
      <c r="B31" s="100"/>
      <c r="C31" s="100"/>
      <c r="D31" s="100"/>
      <c r="E31" s="100"/>
      <c r="F31" s="100"/>
      <c r="G31" s="100"/>
      <c r="H31" s="100"/>
    </row>
  </sheetData>
  <mergeCells count="34">
    <mergeCell ref="B28:G28"/>
    <mergeCell ref="H28:K28"/>
    <mergeCell ref="L28:O28"/>
    <mergeCell ref="B29:G29"/>
    <mergeCell ref="H29:K29"/>
    <mergeCell ref="L29:O29"/>
    <mergeCell ref="B26:G26"/>
    <mergeCell ref="H26:K26"/>
    <mergeCell ref="L26:O26"/>
    <mergeCell ref="B27:G27"/>
    <mergeCell ref="H27:K27"/>
    <mergeCell ref="L27:O27"/>
    <mergeCell ref="B24:G24"/>
    <mergeCell ref="H24:K24"/>
    <mergeCell ref="L24:O24"/>
    <mergeCell ref="B25:G25"/>
    <mergeCell ref="H25:K25"/>
    <mergeCell ref="L25:O25"/>
    <mergeCell ref="B22:G22"/>
    <mergeCell ref="H22:K22"/>
    <mergeCell ref="L22:O22"/>
    <mergeCell ref="B23:G23"/>
    <mergeCell ref="H23:K23"/>
    <mergeCell ref="L23:O23"/>
    <mergeCell ref="A21:G21"/>
    <mergeCell ref="H21:K21"/>
    <mergeCell ref="L21:O21"/>
    <mergeCell ref="A16:A19"/>
    <mergeCell ref="B16:G19"/>
    <mergeCell ref="B1:G1"/>
    <mergeCell ref="B3:G3"/>
    <mergeCell ref="B7:G7"/>
    <mergeCell ref="A11:A14"/>
    <mergeCell ref="B11:G14"/>
  </mergeCells>
  <conditionalFormatting sqref="B10">
    <cfRule type="cellIs" dxfId="261" priority="25" operator="equal">
      <formula>"Nok"</formula>
    </cfRule>
    <cfRule type="cellIs" dxfId="260" priority="26" operator="equal">
      <formula>"Ok"</formula>
    </cfRule>
  </conditionalFormatting>
  <conditionalFormatting sqref="P29">
    <cfRule type="cellIs" dxfId="259" priority="23" operator="equal">
      <formula>"Nok"</formula>
    </cfRule>
    <cfRule type="cellIs" dxfId="258" priority="24" operator="equal">
      <formula>"Ok"</formula>
    </cfRule>
  </conditionalFormatting>
  <conditionalFormatting sqref="B9">
    <cfRule type="cellIs" dxfId="257" priority="13" operator="equal">
      <formula>"Nok"</formula>
    </cfRule>
    <cfRule type="cellIs" dxfId="256" priority="14" operator="equal">
      <formula>"Ok"</formula>
    </cfRule>
  </conditionalFormatting>
  <conditionalFormatting sqref="P22:P23">
    <cfRule type="cellIs" dxfId="255" priority="7" operator="equal">
      <formula>"Nok"</formula>
    </cfRule>
    <cfRule type="cellIs" dxfId="254" priority="8" operator="equal">
      <formula>"Ok"</formula>
    </cfRule>
  </conditionalFormatting>
  <conditionalFormatting sqref="P28">
    <cfRule type="cellIs" dxfId="253" priority="3" operator="equal">
      <formula>"Nok"</formula>
    </cfRule>
    <cfRule type="cellIs" dxfId="252" priority="4" operator="equal">
      <formula>"Ok"</formula>
    </cfRule>
  </conditionalFormatting>
  <conditionalFormatting sqref="P24:P27">
    <cfRule type="cellIs" dxfId="251" priority="1" operator="equal">
      <formula>"Nok"</formula>
    </cfRule>
    <cfRule type="cellIs" dxfId="250" priority="2" operator="equal">
      <formula>"Ok"</formula>
    </cfRule>
  </conditionalFormatting>
  <dataValidations count="2">
    <dataValidation type="list" allowBlank="1" showInputMessage="1" showErrorMessage="1" sqref="B9 P22:P29" xr:uid="{6B82777B-96AB-411B-9216-2F758F6CBE72}">
      <formula1>"Ok, Nok, Not run, ,"</formula1>
    </dataValidation>
    <dataValidation type="list" allowBlank="1" showInputMessage="1" showErrorMessage="1" sqref="B5" xr:uid="{F49C2D17-CD6C-4AD7-A3A4-BD702999BA2D}">
      <formula1>"Nominal, Robustness, Endurance, Qualification"</formula1>
    </dataValidation>
  </dataValidations>
  <pageMargins left="0.7" right="0.7" top="0.75" bottom="0.75" header="0.3" footer="0.3"/>
  <pageSetup paperSize="9" orientation="portrait" r:id="rId1"/>
  <headerFooter>
    <oddFooter>&amp;LNA ver 2&amp;R&amp;P</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02A7A-5D22-4352-B077-1756DD2762DC}">
  <sheetPr codeName="Sheet16"/>
  <dimension ref="A1:P31"/>
  <sheetViews>
    <sheetView workbookViewId="0">
      <selection activeCell="B3" sqref="B3:G3"/>
    </sheetView>
  </sheetViews>
  <sheetFormatPr defaultColWidth="9.33203125" defaultRowHeight="13.2" x14ac:dyDescent="0.25"/>
  <cols>
    <col min="1" max="1" width="20.33203125" style="100" customWidth="1"/>
    <col min="2" max="2" width="18.44140625" style="96" customWidth="1"/>
    <col min="3" max="6" width="9.33203125" style="96"/>
    <col min="7" max="7" width="12" style="96" customWidth="1"/>
    <col min="8" max="15" width="9.5546875" style="96" customWidth="1"/>
    <col min="16" max="16384" width="9.33203125" style="96"/>
  </cols>
  <sheetData>
    <row r="1" spans="1:15" ht="13.8" thickBot="1" x14ac:dyDescent="0.3">
      <c r="A1" s="101" t="s">
        <v>40</v>
      </c>
      <c r="B1" s="200" t="s">
        <v>165</v>
      </c>
      <c r="C1" s="230"/>
      <c r="D1" s="230"/>
      <c r="E1" s="230"/>
      <c r="F1" s="230"/>
      <c r="G1" s="231"/>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253</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166</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ht="13.2" customHeight="1" x14ac:dyDescent="0.25">
      <c r="A16" s="206" t="s">
        <v>43</v>
      </c>
      <c r="B16" s="211" t="s">
        <v>150</v>
      </c>
      <c r="C16" s="212"/>
      <c r="D16" s="212"/>
      <c r="E16" s="212"/>
      <c r="F16" s="212"/>
      <c r="G16" s="213"/>
      <c r="H16" s="74"/>
      <c r="I16" s="74"/>
      <c r="J16" s="74"/>
      <c r="K16" s="74"/>
      <c r="L16" s="74"/>
      <c r="M16" s="74"/>
      <c r="N16" s="74"/>
      <c r="O16" s="74"/>
    </row>
    <row r="17" spans="1:16" ht="13.2" customHeight="1"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63" customHeight="1" x14ac:dyDescent="0.25">
      <c r="A22" s="104" t="s">
        <v>49</v>
      </c>
      <c r="B22" s="227" t="s">
        <v>200</v>
      </c>
      <c r="C22" s="228"/>
      <c r="D22" s="228"/>
      <c r="E22" s="228"/>
      <c r="F22" s="228"/>
      <c r="G22" s="229"/>
      <c r="H22" s="227"/>
      <c r="I22" s="228"/>
      <c r="J22" s="228"/>
      <c r="K22" s="229"/>
      <c r="L22" s="227"/>
      <c r="M22" s="228"/>
      <c r="N22" s="228"/>
      <c r="O22" s="229"/>
      <c r="P22" s="98"/>
    </row>
    <row r="23" spans="1:16" ht="39.450000000000003" customHeight="1" x14ac:dyDescent="0.25">
      <c r="A23" s="104" t="s">
        <v>50</v>
      </c>
      <c r="B23" s="227" t="s">
        <v>199</v>
      </c>
      <c r="C23" s="228"/>
      <c r="D23" s="228"/>
      <c r="E23" s="228"/>
      <c r="F23" s="228"/>
      <c r="G23" s="229"/>
      <c r="H23" s="199"/>
      <c r="I23" s="199"/>
      <c r="J23" s="199"/>
      <c r="K23" s="199"/>
      <c r="L23" s="199"/>
      <c r="M23" s="199"/>
      <c r="N23" s="199"/>
      <c r="O23" s="199"/>
      <c r="P23" s="98"/>
    </row>
    <row r="24" spans="1:16" ht="39" customHeight="1" x14ac:dyDescent="0.25">
      <c r="A24" s="104" t="s">
        <v>51</v>
      </c>
      <c r="B24" s="227" t="s">
        <v>194</v>
      </c>
      <c r="C24" s="228"/>
      <c r="D24" s="228"/>
      <c r="E24" s="228"/>
      <c r="F24" s="228"/>
      <c r="G24" s="229"/>
      <c r="H24" s="227" t="s">
        <v>180</v>
      </c>
      <c r="I24" s="228"/>
      <c r="J24" s="228"/>
      <c r="K24" s="229"/>
      <c r="L24" s="227" t="s">
        <v>181</v>
      </c>
      <c r="M24" s="228"/>
      <c r="N24" s="228"/>
      <c r="O24" s="229"/>
      <c r="P24" s="98" t="s">
        <v>131</v>
      </c>
    </row>
    <row r="25" spans="1:16" ht="42" customHeight="1" x14ac:dyDescent="0.25">
      <c r="A25" s="104" t="s">
        <v>52</v>
      </c>
      <c r="B25" s="220" t="s">
        <v>197</v>
      </c>
      <c r="C25" s="221"/>
      <c r="D25" s="221"/>
      <c r="E25" s="221"/>
      <c r="F25" s="221"/>
      <c r="G25" s="222"/>
      <c r="H25" s="227" t="s">
        <v>190</v>
      </c>
      <c r="I25" s="228"/>
      <c r="J25" s="228"/>
      <c r="K25" s="229"/>
      <c r="L25" s="227" t="s">
        <v>191</v>
      </c>
      <c r="M25" s="228"/>
      <c r="N25" s="228"/>
      <c r="O25" s="229"/>
      <c r="P25" s="98" t="s">
        <v>131</v>
      </c>
    </row>
    <row r="26" spans="1:16" x14ac:dyDescent="0.25">
      <c r="A26" s="104"/>
      <c r="B26" s="227"/>
      <c r="C26" s="228"/>
      <c r="D26" s="228"/>
      <c r="E26" s="228"/>
      <c r="F26" s="228"/>
      <c r="G26" s="229"/>
      <c r="H26" s="227"/>
      <c r="I26" s="228"/>
      <c r="J26" s="228"/>
      <c r="K26" s="229"/>
      <c r="L26" s="227"/>
      <c r="M26" s="228"/>
      <c r="N26" s="228"/>
      <c r="O26" s="229"/>
      <c r="P26" s="98"/>
    </row>
    <row r="27" spans="1:16" ht="13.2" customHeight="1" x14ac:dyDescent="0.25">
      <c r="B27" s="100"/>
      <c r="C27" s="100"/>
      <c r="D27" s="100"/>
      <c r="E27" s="100"/>
      <c r="F27" s="100"/>
      <c r="G27" s="100"/>
      <c r="H27" s="100"/>
    </row>
    <row r="28" spans="1:16" ht="13.2" customHeight="1" x14ac:dyDescent="0.25">
      <c r="B28" s="100"/>
      <c r="C28" s="100"/>
      <c r="D28" s="100"/>
      <c r="E28" s="100"/>
      <c r="F28" s="100"/>
      <c r="G28" s="100"/>
      <c r="H28" s="100"/>
    </row>
    <row r="29" spans="1:16" ht="13.2" customHeight="1" x14ac:dyDescent="0.25"/>
    <row r="30" spans="1:16" ht="13.2" customHeight="1" x14ac:dyDescent="0.25"/>
    <row r="31" spans="1:16" ht="13.2" customHeight="1" x14ac:dyDescent="0.25"/>
  </sheetData>
  <mergeCells count="25">
    <mergeCell ref="B26:G26"/>
    <mergeCell ref="H26:K26"/>
    <mergeCell ref="L26:O26"/>
    <mergeCell ref="B24:G24"/>
    <mergeCell ref="H24:K24"/>
    <mergeCell ref="L24:O24"/>
    <mergeCell ref="B25:G25"/>
    <mergeCell ref="H25:K25"/>
    <mergeCell ref="L25:O25"/>
    <mergeCell ref="B22:G22"/>
    <mergeCell ref="H22:K22"/>
    <mergeCell ref="L22:O22"/>
    <mergeCell ref="B23:G23"/>
    <mergeCell ref="H23:K23"/>
    <mergeCell ref="L23:O23"/>
    <mergeCell ref="A21:G21"/>
    <mergeCell ref="H21:K21"/>
    <mergeCell ref="L21:O21"/>
    <mergeCell ref="A16:A19"/>
    <mergeCell ref="B16:G19"/>
    <mergeCell ref="B1:G1"/>
    <mergeCell ref="B3:G3"/>
    <mergeCell ref="B7:G7"/>
    <mergeCell ref="A11:A14"/>
    <mergeCell ref="B11:G14"/>
  </mergeCells>
  <conditionalFormatting sqref="B10">
    <cfRule type="cellIs" dxfId="249" priority="25" operator="equal">
      <formula>"Nok"</formula>
    </cfRule>
    <cfRule type="cellIs" dxfId="248" priority="26" operator="equal">
      <formula>"Ok"</formula>
    </cfRule>
  </conditionalFormatting>
  <conditionalFormatting sqref="P26">
    <cfRule type="cellIs" dxfId="247" priority="23" operator="equal">
      <formula>"Nok"</formula>
    </cfRule>
    <cfRule type="cellIs" dxfId="246" priority="24" operator="equal">
      <formula>"Ok"</formula>
    </cfRule>
  </conditionalFormatting>
  <conditionalFormatting sqref="B9">
    <cfRule type="cellIs" dxfId="245" priority="11" operator="equal">
      <formula>"Nok"</formula>
    </cfRule>
    <cfRule type="cellIs" dxfId="244" priority="12" operator="equal">
      <formula>"Ok"</formula>
    </cfRule>
  </conditionalFormatting>
  <conditionalFormatting sqref="P22:P23">
    <cfRule type="cellIs" dxfId="243" priority="7" operator="equal">
      <formula>"Nok"</formula>
    </cfRule>
    <cfRule type="cellIs" dxfId="242" priority="8" operator="equal">
      <formula>"Ok"</formula>
    </cfRule>
  </conditionalFormatting>
  <conditionalFormatting sqref="P25">
    <cfRule type="cellIs" dxfId="241" priority="3" operator="equal">
      <formula>"Nok"</formula>
    </cfRule>
    <cfRule type="cellIs" dxfId="240" priority="4" operator="equal">
      <formula>"Ok"</formula>
    </cfRule>
  </conditionalFormatting>
  <conditionalFormatting sqref="P24">
    <cfRule type="cellIs" dxfId="239" priority="1" operator="equal">
      <formula>"Nok"</formula>
    </cfRule>
    <cfRule type="cellIs" dxfId="238" priority="2" operator="equal">
      <formula>"Ok"</formula>
    </cfRule>
  </conditionalFormatting>
  <dataValidations count="2">
    <dataValidation type="list" allowBlank="1" showInputMessage="1" showErrorMessage="1" sqref="B9 P22:P26" xr:uid="{E059872A-DF53-49CD-A018-F7D055041CB6}">
      <formula1>"Ok, Nok, Not run, ,"</formula1>
    </dataValidation>
    <dataValidation type="list" allowBlank="1" showInputMessage="1" showErrorMessage="1" sqref="B5" xr:uid="{9E091878-1BA5-4E72-89EF-C9EAF14E7DD3}">
      <formula1>"Nominal, Robustness, Endurance, Qualification"</formula1>
    </dataValidation>
  </dataValidations>
  <pageMargins left="0.7" right="0.7" top="0.75" bottom="0.75" header="0.3" footer="0.3"/>
  <pageSetup paperSize="9" orientation="portrait" r:id="rId1"/>
  <headerFooter>
    <oddFooter>&amp;LNA ver 2&amp;R&amp;P</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AEBA8-B8BF-437E-9D03-D30DF00C133B}">
  <sheetPr codeName="Sheet18"/>
  <dimension ref="A1:P28"/>
  <sheetViews>
    <sheetView workbookViewId="0">
      <selection activeCell="B3" sqref="B3:G3"/>
    </sheetView>
  </sheetViews>
  <sheetFormatPr defaultColWidth="9.33203125" defaultRowHeight="13.2" x14ac:dyDescent="0.25"/>
  <cols>
    <col min="1" max="1" width="20.33203125" style="100" customWidth="1"/>
    <col min="2" max="2" width="18.44140625" style="96" customWidth="1"/>
    <col min="3" max="7" width="9.33203125" style="96"/>
    <col min="8" max="15" width="9.5546875" style="96" customWidth="1"/>
    <col min="16" max="16384" width="9.33203125" style="96"/>
  </cols>
  <sheetData>
    <row r="1" spans="1:15" ht="13.8" thickBot="1" x14ac:dyDescent="0.3">
      <c r="A1" s="101" t="s">
        <v>40</v>
      </c>
      <c r="B1" s="200" t="s">
        <v>168</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254</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167</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60.45" customHeight="1" x14ac:dyDescent="0.25">
      <c r="A22" s="104" t="s">
        <v>49</v>
      </c>
      <c r="B22" s="227" t="s">
        <v>200</v>
      </c>
      <c r="C22" s="228"/>
      <c r="D22" s="228"/>
      <c r="E22" s="228"/>
      <c r="F22" s="228"/>
      <c r="G22" s="229"/>
      <c r="H22" s="199"/>
      <c r="I22" s="199"/>
      <c r="J22" s="199"/>
      <c r="K22" s="199"/>
      <c r="L22" s="199"/>
      <c r="M22" s="199"/>
      <c r="N22" s="199"/>
      <c r="O22" s="199"/>
      <c r="P22" s="98"/>
    </row>
    <row r="23" spans="1:16" ht="39.450000000000003" customHeight="1" x14ac:dyDescent="0.25">
      <c r="A23" s="104" t="s">
        <v>50</v>
      </c>
      <c r="B23" s="227" t="s">
        <v>199</v>
      </c>
      <c r="C23" s="228"/>
      <c r="D23" s="228"/>
      <c r="E23" s="228"/>
      <c r="F23" s="228"/>
      <c r="G23" s="229"/>
      <c r="H23" s="199"/>
      <c r="I23" s="199"/>
      <c r="J23" s="199"/>
      <c r="K23" s="199"/>
      <c r="L23" s="199"/>
      <c r="M23" s="199"/>
      <c r="N23" s="199"/>
      <c r="O23" s="199"/>
      <c r="P23" s="98"/>
    </row>
    <row r="24" spans="1:16" ht="39" customHeight="1" x14ac:dyDescent="0.25">
      <c r="A24" s="104" t="s">
        <v>51</v>
      </c>
      <c r="B24" s="227" t="s">
        <v>194</v>
      </c>
      <c r="C24" s="228"/>
      <c r="D24" s="228"/>
      <c r="E24" s="228"/>
      <c r="F24" s="228"/>
      <c r="G24" s="229"/>
      <c r="H24" s="227" t="s">
        <v>180</v>
      </c>
      <c r="I24" s="228"/>
      <c r="J24" s="228"/>
      <c r="K24" s="229"/>
      <c r="L24" s="227" t="s">
        <v>181</v>
      </c>
      <c r="M24" s="228"/>
      <c r="N24" s="228"/>
      <c r="O24" s="229"/>
      <c r="P24" s="98" t="s">
        <v>131</v>
      </c>
    </row>
    <row r="25" spans="1:16" ht="33" customHeight="1" x14ac:dyDescent="0.25">
      <c r="A25" s="104" t="s">
        <v>52</v>
      </c>
      <c r="B25" s="220" t="s">
        <v>198</v>
      </c>
      <c r="C25" s="221"/>
      <c r="D25" s="221"/>
      <c r="E25" s="221"/>
      <c r="F25" s="221"/>
      <c r="G25" s="222"/>
      <c r="H25" s="227" t="s">
        <v>201</v>
      </c>
      <c r="I25" s="228"/>
      <c r="J25" s="228"/>
      <c r="K25" s="229"/>
      <c r="L25" s="227" t="s">
        <v>202</v>
      </c>
      <c r="M25" s="228"/>
      <c r="N25" s="228"/>
      <c r="O25" s="229"/>
      <c r="P25" s="98" t="s">
        <v>131</v>
      </c>
    </row>
    <row r="26" spans="1:16" x14ac:dyDescent="0.25">
      <c r="A26" s="104"/>
      <c r="B26" s="227"/>
      <c r="C26" s="228"/>
      <c r="D26" s="228"/>
      <c r="E26" s="228"/>
      <c r="F26" s="228"/>
      <c r="G26" s="229"/>
      <c r="H26" s="199"/>
      <c r="I26" s="199"/>
      <c r="J26" s="199"/>
      <c r="K26" s="199"/>
      <c r="L26" s="199"/>
      <c r="M26" s="199"/>
      <c r="N26" s="199"/>
      <c r="O26" s="199"/>
      <c r="P26" s="98"/>
    </row>
    <row r="27" spans="1:16" x14ac:dyDescent="0.25">
      <c r="B27" s="100"/>
      <c r="C27" s="100"/>
      <c r="D27" s="100"/>
      <c r="E27" s="100"/>
      <c r="F27" s="100"/>
      <c r="G27" s="100"/>
      <c r="H27" s="100"/>
    </row>
    <row r="28" spans="1:16" x14ac:dyDescent="0.25">
      <c r="B28" s="100"/>
      <c r="C28" s="100"/>
      <c r="D28" s="100"/>
      <c r="E28" s="100"/>
      <c r="F28" s="100"/>
      <c r="G28" s="100"/>
      <c r="H28" s="100"/>
    </row>
  </sheetData>
  <mergeCells count="25">
    <mergeCell ref="B26:G26"/>
    <mergeCell ref="H26:K26"/>
    <mergeCell ref="L26:O26"/>
    <mergeCell ref="B24:G24"/>
    <mergeCell ref="H24:K24"/>
    <mergeCell ref="L24:O24"/>
    <mergeCell ref="B25:G25"/>
    <mergeCell ref="H25:K25"/>
    <mergeCell ref="L25:O25"/>
    <mergeCell ref="B22:G22"/>
    <mergeCell ref="H22:K22"/>
    <mergeCell ref="L22:O22"/>
    <mergeCell ref="B23:G23"/>
    <mergeCell ref="H23:K23"/>
    <mergeCell ref="L23:O23"/>
    <mergeCell ref="A21:G21"/>
    <mergeCell ref="H21:K21"/>
    <mergeCell ref="L21:O21"/>
    <mergeCell ref="A16:A19"/>
    <mergeCell ref="B16:G19"/>
    <mergeCell ref="B1:G1"/>
    <mergeCell ref="B3:G3"/>
    <mergeCell ref="B7:G7"/>
    <mergeCell ref="A11:A14"/>
    <mergeCell ref="B11:G14"/>
  </mergeCells>
  <conditionalFormatting sqref="B10">
    <cfRule type="cellIs" dxfId="237" priority="21" operator="equal">
      <formula>"Nok"</formula>
    </cfRule>
    <cfRule type="cellIs" dxfId="236" priority="22" operator="equal">
      <formula>"Ok"</formula>
    </cfRule>
  </conditionalFormatting>
  <conditionalFormatting sqref="P26">
    <cfRule type="cellIs" dxfId="235" priority="19" operator="equal">
      <formula>"Nok"</formula>
    </cfRule>
    <cfRule type="cellIs" dxfId="234" priority="20" operator="equal">
      <formula>"Ok"</formula>
    </cfRule>
  </conditionalFormatting>
  <conditionalFormatting sqref="B9">
    <cfRule type="cellIs" dxfId="233" priority="5" operator="equal">
      <formula>"Nok"</formula>
    </cfRule>
    <cfRule type="cellIs" dxfId="232" priority="6" operator="equal">
      <formula>"Ok"</formula>
    </cfRule>
  </conditionalFormatting>
  <conditionalFormatting sqref="P22:P23">
    <cfRule type="cellIs" dxfId="231" priority="3" operator="equal">
      <formula>"Nok"</formula>
    </cfRule>
    <cfRule type="cellIs" dxfId="230" priority="4" operator="equal">
      <formula>"Ok"</formula>
    </cfRule>
  </conditionalFormatting>
  <conditionalFormatting sqref="P24:P25">
    <cfRule type="cellIs" dxfId="229" priority="1" operator="equal">
      <formula>"Nok"</formula>
    </cfRule>
    <cfRule type="cellIs" dxfId="228" priority="2" operator="equal">
      <formula>"Ok"</formula>
    </cfRule>
  </conditionalFormatting>
  <dataValidations count="2">
    <dataValidation type="list" allowBlank="1" showInputMessage="1" showErrorMessage="1" sqref="B5" xr:uid="{82FE73BA-F77C-45BC-9CF1-138143259357}">
      <formula1>"Nominal, Robustness, Endurance, Qualification"</formula1>
    </dataValidation>
    <dataValidation type="list" allowBlank="1" showInputMessage="1" showErrorMessage="1" sqref="B9 P22:P26" xr:uid="{F2BBCB53-2ACA-457A-A6AE-C24A5202FD09}">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EE2F0-03C5-4E08-8B0C-F51306C77CF9}">
  <sheetPr codeName="Sheet19"/>
  <dimension ref="A1:P28"/>
  <sheetViews>
    <sheetView workbookViewId="0">
      <selection activeCell="B3" sqref="B3:G3"/>
    </sheetView>
  </sheetViews>
  <sheetFormatPr defaultColWidth="9.33203125" defaultRowHeight="13.2" x14ac:dyDescent="0.25"/>
  <cols>
    <col min="1" max="1" width="20.33203125" style="100" customWidth="1"/>
    <col min="2" max="2" width="18.44140625" style="96" customWidth="1"/>
    <col min="3" max="7" width="9.33203125" style="96"/>
    <col min="8" max="15" width="9.5546875" style="96" customWidth="1"/>
    <col min="16" max="16384" width="9.33203125" style="96"/>
  </cols>
  <sheetData>
    <row r="1" spans="1:15" ht="13.8" thickBot="1" x14ac:dyDescent="0.3">
      <c r="A1" s="101" t="s">
        <v>40</v>
      </c>
      <c r="B1" s="200" t="s">
        <v>193</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247</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316</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61.5" customHeight="1" x14ac:dyDescent="0.25">
      <c r="A22" s="104" t="s">
        <v>49</v>
      </c>
      <c r="B22" s="227" t="s">
        <v>200</v>
      </c>
      <c r="C22" s="228"/>
      <c r="D22" s="228"/>
      <c r="E22" s="228"/>
      <c r="F22" s="228"/>
      <c r="G22" s="229"/>
      <c r="H22" s="199"/>
      <c r="I22" s="199"/>
      <c r="J22" s="199"/>
      <c r="K22" s="199"/>
      <c r="L22" s="199"/>
      <c r="M22" s="199"/>
      <c r="N22" s="199"/>
      <c r="O22" s="199"/>
      <c r="P22" s="98"/>
    </row>
    <row r="23" spans="1:16" ht="39.450000000000003" customHeight="1" x14ac:dyDescent="0.25">
      <c r="A23" s="104" t="s">
        <v>50</v>
      </c>
      <c r="B23" s="227" t="s">
        <v>199</v>
      </c>
      <c r="C23" s="228"/>
      <c r="D23" s="228"/>
      <c r="E23" s="228"/>
      <c r="F23" s="228"/>
      <c r="G23" s="229"/>
      <c r="H23" s="199"/>
      <c r="I23" s="199"/>
      <c r="J23" s="199"/>
      <c r="K23" s="199"/>
      <c r="L23" s="199"/>
      <c r="M23" s="199"/>
      <c r="N23" s="199"/>
      <c r="O23" s="199"/>
      <c r="P23" s="98"/>
    </row>
    <row r="24" spans="1:16" ht="39" customHeight="1" x14ac:dyDescent="0.25">
      <c r="A24" s="104" t="s">
        <v>51</v>
      </c>
      <c r="B24" s="227" t="s">
        <v>194</v>
      </c>
      <c r="C24" s="228"/>
      <c r="D24" s="228"/>
      <c r="E24" s="228"/>
      <c r="F24" s="228"/>
      <c r="G24" s="229"/>
      <c r="H24" s="227" t="s">
        <v>180</v>
      </c>
      <c r="I24" s="228"/>
      <c r="J24" s="228"/>
      <c r="K24" s="229"/>
      <c r="L24" s="227" t="s">
        <v>181</v>
      </c>
      <c r="M24" s="228"/>
      <c r="N24" s="228"/>
      <c r="O24" s="229"/>
      <c r="P24" s="98" t="s">
        <v>131</v>
      </c>
    </row>
    <row r="25" spans="1:16" ht="33" customHeight="1" x14ac:dyDescent="0.25">
      <c r="A25" s="104" t="s">
        <v>52</v>
      </c>
      <c r="B25" s="220" t="s">
        <v>354</v>
      </c>
      <c r="C25" s="221"/>
      <c r="D25" s="221"/>
      <c r="E25" s="221"/>
      <c r="F25" s="221"/>
      <c r="G25" s="222"/>
      <c r="H25" s="227" t="s">
        <v>315</v>
      </c>
      <c r="I25" s="228"/>
      <c r="J25" s="228"/>
      <c r="K25" s="229"/>
      <c r="L25" s="227" t="s">
        <v>314</v>
      </c>
      <c r="M25" s="228"/>
      <c r="N25" s="228"/>
      <c r="O25" s="229"/>
      <c r="P25" s="98" t="s">
        <v>131</v>
      </c>
    </row>
    <row r="26" spans="1:16" x14ac:dyDescent="0.25">
      <c r="A26" s="104"/>
      <c r="B26" s="227"/>
      <c r="C26" s="228"/>
      <c r="D26" s="228"/>
      <c r="E26" s="228"/>
      <c r="F26" s="228"/>
      <c r="G26" s="229"/>
      <c r="H26" s="199"/>
      <c r="I26" s="199"/>
      <c r="J26" s="199"/>
      <c r="K26" s="199"/>
      <c r="L26" s="199"/>
      <c r="M26" s="199"/>
      <c r="N26" s="199"/>
      <c r="O26" s="199"/>
      <c r="P26" s="98"/>
    </row>
    <row r="27" spans="1:16" x14ac:dyDescent="0.25">
      <c r="B27" s="100"/>
      <c r="C27" s="100"/>
      <c r="D27" s="100"/>
      <c r="E27" s="100"/>
      <c r="F27" s="100"/>
      <c r="G27" s="100"/>
      <c r="H27" s="100"/>
    </row>
    <row r="28" spans="1:16" x14ac:dyDescent="0.25">
      <c r="B28" s="100"/>
      <c r="C28" s="100"/>
      <c r="D28" s="100"/>
      <c r="E28" s="100"/>
      <c r="F28" s="100"/>
      <c r="G28" s="100"/>
      <c r="H28" s="100"/>
    </row>
  </sheetData>
  <mergeCells count="25">
    <mergeCell ref="B26:G26"/>
    <mergeCell ref="H26:K26"/>
    <mergeCell ref="L26:O26"/>
    <mergeCell ref="B24:G24"/>
    <mergeCell ref="H24:K24"/>
    <mergeCell ref="L24:O24"/>
    <mergeCell ref="B25:G25"/>
    <mergeCell ref="H25:K25"/>
    <mergeCell ref="L25:O25"/>
    <mergeCell ref="B22:G22"/>
    <mergeCell ref="H22:K22"/>
    <mergeCell ref="L22:O22"/>
    <mergeCell ref="B23:G23"/>
    <mergeCell ref="H23:K23"/>
    <mergeCell ref="L23:O23"/>
    <mergeCell ref="A21:G21"/>
    <mergeCell ref="H21:K21"/>
    <mergeCell ref="L21:O21"/>
    <mergeCell ref="A16:A19"/>
    <mergeCell ref="B16:G19"/>
    <mergeCell ref="B1:G1"/>
    <mergeCell ref="B3:G3"/>
    <mergeCell ref="B7:G7"/>
    <mergeCell ref="A11:A14"/>
    <mergeCell ref="B11:G14"/>
  </mergeCells>
  <conditionalFormatting sqref="B9:B10">
    <cfRule type="cellIs" dxfId="227" priority="17" operator="equal">
      <formula>"Nok"</formula>
    </cfRule>
    <cfRule type="cellIs" dxfId="226" priority="18" operator="equal">
      <formula>"Ok"</formula>
    </cfRule>
  </conditionalFormatting>
  <conditionalFormatting sqref="P26">
    <cfRule type="cellIs" dxfId="225" priority="15" operator="equal">
      <formula>"Nok"</formula>
    </cfRule>
    <cfRule type="cellIs" dxfId="224" priority="16" operator="equal">
      <formula>"Ok"</formula>
    </cfRule>
  </conditionalFormatting>
  <conditionalFormatting sqref="P22:P23">
    <cfRule type="cellIs" dxfId="223" priority="3" operator="equal">
      <formula>"Nok"</formula>
    </cfRule>
    <cfRule type="cellIs" dxfId="222" priority="4" operator="equal">
      <formula>"Ok"</formula>
    </cfRule>
  </conditionalFormatting>
  <conditionalFormatting sqref="P24:P25">
    <cfRule type="cellIs" dxfId="221" priority="1" operator="equal">
      <formula>"Nok"</formula>
    </cfRule>
    <cfRule type="cellIs" dxfId="220" priority="2" operator="equal">
      <formula>"Ok"</formula>
    </cfRule>
  </conditionalFormatting>
  <dataValidations count="3">
    <dataValidation type="list" allowBlank="1" showInputMessage="1" showErrorMessage="1" sqref="B9" xr:uid="{5A0FD447-9066-4844-BF9D-0BCB1A695FE6}">
      <formula1>"Ok, Nok, Not run, NA"</formula1>
    </dataValidation>
    <dataValidation type="list" allowBlank="1" showInputMessage="1" showErrorMessage="1" sqref="B5" xr:uid="{151F5F3E-B86A-4B93-B977-B7639BFF8D4F}">
      <formula1>"Nominal, Robustness, Endurance, Qualification"</formula1>
    </dataValidation>
    <dataValidation type="list" allowBlank="1" showInputMessage="1" showErrorMessage="1" sqref="P22:P26" xr:uid="{CE1DB07A-A844-4095-AED4-DDEBC7A5707B}">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C218B-D700-4D76-8E59-CE769E9DBA08}">
  <sheetPr codeName="Sheet20"/>
  <dimension ref="A1:P31"/>
  <sheetViews>
    <sheetView workbookViewId="0">
      <selection activeCell="B3" sqref="B3:G3"/>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203</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318</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206</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65.7" customHeight="1" x14ac:dyDescent="0.25">
      <c r="A22" s="104" t="s">
        <v>49</v>
      </c>
      <c r="B22" s="227" t="s">
        <v>200</v>
      </c>
      <c r="C22" s="228"/>
      <c r="D22" s="228"/>
      <c r="E22" s="228"/>
      <c r="F22" s="228"/>
      <c r="G22" s="229"/>
      <c r="H22" s="199"/>
      <c r="I22" s="199"/>
      <c r="J22" s="199"/>
      <c r="K22" s="199"/>
      <c r="L22" s="199"/>
      <c r="M22" s="199"/>
      <c r="N22" s="199"/>
      <c r="O22" s="199"/>
      <c r="P22" s="98"/>
    </row>
    <row r="23" spans="1:16" ht="39.450000000000003" customHeight="1" x14ac:dyDescent="0.25">
      <c r="A23" s="104" t="s">
        <v>50</v>
      </c>
      <c r="B23" s="227" t="s">
        <v>199</v>
      </c>
      <c r="C23" s="228"/>
      <c r="D23" s="228"/>
      <c r="E23" s="228"/>
      <c r="F23" s="228"/>
      <c r="G23" s="229"/>
      <c r="H23" s="199"/>
      <c r="I23" s="199"/>
      <c r="J23" s="199"/>
      <c r="K23" s="199"/>
      <c r="L23" s="199"/>
      <c r="M23" s="199"/>
      <c r="N23" s="199"/>
      <c r="O23" s="199"/>
      <c r="P23" s="98"/>
    </row>
    <row r="24" spans="1:16" ht="39" customHeight="1" x14ac:dyDescent="0.25">
      <c r="A24" s="104" t="s">
        <v>51</v>
      </c>
      <c r="B24" s="227" t="s">
        <v>267</v>
      </c>
      <c r="C24" s="228"/>
      <c r="D24" s="228"/>
      <c r="E24" s="228"/>
      <c r="F24" s="228"/>
      <c r="G24" s="229"/>
      <c r="H24" s="227" t="s">
        <v>266</v>
      </c>
      <c r="I24" s="228"/>
      <c r="J24" s="228"/>
      <c r="K24" s="229"/>
      <c r="L24" s="227" t="s">
        <v>232</v>
      </c>
      <c r="M24" s="228"/>
      <c r="N24" s="228"/>
      <c r="O24" s="229"/>
      <c r="P24" s="98" t="s">
        <v>131</v>
      </c>
    </row>
    <row r="25" spans="1:16" ht="39" customHeight="1" x14ac:dyDescent="0.25">
      <c r="A25" s="104" t="s">
        <v>52</v>
      </c>
      <c r="B25" s="227" t="s">
        <v>215</v>
      </c>
      <c r="C25" s="228"/>
      <c r="D25" s="228"/>
      <c r="E25" s="228"/>
      <c r="F25" s="228"/>
      <c r="G25" s="229"/>
      <c r="H25" s="227" t="s">
        <v>180</v>
      </c>
      <c r="I25" s="228"/>
      <c r="J25" s="228"/>
      <c r="K25" s="229"/>
      <c r="L25" s="227" t="s">
        <v>181</v>
      </c>
      <c r="M25" s="228"/>
      <c r="N25" s="228"/>
      <c r="O25" s="229"/>
      <c r="P25" s="98" t="s">
        <v>131</v>
      </c>
    </row>
    <row r="26" spans="1:16" ht="43.2" customHeight="1" x14ac:dyDescent="0.25">
      <c r="A26" s="104" t="s">
        <v>53</v>
      </c>
      <c r="B26" s="220" t="s">
        <v>265</v>
      </c>
      <c r="C26" s="221"/>
      <c r="D26" s="221"/>
      <c r="E26" s="221"/>
      <c r="F26" s="221"/>
      <c r="G26" s="222"/>
      <c r="H26" s="199" t="s">
        <v>281</v>
      </c>
      <c r="I26" s="199"/>
      <c r="J26" s="199"/>
      <c r="K26" s="199"/>
      <c r="L26" s="199" t="s">
        <v>279</v>
      </c>
      <c r="M26" s="199"/>
      <c r="N26" s="199"/>
      <c r="O26" s="199"/>
      <c r="P26" s="98" t="s">
        <v>131</v>
      </c>
    </row>
    <row r="27" spans="1:16" ht="25.95" customHeight="1" x14ac:dyDescent="0.25">
      <c r="A27" s="104" t="s">
        <v>54</v>
      </c>
      <c r="B27" s="220" t="s">
        <v>268</v>
      </c>
      <c r="C27" s="221"/>
      <c r="D27" s="221"/>
      <c r="E27" s="221"/>
      <c r="F27" s="221"/>
      <c r="G27" s="222"/>
      <c r="H27" s="199" t="s">
        <v>317</v>
      </c>
      <c r="I27" s="199"/>
      <c r="J27" s="199"/>
      <c r="K27" s="199"/>
      <c r="L27" s="199" t="s">
        <v>283</v>
      </c>
      <c r="M27" s="199"/>
      <c r="N27" s="199"/>
      <c r="O27" s="199"/>
      <c r="P27" s="98" t="s">
        <v>131</v>
      </c>
    </row>
    <row r="28" spans="1:16" ht="25.95" customHeight="1" x14ac:dyDescent="0.25">
      <c r="A28" s="104" t="s">
        <v>55</v>
      </c>
      <c r="B28" s="220" t="s">
        <v>353</v>
      </c>
      <c r="C28" s="221"/>
      <c r="D28" s="221"/>
      <c r="E28" s="221"/>
      <c r="F28" s="221"/>
      <c r="G28" s="222"/>
      <c r="H28" s="199" t="s">
        <v>317</v>
      </c>
      <c r="I28" s="199"/>
      <c r="J28" s="199"/>
      <c r="K28" s="199"/>
      <c r="L28" s="199" t="s">
        <v>283</v>
      </c>
      <c r="M28" s="199"/>
      <c r="N28" s="199"/>
      <c r="O28" s="199"/>
      <c r="P28" s="98" t="s">
        <v>131</v>
      </c>
    </row>
    <row r="29" spans="1:16" ht="13.8" thickBot="1" x14ac:dyDescent="0.3">
      <c r="A29" s="105"/>
      <c r="B29" s="220"/>
      <c r="C29" s="221"/>
      <c r="D29" s="221"/>
      <c r="E29" s="221"/>
      <c r="F29" s="221"/>
      <c r="G29" s="222"/>
      <c r="H29" s="227"/>
      <c r="I29" s="228"/>
      <c r="J29" s="228"/>
      <c r="K29" s="229"/>
      <c r="L29" s="227"/>
      <c r="M29" s="228"/>
      <c r="N29" s="228"/>
      <c r="O29" s="229"/>
      <c r="P29" s="99"/>
    </row>
    <row r="30" spans="1:16" x14ac:dyDescent="0.25">
      <c r="B30" s="100"/>
      <c r="C30" s="100"/>
      <c r="D30" s="100"/>
      <c r="E30" s="100"/>
      <c r="F30" s="100"/>
      <c r="G30" s="100"/>
      <c r="H30" s="100"/>
    </row>
    <row r="31" spans="1:16" x14ac:dyDescent="0.25">
      <c r="B31" s="100"/>
      <c r="C31" s="100"/>
      <c r="D31" s="100"/>
      <c r="E31" s="100"/>
      <c r="F31" s="100"/>
      <c r="G31" s="100"/>
      <c r="H31" s="100"/>
    </row>
  </sheetData>
  <mergeCells count="34">
    <mergeCell ref="B28:G28"/>
    <mergeCell ref="H28:K28"/>
    <mergeCell ref="L28:O28"/>
    <mergeCell ref="B29:G29"/>
    <mergeCell ref="H29:K29"/>
    <mergeCell ref="L29:O29"/>
    <mergeCell ref="B26:G26"/>
    <mergeCell ref="H26:K26"/>
    <mergeCell ref="L26:O26"/>
    <mergeCell ref="B27:G27"/>
    <mergeCell ref="H27:K27"/>
    <mergeCell ref="L27:O27"/>
    <mergeCell ref="B24:G24"/>
    <mergeCell ref="H24:K24"/>
    <mergeCell ref="L24:O24"/>
    <mergeCell ref="B25:G25"/>
    <mergeCell ref="H25:K25"/>
    <mergeCell ref="L25:O25"/>
    <mergeCell ref="B22:G22"/>
    <mergeCell ref="H22:K22"/>
    <mergeCell ref="L22:O22"/>
    <mergeCell ref="B23:G23"/>
    <mergeCell ref="H23:K23"/>
    <mergeCell ref="L23:O23"/>
    <mergeCell ref="A21:G21"/>
    <mergeCell ref="H21:K21"/>
    <mergeCell ref="L21:O21"/>
    <mergeCell ref="B1:G1"/>
    <mergeCell ref="B3:G3"/>
    <mergeCell ref="B7:G7"/>
    <mergeCell ref="A11:A14"/>
    <mergeCell ref="B11:G14"/>
    <mergeCell ref="A16:A19"/>
    <mergeCell ref="B16:G19"/>
  </mergeCells>
  <conditionalFormatting sqref="B10">
    <cfRule type="cellIs" dxfId="219" priority="27" operator="equal">
      <formula>"Nok"</formula>
    </cfRule>
    <cfRule type="cellIs" dxfId="218" priority="28" operator="equal">
      <formula>"Ok"</formula>
    </cfRule>
  </conditionalFormatting>
  <conditionalFormatting sqref="P29 P22:P23">
    <cfRule type="cellIs" dxfId="217" priority="25" operator="equal">
      <formula>"Nok"</formula>
    </cfRule>
    <cfRule type="cellIs" dxfId="216" priority="26" operator="equal">
      <formula>"Ok"</formula>
    </cfRule>
  </conditionalFormatting>
  <conditionalFormatting sqref="B9">
    <cfRule type="cellIs" dxfId="215" priority="13" operator="equal">
      <formula>"Nok"</formula>
    </cfRule>
    <cfRule type="cellIs" dxfId="214" priority="14" operator="equal">
      <formula>"Ok"</formula>
    </cfRule>
  </conditionalFormatting>
  <conditionalFormatting sqref="P24:P28">
    <cfRule type="cellIs" dxfId="213" priority="1" operator="equal">
      <formula>"Nok"</formula>
    </cfRule>
    <cfRule type="cellIs" dxfId="212" priority="2" operator="equal">
      <formula>"Ok"</formula>
    </cfRule>
  </conditionalFormatting>
  <dataValidations count="2">
    <dataValidation type="list" allowBlank="1" showInputMessage="1" showErrorMessage="1" sqref="B5" xr:uid="{95EFD67C-7E3B-4B1C-ADF4-77AAAA0EB512}">
      <formula1>"Nominal, Robustness, Endurance, Qualification"</formula1>
    </dataValidation>
    <dataValidation type="list" allowBlank="1" showInputMessage="1" showErrorMessage="1" sqref="B9 P22:P29" xr:uid="{F58482DD-2B4B-4EEC-B202-1DFB25FCFEC9}">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9665A-CEB6-4441-AB85-8C626505934F}">
  <sheetPr codeName="Sheet21"/>
  <dimension ref="A1:P32"/>
  <sheetViews>
    <sheetView topLeftCell="A10" workbookViewId="0">
      <selection activeCell="B28" sqref="B28:G28"/>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207</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255</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208</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65.7" customHeight="1" x14ac:dyDescent="0.25">
      <c r="A22" s="104" t="s">
        <v>49</v>
      </c>
      <c r="B22" s="227" t="s">
        <v>200</v>
      </c>
      <c r="C22" s="228"/>
      <c r="D22" s="228"/>
      <c r="E22" s="228"/>
      <c r="F22" s="228"/>
      <c r="G22" s="229"/>
      <c r="H22" s="199"/>
      <c r="I22" s="199"/>
      <c r="J22" s="199"/>
      <c r="K22" s="199"/>
      <c r="L22" s="199"/>
      <c r="M22" s="199"/>
      <c r="N22" s="199"/>
      <c r="O22" s="199"/>
      <c r="P22" s="98"/>
    </row>
    <row r="23" spans="1:16" ht="39.450000000000003" customHeight="1" x14ac:dyDescent="0.25">
      <c r="A23" s="104" t="s">
        <v>50</v>
      </c>
      <c r="B23" s="227" t="s">
        <v>199</v>
      </c>
      <c r="C23" s="228"/>
      <c r="D23" s="228"/>
      <c r="E23" s="228"/>
      <c r="F23" s="228"/>
      <c r="G23" s="229"/>
      <c r="H23" s="199"/>
      <c r="I23" s="199"/>
      <c r="J23" s="199"/>
      <c r="K23" s="199"/>
      <c r="L23" s="199"/>
      <c r="M23" s="199"/>
      <c r="N23" s="199"/>
      <c r="O23" s="199"/>
      <c r="P23" s="98"/>
    </row>
    <row r="24" spans="1:16" ht="39" customHeight="1" x14ac:dyDescent="0.25">
      <c r="A24" s="104" t="s">
        <v>51</v>
      </c>
      <c r="B24" s="227" t="s">
        <v>269</v>
      </c>
      <c r="C24" s="228"/>
      <c r="D24" s="228"/>
      <c r="E24" s="228"/>
      <c r="F24" s="228"/>
      <c r="G24" s="229"/>
      <c r="H24" s="227" t="s">
        <v>266</v>
      </c>
      <c r="I24" s="228"/>
      <c r="J24" s="228"/>
      <c r="K24" s="229"/>
      <c r="L24" s="227" t="s">
        <v>232</v>
      </c>
      <c r="M24" s="228"/>
      <c r="N24" s="228"/>
      <c r="O24" s="229"/>
      <c r="P24" s="98" t="s">
        <v>131</v>
      </c>
    </row>
    <row r="25" spans="1:16" ht="39" customHeight="1" x14ac:dyDescent="0.25">
      <c r="A25" s="104" t="s">
        <v>52</v>
      </c>
      <c r="B25" s="227" t="s">
        <v>216</v>
      </c>
      <c r="C25" s="228"/>
      <c r="D25" s="228"/>
      <c r="E25" s="228"/>
      <c r="F25" s="228"/>
      <c r="G25" s="229"/>
      <c r="H25" s="227" t="s">
        <v>180</v>
      </c>
      <c r="I25" s="228"/>
      <c r="J25" s="228"/>
      <c r="K25" s="229"/>
      <c r="L25" s="227" t="s">
        <v>181</v>
      </c>
      <c r="M25" s="228"/>
      <c r="N25" s="228"/>
      <c r="O25" s="229"/>
      <c r="P25" s="98" t="s">
        <v>131</v>
      </c>
    </row>
    <row r="26" spans="1:16" ht="39" customHeight="1" x14ac:dyDescent="0.25">
      <c r="A26" s="104" t="s">
        <v>53</v>
      </c>
      <c r="B26" s="220" t="s">
        <v>265</v>
      </c>
      <c r="C26" s="221"/>
      <c r="D26" s="221"/>
      <c r="E26" s="221"/>
      <c r="F26" s="221"/>
      <c r="G26" s="222"/>
      <c r="H26" s="199" t="s">
        <v>281</v>
      </c>
      <c r="I26" s="199"/>
      <c r="J26" s="199"/>
      <c r="K26" s="199"/>
      <c r="L26" s="199" t="s">
        <v>279</v>
      </c>
      <c r="M26" s="199"/>
      <c r="N26" s="199"/>
      <c r="O26" s="199"/>
      <c r="P26" s="98" t="s">
        <v>131</v>
      </c>
    </row>
    <row r="27" spans="1:16" ht="43.2" customHeight="1" x14ac:dyDescent="0.25">
      <c r="A27" s="104" t="s">
        <v>54</v>
      </c>
      <c r="B27" s="220" t="s">
        <v>270</v>
      </c>
      <c r="C27" s="221"/>
      <c r="D27" s="221"/>
      <c r="E27" s="221"/>
      <c r="F27" s="221"/>
      <c r="G27" s="222"/>
      <c r="H27" s="199" t="s">
        <v>317</v>
      </c>
      <c r="I27" s="199"/>
      <c r="J27" s="199"/>
      <c r="K27" s="199"/>
      <c r="L27" s="199" t="s">
        <v>283</v>
      </c>
      <c r="M27" s="199"/>
      <c r="N27" s="199"/>
      <c r="O27" s="199"/>
      <c r="P27" s="98" t="s">
        <v>131</v>
      </c>
    </row>
    <row r="28" spans="1:16" ht="28.95" customHeight="1" x14ac:dyDescent="0.25">
      <c r="A28" s="104" t="s">
        <v>55</v>
      </c>
      <c r="B28" s="220" t="s">
        <v>353</v>
      </c>
      <c r="C28" s="221"/>
      <c r="D28" s="221"/>
      <c r="E28" s="221"/>
      <c r="F28" s="221"/>
      <c r="G28" s="222"/>
      <c r="H28" s="199" t="s">
        <v>317</v>
      </c>
      <c r="I28" s="199"/>
      <c r="J28" s="199"/>
      <c r="K28" s="199"/>
      <c r="L28" s="199" t="s">
        <v>283</v>
      </c>
      <c r="M28" s="199"/>
      <c r="N28" s="199"/>
      <c r="O28" s="199"/>
      <c r="P28" s="98" t="s">
        <v>131</v>
      </c>
    </row>
    <row r="29" spans="1:16" x14ac:dyDescent="0.25">
      <c r="A29" s="104"/>
      <c r="B29" s="227"/>
      <c r="C29" s="228"/>
      <c r="D29" s="228"/>
      <c r="E29" s="228"/>
      <c r="F29" s="228"/>
      <c r="G29" s="229"/>
      <c r="H29" s="199"/>
      <c r="I29" s="199"/>
      <c r="J29" s="199"/>
      <c r="K29" s="199"/>
      <c r="L29" s="199"/>
      <c r="M29" s="199"/>
      <c r="N29" s="199"/>
      <c r="O29" s="199"/>
      <c r="P29" s="98"/>
    </row>
    <row r="30" spans="1:16" ht="13.8" thickBot="1" x14ac:dyDescent="0.3">
      <c r="A30" s="105"/>
      <c r="B30" s="223"/>
      <c r="C30" s="224"/>
      <c r="D30" s="224"/>
      <c r="E30" s="224"/>
      <c r="F30" s="224"/>
      <c r="G30" s="225"/>
      <c r="H30" s="226"/>
      <c r="I30" s="226"/>
      <c r="J30" s="226"/>
      <c r="K30" s="226"/>
      <c r="L30" s="226"/>
      <c r="M30" s="226"/>
      <c r="N30" s="226"/>
      <c r="O30" s="226"/>
      <c r="P30" s="99"/>
    </row>
    <row r="31" spans="1:16" x14ac:dyDescent="0.25">
      <c r="B31" s="100"/>
      <c r="C31" s="100"/>
      <c r="D31" s="100"/>
      <c r="E31" s="100"/>
      <c r="F31" s="100"/>
      <c r="G31" s="100"/>
      <c r="H31" s="100"/>
    </row>
    <row r="32" spans="1:16" x14ac:dyDescent="0.25">
      <c r="B32" s="100"/>
      <c r="C32" s="100"/>
      <c r="D32" s="100"/>
      <c r="E32" s="100"/>
      <c r="F32" s="100"/>
      <c r="G32" s="100"/>
      <c r="H32" s="100"/>
    </row>
  </sheetData>
  <mergeCells count="37">
    <mergeCell ref="B24:G24"/>
    <mergeCell ref="H24:K24"/>
    <mergeCell ref="L24:O24"/>
    <mergeCell ref="B29:G29"/>
    <mergeCell ref="H29:K29"/>
    <mergeCell ref="L29:O29"/>
    <mergeCell ref="B25:G25"/>
    <mergeCell ref="H25:K25"/>
    <mergeCell ref="L25:O25"/>
    <mergeCell ref="B26:G26"/>
    <mergeCell ref="H26:K26"/>
    <mergeCell ref="L26:O26"/>
    <mergeCell ref="B30:G30"/>
    <mergeCell ref="H30:K30"/>
    <mergeCell ref="L30:O30"/>
    <mergeCell ref="B27:G27"/>
    <mergeCell ref="H27:K27"/>
    <mergeCell ref="L27:O27"/>
    <mergeCell ref="B28:G28"/>
    <mergeCell ref="H28:K28"/>
    <mergeCell ref="L28:O28"/>
    <mergeCell ref="B22:G22"/>
    <mergeCell ref="H22:K22"/>
    <mergeCell ref="L22:O22"/>
    <mergeCell ref="B23:G23"/>
    <mergeCell ref="H23:K23"/>
    <mergeCell ref="L23:O23"/>
    <mergeCell ref="A21:G21"/>
    <mergeCell ref="H21:K21"/>
    <mergeCell ref="L21:O21"/>
    <mergeCell ref="B1:G1"/>
    <mergeCell ref="B3:G3"/>
    <mergeCell ref="B7:G7"/>
    <mergeCell ref="A11:A14"/>
    <mergeCell ref="B11:G14"/>
    <mergeCell ref="A16:A19"/>
    <mergeCell ref="B16:G19"/>
  </mergeCells>
  <conditionalFormatting sqref="B10">
    <cfRule type="cellIs" dxfId="211" priority="21" operator="equal">
      <formula>"Nok"</formula>
    </cfRule>
    <cfRule type="cellIs" dxfId="210" priority="22" operator="equal">
      <formula>"Ok"</formula>
    </cfRule>
  </conditionalFormatting>
  <conditionalFormatting sqref="P29:P30 P22:P23">
    <cfRule type="cellIs" dxfId="209" priority="19" operator="equal">
      <formula>"Nok"</formula>
    </cfRule>
    <cfRule type="cellIs" dxfId="208" priority="20" operator="equal">
      <formula>"Ok"</formula>
    </cfRule>
  </conditionalFormatting>
  <conditionalFormatting sqref="B9">
    <cfRule type="cellIs" dxfId="207" priority="7" operator="equal">
      <formula>"Nok"</formula>
    </cfRule>
    <cfRule type="cellIs" dxfId="206" priority="8" operator="equal">
      <formula>"Ok"</formula>
    </cfRule>
  </conditionalFormatting>
  <conditionalFormatting sqref="P24:P28">
    <cfRule type="cellIs" dxfId="205" priority="1" operator="equal">
      <formula>"Nok"</formula>
    </cfRule>
    <cfRule type="cellIs" dxfId="204" priority="2" operator="equal">
      <formula>"Ok"</formula>
    </cfRule>
  </conditionalFormatting>
  <dataValidations count="2">
    <dataValidation type="list" allowBlank="1" showInputMessage="1" showErrorMessage="1" sqref="B9 P22:P30" xr:uid="{E1087BAF-DF2A-40DA-9F9C-E3ECAFA25116}">
      <formula1>"Ok, Nok, Not run, ,"</formula1>
    </dataValidation>
    <dataValidation type="list" allowBlank="1" showInputMessage="1" showErrorMessage="1" sqref="B5" xr:uid="{53EA0C2D-DB5B-4A75-82AB-B7C1D520A8B9}">
      <formula1>"Nominal, Robustness, Endurance, Qualification"</formula1>
    </dataValidation>
  </dataValidations>
  <pageMargins left="0.7" right="0.7" top="0.75" bottom="0.75" header="0.3" footer="0.3"/>
  <pageSetup paperSize="9" orientation="portrait" r:id="rId1"/>
  <headerFooter>
    <oddFooter>&amp;LNA ver 2&amp;R&amp;P</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DDB91-1590-4F0E-90AA-0DAE00267DA9}">
  <sheetPr codeName="Sheet22"/>
  <dimension ref="A1:P29"/>
  <sheetViews>
    <sheetView workbookViewId="0">
      <selection activeCell="B26" sqref="B26:G26"/>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209</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319</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210</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65.7" customHeight="1" x14ac:dyDescent="0.25">
      <c r="A22" s="104" t="s">
        <v>49</v>
      </c>
      <c r="B22" s="227" t="s">
        <v>200</v>
      </c>
      <c r="C22" s="228"/>
      <c r="D22" s="228"/>
      <c r="E22" s="228"/>
      <c r="F22" s="228"/>
      <c r="G22" s="229"/>
      <c r="H22" s="199"/>
      <c r="I22" s="199"/>
      <c r="J22" s="199"/>
      <c r="K22" s="199"/>
      <c r="L22" s="199"/>
      <c r="M22" s="199"/>
      <c r="N22" s="199"/>
      <c r="O22" s="199"/>
      <c r="P22" s="98"/>
    </row>
    <row r="23" spans="1:16" ht="39.450000000000003" customHeight="1" x14ac:dyDescent="0.25">
      <c r="A23" s="104" t="s">
        <v>50</v>
      </c>
      <c r="B23" s="227" t="s">
        <v>199</v>
      </c>
      <c r="C23" s="228"/>
      <c r="D23" s="228"/>
      <c r="E23" s="228"/>
      <c r="F23" s="228"/>
      <c r="G23" s="229"/>
      <c r="H23" s="199"/>
      <c r="I23" s="199"/>
      <c r="J23" s="199"/>
      <c r="K23" s="199"/>
      <c r="L23" s="199"/>
      <c r="M23" s="199"/>
      <c r="N23" s="199"/>
      <c r="O23" s="199"/>
      <c r="P23" s="98"/>
    </row>
    <row r="24" spans="1:16" ht="39" customHeight="1" x14ac:dyDescent="0.25">
      <c r="A24" s="104" t="s">
        <v>51</v>
      </c>
      <c r="B24" s="227" t="s">
        <v>217</v>
      </c>
      <c r="C24" s="228"/>
      <c r="D24" s="228"/>
      <c r="E24" s="228"/>
      <c r="F24" s="228"/>
      <c r="G24" s="229"/>
      <c r="H24" s="227" t="s">
        <v>180</v>
      </c>
      <c r="I24" s="228"/>
      <c r="J24" s="228"/>
      <c r="K24" s="229"/>
      <c r="L24" s="227" t="s">
        <v>181</v>
      </c>
      <c r="M24" s="228"/>
      <c r="N24" s="228"/>
      <c r="O24" s="229"/>
      <c r="P24" s="98" t="s">
        <v>131</v>
      </c>
    </row>
    <row r="25" spans="1:16" ht="39" customHeight="1" x14ac:dyDescent="0.25">
      <c r="A25" s="104" t="s">
        <v>52</v>
      </c>
      <c r="B25" s="220" t="s">
        <v>244</v>
      </c>
      <c r="C25" s="221"/>
      <c r="D25" s="221"/>
      <c r="E25" s="221"/>
      <c r="F25" s="221"/>
      <c r="G25" s="222"/>
      <c r="H25" s="199" t="s">
        <v>281</v>
      </c>
      <c r="I25" s="199"/>
      <c r="J25" s="199"/>
      <c r="K25" s="199"/>
      <c r="L25" s="199" t="s">
        <v>279</v>
      </c>
      <c r="M25" s="199"/>
      <c r="N25" s="199"/>
      <c r="O25" s="199"/>
      <c r="P25" s="98" t="s">
        <v>131</v>
      </c>
    </row>
    <row r="26" spans="1:16" ht="43.2" customHeight="1" x14ac:dyDescent="0.25">
      <c r="A26" s="104" t="s">
        <v>53</v>
      </c>
      <c r="B26" s="220" t="s">
        <v>211</v>
      </c>
      <c r="C26" s="221"/>
      <c r="D26" s="221"/>
      <c r="E26" s="221"/>
      <c r="F26" s="221"/>
      <c r="G26" s="222"/>
      <c r="H26" s="199" t="s">
        <v>317</v>
      </c>
      <c r="I26" s="199"/>
      <c r="J26" s="199"/>
      <c r="K26" s="199"/>
      <c r="L26" s="199" t="s">
        <v>283</v>
      </c>
      <c r="M26" s="199"/>
      <c r="N26" s="199"/>
      <c r="O26" s="199"/>
      <c r="P26" s="98" t="s">
        <v>131</v>
      </c>
    </row>
    <row r="27" spans="1:16" x14ac:dyDescent="0.25">
      <c r="A27" s="104"/>
      <c r="B27" s="227"/>
      <c r="C27" s="228"/>
      <c r="D27" s="228"/>
      <c r="E27" s="228"/>
      <c r="F27" s="228"/>
      <c r="G27" s="229"/>
      <c r="H27" s="199"/>
      <c r="I27" s="199"/>
      <c r="J27" s="199"/>
      <c r="K27" s="199"/>
      <c r="L27" s="199"/>
      <c r="M27" s="199"/>
      <c r="N27" s="199"/>
      <c r="O27" s="199"/>
      <c r="P27" s="98"/>
    </row>
    <row r="28" spans="1:16" x14ac:dyDescent="0.25">
      <c r="B28" s="100"/>
      <c r="C28" s="100"/>
      <c r="D28" s="100"/>
      <c r="E28" s="100"/>
      <c r="F28" s="100"/>
      <c r="G28" s="100"/>
      <c r="H28" s="100"/>
    </row>
    <row r="29" spans="1:16" x14ac:dyDescent="0.25">
      <c r="B29" s="100"/>
      <c r="C29" s="100"/>
      <c r="D29" s="100"/>
      <c r="E29" s="100"/>
      <c r="F29" s="100"/>
      <c r="G29" s="100"/>
      <c r="H29" s="100"/>
    </row>
  </sheetData>
  <mergeCells count="28">
    <mergeCell ref="B26:G26"/>
    <mergeCell ref="H26:K26"/>
    <mergeCell ref="L26:O26"/>
    <mergeCell ref="B27:G27"/>
    <mergeCell ref="H27:K27"/>
    <mergeCell ref="L27:O27"/>
    <mergeCell ref="B24:G24"/>
    <mergeCell ref="H24:K24"/>
    <mergeCell ref="L24:O24"/>
    <mergeCell ref="B25:G25"/>
    <mergeCell ref="H25:K25"/>
    <mergeCell ref="L25:O25"/>
    <mergeCell ref="B22:G22"/>
    <mergeCell ref="H22:K22"/>
    <mergeCell ref="L22:O22"/>
    <mergeCell ref="B23:G23"/>
    <mergeCell ref="H23:K23"/>
    <mergeCell ref="L23:O23"/>
    <mergeCell ref="A21:G21"/>
    <mergeCell ref="H21:K21"/>
    <mergeCell ref="L21:O21"/>
    <mergeCell ref="B1:G1"/>
    <mergeCell ref="B3:G3"/>
    <mergeCell ref="B7:G7"/>
    <mergeCell ref="A11:A14"/>
    <mergeCell ref="B11:G14"/>
    <mergeCell ref="A16:A19"/>
    <mergeCell ref="B16:G19"/>
  </mergeCells>
  <conditionalFormatting sqref="B10">
    <cfRule type="cellIs" dxfId="203" priority="21" operator="equal">
      <formula>"Nok"</formula>
    </cfRule>
    <cfRule type="cellIs" dxfId="202" priority="22" operator="equal">
      <formula>"Ok"</formula>
    </cfRule>
  </conditionalFormatting>
  <conditionalFormatting sqref="P27 P22:P23">
    <cfRule type="cellIs" dxfId="201" priority="19" operator="equal">
      <formula>"Nok"</formula>
    </cfRule>
    <cfRule type="cellIs" dxfId="200" priority="20" operator="equal">
      <formula>"Ok"</formula>
    </cfRule>
  </conditionalFormatting>
  <conditionalFormatting sqref="B9">
    <cfRule type="cellIs" dxfId="199" priority="11" operator="equal">
      <formula>"Nok"</formula>
    </cfRule>
    <cfRule type="cellIs" dxfId="198" priority="12" operator="equal">
      <formula>"Ok"</formula>
    </cfRule>
  </conditionalFormatting>
  <conditionalFormatting sqref="P24:P26">
    <cfRule type="cellIs" dxfId="197" priority="1" operator="equal">
      <formula>"Nok"</formula>
    </cfRule>
    <cfRule type="cellIs" dxfId="196" priority="2" operator="equal">
      <formula>"Ok"</formula>
    </cfRule>
  </conditionalFormatting>
  <dataValidations count="2">
    <dataValidation type="list" allowBlank="1" showInputMessage="1" showErrorMessage="1" sqref="B5" xr:uid="{56BF1978-D6A4-4B9B-A607-DABEB8BE62D4}">
      <formula1>"Nominal, Robustness, Endurance, Qualification"</formula1>
    </dataValidation>
    <dataValidation type="list" allowBlank="1" showInputMessage="1" showErrorMessage="1" sqref="B9 P22:P27" xr:uid="{8827ED22-0010-4124-B720-C45A3DDBB3A1}">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E42C0-A66B-474F-8DE8-53AB46AA7BD1}">
  <sheetPr codeName="Sheet23"/>
  <dimension ref="A1:P29"/>
  <sheetViews>
    <sheetView workbookViewId="0">
      <selection activeCell="B26" sqref="B26:G26"/>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212</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320</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213</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65.7" customHeight="1" x14ac:dyDescent="0.25">
      <c r="A22" s="104" t="s">
        <v>49</v>
      </c>
      <c r="B22" s="227" t="s">
        <v>200</v>
      </c>
      <c r="C22" s="228"/>
      <c r="D22" s="228"/>
      <c r="E22" s="228"/>
      <c r="F22" s="228"/>
      <c r="G22" s="229"/>
      <c r="H22" s="199"/>
      <c r="I22" s="199"/>
      <c r="J22" s="199"/>
      <c r="K22" s="199"/>
      <c r="L22" s="199"/>
      <c r="M22" s="199"/>
      <c r="N22" s="199"/>
      <c r="O22" s="199"/>
      <c r="P22" s="98"/>
    </row>
    <row r="23" spans="1:16" ht="39.450000000000003" customHeight="1" x14ac:dyDescent="0.25">
      <c r="A23" s="104" t="s">
        <v>50</v>
      </c>
      <c r="B23" s="227" t="s">
        <v>199</v>
      </c>
      <c r="C23" s="228"/>
      <c r="D23" s="228"/>
      <c r="E23" s="228"/>
      <c r="F23" s="228"/>
      <c r="G23" s="229"/>
      <c r="H23" s="199"/>
      <c r="I23" s="199"/>
      <c r="J23" s="199"/>
      <c r="K23" s="199"/>
      <c r="L23" s="199"/>
      <c r="M23" s="199"/>
      <c r="N23" s="199"/>
      <c r="O23" s="199"/>
      <c r="P23" s="98"/>
    </row>
    <row r="24" spans="1:16" ht="39" customHeight="1" x14ac:dyDescent="0.25">
      <c r="A24" s="104" t="s">
        <v>51</v>
      </c>
      <c r="B24" s="227" t="s">
        <v>218</v>
      </c>
      <c r="C24" s="228"/>
      <c r="D24" s="228"/>
      <c r="E24" s="228"/>
      <c r="F24" s="228"/>
      <c r="G24" s="229"/>
      <c r="H24" s="227" t="s">
        <v>180</v>
      </c>
      <c r="I24" s="228"/>
      <c r="J24" s="228"/>
      <c r="K24" s="229"/>
      <c r="L24" s="227" t="s">
        <v>181</v>
      </c>
      <c r="M24" s="228"/>
      <c r="N24" s="228"/>
      <c r="O24" s="229"/>
      <c r="P24" s="98" t="s">
        <v>131</v>
      </c>
    </row>
    <row r="25" spans="1:16" ht="39" customHeight="1" x14ac:dyDescent="0.25">
      <c r="A25" s="104" t="s">
        <v>52</v>
      </c>
      <c r="B25" s="220" t="s">
        <v>244</v>
      </c>
      <c r="C25" s="221"/>
      <c r="D25" s="221"/>
      <c r="E25" s="221"/>
      <c r="F25" s="221"/>
      <c r="G25" s="222"/>
      <c r="H25" s="199" t="s">
        <v>281</v>
      </c>
      <c r="I25" s="199"/>
      <c r="J25" s="199"/>
      <c r="K25" s="199"/>
      <c r="L25" s="199" t="s">
        <v>279</v>
      </c>
      <c r="M25" s="199"/>
      <c r="N25" s="199"/>
      <c r="O25" s="199"/>
      <c r="P25" s="98" t="s">
        <v>131</v>
      </c>
    </row>
    <row r="26" spans="1:16" ht="43.2" customHeight="1" x14ac:dyDescent="0.25">
      <c r="A26" s="104" t="s">
        <v>53</v>
      </c>
      <c r="B26" s="220" t="s">
        <v>214</v>
      </c>
      <c r="C26" s="221"/>
      <c r="D26" s="221"/>
      <c r="E26" s="221"/>
      <c r="F26" s="221"/>
      <c r="G26" s="222"/>
      <c r="H26" s="199" t="s">
        <v>317</v>
      </c>
      <c r="I26" s="199"/>
      <c r="J26" s="199"/>
      <c r="K26" s="199"/>
      <c r="L26" s="199" t="s">
        <v>283</v>
      </c>
      <c r="M26" s="199"/>
      <c r="N26" s="199"/>
      <c r="O26" s="199"/>
      <c r="P26" s="98" t="s">
        <v>131</v>
      </c>
    </row>
    <row r="27" spans="1:16" x14ac:dyDescent="0.25">
      <c r="A27" s="104"/>
      <c r="B27" s="227"/>
      <c r="C27" s="228"/>
      <c r="D27" s="228"/>
      <c r="E27" s="228"/>
      <c r="F27" s="228"/>
      <c r="G27" s="229"/>
      <c r="H27" s="199"/>
      <c r="I27" s="199"/>
      <c r="J27" s="199"/>
      <c r="K27" s="199"/>
      <c r="L27" s="199"/>
      <c r="M27" s="199"/>
      <c r="N27" s="199"/>
      <c r="O27" s="199"/>
      <c r="P27" s="98"/>
    </row>
    <row r="28" spans="1:16" x14ac:dyDescent="0.25">
      <c r="B28" s="100"/>
      <c r="C28" s="100"/>
      <c r="D28" s="100"/>
      <c r="E28" s="100"/>
      <c r="F28" s="100"/>
      <c r="G28" s="100"/>
      <c r="H28" s="100"/>
    </row>
    <row r="29" spans="1:16" x14ac:dyDescent="0.25">
      <c r="B29" s="100"/>
      <c r="C29" s="100"/>
      <c r="D29" s="100"/>
      <c r="E29" s="100"/>
      <c r="F29" s="100"/>
      <c r="G29" s="100"/>
      <c r="H29" s="100"/>
    </row>
  </sheetData>
  <mergeCells count="28">
    <mergeCell ref="B26:G26"/>
    <mergeCell ref="H26:K26"/>
    <mergeCell ref="L26:O26"/>
    <mergeCell ref="B27:G27"/>
    <mergeCell ref="H27:K27"/>
    <mergeCell ref="L27:O27"/>
    <mergeCell ref="B24:G24"/>
    <mergeCell ref="H24:K24"/>
    <mergeCell ref="L24:O24"/>
    <mergeCell ref="B25:G25"/>
    <mergeCell ref="H25:K25"/>
    <mergeCell ref="L25:O25"/>
    <mergeCell ref="B22:G22"/>
    <mergeCell ref="H22:K22"/>
    <mergeCell ref="L22:O22"/>
    <mergeCell ref="B23:G23"/>
    <mergeCell ref="H23:K23"/>
    <mergeCell ref="L23:O23"/>
    <mergeCell ref="A21:G21"/>
    <mergeCell ref="H21:K21"/>
    <mergeCell ref="L21:O21"/>
    <mergeCell ref="B1:G1"/>
    <mergeCell ref="B3:G3"/>
    <mergeCell ref="B7:G7"/>
    <mergeCell ref="A11:A14"/>
    <mergeCell ref="B11:G14"/>
    <mergeCell ref="A16:A19"/>
    <mergeCell ref="B16:G19"/>
  </mergeCells>
  <conditionalFormatting sqref="B10">
    <cfRule type="cellIs" dxfId="195" priority="19" operator="equal">
      <formula>"Nok"</formula>
    </cfRule>
    <cfRule type="cellIs" dxfId="194" priority="20" operator="equal">
      <formula>"Ok"</formula>
    </cfRule>
  </conditionalFormatting>
  <conditionalFormatting sqref="P27 P22:P23">
    <cfRule type="cellIs" dxfId="193" priority="17" operator="equal">
      <formula>"Nok"</formula>
    </cfRule>
    <cfRule type="cellIs" dxfId="192" priority="18" operator="equal">
      <formula>"Ok"</formula>
    </cfRule>
  </conditionalFormatting>
  <conditionalFormatting sqref="B9">
    <cfRule type="cellIs" dxfId="191" priority="9" operator="equal">
      <formula>"Nok"</formula>
    </cfRule>
    <cfRule type="cellIs" dxfId="190" priority="10" operator="equal">
      <formula>"Ok"</formula>
    </cfRule>
  </conditionalFormatting>
  <conditionalFormatting sqref="P26">
    <cfRule type="cellIs" dxfId="189" priority="1" operator="equal">
      <formula>"Nok"</formula>
    </cfRule>
    <cfRule type="cellIs" dxfId="188" priority="2" operator="equal">
      <formula>"Ok"</formula>
    </cfRule>
  </conditionalFormatting>
  <conditionalFormatting sqref="P24">
    <cfRule type="cellIs" dxfId="187" priority="5" operator="equal">
      <formula>"Nok"</formula>
    </cfRule>
    <cfRule type="cellIs" dxfId="186" priority="6" operator="equal">
      <formula>"Ok"</formula>
    </cfRule>
  </conditionalFormatting>
  <conditionalFormatting sqref="P25">
    <cfRule type="cellIs" dxfId="185" priority="3" operator="equal">
      <formula>"Nok"</formula>
    </cfRule>
    <cfRule type="cellIs" dxfId="184" priority="4" operator="equal">
      <formula>"Ok"</formula>
    </cfRule>
  </conditionalFormatting>
  <dataValidations count="2">
    <dataValidation type="list" allowBlank="1" showInputMessage="1" showErrorMessage="1" sqref="B9 P22:P27" xr:uid="{FC6A1F47-0834-4C4E-8178-5C4C8ACCBACC}">
      <formula1>"Ok, Nok, Not run, ,"</formula1>
    </dataValidation>
    <dataValidation type="list" allowBlank="1" showInputMessage="1" showErrorMessage="1" sqref="B5" xr:uid="{B136F5E8-0B99-47E5-BCDC-2B9EEA9EEB32}">
      <formula1>"Nominal, Robustness, Endurance, Qualification"</formula1>
    </dataValidation>
  </dataValidations>
  <pageMargins left="0.7" right="0.7" top="0.75" bottom="0.75" header="0.3" footer="0.3"/>
  <pageSetup paperSize="9" orientation="portrait" r:id="rId1"/>
  <headerFooter>
    <oddFooter>&amp;LNA ver 2&amp;R&amp;P</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8C679-7ADF-499A-97F8-73C8DE4DF96A}">
  <sheetPr codeName="Sheet24"/>
  <dimension ref="A1:P27"/>
  <sheetViews>
    <sheetView workbookViewId="0">
      <selection activeCell="B3" sqref="B3:G3"/>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220</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226</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219</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65.7" customHeight="1" x14ac:dyDescent="0.25">
      <c r="A22" s="104" t="s">
        <v>49</v>
      </c>
      <c r="B22" s="227" t="s">
        <v>200</v>
      </c>
      <c r="C22" s="228"/>
      <c r="D22" s="228"/>
      <c r="E22" s="228"/>
      <c r="F22" s="228"/>
      <c r="G22" s="229"/>
      <c r="H22" s="199"/>
      <c r="I22" s="199"/>
      <c r="J22" s="199"/>
      <c r="K22" s="199"/>
      <c r="L22" s="199"/>
      <c r="M22" s="199"/>
      <c r="N22" s="199"/>
      <c r="O22" s="199"/>
      <c r="P22" s="98"/>
    </row>
    <row r="23" spans="1:16" ht="48" customHeight="1" x14ac:dyDescent="0.25">
      <c r="A23" s="104" t="s">
        <v>50</v>
      </c>
      <c r="B23" s="220" t="s">
        <v>321</v>
      </c>
      <c r="C23" s="221"/>
      <c r="D23" s="221"/>
      <c r="E23" s="221"/>
      <c r="F23" s="221"/>
      <c r="G23" s="222"/>
      <c r="H23" s="227" t="s">
        <v>222</v>
      </c>
      <c r="I23" s="228"/>
      <c r="J23" s="228"/>
      <c r="K23" s="229"/>
      <c r="L23" s="227" t="s">
        <v>223</v>
      </c>
      <c r="M23" s="228"/>
      <c r="N23" s="228"/>
      <c r="O23" s="229"/>
      <c r="P23" s="98" t="s">
        <v>131</v>
      </c>
    </row>
    <row r="24" spans="1:16" ht="39" customHeight="1" x14ac:dyDescent="0.25">
      <c r="A24" s="104" t="s">
        <v>51</v>
      </c>
      <c r="B24" s="227" t="s">
        <v>221</v>
      </c>
      <c r="C24" s="228"/>
      <c r="D24" s="228"/>
      <c r="E24" s="228"/>
      <c r="F24" s="228"/>
      <c r="G24" s="229"/>
      <c r="H24" s="227" t="s">
        <v>224</v>
      </c>
      <c r="I24" s="228"/>
      <c r="J24" s="228"/>
      <c r="K24" s="229"/>
      <c r="L24" s="227" t="s">
        <v>225</v>
      </c>
      <c r="M24" s="228"/>
      <c r="N24" s="228"/>
      <c r="O24" s="229"/>
      <c r="P24" s="98" t="s">
        <v>131</v>
      </c>
    </row>
    <row r="25" spans="1:16" ht="39" customHeight="1" x14ac:dyDescent="0.25">
      <c r="A25" s="104"/>
      <c r="B25" s="220"/>
      <c r="C25" s="221"/>
      <c r="D25" s="221"/>
      <c r="E25" s="221"/>
      <c r="F25" s="221"/>
      <c r="G25" s="222"/>
      <c r="H25" s="227"/>
      <c r="I25" s="228"/>
      <c r="J25" s="228"/>
      <c r="K25" s="229"/>
      <c r="L25" s="227"/>
      <c r="M25" s="228"/>
      <c r="N25" s="228"/>
      <c r="O25" s="229"/>
      <c r="P25" s="98"/>
    </row>
    <row r="26" spans="1:16" x14ac:dyDescent="0.25">
      <c r="B26" s="100"/>
      <c r="C26" s="100"/>
      <c r="D26" s="100"/>
      <c r="E26" s="100"/>
      <c r="F26" s="100"/>
      <c r="G26" s="100"/>
      <c r="H26" s="100"/>
    </row>
    <row r="27" spans="1:16" x14ac:dyDescent="0.25">
      <c r="B27" s="100"/>
      <c r="C27" s="100"/>
      <c r="D27" s="100"/>
      <c r="E27" s="100"/>
      <c r="F27" s="100"/>
      <c r="G27" s="100"/>
      <c r="H27" s="100"/>
    </row>
  </sheetData>
  <mergeCells count="22">
    <mergeCell ref="B25:G25"/>
    <mergeCell ref="H25:K25"/>
    <mergeCell ref="L25:O25"/>
    <mergeCell ref="B22:G22"/>
    <mergeCell ref="H22:K22"/>
    <mergeCell ref="L22:O22"/>
    <mergeCell ref="B24:G24"/>
    <mergeCell ref="H23:K23"/>
    <mergeCell ref="L23:O23"/>
    <mergeCell ref="B23:G23"/>
    <mergeCell ref="H24:K24"/>
    <mergeCell ref="L24:O24"/>
    <mergeCell ref="A21:G21"/>
    <mergeCell ref="H21:K21"/>
    <mergeCell ref="L21:O21"/>
    <mergeCell ref="B1:G1"/>
    <mergeCell ref="B3:G3"/>
    <mergeCell ref="B7:G7"/>
    <mergeCell ref="A11:A14"/>
    <mergeCell ref="B11:G14"/>
    <mergeCell ref="A16:A19"/>
    <mergeCell ref="B16:G19"/>
  </mergeCells>
  <conditionalFormatting sqref="B10">
    <cfRule type="cellIs" dxfId="183" priority="13" operator="equal">
      <formula>"Nok"</formula>
    </cfRule>
    <cfRule type="cellIs" dxfId="182" priority="14" operator="equal">
      <formula>"Ok"</formula>
    </cfRule>
  </conditionalFormatting>
  <conditionalFormatting sqref="P22">
    <cfRule type="cellIs" dxfId="181" priority="11" operator="equal">
      <formula>"Nok"</formula>
    </cfRule>
    <cfRule type="cellIs" dxfId="180" priority="12" operator="equal">
      <formula>"Ok"</formula>
    </cfRule>
  </conditionalFormatting>
  <conditionalFormatting sqref="P25">
    <cfRule type="cellIs" dxfId="179" priority="7" operator="equal">
      <formula>"Nok"</formula>
    </cfRule>
    <cfRule type="cellIs" dxfId="178" priority="8" operator="equal">
      <formula>"Ok"</formula>
    </cfRule>
  </conditionalFormatting>
  <conditionalFormatting sqref="B9">
    <cfRule type="cellIs" dxfId="177" priority="3" operator="equal">
      <formula>"Nok"</formula>
    </cfRule>
    <cfRule type="cellIs" dxfId="176" priority="4" operator="equal">
      <formula>"Ok"</formula>
    </cfRule>
  </conditionalFormatting>
  <conditionalFormatting sqref="P23:P24">
    <cfRule type="cellIs" dxfId="175" priority="1" operator="equal">
      <formula>"Nok"</formula>
    </cfRule>
    <cfRule type="cellIs" dxfId="174" priority="2" operator="equal">
      <formula>"Ok"</formula>
    </cfRule>
  </conditionalFormatting>
  <dataValidations count="2">
    <dataValidation type="list" allowBlank="1" showInputMessage="1" showErrorMessage="1" sqref="B5" xr:uid="{9ACAEBFD-4FF5-48CB-874B-F2A396C6157C}">
      <formula1>"Nominal, Robustness, Endurance, Qualification"</formula1>
    </dataValidation>
    <dataValidation type="list" allowBlank="1" showInputMessage="1" showErrorMessage="1" sqref="B9 P22:P25" xr:uid="{5DBABE8B-556D-45C2-A20E-3C62A81CC6B0}">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8A3C17-898E-487D-B83E-B2AE5C17A2DC}">
  <sheetPr codeName="Sheet25"/>
  <dimension ref="A1:P32"/>
  <sheetViews>
    <sheetView topLeftCell="A16" workbookViewId="0">
      <selection activeCell="B30" sqref="B30:G30"/>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227</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256</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228</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2" customHeight="1" x14ac:dyDescent="0.25">
      <c r="A22" s="104" t="s">
        <v>233</v>
      </c>
      <c r="B22" s="227" t="s">
        <v>234</v>
      </c>
      <c r="C22" s="228"/>
      <c r="D22" s="228"/>
      <c r="E22" s="228"/>
      <c r="F22" s="228"/>
      <c r="G22" s="229"/>
      <c r="H22" s="227" t="s">
        <v>180</v>
      </c>
      <c r="I22" s="228"/>
      <c r="J22" s="228"/>
      <c r="K22" s="229"/>
      <c r="L22" s="227" t="s">
        <v>181</v>
      </c>
      <c r="M22" s="228"/>
      <c r="N22" s="228"/>
      <c r="O22" s="229"/>
      <c r="P22" s="98" t="s">
        <v>131</v>
      </c>
    </row>
    <row r="23" spans="1:16" ht="65.7" customHeight="1" x14ac:dyDescent="0.25">
      <c r="A23" s="104" t="s">
        <v>49</v>
      </c>
      <c r="B23" s="227" t="s">
        <v>625</v>
      </c>
      <c r="C23" s="228"/>
      <c r="D23" s="228"/>
      <c r="E23" s="228"/>
      <c r="F23" s="228"/>
      <c r="G23" s="229"/>
      <c r="H23" s="199" t="s">
        <v>229</v>
      </c>
      <c r="I23" s="199"/>
      <c r="J23" s="199"/>
      <c r="K23" s="199"/>
      <c r="L23" s="199" t="s">
        <v>230</v>
      </c>
      <c r="M23" s="199"/>
      <c r="N23" s="199"/>
      <c r="O23" s="199"/>
      <c r="P23" s="98" t="s">
        <v>131</v>
      </c>
    </row>
    <row r="24" spans="1:16" ht="48" customHeight="1" x14ac:dyDescent="0.25">
      <c r="A24" s="104" t="s">
        <v>50</v>
      </c>
      <c r="B24" s="220" t="s">
        <v>235</v>
      </c>
      <c r="C24" s="221"/>
      <c r="D24" s="221"/>
      <c r="E24" s="221"/>
      <c r="F24" s="221"/>
      <c r="G24" s="222"/>
      <c r="H24" s="227"/>
      <c r="I24" s="228"/>
      <c r="J24" s="228"/>
      <c r="K24" s="229"/>
      <c r="L24" s="227"/>
      <c r="M24" s="228"/>
      <c r="N24" s="228"/>
      <c r="O24" s="229"/>
      <c r="P24" s="98"/>
    </row>
    <row r="25" spans="1:16" ht="39" customHeight="1" x14ac:dyDescent="0.25">
      <c r="A25" s="104" t="s">
        <v>51</v>
      </c>
      <c r="B25" s="227" t="s">
        <v>626</v>
      </c>
      <c r="C25" s="228"/>
      <c r="D25" s="228"/>
      <c r="E25" s="228"/>
      <c r="F25" s="228"/>
      <c r="G25" s="229"/>
      <c r="H25" s="199" t="s">
        <v>231</v>
      </c>
      <c r="I25" s="199"/>
      <c r="J25" s="199"/>
      <c r="K25" s="199"/>
      <c r="L25" s="199" t="s">
        <v>232</v>
      </c>
      <c r="M25" s="199"/>
      <c r="N25" s="199"/>
      <c r="O25" s="199"/>
      <c r="P25" s="98" t="s">
        <v>131</v>
      </c>
    </row>
    <row r="26" spans="1:16" ht="39" customHeight="1" x14ac:dyDescent="0.25">
      <c r="A26" s="104" t="s">
        <v>52</v>
      </c>
      <c r="B26" s="220" t="s">
        <v>235</v>
      </c>
      <c r="C26" s="221"/>
      <c r="D26" s="221"/>
      <c r="E26" s="221"/>
      <c r="F26" s="221"/>
      <c r="G26" s="222"/>
      <c r="H26" s="227"/>
      <c r="I26" s="228"/>
      <c r="J26" s="228"/>
      <c r="K26" s="229"/>
      <c r="L26" s="227"/>
      <c r="M26" s="228"/>
      <c r="N26" s="228"/>
      <c r="O26" s="229"/>
      <c r="P26" s="98"/>
    </row>
    <row r="27" spans="1:16" ht="43.2" customHeight="1" x14ac:dyDescent="0.25">
      <c r="A27" s="104" t="s">
        <v>53</v>
      </c>
      <c r="B27" s="227" t="s">
        <v>627</v>
      </c>
      <c r="C27" s="228"/>
      <c r="D27" s="228"/>
      <c r="E27" s="228"/>
      <c r="F27" s="228"/>
      <c r="G27" s="229"/>
      <c r="H27" s="199" t="s">
        <v>231</v>
      </c>
      <c r="I27" s="199"/>
      <c r="J27" s="199"/>
      <c r="K27" s="199"/>
      <c r="L27" s="199" t="s">
        <v>232</v>
      </c>
      <c r="M27" s="199"/>
      <c r="N27" s="199"/>
      <c r="O27" s="199"/>
      <c r="P27" s="98" t="s">
        <v>131</v>
      </c>
    </row>
    <row r="28" spans="1:16" ht="42" customHeight="1" x14ac:dyDescent="0.25">
      <c r="A28" s="104" t="s">
        <v>236</v>
      </c>
      <c r="B28" s="220" t="s">
        <v>235</v>
      </c>
      <c r="C28" s="221"/>
      <c r="D28" s="221"/>
      <c r="E28" s="221"/>
      <c r="F28" s="221"/>
      <c r="G28" s="222"/>
      <c r="H28" s="199"/>
      <c r="I28" s="199"/>
      <c r="J28" s="199"/>
      <c r="K28" s="199"/>
      <c r="L28" s="199"/>
      <c r="M28" s="199"/>
      <c r="N28" s="199"/>
      <c r="O28" s="199"/>
      <c r="P28" s="98"/>
    </row>
    <row r="29" spans="1:16" ht="48" customHeight="1" x14ac:dyDescent="0.25">
      <c r="A29" s="104" t="s">
        <v>55</v>
      </c>
      <c r="B29" s="220" t="s">
        <v>322</v>
      </c>
      <c r="C29" s="221"/>
      <c r="D29" s="221"/>
      <c r="E29" s="221"/>
      <c r="F29" s="221"/>
      <c r="G29" s="222"/>
      <c r="H29" s="227" t="s">
        <v>205</v>
      </c>
      <c r="I29" s="228"/>
      <c r="J29" s="228"/>
      <c r="K29" s="229"/>
      <c r="L29" s="227" t="s">
        <v>204</v>
      </c>
      <c r="M29" s="228"/>
      <c r="N29" s="228"/>
      <c r="O29" s="229"/>
      <c r="P29" s="98" t="s">
        <v>131</v>
      </c>
    </row>
    <row r="30" spans="1:16" ht="45" customHeight="1" thickBot="1" x14ac:dyDescent="0.3">
      <c r="A30" s="105" t="s">
        <v>237</v>
      </c>
      <c r="B30" s="227" t="s">
        <v>628</v>
      </c>
      <c r="C30" s="228"/>
      <c r="D30" s="228"/>
      <c r="E30" s="228"/>
      <c r="F30" s="228"/>
      <c r="G30" s="229"/>
      <c r="H30" s="199" t="s">
        <v>229</v>
      </c>
      <c r="I30" s="199"/>
      <c r="J30" s="199"/>
      <c r="K30" s="199"/>
      <c r="L30" s="199" t="s">
        <v>230</v>
      </c>
      <c r="M30" s="199"/>
      <c r="N30" s="199"/>
      <c r="O30" s="199"/>
      <c r="P30" s="98" t="s">
        <v>131</v>
      </c>
    </row>
    <row r="31" spans="1:16" ht="13.8" thickBot="1" x14ac:dyDescent="0.3">
      <c r="A31" s="105"/>
      <c r="B31" s="223"/>
      <c r="C31" s="224"/>
      <c r="D31" s="224"/>
      <c r="E31" s="224"/>
      <c r="F31" s="224"/>
      <c r="G31" s="225"/>
      <c r="H31" s="226"/>
      <c r="I31" s="226"/>
      <c r="J31" s="226"/>
      <c r="K31" s="226"/>
      <c r="L31" s="226"/>
      <c r="M31" s="226"/>
      <c r="N31" s="226"/>
      <c r="O31" s="226"/>
      <c r="P31" s="99"/>
    </row>
    <row r="32" spans="1:16" x14ac:dyDescent="0.25">
      <c r="B32" s="100"/>
      <c r="C32" s="100"/>
      <c r="D32" s="100"/>
      <c r="E32" s="100"/>
      <c r="F32" s="100"/>
      <c r="G32" s="100"/>
      <c r="H32" s="100"/>
    </row>
  </sheetData>
  <mergeCells count="40">
    <mergeCell ref="B31:G31"/>
    <mergeCell ref="H31:K31"/>
    <mergeCell ref="L31:O31"/>
    <mergeCell ref="B29:G29"/>
    <mergeCell ref="H29:K29"/>
    <mergeCell ref="L29:O29"/>
    <mergeCell ref="B30:G30"/>
    <mergeCell ref="H30:K30"/>
    <mergeCell ref="L30:O30"/>
    <mergeCell ref="B27:G27"/>
    <mergeCell ref="H27:K27"/>
    <mergeCell ref="L27:O27"/>
    <mergeCell ref="B28:G28"/>
    <mergeCell ref="H28:K28"/>
    <mergeCell ref="L28:O28"/>
    <mergeCell ref="H25:K25"/>
    <mergeCell ref="L25:O25"/>
    <mergeCell ref="B26:G26"/>
    <mergeCell ref="H26:K26"/>
    <mergeCell ref="L26:O26"/>
    <mergeCell ref="B25:G25"/>
    <mergeCell ref="B22:G22"/>
    <mergeCell ref="H23:K23"/>
    <mergeCell ref="L23:O23"/>
    <mergeCell ref="B24:G24"/>
    <mergeCell ref="H24:K24"/>
    <mergeCell ref="L24:O24"/>
    <mergeCell ref="H22:K22"/>
    <mergeCell ref="L22:O22"/>
    <mergeCell ref="B23:G23"/>
    <mergeCell ref="A21:G21"/>
    <mergeCell ref="H21:K21"/>
    <mergeCell ref="L21:O21"/>
    <mergeCell ref="B1:G1"/>
    <mergeCell ref="B3:G3"/>
    <mergeCell ref="B7:G7"/>
    <mergeCell ref="A11:A14"/>
    <mergeCell ref="B11:G14"/>
    <mergeCell ref="A16:A19"/>
    <mergeCell ref="B16:G19"/>
  </mergeCells>
  <conditionalFormatting sqref="B10">
    <cfRule type="cellIs" dxfId="173" priority="43" operator="equal">
      <formula>"Nok"</formula>
    </cfRule>
    <cfRule type="cellIs" dxfId="172" priority="44" operator="equal">
      <formula>"Ok"</formula>
    </cfRule>
  </conditionalFormatting>
  <conditionalFormatting sqref="P28 P24">
    <cfRule type="cellIs" dxfId="171" priority="41" operator="equal">
      <formula>"Nok"</formula>
    </cfRule>
    <cfRule type="cellIs" dxfId="170" priority="42" operator="equal">
      <formula>"Ok"</formula>
    </cfRule>
  </conditionalFormatting>
  <conditionalFormatting sqref="P26">
    <cfRule type="cellIs" dxfId="169" priority="37" operator="equal">
      <formula>"Nok"</formula>
    </cfRule>
    <cfRule type="cellIs" dxfId="168" priority="38" operator="equal">
      <formula>"Ok"</formula>
    </cfRule>
  </conditionalFormatting>
  <conditionalFormatting sqref="B9">
    <cfRule type="cellIs" dxfId="167" priority="33" operator="equal">
      <formula>"Nok"</formula>
    </cfRule>
    <cfRule type="cellIs" dxfId="166" priority="34" operator="equal">
      <formula>"Ok"</formula>
    </cfRule>
  </conditionalFormatting>
  <conditionalFormatting sqref="P22:P23">
    <cfRule type="cellIs" dxfId="165" priority="15" operator="equal">
      <formula>"Nok"</formula>
    </cfRule>
    <cfRule type="cellIs" dxfId="164" priority="16" operator="equal">
      <formula>"Ok"</formula>
    </cfRule>
  </conditionalFormatting>
  <conditionalFormatting sqref="P31">
    <cfRule type="cellIs" dxfId="163" priority="29" operator="equal">
      <formula>"Nok"</formula>
    </cfRule>
    <cfRule type="cellIs" dxfId="162" priority="30" operator="equal">
      <formula>"Ok"</formula>
    </cfRule>
  </conditionalFormatting>
  <conditionalFormatting sqref="P25">
    <cfRule type="cellIs" dxfId="161" priority="7" operator="equal">
      <formula>"Nok"</formula>
    </cfRule>
    <cfRule type="cellIs" dxfId="160" priority="8" operator="equal">
      <formula>"Ok"</formula>
    </cfRule>
  </conditionalFormatting>
  <conditionalFormatting sqref="P27">
    <cfRule type="cellIs" dxfId="159" priority="5" operator="equal">
      <formula>"Nok"</formula>
    </cfRule>
    <cfRule type="cellIs" dxfId="158" priority="6" operator="equal">
      <formula>"Ok"</formula>
    </cfRule>
  </conditionalFormatting>
  <conditionalFormatting sqref="P29">
    <cfRule type="cellIs" dxfId="157" priority="3" operator="equal">
      <formula>"Nok"</formula>
    </cfRule>
    <cfRule type="cellIs" dxfId="156" priority="4" operator="equal">
      <formula>"Ok"</formula>
    </cfRule>
  </conditionalFormatting>
  <conditionalFormatting sqref="P30">
    <cfRule type="cellIs" dxfId="155" priority="1" operator="equal">
      <formula>"Nok"</formula>
    </cfRule>
    <cfRule type="cellIs" dxfId="154" priority="2" operator="equal">
      <formula>"Ok"</formula>
    </cfRule>
  </conditionalFormatting>
  <dataValidations count="2">
    <dataValidation type="list" allowBlank="1" showInputMessage="1" showErrorMessage="1" sqref="B9 P22:P31" xr:uid="{E018A7E6-9D71-47FC-B4CF-DD19FBAD7E7A}">
      <formula1>"Ok, Nok, Not run, ,"</formula1>
    </dataValidation>
    <dataValidation type="list" allowBlank="1" showInputMessage="1" showErrorMessage="1" sqref="B5" xr:uid="{508D5A53-60D5-4F3D-8DB5-8E7B5AF0CB01}">
      <formula1>"Nominal, Robustness, Endurance, Qualification"</formula1>
    </dataValidation>
  </dataValidations>
  <pageMargins left="0.7" right="0.7" top="0.75" bottom="0.75" header="0.3" footer="0.3"/>
  <pageSetup paperSize="9" orientation="portrait" r:id="rId1"/>
  <headerFooter>
    <oddFooter>&amp;LNA ver 2&amp;R&amp;P</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0788-C50D-4991-9EF0-E9D95FCD3F01}">
  <sheetPr codeName="Sheet26"/>
  <dimension ref="A1:P27"/>
  <sheetViews>
    <sheetView topLeftCell="A4" workbookViewId="0">
      <selection activeCell="H25" sqref="H25:K25"/>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323</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327</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324</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78.599999999999994" customHeight="1" x14ac:dyDescent="0.25">
      <c r="A22" s="104" t="s">
        <v>233</v>
      </c>
      <c r="B22" s="227" t="s">
        <v>621</v>
      </c>
      <c r="C22" s="228"/>
      <c r="D22" s="228"/>
      <c r="E22" s="228"/>
      <c r="F22" s="228"/>
      <c r="G22" s="229"/>
      <c r="H22" s="227"/>
      <c r="I22" s="228"/>
      <c r="J22" s="228"/>
      <c r="K22" s="229"/>
      <c r="L22" s="227"/>
      <c r="M22" s="228"/>
      <c r="N22" s="228"/>
      <c r="O22" s="229"/>
      <c r="P22" s="98"/>
    </row>
    <row r="23" spans="1:16" ht="65.7" customHeight="1" x14ac:dyDescent="0.25">
      <c r="A23" s="104" t="s">
        <v>330</v>
      </c>
      <c r="B23" s="227" t="s">
        <v>334</v>
      </c>
      <c r="C23" s="228"/>
      <c r="D23" s="228"/>
      <c r="E23" s="228"/>
      <c r="F23" s="228"/>
      <c r="G23" s="229"/>
      <c r="H23" s="199" t="s">
        <v>623</v>
      </c>
      <c r="I23" s="199"/>
      <c r="J23" s="199"/>
      <c r="K23" s="199"/>
      <c r="L23" s="199" t="s">
        <v>624</v>
      </c>
      <c r="M23" s="199"/>
      <c r="N23" s="199"/>
      <c r="O23" s="199"/>
      <c r="P23" s="98" t="s">
        <v>131</v>
      </c>
    </row>
    <row r="24" spans="1:16" ht="69" customHeight="1" x14ac:dyDescent="0.25">
      <c r="A24" s="104" t="s">
        <v>331</v>
      </c>
      <c r="B24" s="227" t="s">
        <v>622</v>
      </c>
      <c r="C24" s="228"/>
      <c r="D24" s="228"/>
      <c r="E24" s="228"/>
      <c r="F24" s="228"/>
      <c r="G24" s="229"/>
      <c r="H24" s="227"/>
      <c r="I24" s="228"/>
      <c r="J24" s="228"/>
      <c r="K24" s="229"/>
      <c r="L24" s="227"/>
      <c r="M24" s="228"/>
      <c r="N24" s="228"/>
      <c r="O24" s="229"/>
      <c r="P24" s="98"/>
    </row>
    <row r="25" spans="1:16" ht="60.6" customHeight="1" x14ac:dyDescent="0.25">
      <c r="A25" s="104" t="s">
        <v>332</v>
      </c>
      <c r="B25" s="227" t="s">
        <v>333</v>
      </c>
      <c r="C25" s="228"/>
      <c r="D25" s="228"/>
      <c r="E25" s="228"/>
      <c r="F25" s="228"/>
      <c r="G25" s="229"/>
      <c r="H25" s="199" t="s">
        <v>623</v>
      </c>
      <c r="I25" s="199"/>
      <c r="J25" s="199"/>
      <c r="K25" s="199"/>
      <c r="L25" s="199" t="s">
        <v>624</v>
      </c>
      <c r="M25" s="199"/>
      <c r="N25" s="199"/>
      <c r="O25" s="199"/>
      <c r="P25" s="98" t="s">
        <v>131</v>
      </c>
    </row>
    <row r="26" spans="1:16" ht="39" customHeight="1" x14ac:dyDescent="0.25">
      <c r="A26" s="104"/>
      <c r="B26" s="227"/>
      <c r="C26" s="228"/>
      <c r="D26" s="228"/>
      <c r="E26" s="228"/>
      <c r="F26" s="228"/>
      <c r="G26" s="229"/>
      <c r="H26" s="227"/>
      <c r="I26" s="228"/>
      <c r="J26" s="228"/>
      <c r="K26" s="229"/>
      <c r="L26" s="227"/>
      <c r="M26" s="228"/>
      <c r="N26" s="228"/>
      <c r="O26" s="229"/>
      <c r="P26" s="98"/>
    </row>
    <row r="27" spans="1:16" x14ac:dyDescent="0.25">
      <c r="B27" s="100"/>
      <c r="C27" s="100"/>
      <c r="D27" s="100"/>
      <c r="E27" s="100"/>
      <c r="F27" s="100"/>
      <c r="G27" s="100"/>
      <c r="H27" s="100"/>
    </row>
  </sheetData>
  <mergeCells count="25">
    <mergeCell ref="A16:A19"/>
    <mergeCell ref="B16:G19"/>
    <mergeCell ref="B1:G1"/>
    <mergeCell ref="B3:G3"/>
    <mergeCell ref="B7:G7"/>
    <mergeCell ref="A11:A14"/>
    <mergeCell ref="B11:G14"/>
    <mergeCell ref="A21:G21"/>
    <mergeCell ref="H21:K21"/>
    <mergeCell ref="L21:O21"/>
    <mergeCell ref="H22:K22"/>
    <mergeCell ref="L22:O22"/>
    <mergeCell ref="B22:G22"/>
    <mergeCell ref="H23:K23"/>
    <mergeCell ref="L23:O23"/>
    <mergeCell ref="H24:K24"/>
    <mergeCell ref="L24:O24"/>
    <mergeCell ref="B24:G24"/>
    <mergeCell ref="B23:G23"/>
    <mergeCell ref="H25:K25"/>
    <mergeCell ref="L25:O25"/>
    <mergeCell ref="H26:K26"/>
    <mergeCell ref="L26:O26"/>
    <mergeCell ref="B26:G26"/>
    <mergeCell ref="B25:G25"/>
  </mergeCells>
  <conditionalFormatting sqref="B10">
    <cfRule type="cellIs" dxfId="153" priority="27" operator="equal">
      <formula>"Nok"</formula>
    </cfRule>
    <cfRule type="cellIs" dxfId="152" priority="28" operator="equal">
      <formula>"Ok"</formula>
    </cfRule>
  </conditionalFormatting>
  <conditionalFormatting sqref="P24">
    <cfRule type="cellIs" dxfId="151" priority="25" operator="equal">
      <formula>"Nok"</formula>
    </cfRule>
    <cfRule type="cellIs" dxfId="150" priority="26" operator="equal">
      <formula>"Ok"</formula>
    </cfRule>
  </conditionalFormatting>
  <conditionalFormatting sqref="B9">
    <cfRule type="cellIs" dxfId="149" priority="21" operator="equal">
      <formula>"Nok"</formula>
    </cfRule>
    <cfRule type="cellIs" dxfId="148" priority="22" operator="equal">
      <formula>"Ok"</formula>
    </cfRule>
  </conditionalFormatting>
  <conditionalFormatting sqref="P22">
    <cfRule type="cellIs" dxfId="147" priority="19" operator="equal">
      <formula>"Nok"</formula>
    </cfRule>
    <cfRule type="cellIs" dxfId="146" priority="20" operator="equal">
      <formula>"Ok"</formula>
    </cfRule>
  </conditionalFormatting>
  <conditionalFormatting sqref="P23">
    <cfRule type="cellIs" dxfId="145" priority="5" operator="equal">
      <formula>"Nok"</formula>
    </cfRule>
    <cfRule type="cellIs" dxfId="144" priority="6" operator="equal">
      <formula>"Ok"</formula>
    </cfRule>
  </conditionalFormatting>
  <conditionalFormatting sqref="P25">
    <cfRule type="cellIs" dxfId="143" priority="3" operator="equal">
      <formula>"Nok"</formula>
    </cfRule>
    <cfRule type="cellIs" dxfId="142" priority="4" operator="equal">
      <formula>"Ok"</formula>
    </cfRule>
  </conditionalFormatting>
  <conditionalFormatting sqref="P26">
    <cfRule type="cellIs" dxfId="141" priority="1" operator="equal">
      <formula>"Nok"</formula>
    </cfRule>
    <cfRule type="cellIs" dxfId="140" priority="2" operator="equal">
      <formula>"Ok"</formula>
    </cfRule>
  </conditionalFormatting>
  <dataValidations count="2">
    <dataValidation type="list" allowBlank="1" showInputMessage="1" showErrorMessage="1" sqref="B5" xr:uid="{441D9A7A-D417-4A6C-9220-0976E8796611}">
      <formula1>"Nominal, Robustness, Endurance, Qualification"</formula1>
    </dataValidation>
    <dataValidation type="list" allowBlank="1" showInputMessage="1" showErrorMessage="1" sqref="B9 P22:P26" xr:uid="{ED6E7659-4268-4CBC-8CC2-5CD58C22C954}">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E1C34-1E34-47F1-887F-0E0F5DA3DD8D}">
  <sheetPr codeName="Sheet27"/>
  <dimension ref="A1:P26"/>
  <sheetViews>
    <sheetView workbookViewId="0">
      <selection activeCell="B3" sqref="B3:G3"/>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325</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375</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326</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2" customHeight="1" x14ac:dyDescent="0.25">
      <c r="A22" s="104" t="s">
        <v>233</v>
      </c>
      <c r="B22" s="208" t="s">
        <v>151</v>
      </c>
      <c r="C22" s="209"/>
      <c r="D22" s="209"/>
      <c r="E22" s="209"/>
      <c r="F22" s="209"/>
      <c r="G22" s="210"/>
      <c r="H22" s="196"/>
      <c r="I22" s="197"/>
      <c r="J22" s="197"/>
      <c r="K22" s="198"/>
      <c r="L22" s="196"/>
      <c r="M22" s="197"/>
      <c r="N22" s="197"/>
      <c r="O22" s="198"/>
      <c r="P22" s="98" t="s">
        <v>131</v>
      </c>
    </row>
    <row r="23" spans="1:16" ht="65.7" customHeight="1" x14ac:dyDescent="0.25">
      <c r="A23" s="104" t="s">
        <v>50</v>
      </c>
      <c r="B23" s="208" t="s">
        <v>274</v>
      </c>
      <c r="C23" s="209"/>
      <c r="D23" s="209"/>
      <c r="E23" s="209"/>
      <c r="F23" s="209"/>
      <c r="G23" s="210"/>
      <c r="H23" s="199" t="s">
        <v>371</v>
      </c>
      <c r="I23" s="199"/>
      <c r="J23" s="199"/>
      <c r="K23" s="199"/>
      <c r="L23" s="199" t="s">
        <v>370</v>
      </c>
      <c r="M23" s="199"/>
      <c r="N23" s="199"/>
      <c r="O23" s="199"/>
      <c r="P23" s="98" t="s">
        <v>131</v>
      </c>
    </row>
    <row r="24" spans="1:16" ht="48" customHeight="1" x14ac:dyDescent="0.25">
      <c r="A24" s="104" t="s">
        <v>51</v>
      </c>
      <c r="B24" s="208" t="s">
        <v>372</v>
      </c>
      <c r="C24" s="209"/>
      <c r="D24" s="209"/>
      <c r="E24" s="209"/>
      <c r="F24" s="209"/>
      <c r="G24" s="210"/>
      <c r="H24" s="199" t="s">
        <v>373</v>
      </c>
      <c r="I24" s="199"/>
      <c r="J24" s="199"/>
      <c r="K24" s="199"/>
      <c r="L24" s="199" t="s">
        <v>374</v>
      </c>
      <c r="M24" s="199"/>
      <c r="N24" s="199"/>
      <c r="O24" s="199"/>
      <c r="P24" s="98" t="s">
        <v>131</v>
      </c>
    </row>
    <row r="25" spans="1:16" ht="39" customHeight="1" x14ac:dyDescent="0.25">
      <c r="A25" s="104"/>
      <c r="B25" s="220"/>
      <c r="C25" s="221"/>
      <c r="D25" s="221"/>
      <c r="E25" s="221"/>
      <c r="F25" s="221"/>
      <c r="G25" s="222"/>
      <c r="H25" s="227"/>
      <c r="I25" s="228"/>
      <c r="J25" s="228"/>
      <c r="K25" s="229"/>
      <c r="L25" s="227"/>
      <c r="M25" s="228"/>
      <c r="N25" s="228"/>
      <c r="O25" s="229"/>
      <c r="P25" s="98"/>
    </row>
    <row r="26" spans="1:16" x14ac:dyDescent="0.25">
      <c r="B26" s="100"/>
      <c r="C26" s="100"/>
      <c r="D26" s="100"/>
      <c r="E26" s="100"/>
      <c r="F26" s="100"/>
      <c r="G26" s="100"/>
      <c r="H26" s="100"/>
    </row>
  </sheetData>
  <mergeCells count="22">
    <mergeCell ref="A16:A19"/>
    <mergeCell ref="B16:G19"/>
    <mergeCell ref="B1:G1"/>
    <mergeCell ref="B3:G3"/>
    <mergeCell ref="B7:G7"/>
    <mergeCell ref="A11:A14"/>
    <mergeCell ref="B11:G14"/>
    <mergeCell ref="A21:G21"/>
    <mergeCell ref="H21:K21"/>
    <mergeCell ref="L21:O21"/>
    <mergeCell ref="B22:G22"/>
    <mergeCell ref="H22:K22"/>
    <mergeCell ref="L22:O22"/>
    <mergeCell ref="B25:G25"/>
    <mergeCell ref="H25:K25"/>
    <mergeCell ref="L25:O25"/>
    <mergeCell ref="B23:G23"/>
    <mergeCell ref="H23:K23"/>
    <mergeCell ref="L23:O23"/>
    <mergeCell ref="B24:G24"/>
    <mergeCell ref="H24:K24"/>
    <mergeCell ref="L24:O24"/>
  </mergeCells>
  <phoneticPr fontId="42" type="noConversion"/>
  <conditionalFormatting sqref="B10">
    <cfRule type="cellIs" dxfId="139" priority="35" operator="equal">
      <formula>"Nok"</formula>
    </cfRule>
    <cfRule type="cellIs" dxfId="138" priority="36" operator="equal">
      <formula>"Ok"</formula>
    </cfRule>
  </conditionalFormatting>
  <conditionalFormatting sqref="B9">
    <cfRule type="cellIs" dxfId="137" priority="29" operator="equal">
      <formula>"Nok"</formula>
    </cfRule>
    <cfRule type="cellIs" dxfId="136" priority="30" operator="equal">
      <formula>"Ok"</formula>
    </cfRule>
  </conditionalFormatting>
  <conditionalFormatting sqref="P24">
    <cfRule type="cellIs" dxfId="135" priority="11" operator="equal">
      <formula>"Nok"</formula>
    </cfRule>
    <cfRule type="cellIs" dxfId="134" priority="12" operator="equal">
      <formula>"Ok"</formula>
    </cfRule>
  </conditionalFormatting>
  <conditionalFormatting sqref="P25">
    <cfRule type="cellIs" dxfId="133" priority="1" operator="equal">
      <formula>"Nok"</formula>
    </cfRule>
    <cfRule type="cellIs" dxfId="132" priority="2" operator="equal">
      <formula>"Ok"</formula>
    </cfRule>
  </conditionalFormatting>
  <conditionalFormatting sqref="P22">
    <cfRule type="cellIs" dxfId="131" priority="5" operator="equal">
      <formula>"Nok"</formula>
    </cfRule>
    <cfRule type="cellIs" dxfId="130" priority="6" operator="equal">
      <formula>"Ok"</formula>
    </cfRule>
  </conditionalFormatting>
  <conditionalFormatting sqref="P23">
    <cfRule type="cellIs" dxfId="129" priority="3" operator="equal">
      <formula>"Nok"</formula>
    </cfRule>
    <cfRule type="cellIs" dxfId="128" priority="4" operator="equal">
      <formula>"Ok"</formula>
    </cfRule>
  </conditionalFormatting>
  <dataValidations count="2">
    <dataValidation type="list" allowBlank="1" showInputMessage="1" showErrorMessage="1" sqref="B9 P22:P25" xr:uid="{571DDA45-D9FA-4D62-BDAD-60FD826CFEF6}">
      <formula1>"Ok, Nok, Not run, ,"</formula1>
    </dataValidation>
    <dataValidation type="list" allowBlank="1" showInputMessage="1" showErrorMessage="1" sqref="B5" xr:uid="{6A7ADF68-6771-49CE-92A0-658403F6BAA4}">
      <formula1>"Nominal, Robustness, Endurance, Qualification"</formula1>
    </dataValidation>
  </dataValidations>
  <pageMargins left="0.7" right="0.7" top="0.75" bottom="0.75" header="0.3" footer="0.3"/>
  <pageSetup paperSize="9" orientation="portrait" r:id="rId1"/>
  <headerFooter>
    <oddFooter>&amp;LNA ver 2&amp;R&amp;P</oddFooter>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5D707-DDE4-4AA3-B06D-623A7960181A}">
  <sheetPr codeName="Sheet28"/>
  <dimension ref="A1:P35"/>
  <sheetViews>
    <sheetView topLeftCell="A19" workbookViewId="0"/>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377</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378</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379</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8" customHeight="1" x14ac:dyDescent="0.25">
      <c r="A22" s="104" t="s">
        <v>233</v>
      </c>
      <c r="B22" s="208" t="s">
        <v>151</v>
      </c>
      <c r="C22" s="209"/>
      <c r="D22" s="209"/>
      <c r="E22" s="209"/>
      <c r="F22" s="209"/>
      <c r="G22" s="210"/>
      <c r="H22" s="196"/>
      <c r="I22" s="197"/>
      <c r="J22" s="197"/>
      <c r="K22" s="198"/>
      <c r="L22" s="196"/>
      <c r="M22" s="197"/>
      <c r="N22" s="197"/>
      <c r="O22" s="198"/>
      <c r="P22" s="98"/>
    </row>
    <row r="23" spans="1:16" ht="48" customHeight="1" x14ac:dyDescent="0.25">
      <c r="A23" s="104" t="s">
        <v>50</v>
      </c>
      <c r="B23" s="208" t="s">
        <v>384</v>
      </c>
      <c r="C23" s="209"/>
      <c r="D23" s="209"/>
      <c r="E23" s="209"/>
      <c r="F23" s="209"/>
      <c r="G23" s="210"/>
      <c r="H23" s="199" t="s">
        <v>380</v>
      </c>
      <c r="I23" s="199"/>
      <c r="J23" s="199"/>
      <c r="K23" s="199"/>
      <c r="L23" s="199" t="s">
        <v>380</v>
      </c>
      <c r="M23" s="199"/>
      <c r="N23" s="199"/>
      <c r="O23" s="199"/>
      <c r="P23" s="98" t="s">
        <v>131</v>
      </c>
    </row>
    <row r="24" spans="1:16" ht="48" customHeight="1" x14ac:dyDescent="0.25">
      <c r="A24" s="104" t="s">
        <v>331</v>
      </c>
      <c r="B24" s="208" t="s">
        <v>385</v>
      </c>
      <c r="C24" s="209"/>
      <c r="D24" s="209"/>
      <c r="E24" s="209"/>
      <c r="F24" s="209"/>
      <c r="G24" s="210"/>
      <c r="H24" s="199" t="s">
        <v>386</v>
      </c>
      <c r="I24" s="199"/>
      <c r="J24" s="199"/>
      <c r="K24" s="199"/>
      <c r="L24" s="199" t="s">
        <v>386</v>
      </c>
      <c r="M24" s="199"/>
      <c r="N24" s="199"/>
      <c r="O24" s="199"/>
      <c r="P24" s="98" t="s">
        <v>131</v>
      </c>
    </row>
    <row r="25" spans="1:16" ht="48" customHeight="1" x14ac:dyDescent="0.25">
      <c r="A25" s="104" t="s">
        <v>332</v>
      </c>
      <c r="B25" s="220" t="s">
        <v>387</v>
      </c>
      <c r="C25" s="221"/>
      <c r="D25" s="221"/>
      <c r="E25" s="221"/>
      <c r="F25" s="221"/>
      <c r="G25" s="222"/>
      <c r="H25" s="227" t="s">
        <v>388</v>
      </c>
      <c r="I25" s="228"/>
      <c r="J25" s="228"/>
      <c r="K25" s="229"/>
      <c r="L25" s="227" t="s">
        <v>388</v>
      </c>
      <c r="M25" s="228"/>
      <c r="N25" s="228"/>
      <c r="O25" s="229"/>
      <c r="P25" s="98" t="s">
        <v>131</v>
      </c>
    </row>
    <row r="26" spans="1:16" ht="48" customHeight="1" x14ac:dyDescent="0.25">
      <c r="A26" s="104" t="s">
        <v>409</v>
      </c>
      <c r="B26" s="208" t="s">
        <v>394</v>
      </c>
      <c r="C26" s="209"/>
      <c r="D26" s="209"/>
      <c r="E26" s="209"/>
      <c r="F26" s="209"/>
      <c r="G26" s="210"/>
      <c r="H26" s="199" t="s">
        <v>390</v>
      </c>
      <c r="I26" s="199"/>
      <c r="J26" s="199"/>
      <c r="K26" s="199"/>
      <c r="L26" s="199" t="s">
        <v>390</v>
      </c>
      <c r="M26" s="199"/>
      <c r="N26" s="199"/>
      <c r="O26" s="199"/>
      <c r="P26" s="98" t="s">
        <v>131</v>
      </c>
    </row>
    <row r="27" spans="1:16" ht="48" customHeight="1" x14ac:dyDescent="0.25">
      <c r="A27" s="104" t="s">
        <v>236</v>
      </c>
      <c r="B27" s="220" t="s">
        <v>401</v>
      </c>
      <c r="C27" s="221"/>
      <c r="D27" s="221"/>
      <c r="E27" s="221"/>
      <c r="F27" s="221"/>
      <c r="G27" s="222"/>
      <c r="H27" s="227" t="s">
        <v>395</v>
      </c>
      <c r="I27" s="228"/>
      <c r="J27" s="228"/>
      <c r="K27" s="229"/>
      <c r="L27" s="227" t="s">
        <v>395</v>
      </c>
      <c r="M27" s="228"/>
      <c r="N27" s="228"/>
      <c r="O27" s="229"/>
      <c r="P27" s="98" t="s">
        <v>131</v>
      </c>
    </row>
    <row r="28" spans="1:16" ht="48" customHeight="1" x14ac:dyDescent="0.25">
      <c r="A28" s="104" t="s">
        <v>410</v>
      </c>
      <c r="B28" s="208" t="s">
        <v>396</v>
      </c>
      <c r="C28" s="209"/>
      <c r="D28" s="209"/>
      <c r="E28" s="209"/>
      <c r="F28" s="209"/>
      <c r="G28" s="210"/>
      <c r="H28" s="199" t="s">
        <v>391</v>
      </c>
      <c r="I28" s="199"/>
      <c r="J28" s="199"/>
      <c r="K28" s="199"/>
      <c r="L28" s="199" t="s">
        <v>391</v>
      </c>
      <c r="M28" s="199"/>
      <c r="N28" s="199"/>
      <c r="O28" s="199"/>
      <c r="P28" s="98" t="s">
        <v>131</v>
      </c>
    </row>
    <row r="29" spans="1:16" ht="48" customHeight="1" x14ac:dyDescent="0.25">
      <c r="A29" s="104" t="s">
        <v>237</v>
      </c>
      <c r="B29" s="220" t="s">
        <v>402</v>
      </c>
      <c r="C29" s="221"/>
      <c r="D29" s="221"/>
      <c r="E29" s="221"/>
      <c r="F29" s="221"/>
      <c r="G29" s="222"/>
      <c r="H29" s="227" t="s">
        <v>397</v>
      </c>
      <c r="I29" s="228"/>
      <c r="J29" s="228"/>
      <c r="K29" s="229"/>
      <c r="L29" s="227" t="s">
        <v>397</v>
      </c>
      <c r="M29" s="228"/>
      <c r="N29" s="228"/>
      <c r="O29" s="229"/>
      <c r="P29" s="98" t="s">
        <v>131</v>
      </c>
    </row>
    <row r="30" spans="1:16" ht="48" customHeight="1" x14ac:dyDescent="0.25">
      <c r="A30" s="104" t="s">
        <v>411</v>
      </c>
      <c r="B30" s="208" t="s">
        <v>398</v>
      </c>
      <c r="C30" s="209"/>
      <c r="D30" s="209"/>
      <c r="E30" s="209"/>
      <c r="F30" s="209"/>
      <c r="G30" s="210"/>
      <c r="H30" s="199" t="s">
        <v>392</v>
      </c>
      <c r="I30" s="199"/>
      <c r="J30" s="199"/>
      <c r="K30" s="199"/>
      <c r="L30" s="199" t="s">
        <v>392</v>
      </c>
      <c r="M30" s="199"/>
      <c r="N30" s="199"/>
      <c r="O30" s="199"/>
      <c r="P30" s="98" t="s">
        <v>131</v>
      </c>
    </row>
    <row r="31" spans="1:16" ht="48" customHeight="1" x14ac:dyDescent="0.25">
      <c r="A31" s="104" t="s">
        <v>412</v>
      </c>
      <c r="B31" s="220" t="s">
        <v>403</v>
      </c>
      <c r="C31" s="221"/>
      <c r="D31" s="221"/>
      <c r="E31" s="221"/>
      <c r="F31" s="221"/>
      <c r="G31" s="222"/>
      <c r="H31" s="227" t="s">
        <v>399</v>
      </c>
      <c r="I31" s="228"/>
      <c r="J31" s="228"/>
      <c r="K31" s="229"/>
      <c r="L31" s="227" t="s">
        <v>399</v>
      </c>
      <c r="M31" s="228"/>
      <c r="N31" s="228"/>
      <c r="O31" s="229"/>
      <c r="P31" s="98" t="s">
        <v>131</v>
      </c>
    </row>
    <row r="32" spans="1:16" ht="48" customHeight="1" x14ac:dyDescent="0.25">
      <c r="A32" s="104" t="s">
        <v>413</v>
      </c>
      <c r="B32" s="208" t="s">
        <v>404</v>
      </c>
      <c r="C32" s="209"/>
      <c r="D32" s="209"/>
      <c r="E32" s="209"/>
      <c r="F32" s="209"/>
      <c r="G32" s="210"/>
      <c r="H32" s="199" t="s">
        <v>389</v>
      </c>
      <c r="I32" s="199"/>
      <c r="J32" s="199"/>
      <c r="K32" s="199"/>
      <c r="L32" s="199" t="s">
        <v>389</v>
      </c>
      <c r="M32" s="199"/>
      <c r="N32" s="199"/>
      <c r="O32" s="199"/>
      <c r="P32" s="98" t="s">
        <v>131</v>
      </c>
    </row>
    <row r="33" spans="1:16" ht="48" customHeight="1" x14ac:dyDescent="0.25">
      <c r="A33" s="104" t="s">
        <v>414</v>
      </c>
      <c r="B33" s="220" t="s">
        <v>405</v>
      </c>
      <c r="C33" s="221"/>
      <c r="D33" s="221"/>
      <c r="E33" s="221"/>
      <c r="F33" s="221"/>
      <c r="G33" s="222"/>
      <c r="H33" s="227" t="s">
        <v>406</v>
      </c>
      <c r="I33" s="228"/>
      <c r="J33" s="228"/>
      <c r="K33" s="229"/>
      <c r="L33" s="227" t="s">
        <v>406</v>
      </c>
      <c r="M33" s="228"/>
      <c r="N33" s="228"/>
      <c r="O33" s="229"/>
      <c r="P33" s="98" t="s">
        <v>131</v>
      </c>
    </row>
    <row r="34" spans="1:16" ht="48" customHeight="1" x14ac:dyDescent="0.25">
      <c r="A34" s="104" t="s">
        <v>415</v>
      </c>
      <c r="B34" s="208" t="s">
        <v>400</v>
      </c>
      <c r="C34" s="209"/>
      <c r="D34" s="209"/>
      <c r="E34" s="209"/>
      <c r="F34" s="209"/>
      <c r="G34" s="210"/>
      <c r="H34" s="199" t="s">
        <v>393</v>
      </c>
      <c r="I34" s="199"/>
      <c r="J34" s="199"/>
      <c r="K34" s="199"/>
      <c r="L34" s="199" t="s">
        <v>393</v>
      </c>
      <c r="M34" s="199"/>
      <c r="N34" s="199"/>
      <c r="O34" s="199"/>
      <c r="P34" s="98" t="s">
        <v>131</v>
      </c>
    </row>
    <row r="35" spans="1:16" ht="48" customHeight="1" x14ac:dyDescent="0.25">
      <c r="A35" s="104" t="s">
        <v>416</v>
      </c>
      <c r="B35" s="220" t="s">
        <v>407</v>
      </c>
      <c r="C35" s="221"/>
      <c r="D35" s="221"/>
      <c r="E35" s="221"/>
      <c r="F35" s="221"/>
      <c r="G35" s="222"/>
      <c r="H35" s="227" t="s">
        <v>408</v>
      </c>
      <c r="I35" s="228"/>
      <c r="J35" s="228"/>
      <c r="K35" s="229"/>
      <c r="L35" s="227" t="s">
        <v>408</v>
      </c>
      <c r="M35" s="228"/>
      <c r="N35" s="228"/>
      <c r="O35" s="229"/>
      <c r="P35" s="98" t="s">
        <v>131</v>
      </c>
    </row>
  </sheetData>
  <mergeCells count="52">
    <mergeCell ref="A16:A19"/>
    <mergeCell ref="B16:G19"/>
    <mergeCell ref="B1:G1"/>
    <mergeCell ref="B3:G3"/>
    <mergeCell ref="B7:G7"/>
    <mergeCell ref="A11:A14"/>
    <mergeCell ref="B11:G14"/>
    <mergeCell ref="B25:G25"/>
    <mergeCell ref="H25:K25"/>
    <mergeCell ref="L25:O25"/>
    <mergeCell ref="A21:G21"/>
    <mergeCell ref="H21:K21"/>
    <mergeCell ref="L21:O21"/>
    <mergeCell ref="B22:G22"/>
    <mergeCell ref="H22:K22"/>
    <mergeCell ref="L22:O22"/>
    <mergeCell ref="B24:G24"/>
    <mergeCell ref="H24:K24"/>
    <mergeCell ref="L24:O24"/>
    <mergeCell ref="B23:G23"/>
    <mergeCell ref="H23:K23"/>
    <mergeCell ref="L23:O23"/>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s>
  <conditionalFormatting sqref="B10">
    <cfRule type="cellIs" dxfId="127" priority="19" operator="equal">
      <formula>"Nok"</formula>
    </cfRule>
    <cfRule type="cellIs" dxfId="126" priority="20" operator="equal">
      <formula>"Ok"</formula>
    </cfRule>
  </conditionalFormatting>
  <conditionalFormatting sqref="B9">
    <cfRule type="cellIs" dxfId="125" priority="17" operator="equal">
      <formula>"Nok"</formula>
    </cfRule>
    <cfRule type="cellIs" dxfId="124" priority="18" operator="equal">
      <formula>"Ok"</formula>
    </cfRule>
  </conditionalFormatting>
  <conditionalFormatting sqref="P22">
    <cfRule type="cellIs" dxfId="123" priority="13" operator="equal">
      <formula>"Nok"</formula>
    </cfRule>
    <cfRule type="cellIs" dxfId="122" priority="14" operator="equal">
      <formula>"Ok"</formula>
    </cfRule>
  </conditionalFormatting>
  <conditionalFormatting sqref="P24 P26 P28 P30 P32 P34">
    <cfRule type="cellIs" dxfId="121" priority="7" operator="equal">
      <formula>"Nok"</formula>
    </cfRule>
    <cfRule type="cellIs" dxfId="120" priority="8" operator="equal">
      <formula>"Ok"</formula>
    </cfRule>
  </conditionalFormatting>
  <conditionalFormatting sqref="P25 P27 P29 P31 P33 P35">
    <cfRule type="cellIs" dxfId="119" priority="1" operator="equal">
      <formula>"Nok"</formula>
    </cfRule>
    <cfRule type="cellIs" dxfId="118" priority="2" operator="equal">
      <formula>"Ok"</formula>
    </cfRule>
  </conditionalFormatting>
  <conditionalFormatting sqref="P23">
    <cfRule type="cellIs" dxfId="117" priority="3" operator="equal">
      <formula>"Nok"</formula>
    </cfRule>
    <cfRule type="cellIs" dxfId="116" priority="4" operator="equal">
      <formula>"Ok"</formula>
    </cfRule>
  </conditionalFormatting>
  <dataValidations count="2">
    <dataValidation type="list" allowBlank="1" showInputMessage="1" showErrorMessage="1" sqref="B5" xr:uid="{3C977809-DB8C-4A62-9CC2-83C4E421F129}">
      <formula1>"Nominal, Robustness, Endurance, Qualification"</formula1>
    </dataValidation>
    <dataValidation type="list" allowBlank="1" showInputMessage="1" showErrorMessage="1" sqref="B9 P22:P35" xr:uid="{61ABB450-9CA2-4C24-8BD7-8F11BCDF0F26}">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D0CE-6E74-450F-B128-D8510F373128}">
  <sheetPr codeName="Sheet29"/>
  <dimension ref="A1:P36"/>
  <sheetViews>
    <sheetView topLeftCell="A19" workbookViewId="0">
      <selection activeCell="A35" sqref="A35"/>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382</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381</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383</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8" customHeight="1" x14ac:dyDescent="0.25">
      <c r="A22" s="104" t="s">
        <v>49</v>
      </c>
      <c r="B22" s="208" t="s">
        <v>151</v>
      </c>
      <c r="C22" s="209"/>
      <c r="D22" s="209"/>
      <c r="E22" s="209"/>
      <c r="F22" s="209"/>
      <c r="G22" s="210"/>
      <c r="H22" s="196"/>
      <c r="I22" s="197"/>
      <c r="J22" s="197"/>
      <c r="K22" s="198"/>
      <c r="L22" s="196"/>
      <c r="M22" s="197"/>
      <c r="N22" s="197"/>
      <c r="O22" s="198"/>
      <c r="P22" s="98"/>
    </row>
    <row r="23" spans="1:16" ht="48" customHeight="1" x14ac:dyDescent="0.25">
      <c r="A23" s="104" t="s">
        <v>50</v>
      </c>
      <c r="B23" s="208" t="s">
        <v>417</v>
      </c>
      <c r="C23" s="209"/>
      <c r="D23" s="209"/>
      <c r="E23" s="209"/>
      <c r="F23" s="209"/>
      <c r="G23" s="210"/>
      <c r="H23" s="196" t="s">
        <v>418</v>
      </c>
      <c r="I23" s="197"/>
      <c r="J23" s="197"/>
      <c r="K23" s="198"/>
      <c r="L23" s="196" t="s">
        <v>418</v>
      </c>
      <c r="M23" s="197"/>
      <c r="N23" s="197"/>
      <c r="O23" s="198"/>
      <c r="P23" s="98" t="s">
        <v>131</v>
      </c>
    </row>
    <row r="24" spans="1:16" ht="48" customHeight="1" x14ac:dyDescent="0.25">
      <c r="A24" s="104" t="s">
        <v>51</v>
      </c>
      <c r="B24" s="208" t="s">
        <v>384</v>
      </c>
      <c r="C24" s="209"/>
      <c r="D24" s="209"/>
      <c r="E24" s="209"/>
      <c r="F24" s="209"/>
      <c r="G24" s="210"/>
      <c r="H24" s="199" t="s">
        <v>380</v>
      </c>
      <c r="I24" s="199"/>
      <c r="J24" s="199"/>
      <c r="K24" s="199"/>
      <c r="L24" s="199" t="s">
        <v>380</v>
      </c>
      <c r="M24" s="199"/>
      <c r="N24" s="199"/>
      <c r="O24" s="199"/>
      <c r="P24" s="98" t="s">
        <v>131</v>
      </c>
    </row>
    <row r="25" spans="1:16" ht="48" customHeight="1" x14ac:dyDescent="0.25">
      <c r="A25" s="104" t="s">
        <v>52</v>
      </c>
      <c r="B25" s="208" t="s">
        <v>385</v>
      </c>
      <c r="C25" s="209"/>
      <c r="D25" s="209"/>
      <c r="E25" s="209"/>
      <c r="F25" s="209"/>
      <c r="G25" s="210"/>
      <c r="H25" s="199" t="s">
        <v>386</v>
      </c>
      <c r="I25" s="199"/>
      <c r="J25" s="199"/>
      <c r="K25" s="199"/>
      <c r="L25" s="199" t="s">
        <v>386</v>
      </c>
      <c r="M25" s="199"/>
      <c r="N25" s="199"/>
      <c r="O25" s="199"/>
      <c r="P25" s="98" t="s">
        <v>131</v>
      </c>
    </row>
    <row r="26" spans="1:16" ht="48" customHeight="1" x14ac:dyDescent="0.25">
      <c r="A26" s="104" t="s">
        <v>53</v>
      </c>
      <c r="B26" s="220" t="s">
        <v>387</v>
      </c>
      <c r="C26" s="221"/>
      <c r="D26" s="221"/>
      <c r="E26" s="221"/>
      <c r="F26" s="221"/>
      <c r="G26" s="222"/>
      <c r="H26" s="227" t="s">
        <v>388</v>
      </c>
      <c r="I26" s="228"/>
      <c r="J26" s="228"/>
      <c r="K26" s="229"/>
      <c r="L26" s="227" t="s">
        <v>388</v>
      </c>
      <c r="M26" s="228"/>
      <c r="N26" s="228"/>
      <c r="O26" s="229"/>
      <c r="P26" s="98" t="s">
        <v>131</v>
      </c>
    </row>
    <row r="27" spans="1:16" ht="48" customHeight="1" x14ac:dyDescent="0.25">
      <c r="A27" s="104" t="s">
        <v>54</v>
      </c>
      <c r="B27" s="208" t="s">
        <v>394</v>
      </c>
      <c r="C27" s="209"/>
      <c r="D27" s="209"/>
      <c r="E27" s="209"/>
      <c r="F27" s="209"/>
      <c r="G27" s="210"/>
      <c r="H27" s="199" t="s">
        <v>390</v>
      </c>
      <c r="I27" s="199"/>
      <c r="J27" s="199"/>
      <c r="K27" s="199"/>
      <c r="L27" s="199" t="s">
        <v>390</v>
      </c>
      <c r="M27" s="199"/>
      <c r="N27" s="199"/>
      <c r="O27" s="199"/>
      <c r="P27" s="98" t="s">
        <v>131</v>
      </c>
    </row>
    <row r="28" spans="1:16" ht="48" customHeight="1" x14ac:dyDescent="0.25">
      <c r="A28" s="104" t="s">
        <v>55</v>
      </c>
      <c r="B28" s="220" t="s">
        <v>401</v>
      </c>
      <c r="C28" s="221"/>
      <c r="D28" s="221"/>
      <c r="E28" s="221"/>
      <c r="F28" s="221"/>
      <c r="G28" s="222"/>
      <c r="H28" s="227" t="s">
        <v>395</v>
      </c>
      <c r="I28" s="228"/>
      <c r="J28" s="228"/>
      <c r="K28" s="229"/>
      <c r="L28" s="227" t="s">
        <v>395</v>
      </c>
      <c r="M28" s="228"/>
      <c r="N28" s="228"/>
      <c r="O28" s="229"/>
      <c r="P28" s="98" t="s">
        <v>131</v>
      </c>
    </row>
    <row r="29" spans="1:16" ht="48" customHeight="1" x14ac:dyDescent="0.25">
      <c r="A29" s="104" t="s">
        <v>419</v>
      </c>
      <c r="B29" s="208" t="s">
        <v>396</v>
      </c>
      <c r="C29" s="209"/>
      <c r="D29" s="209"/>
      <c r="E29" s="209"/>
      <c r="F29" s="209"/>
      <c r="G29" s="210"/>
      <c r="H29" s="199" t="s">
        <v>391</v>
      </c>
      <c r="I29" s="199"/>
      <c r="J29" s="199"/>
      <c r="K29" s="199"/>
      <c r="L29" s="199" t="s">
        <v>391</v>
      </c>
      <c r="M29" s="199"/>
      <c r="N29" s="199"/>
      <c r="O29" s="199"/>
      <c r="P29" s="98" t="s">
        <v>131</v>
      </c>
    </row>
    <row r="30" spans="1:16" ht="48" customHeight="1" x14ac:dyDescent="0.25">
      <c r="A30" s="104" t="s">
        <v>420</v>
      </c>
      <c r="B30" s="220" t="s">
        <v>402</v>
      </c>
      <c r="C30" s="221"/>
      <c r="D30" s="221"/>
      <c r="E30" s="221"/>
      <c r="F30" s="221"/>
      <c r="G30" s="222"/>
      <c r="H30" s="227" t="s">
        <v>397</v>
      </c>
      <c r="I30" s="228"/>
      <c r="J30" s="228"/>
      <c r="K30" s="229"/>
      <c r="L30" s="227" t="s">
        <v>397</v>
      </c>
      <c r="M30" s="228"/>
      <c r="N30" s="228"/>
      <c r="O30" s="229"/>
      <c r="P30" s="98" t="s">
        <v>131</v>
      </c>
    </row>
    <row r="31" spans="1:16" ht="48" customHeight="1" x14ac:dyDescent="0.25">
      <c r="A31" s="104" t="s">
        <v>421</v>
      </c>
      <c r="B31" s="208" t="s">
        <v>398</v>
      </c>
      <c r="C31" s="209"/>
      <c r="D31" s="209"/>
      <c r="E31" s="209"/>
      <c r="F31" s="209"/>
      <c r="G31" s="210"/>
      <c r="H31" s="199" t="s">
        <v>392</v>
      </c>
      <c r="I31" s="199"/>
      <c r="J31" s="199"/>
      <c r="K31" s="199"/>
      <c r="L31" s="199" t="s">
        <v>392</v>
      </c>
      <c r="M31" s="199"/>
      <c r="N31" s="199"/>
      <c r="O31" s="199"/>
      <c r="P31" s="98" t="s">
        <v>131</v>
      </c>
    </row>
    <row r="32" spans="1:16" ht="48" customHeight="1" x14ac:dyDescent="0.25">
      <c r="A32" s="104" t="s">
        <v>422</v>
      </c>
      <c r="B32" s="220" t="s">
        <v>403</v>
      </c>
      <c r="C32" s="221"/>
      <c r="D32" s="221"/>
      <c r="E32" s="221"/>
      <c r="F32" s="221"/>
      <c r="G32" s="222"/>
      <c r="H32" s="227" t="s">
        <v>399</v>
      </c>
      <c r="I32" s="228"/>
      <c r="J32" s="228"/>
      <c r="K32" s="229"/>
      <c r="L32" s="227" t="s">
        <v>399</v>
      </c>
      <c r="M32" s="228"/>
      <c r="N32" s="228"/>
      <c r="O32" s="229"/>
      <c r="P32" s="98" t="s">
        <v>131</v>
      </c>
    </row>
    <row r="33" spans="1:16" ht="48" customHeight="1" x14ac:dyDescent="0.25">
      <c r="A33" s="104" t="s">
        <v>423</v>
      </c>
      <c r="B33" s="208" t="s">
        <v>404</v>
      </c>
      <c r="C33" s="209"/>
      <c r="D33" s="209"/>
      <c r="E33" s="209"/>
      <c r="F33" s="209"/>
      <c r="G33" s="210"/>
      <c r="H33" s="199" t="s">
        <v>389</v>
      </c>
      <c r="I33" s="199"/>
      <c r="J33" s="199"/>
      <c r="K33" s="199"/>
      <c r="L33" s="199" t="s">
        <v>389</v>
      </c>
      <c r="M33" s="199"/>
      <c r="N33" s="199"/>
      <c r="O33" s="199"/>
      <c r="P33" s="98" t="s">
        <v>131</v>
      </c>
    </row>
    <row r="34" spans="1:16" ht="48" customHeight="1" x14ac:dyDescent="0.25">
      <c r="A34" s="104" t="s">
        <v>424</v>
      </c>
      <c r="B34" s="220" t="s">
        <v>405</v>
      </c>
      <c r="C34" s="221"/>
      <c r="D34" s="221"/>
      <c r="E34" s="221"/>
      <c r="F34" s="221"/>
      <c r="G34" s="222"/>
      <c r="H34" s="227" t="s">
        <v>406</v>
      </c>
      <c r="I34" s="228"/>
      <c r="J34" s="228"/>
      <c r="K34" s="229"/>
      <c r="L34" s="227" t="s">
        <v>406</v>
      </c>
      <c r="M34" s="228"/>
      <c r="N34" s="228"/>
      <c r="O34" s="229"/>
      <c r="P34" s="98" t="s">
        <v>131</v>
      </c>
    </row>
    <row r="35" spans="1:16" ht="48" customHeight="1" x14ac:dyDescent="0.25">
      <c r="A35" s="104" t="s">
        <v>425</v>
      </c>
      <c r="B35" s="208" t="s">
        <v>400</v>
      </c>
      <c r="C35" s="209"/>
      <c r="D35" s="209"/>
      <c r="E35" s="209"/>
      <c r="F35" s="209"/>
      <c r="G35" s="210"/>
      <c r="H35" s="199" t="s">
        <v>393</v>
      </c>
      <c r="I35" s="199"/>
      <c r="J35" s="199"/>
      <c r="K35" s="199"/>
      <c r="L35" s="199" t="s">
        <v>393</v>
      </c>
      <c r="M35" s="199"/>
      <c r="N35" s="199"/>
      <c r="O35" s="199"/>
      <c r="P35" s="98" t="s">
        <v>131</v>
      </c>
    </row>
    <row r="36" spans="1:16" ht="48" customHeight="1" x14ac:dyDescent="0.25">
      <c r="A36" s="104" t="s">
        <v>426</v>
      </c>
      <c r="B36" s="220" t="s">
        <v>407</v>
      </c>
      <c r="C36" s="221"/>
      <c r="D36" s="221"/>
      <c r="E36" s="221"/>
      <c r="F36" s="221"/>
      <c r="G36" s="222"/>
      <c r="H36" s="227" t="s">
        <v>408</v>
      </c>
      <c r="I36" s="228"/>
      <c r="J36" s="228"/>
      <c r="K36" s="229"/>
      <c r="L36" s="227" t="s">
        <v>408</v>
      </c>
      <c r="M36" s="228"/>
      <c r="N36" s="228"/>
      <c r="O36" s="229"/>
      <c r="P36" s="98" t="s">
        <v>131</v>
      </c>
    </row>
  </sheetData>
  <mergeCells count="55">
    <mergeCell ref="A16:A19"/>
    <mergeCell ref="B16:G19"/>
    <mergeCell ref="B1:G1"/>
    <mergeCell ref="B3:G3"/>
    <mergeCell ref="B7:G7"/>
    <mergeCell ref="A11:A14"/>
    <mergeCell ref="B11:G14"/>
    <mergeCell ref="A21:G21"/>
    <mergeCell ref="H21:K21"/>
    <mergeCell ref="L21:O21"/>
    <mergeCell ref="B22:G22"/>
    <mergeCell ref="H22:K22"/>
    <mergeCell ref="L22:O22"/>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H33:K33"/>
    <mergeCell ref="L33:O33"/>
    <mergeCell ref="B30:G30"/>
    <mergeCell ref="H30:K30"/>
    <mergeCell ref="L30:O30"/>
    <mergeCell ref="B31:G31"/>
    <mergeCell ref="H31:K31"/>
    <mergeCell ref="L31:O31"/>
    <mergeCell ref="B23:G23"/>
    <mergeCell ref="H23:K23"/>
    <mergeCell ref="L23:O23"/>
    <mergeCell ref="B36:G36"/>
    <mergeCell ref="H36:K36"/>
    <mergeCell ref="L36:O36"/>
    <mergeCell ref="B34:G34"/>
    <mergeCell ref="H34:K34"/>
    <mergeCell ref="L34:O34"/>
    <mergeCell ref="B35:G35"/>
    <mergeCell ref="H35:K35"/>
    <mergeCell ref="L35:O35"/>
    <mergeCell ref="B32:G32"/>
    <mergeCell ref="H32:K32"/>
    <mergeCell ref="L32:O32"/>
    <mergeCell ref="B33:G33"/>
  </mergeCells>
  <phoneticPr fontId="42" type="noConversion"/>
  <conditionalFormatting sqref="B10">
    <cfRule type="cellIs" dxfId="115" priority="11" operator="equal">
      <formula>"Nok"</formula>
    </cfRule>
    <cfRule type="cellIs" dxfId="114" priority="12" operator="equal">
      <formula>"Ok"</formula>
    </cfRule>
  </conditionalFormatting>
  <conditionalFormatting sqref="B9">
    <cfRule type="cellIs" dxfId="113" priority="9" operator="equal">
      <formula>"Nok"</formula>
    </cfRule>
    <cfRule type="cellIs" dxfId="112" priority="10" operator="equal">
      <formula>"Ok"</formula>
    </cfRule>
  </conditionalFormatting>
  <conditionalFormatting sqref="P25 P27 P29 P31 P33 P35">
    <cfRule type="cellIs" dxfId="111" priority="7" operator="equal">
      <formula>"Nok"</formula>
    </cfRule>
    <cfRule type="cellIs" dxfId="110" priority="8" operator="equal">
      <formula>"Ok"</formula>
    </cfRule>
  </conditionalFormatting>
  <conditionalFormatting sqref="P26 P28 P30 P32 P34 P36">
    <cfRule type="cellIs" dxfId="109" priority="1" operator="equal">
      <formula>"Nok"</formula>
    </cfRule>
    <cfRule type="cellIs" dxfId="108" priority="2" operator="equal">
      <formula>"Ok"</formula>
    </cfRule>
  </conditionalFormatting>
  <conditionalFormatting sqref="P22:P23">
    <cfRule type="cellIs" dxfId="107" priority="5" operator="equal">
      <formula>"Nok"</formula>
    </cfRule>
    <cfRule type="cellIs" dxfId="106" priority="6" operator="equal">
      <formula>"Ok"</formula>
    </cfRule>
  </conditionalFormatting>
  <conditionalFormatting sqref="P24">
    <cfRule type="cellIs" dxfId="105" priority="3" operator="equal">
      <formula>"Nok"</formula>
    </cfRule>
    <cfRule type="cellIs" dxfId="104" priority="4" operator="equal">
      <formula>"Ok"</formula>
    </cfRule>
  </conditionalFormatting>
  <dataValidations count="2">
    <dataValidation type="list" allowBlank="1" showInputMessage="1" showErrorMessage="1" sqref="B9 P22:P36" xr:uid="{9A34B1E2-5FB4-4C02-B1A7-E56E046D72FE}">
      <formula1>"Ok, Nok, Not run, ,"</formula1>
    </dataValidation>
    <dataValidation type="list" allowBlank="1" showInputMessage="1" showErrorMessage="1" sqref="B5" xr:uid="{1CAA6F89-5DE3-461F-9DFD-483F5FE21E94}">
      <formula1>"Nominal, Robustness, Endurance, Qualification"</formula1>
    </dataValidation>
  </dataValidations>
  <pageMargins left="0.7" right="0.7" top="0.75" bottom="0.75" header="0.3" footer="0.3"/>
  <pageSetup paperSize="9" orientation="portrait" r:id="rId1"/>
  <headerFooter>
    <oddFooter>&amp;LNA ver 2&amp;R&amp;P</oddFooter>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38857-828E-4C08-980B-CE7DA423C9E0}">
  <sheetPr codeName="Sheet30"/>
  <dimension ref="A1:P36"/>
  <sheetViews>
    <sheetView topLeftCell="A25" workbookViewId="0"/>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429</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617</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430</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8" customHeight="1" x14ac:dyDescent="0.25">
      <c r="A22" s="104" t="s">
        <v>49</v>
      </c>
      <c r="B22" s="208" t="s">
        <v>151</v>
      </c>
      <c r="C22" s="209"/>
      <c r="D22" s="209"/>
      <c r="E22" s="209"/>
      <c r="F22" s="209"/>
      <c r="G22" s="210"/>
      <c r="H22" s="196"/>
      <c r="I22" s="197"/>
      <c r="J22" s="197"/>
      <c r="K22" s="198"/>
      <c r="L22" s="196"/>
      <c r="M22" s="197"/>
      <c r="N22" s="197"/>
      <c r="O22" s="198"/>
      <c r="P22" s="98"/>
    </row>
    <row r="23" spans="1:16" ht="48" customHeight="1" x14ac:dyDescent="0.25">
      <c r="A23" s="104" t="s">
        <v>50</v>
      </c>
      <c r="B23" s="208" t="s">
        <v>599</v>
      </c>
      <c r="C23" s="209"/>
      <c r="D23" s="209"/>
      <c r="E23" s="209"/>
      <c r="F23" s="209"/>
      <c r="G23" s="210"/>
      <c r="H23" s="196" t="s">
        <v>600</v>
      </c>
      <c r="I23" s="197"/>
      <c r="J23" s="197"/>
      <c r="K23" s="198"/>
      <c r="L23" s="196" t="s">
        <v>600</v>
      </c>
      <c r="M23" s="197"/>
      <c r="N23" s="197"/>
      <c r="O23" s="198"/>
      <c r="P23" s="98" t="s">
        <v>131</v>
      </c>
    </row>
    <row r="24" spans="1:16" ht="48" customHeight="1" x14ac:dyDescent="0.25">
      <c r="A24" s="104" t="s">
        <v>51</v>
      </c>
      <c r="B24" s="208" t="s">
        <v>601</v>
      </c>
      <c r="C24" s="209"/>
      <c r="D24" s="209"/>
      <c r="E24" s="209"/>
      <c r="F24" s="209"/>
      <c r="G24" s="210"/>
      <c r="H24" s="232" t="s">
        <v>602</v>
      </c>
      <c r="I24" s="232"/>
      <c r="J24" s="232"/>
      <c r="K24" s="232"/>
      <c r="L24" s="232" t="s">
        <v>602</v>
      </c>
      <c r="M24" s="232"/>
      <c r="N24" s="232"/>
      <c r="O24" s="232"/>
      <c r="P24" s="98" t="s">
        <v>131</v>
      </c>
    </row>
    <row r="25" spans="1:16" ht="48" customHeight="1" x14ac:dyDescent="0.25">
      <c r="A25" s="104" t="s">
        <v>52</v>
      </c>
      <c r="B25" s="208" t="s">
        <v>603</v>
      </c>
      <c r="C25" s="209"/>
      <c r="D25" s="209"/>
      <c r="E25" s="209"/>
      <c r="F25" s="209"/>
      <c r="G25" s="210"/>
      <c r="H25" s="232" t="s">
        <v>604</v>
      </c>
      <c r="I25" s="232"/>
      <c r="J25" s="232"/>
      <c r="K25" s="232"/>
      <c r="L25" s="232" t="s">
        <v>604</v>
      </c>
      <c r="M25" s="232"/>
      <c r="N25" s="232"/>
      <c r="O25" s="232"/>
      <c r="P25" s="98" t="s">
        <v>131</v>
      </c>
    </row>
    <row r="26" spans="1:16" ht="48" customHeight="1" x14ac:dyDescent="0.25">
      <c r="A26" s="104" t="s">
        <v>53</v>
      </c>
      <c r="B26" s="208" t="s">
        <v>605</v>
      </c>
      <c r="C26" s="209"/>
      <c r="D26" s="209"/>
      <c r="E26" s="209"/>
      <c r="F26" s="209"/>
      <c r="G26" s="210"/>
      <c r="H26" s="232" t="s">
        <v>606</v>
      </c>
      <c r="I26" s="232"/>
      <c r="J26" s="232"/>
      <c r="K26" s="232"/>
      <c r="L26" s="232" t="s">
        <v>606</v>
      </c>
      <c r="M26" s="232"/>
      <c r="N26" s="232"/>
      <c r="O26" s="232"/>
      <c r="P26" s="98" t="s">
        <v>131</v>
      </c>
    </row>
    <row r="27" spans="1:16" ht="48" customHeight="1" x14ac:dyDescent="0.25">
      <c r="A27" s="104" t="s">
        <v>54</v>
      </c>
      <c r="B27" s="208" t="s">
        <v>607</v>
      </c>
      <c r="C27" s="209"/>
      <c r="D27" s="209"/>
      <c r="E27" s="209"/>
      <c r="F27" s="209"/>
      <c r="G27" s="210"/>
      <c r="H27" s="232" t="s">
        <v>610</v>
      </c>
      <c r="I27" s="232"/>
      <c r="J27" s="232"/>
      <c r="K27" s="232"/>
      <c r="L27" s="232" t="s">
        <v>610</v>
      </c>
      <c r="M27" s="232"/>
      <c r="N27" s="232"/>
      <c r="O27" s="232"/>
      <c r="P27" s="98" t="s">
        <v>131</v>
      </c>
    </row>
    <row r="28" spans="1:16" ht="48" customHeight="1" x14ac:dyDescent="0.25">
      <c r="A28" s="104" t="s">
        <v>55</v>
      </c>
      <c r="B28" s="208" t="s">
        <v>608</v>
      </c>
      <c r="C28" s="209"/>
      <c r="D28" s="209"/>
      <c r="E28" s="209"/>
      <c r="F28" s="209"/>
      <c r="G28" s="210"/>
      <c r="H28" s="232" t="s">
        <v>611</v>
      </c>
      <c r="I28" s="232"/>
      <c r="J28" s="232"/>
      <c r="K28" s="232"/>
      <c r="L28" s="232" t="s">
        <v>611</v>
      </c>
      <c r="M28" s="232"/>
      <c r="N28" s="232"/>
      <c r="O28" s="232"/>
      <c r="P28" s="98" t="s">
        <v>131</v>
      </c>
    </row>
    <row r="29" spans="1:16" ht="48" customHeight="1" x14ac:dyDescent="0.25">
      <c r="A29" s="104" t="s">
        <v>419</v>
      </c>
      <c r="B29" s="208" t="s">
        <v>609</v>
      </c>
      <c r="C29" s="209"/>
      <c r="D29" s="209"/>
      <c r="E29" s="209"/>
      <c r="F29" s="209"/>
      <c r="G29" s="210"/>
      <c r="H29" s="232" t="s">
        <v>612</v>
      </c>
      <c r="I29" s="232"/>
      <c r="J29" s="232"/>
      <c r="K29" s="232"/>
      <c r="L29" s="232" t="s">
        <v>612</v>
      </c>
      <c r="M29" s="232"/>
      <c r="N29" s="232"/>
      <c r="O29" s="232"/>
      <c r="P29" s="98" t="s">
        <v>131</v>
      </c>
    </row>
    <row r="30" spans="1:16" ht="48" customHeight="1" x14ac:dyDescent="0.25">
      <c r="A30" s="104" t="s">
        <v>420</v>
      </c>
      <c r="B30" s="208" t="s">
        <v>613</v>
      </c>
      <c r="C30" s="209"/>
      <c r="D30" s="209"/>
      <c r="E30" s="209"/>
      <c r="F30" s="209"/>
      <c r="G30" s="210"/>
      <c r="H30" s="232" t="s">
        <v>614</v>
      </c>
      <c r="I30" s="232"/>
      <c r="J30" s="232"/>
      <c r="K30" s="232"/>
      <c r="L30" s="232" t="s">
        <v>614</v>
      </c>
      <c r="M30" s="232"/>
      <c r="N30" s="232"/>
      <c r="O30" s="232"/>
      <c r="P30" s="98" t="s">
        <v>131</v>
      </c>
    </row>
    <row r="31" spans="1:16" ht="48" customHeight="1" x14ac:dyDescent="0.25">
      <c r="A31" s="104" t="s">
        <v>421</v>
      </c>
      <c r="B31" s="208" t="s">
        <v>615</v>
      </c>
      <c r="C31" s="209"/>
      <c r="D31" s="209"/>
      <c r="E31" s="209"/>
      <c r="F31" s="209"/>
      <c r="G31" s="210"/>
      <c r="H31" s="232" t="s">
        <v>616</v>
      </c>
      <c r="I31" s="232"/>
      <c r="J31" s="232"/>
      <c r="K31" s="232"/>
      <c r="L31" s="232" t="s">
        <v>616</v>
      </c>
      <c r="M31" s="232"/>
      <c r="N31" s="232"/>
      <c r="O31" s="232"/>
      <c r="P31" s="98" t="s">
        <v>131</v>
      </c>
    </row>
    <row r="32" spans="1:16" ht="48" customHeight="1" x14ac:dyDescent="0.25">
      <c r="A32" s="104" t="s">
        <v>422</v>
      </c>
      <c r="B32" s="208" t="s">
        <v>618</v>
      </c>
      <c r="C32" s="209"/>
      <c r="D32" s="209"/>
      <c r="E32" s="209"/>
      <c r="F32" s="209"/>
      <c r="G32" s="210"/>
      <c r="H32" s="233" t="s">
        <v>619</v>
      </c>
      <c r="I32" s="234"/>
      <c r="J32" s="234"/>
      <c r="K32" s="235"/>
      <c r="L32" s="233" t="s">
        <v>619</v>
      </c>
      <c r="M32" s="234"/>
      <c r="N32" s="234"/>
      <c r="O32" s="235"/>
      <c r="P32" s="98" t="s">
        <v>131</v>
      </c>
    </row>
    <row r="33" spans="1:16" ht="48" customHeight="1" x14ac:dyDescent="0.25">
      <c r="A33" s="104" t="s">
        <v>423</v>
      </c>
      <c r="B33" s="208"/>
      <c r="C33" s="209"/>
      <c r="D33" s="209"/>
      <c r="E33" s="209"/>
      <c r="F33" s="209"/>
      <c r="G33" s="210"/>
      <c r="H33" s="199"/>
      <c r="I33" s="199"/>
      <c r="J33" s="199"/>
      <c r="K33" s="199"/>
      <c r="L33" s="199"/>
      <c r="M33" s="199"/>
      <c r="N33" s="199"/>
      <c r="O33" s="199"/>
      <c r="P33" s="98"/>
    </row>
    <row r="34" spans="1:16" ht="48" customHeight="1" x14ac:dyDescent="0.25">
      <c r="A34" s="104" t="s">
        <v>424</v>
      </c>
      <c r="B34" s="220"/>
      <c r="C34" s="221"/>
      <c r="D34" s="221"/>
      <c r="E34" s="221"/>
      <c r="F34" s="221"/>
      <c r="G34" s="222"/>
      <c r="H34" s="227"/>
      <c r="I34" s="228"/>
      <c r="J34" s="228"/>
      <c r="K34" s="229"/>
      <c r="L34" s="227"/>
      <c r="M34" s="228"/>
      <c r="N34" s="228"/>
      <c r="O34" s="229"/>
      <c r="P34" s="98"/>
    </row>
    <row r="35" spans="1:16" ht="48" customHeight="1" x14ac:dyDescent="0.25">
      <c r="A35" s="104" t="s">
        <v>425</v>
      </c>
      <c r="B35" s="208"/>
      <c r="C35" s="209"/>
      <c r="D35" s="209"/>
      <c r="E35" s="209"/>
      <c r="F35" s="209"/>
      <c r="G35" s="210"/>
      <c r="H35" s="199"/>
      <c r="I35" s="199"/>
      <c r="J35" s="199"/>
      <c r="K35" s="199"/>
      <c r="L35" s="199"/>
      <c r="M35" s="199"/>
      <c r="N35" s="199"/>
      <c r="O35" s="199"/>
      <c r="P35" s="98"/>
    </row>
    <row r="36" spans="1:16" ht="48" customHeight="1" x14ac:dyDescent="0.25">
      <c r="A36" s="104" t="s">
        <v>426</v>
      </c>
      <c r="B36" s="220"/>
      <c r="C36" s="221"/>
      <c r="D36" s="221"/>
      <c r="E36" s="221"/>
      <c r="F36" s="221"/>
      <c r="G36" s="222"/>
      <c r="H36" s="227"/>
      <c r="I36" s="228"/>
      <c r="J36" s="228"/>
      <c r="K36" s="229"/>
      <c r="L36" s="227"/>
      <c r="M36" s="228"/>
      <c r="N36" s="228"/>
      <c r="O36" s="229"/>
      <c r="P36" s="98"/>
    </row>
  </sheetData>
  <mergeCells count="55">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s>
  <conditionalFormatting sqref="B10">
    <cfRule type="cellIs" dxfId="103" priority="11" operator="equal">
      <formula>"Nok"</formula>
    </cfRule>
    <cfRule type="cellIs" dxfId="102" priority="12" operator="equal">
      <formula>"Ok"</formula>
    </cfRule>
  </conditionalFormatting>
  <conditionalFormatting sqref="B9">
    <cfRule type="cellIs" dxfId="101" priority="9" operator="equal">
      <formula>"Nok"</formula>
    </cfRule>
    <cfRule type="cellIs" dxfId="100" priority="10" operator="equal">
      <formula>"Ok"</formula>
    </cfRule>
  </conditionalFormatting>
  <conditionalFormatting sqref="P33 P35">
    <cfRule type="cellIs" dxfId="99" priority="7" operator="equal">
      <formula>"Nok"</formula>
    </cfRule>
    <cfRule type="cellIs" dxfId="98" priority="8" operator="equal">
      <formula>"Ok"</formula>
    </cfRule>
  </conditionalFormatting>
  <conditionalFormatting sqref="P32 P34 P36">
    <cfRule type="cellIs" dxfId="97" priority="1" operator="equal">
      <formula>"Nok"</formula>
    </cfRule>
    <cfRule type="cellIs" dxfId="96" priority="2" operator="equal">
      <formula>"Ok"</formula>
    </cfRule>
  </conditionalFormatting>
  <conditionalFormatting sqref="P22:P23">
    <cfRule type="cellIs" dxfId="95" priority="5" operator="equal">
      <formula>"Nok"</formula>
    </cfRule>
    <cfRule type="cellIs" dxfId="94" priority="6" operator="equal">
      <formula>"Ok"</formula>
    </cfRule>
  </conditionalFormatting>
  <conditionalFormatting sqref="P24:P31">
    <cfRule type="cellIs" dxfId="93" priority="3" operator="equal">
      <formula>"Nok"</formula>
    </cfRule>
    <cfRule type="cellIs" dxfId="92" priority="4" operator="equal">
      <formula>"Ok"</formula>
    </cfRule>
  </conditionalFormatting>
  <dataValidations count="2">
    <dataValidation type="list" allowBlank="1" showInputMessage="1" showErrorMessage="1" sqref="B5" xr:uid="{E8AC9B59-9F2A-4FBA-A1BA-9C4241FE5280}">
      <formula1>"Nominal, Robustness, Endurance, Qualification"</formula1>
    </dataValidation>
    <dataValidation type="list" allowBlank="1" showInputMessage="1" showErrorMessage="1" sqref="B9 P22:P36" xr:uid="{29C8A719-595B-485A-8C63-E754414D2994}">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ADC8F-98BC-4FEC-89BE-D269791CC8A7}">
  <sheetPr codeName="Sheet31"/>
  <dimension ref="A1:P64"/>
  <sheetViews>
    <sheetView topLeftCell="A13" workbookViewId="0">
      <selection activeCell="B3" sqref="B3:G3"/>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431</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620</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432</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8" customHeight="1" x14ac:dyDescent="0.25">
      <c r="A22" s="104" t="s">
        <v>49</v>
      </c>
      <c r="B22" s="208" t="s">
        <v>151</v>
      </c>
      <c r="C22" s="209"/>
      <c r="D22" s="209"/>
      <c r="E22" s="209"/>
      <c r="F22" s="209"/>
      <c r="G22" s="210"/>
      <c r="H22" s="196"/>
      <c r="I22" s="197"/>
      <c r="J22" s="197"/>
      <c r="K22" s="198"/>
      <c r="L22" s="196"/>
      <c r="M22" s="197"/>
      <c r="N22" s="197"/>
      <c r="O22" s="198"/>
      <c r="P22" s="98"/>
    </row>
    <row r="23" spans="1:16" ht="48" customHeight="1" x14ac:dyDescent="0.25">
      <c r="A23" s="104" t="s">
        <v>50</v>
      </c>
      <c r="B23" s="208" t="s">
        <v>536</v>
      </c>
      <c r="C23" s="209"/>
      <c r="D23" s="209"/>
      <c r="E23" s="209"/>
      <c r="F23" s="209"/>
      <c r="G23" s="210"/>
      <c r="H23" s="196" t="s">
        <v>537</v>
      </c>
      <c r="I23" s="197"/>
      <c r="J23" s="197"/>
      <c r="K23" s="198"/>
      <c r="L23" s="196" t="s">
        <v>537</v>
      </c>
      <c r="M23" s="197"/>
      <c r="N23" s="197"/>
      <c r="O23" s="198"/>
      <c r="P23" s="98" t="s">
        <v>131</v>
      </c>
    </row>
    <row r="24" spans="1:16" ht="48" customHeight="1" x14ac:dyDescent="0.25">
      <c r="A24" s="104" t="s">
        <v>51</v>
      </c>
      <c r="B24" s="208" t="s">
        <v>538</v>
      </c>
      <c r="C24" s="209"/>
      <c r="D24" s="209"/>
      <c r="E24" s="209"/>
      <c r="F24" s="209"/>
      <c r="G24" s="210"/>
      <c r="H24" s="232" t="s">
        <v>539</v>
      </c>
      <c r="I24" s="232"/>
      <c r="J24" s="232"/>
      <c r="K24" s="232"/>
      <c r="L24" s="232" t="s">
        <v>539</v>
      </c>
      <c r="M24" s="232"/>
      <c r="N24" s="232"/>
      <c r="O24" s="232"/>
      <c r="P24" s="98" t="s">
        <v>131</v>
      </c>
    </row>
    <row r="25" spans="1:16" ht="27" customHeight="1" x14ac:dyDescent="0.25">
      <c r="A25" s="104" t="s">
        <v>52</v>
      </c>
      <c r="B25" s="208" t="s">
        <v>540</v>
      </c>
      <c r="C25" s="209"/>
      <c r="D25" s="209"/>
      <c r="E25" s="209"/>
      <c r="F25" s="209"/>
      <c r="G25" s="210"/>
      <c r="H25" s="232" t="s">
        <v>454</v>
      </c>
      <c r="I25" s="232"/>
      <c r="J25" s="232"/>
      <c r="K25" s="232"/>
      <c r="L25" s="232" t="s">
        <v>454</v>
      </c>
      <c r="M25" s="232"/>
      <c r="N25" s="232"/>
      <c r="O25" s="232"/>
      <c r="P25" s="98" t="s">
        <v>131</v>
      </c>
    </row>
    <row r="26" spans="1:16" ht="27" customHeight="1" x14ac:dyDescent="0.25">
      <c r="A26" s="104" t="s">
        <v>53</v>
      </c>
      <c r="B26" s="220" t="s">
        <v>541</v>
      </c>
      <c r="C26" s="221"/>
      <c r="D26" s="221"/>
      <c r="E26" s="221"/>
      <c r="F26" s="221"/>
      <c r="G26" s="222"/>
      <c r="H26" s="227" t="s">
        <v>542</v>
      </c>
      <c r="I26" s="228"/>
      <c r="J26" s="228"/>
      <c r="K26" s="229"/>
      <c r="L26" s="227" t="s">
        <v>543</v>
      </c>
      <c r="M26" s="228"/>
      <c r="N26" s="228"/>
      <c r="O26" s="229"/>
      <c r="P26" s="98" t="s">
        <v>131</v>
      </c>
    </row>
    <row r="27" spans="1:16" ht="27" customHeight="1" x14ac:dyDescent="0.25">
      <c r="A27" s="104" t="s">
        <v>54</v>
      </c>
      <c r="B27" s="208" t="s">
        <v>471</v>
      </c>
      <c r="C27" s="209"/>
      <c r="D27" s="209"/>
      <c r="E27" s="209"/>
      <c r="F27" s="209"/>
      <c r="G27" s="210"/>
      <c r="H27" s="232" t="s">
        <v>454</v>
      </c>
      <c r="I27" s="232"/>
      <c r="J27" s="232"/>
      <c r="K27" s="232"/>
      <c r="L27" s="232" t="s">
        <v>454</v>
      </c>
      <c r="M27" s="232"/>
      <c r="N27" s="232"/>
      <c r="O27" s="232"/>
      <c r="P27" s="98" t="s">
        <v>131</v>
      </c>
    </row>
    <row r="28" spans="1:16" ht="27" customHeight="1" x14ac:dyDescent="0.25">
      <c r="A28" s="104" t="s">
        <v>55</v>
      </c>
      <c r="B28" s="220" t="s">
        <v>541</v>
      </c>
      <c r="C28" s="221"/>
      <c r="D28" s="221"/>
      <c r="E28" s="221"/>
      <c r="F28" s="221"/>
      <c r="G28" s="222"/>
      <c r="H28" s="227" t="s">
        <v>543</v>
      </c>
      <c r="I28" s="228"/>
      <c r="J28" s="228"/>
      <c r="K28" s="229"/>
      <c r="L28" s="227" t="s">
        <v>544</v>
      </c>
      <c r="M28" s="228"/>
      <c r="N28" s="228"/>
      <c r="O28" s="229"/>
      <c r="P28" s="98" t="s">
        <v>131</v>
      </c>
    </row>
    <row r="29" spans="1:16" ht="27" customHeight="1" x14ac:dyDescent="0.25">
      <c r="A29" s="104" t="s">
        <v>419</v>
      </c>
      <c r="B29" s="208" t="s">
        <v>574</v>
      </c>
      <c r="C29" s="209"/>
      <c r="D29" s="209"/>
      <c r="E29" s="209"/>
      <c r="F29" s="209"/>
      <c r="G29" s="210"/>
      <c r="H29" s="232" t="s">
        <v>454</v>
      </c>
      <c r="I29" s="232"/>
      <c r="J29" s="232"/>
      <c r="K29" s="232"/>
      <c r="L29" s="232" t="s">
        <v>454</v>
      </c>
      <c r="M29" s="232"/>
      <c r="N29" s="232"/>
      <c r="O29" s="232"/>
      <c r="P29" s="98" t="s">
        <v>131</v>
      </c>
    </row>
    <row r="30" spans="1:16" ht="27" customHeight="1" x14ac:dyDescent="0.25">
      <c r="A30" s="104" t="s">
        <v>420</v>
      </c>
      <c r="B30" s="220" t="s">
        <v>541</v>
      </c>
      <c r="C30" s="221"/>
      <c r="D30" s="221"/>
      <c r="E30" s="221"/>
      <c r="F30" s="221"/>
      <c r="G30" s="222"/>
      <c r="H30" s="227" t="s">
        <v>544</v>
      </c>
      <c r="I30" s="228"/>
      <c r="J30" s="228"/>
      <c r="K30" s="229"/>
      <c r="L30" s="227" t="s">
        <v>545</v>
      </c>
      <c r="M30" s="228"/>
      <c r="N30" s="228"/>
      <c r="O30" s="229"/>
      <c r="P30" s="98" t="s">
        <v>131</v>
      </c>
    </row>
    <row r="31" spans="1:16" ht="27" customHeight="1" x14ac:dyDescent="0.25">
      <c r="A31" s="104" t="s">
        <v>421</v>
      </c>
      <c r="B31" s="208" t="s">
        <v>575</v>
      </c>
      <c r="C31" s="209"/>
      <c r="D31" s="209"/>
      <c r="E31" s="209"/>
      <c r="F31" s="209"/>
      <c r="G31" s="210"/>
      <c r="H31" s="232" t="s">
        <v>454</v>
      </c>
      <c r="I31" s="232"/>
      <c r="J31" s="232"/>
      <c r="K31" s="232"/>
      <c r="L31" s="232" t="s">
        <v>454</v>
      </c>
      <c r="M31" s="232"/>
      <c r="N31" s="232"/>
      <c r="O31" s="232"/>
      <c r="P31" s="98" t="s">
        <v>131</v>
      </c>
    </row>
    <row r="32" spans="1:16" ht="27" customHeight="1" x14ac:dyDescent="0.25">
      <c r="A32" s="104" t="s">
        <v>422</v>
      </c>
      <c r="B32" s="220" t="s">
        <v>541</v>
      </c>
      <c r="C32" s="221"/>
      <c r="D32" s="221"/>
      <c r="E32" s="221"/>
      <c r="F32" s="221"/>
      <c r="G32" s="222"/>
      <c r="H32" s="227" t="s">
        <v>545</v>
      </c>
      <c r="I32" s="228"/>
      <c r="J32" s="228"/>
      <c r="K32" s="229"/>
      <c r="L32" s="227" t="s">
        <v>546</v>
      </c>
      <c r="M32" s="228"/>
      <c r="N32" s="228"/>
      <c r="O32" s="229"/>
      <c r="P32" s="98" t="s">
        <v>131</v>
      </c>
    </row>
    <row r="33" spans="1:16" ht="27" customHeight="1" x14ac:dyDescent="0.25">
      <c r="A33" s="104" t="s">
        <v>423</v>
      </c>
      <c r="B33" s="208" t="s">
        <v>576</v>
      </c>
      <c r="C33" s="209"/>
      <c r="D33" s="209"/>
      <c r="E33" s="209"/>
      <c r="F33" s="209"/>
      <c r="G33" s="210"/>
      <c r="H33" s="232" t="s">
        <v>454</v>
      </c>
      <c r="I33" s="232"/>
      <c r="J33" s="232"/>
      <c r="K33" s="232"/>
      <c r="L33" s="232" t="s">
        <v>454</v>
      </c>
      <c r="M33" s="232"/>
      <c r="N33" s="232"/>
      <c r="O33" s="232"/>
      <c r="P33" s="98" t="s">
        <v>131</v>
      </c>
    </row>
    <row r="34" spans="1:16" ht="27" customHeight="1" x14ac:dyDescent="0.25">
      <c r="A34" s="104" t="s">
        <v>424</v>
      </c>
      <c r="B34" s="220" t="s">
        <v>541</v>
      </c>
      <c r="C34" s="221"/>
      <c r="D34" s="221"/>
      <c r="E34" s="221"/>
      <c r="F34" s="221"/>
      <c r="G34" s="222"/>
      <c r="H34" s="227" t="s">
        <v>546</v>
      </c>
      <c r="I34" s="228"/>
      <c r="J34" s="228"/>
      <c r="K34" s="229"/>
      <c r="L34" s="227" t="s">
        <v>549</v>
      </c>
      <c r="M34" s="228"/>
      <c r="N34" s="228"/>
      <c r="O34" s="229"/>
      <c r="P34" s="98" t="s">
        <v>131</v>
      </c>
    </row>
    <row r="35" spans="1:16" ht="27" customHeight="1" x14ac:dyDescent="0.25">
      <c r="A35" s="104" t="s">
        <v>425</v>
      </c>
      <c r="B35" s="208" t="s">
        <v>522</v>
      </c>
      <c r="C35" s="209"/>
      <c r="D35" s="209"/>
      <c r="E35" s="209"/>
      <c r="F35" s="209"/>
      <c r="G35" s="210"/>
      <c r="H35" s="232" t="s">
        <v>454</v>
      </c>
      <c r="I35" s="232"/>
      <c r="J35" s="232"/>
      <c r="K35" s="232"/>
      <c r="L35" s="232" t="s">
        <v>454</v>
      </c>
      <c r="M35" s="232"/>
      <c r="N35" s="232"/>
      <c r="O35" s="232"/>
      <c r="P35" s="98" t="s">
        <v>131</v>
      </c>
    </row>
    <row r="36" spans="1:16" ht="27" customHeight="1" x14ac:dyDescent="0.25">
      <c r="A36" s="104" t="s">
        <v>426</v>
      </c>
      <c r="B36" s="220" t="s">
        <v>541</v>
      </c>
      <c r="C36" s="221"/>
      <c r="D36" s="221"/>
      <c r="E36" s="221"/>
      <c r="F36" s="221"/>
      <c r="G36" s="222"/>
      <c r="H36" s="227" t="s">
        <v>549</v>
      </c>
      <c r="I36" s="228"/>
      <c r="J36" s="228"/>
      <c r="K36" s="229"/>
      <c r="L36" s="227" t="s">
        <v>552</v>
      </c>
      <c r="M36" s="228"/>
      <c r="N36" s="228"/>
      <c r="O36" s="229"/>
      <c r="P36" s="98" t="s">
        <v>131</v>
      </c>
    </row>
    <row r="37" spans="1:16" ht="27" customHeight="1" x14ac:dyDescent="0.25">
      <c r="A37" s="104" t="s">
        <v>486</v>
      </c>
      <c r="B37" s="208" t="s">
        <v>577</v>
      </c>
      <c r="C37" s="209"/>
      <c r="D37" s="209"/>
      <c r="E37" s="209"/>
      <c r="F37" s="209"/>
      <c r="G37" s="210"/>
      <c r="H37" s="232" t="s">
        <v>454</v>
      </c>
      <c r="I37" s="232"/>
      <c r="J37" s="232"/>
      <c r="K37" s="232"/>
      <c r="L37" s="232" t="s">
        <v>454</v>
      </c>
      <c r="M37" s="232"/>
      <c r="N37" s="232"/>
      <c r="O37" s="232"/>
      <c r="P37" s="98" t="s">
        <v>131</v>
      </c>
    </row>
    <row r="38" spans="1:16" ht="27" customHeight="1" x14ac:dyDescent="0.25">
      <c r="A38" s="104" t="s">
        <v>487</v>
      </c>
      <c r="B38" s="220" t="s">
        <v>541</v>
      </c>
      <c r="C38" s="221"/>
      <c r="D38" s="221"/>
      <c r="E38" s="221"/>
      <c r="F38" s="221"/>
      <c r="G38" s="222"/>
      <c r="H38" s="227" t="s">
        <v>552</v>
      </c>
      <c r="I38" s="228"/>
      <c r="J38" s="228"/>
      <c r="K38" s="229"/>
      <c r="L38" s="227" t="s">
        <v>555</v>
      </c>
      <c r="M38" s="228"/>
      <c r="N38" s="228"/>
      <c r="O38" s="229"/>
      <c r="P38" s="98" t="s">
        <v>131</v>
      </c>
    </row>
    <row r="39" spans="1:16" ht="27" customHeight="1" x14ac:dyDescent="0.25">
      <c r="A39" s="104" t="s">
        <v>488</v>
      </c>
      <c r="B39" s="208" t="s">
        <v>453</v>
      </c>
      <c r="C39" s="209"/>
      <c r="D39" s="209"/>
      <c r="E39" s="209"/>
      <c r="F39" s="209"/>
      <c r="G39" s="210"/>
      <c r="H39" s="232" t="s">
        <v>454</v>
      </c>
      <c r="I39" s="232"/>
      <c r="J39" s="232"/>
      <c r="K39" s="232"/>
      <c r="L39" s="232" t="s">
        <v>454</v>
      </c>
      <c r="M39" s="232"/>
      <c r="N39" s="232"/>
      <c r="O39" s="232"/>
      <c r="P39" s="98" t="s">
        <v>131</v>
      </c>
    </row>
    <row r="40" spans="1:16" ht="27" customHeight="1" x14ac:dyDescent="0.25">
      <c r="A40" s="104" t="s">
        <v>489</v>
      </c>
      <c r="B40" s="220" t="s">
        <v>541</v>
      </c>
      <c r="C40" s="221"/>
      <c r="D40" s="221"/>
      <c r="E40" s="221"/>
      <c r="F40" s="221"/>
      <c r="G40" s="222"/>
      <c r="H40" s="227" t="s">
        <v>555</v>
      </c>
      <c r="I40" s="228"/>
      <c r="J40" s="228"/>
      <c r="K40" s="229"/>
      <c r="L40" s="227" t="s">
        <v>558</v>
      </c>
      <c r="M40" s="228"/>
      <c r="N40" s="228"/>
      <c r="O40" s="229"/>
      <c r="P40" s="98" t="s">
        <v>131</v>
      </c>
    </row>
    <row r="41" spans="1:16" ht="27" customHeight="1" x14ac:dyDescent="0.25">
      <c r="A41" s="104" t="s">
        <v>490</v>
      </c>
      <c r="B41" s="208" t="s">
        <v>578</v>
      </c>
      <c r="C41" s="209"/>
      <c r="D41" s="209"/>
      <c r="E41" s="209"/>
      <c r="F41" s="209"/>
      <c r="G41" s="210"/>
      <c r="H41" s="232" t="s">
        <v>454</v>
      </c>
      <c r="I41" s="232"/>
      <c r="J41" s="232"/>
      <c r="K41" s="232"/>
      <c r="L41" s="232" t="s">
        <v>454</v>
      </c>
      <c r="M41" s="232"/>
      <c r="N41" s="232"/>
      <c r="O41" s="232"/>
      <c r="P41" s="98" t="s">
        <v>131</v>
      </c>
    </row>
    <row r="42" spans="1:16" ht="27" customHeight="1" x14ac:dyDescent="0.25">
      <c r="A42" s="104" t="s">
        <v>491</v>
      </c>
      <c r="B42" s="220" t="s">
        <v>541</v>
      </c>
      <c r="C42" s="221"/>
      <c r="D42" s="221"/>
      <c r="E42" s="221"/>
      <c r="F42" s="221"/>
      <c r="G42" s="222"/>
      <c r="H42" s="227" t="s">
        <v>558</v>
      </c>
      <c r="I42" s="228"/>
      <c r="J42" s="228"/>
      <c r="K42" s="229"/>
      <c r="L42" s="227" t="s">
        <v>561</v>
      </c>
      <c r="M42" s="228"/>
      <c r="N42" s="228"/>
      <c r="O42" s="229"/>
      <c r="P42" s="98" t="s">
        <v>131</v>
      </c>
    </row>
    <row r="43" spans="1:16" ht="27" customHeight="1" x14ac:dyDescent="0.25">
      <c r="A43" s="104" t="s">
        <v>492</v>
      </c>
      <c r="B43" s="208" t="s">
        <v>579</v>
      </c>
      <c r="C43" s="209"/>
      <c r="D43" s="209"/>
      <c r="E43" s="209"/>
      <c r="F43" s="209"/>
      <c r="G43" s="210"/>
      <c r="H43" s="232" t="s">
        <v>454</v>
      </c>
      <c r="I43" s="232"/>
      <c r="J43" s="232"/>
      <c r="K43" s="232"/>
      <c r="L43" s="232" t="s">
        <v>454</v>
      </c>
      <c r="M43" s="232"/>
      <c r="N43" s="232"/>
      <c r="O43" s="232"/>
      <c r="P43" s="98" t="s">
        <v>131</v>
      </c>
    </row>
    <row r="44" spans="1:16" ht="27" customHeight="1" x14ac:dyDescent="0.25">
      <c r="A44" s="104" t="s">
        <v>493</v>
      </c>
      <c r="B44" s="220" t="s">
        <v>541</v>
      </c>
      <c r="C44" s="221"/>
      <c r="D44" s="221"/>
      <c r="E44" s="221"/>
      <c r="F44" s="221"/>
      <c r="G44" s="222"/>
      <c r="H44" s="227" t="s">
        <v>561</v>
      </c>
      <c r="I44" s="228"/>
      <c r="J44" s="228"/>
      <c r="K44" s="229"/>
      <c r="L44" s="227" t="s">
        <v>564</v>
      </c>
      <c r="M44" s="228"/>
      <c r="N44" s="228"/>
      <c r="O44" s="229"/>
      <c r="P44" s="98" t="s">
        <v>131</v>
      </c>
    </row>
    <row r="45" spans="1:16" ht="27" customHeight="1" x14ac:dyDescent="0.25">
      <c r="A45" s="104" t="s">
        <v>547</v>
      </c>
      <c r="B45" s="208" t="s">
        <v>580</v>
      </c>
      <c r="C45" s="209"/>
      <c r="D45" s="209"/>
      <c r="E45" s="209"/>
      <c r="F45" s="209"/>
      <c r="G45" s="210"/>
      <c r="H45" s="232" t="s">
        <v>454</v>
      </c>
      <c r="I45" s="232"/>
      <c r="J45" s="232"/>
      <c r="K45" s="232"/>
      <c r="L45" s="232" t="s">
        <v>454</v>
      </c>
      <c r="M45" s="232"/>
      <c r="N45" s="232"/>
      <c r="O45" s="232"/>
      <c r="P45" s="98" t="s">
        <v>131</v>
      </c>
    </row>
    <row r="46" spans="1:16" ht="27" customHeight="1" x14ac:dyDescent="0.25">
      <c r="A46" s="104" t="s">
        <v>548</v>
      </c>
      <c r="B46" s="220" t="s">
        <v>541</v>
      </c>
      <c r="C46" s="221"/>
      <c r="D46" s="221"/>
      <c r="E46" s="221"/>
      <c r="F46" s="221"/>
      <c r="G46" s="222"/>
      <c r="H46" s="227" t="s">
        <v>564</v>
      </c>
      <c r="I46" s="228"/>
      <c r="J46" s="228"/>
      <c r="K46" s="229"/>
      <c r="L46" s="227" t="s">
        <v>567</v>
      </c>
      <c r="M46" s="228"/>
      <c r="N46" s="228"/>
      <c r="O46" s="229"/>
      <c r="P46" s="98" t="s">
        <v>131</v>
      </c>
    </row>
    <row r="47" spans="1:16" ht="27" customHeight="1" x14ac:dyDescent="0.25">
      <c r="A47" s="104" t="s">
        <v>550</v>
      </c>
      <c r="B47" s="208" t="s">
        <v>581</v>
      </c>
      <c r="C47" s="209"/>
      <c r="D47" s="209"/>
      <c r="E47" s="209"/>
      <c r="F47" s="209"/>
      <c r="G47" s="210"/>
      <c r="H47" s="232" t="s">
        <v>454</v>
      </c>
      <c r="I47" s="232"/>
      <c r="J47" s="232"/>
      <c r="K47" s="232"/>
      <c r="L47" s="232" t="s">
        <v>454</v>
      </c>
      <c r="M47" s="232"/>
      <c r="N47" s="232"/>
      <c r="O47" s="232"/>
      <c r="P47" s="98" t="s">
        <v>131</v>
      </c>
    </row>
    <row r="48" spans="1:16" ht="27" customHeight="1" x14ac:dyDescent="0.25">
      <c r="A48" s="104" t="s">
        <v>551</v>
      </c>
      <c r="B48" s="220" t="s">
        <v>541</v>
      </c>
      <c r="C48" s="221"/>
      <c r="D48" s="221"/>
      <c r="E48" s="221"/>
      <c r="F48" s="221"/>
      <c r="G48" s="222"/>
      <c r="H48" s="227" t="s">
        <v>567</v>
      </c>
      <c r="I48" s="228"/>
      <c r="J48" s="228"/>
      <c r="K48" s="229"/>
      <c r="L48" s="227" t="s">
        <v>570</v>
      </c>
      <c r="M48" s="228"/>
      <c r="N48" s="228"/>
      <c r="O48" s="229"/>
      <c r="P48" s="98" t="s">
        <v>131</v>
      </c>
    </row>
    <row r="49" spans="1:16" ht="27" customHeight="1" x14ac:dyDescent="0.25">
      <c r="A49" s="104" t="s">
        <v>553</v>
      </c>
      <c r="B49" s="208" t="s">
        <v>582</v>
      </c>
      <c r="C49" s="209"/>
      <c r="D49" s="209"/>
      <c r="E49" s="209"/>
      <c r="F49" s="209"/>
      <c r="G49" s="210"/>
      <c r="H49" s="232" t="s">
        <v>454</v>
      </c>
      <c r="I49" s="232"/>
      <c r="J49" s="232"/>
      <c r="K49" s="232"/>
      <c r="L49" s="232" t="s">
        <v>454</v>
      </c>
      <c r="M49" s="232"/>
      <c r="N49" s="232"/>
      <c r="O49" s="232"/>
      <c r="P49" s="98" t="s">
        <v>131</v>
      </c>
    </row>
    <row r="50" spans="1:16" ht="27" customHeight="1" x14ac:dyDescent="0.25">
      <c r="A50" s="104" t="s">
        <v>554</v>
      </c>
      <c r="B50" s="220" t="s">
        <v>541</v>
      </c>
      <c r="C50" s="221"/>
      <c r="D50" s="221"/>
      <c r="E50" s="221"/>
      <c r="F50" s="221"/>
      <c r="G50" s="222"/>
      <c r="H50" s="227" t="s">
        <v>570</v>
      </c>
      <c r="I50" s="228"/>
      <c r="J50" s="228"/>
      <c r="K50" s="229"/>
      <c r="L50" s="227" t="s">
        <v>573</v>
      </c>
      <c r="M50" s="228"/>
      <c r="N50" s="228"/>
      <c r="O50" s="229"/>
      <c r="P50" s="98" t="s">
        <v>131</v>
      </c>
    </row>
    <row r="51" spans="1:16" ht="27" customHeight="1" x14ac:dyDescent="0.25">
      <c r="A51" s="104" t="s">
        <v>556</v>
      </c>
      <c r="B51" s="208" t="s">
        <v>583</v>
      </c>
      <c r="C51" s="209"/>
      <c r="D51" s="209"/>
      <c r="E51" s="209"/>
      <c r="F51" s="209"/>
      <c r="G51" s="210"/>
      <c r="H51" s="232" t="s">
        <v>454</v>
      </c>
      <c r="I51" s="232"/>
      <c r="J51" s="232"/>
      <c r="K51" s="232"/>
      <c r="L51" s="232" t="s">
        <v>454</v>
      </c>
      <c r="M51" s="232"/>
      <c r="N51" s="232"/>
      <c r="O51" s="232"/>
      <c r="P51" s="98" t="s">
        <v>131</v>
      </c>
    </row>
    <row r="52" spans="1:16" ht="27" customHeight="1" x14ac:dyDescent="0.25">
      <c r="A52" s="104" t="s">
        <v>557</v>
      </c>
      <c r="B52" s="220" t="s">
        <v>541</v>
      </c>
      <c r="C52" s="221"/>
      <c r="D52" s="221"/>
      <c r="E52" s="221"/>
      <c r="F52" s="221"/>
      <c r="G52" s="222"/>
      <c r="H52" s="227" t="s">
        <v>573</v>
      </c>
      <c r="I52" s="228"/>
      <c r="J52" s="228"/>
      <c r="K52" s="229"/>
      <c r="L52" s="227" t="s">
        <v>585</v>
      </c>
      <c r="M52" s="228"/>
      <c r="N52" s="228"/>
      <c r="O52" s="229"/>
      <c r="P52" s="98" t="s">
        <v>131</v>
      </c>
    </row>
    <row r="53" spans="1:16" ht="27" customHeight="1" x14ac:dyDescent="0.25">
      <c r="A53" s="104" t="s">
        <v>559</v>
      </c>
      <c r="B53" s="208" t="s">
        <v>584</v>
      </c>
      <c r="C53" s="209"/>
      <c r="D53" s="209"/>
      <c r="E53" s="209"/>
      <c r="F53" s="209"/>
      <c r="G53" s="210"/>
      <c r="H53" s="232" t="s">
        <v>454</v>
      </c>
      <c r="I53" s="232"/>
      <c r="J53" s="232"/>
      <c r="K53" s="232"/>
      <c r="L53" s="232" t="s">
        <v>454</v>
      </c>
      <c r="M53" s="232"/>
      <c r="N53" s="232"/>
      <c r="O53" s="232"/>
      <c r="P53" s="98" t="s">
        <v>131</v>
      </c>
    </row>
    <row r="54" spans="1:16" ht="27" customHeight="1" x14ac:dyDescent="0.25">
      <c r="A54" s="104" t="s">
        <v>560</v>
      </c>
      <c r="B54" s="220" t="s">
        <v>541</v>
      </c>
      <c r="C54" s="221"/>
      <c r="D54" s="221"/>
      <c r="E54" s="221"/>
      <c r="F54" s="221"/>
      <c r="G54" s="222"/>
      <c r="H54" s="227" t="s">
        <v>585</v>
      </c>
      <c r="I54" s="228"/>
      <c r="J54" s="228"/>
      <c r="K54" s="229"/>
      <c r="L54" s="227" t="s">
        <v>588</v>
      </c>
      <c r="M54" s="228"/>
      <c r="N54" s="228"/>
      <c r="O54" s="229"/>
      <c r="P54" s="98" t="s">
        <v>131</v>
      </c>
    </row>
    <row r="55" spans="1:16" ht="27" customHeight="1" x14ac:dyDescent="0.25">
      <c r="A55" s="104" t="s">
        <v>562</v>
      </c>
      <c r="B55" s="208" t="s">
        <v>586</v>
      </c>
      <c r="C55" s="209"/>
      <c r="D55" s="209"/>
      <c r="E55" s="209"/>
      <c r="F55" s="209"/>
      <c r="G55" s="210"/>
      <c r="H55" s="232" t="s">
        <v>454</v>
      </c>
      <c r="I55" s="232"/>
      <c r="J55" s="232"/>
      <c r="K55" s="232"/>
      <c r="L55" s="232" t="s">
        <v>454</v>
      </c>
      <c r="M55" s="232"/>
      <c r="N55" s="232"/>
      <c r="O55" s="232"/>
      <c r="P55" s="98" t="s">
        <v>131</v>
      </c>
    </row>
    <row r="56" spans="1:16" ht="27" customHeight="1" x14ac:dyDescent="0.25">
      <c r="A56" s="104" t="s">
        <v>563</v>
      </c>
      <c r="B56" s="220" t="s">
        <v>541</v>
      </c>
      <c r="C56" s="221"/>
      <c r="D56" s="221"/>
      <c r="E56" s="221"/>
      <c r="F56" s="221"/>
      <c r="G56" s="222"/>
      <c r="H56" s="227" t="s">
        <v>588</v>
      </c>
      <c r="I56" s="228"/>
      <c r="J56" s="228"/>
      <c r="K56" s="229"/>
      <c r="L56" s="227" t="s">
        <v>589</v>
      </c>
      <c r="M56" s="228"/>
      <c r="N56" s="228"/>
      <c r="O56" s="229"/>
      <c r="P56" s="98" t="s">
        <v>131</v>
      </c>
    </row>
    <row r="57" spans="1:16" ht="27" customHeight="1" x14ac:dyDescent="0.25">
      <c r="A57" s="104" t="s">
        <v>565</v>
      </c>
      <c r="B57" s="208" t="s">
        <v>587</v>
      </c>
      <c r="C57" s="209"/>
      <c r="D57" s="209"/>
      <c r="E57" s="209"/>
      <c r="F57" s="209"/>
      <c r="G57" s="210"/>
      <c r="H57" s="232" t="s">
        <v>454</v>
      </c>
      <c r="I57" s="232"/>
      <c r="J57" s="232"/>
      <c r="K57" s="232"/>
      <c r="L57" s="232" t="s">
        <v>454</v>
      </c>
      <c r="M57" s="232"/>
      <c r="N57" s="232"/>
      <c r="O57" s="232"/>
      <c r="P57" s="98" t="s">
        <v>131</v>
      </c>
    </row>
    <row r="58" spans="1:16" ht="27" customHeight="1" x14ac:dyDescent="0.25">
      <c r="A58" s="104" t="s">
        <v>566</v>
      </c>
      <c r="B58" s="220" t="s">
        <v>541</v>
      </c>
      <c r="C58" s="221"/>
      <c r="D58" s="221"/>
      <c r="E58" s="221"/>
      <c r="F58" s="221"/>
      <c r="G58" s="222"/>
      <c r="H58" s="227" t="s">
        <v>589</v>
      </c>
      <c r="I58" s="228"/>
      <c r="J58" s="228"/>
      <c r="K58" s="229"/>
      <c r="L58" s="227" t="s">
        <v>590</v>
      </c>
      <c r="M58" s="228"/>
      <c r="N58" s="228"/>
      <c r="O58" s="229"/>
      <c r="P58" s="98" t="s">
        <v>131</v>
      </c>
    </row>
    <row r="59" spans="1:16" ht="27" customHeight="1" x14ac:dyDescent="0.25">
      <c r="A59" s="104" t="s">
        <v>568</v>
      </c>
      <c r="B59" s="208" t="s">
        <v>596</v>
      </c>
      <c r="C59" s="209"/>
      <c r="D59" s="209"/>
      <c r="E59" s="209"/>
      <c r="F59" s="209"/>
      <c r="G59" s="210"/>
      <c r="H59" s="232" t="s">
        <v>454</v>
      </c>
      <c r="I59" s="232"/>
      <c r="J59" s="232"/>
      <c r="K59" s="232"/>
      <c r="L59" s="232" t="s">
        <v>454</v>
      </c>
      <c r="M59" s="232"/>
      <c r="N59" s="232"/>
      <c r="O59" s="232"/>
      <c r="P59" s="98" t="s">
        <v>131</v>
      </c>
    </row>
    <row r="60" spans="1:16" ht="27" customHeight="1" x14ac:dyDescent="0.25">
      <c r="A60" s="104" t="s">
        <v>569</v>
      </c>
      <c r="B60" s="220" t="s">
        <v>541</v>
      </c>
      <c r="C60" s="221"/>
      <c r="D60" s="221"/>
      <c r="E60" s="221"/>
      <c r="F60" s="221"/>
      <c r="G60" s="222"/>
      <c r="H60" s="227" t="s">
        <v>590</v>
      </c>
      <c r="I60" s="228"/>
      <c r="J60" s="228"/>
      <c r="K60" s="229"/>
      <c r="L60" s="227" t="s">
        <v>591</v>
      </c>
      <c r="M60" s="228"/>
      <c r="N60" s="228"/>
      <c r="O60" s="229"/>
      <c r="P60" s="98" t="s">
        <v>131</v>
      </c>
    </row>
    <row r="61" spans="1:16" ht="27" customHeight="1" x14ac:dyDescent="0.25">
      <c r="A61" s="104" t="s">
        <v>571</v>
      </c>
      <c r="B61" s="208" t="s">
        <v>597</v>
      </c>
      <c r="C61" s="209"/>
      <c r="D61" s="209"/>
      <c r="E61" s="209"/>
      <c r="F61" s="209"/>
      <c r="G61" s="210"/>
      <c r="H61" s="232" t="s">
        <v>454</v>
      </c>
      <c r="I61" s="232"/>
      <c r="J61" s="232"/>
      <c r="K61" s="232"/>
      <c r="L61" s="232" t="s">
        <v>454</v>
      </c>
      <c r="M61" s="232"/>
      <c r="N61" s="232"/>
      <c r="O61" s="232"/>
      <c r="P61" s="98" t="s">
        <v>131</v>
      </c>
    </row>
    <row r="62" spans="1:16" ht="25.5" customHeight="1" x14ac:dyDescent="0.25">
      <c r="A62" s="104" t="s">
        <v>572</v>
      </c>
      <c r="B62" s="220" t="s">
        <v>541</v>
      </c>
      <c r="C62" s="221"/>
      <c r="D62" s="221"/>
      <c r="E62" s="221"/>
      <c r="F62" s="221"/>
      <c r="G62" s="222"/>
      <c r="H62" s="227" t="s">
        <v>591</v>
      </c>
      <c r="I62" s="228"/>
      <c r="J62" s="228"/>
      <c r="K62" s="229"/>
      <c r="L62" s="227" t="s">
        <v>594</v>
      </c>
      <c r="M62" s="228"/>
      <c r="N62" s="228"/>
      <c r="O62" s="229"/>
      <c r="P62" s="98" t="s">
        <v>131</v>
      </c>
    </row>
    <row r="63" spans="1:16" ht="25.5" customHeight="1" x14ac:dyDescent="0.25">
      <c r="A63" s="104" t="s">
        <v>592</v>
      </c>
      <c r="B63" s="208" t="s">
        <v>598</v>
      </c>
      <c r="C63" s="209"/>
      <c r="D63" s="209"/>
      <c r="E63" s="209"/>
      <c r="F63" s="209"/>
      <c r="G63" s="210"/>
      <c r="H63" s="232" t="s">
        <v>454</v>
      </c>
      <c r="I63" s="232"/>
      <c r="J63" s="232"/>
      <c r="K63" s="232"/>
      <c r="L63" s="232" t="s">
        <v>454</v>
      </c>
      <c r="M63" s="232"/>
      <c r="N63" s="232"/>
      <c r="O63" s="232"/>
      <c r="P63" s="98" t="s">
        <v>131</v>
      </c>
    </row>
    <row r="64" spans="1:16" ht="25.5" customHeight="1" x14ac:dyDescent="0.25">
      <c r="A64" s="104" t="s">
        <v>593</v>
      </c>
      <c r="B64" s="220" t="s">
        <v>541</v>
      </c>
      <c r="C64" s="221"/>
      <c r="D64" s="221"/>
      <c r="E64" s="221"/>
      <c r="F64" s="221"/>
      <c r="G64" s="222"/>
      <c r="H64" s="227" t="s">
        <v>594</v>
      </c>
      <c r="I64" s="228"/>
      <c r="J64" s="228"/>
      <c r="K64" s="229"/>
      <c r="L64" s="227" t="s">
        <v>595</v>
      </c>
      <c r="M64" s="228"/>
      <c r="N64" s="228"/>
      <c r="O64" s="229"/>
      <c r="P64" s="98" t="s">
        <v>131</v>
      </c>
    </row>
  </sheetData>
  <mergeCells count="139">
    <mergeCell ref="B1:G1"/>
    <mergeCell ref="B3:G3"/>
    <mergeCell ref="B7:G7"/>
    <mergeCell ref="A11:A14"/>
    <mergeCell ref="B11:G14"/>
    <mergeCell ref="A16:A19"/>
    <mergeCell ref="B16:G19"/>
    <mergeCell ref="B23:G23"/>
    <mergeCell ref="H23:K23"/>
    <mergeCell ref="L23:O23"/>
    <mergeCell ref="B24:G24"/>
    <mergeCell ref="H24:K24"/>
    <mergeCell ref="L24:O24"/>
    <mergeCell ref="A21:G21"/>
    <mergeCell ref="H21:K21"/>
    <mergeCell ref="L21:O21"/>
    <mergeCell ref="B22:G22"/>
    <mergeCell ref="H22:K22"/>
    <mergeCell ref="L22:O22"/>
    <mergeCell ref="B27:G27"/>
    <mergeCell ref="H27:K27"/>
    <mergeCell ref="L27:O27"/>
    <mergeCell ref="B28:G28"/>
    <mergeCell ref="H28:K28"/>
    <mergeCell ref="L28:O28"/>
    <mergeCell ref="B25:G25"/>
    <mergeCell ref="H25:K25"/>
    <mergeCell ref="L25:O25"/>
    <mergeCell ref="B26:G26"/>
    <mergeCell ref="H26:K26"/>
    <mergeCell ref="L26:O26"/>
    <mergeCell ref="B31:G31"/>
    <mergeCell ref="H31:K31"/>
    <mergeCell ref="L31:O31"/>
    <mergeCell ref="B32:G32"/>
    <mergeCell ref="H32:K32"/>
    <mergeCell ref="L32:O32"/>
    <mergeCell ref="B29:G29"/>
    <mergeCell ref="H29:K29"/>
    <mergeCell ref="L29:O29"/>
    <mergeCell ref="B30:G30"/>
    <mergeCell ref="H30:K30"/>
    <mergeCell ref="L30:O30"/>
    <mergeCell ref="B35:G35"/>
    <mergeCell ref="H35:K35"/>
    <mergeCell ref="L35:O35"/>
    <mergeCell ref="B36:G36"/>
    <mergeCell ref="H36:K36"/>
    <mergeCell ref="L36:O36"/>
    <mergeCell ref="B33:G33"/>
    <mergeCell ref="H33:K33"/>
    <mergeCell ref="L33:O33"/>
    <mergeCell ref="B34:G34"/>
    <mergeCell ref="H34:K34"/>
    <mergeCell ref="L34:O34"/>
    <mergeCell ref="B39:G39"/>
    <mergeCell ref="H39:K39"/>
    <mergeCell ref="L39:O39"/>
    <mergeCell ref="B40:G40"/>
    <mergeCell ref="H40:K40"/>
    <mergeCell ref="L40:O40"/>
    <mergeCell ref="B37:G37"/>
    <mergeCell ref="H37:K37"/>
    <mergeCell ref="L37:O37"/>
    <mergeCell ref="B38:G38"/>
    <mergeCell ref="H38:K38"/>
    <mergeCell ref="L38:O38"/>
    <mergeCell ref="B43:G43"/>
    <mergeCell ref="H43:K43"/>
    <mergeCell ref="L43:O43"/>
    <mergeCell ref="B44:G44"/>
    <mergeCell ref="H44:K44"/>
    <mergeCell ref="L44:O44"/>
    <mergeCell ref="B41:G41"/>
    <mergeCell ref="H41:K41"/>
    <mergeCell ref="L41:O41"/>
    <mergeCell ref="B42:G42"/>
    <mergeCell ref="H42:K42"/>
    <mergeCell ref="L42:O42"/>
    <mergeCell ref="B47:G47"/>
    <mergeCell ref="H47:K47"/>
    <mergeCell ref="L47:O47"/>
    <mergeCell ref="B48:G48"/>
    <mergeCell ref="H48:K48"/>
    <mergeCell ref="L48:O48"/>
    <mergeCell ref="B45:G45"/>
    <mergeCell ref="H45:K45"/>
    <mergeCell ref="L45:O45"/>
    <mergeCell ref="B46:G46"/>
    <mergeCell ref="H46:K46"/>
    <mergeCell ref="L46:O46"/>
    <mergeCell ref="B51:G51"/>
    <mergeCell ref="H51:K51"/>
    <mergeCell ref="L51:O51"/>
    <mergeCell ref="B52:G52"/>
    <mergeCell ref="H52:K52"/>
    <mergeCell ref="L52:O52"/>
    <mergeCell ref="B49:G49"/>
    <mergeCell ref="H49:K49"/>
    <mergeCell ref="L49:O49"/>
    <mergeCell ref="B50:G50"/>
    <mergeCell ref="H50:K50"/>
    <mergeCell ref="L50:O50"/>
    <mergeCell ref="B55:G55"/>
    <mergeCell ref="H55:K55"/>
    <mergeCell ref="L55:O55"/>
    <mergeCell ref="B56:G56"/>
    <mergeCell ref="H56:K56"/>
    <mergeCell ref="L56:O56"/>
    <mergeCell ref="B53:G53"/>
    <mergeCell ref="H53:K53"/>
    <mergeCell ref="L53:O53"/>
    <mergeCell ref="B54:G54"/>
    <mergeCell ref="H54:K54"/>
    <mergeCell ref="L54:O54"/>
    <mergeCell ref="B59:G59"/>
    <mergeCell ref="H59:K59"/>
    <mergeCell ref="L59:O59"/>
    <mergeCell ref="B60:G60"/>
    <mergeCell ref="H60:K60"/>
    <mergeCell ref="L60:O60"/>
    <mergeCell ref="B57:G57"/>
    <mergeCell ref="H57:K57"/>
    <mergeCell ref="L57:O57"/>
    <mergeCell ref="B58:G58"/>
    <mergeCell ref="H58:K58"/>
    <mergeCell ref="L58:O58"/>
    <mergeCell ref="B63:G63"/>
    <mergeCell ref="H63:K63"/>
    <mergeCell ref="L63:O63"/>
    <mergeCell ref="B64:G64"/>
    <mergeCell ref="H64:K64"/>
    <mergeCell ref="L64:O64"/>
    <mergeCell ref="B61:G61"/>
    <mergeCell ref="H61:K61"/>
    <mergeCell ref="L61:O61"/>
    <mergeCell ref="B62:G62"/>
    <mergeCell ref="H62:K62"/>
    <mergeCell ref="L62:O62"/>
  </mergeCells>
  <phoneticPr fontId="3" type="noConversion"/>
  <conditionalFormatting sqref="B10">
    <cfRule type="cellIs" dxfId="91" priority="31" operator="equal">
      <formula>"Nok"</formula>
    </cfRule>
    <cfRule type="cellIs" dxfId="90" priority="32" operator="equal">
      <formula>"Ok"</formula>
    </cfRule>
  </conditionalFormatting>
  <conditionalFormatting sqref="B9">
    <cfRule type="cellIs" dxfId="89" priority="29" operator="equal">
      <formula>"Nok"</formula>
    </cfRule>
    <cfRule type="cellIs" dxfId="88" priority="30" operator="equal">
      <formula>"Ok"</formula>
    </cfRule>
  </conditionalFormatting>
  <conditionalFormatting sqref="P22:P64">
    <cfRule type="cellIs" dxfId="87" priority="25" operator="equal">
      <formula>"Nok"</formula>
    </cfRule>
    <cfRule type="cellIs" dxfId="86" priority="26" operator="equal">
      <formula>"Ok"</formula>
    </cfRule>
  </conditionalFormatting>
  <dataValidations count="2">
    <dataValidation type="list" allowBlank="1" showInputMessage="1" showErrorMessage="1" sqref="B9 P22:P64" xr:uid="{AC0B5D6D-1430-486F-9B93-C33DBA2DA81D}">
      <formula1>"Ok, Nok, Not run, ,"</formula1>
    </dataValidation>
    <dataValidation type="list" allowBlank="1" showInputMessage="1" showErrorMessage="1" sqref="B5" xr:uid="{CB962DB3-08BE-4027-B72B-C32637C3F34E}">
      <formula1>"Nominal, Robustness, Endurance, Qualification"</formula1>
    </dataValidation>
  </dataValidations>
  <pageMargins left="0.7" right="0.7" top="0.75" bottom="0.75" header="0.3" footer="0.3"/>
  <pageSetup paperSize="9" orientation="portrait" r:id="rId1"/>
  <headerFooter>
    <oddFooter>&amp;LNA ver 2&amp;R&amp;P</oddFooter>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9C309-BF35-47AE-B50A-0183B1C1BBAD}">
  <sheetPr codeName="Sheet32"/>
  <dimension ref="A1:P40"/>
  <sheetViews>
    <sheetView workbookViewId="0">
      <selection activeCell="B23" sqref="B23:G23"/>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433</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434</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437</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5.75" customHeight="1" x14ac:dyDescent="0.25">
      <c r="A22" s="104" t="s">
        <v>49</v>
      </c>
      <c r="B22" s="208" t="s">
        <v>151</v>
      </c>
      <c r="C22" s="209"/>
      <c r="D22" s="209"/>
      <c r="E22" s="209"/>
      <c r="F22" s="209"/>
      <c r="G22" s="210"/>
      <c r="H22" s="196"/>
      <c r="I22" s="197"/>
      <c r="J22" s="197"/>
      <c r="K22" s="198"/>
      <c r="L22" s="196"/>
      <c r="M22" s="197"/>
      <c r="N22" s="197"/>
      <c r="O22" s="198"/>
      <c r="P22" s="98"/>
    </row>
    <row r="23" spans="1:16" ht="45.75" customHeight="1" x14ac:dyDescent="0.25">
      <c r="A23" s="104" t="s">
        <v>50</v>
      </c>
      <c r="B23" s="208" t="s">
        <v>535</v>
      </c>
      <c r="C23" s="209"/>
      <c r="D23" s="209"/>
      <c r="E23" s="209"/>
      <c r="F23" s="209"/>
      <c r="G23" s="210"/>
      <c r="H23" s="196" t="s">
        <v>454</v>
      </c>
      <c r="I23" s="197"/>
      <c r="J23" s="197"/>
      <c r="K23" s="198"/>
      <c r="L23" s="196" t="s">
        <v>454</v>
      </c>
      <c r="M23" s="197"/>
      <c r="N23" s="197"/>
      <c r="O23" s="198"/>
      <c r="P23" s="98" t="s">
        <v>131</v>
      </c>
    </row>
    <row r="24" spans="1:16" ht="45.75" customHeight="1" x14ac:dyDescent="0.25">
      <c r="A24" s="104" t="s">
        <v>51</v>
      </c>
      <c r="B24" s="208" t="s">
        <v>524</v>
      </c>
      <c r="C24" s="209"/>
      <c r="D24" s="209"/>
      <c r="E24" s="209"/>
      <c r="F24" s="209"/>
      <c r="G24" s="210"/>
      <c r="H24" s="199" t="s">
        <v>455</v>
      </c>
      <c r="I24" s="199"/>
      <c r="J24" s="199"/>
      <c r="K24" s="199"/>
      <c r="L24" s="199" t="s">
        <v>455</v>
      </c>
      <c r="M24" s="199"/>
      <c r="N24" s="199"/>
      <c r="O24" s="199"/>
      <c r="P24" s="98" t="s">
        <v>131</v>
      </c>
    </row>
    <row r="25" spans="1:16" ht="45.75" customHeight="1" x14ac:dyDescent="0.25">
      <c r="A25" s="104" t="s">
        <v>52</v>
      </c>
      <c r="B25" s="208" t="s">
        <v>452</v>
      </c>
      <c r="C25" s="209"/>
      <c r="D25" s="209"/>
      <c r="E25" s="209"/>
      <c r="F25" s="209"/>
      <c r="G25" s="210"/>
      <c r="H25" s="199" t="s">
        <v>525</v>
      </c>
      <c r="I25" s="199"/>
      <c r="J25" s="199"/>
      <c r="K25" s="199"/>
      <c r="L25" s="199" t="s">
        <v>525</v>
      </c>
      <c r="M25" s="199"/>
      <c r="N25" s="199"/>
      <c r="O25" s="199"/>
      <c r="P25" s="98" t="s">
        <v>131</v>
      </c>
    </row>
    <row r="26" spans="1:16" ht="45.75" customHeight="1" x14ac:dyDescent="0.25">
      <c r="A26" s="104" t="s">
        <v>53</v>
      </c>
      <c r="B26" s="220" t="s">
        <v>457</v>
      </c>
      <c r="C26" s="221"/>
      <c r="D26" s="221"/>
      <c r="E26" s="221"/>
      <c r="F26" s="221"/>
      <c r="G26" s="222"/>
      <c r="H26" s="227"/>
      <c r="I26" s="228"/>
      <c r="J26" s="228"/>
      <c r="K26" s="229"/>
      <c r="L26" s="227"/>
      <c r="M26" s="228"/>
      <c r="N26" s="228"/>
      <c r="O26" s="229"/>
      <c r="P26" s="98"/>
    </row>
    <row r="27" spans="1:16" ht="45.75" customHeight="1" x14ac:dyDescent="0.25">
      <c r="A27" s="104" t="s">
        <v>54</v>
      </c>
      <c r="B27" s="208" t="s">
        <v>527</v>
      </c>
      <c r="C27" s="209"/>
      <c r="D27" s="209"/>
      <c r="E27" s="209"/>
      <c r="F27" s="209"/>
      <c r="G27" s="210"/>
      <c r="H27" s="199" t="s">
        <v>455</v>
      </c>
      <c r="I27" s="199"/>
      <c r="J27" s="199"/>
      <c r="K27" s="199"/>
      <c r="L27" s="199" t="s">
        <v>455</v>
      </c>
      <c r="M27" s="199"/>
      <c r="N27" s="199"/>
      <c r="O27" s="199"/>
      <c r="P27" s="98" t="s">
        <v>131</v>
      </c>
    </row>
    <row r="28" spans="1:16" ht="45.75" customHeight="1" x14ac:dyDescent="0.25">
      <c r="A28" s="104" t="s">
        <v>55</v>
      </c>
      <c r="B28" s="208" t="s">
        <v>452</v>
      </c>
      <c r="C28" s="209"/>
      <c r="D28" s="209"/>
      <c r="E28" s="209"/>
      <c r="F28" s="209"/>
      <c r="G28" s="210"/>
      <c r="H28" s="199" t="s">
        <v>526</v>
      </c>
      <c r="I28" s="199"/>
      <c r="J28" s="199"/>
      <c r="K28" s="199"/>
      <c r="L28" s="199" t="s">
        <v>526</v>
      </c>
      <c r="M28" s="199"/>
      <c r="N28" s="199"/>
      <c r="O28" s="199"/>
      <c r="P28" s="98" t="s">
        <v>131</v>
      </c>
    </row>
    <row r="29" spans="1:16" ht="45.75" customHeight="1" x14ac:dyDescent="0.25">
      <c r="A29" s="104" t="s">
        <v>419</v>
      </c>
      <c r="B29" s="220" t="s">
        <v>457</v>
      </c>
      <c r="C29" s="221"/>
      <c r="D29" s="221"/>
      <c r="E29" s="221"/>
      <c r="F29" s="221"/>
      <c r="G29" s="222"/>
      <c r="H29" s="227"/>
      <c r="I29" s="228"/>
      <c r="J29" s="228"/>
      <c r="K29" s="229"/>
      <c r="L29" s="227"/>
      <c r="M29" s="228"/>
      <c r="N29" s="228"/>
      <c r="O29" s="229"/>
      <c r="P29" s="98"/>
    </row>
    <row r="30" spans="1:16" ht="45.75" customHeight="1" x14ac:dyDescent="0.25">
      <c r="A30" s="104" t="s">
        <v>420</v>
      </c>
      <c r="B30" s="208" t="s">
        <v>528</v>
      </c>
      <c r="C30" s="209"/>
      <c r="D30" s="209"/>
      <c r="E30" s="209"/>
      <c r="F30" s="209"/>
      <c r="G30" s="210"/>
      <c r="H30" s="199" t="s">
        <v>455</v>
      </c>
      <c r="I30" s="199"/>
      <c r="J30" s="199"/>
      <c r="K30" s="199"/>
      <c r="L30" s="199" t="s">
        <v>455</v>
      </c>
      <c r="M30" s="199"/>
      <c r="N30" s="199"/>
      <c r="O30" s="199"/>
      <c r="P30" s="98" t="s">
        <v>131</v>
      </c>
    </row>
    <row r="31" spans="1:16" ht="45.75" customHeight="1" x14ac:dyDescent="0.25">
      <c r="A31" s="104" t="s">
        <v>421</v>
      </c>
      <c r="B31" s="208" t="s">
        <v>452</v>
      </c>
      <c r="C31" s="209"/>
      <c r="D31" s="209"/>
      <c r="E31" s="209"/>
      <c r="F31" s="209"/>
      <c r="G31" s="210"/>
      <c r="H31" s="199" t="s">
        <v>529</v>
      </c>
      <c r="I31" s="199"/>
      <c r="J31" s="199"/>
      <c r="K31" s="199"/>
      <c r="L31" s="199" t="s">
        <v>529</v>
      </c>
      <c r="M31" s="199"/>
      <c r="N31" s="199"/>
      <c r="O31" s="199"/>
      <c r="P31" s="98" t="s">
        <v>131</v>
      </c>
    </row>
    <row r="32" spans="1:16" ht="45.75" customHeight="1" x14ac:dyDescent="0.25">
      <c r="A32" s="104" t="s">
        <v>422</v>
      </c>
      <c r="B32" s="220" t="s">
        <v>457</v>
      </c>
      <c r="C32" s="221"/>
      <c r="D32" s="221"/>
      <c r="E32" s="221"/>
      <c r="F32" s="221"/>
      <c r="G32" s="222"/>
      <c r="H32" s="227"/>
      <c r="I32" s="228"/>
      <c r="J32" s="228"/>
      <c r="K32" s="229"/>
      <c r="L32" s="227"/>
      <c r="M32" s="228"/>
      <c r="N32" s="228"/>
      <c r="O32" s="229"/>
      <c r="P32" s="98"/>
    </row>
    <row r="33" spans="1:16" ht="45.75" customHeight="1" x14ac:dyDescent="0.25">
      <c r="A33" s="104" t="s">
        <v>423</v>
      </c>
      <c r="B33" s="208" t="s">
        <v>530</v>
      </c>
      <c r="C33" s="209"/>
      <c r="D33" s="209"/>
      <c r="E33" s="209"/>
      <c r="F33" s="209"/>
      <c r="G33" s="210"/>
      <c r="H33" s="199" t="s">
        <v>455</v>
      </c>
      <c r="I33" s="199"/>
      <c r="J33" s="199"/>
      <c r="K33" s="199"/>
      <c r="L33" s="199" t="s">
        <v>455</v>
      </c>
      <c r="M33" s="199"/>
      <c r="N33" s="199"/>
      <c r="O33" s="199"/>
      <c r="P33" s="98" t="s">
        <v>131</v>
      </c>
    </row>
    <row r="34" spans="1:16" ht="45.75" customHeight="1" x14ac:dyDescent="0.25">
      <c r="A34" s="104" t="s">
        <v>424</v>
      </c>
      <c r="B34" s="208" t="s">
        <v>452</v>
      </c>
      <c r="C34" s="209"/>
      <c r="D34" s="209"/>
      <c r="E34" s="209"/>
      <c r="F34" s="209"/>
      <c r="G34" s="210"/>
      <c r="H34" s="199" t="s">
        <v>531</v>
      </c>
      <c r="I34" s="199"/>
      <c r="J34" s="199"/>
      <c r="K34" s="199"/>
      <c r="L34" s="199" t="s">
        <v>531</v>
      </c>
      <c r="M34" s="199"/>
      <c r="N34" s="199"/>
      <c r="O34" s="199"/>
      <c r="P34" s="98" t="s">
        <v>131</v>
      </c>
    </row>
    <row r="35" spans="1:16" ht="45.75" customHeight="1" x14ac:dyDescent="0.25">
      <c r="A35" s="104" t="s">
        <v>425</v>
      </c>
      <c r="B35" s="220" t="s">
        <v>457</v>
      </c>
      <c r="C35" s="221"/>
      <c r="D35" s="221"/>
      <c r="E35" s="221"/>
      <c r="F35" s="221"/>
      <c r="G35" s="222"/>
      <c r="H35" s="227"/>
      <c r="I35" s="228"/>
      <c r="J35" s="228"/>
      <c r="K35" s="229"/>
      <c r="L35" s="227"/>
      <c r="M35" s="228"/>
      <c r="N35" s="228"/>
      <c r="O35" s="229"/>
      <c r="P35" s="98"/>
    </row>
    <row r="36" spans="1:16" ht="45.75" customHeight="1" x14ac:dyDescent="0.25">
      <c r="A36" s="104" t="s">
        <v>426</v>
      </c>
      <c r="B36" s="208" t="s">
        <v>533</v>
      </c>
      <c r="C36" s="209"/>
      <c r="D36" s="209"/>
      <c r="E36" s="209"/>
      <c r="F36" s="209"/>
      <c r="G36" s="210"/>
      <c r="H36" s="199" t="s">
        <v>455</v>
      </c>
      <c r="I36" s="199"/>
      <c r="J36" s="199"/>
      <c r="K36" s="199"/>
      <c r="L36" s="199" t="s">
        <v>455</v>
      </c>
      <c r="M36" s="199"/>
      <c r="N36" s="199"/>
      <c r="O36" s="199"/>
      <c r="P36" s="98" t="s">
        <v>131</v>
      </c>
    </row>
    <row r="37" spans="1:16" ht="45.75" customHeight="1" x14ac:dyDescent="0.25">
      <c r="A37" s="104" t="s">
        <v>486</v>
      </c>
      <c r="B37" s="208" t="s">
        <v>452</v>
      </c>
      <c r="C37" s="209"/>
      <c r="D37" s="209"/>
      <c r="E37" s="209"/>
      <c r="F37" s="209"/>
      <c r="G37" s="210"/>
      <c r="H37" s="199" t="s">
        <v>532</v>
      </c>
      <c r="I37" s="199"/>
      <c r="J37" s="199"/>
      <c r="K37" s="199"/>
      <c r="L37" s="199" t="s">
        <v>532</v>
      </c>
      <c r="M37" s="199"/>
      <c r="N37" s="199"/>
      <c r="O37" s="199"/>
      <c r="P37" s="98" t="s">
        <v>131</v>
      </c>
    </row>
    <row r="38" spans="1:16" ht="45.75" customHeight="1" x14ac:dyDescent="0.25">
      <c r="A38" s="104" t="s">
        <v>487</v>
      </c>
      <c r="B38" s="220" t="s">
        <v>457</v>
      </c>
      <c r="C38" s="221"/>
      <c r="D38" s="221"/>
      <c r="E38" s="221"/>
      <c r="F38" s="221"/>
      <c r="G38" s="222"/>
      <c r="H38" s="227"/>
      <c r="I38" s="228"/>
      <c r="J38" s="228"/>
      <c r="K38" s="229"/>
      <c r="L38" s="227"/>
      <c r="M38" s="228"/>
      <c r="N38" s="228"/>
      <c r="O38" s="229"/>
      <c r="P38" s="98"/>
    </row>
    <row r="39" spans="1:16" ht="45.75" customHeight="1" x14ac:dyDescent="0.25">
      <c r="A39" s="104" t="s">
        <v>488</v>
      </c>
      <c r="B39" s="208" t="s">
        <v>483</v>
      </c>
      <c r="C39" s="209"/>
      <c r="D39" s="209"/>
      <c r="E39" s="209"/>
      <c r="F39" s="209"/>
      <c r="G39" s="210"/>
      <c r="H39" s="199" t="s">
        <v>455</v>
      </c>
      <c r="I39" s="199"/>
      <c r="J39" s="199"/>
      <c r="K39" s="199"/>
      <c r="L39" s="199" t="s">
        <v>455</v>
      </c>
      <c r="M39" s="199"/>
      <c r="N39" s="199"/>
      <c r="O39" s="199"/>
      <c r="P39" s="98" t="s">
        <v>131</v>
      </c>
    </row>
    <row r="40" spans="1:16" ht="45.75" customHeight="1" x14ac:dyDescent="0.25">
      <c r="A40" s="104" t="s">
        <v>489</v>
      </c>
      <c r="B40" s="208" t="s">
        <v>452</v>
      </c>
      <c r="C40" s="209"/>
      <c r="D40" s="209"/>
      <c r="E40" s="209"/>
      <c r="F40" s="209"/>
      <c r="G40" s="210"/>
      <c r="H40" s="199" t="s">
        <v>534</v>
      </c>
      <c r="I40" s="199"/>
      <c r="J40" s="199"/>
      <c r="K40" s="199"/>
      <c r="L40" s="199" t="s">
        <v>534</v>
      </c>
      <c r="M40" s="199"/>
      <c r="N40" s="199"/>
      <c r="O40" s="199"/>
      <c r="P40" s="98" t="s">
        <v>131</v>
      </c>
    </row>
  </sheetData>
  <mergeCells count="6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40:G40"/>
    <mergeCell ref="H40:K40"/>
    <mergeCell ref="L37:O37"/>
    <mergeCell ref="L38:O38"/>
    <mergeCell ref="L39:O39"/>
    <mergeCell ref="L40:O40"/>
    <mergeCell ref="B37:G37"/>
    <mergeCell ref="H37:K37"/>
    <mergeCell ref="B38:G38"/>
    <mergeCell ref="H38:K38"/>
    <mergeCell ref="B39:G39"/>
    <mergeCell ref="H39:K39"/>
  </mergeCells>
  <phoneticPr fontId="42" type="noConversion"/>
  <conditionalFormatting sqref="B10">
    <cfRule type="cellIs" dxfId="85" priority="11" operator="equal">
      <formula>"Nok"</formula>
    </cfRule>
    <cfRule type="cellIs" dxfId="84" priority="12" operator="equal">
      <formula>"Ok"</formula>
    </cfRule>
  </conditionalFormatting>
  <conditionalFormatting sqref="B9">
    <cfRule type="cellIs" dxfId="83" priority="9" operator="equal">
      <formula>"Nok"</formula>
    </cfRule>
    <cfRule type="cellIs" dxfId="82" priority="10" operator="equal">
      <formula>"Ok"</formula>
    </cfRule>
  </conditionalFormatting>
  <conditionalFormatting sqref="P25 P27 P29 P31 P33 P35">
    <cfRule type="cellIs" dxfId="81" priority="7" operator="equal">
      <formula>"Nok"</formula>
    </cfRule>
    <cfRule type="cellIs" dxfId="80" priority="8" operator="equal">
      <formula>"Ok"</formula>
    </cfRule>
  </conditionalFormatting>
  <conditionalFormatting sqref="P26 P28 P30 P32 P34 P36:P40">
    <cfRule type="cellIs" dxfId="79" priority="1" operator="equal">
      <formula>"Nok"</formula>
    </cfRule>
    <cfRule type="cellIs" dxfId="78" priority="2" operator="equal">
      <formula>"Ok"</formula>
    </cfRule>
  </conditionalFormatting>
  <conditionalFormatting sqref="P22:P23">
    <cfRule type="cellIs" dxfId="77" priority="5" operator="equal">
      <formula>"Nok"</formula>
    </cfRule>
    <cfRule type="cellIs" dxfId="76" priority="6" operator="equal">
      <formula>"Ok"</formula>
    </cfRule>
  </conditionalFormatting>
  <conditionalFormatting sqref="P24">
    <cfRule type="cellIs" dxfId="75" priority="3" operator="equal">
      <formula>"Nok"</formula>
    </cfRule>
    <cfRule type="cellIs" dxfId="74" priority="4" operator="equal">
      <formula>"Ok"</formula>
    </cfRule>
  </conditionalFormatting>
  <dataValidations count="2">
    <dataValidation type="list" allowBlank="1" showInputMessage="1" showErrorMessage="1" sqref="B5" xr:uid="{67C751EF-9304-4056-8FD3-CBD951794D6B}">
      <formula1>"Nominal, Robustness, Endurance, Qualification"</formula1>
    </dataValidation>
    <dataValidation type="list" allowBlank="1" showInputMessage="1" showErrorMessage="1" sqref="B9 P22:P40" xr:uid="{0D060F5E-1519-4FF9-BE9E-A4292D039AC1}">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64B67-29F2-4277-933E-26C1EE1B55A6}">
  <sheetPr codeName="Sheet33"/>
  <dimension ref="A1:P36"/>
  <sheetViews>
    <sheetView workbookViewId="0">
      <selection activeCell="B24" sqref="B24:G24"/>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435</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436</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438</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510</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8" customHeight="1" x14ac:dyDescent="0.25">
      <c r="A22" s="104" t="s">
        <v>49</v>
      </c>
      <c r="B22" s="208" t="s">
        <v>151</v>
      </c>
      <c r="C22" s="209"/>
      <c r="D22" s="209"/>
      <c r="E22" s="209"/>
      <c r="F22" s="209"/>
      <c r="G22" s="210"/>
      <c r="H22" s="196"/>
      <c r="I22" s="197"/>
      <c r="J22" s="197"/>
      <c r="K22" s="198"/>
      <c r="L22" s="196"/>
      <c r="M22" s="197"/>
      <c r="N22" s="197"/>
      <c r="O22" s="198"/>
      <c r="P22" s="98"/>
    </row>
    <row r="23" spans="1:16" ht="48" customHeight="1" x14ac:dyDescent="0.25">
      <c r="A23" s="104" t="s">
        <v>50</v>
      </c>
      <c r="B23" s="208" t="s">
        <v>522</v>
      </c>
      <c r="C23" s="209"/>
      <c r="D23" s="209"/>
      <c r="E23" s="209"/>
      <c r="F23" s="209"/>
      <c r="G23" s="210"/>
      <c r="H23" s="196" t="s">
        <v>454</v>
      </c>
      <c r="I23" s="197"/>
      <c r="J23" s="197"/>
      <c r="K23" s="198"/>
      <c r="L23" s="196" t="s">
        <v>454</v>
      </c>
      <c r="M23" s="197"/>
      <c r="N23" s="197"/>
      <c r="O23" s="198"/>
      <c r="P23" s="98" t="s">
        <v>131</v>
      </c>
    </row>
    <row r="24" spans="1:16" ht="48" customHeight="1" x14ac:dyDescent="0.25">
      <c r="A24" s="104" t="s">
        <v>51</v>
      </c>
      <c r="B24" s="208" t="s">
        <v>520</v>
      </c>
      <c r="C24" s="209"/>
      <c r="D24" s="209"/>
      <c r="E24" s="209"/>
      <c r="F24" s="209"/>
      <c r="G24" s="210"/>
      <c r="H24" s="199" t="s">
        <v>455</v>
      </c>
      <c r="I24" s="199"/>
      <c r="J24" s="199"/>
      <c r="K24" s="199"/>
      <c r="L24" s="199" t="s">
        <v>455</v>
      </c>
      <c r="M24" s="199"/>
      <c r="N24" s="199"/>
      <c r="O24" s="199"/>
      <c r="P24" s="98" t="s">
        <v>131</v>
      </c>
    </row>
    <row r="25" spans="1:16" ht="48" customHeight="1" x14ac:dyDescent="0.25">
      <c r="A25" s="104" t="s">
        <v>52</v>
      </c>
      <c r="B25" s="208" t="s">
        <v>452</v>
      </c>
      <c r="C25" s="209"/>
      <c r="D25" s="209"/>
      <c r="E25" s="209"/>
      <c r="F25" s="209"/>
      <c r="G25" s="210"/>
      <c r="H25" s="199" t="s">
        <v>521</v>
      </c>
      <c r="I25" s="199"/>
      <c r="J25" s="199"/>
      <c r="K25" s="199"/>
      <c r="L25" s="199" t="s">
        <v>523</v>
      </c>
      <c r="M25" s="199"/>
      <c r="N25" s="199"/>
      <c r="O25" s="199"/>
      <c r="P25" s="98" t="s">
        <v>510</v>
      </c>
    </row>
    <row r="26" spans="1:16" ht="48" customHeight="1" x14ac:dyDescent="0.25">
      <c r="A26" s="104" t="s">
        <v>53</v>
      </c>
      <c r="B26" s="220"/>
      <c r="C26" s="221"/>
      <c r="D26" s="221"/>
      <c r="E26" s="221"/>
      <c r="F26" s="221"/>
      <c r="G26" s="222"/>
      <c r="H26" s="227"/>
      <c r="I26" s="228"/>
      <c r="J26" s="228"/>
      <c r="K26" s="229"/>
      <c r="L26" s="227"/>
      <c r="M26" s="228"/>
      <c r="N26" s="228"/>
      <c r="O26" s="229"/>
      <c r="P26" s="98"/>
    </row>
    <row r="27" spans="1:16" ht="48" customHeight="1" x14ac:dyDescent="0.25">
      <c r="A27" s="104" t="s">
        <v>54</v>
      </c>
      <c r="B27" s="208"/>
      <c r="C27" s="209"/>
      <c r="D27" s="209"/>
      <c r="E27" s="209"/>
      <c r="F27" s="209"/>
      <c r="G27" s="210"/>
      <c r="H27" s="199"/>
      <c r="I27" s="199"/>
      <c r="J27" s="199"/>
      <c r="K27" s="199"/>
      <c r="L27" s="199"/>
      <c r="M27" s="199"/>
      <c r="N27" s="199"/>
      <c r="O27" s="199"/>
      <c r="P27" s="98"/>
    </row>
    <row r="28" spans="1:16" ht="48" customHeight="1" x14ac:dyDescent="0.25">
      <c r="A28" s="104" t="s">
        <v>55</v>
      </c>
      <c r="B28" s="220"/>
      <c r="C28" s="221"/>
      <c r="D28" s="221"/>
      <c r="E28" s="221"/>
      <c r="F28" s="221"/>
      <c r="G28" s="222"/>
      <c r="H28" s="227"/>
      <c r="I28" s="228"/>
      <c r="J28" s="228"/>
      <c r="K28" s="229"/>
      <c r="L28" s="227"/>
      <c r="M28" s="228"/>
      <c r="N28" s="228"/>
      <c r="O28" s="229"/>
      <c r="P28" s="98"/>
    </row>
    <row r="29" spans="1:16" ht="48" customHeight="1" x14ac:dyDescent="0.25">
      <c r="A29" s="104" t="s">
        <v>419</v>
      </c>
      <c r="B29" s="208"/>
      <c r="C29" s="209"/>
      <c r="D29" s="209"/>
      <c r="E29" s="209"/>
      <c r="F29" s="209"/>
      <c r="G29" s="210"/>
      <c r="H29" s="199"/>
      <c r="I29" s="199"/>
      <c r="J29" s="199"/>
      <c r="K29" s="199"/>
      <c r="L29" s="199"/>
      <c r="M29" s="199"/>
      <c r="N29" s="199"/>
      <c r="O29" s="199"/>
      <c r="P29" s="98"/>
    </row>
    <row r="30" spans="1:16" ht="48" customHeight="1" x14ac:dyDescent="0.25">
      <c r="A30" s="104" t="s">
        <v>420</v>
      </c>
      <c r="B30" s="220"/>
      <c r="C30" s="221"/>
      <c r="D30" s="221"/>
      <c r="E30" s="221"/>
      <c r="F30" s="221"/>
      <c r="G30" s="222"/>
      <c r="H30" s="227"/>
      <c r="I30" s="228"/>
      <c r="J30" s="228"/>
      <c r="K30" s="229"/>
      <c r="L30" s="227"/>
      <c r="M30" s="228"/>
      <c r="N30" s="228"/>
      <c r="O30" s="229"/>
      <c r="P30" s="98"/>
    </row>
    <row r="31" spans="1:16" ht="48" customHeight="1" x14ac:dyDescent="0.25">
      <c r="A31" s="104" t="s">
        <v>421</v>
      </c>
      <c r="B31" s="208"/>
      <c r="C31" s="209"/>
      <c r="D31" s="209"/>
      <c r="E31" s="209"/>
      <c r="F31" s="209"/>
      <c r="G31" s="210"/>
      <c r="H31" s="199"/>
      <c r="I31" s="199"/>
      <c r="J31" s="199"/>
      <c r="K31" s="199"/>
      <c r="L31" s="199"/>
      <c r="M31" s="199"/>
      <c r="N31" s="199"/>
      <c r="O31" s="199"/>
      <c r="P31" s="98"/>
    </row>
    <row r="32" spans="1:16" ht="48" customHeight="1" x14ac:dyDescent="0.25">
      <c r="A32" s="104" t="s">
        <v>422</v>
      </c>
      <c r="B32" s="220"/>
      <c r="C32" s="221"/>
      <c r="D32" s="221"/>
      <c r="E32" s="221"/>
      <c r="F32" s="221"/>
      <c r="G32" s="222"/>
      <c r="H32" s="227"/>
      <c r="I32" s="228"/>
      <c r="J32" s="228"/>
      <c r="K32" s="229"/>
      <c r="L32" s="227"/>
      <c r="M32" s="228"/>
      <c r="N32" s="228"/>
      <c r="O32" s="229"/>
      <c r="P32" s="98"/>
    </row>
    <row r="33" spans="1:16" ht="48" customHeight="1" x14ac:dyDescent="0.25">
      <c r="A33" s="104" t="s">
        <v>423</v>
      </c>
      <c r="B33" s="208"/>
      <c r="C33" s="209"/>
      <c r="D33" s="209"/>
      <c r="E33" s="209"/>
      <c r="F33" s="209"/>
      <c r="G33" s="210"/>
      <c r="H33" s="199"/>
      <c r="I33" s="199"/>
      <c r="J33" s="199"/>
      <c r="K33" s="199"/>
      <c r="L33" s="199"/>
      <c r="M33" s="199"/>
      <c r="N33" s="199"/>
      <c r="O33" s="199"/>
      <c r="P33" s="98"/>
    </row>
    <row r="34" spans="1:16" ht="48" customHeight="1" x14ac:dyDescent="0.25">
      <c r="A34" s="104" t="s">
        <v>424</v>
      </c>
      <c r="B34" s="220"/>
      <c r="C34" s="221"/>
      <c r="D34" s="221"/>
      <c r="E34" s="221"/>
      <c r="F34" s="221"/>
      <c r="G34" s="222"/>
      <c r="H34" s="227"/>
      <c r="I34" s="228"/>
      <c r="J34" s="228"/>
      <c r="K34" s="229"/>
      <c r="L34" s="227"/>
      <c r="M34" s="228"/>
      <c r="N34" s="228"/>
      <c r="O34" s="229"/>
      <c r="P34" s="98"/>
    </row>
    <row r="35" spans="1:16" ht="48" customHeight="1" x14ac:dyDescent="0.25">
      <c r="A35" s="104" t="s">
        <v>425</v>
      </c>
      <c r="B35" s="208"/>
      <c r="C35" s="209"/>
      <c r="D35" s="209"/>
      <c r="E35" s="209"/>
      <c r="F35" s="209"/>
      <c r="G35" s="210"/>
      <c r="H35" s="199"/>
      <c r="I35" s="199"/>
      <c r="J35" s="199"/>
      <c r="K35" s="199"/>
      <c r="L35" s="199"/>
      <c r="M35" s="199"/>
      <c r="N35" s="199"/>
      <c r="O35" s="199"/>
      <c r="P35" s="98"/>
    </row>
    <row r="36" spans="1:16" ht="48" customHeight="1" x14ac:dyDescent="0.25">
      <c r="A36" s="104" t="s">
        <v>426</v>
      </c>
      <c r="B36" s="220"/>
      <c r="C36" s="221"/>
      <c r="D36" s="221"/>
      <c r="E36" s="221"/>
      <c r="F36" s="221"/>
      <c r="G36" s="222"/>
      <c r="H36" s="227"/>
      <c r="I36" s="228"/>
      <c r="J36" s="228"/>
      <c r="K36" s="229"/>
      <c r="L36" s="227"/>
      <c r="M36" s="228"/>
      <c r="N36" s="228"/>
      <c r="O36" s="229"/>
      <c r="P36" s="98"/>
    </row>
  </sheetData>
  <mergeCells count="55">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s>
  <conditionalFormatting sqref="B10">
    <cfRule type="cellIs" dxfId="73" priority="11" operator="equal">
      <formula>"Nok"</formula>
    </cfRule>
    <cfRule type="cellIs" dxfId="72" priority="12" operator="equal">
      <formula>"Ok"</formula>
    </cfRule>
  </conditionalFormatting>
  <conditionalFormatting sqref="B9">
    <cfRule type="cellIs" dxfId="71" priority="9" operator="equal">
      <formula>"Nok"</formula>
    </cfRule>
    <cfRule type="cellIs" dxfId="70" priority="10" operator="equal">
      <formula>"Ok"</formula>
    </cfRule>
  </conditionalFormatting>
  <conditionalFormatting sqref="P25 P27 P29 P31 P33 P35">
    <cfRule type="cellIs" dxfId="69" priority="7" operator="equal">
      <formula>"Nok"</formula>
    </cfRule>
    <cfRule type="cellIs" dxfId="68" priority="8" operator="equal">
      <formula>"Ok"</formula>
    </cfRule>
  </conditionalFormatting>
  <conditionalFormatting sqref="P26 P28 P30 P32 P34 P36">
    <cfRule type="cellIs" dxfId="67" priority="1" operator="equal">
      <formula>"Nok"</formula>
    </cfRule>
    <cfRule type="cellIs" dxfId="66" priority="2" operator="equal">
      <formula>"Ok"</formula>
    </cfRule>
  </conditionalFormatting>
  <conditionalFormatting sqref="P22:P23">
    <cfRule type="cellIs" dxfId="65" priority="5" operator="equal">
      <formula>"Nok"</formula>
    </cfRule>
    <cfRule type="cellIs" dxfId="64" priority="6" operator="equal">
      <formula>"Ok"</formula>
    </cfRule>
  </conditionalFormatting>
  <conditionalFormatting sqref="P24">
    <cfRule type="cellIs" dxfId="63" priority="3" operator="equal">
      <formula>"Nok"</formula>
    </cfRule>
    <cfRule type="cellIs" dxfId="62" priority="4" operator="equal">
      <formula>"Ok"</formula>
    </cfRule>
  </conditionalFormatting>
  <dataValidations count="2">
    <dataValidation type="list" allowBlank="1" showInputMessage="1" showErrorMessage="1" sqref="B9 P22:P36" xr:uid="{68FAAF30-9456-4E43-AB5E-40DC305E68F1}">
      <formula1>"Ok, Nok, Not run, ,"</formula1>
    </dataValidation>
    <dataValidation type="list" allowBlank="1" showInputMessage="1" showErrorMessage="1" sqref="B5" xr:uid="{F27AE50A-7C1C-4C5B-9950-36EDBEDC3AB3}">
      <formula1>"Nominal, Robustness, Endurance, Qualification"</formula1>
    </dataValidation>
  </dataValidations>
  <pageMargins left="0.7" right="0.7" top="0.75" bottom="0.75" header="0.3" footer="0.3"/>
  <pageSetup paperSize="9" orientation="portrait" r:id="rId1"/>
  <headerFooter>
    <oddFooter>&amp;LNA ver 2&amp;R&amp;P</oddFooter>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0C7BB-2CC2-46B3-B34A-904C310C7D3A}">
  <sheetPr codeName="Sheet34"/>
  <dimension ref="A1:P36"/>
  <sheetViews>
    <sheetView topLeftCell="A25" workbookViewId="0">
      <selection activeCell="B30" sqref="B30:G30"/>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440</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439</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441</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510</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8" customHeight="1" x14ac:dyDescent="0.25">
      <c r="A22" s="104" t="s">
        <v>49</v>
      </c>
      <c r="B22" s="208" t="s">
        <v>151</v>
      </c>
      <c r="C22" s="209"/>
      <c r="D22" s="209"/>
      <c r="E22" s="209"/>
      <c r="F22" s="209"/>
      <c r="G22" s="210"/>
      <c r="H22" s="196"/>
      <c r="I22" s="197"/>
      <c r="J22" s="197"/>
      <c r="K22" s="198"/>
      <c r="L22" s="196"/>
      <c r="M22" s="197"/>
      <c r="N22" s="197"/>
      <c r="O22" s="198"/>
      <c r="P22" s="98"/>
    </row>
    <row r="23" spans="1:16" ht="48" customHeight="1" x14ac:dyDescent="0.25">
      <c r="A23" s="104" t="s">
        <v>50</v>
      </c>
      <c r="B23" s="208" t="s">
        <v>519</v>
      </c>
      <c r="C23" s="209"/>
      <c r="D23" s="209"/>
      <c r="E23" s="209"/>
      <c r="F23" s="209"/>
      <c r="G23" s="210"/>
      <c r="H23" s="196" t="s">
        <v>454</v>
      </c>
      <c r="I23" s="197"/>
      <c r="J23" s="197"/>
      <c r="K23" s="198"/>
      <c r="L23" s="196"/>
      <c r="M23" s="197"/>
      <c r="N23" s="197"/>
      <c r="O23" s="198"/>
      <c r="P23" s="98"/>
    </row>
    <row r="24" spans="1:16" ht="48" customHeight="1" x14ac:dyDescent="0.25">
      <c r="A24" s="104" t="s">
        <v>51</v>
      </c>
      <c r="B24" s="208" t="s">
        <v>504</v>
      </c>
      <c r="C24" s="209"/>
      <c r="D24" s="209"/>
      <c r="E24" s="209"/>
      <c r="F24" s="209"/>
      <c r="G24" s="210"/>
      <c r="H24" s="199" t="s">
        <v>455</v>
      </c>
      <c r="I24" s="199"/>
      <c r="J24" s="199"/>
      <c r="K24" s="199"/>
      <c r="L24" s="199" t="s">
        <v>508</v>
      </c>
      <c r="M24" s="199"/>
      <c r="N24" s="199"/>
      <c r="O24" s="199"/>
      <c r="P24" s="98" t="s">
        <v>510</v>
      </c>
    </row>
    <row r="25" spans="1:16" ht="48" customHeight="1" x14ac:dyDescent="0.25">
      <c r="A25" s="104" t="s">
        <v>52</v>
      </c>
      <c r="B25" s="208" t="s">
        <v>452</v>
      </c>
      <c r="C25" s="209"/>
      <c r="D25" s="209"/>
      <c r="E25" s="209"/>
      <c r="F25" s="209"/>
      <c r="G25" s="210"/>
      <c r="H25" s="199" t="s">
        <v>505</v>
      </c>
      <c r="I25" s="199"/>
      <c r="J25" s="199"/>
      <c r="K25" s="199"/>
      <c r="L25" s="199" t="s">
        <v>509</v>
      </c>
      <c r="M25" s="199"/>
      <c r="N25" s="199"/>
      <c r="O25" s="199"/>
      <c r="P25" s="98" t="s">
        <v>510</v>
      </c>
    </row>
    <row r="26" spans="1:16" ht="48" customHeight="1" x14ac:dyDescent="0.25">
      <c r="A26" s="104" t="s">
        <v>53</v>
      </c>
      <c r="B26" s="220" t="s">
        <v>457</v>
      </c>
      <c r="C26" s="221"/>
      <c r="D26" s="221"/>
      <c r="E26" s="221"/>
      <c r="F26" s="221"/>
      <c r="G26" s="222"/>
      <c r="H26" s="227"/>
      <c r="I26" s="228"/>
      <c r="J26" s="228"/>
      <c r="K26" s="229"/>
      <c r="L26" s="227"/>
      <c r="M26" s="228"/>
      <c r="N26" s="228"/>
      <c r="O26" s="229"/>
      <c r="P26" s="98"/>
    </row>
    <row r="27" spans="1:16" ht="48" customHeight="1" x14ac:dyDescent="0.25">
      <c r="A27" s="104" t="s">
        <v>54</v>
      </c>
      <c r="B27" s="208" t="s">
        <v>506</v>
      </c>
      <c r="C27" s="209"/>
      <c r="D27" s="209"/>
      <c r="E27" s="209"/>
      <c r="F27" s="209"/>
      <c r="G27" s="210"/>
      <c r="H27" s="199" t="s">
        <v>455</v>
      </c>
      <c r="I27" s="199"/>
      <c r="J27" s="199"/>
      <c r="K27" s="199"/>
      <c r="L27" s="199" t="s">
        <v>455</v>
      </c>
      <c r="M27" s="199"/>
      <c r="N27" s="199"/>
      <c r="O27" s="199"/>
      <c r="P27" s="98" t="s">
        <v>131</v>
      </c>
    </row>
    <row r="28" spans="1:16" ht="48" customHeight="1" x14ac:dyDescent="0.25">
      <c r="A28" s="104" t="s">
        <v>55</v>
      </c>
      <c r="B28" s="208" t="s">
        <v>452</v>
      </c>
      <c r="C28" s="209"/>
      <c r="D28" s="209"/>
      <c r="E28" s="209"/>
      <c r="F28" s="209"/>
      <c r="G28" s="210"/>
      <c r="H28" s="199" t="s">
        <v>507</v>
      </c>
      <c r="I28" s="199"/>
      <c r="J28" s="199"/>
      <c r="K28" s="199"/>
      <c r="L28" s="227" t="s">
        <v>511</v>
      </c>
      <c r="M28" s="228"/>
      <c r="N28" s="228"/>
      <c r="O28" s="229"/>
      <c r="P28" s="98" t="s">
        <v>510</v>
      </c>
    </row>
    <row r="29" spans="1:16" ht="48" customHeight="1" x14ac:dyDescent="0.25">
      <c r="A29" s="104" t="s">
        <v>419</v>
      </c>
      <c r="B29" s="220" t="s">
        <v>457</v>
      </c>
      <c r="C29" s="221"/>
      <c r="D29" s="221"/>
      <c r="E29" s="221"/>
      <c r="F29" s="221"/>
      <c r="G29" s="222"/>
      <c r="H29" s="227"/>
      <c r="I29" s="228"/>
      <c r="J29" s="228"/>
      <c r="K29" s="229"/>
      <c r="L29" s="199"/>
      <c r="M29" s="199"/>
      <c r="N29" s="199"/>
      <c r="O29" s="199"/>
      <c r="P29" s="98"/>
    </row>
    <row r="30" spans="1:16" ht="48" customHeight="1" x14ac:dyDescent="0.25">
      <c r="A30" s="104" t="s">
        <v>420</v>
      </c>
      <c r="B30" s="208" t="s">
        <v>512</v>
      </c>
      <c r="C30" s="209"/>
      <c r="D30" s="209"/>
      <c r="E30" s="209"/>
      <c r="F30" s="209"/>
      <c r="G30" s="210"/>
      <c r="H30" s="199" t="s">
        <v>455</v>
      </c>
      <c r="I30" s="199"/>
      <c r="J30" s="199"/>
      <c r="K30" s="199"/>
      <c r="L30" s="227" t="s">
        <v>514</v>
      </c>
      <c r="M30" s="228"/>
      <c r="N30" s="228"/>
      <c r="O30" s="229"/>
      <c r="P30" s="98" t="s">
        <v>510</v>
      </c>
    </row>
    <row r="31" spans="1:16" ht="48" customHeight="1" x14ac:dyDescent="0.25">
      <c r="A31" s="104" t="s">
        <v>421</v>
      </c>
      <c r="B31" s="208" t="s">
        <v>452</v>
      </c>
      <c r="C31" s="209"/>
      <c r="D31" s="209"/>
      <c r="E31" s="209"/>
      <c r="F31" s="209"/>
      <c r="G31" s="210"/>
      <c r="H31" s="199" t="s">
        <v>513</v>
      </c>
      <c r="I31" s="199"/>
      <c r="J31" s="199"/>
      <c r="K31" s="199"/>
      <c r="L31" s="199" t="s">
        <v>515</v>
      </c>
      <c r="M31" s="199"/>
      <c r="N31" s="199"/>
      <c r="O31" s="199"/>
      <c r="P31" s="98" t="s">
        <v>510</v>
      </c>
    </row>
    <row r="32" spans="1:16" ht="48" customHeight="1" x14ac:dyDescent="0.25">
      <c r="A32" s="104" t="s">
        <v>422</v>
      </c>
      <c r="B32" s="220" t="s">
        <v>457</v>
      </c>
      <c r="C32" s="221"/>
      <c r="D32" s="221"/>
      <c r="E32" s="221"/>
      <c r="F32" s="221"/>
      <c r="G32" s="222"/>
      <c r="H32" s="227"/>
      <c r="I32" s="228"/>
      <c r="J32" s="228"/>
      <c r="K32" s="229"/>
      <c r="L32" s="227"/>
      <c r="M32" s="228"/>
      <c r="N32" s="228"/>
      <c r="O32" s="229"/>
      <c r="P32" s="98"/>
    </row>
    <row r="33" spans="1:16" ht="48" customHeight="1" x14ac:dyDescent="0.25">
      <c r="A33" s="104" t="s">
        <v>423</v>
      </c>
      <c r="B33" s="208" t="s">
        <v>516</v>
      </c>
      <c r="C33" s="209"/>
      <c r="D33" s="209"/>
      <c r="E33" s="209"/>
      <c r="F33" s="209"/>
      <c r="G33" s="210"/>
      <c r="H33" s="199" t="s">
        <v>455</v>
      </c>
      <c r="I33" s="199"/>
      <c r="J33" s="199"/>
      <c r="K33" s="199"/>
      <c r="L33" s="199" t="s">
        <v>455</v>
      </c>
      <c r="M33" s="199"/>
      <c r="N33" s="199"/>
      <c r="O33" s="199"/>
      <c r="P33" s="98" t="s">
        <v>131</v>
      </c>
    </row>
    <row r="34" spans="1:16" ht="48" customHeight="1" x14ac:dyDescent="0.25">
      <c r="A34" s="104" t="s">
        <v>424</v>
      </c>
      <c r="B34" s="208" t="s">
        <v>452</v>
      </c>
      <c r="C34" s="209"/>
      <c r="D34" s="209"/>
      <c r="E34" s="209"/>
      <c r="F34" s="209"/>
      <c r="G34" s="210"/>
      <c r="H34" s="199" t="s">
        <v>517</v>
      </c>
      <c r="I34" s="199"/>
      <c r="J34" s="199"/>
      <c r="K34" s="199"/>
      <c r="L34" s="227" t="s">
        <v>518</v>
      </c>
      <c r="M34" s="228"/>
      <c r="N34" s="228"/>
      <c r="O34" s="229"/>
      <c r="P34" s="98" t="s">
        <v>510</v>
      </c>
    </row>
    <row r="35" spans="1:16" ht="48" customHeight="1" x14ac:dyDescent="0.25">
      <c r="A35" s="104" t="s">
        <v>425</v>
      </c>
      <c r="B35" s="220" t="s">
        <v>457</v>
      </c>
      <c r="C35" s="221"/>
      <c r="D35" s="221"/>
      <c r="E35" s="221"/>
      <c r="F35" s="221"/>
      <c r="G35" s="222"/>
      <c r="H35" s="227"/>
      <c r="I35" s="228"/>
      <c r="J35" s="228"/>
      <c r="K35" s="229"/>
      <c r="L35" s="199"/>
      <c r="M35" s="199"/>
      <c r="N35" s="199"/>
      <c r="O35" s="199"/>
      <c r="P35" s="98"/>
    </row>
    <row r="36" spans="1:16" ht="48" customHeight="1" x14ac:dyDescent="0.25">
      <c r="A36" s="104" t="s">
        <v>426</v>
      </c>
      <c r="B36" s="220"/>
      <c r="C36" s="221"/>
      <c r="D36" s="221"/>
      <c r="E36" s="221"/>
      <c r="F36" s="221"/>
      <c r="G36" s="222"/>
      <c r="H36" s="227"/>
      <c r="I36" s="228"/>
      <c r="J36" s="228"/>
      <c r="K36" s="229"/>
      <c r="L36" s="227"/>
      <c r="M36" s="228"/>
      <c r="N36" s="228"/>
      <c r="O36" s="229"/>
      <c r="P36" s="98"/>
    </row>
  </sheetData>
  <mergeCells count="55">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s>
  <conditionalFormatting sqref="B10">
    <cfRule type="cellIs" dxfId="61" priority="11" operator="equal">
      <formula>"Nok"</formula>
    </cfRule>
    <cfRule type="cellIs" dxfId="60" priority="12" operator="equal">
      <formula>"Ok"</formula>
    </cfRule>
  </conditionalFormatting>
  <conditionalFormatting sqref="B9">
    <cfRule type="cellIs" dxfId="59" priority="9" operator="equal">
      <formula>"Nok"</formula>
    </cfRule>
    <cfRule type="cellIs" dxfId="58" priority="10" operator="equal">
      <formula>"Ok"</formula>
    </cfRule>
  </conditionalFormatting>
  <conditionalFormatting sqref="P25 P27 P29 P31 P33 P35">
    <cfRule type="cellIs" dxfId="57" priority="7" operator="equal">
      <formula>"Nok"</formula>
    </cfRule>
    <cfRule type="cellIs" dxfId="56" priority="8" operator="equal">
      <formula>"Ok"</formula>
    </cfRule>
  </conditionalFormatting>
  <conditionalFormatting sqref="P26 P28 P30 P32 P34 P36">
    <cfRule type="cellIs" dxfId="55" priority="1" operator="equal">
      <formula>"Nok"</formula>
    </cfRule>
    <cfRule type="cellIs" dxfId="54" priority="2" operator="equal">
      <formula>"Ok"</formula>
    </cfRule>
  </conditionalFormatting>
  <conditionalFormatting sqref="P22:P23">
    <cfRule type="cellIs" dxfId="53" priority="5" operator="equal">
      <formula>"Nok"</formula>
    </cfRule>
    <cfRule type="cellIs" dxfId="52" priority="6" operator="equal">
      <formula>"Ok"</formula>
    </cfRule>
  </conditionalFormatting>
  <conditionalFormatting sqref="P24">
    <cfRule type="cellIs" dxfId="51" priority="3" operator="equal">
      <formula>"Nok"</formula>
    </cfRule>
    <cfRule type="cellIs" dxfId="50" priority="4" operator="equal">
      <formula>"Ok"</formula>
    </cfRule>
  </conditionalFormatting>
  <dataValidations count="2">
    <dataValidation type="list" allowBlank="1" showInputMessage="1" showErrorMessage="1" sqref="B5" xr:uid="{6E7EEFA8-F395-4875-AD03-8CDC5402AD3A}">
      <formula1>"Nominal, Robustness, Endurance, Qualification"</formula1>
    </dataValidation>
    <dataValidation type="list" allowBlank="1" showInputMessage="1" showErrorMessage="1" sqref="B9 P22:P36" xr:uid="{538F04CF-433E-47AB-B724-8DD1747CBE64}">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A44EA-62BC-4CCD-AC8A-97E4452ADC4B}">
  <sheetPr codeName="Sheet36"/>
  <dimension ref="A1:P36"/>
  <sheetViews>
    <sheetView topLeftCell="A13" workbookViewId="0">
      <selection activeCell="B3" sqref="B3:G3"/>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442</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443</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444</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8" customHeight="1" x14ac:dyDescent="0.25">
      <c r="A22" s="104" t="s">
        <v>49</v>
      </c>
      <c r="B22" s="208" t="s">
        <v>151</v>
      </c>
      <c r="C22" s="209"/>
      <c r="D22" s="209"/>
      <c r="E22" s="209"/>
      <c r="F22" s="209"/>
      <c r="G22" s="210"/>
      <c r="H22" s="196"/>
      <c r="I22" s="197"/>
      <c r="J22" s="197"/>
      <c r="K22" s="198"/>
      <c r="L22" s="196"/>
      <c r="M22" s="197"/>
      <c r="N22" s="197"/>
      <c r="O22" s="198"/>
      <c r="P22" s="98"/>
    </row>
    <row r="23" spans="1:16" ht="48" customHeight="1" x14ac:dyDescent="0.25">
      <c r="A23" s="104" t="s">
        <v>50</v>
      </c>
      <c r="B23" s="208" t="s">
        <v>500</v>
      </c>
      <c r="C23" s="209"/>
      <c r="D23" s="209"/>
      <c r="E23" s="209"/>
      <c r="F23" s="209"/>
      <c r="G23" s="210"/>
      <c r="H23" s="196" t="s">
        <v>454</v>
      </c>
      <c r="I23" s="197"/>
      <c r="J23" s="197"/>
      <c r="K23" s="198"/>
      <c r="L23" s="196" t="s">
        <v>454</v>
      </c>
      <c r="M23" s="197"/>
      <c r="N23" s="197"/>
      <c r="O23" s="198"/>
      <c r="P23" s="98" t="s">
        <v>131</v>
      </c>
    </row>
    <row r="24" spans="1:16" ht="48" customHeight="1" x14ac:dyDescent="0.25">
      <c r="A24" s="104" t="s">
        <v>51</v>
      </c>
      <c r="B24" s="208" t="s">
        <v>496</v>
      </c>
      <c r="C24" s="209"/>
      <c r="D24" s="209"/>
      <c r="E24" s="209"/>
      <c r="F24" s="209"/>
      <c r="G24" s="210"/>
      <c r="H24" s="199" t="s">
        <v>455</v>
      </c>
      <c r="I24" s="199"/>
      <c r="J24" s="199"/>
      <c r="K24" s="199"/>
      <c r="L24" s="199" t="s">
        <v>455</v>
      </c>
      <c r="M24" s="199"/>
      <c r="N24" s="199"/>
      <c r="O24" s="199"/>
      <c r="P24" s="98" t="s">
        <v>131</v>
      </c>
    </row>
    <row r="25" spans="1:16" ht="48" customHeight="1" x14ac:dyDescent="0.25">
      <c r="A25" s="104" t="s">
        <v>52</v>
      </c>
      <c r="B25" s="208" t="s">
        <v>452</v>
      </c>
      <c r="C25" s="209"/>
      <c r="D25" s="209"/>
      <c r="E25" s="209"/>
      <c r="F25" s="209"/>
      <c r="G25" s="210"/>
      <c r="H25" s="199" t="s">
        <v>501</v>
      </c>
      <c r="I25" s="199"/>
      <c r="J25" s="199"/>
      <c r="K25" s="199"/>
      <c r="L25" s="199" t="s">
        <v>501</v>
      </c>
      <c r="M25" s="199"/>
      <c r="N25" s="199"/>
      <c r="O25" s="199"/>
      <c r="P25" s="98" t="s">
        <v>131</v>
      </c>
    </row>
    <row r="26" spans="1:16" ht="48" customHeight="1" x14ac:dyDescent="0.25">
      <c r="A26" s="104" t="s">
        <v>53</v>
      </c>
      <c r="B26" s="220" t="s">
        <v>457</v>
      </c>
      <c r="C26" s="221"/>
      <c r="D26" s="221"/>
      <c r="E26" s="221"/>
      <c r="F26" s="221"/>
      <c r="G26" s="222"/>
      <c r="H26" s="227"/>
      <c r="I26" s="228"/>
      <c r="J26" s="228"/>
      <c r="K26" s="229"/>
      <c r="L26" s="227"/>
      <c r="M26" s="228"/>
      <c r="N26" s="228"/>
      <c r="O26" s="229"/>
      <c r="P26" s="98"/>
    </row>
    <row r="27" spans="1:16" ht="48" customHeight="1" x14ac:dyDescent="0.25">
      <c r="A27" s="104" t="s">
        <v>54</v>
      </c>
      <c r="B27" s="208" t="s">
        <v>497</v>
      </c>
      <c r="C27" s="209"/>
      <c r="D27" s="209"/>
      <c r="E27" s="209"/>
      <c r="F27" s="209"/>
      <c r="G27" s="210"/>
      <c r="H27" s="199" t="s">
        <v>455</v>
      </c>
      <c r="I27" s="199"/>
      <c r="J27" s="199"/>
      <c r="K27" s="199"/>
      <c r="L27" s="199" t="s">
        <v>455</v>
      </c>
      <c r="M27" s="199"/>
      <c r="N27" s="199"/>
      <c r="O27" s="199"/>
      <c r="P27" s="98" t="s">
        <v>131</v>
      </c>
    </row>
    <row r="28" spans="1:16" ht="48" customHeight="1" x14ac:dyDescent="0.25">
      <c r="A28" s="104" t="s">
        <v>55</v>
      </c>
      <c r="B28" s="208" t="s">
        <v>452</v>
      </c>
      <c r="C28" s="209"/>
      <c r="D28" s="209"/>
      <c r="E28" s="209"/>
      <c r="F28" s="209"/>
      <c r="G28" s="210"/>
      <c r="H28" s="199" t="s">
        <v>502</v>
      </c>
      <c r="I28" s="199"/>
      <c r="J28" s="199"/>
      <c r="K28" s="199"/>
      <c r="L28" s="199" t="s">
        <v>502</v>
      </c>
      <c r="M28" s="199"/>
      <c r="N28" s="199"/>
      <c r="O28" s="199"/>
      <c r="P28" s="98" t="s">
        <v>131</v>
      </c>
    </row>
    <row r="29" spans="1:16" ht="48" customHeight="1" x14ac:dyDescent="0.25">
      <c r="A29" s="104" t="s">
        <v>419</v>
      </c>
      <c r="B29" s="220" t="s">
        <v>457</v>
      </c>
      <c r="C29" s="221"/>
      <c r="D29" s="221"/>
      <c r="E29" s="221"/>
      <c r="F29" s="221"/>
      <c r="G29" s="222"/>
      <c r="H29" s="227"/>
      <c r="I29" s="228"/>
      <c r="J29" s="228"/>
      <c r="K29" s="229"/>
      <c r="L29" s="227"/>
      <c r="M29" s="228"/>
      <c r="N29" s="228"/>
      <c r="O29" s="229"/>
      <c r="P29" s="98"/>
    </row>
    <row r="30" spans="1:16" ht="48" customHeight="1" x14ac:dyDescent="0.25">
      <c r="A30" s="104" t="s">
        <v>420</v>
      </c>
      <c r="B30" s="208" t="s">
        <v>498</v>
      </c>
      <c r="C30" s="209"/>
      <c r="D30" s="209"/>
      <c r="E30" s="209"/>
      <c r="F30" s="209"/>
      <c r="G30" s="210"/>
      <c r="H30" s="199" t="s">
        <v>455</v>
      </c>
      <c r="I30" s="199"/>
      <c r="J30" s="199"/>
      <c r="K30" s="199"/>
      <c r="L30" s="199" t="s">
        <v>455</v>
      </c>
      <c r="M30" s="199"/>
      <c r="N30" s="199"/>
      <c r="O30" s="199"/>
      <c r="P30" s="98" t="s">
        <v>131</v>
      </c>
    </row>
    <row r="31" spans="1:16" ht="48" customHeight="1" x14ac:dyDescent="0.25">
      <c r="A31" s="104" t="s">
        <v>421</v>
      </c>
      <c r="B31" s="208" t="s">
        <v>452</v>
      </c>
      <c r="C31" s="209"/>
      <c r="D31" s="209"/>
      <c r="E31" s="209"/>
      <c r="F31" s="209"/>
      <c r="G31" s="210"/>
      <c r="H31" s="199" t="s">
        <v>503</v>
      </c>
      <c r="I31" s="199"/>
      <c r="J31" s="199"/>
      <c r="K31" s="199"/>
      <c r="L31" s="199" t="s">
        <v>503</v>
      </c>
      <c r="M31" s="199"/>
      <c r="N31" s="199"/>
      <c r="O31" s="199"/>
      <c r="P31" s="98" t="s">
        <v>131</v>
      </c>
    </row>
    <row r="32" spans="1:16" ht="48" customHeight="1" x14ac:dyDescent="0.25">
      <c r="A32" s="104" t="s">
        <v>422</v>
      </c>
      <c r="B32" s="220" t="s">
        <v>457</v>
      </c>
      <c r="C32" s="221"/>
      <c r="D32" s="221"/>
      <c r="E32" s="221"/>
      <c r="F32" s="221"/>
      <c r="G32" s="222"/>
      <c r="H32" s="227"/>
      <c r="I32" s="228"/>
      <c r="J32" s="228"/>
      <c r="K32" s="229"/>
      <c r="L32" s="227"/>
      <c r="M32" s="228"/>
      <c r="N32" s="228"/>
      <c r="O32" s="229"/>
      <c r="P32" s="98"/>
    </row>
    <row r="33" spans="1:16" ht="48" customHeight="1" x14ac:dyDescent="0.25">
      <c r="A33" s="104" t="s">
        <v>423</v>
      </c>
      <c r="B33" s="208"/>
      <c r="C33" s="209"/>
      <c r="D33" s="209"/>
      <c r="E33" s="209"/>
      <c r="F33" s="209"/>
      <c r="G33" s="210"/>
      <c r="H33" s="199"/>
      <c r="I33" s="199"/>
      <c r="J33" s="199"/>
      <c r="K33" s="199"/>
      <c r="L33" s="199"/>
      <c r="M33" s="199"/>
      <c r="N33" s="199"/>
      <c r="O33" s="199"/>
      <c r="P33" s="98"/>
    </row>
    <row r="34" spans="1:16" ht="48" customHeight="1" x14ac:dyDescent="0.25">
      <c r="A34" s="104" t="s">
        <v>424</v>
      </c>
      <c r="B34" s="220"/>
      <c r="C34" s="221"/>
      <c r="D34" s="221"/>
      <c r="E34" s="221"/>
      <c r="F34" s="221"/>
      <c r="G34" s="222"/>
      <c r="H34" s="227"/>
      <c r="I34" s="228"/>
      <c r="J34" s="228"/>
      <c r="K34" s="229"/>
      <c r="L34" s="227"/>
      <c r="M34" s="228"/>
      <c r="N34" s="228"/>
      <c r="O34" s="229"/>
      <c r="P34" s="98"/>
    </row>
    <row r="35" spans="1:16" ht="48" customHeight="1" x14ac:dyDescent="0.25">
      <c r="A35" s="104" t="s">
        <v>425</v>
      </c>
      <c r="B35" s="208"/>
      <c r="C35" s="209"/>
      <c r="D35" s="209"/>
      <c r="E35" s="209"/>
      <c r="F35" s="209"/>
      <c r="G35" s="210"/>
      <c r="H35" s="199"/>
      <c r="I35" s="199"/>
      <c r="J35" s="199"/>
      <c r="K35" s="199"/>
      <c r="L35" s="199"/>
      <c r="M35" s="199"/>
      <c r="N35" s="199"/>
      <c r="O35" s="199"/>
      <c r="P35" s="98"/>
    </row>
    <row r="36" spans="1:16" ht="48" customHeight="1" x14ac:dyDescent="0.25">
      <c r="A36" s="104" t="s">
        <v>426</v>
      </c>
      <c r="B36" s="220"/>
      <c r="C36" s="221"/>
      <c r="D36" s="221"/>
      <c r="E36" s="221"/>
      <c r="F36" s="221"/>
      <c r="G36" s="222"/>
      <c r="H36" s="227"/>
      <c r="I36" s="228"/>
      <c r="J36" s="228"/>
      <c r="K36" s="229"/>
      <c r="L36" s="227"/>
      <c r="M36" s="228"/>
      <c r="N36" s="228"/>
      <c r="O36" s="229"/>
      <c r="P36" s="98"/>
    </row>
  </sheetData>
  <mergeCells count="55">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s>
  <conditionalFormatting sqref="B10">
    <cfRule type="cellIs" dxfId="49" priority="11" operator="equal">
      <formula>"Nok"</formula>
    </cfRule>
    <cfRule type="cellIs" dxfId="48" priority="12" operator="equal">
      <formula>"Ok"</formula>
    </cfRule>
  </conditionalFormatting>
  <conditionalFormatting sqref="B9">
    <cfRule type="cellIs" dxfId="47" priority="9" operator="equal">
      <formula>"Nok"</formula>
    </cfRule>
    <cfRule type="cellIs" dxfId="46" priority="10" operator="equal">
      <formula>"Ok"</formula>
    </cfRule>
  </conditionalFormatting>
  <conditionalFormatting sqref="P25 P27 P29 P31 P33 P35">
    <cfRule type="cellIs" dxfId="45" priority="7" operator="equal">
      <formula>"Nok"</formula>
    </cfRule>
    <cfRule type="cellIs" dxfId="44" priority="8" operator="equal">
      <formula>"Ok"</formula>
    </cfRule>
  </conditionalFormatting>
  <conditionalFormatting sqref="P26 P28 P30 P32 P34 P36">
    <cfRule type="cellIs" dxfId="43" priority="1" operator="equal">
      <formula>"Nok"</formula>
    </cfRule>
    <cfRule type="cellIs" dxfId="42" priority="2" operator="equal">
      <formula>"Ok"</formula>
    </cfRule>
  </conditionalFormatting>
  <conditionalFormatting sqref="P22:P23">
    <cfRule type="cellIs" dxfId="41" priority="5" operator="equal">
      <formula>"Nok"</formula>
    </cfRule>
    <cfRule type="cellIs" dxfId="40" priority="6" operator="equal">
      <formula>"Ok"</formula>
    </cfRule>
  </conditionalFormatting>
  <conditionalFormatting sqref="P24">
    <cfRule type="cellIs" dxfId="39" priority="3" operator="equal">
      <formula>"Nok"</formula>
    </cfRule>
    <cfRule type="cellIs" dxfId="38" priority="4" operator="equal">
      <formula>"Ok"</formula>
    </cfRule>
  </conditionalFormatting>
  <dataValidations count="2">
    <dataValidation type="list" allowBlank="1" showInputMessage="1" showErrorMessage="1" sqref="B5" xr:uid="{EC81AB6D-518C-47E4-B469-B27BA363E581}">
      <formula1>"Nominal, Robustness, Endurance, Qualification"</formula1>
    </dataValidation>
    <dataValidation type="list" allowBlank="1" showInputMessage="1" showErrorMessage="1" sqref="B9 P22:P36" xr:uid="{E2243253-9989-4A6A-B37B-F363F69A0F8E}">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8E3EB-51EE-45A1-B417-57B05F83F9F7}">
  <sheetPr codeName="Sheet37"/>
  <dimension ref="A1:P44"/>
  <sheetViews>
    <sheetView workbookViewId="0">
      <selection activeCell="B24" sqref="B24:G24"/>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446</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445</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447</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472</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2.75" customHeight="1" x14ac:dyDescent="0.25">
      <c r="A22" s="104" t="s">
        <v>49</v>
      </c>
      <c r="B22" s="208" t="s">
        <v>151</v>
      </c>
      <c r="C22" s="209"/>
      <c r="D22" s="209"/>
      <c r="E22" s="209"/>
      <c r="F22" s="209"/>
      <c r="G22" s="210"/>
      <c r="H22" s="196"/>
      <c r="I22" s="197"/>
      <c r="J22" s="197"/>
      <c r="K22" s="198"/>
      <c r="L22" s="196"/>
      <c r="M22" s="197"/>
      <c r="N22" s="197"/>
      <c r="O22" s="198"/>
      <c r="P22" s="98"/>
    </row>
    <row r="23" spans="1:16" ht="42.75" customHeight="1" x14ac:dyDescent="0.25">
      <c r="A23" s="104" t="s">
        <v>50</v>
      </c>
      <c r="B23" s="208" t="s">
        <v>499</v>
      </c>
      <c r="C23" s="209"/>
      <c r="D23" s="209"/>
      <c r="E23" s="209"/>
      <c r="F23" s="209"/>
      <c r="G23" s="210"/>
      <c r="H23" s="196" t="s">
        <v>454</v>
      </c>
      <c r="I23" s="197"/>
      <c r="J23" s="197"/>
      <c r="K23" s="198"/>
      <c r="L23" s="196" t="s">
        <v>454</v>
      </c>
      <c r="M23" s="197"/>
      <c r="N23" s="197"/>
      <c r="O23" s="198"/>
      <c r="P23" s="98" t="s">
        <v>131</v>
      </c>
    </row>
    <row r="24" spans="1:16" ht="42.75" customHeight="1" x14ac:dyDescent="0.25">
      <c r="A24" s="104" t="s">
        <v>51</v>
      </c>
      <c r="B24" s="208" t="s">
        <v>473</v>
      </c>
      <c r="C24" s="209"/>
      <c r="D24" s="209"/>
      <c r="E24" s="209"/>
      <c r="F24" s="209"/>
      <c r="G24" s="210"/>
      <c r="H24" s="199" t="s">
        <v>455</v>
      </c>
      <c r="I24" s="199"/>
      <c r="J24" s="199"/>
      <c r="K24" s="199"/>
      <c r="L24" s="199" t="s">
        <v>455</v>
      </c>
      <c r="M24" s="199"/>
      <c r="N24" s="199"/>
      <c r="O24" s="199"/>
      <c r="P24" s="98" t="s">
        <v>131</v>
      </c>
    </row>
    <row r="25" spans="1:16" ht="42.75" customHeight="1" x14ac:dyDescent="0.25">
      <c r="A25" s="104" t="s">
        <v>52</v>
      </c>
      <c r="B25" s="208" t="s">
        <v>452</v>
      </c>
      <c r="C25" s="209"/>
      <c r="D25" s="209"/>
      <c r="E25" s="209"/>
      <c r="F25" s="209"/>
      <c r="G25" s="210"/>
      <c r="H25" s="199" t="s">
        <v>474</v>
      </c>
      <c r="I25" s="199"/>
      <c r="J25" s="199"/>
      <c r="K25" s="199"/>
      <c r="L25" s="199" t="s">
        <v>474</v>
      </c>
      <c r="M25" s="199"/>
      <c r="N25" s="199"/>
      <c r="O25" s="199"/>
      <c r="P25" s="98" t="s">
        <v>131</v>
      </c>
    </row>
    <row r="26" spans="1:16" ht="42.75" customHeight="1" x14ac:dyDescent="0.25">
      <c r="A26" s="104" t="s">
        <v>53</v>
      </c>
      <c r="B26" s="220" t="s">
        <v>457</v>
      </c>
      <c r="C26" s="221"/>
      <c r="D26" s="221"/>
      <c r="E26" s="221"/>
      <c r="F26" s="221"/>
      <c r="G26" s="222"/>
      <c r="H26" s="227"/>
      <c r="I26" s="228"/>
      <c r="J26" s="228"/>
      <c r="K26" s="229"/>
      <c r="L26" s="227"/>
      <c r="M26" s="228"/>
      <c r="N26" s="228"/>
      <c r="O26" s="229"/>
      <c r="P26" s="98"/>
    </row>
    <row r="27" spans="1:16" ht="42.75" customHeight="1" x14ac:dyDescent="0.25">
      <c r="A27" s="104" t="s">
        <v>54</v>
      </c>
      <c r="B27" s="208" t="s">
        <v>475</v>
      </c>
      <c r="C27" s="209"/>
      <c r="D27" s="209"/>
      <c r="E27" s="209"/>
      <c r="F27" s="209"/>
      <c r="G27" s="210"/>
      <c r="H27" s="199" t="s">
        <v>455</v>
      </c>
      <c r="I27" s="199"/>
      <c r="J27" s="199"/>
      <c r="K27" s="199"/>
      <c r="L27" s="199" t="s">
        <v>455</v>
      </c>
      <c r="M27" s="199"/>
      <c r="N27" s="199"/>
      <c r="O27" s="199"/>
      <c r="P27" s="98" t="s">
        <v>131</v>
      </c>
    </row>
    <row r="28" spans="1:16" ht="42.75" customHeight="1" x14ac:dyDescent="0.25">
      <c r="A28" s="104" t="s">
        <v>55</v>
      </c>
      <c r="B28" s="208" t="s">
        <v>452</v>
      </c>
      <c r="C28" s="209"/>
      <c r="D28" s="209"/>
      <c r="E28" s="209"/>
      <c r="F28" s="209"/>
      <c r="G28" s="210"/>
      <c r="H28" s="199" t="s">
        <v>476</v>
      </c>
      <c r="I28" s="199"/>
      <c r="J28" s="199"/>
      <c r="K28" s="199"/>
      <c r="L28" s="199" t="s">
        <v>476</v>
      </c>
      <c r="M28" s="199"/>
      <c r="N28" s="199"/>
      <c r="O28" s="199"/>
      <c r="P28" s="98" t="s">
        <v>131</v>
      </c>
    </row>
    <row r="29" spans="1:16" ht="42.75" customHeight="1" x14ac:dyDescent="0.25">
      <c r="A29" s="104" t="s">
        <v>419</v>
      </c>
      <c r="B29" s="220" t="s">
        <v>457</v>
      </c>
      <c r="C29" s="221"/>
      <c r="D29" s="221"/>
      <c r="E29" s="221"/>
      <c r="F29" s="221"/>
      <c r="G29" s="222"/>
      <c r="H29" s="227"/>
      <c r="I29" s="228"/>
      <c r="J29" s="228"/>
      <c r="K29" s="229"/>
      <c r="L29" s="227"/>
      <c r="M29" s="228"/>
      <c r="N29" s="228"/>
      <c r="O29" s="229"/>
      <c r="P29" s="98"/>
    </row>
    <row r="30" spans="1:16" ht="42.75" customHeight="1" x14ac:dyDescent="0.25">
      <c r="A30" s="104" t="s">
        <v>420</v>
      </c>
      <c r="B30" s="208" t="s">
        <v>477</v>
      </c>
      <c r="C30" s="209"/>
      <c r="D30" s="209"/>
      <c r="E30" s="209"/>
      <c r="F30" s="209"/>
      <c r="G30" s="210"/>
      <c r="H30" s="199" t="s">
        <v>455</v>
      </c>
      <c r="I30" s="199"/>
      <c r="J30" s="199"/>
      <c r="K30" s="199"/>
      <c r="L30" s="199" t="s">
        <v>455</v>
      </c>
      <c r="M30" s="199"/>
      <c r="N30" s="199"/>
      <c r="O30" s="199"/>
      <c r="P30" s="98" t="s">
        <v>131</v>
      </c>
    </row>
    <row r="31" spans="1:16" ht="42.75" customHeight="1" x14ac:dyDescent="0.25">
      <c r="A31" s="104" t="s">
        <v>421</v>
      </c>
      <c r="B31" s="208" t="s">
        <v>452</v>
      </c>
      <c r="C31" s="209"/>
      <c r="D31" s="209"/>
      <c r="E31" s="209"/>
      <c r="F31" s="209"/>
      <c r="G31" s="210"/>
      <c r="H31" s="199" t="s">
        <v>478</v>
      </c>
      <c r="I31" s="199"/>
      <c r="J31" s="199"/>
      <c r="K31" s="199"/>
      <c r="L31" s="199" t="s">
        <v>478</v>
      </c>
      <c r="M31" s="199"/>
      <c r="N31" s="199"/>
      <c r="O31" s="199"/>
      <c r="P31" s="98" t="s">
        <v>131</v>
      </c>
    </row>
    <row r="32" spans="1:16" ht="42.75" customHeight="1" x14ac:dyDescent="0.25">
      <c r="A32" s="104" t="s">
        <v>422</v>
      </c>
      <c r="B32" s="236" t="s">
        <v>457</v>
      </c>
      <c r="C32" s="236"/>
      <c r="D32" s="236"/>
      <c r="E32" s="236"/>
      <c r="F32" s="236"/>
      <c r="G32" s="236"/>
      <c r="H32" s="199"/>
      <c r="I32" s="199"/>
      <c r="J32" s="199"/>
      <c r="K32" s="199"/>
      <c r="L32" s="199"/>
      <c r="M32" s="199"/>
      <c r="N32" s="199"/>
      <c r="O32" s="199"/>
      <c r="P32" s="112"/>
    </row>
    <row r="33" spans="1:16" ht="42.75" customHeight="1" x14ac:dyDescent="0.25">
      <c r="A33" s="104" t="s">
        <v>423</v>
      </c>
      <c r="B33" s="208" t="s">
        <v>479</v>
      </c>
      <c r="C33" s="209"/>
      <c r="D33" s="209"/>
      <c r="E33" s="209"/>
      <c r="F33" s="209"/>
      <c r="G33" s="210"/>
      <c r="H33" s="199" t="s">
        <v>455</v>
      </c>
      <c r="I33" s="199"/>
      <c r="J33" s="199"/>
      <c r="K33" s="199"/>
      <c r="L33" s="199" t="s">
        <v>455</v>
      </c>
      <c r="M33" s="199"/>
      <c r="N33" s="199"/>
      <c r="O33" s="199"/>
      <c r="P33" s="98" t="s">
        <v>131</v>
      </c>
    </row>
    <row r="34" spans="1:16" ht="42.75" customHeight="1" x14ac:dyDescent="0.25">
      <c r="A34" s="104" t="s">
        <v>424</v>
      </c>
      <c r="B34" s="208" t="s">
        <v>452</v>
      </c>
      <c r="C34" s="209"/>
      <c r="D34" s="209"/>
      <c r="E34" s="209"/>
      <c r="F34" s="209"/>
      <c r="G34" s="210"/>
      <c r="H34" s="199" t="s">
        <v>480</v>
      </c>
      <c r="I34" s="199"/>
      <c r="J34" s="199"/>
      <c r="K34" s="199"/>
      <c r="L34" s="199" t="s">
        <v>480</v>
      </c>
      <c r="M34" s="199"/>
      <c r="N34" s="199"/>
      <c r="O34" s="199"/>
      <c r="P34" s="98" t="s">
        <v>131</v>
      </c>
    </row>
    <row r="35" spans="1:16" ht="42.75" customHeight="1" x14ac:dyDescent="0.25">
      <c r="A35" s="104" t="s">
        <v>425</v>
      </c>
      <c r="B35" s="220" t="s">
        <v>457</v>
      </c>
      <c r="C35" s="221"/>
      <c r="D35" s="221"/>
      <c r="E35" s="221"/>
      <c r="F35" s="221"/>
      <c r="G35" s="222"/>
      <c r="H35" s="227"/>
      <c r="I35" s="228"/>
      <c r="J35" s="228"/>
      <c r="K35" s="229"/>
      <c r="L35" s="227"/>
      <c r="M35" s="228"/>
      <c r="N35" s="228"/>
      <c r="O35" s="229"/>
      <c r="P35" s="98"/>
    </row>
    <row r="36" spans="1:16" ht="42.75" customHeight="1" x14ac:dyDescent="0.25">
      <c r="A36" s="104" t="s">
        <v>426</v>
      </c>
      <c r="B36" s="208" t="s">
        <v>481</v>
      </c>
      <c r="C36" s="209"/>
      <c r="D36" s="209"/>
      <c r="E36" s="209"/>
      <c r="F36" s="209"/>
      <c r="G36" s="210"/>
      <c r="H36" s="199" t="s">
        <v>455</v>
      </c>
      <c r="I36" s="199"/>
      <c r="J36" s="199"/>
      <c r="K36" s="199"/>
      <c r="L36" s="199" t="s">
        <v>455</v>
      </c>
      <c r="M36" s="199"/>
      <c r="N36" s="199"/>
      <c r="O36" s="199"/>
      <c r="P36" s="98" t="s">
        <v>131</v>
      </c>
    </row>
    <row r="37" spans="1:16" ht="42.75" customHeight="1" x14ac:dyDescent="0.25">
      <c r="A37" s="104" t="s">
        <v>486</v>
      </c>
      <c r="B37" s="208" t="s">
        <v>452</v>
      </c>
      <c r="C37" s="209"/>
      <c r="D37" s="209"/>
      <c r="E37" s="209"/>
      <c r="F37" s="209"/>
      <c r="G37" s="210"/>
      <c r="H37" s="199" t="s">
        <v>482</v>
      </c>
      <c r="I37" s="199"/>
      <c r="J37" s="199"/>
      <c r="K37" s="199"/>
      <c r="L37" s="199" t="s">
        <v>482</v>
      </c>
      <c r="M37" s="199"/>
      <c r="N37" s="199"/>
      <c r="O37" s="199"/>
      <c r="P37" s="98" t="s">
        <v>131</v>
      </c>
    </row>
    <row r="38" spans="1:16" ht="42.75" customHeight="1" x14ac:dyDescent="0.25">
      <c r="A38" s="104" t="s">
        <v>487</v>
      </c>
      <c r="B38" s="220" t="s">
        <v>457</v>
      </c>
      <c r="C38" s="221"/>
      <c r="D38" s="221"/>
      <c r="E38" s="221"/>
      <c r="F38" s="221"/>
      <c r="G38" s="222"/>
      <c r="H38" s="227"/>
      <c r="I38" s="228"/>
      <c r="J38" s="228"/>
      <c r="K38" s="229"/>
      <c r="L38" s="227"/>
      <c r="M38" s="228"/>
      <c r="N38" s="228"/>
      <c r="O38" s="229"/>
      <c r="P38" s="98"/>
    </row>
    <row r="39" spans="1:16" ht="42.75" customHeight="1" x14ac:dyDescent="0.25">
      <c r="A39" s="104" t="s">
        <v>488</v>
      </c>
      <c r="B39" s="208" t="s">
        <v>484</v>
      </c>
      <c r="C39" s="209"/>
      <c r="D39" s="209"/>
      <c r="E39" s="209"/>
      <c r="F39" s="209"/>
      <c r="G39" s="210"/>
      <c r="H39" s="199" t="s">
        <v>455</v>
      </c>
      <c r="I39" s="199"/>
      <c r="J39" s="199"/>
      <c r="K39" s="199"/>
      <c r="L39" s="199" t="s">
        <v>455</v>
      </c>
      <c r="M39" s="199"/>
      <c r="N39" s="199"/>
      <c r="O39" s="199"/>
      <c r="P39" s="98" t="s">
        <v>131</v>
      </c>
    </row>
    <row r="40" spans="1:16" ht="42.75" customHeight="1" x14ac:dyDescent="0.25">
      <c r="A40" s="104" t="s">
        <v>489</v>
      </c>
      <c r="B40" s="208" t="s">
        <v>452</v>
      </c>
      <c r="C40" s="209"/>
      <c r="D40" s="209"/>
      <c r="E40" s="209"/>
      <c r="F40" s="209"/>
      <c r="G40" s="210"/>
      <c r="H40" s="199" t="s">
        <v>485</v>
      </c>
      <c r="I40" s="199"/>
      <c r="J40" s="199"/>
      <c r="K40" s="199"/>
      <c r="L40" s="199" t="s">
        <v>485</v>
      </c>
      <c r="M40" s="199"/>
      <c r="N40" s="199"/>
      <c r="O40" s="199"/>
      <c r="P40" s="98" t="s">
        <v>131</v>
      </c>
    </row>
    <row r="41" spans="1:16" ht="42.75" customHeight="1" x14ac:dyDescent="0.25">
      <c r="A41" s="104" t="s">
        <v>490</v>
      </c>
      <c r="B41" s="220" t="s">
        <v>457</v>
      </c>
      <c r="C41" s="221"/>
      <c r="D41" s="221"/>
      <c r="E41" s="221"/>
      <c r="F41" s="221"/>
      <c r="G41" s="222"/>
      <c r="H41" s="227"/>
      <c r="I41" s="228"/>
      <c r="J41" s="228"/>
      <c r="K41" s="229"/>
      <c r="L41" s="227"/>
      <c r="M41" s="228"/>
      <c r="N41" s="228"/>
      <c r="O41" s="229"/>
      <c r="P41" s="98"/>
    </row>
    <row r="42" spans="1:16" ht="42.75" customHeight="1" x14ac:dyDescent="0.25">
      <c r="A42" s="104" t="s">
        <v>491</v>
      </c>
      <c r="B42" s="208" t="s">
        <v>494</v>
      </c>
      <c r="C42" s="209"/>
      <c r="D42" s="209"/>
      <c r="E42" s="209"/>
      <c r="F42" s="209"/>
      <c r="G42" s="210"/>
      <c r="H42" s="199" t="s">
        <v>455</v>
      </c>
      <c r="I42" s="199"/>
      <c r="J42" s="199"/>
      <c r="K42" s="199"/>
      <c r="L42" s="199" t="s">
        <v>455</v>
      </c>
      <c r="M42" s="199"/>
      <c r="N42" s="199"/>
      <c r="O42" s="199"/>
      <c r="P42" s="98" t="s">
        <v>131</v>
      </c>
    </row>
    <row r="43" spans="1:16" ht="42.75" customHeight="1" x14ac:dyDescent="0.25">
      <c r="A43" s="104" t="s">
        <v>492</v>
      </c>
      <c r="B43" s="208" t="s">
        <v>452</v>
      </c>
      <c r="C43" s="209"/>
      <c r="D43" s="209"/>
      <c r="E43" s="209"/>
      <c r="F43" s="209"/>
      <c r="G43" s="210"/>
      <c r="H43" s="199" t="s">
        <v>495</v>
      </c>
      <c r="I43" s="199"/>
      <c r="J43" s="199"/>
      <c r="K43" s="199"/>
      <c r="L43" s="199" t="s">
        <v>495</v>
      </c>
      <c r="M43" s="199"/>
      <c r="N43" s="199"/>
      <c r="O43" s="199"/>
      <c r="P43" s="98" t="s">
        <v>131</v>
      </c>
    </row>
    <row r="44" spans="1:16" ht="42.75" customHeight="1" x14ac:dyDescent="0.25">
      <c r="A44" s="104" t="s">
        <v>493</v>
      </c>
      <c r="B44" s="220" t="s">
        <v>457</v>
      </c>
      <c r="C44" s="221"/>
      <c r="D44" s="221"/>
      <c r="E44" s="221"/>
      <c r="F44" s="221"/>
      <c r="G44" s="222"/>
      <c r="H44" s="227"/>
      <c r="I44" s="228"/>
      <c r="J44" s="228"/>
      <c r="K44" s="229"/>
      <c r="L44" s="227"/>
      <c r="M44" s="228"/>
      <c r="N44" s="228"/>
      <c r="O44" s="229"/>
      <c r="P44" s="98"/>
    </row>
  </sheetData>
  <mergeCells count="79">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 ref="B37:G37"/>
    <mergeCell ref="H37:K37"/>
    <mergeCell ref="L37:O37"/>
    <mergeCell ref="B38:G38"/>
    <mergeCell ref="H38:K38"/>
    <mergeCell ref="L38:O38"/>
    <mergeCell ref="B39:G39"/>
    <mergeCell ref="H39:K39"/>
    <mergeCell ref="L39:O39"/>
    <mergeCell ref="B40:G40"/>
    <mergeCell ref="H40:K40"/>
    <mergeCell ref="L40:O40"/>
    <mergeCell ref="B41:G41"/>
    <mergeCell ref="H41:K41"/>
    <mergeCell ref="L41:O41"/>
    <mergeCell ref="B42:G42"/>
    <mergeCell ref="H42:K42"/>
    <mergeCell ref="L42:O42"/>
    <mergeCell ref="B43:G43"/>
    <mergeCell ref="H43:K43"/>
    <mergeCell ref="L43:O43"/>
    <mergeCell ref="B44:G44"/>
    <mergeCell ref="H44:K44"/>
    <mergeCell ref="L44:O44"/>
  </mergeCells>
  <phoneticPr fontId="42" type="noConversion"/>
  <conditionalFormatting sqref="B10">
    <cfRule type="cellIs" dxfId="37" priority="25" operator="equal">
      <formula>"Nok"</formula>
    </cfRule>
    <cfRule type="cellIs" dxfId="36" priority="26" operator="equal">
      <formula>"Ok"</formula>
    </cfRule>
  </conditionalFormatting>
  <conditionalFormatting sqref="B9">
    <cfRule type="cellIs" dxfId="35" priority="23" operator="equal">
      <formula>"Nok"</formula>
    </cfRule>
    <cfRule type="cellIs" dxfId="34" priority="24" operator="equal">
      <formula>"Ok"</formula>
    </cfRule>
  </conditionalFormatting>
  <conditionalFormatting sqref="P25 P27 P29 P31 P33 P35">
    <cfRule type="cellIs" dxfId="33" priority="21" operator="equal">
      <formula>"Nok"</formula>
    </cfRule>
    <cfRule type="cellIs" dxfId="32" priority="22" operator="equal">
      <formula>"Ok"</formula>
    </cfRule>
  </conditionalFormatting>
  <conditionalFormatting sqref="P28 P30 P32 P34">
    <cfRule type="cellIs" dxfId="31" priority="15" operator="equal">
      <formula>"Nok"</formula>
    </cfRule>
    <cfRule type="cellIs" dxfId="30" priority="16" operator="equal">
      <formula>"Ok"</formula>
    </cfRule>
  </conditionalFormatting>
  <conditionalFormatting sqref="P22:P23">
    <cfRule type="cellIs" dxfId="29" priority="19" operator="equal">
      <formula>"Nok"</formula>
    </cfRule>
    <cfRule type="cellIs" dxfId="28" priority="20" operator="equal">
      <formula>"Ok"</formula>
    </cfRule>
  </conditionalFormatting>
  <conditionalFormatting sqref="P24">
    <cfRule type="cellIs" dxfId="27" priority="17" operator="equal">
      <formula>"Nok"</formula>
    </cfRule>
    <cfRule type="cellIs" dxfId="26" priority="18" operator="equal">
      <formula>"Ok"</formula>
    </cfRule>
  </conditionalFormatting>
  <conditionalFormatting sqref="P26">
    <cfRule type="cellIs" dxfId="25" priority="13" operator="equal">
      <formula>"Nok"</formula>
    </cfRule>
    <cfRule type="cellIs" dxfId="24" priority="14" operator="equal">
      <formula>"Ok"</formula>
    </cfRule>
  </conditionalFormatting>
  <conditionalFormatting sqref="P36 P38">
    <cfRule type="cellIs" dxfId="23" priority="11" operator="equal">
      <formula>"Nok"</formula>
    </cfRule>
    <cfRule type="cellIs" dxfId="22" priority="12" operator="equal">
      <formula>"Ok"</formula>
    </cfRule>
  </conditionalFormatting>
  <conditionalFormatting sqref="P37">
    <cfRule type="cellIs" dxfId="21" priority="9" operator="equal">
      <formula>"Nok"</formula>
    </cfRule>
    <cfRule type="cellIs" dxfId="20" priority="10" operator="equal">
      <formula>"Ok"</formula>
    </cfRule>
  </conditionalFormatting>
  <conditionalFormatting sqref="P39 P41">
    <cfRule type="cellIs" dxfId="19" priority="7" operator="equal">
      <formula>"Nok"</formula>
    </cfRule>
    <cfRule type="cellIs" dxfId="18" priority="8" operator="equal">
      <formula>"Ok"</formula>
    </cfRule>
  </conditionalFormatting>
  <conditionalFormatting sqref="P40">
    <cfRule type="cellIs" dxfId="17" priority="5" operator="equal">
      <formula>"Nok"</formula>
    </cfRule>
    <cfRule type="cellIs" dxfId="16" priority="6" operator="equal">
      <formula>"Ok"</formula>
    </cfRule>
  </conditionalFormatting>
  <conditionalFormatting sqref="P42 P44">
    <cfRule type="cellIs" dxfId="15" priority="3" operator="equal">
      <formula>"Nok"</formula>
    </cfRule>
    <cfRule type="cellIs" dxfId="14" priority="4" operator="equal">
      <formula>"Ok"</formula>
    </cfRule>
  </conditionalFormatting>
  <conditionalFormatting sqref="P43">
    <cfRule type="cellIs" dxfId="13" priority="1" operator="equal">
      <formula>"Nok"</formula>
    </cfRule>
    <cfRule type="cellIs" dxfId="12" priority="2" operator="equal">
      <formula>"Ok"</formula>
    </cfRule>
  </conditionalFormatting>
  <dataValidations count="2">
    <dataValidation type="list" allowBlank="1" showInputMessage="1" showErrorMessage="1" sqref="B9 P22:P44" xr:uid="{E356BF12-C4D4-4FBE-97C8-C6B503C0A452}">
      <formula1>"Ok, Nok, Not run, ,"</formula1>
    </dataValidation>
    <dataValidation type="list" allowBlank="1" showInputMessage="1" showErrorMessage="1" sqref="B5" xr:uid="{A61199E7-DFA2-4228-9324-7DB437B5153F}">
      <formula1>"Nominal, Robustness, Endurance, Qualification"</formula1>
    </dataValidation>
  </dataValidations>
  <pageMargins left="0.7" right="0.7" top="0.75" bottom="0.75" header="0.3" footer="0.3"/>
  <pageSetup paperSize="9" orientation="portrait" r:id="rId1"/>
  <headerFooter>
    <oddFooter>&amp;LNA ver 2&amp;R&amp;P</oddFooter>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63579-928B-4305-A55E-E80E82DD6140}">
  <sheetPr codeName="Sheet38"/>
  <dimension ref="A1:P36"/>
  <sheetViews>
    <sheetView workbookViewId="0">
      <selection activeCell="H26" sqref="H26:K26"/>
    </sheetView>
  </sheetViews>
  <sheetFormatPr defaultColWidth="9.33203125" defaultRowHeight="13.2" x14ac:dyDescent="0.25"/>
  <cols>
    <col min="1" max="1" width="20.33203125" style="100" customWidth="1"/>
    <col min="2" max="2" width="18.44140625" style="96" customWidth="1"/>
    <col min="3" max="6" width="9.33203125" style="96"/>
    <col min="7" max="7" width="12.33203125" style="96" customWidth="1"/>
    <col min="8" max="15" width="9.5546875" style="96" customWidth="1"/>
    <col min="16" max="16384" width="9.33203125" style="96"/>
  </cols>
  <sheetData>
    <row r="1" spans="1:15" ht="13.8" thickBot="1" x14ac:dyDescent="0.3">
      <c r="A1" s="101" t="s">
        <v>40</v>
      </c>
      <c r="B1" s="200" t="s">
        <v>449</v>
      </c>
      <c r="C1" s="201"/>
      <c r="D1" s="201"/>
      <c r="E1" s="201"/>
      <c r="F1" s="201"/>
      <c r="G1" s="202"/>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03" t="s">
        <v>448</v>
      </c>
      <c r="C3" s="204"/>
      <c r="D3" s="204"/>
      <c r="E3" s="204"/>
      <c r="F3" s="204"/>
      <c r="G3" s="205"/>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132</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03" t="s">
        <v>450</v>
      </c>
      <c r="C7" s="204"/>
      <c r="D7" s="204"/>
      <c r="E7" s="204"/>
      <c r="F7" s="204"/>
      <c r="G7" s="205"/>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98" t="s">
        <v>131</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206" t="s">
        <v>109</v>
      </c>
      <c r="B11" s="211" t="s">
        <v>130</v>
      </c>
      <c r="C11" s="212"/>
      <c r="D11" s="212"/>
      <c r="E11" s="212"/>
      <c r="F11" s="212"/>
      <c r="G11" s="213"/>
      <c r="H11" s="74"/>
      <c r="I11" s="74"/>
      <c r="J11" s="74"/>
      <c r="K11" s="74"/>
      <c r="L11" s="74"/>
      <c r="M11" s="74"/>
      <c r="N11" s="74"/>
      <c r="O11" s="74"/>
    </row>
    <row r="12" spans="1:15" x14ac:dyDescent="0.25">
      <c r="A12" s="207"/>
      <c r="B12" s="214"/>
      <c r="C12" s="215"/>
      <c r="D12" s="215"/>
      <c r="E12" s="215"/>
      <c r="F12" s="215"/>
      <c r="G12" s="216"/>
      <c r="H12" s="74"/>
      <c r="I12" s="74"/>
      <c r="J12" s="74"/>
      <c r="K12" s="74"/>
      <c r="L12" s="74"/>
      <c r="M12" s="74"/>
      <c r="N12" s="74"/>
      <c r="O12" s="74"/>
    </row>
    <row r="13" spans="1:15" x14ac:dyDescent="0.25">
      <c r="A13" s="207"/>
      <c r="B13" s="214"/>
      <c r="C13" s="215"/>
      <c r="D13" s="215"/>
      <c r="E13" s="215"/>
      <c r="F13" s="215"/>
      <c r="G13" s="216"/>
      <c r="H13" s="72"/>
      <c r="I13" s="74"/>
      <c r="J13" s="74"/>
      <c r="K13" s="74"/>
      <c r="L13" s="74"/>
      <c r="M13" s="74"/>
      <c r="N13" s="74"/>
      <c r="O13" s="74"/>
    </row>
    <row r="14" spans="1:15" ht="13.8" thickBot="1" x14ac:dyDescent="0.3">
      <c r="A14" s="207"/>
      <c r="B14" s="217"/>
      <c r="C14" s="218"/>
      <c r="D14" s="218"/>
      <c r="E14" s="218"/>
      <c r="F14" s="218"/>
      <c r="G14" s="219"/>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206" t="s">
        <v>43</v>
      </c>
      <c r="B16" s="211" t="s">
        <v>150</v>
      </c>
      <c r="C16" s="212"/>
      <c r="D16" s="212"/>
      <c r="E16" s="212"/>
      <c r="F16" s="212"/>
      <c r="G16" s="213"/>
      <c r="H16" s="74"/>
      <c r="I16" s="74"/>
      <c r="J16" s="74"/>
      <c r="K16" s="74"/>
      <c r="L16" s="74"/>
      <c r="M16" s="74"/>
      <c r="N16" s="74"/>
      <c r="O16" s="74"/>
    </row>
    <row r="17" spans="1:16" x14ac:dyDescent="0.25">
      <c r="A17" s="207"/>
      <c r="B17" s="214"/>
      <c r="C17" s="215"/>
      <c r="D17" s="215"/>
      <c r="E17" s="215"/>
      <c r="F17" s="215"/>
      <c r="G17" s="216"/>
      <c r="H17" s="74"/>
      <c r="I17" s="74"/>
      <c r="J17" s="74"/>
      <c r="K17" s="74"/>
      <c r="L17" s="74"/>
      <c r="M17" s="74"/>
      <c r="N17" s="74"/>
      <c r="O17" s="74"/>
    </row>
    <row r="18" spans="1:16" x14ac:dyDescent="0.25">
      <c r="A18" s="207"/>
      <c r="B18" s="214"/>
      <c r="C18" s="215"/>
      <c r="D18" s="215"/>
      <c r="E18" s="215"/>
      <c r="F18" s="215"/>
      <c r="G18" s="216"/>
      <c r="H18" s="72"/>
      <c r="I18" s="74"/>
      <c r="J18" s="74"/>
      <c r="K18" s="74"/>
      <c r="L18" s="74"/>
      <c r="M18" s="74"/>
      <c r="N18" s="74"/>
      <c r="O18" s="74"/>
    </row>
    <row r="19" spans="1:16" ht="13.8" thickBot="1" x14ac:dyDescent="0.3">
      <c r="A19" s="207"/>
      <c r="B19" s="217"/>
      <c r="C19" s="218"/>
      <c r="D19" s="218"/>
      <c r="E19" s="218"/>
      <c r="F19" s="218"/>
      <c r="G19" s="219"/>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3" t="s">
        <v>47</v>
      </c>
      <c r="B21" s="194"/>
      <c r="C21" s="194"/>
      <c r="D21" s="194"/>
      <c r="E21" s="194"/>
      <c r="F21" s="194"/>
      <c r="G21" s="195"/>
      <c r="H21" s="193" t="s">
        <v>48</v>
      </c>
      <c r="I21" s="194"/>
      <c r="J21" s="194"/>
      <c r="K21" s="195"/>
      <c r="L21" s="193" t="s">
        <v>57</v>
      </c>
      <c r="M21" s="194"/>
      <c r="N21" s="194"/>
      <c r="O21" s="195"/>
      <c r="P21" s="103" t="s">
        <v>46</v>
      </c>
    </row>
    <row r="22" spans="1:16" ht="48" customHeight="1" x14ac:dyDescent="0.25">
      <c r="A22" s="104" t="s">
        <v>49</v>
      </c>
      <c r="B22" s="208" t="s">
        <v>151</v>
      </c>
      <c r="C22" s="209"/>
      <c r="D22" s="209"/>
      <c r="E22" s="209"/>
      <c r="F22" s="209"/>
      <c r="G22" s="210"/>
      <c r="H22" s="196"/>
      <c r="I22" s="197"/>
      <c r="J22" s="197"/>
      <c r="K22" s="198"/>
      <c r="L22" s="196"/>
      <c r="M22" s="197"/>
      <c r="N22" s="197"/>
      <c r="O22" s="198"/>
      <c r="P22" s="98"/>
    </row>
    <row r="23" spans="1:16" ht="48" customHeight="1" x14ac:dyDescent="0.25">
      <c r="A23" s="104" t="s">
        <v>50</v>
      </c>
      <c r="B23" s="208" t="s">
        <v>453</v>
      </c>
      <c r="C23" s="209"/>
      <c r="D23" s="209"/>
      <c r="E23" s="209"/>
      <c r="F23" s="209"/>
      <c r="G23" s="210"/>
      <c r="H23" s="196" t="s">
        <v>454</v>
      </c>
      <c r="I23" s="197"/>
      <c r="J23" s="197"/>
      <c r="K23" s="198"/>
      <c r="L23" s="196" t="s">
        <v>454</v>
      </c>
      <c r="M23" s="197"/>
      <c r="N23" s="197"/>
      <c r="O23" s="198"/>
      <c r="P23" s="98" t="s">
        <v>131</v>
      </c>
    </row>
    <row r="24" spans="1:16" ht="48" customHeight="1" x14ac:dyDescent="0.25">
      <c r="A24" s="104" t="s">
        <v>51</v>
      </c>
      <c r="B24" s="208" t="s">
        <v>451</v>
      </c>
      <c r="C24" s="209"/>
      <c r="D24" s="209"/>
      <c r="E24" s="209"/>
      <c r="F24" s="209"/>
      <c r="G24" s="210"/>
      <c r="H24" s="199" t="s">
        <v>455</v>
      </c>
      <c r="I24" s="199"/>
      <c r="J24" s="199"/>
      <c r="K24" s="199"/>
      <c r="L24" s="199" t="s">
        <v>455</v>
      </c>
      <c r="M24" s="199"/>
      <c r="N24" s="199"/>
      <c r="O24" s="199"/>
      <c r="P24" s="98" t="s">
        <v>131</v>
      </c>
    </row>
    <row r="25" spans="1:16" ht="48" customHeight="1" x14ac:dyDescent="0.25">
      <c r="A25" s="104" t="s">
        <v>52</v>
      </c>
      <c r="B25" s="208" t="s">
        <v>452</v>
      </c>
      <c r="C25" s="209"/>
      <c r="D25" s="209"/>
      <c r="E25" s="209"/>
      <c r="F25" s="209"/>
      <c r="G25" s="210"/>
      <c r="H25" s="199" t="s">
        <v>456</v>
      </c>
      <c r="I25" s="199"/>
      <c r="J25" s="199"/>
      <c r="K25" s="199"/>
      <c r="L25" s="199" t="s">
        <v>456</v>
      </c>
      <c r="M25" s="199"/>
      <c r="N25" s="199"/>
      <c r="O25" s="199"/>
      <c r="P25" s="98" t="s">
        <v>131</v>
      </c>
    </row>
    <row r="26" spans="1:16" ht="48" customHeight="1" x14ac:dyDescent="0.25">
      <c r="A26" s="104" t="s">
        <v>53</v>
      </c>
      <c r="B26" s="220" t="s">
        <v>457</v>
      </c>
      <c r="C26" s="221"/>
      <c r="D26" s="221"/>
      <c r="E26" s="221"/>
      <c r="F26" s="221"/>
      <c r="G26" s="222"/>
      <c r="H26" s="227"/>
      <c r="I26" s="228"/>
      <c r="J26" s="228"/>
      <c r="K26" s="229"/>
      <c r="L26" s="227"/>
      <c r="M26" s="228"/>
      <c r="N26" s="228"/>
      <c r="O26" s="229"/>
      <c r="P26" s="98"/>
    </row>
    <row r="27" spans="1:16" ht="48" customHeight="1" x14ac:dyDescent="0.25">
      <c r="A27" s="104" t="s">
        <v>54</v>
      </c>
      <c r="B27" s="208" t="s">
        <v>458</v>
      </c>
      <c r="C27" s="209"/>
      <c r="D27" s="209"/>
      <c r="E27" s="209"/>
      <c r="F27" s="209"/>
      <c r="G27" s="210"/>
      <c r="H27" s="199" t="s">
        <v>455</v>
      </c>
      <c r="I27" s="199"/>
      <c r="J27" s="199"/>
      <c r="K27" s="199"/>
      <c r="L27" s="199" t="s">
        <v>455</v>
      </c>
      <c r="M27" s="199"/>
      <c r="N27" s="199"/>
      <c r="O27" s="199"/>
      <c r="P27" s="98" t="s">
        <v>131</v>
      </c>
    </row>
    <row r="28" spans="1:16" ht="48" customHeight="1" x14ac:dyDescent="0.25">
      <c r="A28" s="104" t="s">
        <v>55</v>
      </c>
      <c r="B28" s="208" t="s">
        <v>452</v>
      </c>
      <c r="C28" s="209"/>
      <c r="D28" s="209"/>
      <c r="E28" s="209"/>
      <c r="F28" s="209"/>
      <c r="G28" s="210"/>
      <c r="H28" s="199" t="s">
        <v>459</v>
      </c>
      <c r="I28" s="199"/>
      <c r="J28" s="199"/>
      <c r="K28" s="199"/>
      <c r="L28" s="199" t="s">
        <v>459</v>
      </c>
      <c r="M28" s="199"/>
      <c r="N28" s="199"/>
      <c r="O28" s="199"/>
      <c r="P28" s="98" t="s">
        <v>131</v>
      </c>
    </row>
    <row r="29" spans="1:16" ht="48" customHeight="1" x14ac:dyDescent="0.25">
      <c r="A29" s="104" t="s">
        <v>419</v>
      </c>
      <c r="B29" s="208"/>
      <c r="C29" s="209"/>
      <c r="D29" s="209"/>
      <c r="E29" s="209"/>
      <c r="F29" s="209"/>
      <c r="G29" s="210"/>
      <c r="H29" s="199"/>
      <c r="I29" s="199"/>
      <c r="J29" s="199"/>
      <c r="K29" s="199"/>
      <c r="L29" s="199"/>
      <c r="M29" s="199"/>
      <c r="N29" s="199"/>
      <c r="O29" s="199"/>
      <c r="P29" s="98"/>
    </row>
    <row r="30" spans="1:16" ht="48" customHeight="1" x14ac:dyDescent="0.25">
      <c r="A30" s="104" t="s">
        <v>420</v>
      </c>
      <c r="B30" s="220"/>
      <c r="C30" s="221"/>
      <c r="D30" s="221"/>
      <c r="E30" s="221"/>
      <c r="F30" s="221"/>
      <c r="G30" s="222"/>
      <c r="H30" s="227"/>
      <c r="I30" s="228"/>
      <c r="J30" s="228"/>
      <c r="K30" s="229"/>
      <c r="L30" s="227"/>
      <c r="M30" s="228"/>
      <c r="N30" s="228"/>
      <c r="O30" s="229"/>
      <c r="P30" s="98"/>
    </row>
    <row r="31" spans="1:16" ht="48" customHeight="1" x14ac:dyDescent="0.25">
      <c r="A31" s="104" t="s">
        <v>421</v>
      </c>
      <c r="B31" s="208"/>
      <c r="C31" s="209"/>
      <c r="D31" s="209"/>
      <c r="E31" s="209"/>
      <c r="F31" s="209"/>
      <c r="G31" s="210"/>
      <c r="H31" s="199"/>
      <c r="I31" s="199"/>
      <c r="J31" s="199"/>
      <c r="K31" s="199"/>
      <c r="L31" s="199"/>
      <c r="M31" s="199"/>
      <c r="N31" s="199"/>
      <c r="O31" s="199"/>
      <c r="P31" s="98"/>
    </row>
    <row r="32" spans="1:16" ht="48" customHeight="1" x14ac:dyDescent="0.25">
      <c r="A32" s="104" t="s">
        <v>422</v>
      </c>
      <c r="B32" s="220"/>
      <c r="C32" s="221"/>
      <c r="D32" s="221"/>
      <c r="E32" s="221"/>
      <c r="F32" s="221"/>
      <c r="G32" s="222"/>
      <c r="H32" s="227"/>
      <c r="I32" s="228"/>
      <c r="J32" s="228"/>
      <c r="K32" s="229"/>
      <c r="L32" s="227"/>
      <c r="M32" s="228"/>
      <c r="N32" s="228"/>
      <c r="O32" s="229"/>
      <c r="P32" s="98"/>
    </row>
    <row r="33" spans="1:16" ht="48" customHeight="1" x14ac:dyDescent="0.25">
      <c r="A33" s="104" t="s">
        <v>423</v>
      </c>
      <c r="B33" s="208"/>
      <c r="C33" s="209"/>
      <c r="D33" s="209"/>
      <c r="E33" s="209"/>
      <c r="F33" s="209"/>
      <c r="G33" s="210"/>
      <c r="H33" s="199"/>
      <c r="I33" s="199"/>
      <c r="J33" s="199"/>
      <c r="K33" s="199"/>
      <c r="L33" s="199"/>
      <c r="M33" s="199"/>
      <c r="N33" s="199"/>
      <c r="O33" s="199"/>
      <c r="P33" s="98"/>
    </row>
    <row r="34" spans="1:16" ht="48" customHeight="1" x14ac:dyDescent="0.25">
      <c r="A34" s="104" t="s">
        <v>424</v>
      </c>
      <c r="B34" s="220"/>
      <c r="C34" s="221"/>
      <c r="D34" s="221"/>
      <c r="E34" s="221"/>
      <c r="F34" s="221"/>
      <c r="G34" s="222"/>
      <c r="H34" s="227"/>
      <c r="I34" s="228"/>
      <c r="J34" s="228"/>
      <c r="K34" s="229"/>
      <c r="L34" s="227"/>
      <c r="M34" s="228"/>
      <c r="N34" s="228"/>
      <c r="O34" s="229"/>
      <c r="P34" s="98"/>
    </row>
    <row r="35" spans="1:16" ht="48" customHeight="1" x14ac:dyDescent="0.25">
      <c r="A35" s="104" t="s">
        <v>425</v>
      </c>
      <c r="B35" s="208"/>
      <c r="C35" s="209"/>
      <c r="D35" s="209"/>
      <c r="E35" s="209"/>
      <c r="F35" s="209"/>
      <c r="G35" s="210"/>
      <c r="H35" s="199"/>
      <c r="I35" s="199"/>
      <c r="J35" s="199"/>
      <c r="K35" s="199"/>
      <c r="L35" s="199"/>
      <c r="M35" s="199"/>
      <c r="N35" s="199"/>
      <c r="O35" s="199"/>
      <c r="P35" s="98"/>
    </row>
    <row r="36" spans="1:16" ht="48" customHeight="1" x14ac:dyDescent="0.25">
      <c r="A36" s="104" t="s">
        <v>426</v>
      </c>
      <c r="B36" s="220"/>
      <c r="C36" s="221"/>
      <c r="D36" s="221"/>
      <c r="E36" s="221"/>
      <c r="F36" s="221"/>
      <c r="G36" s="222"/>
      <c r="H36" s="227"/>
      <c r="I36" s="228"/>
      <c r="J36" s="228"/>
      <c r="K36" s="229"/>
      <c r="L36" s="227"/>
      <c r="M36" s="228"/>
      <c r="N36" s="228"/>
      <c r="O36" s="229"/>
      <c r="P36" s="98"/>
    </row>
  </sheetData>
  <mergeCells count="55">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 ref="B31:G31"/>
    <mergeCell ref="H31:K31"/>
    <mergeCell ref="L31:O31"/>
    <mergeCell ref="B32:G32"/>
    <mergeCell ref="H32:K32"/>
    <mergeCell ref="L32:O32"/>
    <mergeCell ref="B33:G33"/>
    <mergeCell ref="H33:K33"/>
    <mergeCell ref="L33:O33"/>
    <mergeCell ref="B34:G34"/>
    <mergeCell ref="H34:K34"/>
    <mergeCell ref="L34:O34"/>
    <mergeCell ref="B35:G35"/>
    <mergeCell ref="H35:K35"/>
    <mergeCell ref="L35:O35"/>
    <mergeCell ref="B36:G36"/>
    <mergeCell ref="H36:K36"/>
    <mergeCell ref="L36:O36"/>
  </mergeCells>
  <conditionalFormatting sqref="B10">
    <cfRule type="cellIs" dxfId="11" priority="11" operator="equal">
      <formula>"Nok"</formula>
    </cfRule>
    <cfRule type="cellIs" dxfId="10" priority="12" operator="equal">
      <formula>"Ok"</formula>
    </cfRule>
  </conditionalFormatting>
  <conditionalFormatting sqref="B9">
    <cfRule type="cellIs" dxfId="9" priority="9" operator="equal">
      <formula>"Nok"</formula>
    </cfRule>
    <cfRule type="cellIs" dxfId="8" priority="10" operator="equal">
      <formula>"Ok"</formula>
    </cfRule>
  </conditionalFormatting>
  <conditionalFormatting sqref="P25 P27 P29 P31 P33 P35">
    <cfRule type="cellIs" dxfId="7" priority="7" operator="equal">
      <formula>"Nok"</formula>
    </cfRule>
    <cfRule type="cellIs" dxfId="6" priority="8" operator="equal">
      <formula>"Ok"</formula>
    </cfRule>
  </conditionalFormatting>
  <conditionalFormatting sqref="P26 P28 P30 P32 P34 P36">
    <cfRule type="cellIs" dxfId="5" priority="1" operator="equal">
      <formula>"Nok"</formula>
    </cfRule>
    <cfRule type="cellIs" dxfId="4" priority="2" operator="equal">
      <formula>"Ok"</formula>
    </cfRule>
  </conditionalFormatting>
  <conditionalFormatting sqref="P22:P23">
    <cfRule type="cellIs" dxfId="3" priority="5" operator="equal">
      <formula>"Nok"</formula>
    </cfRule>
    <cfRule type="cellIs" dxfId="2" priority="6" operator="equal">
      <formula>"Ok"</formula>
    </cfRule>
  </conditionalFormatting>
  <conditionalFormatting sqref="P24">
    <cfRule type="cellIs" dxfId="1" priority="3" operator="equal">
      <formula>"Nok"</formula>
    </cfRule>
    <cfRule type="cellIs" dxfId="0" priority="4" operator="equal">
      <formula>"Ok"</formula>
    </cfRule>
  </conditionalFormatting>
  <dataValidations count="2">
    <dataValidation type="list" allowBlank="1" showInputMessage="1" showErrorMessage="1" sqref="B5" xr:uid="{F21E359A-FA59-4B8E-83C2-B7834BABBE6C}">
      <formula1>"Nominal, Robustness, Endurance, Qualification"</formula1>
    </dataValidation>
    <dataValidation type="list" allowBlank="1" showInputMessage="1" showErrorMessage="1" sqref="B9 P22:P36" xr:uid="{DEBBBE9F-CBE4-4D0F-93BA-558B3B78B359}">
      <formula1>"Ok, Nok, Not run, ,"</formula1>
    </dataValidation>
  </dataValidations>
  <pageMargins left="0.7" right="0.7" top="0.75" bottom="0.75" header="0.3" footer="0.3"/>
  <pageSetup paperSize="9" orientation="portrait" r:id="rId1"/>
  <headerFooter>
    <oddFooter>&amp;LNA ver 2&amp;R&amp;P</oddFooter>
  </headerFooter>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F6"/>
  <sheetViews>
    <sheetView workbookViewId="0">
      <selection activeCell="C4" sqref="C4"/>
    </sheetView>
  </sheetViews>
  <sheetFormatPr defaultColWidth="9.33203125" defaultRowHeight="14.4" x14ac:dyDescent="0.3"/>
  <cols>
    <col min="1" max="1" width="4.33203125" style="79" customWidth="1"/>
    <col min="2" max="2" width="24.6640625" style="79" customWidth="1"/>
    <col min="3" max="3" width="4.5546875" style="79" customWidth="1"/>
    <col min="4" max="4" width="4.44140625" style="79" customWidth="1"/>
    <col min="5" max="5" width="29.6640625" style="79" bestFit="1" customWidth="1"/>
    <col min="6" max="6" width="7.6640625" style="79" bestFit="1" customWidth="1"/>
    <col min="7" max="16384" width="9.33203125" style="79"/>
  </cols>
  <sheetData>
    <row r="2" spans="2:6" x14ac:dyDescent="0.3">
      <c r="B2" s="80" t="s">
        <v>58</v>
      </c>
      <c r="C2" s="80">
        <f ca="1">COUNTIF('Tests Synthesis'!K3:K47, "Ok")</f>
        <v>30</v>
      </c>
      <c r="E2" s="81" t="s">
        <v>59</v>
      </c>
      <c r="F2" s="82">
        <f ca="1">IF(C6=0,0,C2/C6)</f>
        <v>0.9375</v>
      </c>
    </row>
    <row r="3" spans="2:6" x14ac:dyDescent="0.3">
      <c r="B3" s="80" t="s">
        <v>60</v>
      </c>
      <c r="C3" s="80">
        <f ca="1">COUNTIF('Tests Synthesis'!K3:K47, "Nok")</f>
        <v>2</v>
      </c>
      <c r="E3" s="81" t="s">
        <v>61</v>
      </c>
      <c r="F3" s="82">
        <f ca="1">IF(C6=0,0,C3/C6)</f>
        <v>6.25E-2</v>
      </c>
    </row>
    <row r="4" spans="2:6" x14ac:dyDescent="0.3">
      <c r="B4" s="80" t="s">
        <v>62</v>
      </c>
      <c r="C4" s="80">
        <f ca="1">COUNTIF('Tests Synthesis'!K3:K47, "not run")</f>
        <v>0</v>
      </c>
      <c r="E4" s="80" t="s">
        <v>63</v>
      </c>
      <c r="F4" s="82">
        <f ca="1">IF(C6=0,0,C4/C6)</f>
        <v>0</v>
      </c>
    </row>
    <row r="5" spans="2:6" x14ac:dyDescent="0.3">
      <c r="B5" s="80" t="s">
        <v>114</v>
      </c>
      <c r="C5" s="80">
        <f ca="1">COUNTIF('Tests Synthesis'!K4:K48, "NA")</f>
        <v>0</v>
      </c>
      <c r="E5" s="80" t="s">
        <v>115</v>
      </c>
      <c r="F5" s="82">
        <f>IF(C7=0,0,C5/C7)</f>
        <v>0</v>
      </c>
    </row>
    <row r="6" spans="2:6" x14ac:dyDescent="0.3">
      <c r="B6" s="80" t="s">
        <v>64</v>
      </c>
      <c r="C6" s="80">
        <f ca="1">SUM(C2:C4)</f>
        <v>32</v>
      </c>
    </row>
  </sheetData>
  <pageMargins left="0.7" right="0.7" top="0.75" bottom="0.75" header="0.3" footer="0.3"/>
  <pageSetup paperSize="9" orientation="portrait" r:id="rId1"/>
  <headerFooter>
    <oddFooter>&amp;LNA ver 2&amp;R&amp;P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12</vt:i4>
      </vt:variant>
    </vt:vector>
  </HeadingPairs>
  <TitlesOfParts>
    <vt:vector size="49" baseType="lpstr">
      <vt:lpstr>FrontPage</vt:lpstr>
      <vt:lpstr>General info</vt:lpstr>
      <vt:lpstr>Guide (help)</vt:lpstr>
      <vt:lpstr>Tests Synthesis</vt:lpstr>
      <vt:lpstr>SW_IT_CIL_0001</vt:lpstr>
      <vt:lpstr>SW_IT_CIL_0002</vt:lpstr>
      <vt:lpstr>SW_IT_CIL_0003</vt:lpstr>
      <vt:lpstr>SW_IT_CIL_0004</vt:lpstr>
      <vt:lpstr>SW_IT_CIL_0005</vt:lpstr>
      <vt:lpstr>SW_IT_CIL_0006</vt:lpstr>
      <vt:lpstr>SW_IT_CIL_0007</vt:lpstr>
      <vt:lpstr>SW_IT_CIL_0008</vt:lpstr>
      <vt:lpstr>SW_IT_CIL_0009</vt:lpstr>
      <vt:lpstr>SW_IT_CIL_0010</vt:lpstr>
      <vt:lpstr>SW_IT_CIL_0011</vt:lpstr>
      <vt:lpstr>SW_IT_CIL_0012</vt:lpstr>
      <vt:lpstr>SW_IT_CIL_0013</vt:lpstr>
      <vt:lpstr>SW_IT_CIL_0014</vt:lpstr>
      <vt:lpstr>SW_IT_CIL_0015</vt:lpstr>
      <vt:lpstr>SW_IT_CIL_0016</vt:lpstr>
      <vt:lpstr>SW_IT_CIL_0017</vt:lpstr>
      <vt:lpstr>SW_IT_CIL_0018</vt:lpstr>
      <vt:lpstr>SW_IT_CIL_0019</vt:lpstr>
      <vt:lpstr>SW_IT_CIL_0020</vt:lpstr>
      <vt:lpstr>SW_IT_CIL_0021</vt:lpstr>
      <vt:lpstr>SW_IT_CIL_0022</vt:lpstr>
      <vt:lpstr>SW_IT_CIL_0023</vt:lpstr>
      <vt:lpstr>SW_IT_CIL_0024</vt:lpstr>
      <vt:lpstr>SW_IT_CIL_0025</vt:lpstr>
      <vt:lpstr>SW_IT_CIL_0026</vt:lpstr>
      <vt:lpstr>SW_IT_CIL_0027</vt:lpstr>
      <vt:lpstr>SW_IT_CIL_0028</vt:lpstr>
      <vt:lpstr>SW_IT_CIL_0029</vt:lpstr>
      <vt:lpstr>SW_IT_CIL_0031</vt:lpstr>
      <vt:lpstr>SW_IT_CIL_0032</vt:lpstr>
      <vt:lpstr>SW_IT_CIL_0033</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Kask</dc:creator>
  <cp:lastModifiedBy>Mihai Ianos</cp:lastModifiedBy>
  <cp:lastPrinted>2011-11-28T23:54:39Z</cp:lastPrinted>
  <dcterms:created xsi:type="dcterms:W3CDTF">2008-08-11T11:06:44Z</dcterms:created>
  <dcterms:modified xsi:type="dcterms:W3CDTF">2022-10-27T14:01:23Z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heckin User" linkTarget="PLMDocAuthor">
    <vt:lpwstr>Vlad Chiovenau</vt:lpwstr>
  </property>
  <property fmtid="{D5CDD505-2E9C-101B-9397-08002B2CF9AE}" pid="15" name="MXCurrent">
    <vt:lpwstr>Preliminary</vt:lpwstr>
  </property>
  <property fmtid="{D5CDD505-2E9C-101B-9397-08002B2CF9AE}" pid="16" name="MXDescription">
    <vt:lpwstr/>
  </property>
  <property fmtid="{D5CDD505-2E9C-101B-9397-08002B2CF9AE}" pid="17" name="MXDesignated User">
    <vt:lpwstr>Unassigned</vt:lpwstr>
  </property>
  <property fmtid="{D5CDD505-2E9C-101B-9397-08002B2CF9AE}" pid="18" name="MXEmail">
    <vt:lpwstr>johannes.kask@autoliv.com</vt:lpwstr>
  </property>
  <property fmtid="{D5CDD505-2E9C-101B-9397-08002B2CF9AE}" pid="19" name="MXFirstName">
    <vt:lpwstr>Johannes</vt:lpwstr>
  </property>
  <property fmtid="{D5CDD505-2E9C-101B-9397-08002B2CF9AE}" pid="20" name="MXIs Version Object">
    <vt:lpwstr>False</vt:lpwstr>
  </property>
  <property fmtid="{D5CDD505-2E9C-101B-9397-08002B2CF9AE}" pid="21" name="MXLanguage">
    <vt:lpwstr>English</vt:lpwstr>
  </property>
  <property fmtid="{D5CDD505-2E9C-101B-9397-08002B2CF9AE}" pid="22" name="MXLastName">
    <vt:lpwstr>Kask</vt:lpwstr>
  </property>
  <property fmtid="{D5CDD505-2E9C-101B-9397-08002B2CF9AE}" pid="23" name="MXLatestVersion">
    <vt:lpwstr>3</vt:lpwstr>
  </property>
  <property fmtid="{D5CDD505-2E9C-101B-9397-08002B2CF9AE}" pid="24" name="MXMiddleName">
    <vt:lpwstr/>
  </property>
  <property fmtid="{D5CDD505-2E9C-101B-9397-08002B2CF9AE}" pid="25" name="MXMove Files To Version">
    <vt:lpwstr>False</vt:lpwstr>
  </property>
  <property fmtid="{D5CDD505-2E9C-101B-9397-08002B2CF9AE}" pid="26" name="MXOriginator">
    <vt:lpwstr>Mats Sundin</vt:lpwstr>
  </property>
  <property fmtid="{D5CDD505-2E9C-101B-9397-08002B2CF9AE}" pid="27" name="MXPolicy" linkTarget="MXPolicy">
    <vt:lpwstr>#REF!</vt:lpwstr>
  </property>
  <property fmtid="{D5CDD505-2E9C-101B-9397-08002B2CF9AE}" pid="28" name="MXPolicy.Localized">
    <vt:lpwstr>NoReview Document</vt:lpwstr>
  </property>
  <property fmtid="{D5CDD505-2E9C-101B-9397-08002B2CF9AE}" pid="29" name="MXRoute_In-Work_date">
    <vt:lpwstr/>
  </property>
  <property fmtid="{D5CDD505-2E9C-101B-9397-08002B2CF9AE}" pid="30" name="MXRoute_In-Work_name">
    <vt:lpwstr/>
  </property>
  <property fmtid="{D5CDD505-2E9C-101B-9397-08002B2CF9AE}" pid="31" name="MXRoute_Released_date">
    <vt:lpwstr/>
  </property>
  <property fmtid="{D5CDD505-2E9C-101B-9397-08002B2CF9AE}" pid="32" name="MXRoute_Released_name">
    <vt:lpwstr/>
  </property>
  <property fmtid="{D5CDD505-2E9C-101B-9397-08002B2CF9AE}" pid="33" name="MXRoute_Superseded_date">
    <vt:lpwstr/>
  </property>
  <property fmtid="{D5CDD505-2E9C-101B-9397-08002B2CF9AE}" pid="34" name="MXRoute_Superseded_name">
    <vt:lpwstr/>
  </property>
  <property fmtid="{D5CDD505-2E9C-101B-9397-08002B2CF9AE}" pid="35" name="MXSignatures_state_Preliminary">
    <vt:lpwstr/>
  </property>
  <property fmtid="{D5CDD505-2E9C-101B-9397-08002B2CF9AE}" pid="36" name="MXSignatures_state_Released">
    <vt:lpwstr/>
  </property>
  <property fmtid="{D5CDD505-2E9C-101B-9397-08002B2CF9AE}" pid="37" name="MXSignatures_state_Superceded">
    <vt:lpwstr/>
  </property>
  <property fmtid="{D5CDD505-2E9C-101B-9397-08002B2CF9AE}" pid="38" name="MXSuspend Versioning">
    <vt:lpwstr>False</vt:lpwstr>
  </property>
  <property fmtid="{D5CDD505-2E9C-101B-9397-08002B2CF9AE}" pid="39" name="MXType">
    <vt:lpwstr>alvProjectManagement</vt:lpwstr>
  </property>
  <property fmtid="{D5CDD505-2E9C-101B-9397-08002B2CF9AE}" pid="40" name="MXType.Localized" linkTarget="MXType.Localized">
    <vt:lpwstr>#REF!</vt:lpwstr>
  </property>
  <property fmtid="{D5CDD505-2E9C-101B-9397-08002B2CF9AE}" pid="41" name="MXDocTemplate_Name">
    <vt:lpwstr>SW04TEM001</vt:lpwstr>
  </property>
</Properties>
</file>