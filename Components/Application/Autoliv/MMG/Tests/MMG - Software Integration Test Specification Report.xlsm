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_Sandbox\DAI_MMA\View_Development\Components\Application\Autoliv\MMG\Tests\"/>
    </mc:Choice>
  </mc:AlternateContent>
  <xr:revisionPtr revIDLastSave="0" documentId="13_ncr:1_{38405525-801A-43BD-9347-EB588BF5C6C2}" xr6:coauthVersionLast="47" xr6:coauthVersionMax="47" xr10:uidLastSave="{00000000-0000-0000-0000-000000000000}"/>
  <bookViews>
    <workbookView xWindow="57480" yWindow="-120" windowWidth="29040" windowHeight="15840" tabRatio="932" activeTab="3" xr2:uid="{00000000-000D-0000-FFFF-FFFF00000000}"/>
  </bookViews>
  <sheets>
    <sheet name="FrontPage" sheetId="4" r:id="rId1"/>
    <sheet name="General info" sheetId="11" r:id="rId2"/>
    <sheet name="Guide (help)" sheetId="18" r:id="rId3"/>
    <sheet name="Tests Synthesis" sheetId="13" r:id="rId4"/>
    <sheet name="SW_IT_MMG_001" sheetId="22" r:id="rId5"/>
    <sheet name="SW_IT_MMG_002" sheetId="29" r:id="rId6"/>
    <sheet name="SW_IT_MMG_003" sheetId="30" r:id="rId7"/>
    <sheet name="SW_IT_MMG_004" sheetId="48" r:id="rId8"/>
    <sheet name="SW_IT_MMG_005" sheetId="31" r:id="rId9"/>
    <sheet name="SW_IT_MMG_006" sheetId="49" r:id="rId10"/>
    <sheet name="SW_IT_MMG_007" sheetId="51" r:id="rId11"/>
    <sheet name="SW_IT_MMG_009" sheetId="54" r:id="rId12"/>
    <sheet name="SW_IT_MMG_010" sheetId="40" r:id="rId13"/>
    <sheet name="SW_IT_MMG_011" sheetId="34" r:id="rId14"/>
    <sheet name="SW_IT_MMG_012" sheetId="35" r:id="rId15"/>
    <sheet name="SW_IT_MMG_013" sheetId="36" r:id="rId16"/>
    <sheet name="SW_IT_MMG_014" sheetId="37" r:id="rId17"/>
    <sheet name="SW_IT_MMG_015" sheetId="38" r:id="rId18"/>
    <sheet name="SW_IT_MMG_016" sheetId="39" r:id="rId19"/>
    <sheet name="SW_IT_MMG_017" sheetId="41" r:id="rId20"/>
    <sheet name="SW_IT_MMG_018" sheetId="43" r:id="rId21"/>
    <sheet name="SW_IT_MMG_019" sheetId="52" r:id="rId22"/>
    <sheet name="SW_IT_MMG_020" sheetId="45" r:id="rId23"/>
    <sheet name="SW_IT_MMG_021" sheetId="44" r:id="rId24"/>
    <sheet name="Metrics" sheetId="16" r:id="rId25"/>
  </sheets>
  <definedNames>
    <definedName name="FileName">FrontPage!$AD$3</definedName>
    <definedName name="MXActual_state_Released">FrontPage!$AB$5</definedName>
    <definedName name="MXAuthority">FrontPage!$A$5</definedName>
    <definedName name="MXCurrent.Localized">FrontPage!$W$5</definedName>
    <definedName name="MXName">FrontPage!$A$7</definedName>
    <definedName name="MXPolicy" localSheetId="2">FrontPage!#REF!</definedName>
    <definedName name="MXPolicy">FrontPage!#REF!</definedName>
    <definedName name="MXRevision">FrontPage!$AB$7</definedName>
    <definedName name="MXTitle">FrontPage!$E$7</definedName>
    <definedName name="MXType.Localized" localSheetId="2">FrontPage!#REF!</definedName>
    <definedName name="MXType.Localized">FrontPage!#REF!</definedName>
    <definedName name="MXVersion">FrontPage!$AE$7</definedName>
    <definedName name="PLMDocAuthor">FrontPage!$F$10</definedName>
    <definedName name="_xlnm.Print_Titles" localSheetId="1">'General info'!$1:$10</definedName>
    <definedName name="_xlnm.Print_Titles" localSheetId="2">'Guide (help)'!$1:$1</definedName>
    <definedName name="TemplateRef">FrontPage!$W$7</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23" i="13" l="1"/>
  <c r="K24" i="13"/>
  <c r="K25" i="13"/>
  <c r="K26" i="13"/>
  <c r="K27" i="13"/>
  <c r="K28" i="13"/>
  <c r="K29" i="13"/>
  <c r="K30" i="13"/>
  <c r="K31" i="13"/>
  <c r="K32" i="13"/>
  <c r="K33" i="13"/>
  <c r="K34" i="13"/>
  <c r="K35" i="13"/>
  <c r="K36" i="13"/>
  <c r="K37" i="13"/>
  <c r="K38" i="13"/>
  <c r="K39" i="13"/>
  <c r="K40" i="13"/>
  <c r="K41" i="13"/>
  <c r="K42" i="13"/>
  <c r="F23" i="13"/>
  <c r="F24" i="13"/>
  <c r="F25" i="13"/>
  <c r="F26" i="13"/>
  <c r="F27" i="13"/>
  <c r="F28" i="13"/>
  <c r="F29" i="13"/>
  <c r="F30" i="13"/>
  <c r="F31" i="13"/>
  <c r="F32" i="13"/>
  <c r="F33" i="13"/>
  <c r="F34" i="13"/>
  <c r="F35" i="13"/>
  <c r="F36" i="13"/>
  <c r="F37" i="13"/>
  <c r="F38" i="13"/>
  <c r="F39" i="13"/>
  <c r="F40" i="13"/>
  <c r="F41" i="13"/>
  <c r="F42" i="13"/>
  <c r="E23" i="13"/>
  <c r="E24" i="13"/>
  <c r="E25" i="13"/>
  <c r="E26" i="13"/>
  <c r="E27" i="13"/>
  <c r="E28" i="13"/>
  <c r="E29" i="13"/>
  <c r="E30" i="13"/>
  <c r="E31" i="13"/>
  <c r="E32" i="13"/>
  <c r="E33" i="13"/>
  <c r="E34" i="13"/>
  <c r="E35" i="13"/>
  <c r="E36" i="13"/>
  <c r="E37" i="13"/>
  <c r="E38" i="13"/>
  <c r="E39" i="13"/>
  <c r="E40" i="13"/>
  <c r="D26" i="13"/>
  <c r="D27" i="13"/>
  <c r="D28" i="13"/>
  <c r="D29" i="13"/>
  <c r="D30" i="13"/>
  <c r="D31" i="13"/>
  <c r="D32" i="13"/>
  <c r="D33" i="13"/>
  <c r="D34" i="13"/>
  <c r="D23" i="13"/>
  <c r="D24" i="13"/>
  <c r="D25" i="13"/>
  <c r="A5" i="11"/>
  <c r="D19" i="13"/>
  <c r="D12" i="13"/>
  <c r="D20" i="13"/>
  <c r="D6" i="13"/>
  <c r="D3" i="13"/>
  <c r="D15" i="13"/>
  <c r="D13" i="13"/>
  <c r="D16" i="13"/>
  <c r="D7" i="13"/>
  <c r="D11" i="13"/>
  <c r="D9" i="13"/>
  <c r="F5" i="13"/>
  <c r="D14" i="13"/>
  <c r="D8" i="13"/>
  <c r="D10" i="13"/>
  <c r="D18" i="13"/>
  <c r="D5" i="13"/>
  <c r="D21" i="13"/>
  <c r="D22" i="13"/>
  <c r="D17" i="13"/>
  <c r="W7" i="4" l="1"/>
  <c r="A7" i="4"/>
  <c r="F5" i="16"/>
  <c r="E42" i="13"/>
  <c r="D42" i="13"/>
  <c r="E41" i="13"/>
  <c r="D41" i="13"/>
  <c r="D40" i="13"/>
  <c r="D39" i="13"/>
  <c r="D38" i="13"/>
  <c r="D37" i="13"/>
  <c r="D36" i="13"/>
  <c r="D35" i="13"/>
  <c r="AD3" i="4"/>
  <c r="AD3" i="11" s="1"/>
  <c r="K8" i="13"/>
  <c r="F10" i="13"/>
  <c r="E17" i="13"/>
  <c r="F13" i="13"/>
  <c r="F16" i="13"/>
  <c r="E3" i="13"/>
  <c r="K12" i="13"/>
  <c r="K13" i="13"/>
  <c r="F22" i="13"/>
  <c r="D4" i="13"/>
  <c r="E8" i="13"/>
  <c r="K10" i="13"/>
  <c r="E13" i="13"/>
  <c r="K18" i="13"/>
  <c r="K17" i="13"/>
  <c r="F4" i="13"/>
  <c r="F15" i="13"/>
  <c r="K21" i="13"/>
  <c r="F21" i="13"/>
  <c r="E12" i="13"/>
  <c r="E22" i="13"/>
  <c r="E5" i="13"/>
  <c r="F11" i="13"/>
  <c r="E11" i="13"/>
  <c r="K20" i="13"/>
  <c r="E18" i="13"/>
  <c r="K5" i="13"/>
  <c r="F14" i="13"/>
  <c r="K6" i="13"/>
  <c r="K22" i="13"/>
  <c r="F9" i="13"/>
  <c r="F20" i="13"/>
  <c r="K4" i="13"/>
  <c r="F6" i="13"/>
  <c r="E21" i="13"/>
  <c r="F18" i="13"/>
  <c r="E10" i="13"/>
  <c r="F8" i="13"/>
  <c r="F19" i="13"/>
  <c r="E20" i="13"/>
  <c r="K19" i="13"/>
  <c r="K15" i="13"/>
  <c r="K9" i="13"/>
  <c r="E6" i="13"/>
  <c r="E14" i="13"/>
  <c r="F17" i="13"/>
  <c r="K11" i="13"/>
  <c r="E15" i="13"/>
  <c r="K3" i="13"/>
  <c r="F12" i="13"/>
  <c r="F7" i="13"/>
  <c r="K14" i="13"/>
  <c r="E4" i="13"/>
  <c r="E19" i="13"/>
  <c r="E16" i="13"/>
  <c r="F3" i="13"/>
  <c r="K7" i="13"/>
  <c r="E9" i="13"/>
  <c r="E7" i="13"/>
  <c r="K16" i="13"/>
  <c r="W7" i="11" l="1"/>
  <c r="E7" i="11"/>
  <c r="A23" i="4"/>
  <c r="C5" i="16"/>
  <c r="C3" i="16"/>
  <c r="C4" i="16"/>
  <c r="C2" i="16"/>
  <c r="C6" i="16" l="1"/>
  <c r="F4" i="16" s="1"/>
  <c r="F2" i="16" l="1"/>
  <c r="F3"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W7" authorId="0" shapeId="0" xr:uid="{8FDCBE47-0A32-4674-AD09-A4D2A4C92CB3}">
      <text>
        <r>
          <rPr>
            <sz val="9"/>
            <color indexed="81"/>
            <rFont val="Tahoma"/>
            <family val="2"/>
          </rPr>
          <t>Template from process AEM_PROCESS_1.17.00 Last change : AEM_PROCESS_1.05.00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Francine Chambin</author>
  </authors>
  <commentList>
    <comment ref="B15" authorId="0" shapeId="0" xr:uid="{00000000-0006-0000-0100-000001000000}">
      <text>
        <r>
          <rPr>
            <sz val="8"/>
            <color indexed="81"/>
            <rFont val="Tahoma"/>
            <family val="2"/>
          </rPr>
          <t>Insert name of tabs included in the document</t>
        </r>
        <r>
          <rPr>
            <sz val="8"/>
            <color indexed="81"/>
            <rFont val="Tahoma"/>
            <family val="2"/>
          </rPr>
          <t xml:space="preserve">
</t>
        </r>
      </text>
    </comment>
    <comment ref="G15" authorId="0" shapeId="0" xr:uid="{00000000-0006-0000-0100-000002000000}">
      <text>
        <r>
          <rPr>
            <sz val="8"/>
            <color indexed="81"/>
            <rFont val="Tahoma"/>
            <family val="2"/>
          </rPr>
          <t>Describe each Tab.</t>
        </r>
      </text>
    </comment>
    <comment ref="B24" authorId="0" shapeId="0" xr:uid="{00000000-0006-0000-0100-000003000000}">
      <text>
        <r>
          <rPr>
            <sz val="8"/>
            <color indexed="81"/>
            <rFont val="Tahoma"/>
            <family val="2"/>
          </rPr>
          <t>The document version is given by PTC. Please copy/paste it here.</t>
        </r>
        <r>
          <rPr>
            <sz val="8"/>
            <color indexed="81"/>
            <rFont val="Tahoma"/>
            <family val="2"/>
          </rPr>
          <t xml:space="preserve">
</t>
        </r>
      </text>
    </comment>
    <comment ref="E24" authorId="0" shapeId="0" xr:uid="{00000000-0006-0000-0100-000004000000}">
      <text>
        <r>
          <rPr>
            <sz val="8"/>
            <color indexed="81"/>
            <rFont val="Tahoma"/>
            <family val="2"/>
          </rPr>
          <t>Date when the Revision is released</t>
        </r>
      </text>
    </comment>
    <comment ref="I24" authorId="0" shapeId="0" xr:uid="{00000000-0006-0000-0100-000005000000}">
      <text>
        <r>
          <rPr>
            <sz val="8"/>
            <color indexed="81"/>
            <rFont val="Tahoma"/>
            <family val="2"/>
          </rPr>
          <t>Author of the document. Authors if several.</t>
        </r>
      </text>
    </comment>
    <comment ref="R24" authorId="0" shapeId="0" xr:uid="{00000000-0006-0000-0100-000006000000}">
      <text>
        <r>
          <rPr>
            <sz val="8"/>
            <color indexed="81"/>
            <rFont val="Tahoma"/>
            <family val="2"/>
          </rPr>
          <t>Description or comment on the version. E.g. updated after meeting etc.</t>
        </r>
      </text>
    </comment>
    <comment ref="N37" authorId="1" shapeId="0" xr:uid="{00000000-0006-0000-0100-000007000000}">
      <text>
        <r>
          <rPr>
            <sz val="9"/>
            <color indexed="81"/>
            <rFont val="Tahoma"/>
            <family val="2"/>
          </rPr>
          <t>The referenced documents correspond to the customer or standard documents to be applied for the integration.</t>
        </r>
      </text>
    </comment>
    <comment ref="B38" authorId="0" shapeId="0" xr:uid="{00000000-0006-0000-0100-000008000000}">
      <text>
        <r>
          <rPr>
            <sz val="8"/>
            <color indexed="81"/>
            <rFont val="Tahoma"/>
            <family val="2"/>
          </rPr>
          <t>ID of possible reference documents. Any ID can be used, suggestion is [Int1], [Int2] etc. for internal references and [Ext1], [Ext2] etc. for external references</t>
        </r>
      </text>
    </comment>
    <comment ref="E38" authorId="0" shapeId="0" xr:uid="{00000000-0006-0000-0100-000009000000}">
      <text>
        <r>
          <rPr>
            <sz val="8"/>
            <color indexed="81"/>
            <rFont val="Tahoma"/>
            <family val="2"/>
          </rPr>
          <t>Title of reference documents.</t>
        </r>
      </text>
    </comment>
    <comment ref="Y38" authorId="0" shapeId="0" xr:uid="{00000000-0006-0000-0100-00000A000000}">
      <text>
        <r>
          <rPr>
            <sz val="8"/>
            <color indexed="81"/>
            <rFont val="Tahoma"/>
            <family val="2"/>
          </rPr>
          <t>Reference number, e.g. E123456 and revision of the reference.</t>
        </r>
      </text>
    </comment>
    <comment ref="N43" authorId="1" shapeId="0" xr:uid="{00000000-0006-0000-0100-00000B000000}">
      <text>
        <r>
          <rPr>
            <sz val="9"/>
            <color indexed="81"/>
            <rFont val="Tahoma"/>
            <family val="2"/>
          </rPr>
          <t>The applicable documents are the architecture design document and other internal documents necessary to establish this test specification.</t>
        </r>
      </text>
    </comment>
    <comment ref="B44" authorId="0" shapeId="0" xr:uid="{00000000-0006-0000-0100-00000C000000}">
      <text>
        <r>
          <rPr>
            <sz val="8"/>
            <color indexed="81"/>
            <rFont val="Tahoma"/>
            <family val="2"/>
          </rPr>
          <t>ID of possible reference documents. Any ID can be used, suggestion is [Int1], [Int2] etc. for internal references and [Ext1], [Ext2] etc. for external references</t>
        </r>
      </text>
    </comment>
    <comment ref="E44" authorId="0" shapeId="0" xr:uid="{00000000-0006-0000-0100-00000D000000}">
      <text>
        <r>
          <rPr>
            <sz val="8"/>
            <color indexed="81"/>
            <rFont val="Tahoma"/>
            <family val="2"/>
          </rPr>
          <t>Title of reference documents.</t>
        </r>
      </text>
    </comment>
    <comment ref="Y44" authorId="0" shapeId="0" xr:uid="{00000000-0006-0000-0100-00000E000000}">
      <text>
        <r>
          <rPr>
            <sz val="8"/>
            <color indexed="81"/>
            <rFont val="Tahoma"/>
            <family val="2"/>
          </rPr>
          <t>Reference number, e.g. E123456 and revision of the reference.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Francine Chambin</author>
    <author>Crina Baciu</author>
  </authors>
  <commentList>
    <comment ref="C2" authorId="0" shapeId="0" xr:uid="{00000000-0006-0000-0300-000001000000}">
      <text>
        <r>
          <rPr>
            <b/>
            <sz val="9"/>
            <color indexed="81"/>
            <rFont val="Tahoma"/>
            <family val="2"/>
          </rPr>
          <t xml:space="preserve">To be filled manually.
</t>
        </r>
        <r>
          <rPr>
            <sz val="9"/>
            <color indexed="81"/>
            <rFont val="Tahoma"/>
            <family val="2"/>
          </rPr>
          <t>Write the name of the Test case sheet (SW_IT_xxx).
It is interesting to add an hyperlink to go directly in the test case sheet.</t>
        </r>
      </text>
    </comment>
    <comment ref="D2" authorId="0" shapeId="0" xr:uid="{00000000-0006-0000-0300-000002000000}">
      <text>
        <r>
          <rPr>
            <b/>
            <sz val="9"/>
            <color indexed="81"/>
            <rFont val="Tahoma"/>
            <family val="2"/>
          </rPr>
          <t>Automatically filled (extracted from SW_IT_xxx sheet)</t>
        </r>
        <r>
          <rPr>
            <sz val="8"/>
            <color indexed="81"/>
            <rFont val="Tahoma"/>
            <family val="2"/>
            <charset val="238"/>
          </rPr>
          <t xml:space="preserve">
</t>
        </r>
        <r>
          <rPr>
            <sz val="9"/>
            <color indexed="81"/>
            <rFont val="Tahoma"/>
            <family val="2"/>
          </rPr>
          <t>Depending on the format of the SW Architecture: DOORS ID / key ID / chapter number, etc.</t>
        </r>
      </text>
    </comment>
    <comment ref="E2" authorId="0" shapeId="0" xr:uid="{00000000-0006-0000-0300-000003000000}">
      <text>
        <r>
          <rPr>
            <b/>
            <sz val="9"/>
            <color indexed="81"/>
            <rFont val="Tahoma"/>
            <family val="2"/>
          </rPr>
          <t>Test Classification automatically filled (extracted from SW_IT_xxx sheet)
See General Info</t>
        </r>
      </text>
    </comment>
    <comment ref="F2" authorId="1" shapeId="0" xr:uid="{00000000-0006-0000-0300-000004000000}">
      <text>
        <r>
          <rPr>
            <b/>
            <sz val="9"/>
            <color indexed="81"/>
            <rFont val="Tahoma"/>
            <family val="2"/>
          </rPr>
          <t>Automatically filled
(extracted from SW_IT_xxx sheet)</t>
        </r>
      </text>
    </comment>
    <comment ref="G2" authorId="1" shapeId="0" xr:uid="{00000000-0006-0000-0300-000005000000}">
      <text>
        <r>
          <rPr>
            <b/>
            <sz val="9"/>
            <color indexed="81"/>
            <rFont val="Tahoma"/>
            <family val="2"/>
          </rPr>
          <t xml:space="preserve">To be filled manually. Use the dropdown list. </t>
        </r>
        <r>
          <rPr>
            <sz val="9"/>
            <color indexed="81"/>
            <rFont val="Tahoma"/>
            <family val="2"/>
          </rPr>
          <t xml:space="preserve">
A cross"X" means that this test case has been identified during the impact analysis as necessary for controlling that the changes to the software do not introduce regressions.
</t>
        </r>
      </text>
    </comment>
    <comment ref="H2" authorId="1" shapeId="0" xr:uid="{00000000-0006-0000-0300-000006000000}">
      <text>
        <r>
          <rPr>
            <b/>
            <sz val="9"/>
            <color indexed="81"/>
            <rFont val="Tahoma"/>
            <family val="2"/>
          </rPr>
          <t xml:space="preserve">Priority number : 
To be filled manually. 
</t>
        </r>
        <r>
          <rPr>
            <sz val="9"/>
            <color indexed="81"/>
            <rFont val="Tahoma"/>
            <family val="2"/>
          </rPr>
          <t>Use the dropdown list</t>
        </r>
        <r>
          <rPr>
            <sz val="9"/>
            <color indexed="81"/>
            <rFont val="Tahoma"/>
            <family val="2"/>
          </rPr>
          <t xml:space="preserve">
1 : High priority
2 : Medium priority
3 : Low priority
</t>
        </r>
      </text>
    </comment>
    <comment ref="I2" authorId="1" shapeId="0" xr:uid="{00000000-0006-0000-0300-000007000000}">
      <text>
        <r>
          <rPr>
            <b/>
            <sz val="9"/>
            <color indexed="81"/>
            <rFont val="Tahoma"/>
            <family val="2"/>
          </rPr>
          <t xml:space="preserve">To be filled manually 
</t>
        </r>
        <r>
          <rPr>
            <sz val="9"/>
            <color indexed="81"/>
            <rFont val="Tahoma"/>
            <family val="2"/>
          </rPr>
          <t xml:space="preserve">Write the date of the test execution
</t>
        </r>
      </text>
    </comment>
    <comment ref="J2" authorId="1" shapeId="0" xr:uid="{00000000-0006-0000-0300-000008000000}">
      <text>
        <r>
          <rPr>
            <b/>
            <sz val="9"/>
            <color indexed="81"/>
            <rFont val="Tahoma"/>
            <family val="2"/>
          </rPr>
          <t xml:space="preserve">To be filled manually </t>
        </r>
        <r>
          <rPr>
            <sz val="9"/>
            <color indexed="81"/>
            <rFont val="Tahoma"/>
            <family val="2"/>
          </rPr>
          <t xml:space="preserve">
Write the PTC checkpoint name of SW release or,
PTC version if the integration test is done before a PTC checkpoint.
Nota: Normally the integrator shall always have a PTC checkpoint name in order to keep a trace of what has been tested.</t>
        </r>
      </text>
    </comment>
    <comment ref="K2" authorId="1" shapeId="0" xr:uid="{00000000-0006-0000-0300-000009000000}">
      <text>
        <r>
          <rPr>
            <b/>
            <sz val="9"/>
            <color indexed="81"/>
            <rFont val="Tahoma"/>
            <family val="2"/>
          </rPr>
          <t>Test Status automatically filled (extracted from SW_IT_xxx sheet)</t>
        </r>
        <r>
          <rPr>
            <sz val="9"/>
            <color indexed="81"/>
            <rFont val="Tahoma"/>
            <family val="2"/>
          </rPr>
          <t xml:space="preserve">
Ok :  test is passed
Nok : test is failed
not run : test is not performed
NA :  test is not applicable (an explanation must be given).</t>
        </r>
      </text>
    </comment>
    <comment ref="L2" authorId="1" shapeId="0" xr:uid="{00000000-0006-0000-0300-00000A000000}">
      <text>
        <r>
          <rPr>
            <b/>
            <sz val="9"/>
            <color indexed="81"/>
            <rFont val="Tahoma"/>
            <family val="2"/>
          </rPr>
          <t xml:space="preserve">To be filled manually </t>
        </r>
        <r>
          <rPr>
            <sz val="9"/>
            <color indexed="81"/>
            <rFont val="Tahoma"/>
            <family val="2"/>
          </rPr>
          <t xml:space="preserve">
Write initials of the tester. </t>
        </r>
      </text>
    </comment>
    <comment ref="M2" authorId="2" shapeId="0" xr:uid="{00000000-0006-0000-0300-00000B000000}">
      <text>
        <r>
          <rPr>
            <b/>
            <sz val="9"/>
            <color indexed="81"/>
            <rFont val="Tahoma"/>
            <family val="2"/>
          </rPr>
          <t>CR/WI manually filled</t>
        </r>
        <r>
          <rPr>
            <sz val="9"/>
            <color indexed="81"/>
            <rFont val="Tahoma"/>
            <family val="2"/>
          </rPr>
          <t xml:space="preserve"> with
Change Request / Working Issue  number. </t>
        </r>
        <r>
          <rPr>
            <b/>
            <sz val="9"/>
            <color indexed="81"/>
            <rFont val="Tahoma"/>
            <family val="2"/>
          </rPr>
          <t>Mandatory when "Test Status" is Nok.</t>
        </r>
      </text>
    </comment>
    <comment ref="N2" authorId="2" shapeId="0" xr:uid="{3390A017-098F-4631-B26C-5906D77A5781}">
      <text>
        <r>
          <rPr>
            <b/>
            <sz val="9"/>
            <color indexed="81"/>
            <rFont val="Tahoma"/>
            <family val="2"/>
          </rPr>
          <t>Comment manually filled</t>
        </r>
        <r>
          <rPr>
            <sz val="9"/>
            <color indexed="81"/>
            <rFont val="Tahoma"/>
            <family val="2"/>
          </rPr>
          <t xml:space="preserve"> 
</t>
        </r>
        <r>
          <rPr>
            <b/>
            <sz val="9"/>
            <color indexed="81"/>
            <rFont val="Tahoma"/>
            <family val="2"/>
          </rPr>
          <t>Free text must be added when "Test Status" is NA.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EF6C7FC9-2F49-437F-8729-64BE2083DDBA}">
      <text>
        <r>
          <rPr>
            <b/>
            <sz val="9"/>
            <color indexed="81"/>
            <rFont val="Tahoma"/>
            <family val="2"/>
          </rPr>
          <t xml:space="preserve">See Guide (help)
</t>
        </r>
        <r>
          <rPr>
            <sz val="9"/>
            <color indexed="81"/>
            <rFont val="Tahoma"/>
            <family val="2"/>
          </rPr>
          <t xml:space="preserve">
</t>
        </r>
      </text>
    </comment>
    <comment ref="A3" authorId="0" shapeId="0" xr:uid="{9CF9CDE7-5040-41CA-BC84-1AB9A8B009FF}">
      <text>
        <r>
          <rPr>
            <b/>
            <sz val="9"/>
            <color indexed="81"/>
            <rFont val="Tahoma"/>
            <family val="2"/>
          </rPr>
          <t xml:space="preserve">See Guide (help)
</t>
        </r>
        <r>
          <rPr>
            <sz val="9"/>
            <color indexed="81"/>
            <rFont val="Tahoma"/>
            <family val="2"/>
          </rPr>
          <t xml:space="preserve">
</t>
        </r>
      </text>
    </comment>
    <comment ref="A5" authorId="0" shapeId="0" xr:uid="{7B85F162-139A-4A61-BC90-4B9394404CFD}">
      <text>
        <r>
          <rPr>
            <sz val="9"/>
            <color indexed="81"/>
            <rFont val="Tahoma"/>
            <family val="2"/>
          </rPr>
          <t>Definition is in the "General info" tab.
Use the dropdown list.</t>
        </r>
      </text>
    </comment>
    <comment ref="A9" authorId="0" shapeId="0" xr:uid="{4C8BEE9F-CED0-40EE-9A86-53F258C225D9}">
      <text>
        <r>
          <rPr>
            <b/>
            <sz val="9"/>
            <color indexed="81"/>
            <rFont val="Tahoma"/>
            <family val="2"/>
          </rPr>
          <t>See Guide (help)</t>
        </r>
        <r>
          <rPr>
            <sz val="9"/>
            <color indexed="81"/>
            <rFont val="Tahoma"/>
            <family val="2"/>
          </rPr>
          <t xml:space="preserve">
</t>
        </r>
      </text>
    </comment>
    <comment ref="A11" authorId="0" shapeId="0" xr:uid="{5496EB8C-EFF9-420E-8F1B-897DA56F1586}">
      <text>
        <r>
          <rPr>
            <b/>
            <sz val="9"/>
            <color indexed="81"/>
            <rFont val="Tahoma"/>
            <family val="2"/>
          </rPr>
          <t xml:space="preserve">Describe the test environment and setup.
</t>
        </r>
        <r>
          <rPr>
            <sz val="9"/>
            <color indexed="81"/>
            <rFont val="Tahoma"/>
            <family val="2"/>
          </rPr>
          <t xml:space="preserve">
</t>
        </r>
      </text>
    </comment>
    <comment ref="A16" authorId="0" shapeId="0" xr:uid="{367C56AE-1A1F-4527-AF43-B2D451F7798D}">
      <text>
        <r>
          <rPr>
            <b/>
            <sz val="9"/>
            <color indexed="81"/>
            <rFont val="Tahoma"/>
            <family val="2"/>
          </rPr>
          <t>Give the initial state before beginning the test.</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D46317E5-E988-4404-A4C7-1AB19D20A47F}">
      <text>
        <r>
          <rPr>
            <b/>
            <sz val="9"/>
            <color indexed="81"/>
            <rFont val="Tahoma"/>
            <family val="2"/>
          </rPr>
          <t xml:space="preserve">See Guide (help)
</t>
        </r>
        <r>
          <rPr>
            <sz val="9"/>
            <color indexed="81"/>
            <rFont val="Tahoma"/>
            <family val="2"/>
          </rPr>
          <t xml:space="preserve">
</t>
        </r>
      </text>
    </comment>
    <comment ref="A3" authorId="0" shapeId="0" xr:uid="{CCC42659-6E91-4DD8-A72C-7DB23E177EDD}">
      <text>
        <r>
          <rPr>
            <b/>
            <sz val="9"/>
            <color indexed="81"/>
            <rFont val="Tahoma"/>
            <family val="2"/>
          </rPr>
          <t xml:space="preserve">See Guide (help)
</t>
        </r>
        <r>
          <rPr>
            <sz val="9"/>
            <color indexed="81"/>
            <rFont val="Tahoma"/>
            <family val="2"/>
          </rPr>
          <t xml:space="preserve">
</t>
        </r>
      </text>
    </comment>
    <comment ref="A5" authorId="0" shapeId="0" xr:uid="{9F93B02B-A1FF-49AC-BB84-7B269930329B}">
      <text>
        <r>
          <rPr>
            <sz val="9"/>
            <color indexed="81"/>
            <rFont val="Tahoma"/>
            <family val="2"/>
          </rPr>
          <t>Definition is in the "General info" tab.
Use the dropdown list.</t>
        </r>
      </text>
    </comment>
    <comment ref="A9" authorId="0" shapeId="0" xr:uid="{D3B95837-F0A6-4B0C-B602-41C9DB5A4838}">
      <text>
        <r>
          <rPr>
            <b/>
            <sz val="9"/>
            <color indexed="81"/>
            <rFont val="Tahoma"/>
            <family val="2"/>
          </rPr>
          <t>See Guide (help)</t>
        </r>
        <r>
          <rPr>
            <sz val="9"/>
            <color indexed="81"/>
            <rFont val="Tahoma"/>
            <family val="2"/>
          </rPr>
          <t xml:space="preserve">
</t>
        </r>
      </text>
    </comment>
    <comment ref="A11" authorId="0" shapeId="0" xr:uid="{A833CB76-D58A-44C9-8804-94449BDC2FF6}">
      <text>
        <r>
          <rPr>
            <b/>
            <sz val="9"/>
            <color indexed="81"/>
            <rFont val="Tahoma"/>
            <family val="2"/>
          </rPr>
          <t xml:space="preserve">Describe the test environment and setup.
</t>
        </r>
        <r>
          <rPr>
            <sz val="9"/>
            <color indexed="81"/>
            <rFont val="Tahoma"/>
            <family val="2"/>
          </rPr>
          <t xml:space="preserve">
</t>
        </r>
      </text>
    </comment>
    <comment ref="A16" authorId="0" shapeId="0" xr:uid="{3F1DE652-5C47-4DAB-B4C5-EC61DCABCE93}">
      <text>
        <r>
          <rPr>
            <b/>
            <sz val="9"/>
            <color indexed="81"/>
            <rFont val="Tahoma"/>
            <family val="2"/>
          </rPr>
          <t>Give the initial state before beginning the test.</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CC02EB31-EECB-4C3A-91EB-123082D7A686}">
      <text>
        <r>
          <rPr>
            <b/>
            <sz val="9"/>
            <color indexed="81"/>
            <rFont val="Tahoma"/>
            <family val="2"/>
          </rPr>
          <t xml:space="preserve">See Guide (help)
</t>
        </r>
        <r>
          <rPr>
            <sz val="9"/>
            <color indexed="81"/>
            <rFont val="Tahoma"/>
            <family val="2"/>
          </rPr>
          <t xml:space="preserve">
</t>
        </r>
      </text>
    </comment>
    <comment ref="A3" authorId="0" shapeId="0" xr:uid="{33324AB8-ADA3-4A31-AE8E-B1D83AD0924A}">
      <text>
        <r>
          <rPr>
            <b/>
            <sz val="9"/>
            <color indexed="81"/>
            <rFont val="Tahoma"/>
            <family val="2"/>
          </rPr>
          <t xml:space="preserve">See Guide (help)
</t>
        </r>
        <r>
          <rPr>
            <sz val="9"/>
            <color indexed="81"/>
            <rFont val="Tahoma"/>
            <family val="2"/>
          </rPr>
          <t xml:space="preserve">
</t>
        </r>
      </text>
    </comment>
    <comment ref="A5" authorId="0" shapeId="0" xr:uid="{C96D88A1-99EE-4648-8C09-AF8773C9D352}">
      <text>
        <r>
          <rPr>
            <sz val="9"/>
            <color indexed="81"/>
            <rFont val="Tahoma"/>
            <family val="2"/>
          </rPr>
          <t>Definition is in the "General info" tab.
Use the dropdown list.</t>
        </r>
      </text>
    </comment>
    <comment ref="A9" authorId="0" shapeId="0" xr:uid="{1A3D7637-E632-45DC-A741-467F06A1B100}">
      <text>
        <r>
          <rPr>
            <b/>
            <sz val="9"/>
            <color indexed="81"/>
            <rFont val="Tahoma"/>
            <family val="2"/>
          </rPr>
          <t>See Guide (help)</t>
        </r>
        <r>
          <rPr>
            <sz val="9"/>
            <color indexed="81"/>
            <rFont val="Tahoma"/>
            <family val="2"/>
          </rPr>
          <t xml:space="preserve">
</t>
        </r>
      </text>
    </comment>
    <comment ref="A11" authorId="0" shapeId="0" xr:uid="{E7DEFC01-C63E-461F-8AA1-C4D33870E840}">
      <text>
        <r>
          <rPr>
            <b/>
            <sz val="9"/>
            <color indexed="81"/>
            <rFont val="Tahoma"/>
            <family val="2"/>
          </rPr>
          <t xml:space="preserve">Describe the test environment and setup.
</t>
        </r>
        <r>
          <rPr>
            <sz val="9"/>
            <color indexed="81"/>
            <rFont val="Tahoma"/>
            <family val="2"/>
          </rPr>
          <t xml:space="preserve">
</t>
        </r>
      </text>
    </comment>
    <comment ref="A16" authorId="0" shapeId="0" xr:uid="{A831C129-A08D-48CB-A8F6-F0417324F3E1}">
      <text>
        <r>
          <rPr>
            <b/>
            <sz val="9"/>
            <color indexed="81"/>
            <rFont val="Tahoma"/>
            <family val="2"/>
          </rPr>
          <t>Give the initial state before beginning the test.</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45C5F615-2185-47EE-B3C1-E94783390167}">
      <text>
        <r>
          <rPr>
            <b/>
            <sz val="9"/>
            <color indexed="81"/>
            <rFont val="Tahoma"/>
            <family val="2"/>
          </rPr>
          <t xml:space="preserve">See Guide (help)
</t>
        </r>
        <r>
          <rPr>
            <sz val="9"/>
            <color indexed="81"/>
            <rFont val="Tahoma"/>
            <family val="2"/>
          </rPr>
          <t xml:space="preserve">
</t>
        </r>
      </text>
    </comment>
    <comment ref="A3" authorId="0" shapeId="0" xr:uid="{2163CF62-550F-43E0-B132-02A11BC4129D}">
      <text>
        <r>
          <rPr>
            <b/>
            <sz val="9"/>
            <color indexed="81"/>
            <rFont val="Tahoma"/>
            <family val="2"/>
          </rPr>
          <t xml:space="preserve">See Guide (help)
</t>
        </r>
        <r>
          <rPr>
            <sz val="9"/>
            <color indexed="81"/>
            <rFont val="Tahoma"/>
            <family val="2"/>
          </rPr>
          <t xml:space="preserve">
</t>
        </r>
      </text>
    </comment>
    <comment ref="A5" authorId="0" shapeId="0" xr:uid="{E6739AED-9CFA-4B8D-844E-20B3537DDD7D}">
      <text>
        <r>
          <rPr>
            <sz val="9"/>
            <color indexed="81"/>
            <rFont val="Tahoma"/>
            <family val="2"/>
          </rPr>
          <t>Definition is in the "General info" tab.
Use the dropdown list.</t>
        </r>
      </text>
    </comment>
    <comment ref="A9" authorId="0" shapeId="0" xr:uid="{D1E85934-3F63-49F8-9504-6EC337772230}">
      <text>
        <r>
          <rPr>
            <b/>
            <sz val="9"/>
            <color indexed="81"/>
            <rFont val="Tahoma"/>
            <family val="2"/>
          </rPr>
          <t>See Guide (help)</t>
        </r>
        <r>
          <rPr>
            <sz val="9"/>
            <color indexed="81"/>
            <rFont val="Tahoma"/>
            <family val="2"/>
          </rPr>
          <t xml:space="preserve">
</t>
        </r>
      </text>
    </comment>
    <comment ref="A11" authorId="0" shapeId="0" xr:uid="{DDB3C5E0-6C3D-4B0A-B223-41840F85A86D}">
      <text>
        <r>
          <rPr>
            <b/>
            <sz val="9"/>
            <color indexed="81"/>
            <rFont val="Tahoma"/>
            <family val="2"/>
          </rPr>
          <t xml:space="preserve">Describe the test environment and setup.
</t>
        </r>
        <r>
          <rPr>
            <sz val="9"/>
            <color indexed="81"/>
            <rFont val="Tahoma"/>
            <family val="2"/>
          </rPr>
          <t xml:space="preserve">
</t>
        </r>
      </text>
    </comment>
    <comment ref="A16" authorId="0" shapeId="0" xr:uid="{BD47C17E-C004-4758-99B3-098626AFB956}">
      <text>
        <r>
          <rPr>
            <b/>
            <sz val="9"/>
            <color indexed="81"/>
            <rFont val="Tahoma"/>
            <family val="2"/>
          </rPr>
          <t>Give the initial state before beginning the test.</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7F459C35-A4E0-4478-A2A7-C2D30A330302}">
      <text>
        <r>
          <rPr>
            <b/>
            <sz val="9"/>
            <color indexed="81"/>
            <rFont val="Tahoma"/>
            <family val="2"/>
          </rPr>
          <t xml:space="preserve">See Guide (help)
</t>
        </r>
        <r>
          <rPr>
            <sz val="9"/>
            <color indexed="81"/>
            <rFont val="Tahoma"/>
            <family val="2"/>
          </rPr>
          <t xml:space="preserve">
</t>
        </r>
      </text>
    </comment>
    <comment ref="A3" authorId="0" shapeId="0" xr:uid="{39102B7C-CC7F-4C80-B273-2A6701483056}">
      <text>
        <r>
          <rPr>
            <b/>
            <sz val="9"/>
            <color indexed="81"/>
            <rFont val="Tahoma"/>
            <family val="2"/>
          </rPr>
          <t xml:space="preserve">See Guide (help)
</t>
        </r>
        <r>
          <rPr>
            <sz val="9"/>
            <color indexed="81"/>
            <rFont val="Tahoma"/>
            <family val="2"/>
          </rPr>
          <t xml:space="preserve">
</t>
        </r>
      </text>
    </comment>
    <comment ref="A5" authorId="0" shapeId="0" xr:uid="{6270F4D9-1F77-42D2-A858-145B75E93016}">
      <text>
        <r>
          <rPr>
            <sz val="9"/>
            <color indexed="81"/>
            <rFont val="Tahoma"/>
            <family val="2"/>
          </rPr>
          <t>Definition is in the "General info" tab.
Use the dropdown list.</t>
        </r>
      </text>
    </comment>
    <comment ref="A9" authorId="0" shapeId="0" xr:uid="{BA83BF46-AFD8-4371-99A5-FB4CBF5B8C4E}">
      <text>
        <r>
          <rPr>
            <b/>
            <sz val="9"/>
            <color indexed="81"/>
            <rFont val="Tahoma"/>
            <family val="2"/>
          </rPr>
          <t>See Guide (help)</t>
        </r>
        <r>
          <rPr>
            <sz val="9"/>
            <color indexed="81"/>
            <rFont val="Tahoma"/>
            <family val="2"/>
          </rPr>
          <t xml:space="preserve">
</t>
        </r>
      </text>
    </comment>
    <comment ref="A11" authorId="0" shapeId="0" xr:uid="{6554FA81-6DD0-4320-83F8-F8141A58C2DD}">
      <text>
        <r>
          <rPr>
            <b/>
            <sz val="9"/>
            <color indexed="81"/>
            <rFont val="Tahoma"/>
            <family val="2"/>
          </rPr>
          <t xml:space="preserve">Describe the test environment and setup.
</t>
        </r>
        <r>
          <rPr>
            <sz val="9"/>
            <color indexed="81"/>
            <rFont val="Tahoma"/>
            <family val="2"/>
          </rPr>
          <t xml:space="preserve">
</t>
        </r>
      </text>
    </comment>
    <comment ref="A16" authorId="0" shapeId="0" xr:uid="{606CE8C7-B8A1-4900-8C8C-B8DCB9A1E781}">
      <text>
        <r>
          <rPr>
            <b/>
            <sz val="9"/>
            <color indexed="81"/>
            <rFont val="Tahoma"/>
            <family val="2"/>
          </rPr>
          <t>Give the initial state before beginning the test.</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C9959C64-A3A6-4E86-B360-4CC9ECAB8084}">
      <text>
        <r>
          <rPr>
            <b/>
            <sz val="9"/>
            <color indexed="81"/>
            <rFont val="Tahoma"/>
            <family val="2"/>
          </rPr>
          <t xml:space="preserve">See Guide (help)
</t>
        </r>
        <r>
          <rPr>
            <sz val="9"/>
            <color indexed="81"/>
            <rFont val="Tahoma"/>
            <family val="2"/>
          </rPr>
          <t xml:space="preserve">
</t>
        </r>
      </text>
    </comment>
    <comment ref="A3" authorId="0" shapeId="0" xr:uid="{2061C913-5613-48EF-A92D-66CB91518194}">
      <text>
        <r>
          <rPr>
            <b/>
            <sz val="9"/>
            <color indexed="81"/>
            <rFont val="Tahoma"/>
            <family val="2"/>
          </rPr>
          <t xml:space="preserve">See Guide (help)
</t>
        </r>
        <r>
          <rPr>
            <sz val="9"/>
            <color indexed="81"/>
            <rFont val="Tahoma"/>
            <family val="2"/>
          </rPr>
          <t xml:space="preserve">
</t>
        </r>
      </text>
    </comment>
    <comment ref="A5" authorId="0" shapeId="0" xr:uid="{42A14D5E-933B-450E-A34D-98649FB0D974}">
      <text>
        <r>
          <rPr>
            <sz val="9"/>
            <color indexed="81"/>
            <rFont val="Tahoma"/>
            <family val="2"/>
          </rPr>
          <t>Definition is in the "General info" tab.
Use the dropdown list.</t>
        </r>
      </text>
    </comment>
    <comment ref="A9" authorId="0" shapeId="0" xr:uid="{682C1051-3BAD-404B-93F9-B9F0BA730050}">
      <text>
        <r>
          <rPr>
            <b/>
            <sz val="9"/>
            <color indexed="81"/>
            <rFont val="Tahoma"/>
            <family val="2"/>
          </rPr>
          <t>See Guide (help)</t>
        </r>
        <r>
          <rPr>
            <sz val="9"/>
            <color indexed="81"/>
            <rFont val="Tahoma"/>
            <family val="2"/>
          </rPr>
          <t xml:space="preserve">
</t>
        </r>
      </text>
    </comment>
    <comment ref="A11" authorId="0" shapeId="0" xr:uid="{218D5D9F-E56A-4D59-98CE-0DD071B2ADA0}">
      <text>
        <r>
          <rPr>
            <b/>
            <sz val="9"/>
            <color indexed="81"/>
            <rFont val="Tahoma"/>
            <family val="2"/>
          </rPr>
          <t xml:space="preserve">Describe the test environment and setup.
</t>
        </r>
        <r>
          <rPr>
            <sz val="9"/>
            <color indexed="81"/>
            <rFont val="Tahoma"/>
            <family val="2"/>
          </rPr>
          <t xml:space="preserve">
</t>
        </r>
      </text>
    </comment>
    <comment ref="A16" authorId="0" shapeId="0" xr:uid="{7DC61AB8-19A9-42E4-BE8C-0030BDA4BCF2}">
      <text>
        <r>
          <rPr>
            <b/>
            <sz val="9"/>
            <color indexed="81"/>
            <rFont val="Tahoma"/>
            <family val="2"/>
          </rPr>
          <t>Give the initial state before beginning the test.</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C551EB27-7AC2-4BA1-9445-33B93BE1AA3C}">
      <text>
        <r>
          <rPr>
            <b/>
            <sz val="9"/>
            <color indexed="81"/>
            <rFont val="Tahoma"/>
            <family val="2"/>
          </rPr>
          <t xml:space="preserve">See Guide (help)
</t>
        </r>
        <r>
          <rPr>
            <sz val="9"/>
            <color indexed="81"/>
            <rFont val="Tahoma"/>
            <family val="2"/>
          </rPr>
          <t xml:space="preserve">
</t>
        </r>
      </text>
    </comment>
    <comment ref="A3" authorId="0" shapeId="0" xr:uid="{9FB0F448-9EB8-4F95-B823-788C34192A4C}">
      <text>
        <r>
          <rPr>
            <b/>
            <sz val="9"/>
            <color indexed="81"/>
            <rFont val="Tahoma"/>
            <family val="2"/>
          </rPr>
          <t xml:space="preserve">See Guide (help)
</t>
        </r>
        <r>
          <rPr>
            <sz val="9"/>
            <color indexed="81"/>
            <rFont val="Tahoma"/>
            <family val="2"/>
          </rPr>
          <t xml:space="preserve">
</t>
        </r>
      </text>
    </comment>
    <comment ref="A5" authorId="0" shapeId="0" xr:uid="{6225E8FD-D539-49F3-8EFD-C2364008B0E0}">
      <text>
        <r>
          <rPr>
            <sz val="9"/>
            <color indexed="81"/>
            <rFont val="Tahoma"/>
            <family val="2"/>
          </rPr>
          <t>Definition is in the "General info" tab.
Use the dropdown list.</t>
        </r>
      </text>
    </comment>
    <comment ref="A9" authorId="0" shapeId="0" xr:uid="{EDA93103-87F5-4B03-BABD-28A5B66CEE36}">
      <text>
        <r>
          <rPr>
            <b/>
            <sz val="9"/>
            <color indexed="81"/>
            <rFont val="Tahoma"/>
            <family val="2"/>
          </rPr>
          <t>See Guide (help)</t>
        </r>
        <r>
          <rPr>
            <sz val="9"/>
            <color indexed="81"/>
            <rFont val="Tahoma"/>
            <family val="2"/>
          </rPr>
          <t xml:space="preserve">
</t>
        </r>
      </text>
    </comment>
    <comment ref="A11" authorId="0" shapeId="0" xr:uid="{62796CA5-7721-4FEC-9530-D38B5DA18C33}">
      <text>
        <r>
          <rPr>
            <b/>
            <sz val="9"/>
            <color indexed="81"/>
            <rFont val="Tahoma"/>
            <family val="2"/>
          </rPr>
          <t xml:space="preserve">Describe the test environment and setup.
</t>
        </r>
        <r>
          <rPr>
            <sz val="9"/>
            <color indexed="81"/>
            <rFont val="Tahoma"/>
            <family val="2"/>
          </rPr>
          <t xml:space="preserve">
</t>
        </r>
      </text>
    </comment>
    <comment ref="A16" authorId="0" shapeId="0" xr:uid="{9D6D0FBC-97BE-4DE7-984C-3E328FB26124}">
      <text>
        <r>
          <rPr>
            <b/>
            <sz val="9"/>
            <color indexed="81"/>
            <rFont val="Tahoma"/>
            <family val="2"/>
          </rPr>
          <t>Give the initial state before beginning the test.</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6DB93CBF-782B-4E64-BB82-BC3465FD61EE}">
      <text>
        <r>
          <rPr>
            <b/>
            <sz val="9"/>
            <color indexed="81"/>
            <rFont val="Tahoma"/>
            <family val="2"/>
          </rPr>
          <t xml:space="preserve">See Guide (help)
</t>
        </r>
        <r>
          <rPr>
            <sz val="9"/>
            <color indexed="81"/>
            <rFont val="Tahoma"/>
            <family val="2"/>
          </rPr>
          <t xml:space="preserve">
</t>
        </r>
      </text>
    </comment>
    <comment ref="A3" authorId="0" shapeId="0" xr:uid="{06AF1056-53A8-4D82-A228-26C2E351D6E5}">
      <text>
        <r>
          <rPr>
            <b/>
            <sz val="9"/>
            <color indexed="81"/>
            <rFont val="Tahoma"/>
            <family val="2"/>
          </rPr>
          <t xml:space="preserve">See Guide (help)
</t>
        </r>
        <r>
          <rPr>
            <sz val="9"/>
            <color indexed="81"/>
            <rFont val="Tahoma"/>
            <family val="2"/>
          </rPr>
          <t xml:space="preserve">
</t>
        </r>
      </text>
    </comment>
    <comment ref="A5" authorId="0" shapeId="0" xr:uid="{C5694AC3-6375-4727-A7EE-F2DA6DAB6B54}">
      <text>
        <r>
          <rPr>
            <sz val="9"/>
            <color indexed="81"/>
            <rFont val="Tahoma"/>
            <family val="2"/>
          </rPr>
          <t>Definition is in the "General info" tab.
Use the dropdown list.</t>
        </r>
      </text>
    </comment>
    <comment ref="A9" authorId="0" shapeId="0" xr:uid="{58B27A60-7E9B-4911-8303-613FBFEFC261}">
      <text>
        <r>
          <rPr>
            <b/>
            <sz val="9"/>
            <color indexed="81"/>
            <rFont val="Tahoma"/>
            <family val="2"/>
          </rPr>
          <t>See Guide (help)</t>
        </r>
        <r>
          <rPr>
            <sz val="9"/>
            <color indexed="81"/>
            <rFont val="Tahoma"/>
            <family val="2"/>
          </rPr>
          <t xml:space="preserve">
</t>
        </r>
      </text>
    </comment>
    <comment ref="A11" authorId="0" shapeId="0" xr:uid="{BCCF2467-A32B-4B9E-B629-49135F7F5E7B}">
      <text>
        <r>
          <rPr>
            <b/>
            <sz val="9"/>
            <color indexed="81"/>
            <rFont val="Tahoma"/>
            <family val="2"/>
          </rPr>
          <t xml:space="preserve">Describe the test environment and setup.
</t>
        </r>
        <r>
          <rPr>
            <sz val="9"/>
            <color indexed="81"/>
            <rFont val="Tahoma"/>
            <family val="2"/>
          </rPr>
          <t xml:space="preserve">
</t>
        </r>
      </text>
    </comment>
    <comment ref="A16" authorId="0" shapeId="0" xr:uid="{D0FFDFCF-D3FA-440D-82AD-E86EB755E08A}">
      <text>
        <r>
          <rPr>
            <b/>
            <sz val="9"/>
            <color indexed="81"/>
            <rFont val="Tahoma"/>
            <family val="2"/>
          </rPr>
          <t>Give the initial state before beginning the test.</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811DA4D3-BE4D-4469-A40A-03DC0319158B}">
      <text>
        <r>
          <rPr>
            <b/>
            <sz val="9"/>
            <color indexed="81"/>
            <rFont val="Tahoma"/>
            <family val="2"/>
          </rPr>
          <t xml:space="preserve">See Guide (help)
</t>
        </r>
        <r>
          <rPr>
            <sz val="9"/>
            <color indexed="81"/>
            <rFont val="Tahoma"/>
            <family val="2"/>
          </rPr>
          <t xml:space="preserve">
</t>
        </r>
      </text>
    </comment>
    <comment ref="A3" authorId="0" shapeId="0" xr:uid="{30B9DCC5-DB15-4809-9983-E887B3D5F94F}">
      <text>
        <r>
          <rPr>
            <b/>
            <sz val="9"/>
            <color indexed="81"/>
            <rFont val="Tahoma"/>
            <family val="2"/>
          </rPr>
          <t xml:space="preserve">See Guide (help)
</t>
        </r>
        <r>
          <rPr>
            <sz val="9"/>
            <color indexed="81"/>
            <rFont val="Tahoma"/>
            <family val="2"/>
          </rPr>
          <t xml:space="preserve">
</t>
        </r>
      </text>
    </comment>
    <comment ref="A5" authorId="0" shapeId="0" xr:uid="{83E40D23-4EB3-4FAB-B8B6-EBBC1587B14F}">
      <text>
        <r>
          <rPr>
            <sz val="9"/>
            <color indexed="81"/>
            <rFont val="Tahoma"/>
            <family val="2"/>
          </rPr>
          <t>Definition is in the "General info" tab.
Use the dropdown list.</t>
        </r>
      </text>
    </comment>
    <comment ref="A9" authorId="0" shapeId="0" xr:uid="{FB522338-92C2-463E-9958-1C6D91D22BEF}">
      <text>
        <r>
          <rPr>
            <b/>
            <sz val="9"/>
            <color indexed="81"/>
            <rFont val="Tahoma"/>
            <family val="2"/>
          </rPr>
          <t>See Guide (help)</t>
        </r>
        <r>
          <rPr>
            <sz val="9"/>
            <color indexed="81"/>
            <rFont val="Tahoma"/>
            <family val="2"/>
          </rPr>
          <t xml:space="preserve">
</t>
        </r>
      </text>
    </comment>
    <comment ref="A11" authorId="0" shapeId="0" xr:uid="{5AAB3976-F2F4-4E0F-8E5D-8C5777EA3F9A}">
      <text>
        <r>
          <rPr>
            <b/>
            <sz val="9"/>
            <color indexed="81"/>
            <rFont val="Tahoma"/>
            <family val="2"/>
          </rPr>
          <t xml:space="preserve">Describe the test environment and setup.
</t>
        </r>
        <r>
          <rPr>
            <sz val="9"/>
            <color indexed="81"/>
            <rFont val="Tahoma"/>
            <family val="2"/>
          </rPr>
          <t xml:space="preserve">
</t>
        </r>
      </text>
    </comment>
    <comment ref="A16" authorId="0" shapeId="0" xr:uid="{77B2BA28-231E-41BA-BF78-2F494C2B5191}">
      <text>
        <r>
          <rPr>
            <b/>
            <sz val="9"/>
            <color indexed="81"/>
            <rFont val="Tahoma"/>
            <family val="2"/>
          </rPr>
          <t>Give the initial state before beginning the test.</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5634B3D4-FA07-4A97-BF16-B990EB94147B}">
      <text>
        <r>
          <rPr>
            <b/>
            <sz val="9"/>
            <color indexed="81"/>
            <rFont val="Tahoma"/>
            <family val="2"/>
          </rPr>
          <t xml:space="preserve">See Guide (help)
</t>
        </r>
        <r>
          <rPr>
            <sz val="9"/>
            <color indexed="81"/>
            <rFont val="Tahoma"/>
            <family val="2"/>
          </rPr>
          <t xml:space="preserve">
</t>
        </r>
      </text>
    </comment>
    <comment ref="A3" authorId="0" shapeId="0" xr:uid="{E52949E8-CEEA-49FE-9A51-0751093381C8}">
      <text>
        <r>
          <rPr>
            <b/>
            <sz val="9"/>
            <color indexed="81"/>
            <rFont val="Tahoma"/>
            <family val="2"/>
          </rPr>
          <t xml:space="preserve">See Guide (help)
</t>
        </r>
        <r>
          <rPr>
            <sz val="9"/>
            <color indexed="81"/>
            <rFont val="Tahoma"/>
            <family val="2"/>
          </rPr>
          <t xml:space="preserve">
</t>
        </r>
      </text>
    </comment>
    <comment ref="A5" authorId="0" shapeId="0" xr:uid="{7495C050-6A9A-4D87-BBC8-6CA08DB3B35C}">
      <text>
        <r>
          <rPr>
            <sz val="9"/>
            <color indexed="81"/>
            <rFont val="Tahoma"/>
            <family val="2"/>
          </rPr>
          <t>Definition is in the "General info" tab.
Use the dropdown list.</t>
        </r>
      </text>
    </comment>
    <comment ref="A9" authorId="0" shapeId="0" xr:uid="{E0FFE2BF-DC31-46D7-8F1F-D5DF388C20D9}">
      <text>
        <r>
          <rPr>
            <b/>
            <sz val="9"/>
            <color indexed="81"/>
            <rFont val="Tahoma"/>
            <family val="2"/>
          </rPr>
          <t>See Guide (help)</t>
        </r>
        <r>
          <rPr>
            <sz val="9"/>
            <color indexed="81"/>
            <rFont val="Tahoma"/>
            <family val="2"/>
          </rPr>
          <t xml:space="preserve">
</t>
        </r>
      </text>
    </comment>
    <comment ref="A11" authorId="0" shapeId="0" xr:uid="{FA632DB8-584A-4EE2-A191-E1116DAFFCF0}">
      <text>
        <r>
          <rPr>
            <b/>
            <sz val="9"/>
            <color indexed="81"/>
            <rFont val="Tahoma"/>
            <family val="2"/>
          </rPr>
          <t xml:space="preserve">Describe the test environment and setup.
</t>
        </r>
        <r>
          <rPr>
            <sz val="9"/>
            <color indexed="81"/>
            <rFont val="Tahoma"/>
            <family val="2"/>
          </rPr>
          <t xml:space="preserve">
</t>
        </r>
      </text>
    </comment>
    <comment ref="A16" authorId="0" shapeId="0" xr:uid="{EEFA7413-116E-468C-A5D6-8B8A8A1D7D51}">
      <text>
        <r>
          <rPr>
            <b/>
            <sz val="9"/>
            <color indexed="81"/>
            <rFont val="Tahoma"/>
            <family val="2"/>
          </rPr>
          <t>Give the initial state before beginning the test.</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CAE7AD20-2B6D-4B43-86E9-B1A2BB552571}">
      <text>
        <r>
          <rPr>
            <b/>
            <sz val="9"/>
            <color indexed="81"/>
            <rFont val="Tahoma"/>
            <family val="2"/>
          </rPr>
          <t xml:space="preserve">See Guide (help)
</t>
        </r>
        <r>
          <rPr>
            <sz val="9"/>
            <color indexed="81"/>
            <rFont val="Tahoma"/>
            <family val="2"/>
          </rPr>
          <t xml:space="preserve">
</t>
        </r>
      </text>
    </comment>
    <comment ref="A3" authorId="0" shapeId="0" xr:uid="{0E26BDDC-F3BD-4AE5-BADD-1FEE704DD400}">
      <text>
        <r>
          <rPr>
            <b/>
            <sz val="9"/>
            <color indexed="81"/>
            <rFont val="Tahoma"/>
            <family val="2"/>
          </rPr>
          <t xml:space="preserve">See Guide (help)
</t>
        </r>
        <r>
          <rPr>
            <sz val="9"/>
            <color indexed="81"/>
            <rFont val="Tahoma"/>
            <family val="2"/>
          </rPr>
          <t xml:space="preserve">
</t>
        </r>
      </text>
    </comment>
    <comment ref="A5" authorId="0" shapeId="0" xr:uid="{E3BDF75E-20F8-443A-8E8E-C66209CC29DF}">
      <text>
        <r>
          <rPr>
            <sz val="9"/>
            <color indexed="81"/>
            <rFont val="Tahoma"/>
            <family val="2"/>
          </rPr>
          <t>Definition is in the "General info" tab.
Use the dropdown list.</t>
        </r>
      </text>
    </comment>
    <comment ref="A9" authorId="0" shapeId="0" xr:uid="{FAB58E8D-4B23-4866-A824-64C8A9BD27F3}">
      <text>
        <r>
          <rPr>
            <b/>
            <sz val="9"/>
            <color indexed="81"/>
            <rFont val="Tahoma"/>
            <family val="2"/>
          </rPr>
          <t>See Guide (help)</t>
        </r>
        <r>
          <rPr>
            <sz val="9"/>
            <color indexed="81"/>
            <rFont val="Tahoma"/>
            <family val="2"/>
          </rPr>
          <t xml:space="preserve">
</t>
        </r>
      </text>
    </comment>
    <comment ref="A11" authorId="0" shapeId="0" xr:uid="{DE60AEF3-AC8B-49A6-8684-2837F33B9966}">
      <text>
        <r>
          <rPr>
            <b/>
            <sz val="9"/>
            <color indexed="81"/>
            <rFont val="Tahoma"/>
            <family val="2"/>
          </rPr>
          <t xml:space="preserve">Describe the test environment and setup.
</t>
        </r>
        <r>
          <rPr>
            <sz val="9"/>
            <color indexed="81"/>
            <rFont val="Tahoma"/>
            <family val="2"/>
          </rPr>
          <t xml:space="preserve">
</t>
        </r>
      </text>
    </comment>
    <comment ref="A16" authorId="0" shapeId="0" xr:uid="{28ED1080-0208-42E0-A117-66BECA5148EF}">
      <text>
        <r>
          <rPr>
            <b/>
            <sz val="9"/>
            <color indexed="81"/>
            <rFont val="Tahoma"/>
            <family val="2"/>
          </rPr>
          <t>Give the initial state before beginning the test.</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970F029C-06BE-4D4F-9EC9-818956E1163C}">
      <text>
        <r>
          <rPr>
            <b/>
            <sz val="9"/>
            <color indexed="81"/>
            <rFont val="Tahoma"/>
            <family val="2"/>
          </rPr>
          <t xml:space="preserve">See Guide (help)
</t>
        </r>
        <r>
          <rPr>
            <sz val="9"/>
            <color indexed="81"/>
            <rFont val="Tahoma"/>
            <family val="2"/>
          </rPr>
          <t xml:space="preserve">
</t>
        </r>
      </text>
    </comment>
    <comment ref="A3" authorId="0" shapeId="0" xr:uid="{FF1E6646-E0C5-479A-BCD4-36FFF6374586}">
      <text>
        <r>
          <rPr>
            <b/>
            <sz val="9"/>
            <color indexed="81"/>
            <rFont val="Tahoma"/>
            <family val="2"/>
          </rPr>
          <t xml:space="preserve">See Guide (help)
</t>
        </r>
        <r>
          <rPr>
            <sz val="9"/>
            <color indexed="81"/>
            <rFont val="Tahoma"/>
            <family val="2"/>
          </rPr>
          <t xml:space="preserve">
</t>
        </r>
      </text>
    </comment>
    <comment ref="A5" authorId="0" shapeId="0" xr:uid="{21ABB8BE-D8CF-4F52-8505-8B94ECE71322}">
      <text>
        <r>
          <rPr>
            <sz val="9"/>
            <color indexed="81"/>
            <rFont val="Tahoma"/>
            <family val="2"/>
          </rPr>
          <t>Definition is in the "General info" tab.
Use the dropdown list.</t>
        </r>
      </text>
    </comment>
    <comment ref="A9" authorId="0" shapeId="0" xr:uid="{36F7B90A-1FA5-43A7-B6D4-770F6436725C}">
      <text>
        <r>
          <rPr>
            <b/>
            <sz val="9"/>
            <color indexed="81"/>
            <rFont val="Tahoma"/>
            <family val="2"/>
          </rPr>
          <t>See Guide (help)</t>
        </r>
        <r>
          <rPr>
            <sz val="9"/>
            <color indexed="81"/>
            <rFont val="Tahoma"/>
            <family val="2"/>
          </rPr>
          <t xml:space="preserve">
</t>
        </r>
      </text>
    </comment>
    <comment ref="A11" authorId="0" shapeId="0" xr:uid="{FC2B06A4-5EA5-4C86-870E-65F7E6F753BE}">
      <text>
        <r>
          <rPr>
            <b/>
            <sz val="9"/>
            <color indexed="81"/>
            <rFont val="Tahoma"/>
            <family val="2"/>
          </rPr>
          <t xml:space="preserve">Describe the test environment and setup.
</t>
        </r>
        <r>
          <rPr>
            <sz val="9"/>
            <color indexed="81"/>
            <rFont val="Tahoma"/>
            <family val="2"/>
          </rPr>
          <t xml:space="preserve">
</t>
        </r>
      </text>
    </comment>
    <comment ref="A16" authorId="0" shapeId="0" xr:uid="{0E12258E-8822-4A0C-A4F4-30861540365D}">
      <text>
        <r>
          <rPr>
            <b/>
            <sz val="9"/>
            <color indexed="81"/>
            <rFont val="Tahoma"/>
            <family val="2"/>
          </rPr>
          <t>Give the initial state before beginning the test.</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AB8BF149-216B-44C3-B550-EE0A00001E69}">
      <text>
        <r>
          <rPr>
            <b/>
            <sz val="9"/>
            <color indexed="81"/>
            <rFont val="Tahoma"/>
            <family val="2"/>
          </rPr>
          <t xml:space="preserve">See Guide (help)
</t>
        </r>
        <r>
          <rPr>
            <sz val="9"/>
            <color indexed="81"/>
            <rFont val="Tahoma"/>
            <family val="2"/>
          </rPr>
          <t xml:space="preserve">
</t>
        </r>
      </text>
    </comment>
    <comment ref="A3" authorId="0" shapeId="0" xr:uid="{1CA3FF15-FFA7-4E31-9A93-9B995F97A9D3}">
      <text>
        <r>
          <rPr>
            <b/>
            <sz val="9"/>
            <color indexed="81"/>
            <rFont val="Tahoma"/>
            <family val="2"/>
          </rPr>
          <t xml:space="preserve">See Guide (help)
</t>
        </r>
        <r>
          <rPr>
            <sz val="9"/>
            <color indexed="81"/>
            <rFont val="Tahoma"/>
            <family val="2"/>
          </rPr>
          <t xml:space="preserve">
</t>
        </r>
      </text>
    </comment>
    <comment ref="A5" authorId="0" shapeId="0" xr:uid="{50FE3F53-6BE3-433C-B068-4E229D3E97DB}">
      <text>
        <r>
          <rPr>
            <sz val="9"/>
            <color indexed="81"/>
            <rFont val="Tahoma"/>
            <family val="2"/>
          </rPr>
          <t>Definition is in the "General info" tab.
Use the dropdown list.</t>
        </r>
      </text>
    </comment>
    <comment ref="A9" authorId="0" shapeId="0" xr:uid="{86CFCA97-F75F-4907-A8CE-0E165B63B0C1}">
      <text>
        <r>
          <rPr>
            <b/>
            <sz val="9"/>
            <color indexed="81"/>
            <rFont val="Tahoma"/>
            <family val="2"/>
          </rPr>
          <t>See Guide (help)</t>
        </r>
        <r>
          <rPr>
            <sz val="9"/>
            <color indexed="81"/>
            <rFont val="Tahoma"/>
            <family val="2"/>
          </rPr>
          <t xml:space="preserve">
</t>
        </r>
      </text>
    </comment>
    <comment ref="A11" authorId="0" shapeId="0" xr:uid="{E264B5F0-4B38-43C0-87E1-2C408D061781}">
      <text>
        <r>
          <rPr>
            <b/>
            <sz val="9"/>
            <color indexed="81"/>
            <rFont val="Tahoma"/>
            <family val="2"/>
          </rPr>
          <t xml:space="preserve">Describe the test environment and setup.
</t>
        </r>
        <r>
          <rPr>
            <sz val="9"/>
            <color indexed="81"/>
            <rFont val="Tahoma"/>
            <family val="2"/>
          </rPr>
          <t xml:space="preserve">
</t>
        </r>
      </text>
    </comment>
    <comment ref="A16" authorId="0" shapeId="0" xr:uid="{0F751D15-505D-465C-B004-64DD106627F1}">
      <text>
        <r>
          <rPr>
            <b/>
            <sz val="9"/>
            <color indexed="81"/>
            <rFont val="Tahoma"/>
            <family val="2"/>
          </rPr>
          <t>Give the initial state before beginning the test.</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D7C671E5-1833-4FB6-804D-A836F6247307}">
      <text>
        <r>
          <rPr>
            <b/>
            <sz val="9"/>
            <color indexed="81"/>
            <rFont val="Tahoma"/>
            <family val="2"/>
          </rPr>
          <t xml:space="preserve">See Guide (help)
</t>
        </r>
        <r>
          <rPr>
            <sz val="9"/>
            <color indexed="81"/>
            <rFont val="Tahoma"/>
            <family val="2"/>
          </rPr>
          <t xml:space="preserve">
</t>
        </r>
      </text>
    </comment>
    <comment ref="A3" authorId="0" shapeId="0" xr:uid="{22A101F1-23D4-4342-87B9-38C6B8E86EE4}">
      <text>
        <r>
          <rPr>
            <b/>
            <sz val="9"/>
            <color indexed="81"/>
            <rFont val="Tahoma"/>
            <family val="2"/>
          </rPr>
          <t xml:space="preserve">See Guide (help)
</t>
        </r>
        <r>
          <rPr>
            <sz val="9"/>
            <color indexed="81"/>
            <rFont val="Tahoma"/>
            <family val="2"/>
          </rPr>
          <t xml:space="preserve">
</t>
        </r>
      </text>
    </comment>
    <comment ref="A5" authorId="0" shapeId="0" xr:uid="{49A5EDB3-5436-4E51-8C7F-5CDEC50C574D}">
      <text>
        <r>
          <rPr>
            <sz val="9"/>
            <color indexed="81"/>
            <rFont val="Tahoma"/>
            <family val="2"/>
          </rPr>
          <t>Definition is in the "General info" tab.
Use the dropdown list.</t>
        </r>
      </text>
    </comment>
    <comment ref="A9" authorId="0" shapeId="0" xr:uid="{0B19631D-5AD5-4231-BC4B-BD1C23793C89}">
      <text>
        <r>
          <rPr>
            <b/>
            <sz val="9"/>
            <color indexed="81"/>
            <rFont val="Tahoma"/>
            <family val="2"/>
          </rPr>
          <t>See Guide (help)</t>
        </r>
        <r>
          <rPr>
            <sz val="9"/>
            <color indexed="81"/>
            <rFont val="Tahoma"/>
            <family val="2"/>
          </rPr>
          <t xml:space="preserve">
</t>
        </r>
      </text>
    </comment>
    <comment ref="A11" authorId="0" shapeId="0" xr:uid="{5031F5AD-5ED4-441B-B515-C88EF444F3E2}">
      <text>
        <r>
          <rPr>
            <b/>
            <sz val="9"/>
            <color indexed="81"/>
            <rFont val="Tahoma"/>
            <family val="2"/>
          </rPr>
          <t xml:space="preserve">Describe the test environment and setup.
</t>
        </r>
        <r>
          <rPr>
            <sz val="9"/>
            <color indexed="81"/>
            <rFont val="Tahoma"/>
            <family val="2"/>
          </rPr>
          <t xml:space="preserve">
</t>
        </r>
      </text>
    </comment>
    <comment ref="A16" authorId="0" shapeId="0" xr:uid="{E7F06ED2-CC40-4B48-8FA9-59AEEA022E82}">
      <text>
        <r>
          <rPr>
            <b/>
            <sz val="9"/>
            <color indexed="81"/>
            <rFont val="Tahoma"/>
            <family val="2"/>
          </rPr>
          <t>Give the initial state before beginning the test.</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E09C5B40-BBE7-4556-B1DA-A8FECBAD78F1}">
      <text>
        <r>
          <rPr>
            <b/>
            <sz val="9"/>
            <color indexed="81"/>
            <rFont val="Tahoma"/>
            <family val="2"/>
          </rPr>
          <t xml:space="preserve">See Guide (help)
</t>
        </r>
        <r>
          <rPr>
            <sz val="9"/>
            <color indexed="81"/>
            <rFont val="Tahoma"/>
            <family val="2"/>
          </rPr>
          <t xml:space="preserve">
</t>
        </r>
      </text>
    </comment>
    <comment ref="A3" authorId="0" shapeId="0" xr:uid="{A05B9E3A-8FDF-474B-B965-A20CEBB5E505}">
      <text>
        <r>
          <rPr>
            <b/>
            <sz val="9"/>
            <color indexed="81"/>
            <rFont val="Tahoma"/>
            <family val="2"/>
          </rPr>
          <t xml:space="preserve">See Guide (help)
</t>
        </r>
        <r>
          <rPr>
            <sz val="9"/>
            <color indexed="81"/>
            <rFont val="Tahoma"/>
            <family val="2"/>
          </rPr>
          <t xml:space="preserve">
</t>
        </r>
      </text>
    </comment>
    <comment ref="A5" authorId="0" shapeId="0" xr:uid="{1E5C71DD-C16D-401D-8799-200696ADE81F}">
      <text>
        <r>
          <rPr>
            <sz val="9"/>
            <color indexed="81"/>
            <rFont val="Tahoma"/>
            <family val="2"/>
          </rPr>
          <t>Definition is in the "General info" tab.
Use the dropdown list.</t>
        </r>
      </text>
    </comment>
    <comment ref="A9" authorId="0" shapeId="0" xr:uid="{A30AAFE3-B541-4C88-8C8C-4B211D58327E}">
      <text>
        <r>
          <rPr>
            <b/>
            <sz val="9"/>
            <color indexed="81"/>
            <rFont val="Tahoma"/>
            <family val="2"/>
          </rPr>
          <t>See Guide (help)</t>
        </r>
        <r>
          <rPr>
            <sz val="9"/>
            <color indexed="81"/>
            <rFont val="Tahoma"/>
            <family val="2"/>
          </rPr>
          <t xml:space="preserve">
</t>
        </r>
      </text>
    </comment>
    <comment ref="A11" authorId="0" shapeId="0" xr:uid="{E68692F5-4F0E-465B-BA35-D1D1260741B1}">
      <text>
        <r>
          <rPr>
            <b/>
            <sz val="9"/>
            <color indexed="81"/>
            <rFont val="Tahoma"/>
            <family val="2"/>
          </rPr>
          <t xml:space="preserve">Describe the test environment and setup.
</t>
        </r>
        <r>
          <rPr>
            <sz val="9"/>
            <color indexed="81"/>
            <rFont val="Tahoma"/>
            <family val="2"/>
          </rPr>
          <t xml:space="preserve">
</t>
        </r>
      </text>
    </comment>
    <comment ref="A16" authorId="0" shapeId="0" xr:uid="{C1CB64FC-20A5-4F48-9254-7C30F0FF38A3}">
      <text>
        <r>
          <rPr>
            <b/>
            <sz val="9"/>
            <color indexed="81"/>
            <rFont val="Tahoma"/>
            <family val="2"/>
          </rPr>
          <t>Give the initial state before beginning the test.</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751E5FFE-018B-40CD-8C51-8EE06A62C923}">
      <text>
        <r>
          <rPr>
            <b/>
            <sz val="9"/>
            <color indexed="81"/>
            <rFont val="Tahoma"/>
            <family val="2"/>
          </rPr>
          <t xml:space="preserve">See Guide (help)
</t>
        </r>
        <r>
          <rPr>
            <sz val="9"/>
            <color indexed="81"/>
            <rFont val="Tahoma"/>
            <family val="2"/>
          </rPr>
          <t xml:space="preserve">
</t>
        </r>
      </text>
    </comment>
    <comment ref="A3" authorId="0" shapeId="0" xr:uid="{ECC06456-998C-4E51-8D5B-790FFD5E8538}">
      <text>
        <r>
          <rPr>
            <b/>
            <sz val="9"/>
            <color indexed="81"/>
            <rFont val="Tahoma"/>
            <family val="2"/>
          </rPr>
          <t xml:space="preserve">See Guide (help)
</t>
        </r>
        <r>
          <rPr>
            <sz val="9"/>
            <color indexed="81"/>
            <rFont val="Tahoma"/>
            <family val="2"/>
          </rPr>
          <t xml:space="preserve">
</t>
        </r>
      </text>
    </comment>
    <comment ref="A5" authorId="0" shapeId="0" xr:uid="{23BF1BE4-1011-45F9-B191-9C2529BA3A6F}">
      <text>
        <r>
          <rPr>
            <sz val="9"/>
            <color indexed="81"/>
            <rFont val="Tahoma"/>
            <family val="2"/>
          </rPr>
          <t>Definition is in the "General info" tab.
Use the dropdown list.</t>
        </r>
      </text>
    </comment>
    <comment ref="A9" authorId="0" shapeId="0" xr:uid="{242FAD05-3DC5-4F72-A587-9C1F8F18DD27}">
      <text>
        <r>
          <rPr>
            <b/>
            <sz val="9"/>
            <color indexed="81"/>
            <rFont val="Tahoma"/>
            <family val="2"/>
          </rPr>
          <t>See Guide (help)</t>
        </r>
        <r>
          <rPr>
            <sz val="9"/>
            <color indexed="81"/>
            <rFont val="Tahoma"/>
            <family val="2"/>
          </rPr>
          <t xml:space="preserve">
</t>
        </r>
      </text>
    </comment>
    <comment ref="A11" authorId="0" shapeId="0" xr:uid="{D0BBF6FA-2725-4F05-86CD-38FCCF9D13A1}">
      <text>
        <r>
          <rPr>
            <b/>
            <sz val="9"/>
            <color indexed="81"/>
            <rFont val="Tahoma"/>
            <family val="2"/>
          </rPr>
          <t xml:space="preserve">Describe the test environment and setup.
</t>
        </r>
        <r>
          <rPr>
            <sz val="9"/>
            <color indexed="81"/>
            <rFont val="Tahoma"/>
            <family val="2"/>
          </rPr>
          <t xml:space="preserve">
</t>
        </r>
      </text>
    </comment>
    <comment ref="A16" authorId="0" shapeId="0" xr:uid="{9A903EB7-CFCF-4FA7-ADF1-A9E3232F631C}">
      <text>
        <r>
          <rPr>
            <b/>
            <sz val="9"/>
            <color indexed="81"/>
            <rFont val="Tahoma"/>
            <family val="2"/>
          </rPr>
          <t>Give the initial state before beginning the test.</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39619477-953E-4E53-AD52-0E2413EAF2D1}">
      <text>
        <r>
          <rPr>
            <b/>
            <sz val="9"/>
            <color indexed="81"/>
            <rFont val="Tahoma"/>
            <family val="2"/>
          </rPr>
          <t xml:space="preserve">See Guide (help)
</t>
        </r>
        <r>
          <rPr>
            <sz val="9"/>
            <color indexed="81"/>
            <rFont val="Tahoma"/>
            <family val="2"/>
          </rPr>
          <t xml:space="preserve">
</t>
        </r>
      </text>
    </comment>
    <comment ref="A3" authorId="0" shapeId="0" xr:uid="{6159B23D-E34B-41F8-BEF8-4134541CD530}">
      <text>
        <r>
          <rPr>
            <b/>
            <sz val="9"/>
            <color indexed="81"/>
            <rFont val="Tahoma"/>
            <family val="2"/>
          </rPr>
          <t xml:space="preserve">See Guide (help)
</t>
        </r>
        <r>
          <rPr>
            <sz val="9"/>
            <color indexed="81"/>
            <rFont val="Tahoma"/>
            <family val="2"/>
          </rPr>
          <t xml:space="preserve">
</t>
        </r>
      </text>
    </comment>
    <comment ref="A5" authorId="0" shapeId="0" xr:uid="{E61A0571-A9C5-4EAC-A032-3D22DA14B42B}">
      <text>
        <r>
          <rPr>
            <sz val="9"/>
            <color indexed="81"/>
            <rFont val="Tahoma"/>
            <family val="2"/>
          </rPr>
          <t>Definition is in the "General info" tab.
Use the dropdown list.</t>
        </r>
      </text>
    </comment>
    <comment ref="A9" authorId="0" shapeId="0" xr:uid="{4720869C-3416-4646-A988-DB7E5892A36E}">
      <text>
        <r>
          <rPr>
            <b/>
            <sz val="9"/>
            <color indexed="81"/>
            <rFont val="Tahoma"/>
            <family val="2"/>
          </rPr>
          <t>See Guide (help)</t>
        </r>
        <r>
          <rPr>
            <sz val="9"/>
            <color indexed="81"/>
            <rFont val="Tahoma"/>
            <family val="2"/>
          </rPr>
          <t xml:space="preserve">
</t>
        </r>
      </text>
    </comment>
    <comment ref="A11" authorId="0" shapeId="0" xr:uid="{3B35A50E-5A73-49F8-8DB3-3568F6CAB4FB}">
      <text>
        <r>
          <rPr>
            <b/>
            <sz val="9"/>
            <color indexed="81"/>
            <rFont val="Tahoma"/>
            <family val="2"/>
          </rPr>
          <t xml:space="preserve">Describe the test environment and setup.
</t>
        </r>
        <r>
          <rPr>
            <sz val="9"/>
            <color indexed="81"/>
            <rFont val="Tahoma"/>
            <family val="2"/>
          </rPr>
          <t xml:space="preserve">
</t>
        </r>
      </text>
    </comment>
    <comment ref="A16" authorId="0" shapeId="0" xr:uid="{21D6893E-6AAB-4453-9135-8A60A9725C94}">
      <text>
        <r>
          <rPr>
            <b/>
            <sz val="9"/>
            <color indexed="81"/>
            <rFont val="Tahoma"/>
            <family val="2"/>
          </rPr>
          <t>Give the initial state before beginning the test.</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0FD658CC-3929-420A-829B-F63D682A83EF}">
      <text>
        <r>
          <rPr>
            <b/>
            <sz val="9"/>
            <color indexed="81"/>
            <rFont val="Tahoma"/>
            <family val="2"/>
          </rPr>
          <t xml:space="preserve">See Guide (help)
</t>
        </r>
        <r>
          <rPr>
            <sz val="9"/>
            <color indexed="81"/>
            <rFont val="Tahoma"/>
            <family val="2"/>
          </rPr>
          <t xml:space="preserve">
</t>
        </r>
      </text>
    </comment>
    <comment ref="A3" authorId="0" shapeId="0" xr:uid="{2F34D5A4-DD14-48C7-9D41-E33F2B32774C}">
      <text>
        <r>
          <rPr>
            <b/>
            <sz val="9"/>
            <color indexed="81"/>
            <rFont val="Tahoma"/>
            <family val="2"/>
          </rPr>
          <t xml:space="preserve">See Guide (help)
</t>
        </r>
        <r>
          <rPr>
            <sz val="9"/>
            <color indexed="81"/>
            <rFont val="Tahoma"/>
            <family val="2"/>
          </rPr>
          <t xml:space="preserve">
</t>
        </r>
      </text>
    </comment>
    <comment ref="A5" authorId="0" shapeId="0" xr:uid="{798A89BE-5813-418F-8A0C-20F895CBD98D}">
      <text>
        <r>
          <rPr>
            <sz val="9"/>
            <color indexed="81"/>
            <rFont val="Tahoma"/>
            <family val="2"/>
          </rPr>
          <t>Definition is in the "General info" tab.
Use the dropdown list.</t>
        </r>
      </text>
    </comment>
    <comment ref="A9" authorId="0" shapeId="0" xr:uid="{315E2B7B-E330-44BA-8426-4D321553176C}">
      <text>
        <r>
          <rPr>
            <b/>
            <sz val="9"/>
            <color indexed="81"/>
            <rFont val="Tahoma"/>
            <family val="2"/>
          </rPr>
          <t>See Guide (help)</t>
        </r>
        <r>
          <rPr>
            <sz val="9"/>
            <color indexed="81"/>
            <rFont val="Tahoma"/>
            <family val="2"/>
          </rPr>
          <t xml:space="preserve">
</t>
        </r>
      </text>
    </comment>
    <comment ref="A11" authorId="0" shapeId="0" xr:uid="{2C71702A-CE75-4AC6-B7C6-175C413F2251}">
      <text>
        <r>
          <rPr>
            <b/>
            <sz val="9"/>
            <color indexed="81"/>
            <rFont val="Tahoma"/>
            <family val="2"/>
          </rPr>
          <t xml:space="preserve">Describe the test environment and setup.
</t>
        </r>
        <r>
          <rPr>
            <sz val="9"/>
            <color indexed="81"/>
            <rFont val="Tahoma"/>
            <family val="2"/>
          </rPr>
          <t xml:space="preserve">
</t>
        </r>
      </text>
    </comment>
    <comment ref="A16" authorId="0" shapeId="0" xr:uid="{4F26BF46-E9CB-4E43-854C-83C974B61A5F}">
      <text>
        <r>
          <rPr>
            <b/>
            <sz val="9"/>
            <color indexed="81"/>
            <rFont val="Tahoma"/>
            <family val="2"/>
          </rPr>
          <t>Give the initial state before beginning the test.</t>
        </r>
        <r>
          <rPr>
            <sz val="9"/>
            <color indexed="81"/>
            <rFont val="Tahoma"/>
            <family val="2"/>
          </rPr>
          <t xml:space="preserve">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91903210-1451-4782-B992-031879384A7F}">
      <text>
        <r>
          <rPr>
            <b/>
            <sz val="9"/>
            <color indexed="81"/>
            <rFont val="Tahoma"/>
            <family val="2"/>
          </rPr>
          <t xml:space="preserve">See Guide (help)
</t>
        </r>
        <r>
          <rPr>
            <sz val="9"/>
            <color indexed="81"/>
            <rFont val="Tahoma"/>
            <family val="2"/>
          </rPr>
          <t xml:space="preserve">
</t>
        </r>
      </text>
    </comment>
    <comment ref="A3" authorId="0" shapeId="0" xr:uid="{515BD60B-E79B-4814-A665-BC1FA4248BF2}">
      <text>
        <r>
          <rPr>
            <b/>
            <sz val="9"/>
            <color indexed="81"/>
            <rFont val="Tahoma"/>
            <family val="2"/>
          </rPr>
          <t xml:space="preserve">See Guide (help)
</t>
        </r>
        <r>
          <rPr>
            <sz val="9"/>
            <color indexed="81"/>
            <rFont val="Tahoma"/>
            <family val="2"/>
          </rPr>
          <t xml:space="preserve">
</t>
        </r>
      </text>
    </comment>
    <comment ref="A5" authorId="0" shapeId="0" xr:uid="{B8B34B20-200C-4E8E-BC28-8C08065F44DA}">
      <text>
        <r>
          <rPr>
            <sz val="9"/>
            <color indexed="81"/>
            <rFont val="Tahoma"/>
            <family val="2"/>
          </rPr>
          <t>Definition is in the "General info" tab.
Use the dropdown list.</t>
        </r>
      </text>
    </comment>
    <comment ref="A9" authorId="0" shapeId="0" xr:uid="{7ECFD28F-C0BC-4748-89D4-49142F104D69}">
      <text>
        <r>
          <rPr>
            <b/>
            <sz val="9"/>
            <color indexed="81"/>
            <rFont val="Tahoma"/>
            <family val="2"/>
          </rPr>
          <t>See Guide (help)</t>
        </r>
        <r>
          <rPr>
            <sz val="9"/>
            <color indexed="81"/>
            <rFont val="Tahoma"/>
            <family val="2"/>
          </rPr>
          <t xml:space="preserve">
</t>
        </r>
      </text>
    </comment>
    <comment ref="A11" authorId="0" shapeId="0" xr:uid="{2BC82C2E-402F-4B0A-883A-13A708791626}">
      <text>
        <r>
          <rPr>
            <b/>
            <sz val="9"/>
            <color indexed="81"/>
            <rFont val="Tahoma"/>
            <family val="2"/>
          </rPr>
          <t xml:space="preserve">Describe the test environment and setup.
</t>
        </r>
        <r>
          <rPr>
            <sz val="9"/>
            <color indexed="81"/>
            <rFont val="Tahoma"/>
            <family val="2"/>
          </rPr>
          <t xml:space="preserve">
</t>
        </r>
      </text>
    </comment>
    <comment ref="A16" authorId="0" shapeId="0" xr:uid="{D8E1DE31-4B9D-4113-9E5B-627A14307C76}">
      <text>
        <r>
          <rPr>
            <b/>
            <sz val="9"/>
            <color indexed="81"/>
            <rFont val="Tahoma"/>
            <family val="2"/>
          </rPr>
          <t>Give the initial state before beginning the test.</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596DBDC5-28BF-45F5-9C4D-710162C9227E}">
      <text>
        <r>
          <rPr>
            <b/>
            <sz val="9"/>
            <color indexed="81"/>
            <rFont val="Tahoma"/>
            <family val="2"/>
          </rPr>
          <t xml:space="preserve">See Guide (help)
</t>
        </r>
        <r>
          <rPr>
            <sz val="9"/>
            <color indexed="81"/>
            <rFont val="Tahoma"/>
            <family val="2"/>
          </rPr>
          <t xml:space="preserve">
</t>
        </r>
      </text>
    </comment>
    <comment ref="A3" authorId="0" shapeId="0" xr:uid="{44EFAB87-1206-4C34-B97B-395FB7D9C90A}">
      <text>
        <r>
          <rPr>
            <b/>
            <sz val="9"/>
            <color indexed="81"/>
            <rFont val="Tahoma"/>
            <family val="2"/>
          </rPr>
          <t xml:space="preserve">See Guide (help)
</t>
        </r>
        <r>
          <rPr>
            <sz val="9"/>
            <color indexed="81"/>
            <rFont val="Tahoma"/>
            <family val="2"/>
          </rPr>
          <t xml:space="preserve">
</t>
        </r>
      </text>
    </comment>
    <comment ref="A5" authorId="0" shapeId="0" xr:uid="{6BBCF191-1E27-4BC5-85BC-E8833DCD4710}">
      <text>
        <r>
          <rPr>
            <sz val="9"/>
            <color indexed="81"/>
            <rFont val="Tahoma"/>
            <family val="2"/>
          </rPr>
          <t>Definition is in the "General info" tab.
Use the dropdown list.</t>
        </r>
      </text>
    </comment>
    <comment ref="A9" authorId="0" shapeId="0" xr:uid="{38D0A08C-716F-4B5F-83BB-5EB4696B2252}">
      <text>
        <r>
          <rPr>
            <b/>
            <sz val="9"/>
            <color indexed="81"/>
            <rFont val="Tahoma"/>
            <family val="2"/>
          </rPr>
          <t>See Guide (help)</t>
        </r>
        <r>
          <rPr>
            <sz val="9"/>
            <color indexed="81"/>
            <rFont val="Tahoma"/>
            <family val="2"/>
          </rPr>
          <t xml:space="preserve">
</t>
        </r>
      </text>
    </comment>
    <comment ref="A11" authorId="0" shapeId="0" xr:uid="{8396FB35-7743-413E-8CFA-E27DA737DDA9}">
      <text>
        <r>
          <rPr>
            <b/>
            <sz val="9"/>
            <color indexed="81"/>
            <rFont val="Tahoma"/>
            <family val="2"/>
          </rPr>
          <t xml:space="preserve">Describe the test environment and setup.
</t>
        </r>
        <r>
          <rPr>
            <sz val="9"/>
            <color indexed="81"/>
            <rFont val="Tahoma"/>
            <family val="2"/>
          </rPr>
          <t xml:space="preserve">
</t>
        </r>
      </text>
    </comment>
    <comment ref="A16" authorId="0" shapeId="0" xr:uid="{0E160415-7944-4F54-81B1-E09A6A5A5116}">
      <text>
        <r>
          <rPr>
            <b/>
            <sz val="9"/>
            <color indexed="81"/>
            <rFont val="Tahoma"/>
            <family val="2"/>
          </rPr>
          <t>Give the initial state before beginning the test.</t>
        </r>
        <r>
          <rPr>
            <sz val="9"/>
            <color indexed="81"/>
            <rFont val="Tahoma"/>
            <family val="2"/>
          </rPr>
          <t xml:space="preserve">
</t>
        </r>
      </text>
    </comment>
  </commentList>
</comments>
</file>

<file path=xl/sharedStrings.xml><?xml version="1.0" encoding="utf-8"?>
<sst xmlns="http://schemas.openxmlformats.org/spreadsheetml/2006/main" count="1123" uniqueCount="344">
  <si>
    <t>Project Number &amp; Name</t>
  </si>
  <si>
    <t>Document state</t>
  </si>
  <si>
    <t>Date of release</t>
  </si>
  <si>
    <t>254888 DAIMLER MER W174W178 EL SB ECU</t>
  </si>
  <si>
    <t>Document id</t>
  </si>
  <si>
    <t>Document title</t>
  </si>
  <si>
    <t>Template</t>
  </si>
  <si>
    <t>Version</t>
  </si>
  <si>
    <t>MMG - Software Integration Test Specification Report.xls</t>
  </si>
  <si>
    <t>Author</t>
  </si>
  <si>
    <t>Review</t>
  </si>
  <si>
    <t>Approval</t>
  </si>
  <si>
    <t>Title:</t>
  </si>
  <si>
    <t>Mirela Obada</t>
  </si>
  <si>
    <t xml:space="preserve">See Project Master Document for the roles and Project Members List for the name of people </t>
  </si>
  <si>
    <t>Distribution</t>
  </si>
  <si>
    <t>Executive summary</t>
  </si>
  <si>
    <t>Released</t>
  </si>
  <si>
    <t>23.06.2022</t>
  </si>
  <si>
    <t>NA</t>
  </si>
  <si>
    <t>Tab Name</t>
  </si>
  <si>
    <t>TAB - General Information</t>
  </si>
  <si>
    <t>1. General Information</t>
  </si>
  <si>
    <t>1.1. Table of content</t>
  </si>
  <si>
    <t>Tab</t>
  </si>
  <si>
    <t>Description/comment</t>
  </si>
  <si>
    <t>FrontPage</t>
  </si>
  <si>
    <t>The front page contains information about the document.
Note : the blue cells are automatically filled by PLM and/or formula</t>
  </si>
  <si>
    <t>General info</t>
  </si>
  <si>
    <t>This sheet contains history, reference, purpose, scope, definition and guide</t>
  </si>
  <si>
    <t>Guide (help)</t>
  </si>
  <si>
    <t>This sheet helps to fill the differents fields and sheets of the template.</t>
  </si>
  <si>
    <t>Tests Synthesis</t>
  </si>
  <si>
    <t>This sheet gives a synthesis of all Software Integration tests cases and results.</t>
  </si>
  <si>
    <t>SW_IT_xxx</t>
  </si>
  <si>
    <t>This sheet gives the frame of a Software Integration tests cases.</t>
  </si>
  <si>
    <t>Metrics</t>
  </si>
  <si>
    <t>This sheet gives some metrics regarding the number of tests failed, passed, not run....</t>
  </si>
  <si>
    <t>1.2. Revision History *</t>
  </si>
  <si>
    <t>Date</t>
  </si>
  <si>
    <t>Author(s)</t>
  </si>
  <si>
    <t>Description/Comment</t>
  </si>
  <si>
    <t>1.0</t>
  </si>
  <si>
    <t>27.01.2022</t>
  </si>
  <si>
    <t>Septi Vintila</t>
  </si>
  <si>
    <t>Initial revision, test for under-/overvoltage</t>
  </si>
  <si>
    <t xml:space="preserve">1.3 </t>
  </si>
  <si>
    <t>04.08.2022</t>
  </si>
  <si>
    <t xml:space="preserve">Add new tests </t>
  </si>
  <si>
    <t>1.4</t>
  </si>
  <si>
    <t>08.04.2022</t>
  </si>
  <si>
    <t>Update revision history</t>
  </si>
  <si>
    <t>1.5</t>
  </si>
  <si>
    <t>11.08.2022</t>
  </si>
  <si>
    <t>Fix findings from review</t>
  </si>
  <si>
    <t>1.6</t>
  </si>
  <si>
    <t>Update and added new test</t>
  </si>
  <si>
    <t>* Template history is found in the CM tool used for templates</t>
  </si>
  <si>
    <t>1.3. Purpose and Scope</t>
  </si>
  <si>
    <t xml:space="preserve">The purpose of this document is established thanks to the Software Architecture design document and defined all Software Integration test cases necessary to control if the SW release XX is correctly implemented as planned in the Software Integration Test Plan. All Software Integration tests specification and report will be stored.
</t>
  </si>
  <si>
    <t>1.4. References</t>
  </si>
  <si>
    <t>1.4.1. Referenced documents</t>
  </si>
  <si>
    <t>ID</t>
  </si>
  <si>
    <t>Title</t>
  </si>
  <si>
    <t>Reference &amp; revision</t>
  </si>
  <si>
    <t>1.4.2. Applicable documents</t>
  </si>
  <si>
    <t>1.5. Terminology and definitions</t>
  </si>
  <si>
    <t>Terminology</t>
  </si>
  <si>
    <t>Test Classification</t>
  </si>
  <si>
    <t>The integration tests are classified into 4 types: nominal, robustness, endurance and qualification tests.</t>
  </si>
  <si>
    <t>Nominal test</t>
  </si>
  <si>
    <t>(extracted from SW00OTH001_Dictionary_Acronyms_Roles.xls)
A nominal test consists of applying entry values sequences to the software that should cause all the behaviors expected in the design documents.</t>
  </si>
  <si>
    <t>Robustness Test</t>
  </si>
  <si>
    <t>(extracted from SW00OTH001_Dictionary_Acronyms_Roles.xls)
A robustness test consist to inject faults and limits values to the software in order to check that the behaviour is coherent to the designs documents.</t>
  </si>
  <si>
    <t>Endurance Test</t>
  </si>
  <si>
    <t>(extracted from SW00OTH001_Dictionary_Acronyms_Roles.xls)
An endurance test is done in order to check the repetiveness and the repeatability of the results.</t>
  </si>
  <si>
    <t>Qualification Test</t>
  </si>
  <si>
    <t>(extracted from SW00OTH001_Dictionary_Acronyms_Roles.xls)
A qualification test aims at precisely checking (and reporting) a behaviour or a metric (for instance to measure a timing or a memory consumption).</t>
  </si>
  <si>
    <t>2. Guide (help)</t>
  </si>
  <si>
    <t>Put here all information which can help the user to use and understand how to use this file:</t>
  </si>
  <si>
    <t>(see the "Guide (help)" tab)</t>
  </si>
  <si>
    <t xml:space="preserve">If the “Status” is OK , nothing to do in the following columns. </t>
  </si>
  <si>
    <t>If the “Status” is NOK, there are 2 possibilities:</t>
  </si>
  <si>
    <t xml:space="preserve">   a) Correction of the dysfunction, fill the column “To be Fixed” with “YES”.</t>
  </si>
  <si>
    <t xml:space="preserve">   b) No correction of the dysfunction, fill the columns “To be Fixed” with “NO” and “CR/WI number” with the number of the Change Request or Working Issue </t>
  </si>
  <si>
    <t xml:space="preserve">   (mandatory if “To be Fixed” is NO)</t>
  </si>
  <si>
    <t>5) Correction part</t>
  </si>
  <si>
    <t>If the “Status” is OK, nothing to do in the following columns.</t>
  </si>
  <si>
    <t>If the “Status” is NOK and, “To be Fixed” is “NO”, nothing to do in the following columns.</t>
  </si>
  <si>
    <t>If the “Status” is NOK and,  “To be Fixed” is “YES”, fill the columns:</t>
  </si>
  <si>
    <t xml:space="preserve">   “MKS label” with a new MKS checkpoint name,</t>
  </si>
  <si>
    <t xml:space="preserve">   “Who” with the initials of the person who performs the test.</t>
  </si>
  <si>
    <t xml:space="preserve">   “Done” with a “X” when the test is successful</t>
  </si>
  <si>
    <t xml:space="preserve">6) “Final Status” is automatically filled thanks to a macro. </t>
  </si>
  <si>
    <t xml:space="preserve">   If “Status” is OK then “Final Status” is Test OK. </t>
  </si>
  <si>
    <t xml:space="preserve">   If “Status” is NOK and “To be Fixed” is “NO”, then “Final Status” is Test NOK </t>
  </si>
  <si>
    <t xml:space="preserve">   If “Status” is NOK and “To be Fixed” is “YES” and “Done” with “X”, then “Final Status” is Fixed</t>
  </si>
  <si>
    <t>AAUT TAB</t>
  </si>
  <si>
    <t>Change the name "AAUT" of the tab by the Unit name</t>
  </si>
  <si>
    <t>Test Title : give the Test title in order to do the link with the AAU design document.</t>
  </si>
  <si>
    <t xml:space="preserve">Test Case ID : this cell </t>
  </si>
  <si>
    <t>Purpose : give the test gloal</t>
  </si>
  <si>
    <t>Requirement : Link with design requirement or the SW requirement</t>
  </si>
  <si>
    <t>Classification: Give the test type such as Nominal test, or Robustness test, or Endurance test</t>
  </si>
  <si>
    <t xml:space="preserve">Setup: Describe the test environment </t>
  </si>
  <si>
    <t>Test Preconditions : Give the intial test set up</t>
  </si>
  <si>
    <t xml:space="preserve">Add Files or Add Informations : if you want to add any comments or files  </t>
  </si>
  <si>
    <t xml:space="preserve">Test Case Description : Describe each step  of the test cas in the table </t>
  </si>
  <si>
    <t>If you want a new test case click on create a new test case  button.</t>
  </si>
  <si>
    <r>
      <rPr>
        <b/>
        <u/>
        <sz val="10"/>
        <rFont val="Arial"/>
        <family val="2"/>
      </rPr>
      <t>1) Creation Software Integration Test Specification</t>
    </r>
    <r>
      <rPr>
        <sz val="10"/>
        <rFont val="Arial"/>
        <family val="2"/>
      </rPr>
      <t xml:space="preserve">
Use this template and rename it as Software Integration Test Specification.
</t>
    </r>
    <r>
      <rPr>
        <b/>
        <u/>
        <sz val="10"/>
        <rFont val="Arial"/>
        <family val="2"/>
      </rPr>
      <t>2) Creation Software Integration Test Report</t>
    </r>
    <r>
      <rPr>
        <sz val="10"/>
        <rFont val="Arial"/>
        <family val="2"/>
      </rPr>
      <t xml:space="preserve">
Once you are ready to perform all the tests described in the Specification, duplicate the Software Integration Test </t>
    </r>
    <r>
      <rPr>
        <u/>
        <sz val="10"/>
        <rFont val="Arial"/>
        <family val="2"/>
      </rPr>
      <t>Specification</t>
    </r>
    <r>
      <rPr>
        <sz val="10"/>
        <rFont val="Arial"/>
        <family val="2"/>
      </rPr>
      <t xml:space="preserve"> and rename it Software Integration Test </t>
    </r>
    <r>
      <rPr>
        <u/>
        <sz val="10"/>
        <rFont val="Arial"/>
        <family val="2"/>
      </rPr>
      <t>Report</t>
    </r>
    <r>
      <rPr>
        <sz val="10"/>
        <rFont val="Arial"/>
        <family val="2"/>
      </rPr>
      <t xml:space="preserve">. You fill the report with your results (that means you must fill the actual result and result in front of the steps of Test Description and then the Test Status. Please, use the dropdown list.)
</t>
    </r>
    <r>
      <rPr>
        <b/>
        <u/>
        <sz val="10"/>
        <rFont val="Arial"/>
        <family val="2"/>
      </rPr>
      <t>3) Creation of the SW integration test cases:</t>
    </r>
    <r>
      <rPr>
        <sz val="10"/>
        <rFont val="Arial"/>
        <family val="2"/>
      </rPr>
      <t xml:space="preserve">
    . Duplicate the sheet "SW_IT_xxx"
    . Rename xxx of the sheet name"SW_IT_xxx" with a number (then you have Test Case ID)
    . Fill the content of the sheet:
           - Test case title: (free text)
           - Reference to design element ID: (free text depending on the format of the SW Architecture.
           The recommendation for reference would be to have a format like SW_ARCH_ddddd with d=digit) 
           - Test Classification: select thanks to the dropdown list the type (see General info sheet)
           - Purpose of test: (free text)
           - Test Status: once all results in front of the steps in the Test Description are filled and
           thanks to the dropdown list select the status 
                        Ok :  test is passed (all results in Test Description are Ok)
                        Nok : test is failed (at least one of the results in Test Description is Nok)
                        not run : test is not performed
                        NA :  test is not applicable (An explanation must be given in Comment column of Tests 
                                Synthesis sheet. This case is possible only if a test case is written but the functionality
                                is not planned to be tested.) 
           - Environment/setup:  (free text) Describe the test environment
           - Precondition : (free text) Give the initial state before beginning the test.
           - Test Case Description : Describe each step of the test case in the table.
    . Duplicate the sheet "SW_IT_xxx" and fill the content as many times as needed by test case.
</t>
    </r>
    <r>
      <rPr>
        <b/>
        <u/>
        <sz val="10"/>
        <rFont val="Arial"/>
        <family val="2"/>
      </rPr>
      <t xml:space="preserve">4) Update Tests Synthesis sheet: 
</t>
    </r>
    <r>
      <rPr>
        <sz val="10"/>
        <rFont val="Arial"/>
        <family val="2"/>
      </rPr>
      <t xml:space="preserve">    . In “Test Case Id column” , write the test id given by Test case excel sheet name (SW_IT_xxx).
    ==&gt; All cells in white are Automatically fulfilled (extracted from SW_IT_xxx sheet).
    . All cells in light orange shall be Manually filled (see guide included in the comment)
</t>
    </r>
  </si>
  <si>
    <t>No.</t>
  </si>
  <si>
    <t>Test case ID</t>
  </si>
  <si>
    <t>Reference to design element ID</t>
  </si>
  <si>
    <t>Test case title</t>
  </si>
  <si>
    <t>Priority</t>
  </si>
  <si>
    <t>PTC label</t>
  </si>
  <si>
    <t>Test Status</t>
  </si>
  <si>
    <t>SW Integration tester</t>
  </si>
  <si>
    <t>Issue number 
(PTC IM)</t>
  </si>
  <si>
    <t>SW_IT_MMG_001</t>
  </si>
  <si>
    <t>SW_IT_MMG_002</t>
  </si>
  <si>
    <t>SW_IT_MMG_003</t>
  </si>
  <si>
    <t>SW_IT_MMG_004</t>
  </si>
  <si>
    <t>SW_IT_MMG_005</t>
  </si>
  <si>
    <t>SW_IT_MMG_006</t>
  </si>
  <si>
    <t>SW_IT_MMG_007</t>
  </si>
  <si>
    <t>SW_IT_MMG_009</t>
  </si>
  <si>
    <t>SW_IT_MMG_010</t>
  </si>
  <si>
    <t>SW_IT_MMG_011</t>
  </si>
  <si>
    <t>SW_IT_MMG_012</t>
  </si>
  <si>
    <t>SW_IT_MMG_013</t>
  </si>
  <si>
    <t>SW_IT_MMG_014</t>
  </si>
  <si>
    <t>SW_IT_MMG_015</t>
  </si>
  <si>
    <t>SW_IT_MMG_016</t>
  </si>
  <si>
    <t>SW_IT_MMG_017</t>
  </si>
  <si>
    <t>SW_IT_MMG_018</t>
  </si>
  <si>
    <t>SW_IT_MMG_019</t>
  </si>
  <si>
    <t>SW_IT_MMG_020</t>
  </si>
  <si>
    <t>SW_IT_MMG_021</t>
  </si>
  <si>
    <t>Test case title:</t>
  </si>
  <si>
    <t>Reference to design element ID:</t>
  </si>
  <si>
    <t>Test Classification:</t>
  </si>
  <si>
    <t>Nominal</t>
  </si>
  <si>
    <t>Purpose of test:</t>
  </si>
  <si>
    <t>Test Status:</t>
  </si>
  <si>
    <t>Ok</t>
  </si>
  <si>
    <t>Environment/setup:</t>
  </si>
  <si>
    <t>CANoe, WinIDEA</t>
  </si>
  <si>
    <t>Precondition:</t>
  </si>
  <si>
    <t>Running software (hsm+bm+fbl+app), no DET, traps, etc</t>
  </si>
  <si>
    <t>Test Case Description</t>
  </si>
  <si>
    <t>Expected result</t>
  </si>
  <si>
    <t>Actual result</t>
  </si>
  <si>
    <t>Result</t>
  </si>
  <si>
    <t>Step 1</t>
  </si>
  <si>
    <t>Step 2</t>
  </si>
  <si>
    <t>Step 3</t>
  </si>
  <si>
    <t>Step 4</t>
  </si>
  <si>
    <t>Step 5</t>
  </si>
  <si>
    <t>Step 6</t>
  </si>
  <si>
    <t>ARCH_SW_MMG_0004</t>
  </si>
  <si>
    <t>Breakpoint is reached.</t>
  </si>
  <si>
    <t>Step 7</t>
  </si>
  <si>
    <t>Step 8</t>
  </si>
  <si>
    <t>Step 9</t>
  </si>
  <si>
    <t>Step 10</t>
  </si>
  <si>
    <t>Breakpoint is reached</t>
  </si>
  <si>
    <t>Step 11</t>
  </si>
  <si>
    <t>Step 12</t>
  </si>
  <si>
    <t>Step 13</t>
  </si>
  <si>
    <t>Step 14</t>
  </si>
  <si>
    <t>Step 15</t>
  </si>
  <si>
    <t>Step 16</t>
  </si>
  <si>
    <t>Step 17</t>
  </si>
  <si>
    <t>Step 18</t>
  </si>
  <si>
    <t>Step 19</t>
  </si>
  <si>
    <t>ARCH_SW_MMG_0006</t>
  </si>
  <si>
    <t>ARCH_SW_MMG_0007</t>
  </si>
  <si>
    <t>Set a breackpoint in function MMG_runManageModeDelays() from MMG.c at line mmg_ManageModeDelays_ExecutedCycle();</t>
  </si>
  <si>
    <t>ARCH_SW_MMG_0008</t>
  </si>
  <si>
    <t>Nok</t>
  </si>
  <si>
    <t>Breakpoint not reached</t>
  </si>
  <si>
    <t>Fail of SW Self Protection</t>
  </si>
  <si>
    <t>no. of tests passed</t>
  </si>
  <si>
    <t>percentage of tests passed</t>
  </si>
  <si>
    <t>no. of test failed</t>
  </si>
  <si>
    <t>percentage of tests failed</t>
  </si>
  <si>
    <t>no. of tests not run</t>
  </si>
  <si>
    <t>percentage  tests not run</t>
  </si>
  <si>
    <t>no. of tests not applicable</t>
  </si>
  <si>
    <t>percentage  tests not applicable</t>
  </si>
  <si>
    <t xml:space="preserve">no. of Tests </t>
  </si>
  <si>
    <t>Set a breakpoint in MMG_runUpdateModeStatus() where mmg_UpdateModeStatus_CriticalAutotestsNok function is called and run the software</t>
  </si>
  <si>
    <t>Set a breakpoint at function mmg_UpdateModeStatus_CriticalAutotestsNok() from MMG_CriticalAutoTestModes.c at line "if (0u != (MMG_u32ModesStatus &amp; MMG_KU32_MASK_CRITICAL_AT_NOK))".</t>
  </si>
  <si>
    <t>Continue from step 2 and set variable MMG_u32ModesStatus = 8. Set breakpoint at line "M_SET_MODE_MASK_OFF (MMG_KU32_MASK_CRITICAL_AT_NOK);"</t>
  </si>
  <si>
    <t>Set a breakpoint in function mmg_ManageModeDelays_ExecutedCycle() from MMG_CycleModes.c at line if(MMG_KU16_TIMEOUT_INIT_VALUE == MMG_u16DelayToClearModeAfterCycle) to see if function is called</t>
  </si>
  <si>
    <t>Set a breakpoint in function MMG_runUpdateModeStatus() from MMG.c at line "if(B_TRUE == MMG_b8MMGHAsBeenInitialized)"</t>
  </si>
  <si>
    <t>Set a breakpoint at function MMG_runUpdateModeStatus() from MMG.c at line "if(B_TRUE == MMG_b8MMGHAsBeenInitialized)"</t>
  </si>
  <si>
    <t>Set a breakpoint at function MMG_runUpdateModeStatus() from MMG.c at line "mmg_UpdateModeStatus_CriticalAutotestsNok()"</t>
  </si>
  <si>
    <t>Set a breakpoint at function ATM_runGetLastCriticalAutotestId() from ATM.c at line "*u8AutoTestId = castStartupSequentialList[ATM_KU8_NB_OF_STARTUP_AUTO_TESTS - KU8_ONE].u8TestIndex;".</t>
  </si>
  <si>
    <t>ATM_KU8_NB_OF_STARTUP_AUTO_TESTS - KU8_ONE = 16</t>
  </si>
  <si>
    <t>PMP_runGetBatteryVoltageSurveyStatus shall be called to get the battery voltage</t>
  </si>
  <si>
    <t>Set a breakpoint at function MMG_runUpdateModeStatus() from MMG.c at line "mmg_UpdateModeStatus_PowerVoltageUnstable()"</t>
  </si>
  <si>
    <t>Set a breakpoint at function mmg_UpdateModeStatus_PowerVoltageUnstable() from MMG_BatteryModes.c at line "Rte_Call_pclSurveyBatteryVoltage_GetStatus( &amp;u8BatteryVoltageSurveyStatus );".</t>
  </si>
  <si>
    <t>Set a breakpoint at function PMP_runGetBatteryVoltageSurveyStatus() from PMP.c at line "*pu8BatteryVoltageSurveyStatus = PMP_stBatterySurveyParam.u8BatteryVoltageSurveyState;".</t>
  </si>
  <si>
    <t>Rte_Read_prrExecutedCycle_u8CycleNumber shall be called to get the executed cycle for different contexts</t>
  </si>
  <si>
    <t>Set a breakpoint at function MMG_runUpdateModeStatus() from MMG.c at line "mmg_UpdateModeStatus_ExecutedCycle()"</t>
  </si>
  <si>
    <t>Set a breakpoint at function MMG_runUpdateModeStatus() from MMG.c at line "mmg_UpdateModeStatus_ExecutedTensioningCycle()"</t>
  </si>
  <si>
    <t>Set a breakpoint at function mmg_UpdateModeStatus_ExecutedTensioningCycle() from MMG_CycleModes.c at line " Rte_Read_prrExecutedCycle_u8CycleNumber(&amp;mmg_u8ExecutedCycle);"</t>
  </si>
  <si>
    <t>ARCH_SW_MMG_0204</t>
  </si>
  <si>
    <t>BMM_runGetPyroActivationStatus shall be called to get pyro activation status</t>
  </si>
  <si>
    <t>Set a breakpoint at function mmg_UpdateModeStatus_ExecutedCycle() from MMG_CycleModes.c at line "Rte_Call_pclPyroDevice_GetPyroActivationStatus(&amp;mmg_pb8PyroActivationStatus);"</t>
  </si>
  <si>
    <t>Set breakpoint at function BMM_runGetPyroActivationStatus() from BMM.c</t>
  </si>
  <si>
    <t>ARCH_SW_MMG_0205</t>
  </si>
  <si>
    <t>ERH_runGetAecStatus shall be called to get de status of the AEC for different contexts</t>
  </si>
  <si>
    <t>Set a breakpoint in function MMG_runUpdateModeStatus from MMG.c at line "mmg_UpdateModeStatus_NoHallEffectSensor()"</t>
  </si>
  <si>
    <t>Set a breakpoint in function mmg_UpdateModeStatus_NoHallEffectSensor() from MMG_DowngradeModes.c at line "Rte_Call_pclAecStatus_GetAecStatus(ERH_KU8_HALL_SENSOR_AEC_CFG, &amp;mmg_u8AECStatus);"</t>
  </si>
  <si>
    <t>Set a breakpoint in function ERH_runGetAecStatus() from ERH.c at line "if ( NULL_PTR != pu8AecStatus)"</t>
  </si>
  <si>
    <t>ARCH_SW_MMG_0206</t>
  </si>
  <si>
    <t>BMM_runEnableHBSMonitoring shall be called to notify BMM about restoring the puls counting</t>
  </si>
  <si>
    <t>Go to mmg_UpdateModeStatus_NoHallEffectSensor() from MMG_DowngradeModes.c at line "if (KU8_TRUE == MMG_u8PrevHESModeStatus)" and change value of MMG_u8PrevHESModeStatus to 170. Set a breakpoint at Rte_Call_pcl_HBSControl_EnableHBSMonitoring();"</t>
  </si>
  <si>
    <t>Set breakpoint at function BMM_runEnableHBSMonitoring() from BMM.c t line "GPT120_T3CON.B.T3R = 1;"</t>
  </si>
  <si>
    <t>ARCH_SW_MMG_0300</t>
  </si>
  <si>
    <t>Continue from step 2. Check at line "*u8AutoTestId = castStartupSequentialList[ATM_KU8_NB_OF_STARTUP_AUTO_TESTS - KU8_ONE].u8TestIndex;" if ATM_KU8_NB_OF_STARTUP_AUTO_TESTS - KU8_ONE = 16</t>
  </si>
  <si>
    <t>ModeStatus is initialized as MMG_KU32_MASK_AEC_INHIB_ALL_CYCLES</t>
  </si>
  <si>
    <t>Set a breakpoint in function BSR_runBeltSlackReductionAlgo() at line  "Rte_Call_pclModeManagement_CheckModeStatus(CFG_KU32_BSR_MASK_INT_ABORTING_MODES, &amp;bModeStatus_b);" in BSR_BeltSlackReductionAlgo.c file.</t>
  </si>
  <si>
    <t>From step 1 in the function Rte_Call_pclModeManagement_CheckModeStatus(CFG_KU32_BSR_MASK_INT_ABORTING_MODES, &amp;bModeStatus_b), modify parameter bModeStatus_b to 170 and step in.</t>
  </si>
  <si>
    <t>In function MMG_runCheckModeStatus() from MMG.c file set a breakpoint at the last line "}"  and check if value of parameter  bModeStatus_b from the step 2 has been modified</t>
  </si>
  <si>
    <t>Param bModeStatus_b has been modified</t>
  </si>
  <si>
    <t>In file MMG.c at line "MMG_u32ModesStatus = MMG_U32_INITIAL_VALUES_FOR_ALL_MODES;" from function MMG_Init(), check if MMG_u32ModesStatus is initialized as modes inhibit</t>
  </si>
  <si>
    <t>ARCH_SW_MMG_0009</t>
  </si>
  <si>
    <t>In MMG_Init() function a delay of 5 sec shall be performed before running the autotest.</t>
  </si>
  <si>
    <t>Set a breakpoint in function MMG_runUpdateModeStatus from MMG.c at line "mmg_UpdateModeStatus_InhibitionOfCyclesByInternalFailure_TensioningCycles();"</t>
  </si>
  <si>
    <t>Set a breakpoint in function MMG_runUpdateModeStatus from MMG.c at line "mmg_UpdateModeStatus_InhibitionOfCyclesEndOfLife();"</t>
  </si>
  <si>
    <t>Set a breakpoint in function MMG_runUpdateModeStatus from MMG.c at line "mmg_UpdateModeStatus_NoHallEffectSensor;"</t>
  </si>
  <si>
    <t>Set s breakpoint in function mmg_UpdateModeStatus_InhibitionOfCyclesByInternalFailure_TensioningCycles() from MMG_CycleModes.c at line "Rte_Call_pclAecStatus_GetAecStatus(ERH_KU8_HALL_SENSOR_AEC_CFG, &amp;mmg_u8AECStatus);".</t>
  </si>
  <si>
    <t>ARCH_SW_MMG_0301</t>
  </si>
  <si>
    <t>mmg_CheckCycleEnable shall be called to set validity of the cycle.</t>
  </si>
  <si>
    <t>Write Rte_MMG_psrEnableCycleX_</t>
  </si>
  <si>
    <t>ARCH_SW_MMG_0401</t>
  </si>
  <si>
    <t>ARCH_SW_MMG_0400</t>
  </si>
  <si>
    <t>RCM_runGetResetCause  shall be called to get the reset cause</t>
  </si>
  <si>
    <t>The current executed data from BFE shall be an input.</t>
  </si>
  <si>
    <t>Set a breakpoint in function MMG_runManageModeDelays() at line "      mmg_ManageModeDelays_ExecutedCycle();" from file MMG.c</t>
  </si>
  <si>
    <t>Following step 1, step in mmg_ManageModeDelays_ExecutedCycle() and set a breakpoint at line "Rte_Call_pclResetCause_GetResetCause(&amp;mmg_u32ResetCause);".</t>
  </si>
  <si>
    <t>Following step 2, step in Rte_Call_pclResetCause_GetResetCause(&amp;mmg_u32ResetCause) and set a breakpoint at line "if ( ((uint32 *) KPU8_NULL) != pu32ResetCause)" from function RCM_runGetResetCause()</t>
  </si>
  <si>
    <t>ARCH_SW_MMG_0402</t>
  </si>
  <si>
    <t>BMM_runGetPyroActivationStatus shall be called to get the pyro activation status</t>
  </si>
  <si>
    <t>Following step 1, step in mmg_ManageModeDelays_ExecutedCycle() and set a breakpoint at line "Rte_Call_pclPyroDevice_GetPyroActivationStatus(&amp;mmg_pb8PyroActivationStatus);".</t>
  </si>
  <si>
    <t>Following step 2, step in Rte_Call_pclPyroDevice_GetPyroActivationStatus(&amp;mmg_pb8PyroActivationStatus) to check is BMM_runGetPyroActivationStatus() is called</t>
  </si>
  <si>
    <t>Context should be periodically updated in order to inhibit/abort cycles.</t>
  </si>
  <si>
    <t>The test shall verify if this module informs other modules about the requested mode status.</t>
  </si>
  <si>
    <t>The test shall verify if modes for delayed executed cycle are managed by this module</t>
  </si>
  <si>
    <t xml:space="preserve">Tensioning request and HWA request shall be inhibitted if cycles are not valid (different from 0xFF)  </t>
  </si>
  <si>
    <t>The test shall verify if the following ERH statuses are inputs: HW Self Protection, Power Supply Under Voltage, under voltage during tensioning, Motor Power Order</t>
  </si>
  <si>
    <t>The test shall verify if the following ERH statuses are inputs: Motor current, Enable Out Of Order, High Side Switch Regulation, MOSFET High Circuit, MOSFET Short Circuit, MOSFET Open Circuit, Motor connection, Motor Short Circuit</t>
  </si>
  <si>
    <t>ATM_runGetLastCriticalAutotestId shall be called to get last critical autotest ID and the status of the last executed autotest</t>
  </si>
  <si>
    <t>Context update</t>
  </si>
  <si>
    <t>Set a breakpoint in function mmg_UpdateModeStatus_InhibitionOfCyclesByInternalFailure_TensioningCycles() from MMG_CycleModes.c at line: "Rte_Call_pclAecStatus_GetAecStatus(ERH_KU8_UVO_POWER_AEC_CFG, &amp;u8AecStatus_TensioningCycles[MMG_KU8_IDX_BAT_PWR_UNDER_VOLTAGE]);".</t>
  </si>
  <si>
    <t>Set a breakpoint in function mmg_UpdateModeStatus_InhibitionOfCyclesByInternalFailure_TensioningCycles() from MMG_CycleModes.c at line: "Rte_Call_pclAecStatus_GetAecStatus(ERH_KU8_UVO_TENSIONING_POWER_AEC_CFG, &amp;u8AecStatus_TensioningCycles[MMG_KU8_IDX_BAT_PWR_UNDER_VOLTAGE_DURING_TENS]);".</t>
  </si>
  <si>
    <t>Set a breakpoint in function mmg_UpdateModeStatus_InhibitionOfCyclesByInternalFailure_TensioningCycles() from MMG_CycleModes.c at line: "Rte_Call_pclAecStatus_GetAecStatus(ERH_KU8_MOTOR_ORDER_AEC_CFG, &amp;u8AecStatus_TensioningCycles[MMG_KU8_IDX_MOTOR_ORDER]);".</t>
  </si>
  <si>
    <t>Set a breakpoint in function mmg_UpdateModeStatus_InhibitionOfCyclesByInternalFailure_TensioningCycles() from MMG_CycleModes.c at line: "Rte_Call_pclAecStatus_GetAecStatus(ERH_KU8_HW_SELF_PROTECTION_AEC_CFG, &amp;u8AecStatus_TensioningCycles[MMG_KU8_IDX_SW_SELF_PROTECTION]);".</t>
  </si>
  <si>
    <t>Set a breakpoint in function mmg_UpdateModeStatus_InhibitionOfCyclesByInternalFailure_TensioningCycles() from MMG_CycleModes.c at line: "Rte_Call_pclAecStatus_GetAecStatus(ERH_KU8_ENABLE_OUT_OF_ORDER_AEC_CFG, &amp;u8AecStatus_AllCycles[MMG_KU8_IDX_ENABLE_OUT_OF_ORDER]);"</t>
  </si>
  <si>
    <t>Set a breakpoint in function mmg_UpdateModeStatus_InhibitionOfCyclesByInternalFailure_TensioningCycles() from MMG_CycleModes.c at line: "Rte_Call_pclAecStatus_GetAecStatus(ERH_KU8_HIGH_SIDE_SWITCH_AEC_CFG, &amp;u8AecStatus_AllCycles[MMG_KU8_IDX_HIGH_SIDE_SWITCH]);".</t>
  </si>
  <si>
    <t>Set a breakpoint in function mmg_UpdateModeStatus_InhibitionOfCyclesByInternalFailure_TensioningCycles() from MMG_CycleModes.c at line:  "Rte_Call_pclAecStatus_GetAecStatus(ERH_KU8_MOSFET_HIGH_SC_AEC_CFG, &amp;u8AecStatus_AllCycles[MMG_KU8_IDX_MOSFET_HIGH_SC]);"</t>
  </si>
  <si>
    <t>Set a breakpoint in function mmg_UpdateModeStatus_InhibitionOfCyclesByInternalFailure_TensioningCycles() from MMG_CycleModes.c at line:  "Rte_Call_pclAecStatus_GetAecStatus(ERH_KU8_MOSFET_LOW_SC_AEC_CFG, &amp;u8AecStatus_AllCycles[MMG_KU8_IDX_MOSFET_LOW_SC]);".</t>
  </si>
  <si>
    <t>Set a breakpoint in function mmg_UpdateModeStatus_InhibitionOfCyclesByInternalFailure_TensioningCycles() from MMG_CycleModes.c at line:  "Rte_Call_pclAecStatus_GetAecStatus(ERH_KU8_MOSFET_OC_AEC_CFG, &amp;u8AecStatus_AllCycles[MMG_KU8_IDX_MOSFET_OC]);".</t>
  </si>
  <si>
    <t>Set a breakpoint in function mmg_UpdateModeStatus_InhibitionOfCyclesByInternalFailure_TensioningCycles() from MMG_CycleModes.c at line:  "Rte_Call_pclAecStatus_GetAecStatus(ERH_KU8_MOTOR_DISCONNECTED_AEC_CFG, &amp;u8AecStatus_AllCycles[MMG_KU8_IDX_MOTOR_DISCONNECTED]);"</t>
  </si>
  <si>
    <t>Set a breakpoint in function mmg_UpdateModeStatus_InhibitionOfCyclesByInternalFailure_TensioningCycles() from MMG_CycleModes.c at line:  "Rte_Call_pclAecStatus_GetAecStatus(ERH_KU8_MOTOR_IN_SC_AEC_CFG, &amp;u8AecStatus_AllCycles[MMG_KU8_IDX_MOTOR_IN_SC]);".</t>
  </si>
  <si>
    <t>Set a breakpoint in function mmg_UpdateModeStatus_InhibitionOfCyclesByInternalFailure_TensioningCycles() from MMG_CycleModes.c at line: "Rte_Call_pclAecStatus_GetAecStatus(ERH_KU8_MOTOR_CURRENT_AEC_CFG, &amp;u8AecStatus_AllCycles[MMG_KU8_IDX_MOTOR_CURRENT]);".</t>
  </si>
  <si>
    <t>The test shall verify if the following ERH statuses are inputs: To EOL Low Force, To check EOL High Force, To check EOL Comfort.</t>
  </si>
  <si>
    <t>Set a breakpoint in function mmg_UpdateModeStatus_InhibitionOfCyclesByInternalFailure_TensioningCycles() from MMG_CycleModes.c at line: "Rte_Call_pclAecStatus_GetAecStatus(ERH_KU8_END_OF_LIFE_HIGH_AEC_CFG, &amp;u8AecStatus_TensioningCycles[MMG_KU8_IDK_HIGH_FORCE_EOL]);".</t>
  </si>
  <si>
    <t>Set a breakpoint in function mmg_UpdateModeStatus_InhibitionOfCyclesByInternalFailure_TensioningCycles() from MMG_CycleModes.c at line: "Rte_Call_pclAecStatus_GetAecStatus(ERH_KU8_END_OF_LIFE_COMFORT_AEC_CFG, &amp;u8AecStatus_TensioningCycles[MMG_KU8_IDK_COMFORT_EOL]);".</t>
  </si>
  <si>
    <t>Set a breakpoint in function mmg_UpdateModeStatus_InhibitionOfCyclesByInternalFailure_TensioningCycles() from MMG_CycleModes.c at line: "Rte_Call_pclAecStatus_GetAecStatus(ERH_KU8_END_OF_LIFE_LOW_AEC_CFG, &amp;u8AecStatus_TensioningCycles[MMG_KU8_IDK_LOW_FORCE_EOL]);".</t>
  </si>
  <si>
    <t>Following step 2, press step in and check if Rte_Call_pclAecStatus_GetAecStatus() has as argument ERH_KU8_OVO_POWER_AEC_CFG.</t>
  </si>
  <si>
    <t>ERH_KU8_OVO_POWER_AEC_CFG is an argument of Rte_Call_pclAecStatus_GetAecStatus()</t>
  </si>
  <si>
    <t>ERH_KU8_OVO_POWER_AEC_CFG cannot be found as argument Rte_Call_pclAecStatus_GetAecStatus()</t>
  </si>
  <si>
    <t>Following step 2, press step in and check if Rte_Call_pclAecStatus_GetAecStatus() has as argument ERH_KU8_SW_SELF_PROTECTION_AEC_CFG.</t>
  </si>
  <si>
    <t>ERH_KU8_SW_SELF_PROTECTION_AEC_CFG  is an argument of Rte_Call_pclAecStatus_GetAecStatus()</t>
  </si>
  <si>
    <t>ERH_KU8_SW_SELF_PROTECTION_AEC_CFG  cannot be found as argument Rte_Call_pclAecStatus_GetAecStatus()</t>
  </si>
  <si>
    <t>Set a breakpoint in function MMG_runUpdateModeStatus from MMG.c at line "mmg_UpdateModeStatus_InhibitionOfCyclesByInternalFailure_AllCycles();"</t>
  </si>
  <si>
    <t>Set a breakpoint in function MMG_runUpdateModeStatus() from MMG.c at line "if(B_TRUE == MMG_b8MMGHAsBeenInitialized)".</t>
  </si>
  <si>
    <t>Set a breakpoint in function mmg_UpdateModeStatus_InhibitionOfCyclesByInternalFailure_AllCycles() from MMG_CycleModes.c at line: "Rte_Call_pclAecStatus_GetAecStatus(ERH_KU8_ENABLE_OUT_OF_ORDER_AEC_CFG, &amp;u8AecStatus_AllCycles[MMG_KU8_IDX_ENABLE_OUT_OF_ORDER]);".</t>
  </si>
  <si>
    <t>ARCH_SW_MMG_0156, ARCH_SW_MMG_0158</t>
  </si>
  <si>
    <t>Set a breakpoint in function mmg_UpdateModeStatus_InhibitionOfCyclesByInternalFailure_AllCycles() from MMG_CycleModes.c at line: "Rte_Call_pclAecStatus_GetAecStatus(ERH_KU8_MOTOR_DISCONNECTED_AEC_CFG, &amp;u8AecStatus_AllCycles[MMG_KU8_IDX_MOTOR_DISCONNECTED]);".</t>
  </si>
  <si>
    <t>Following step 2, press step in and check if Rte_Call_pclAecStatus_GetAecStatus() has as argument ERH_KU8_TEMPERATURE_SENSOR_FAILURE_AEC_CFG.</t>
  </si>
  <si>
    <t>ERH_KU8_TEMPERATURE_SENSOR_FAILURE_AEC_CFG  is an argument of Rte_Call_pclAecStatus_GetAecStatus()</t>
  </si>
  <si>
    <t>ERH_KU8_TEMPERATURE_SENSOR_FAILURE_AEC_CFG  cannot be found as argument Rte_Call_pclAecStatus_GetAecStatus()</t>
  </si>
  <si>
    <t>Following step 2, press step in and check if Rte_Call_pclAecStatus_GetAecStatus() has as argument ERH_KU8_EXT_WDG_OUT_OF_ORDER_AEC_CFG.</t>
  </si>
  <si>
    <t>ERH_KU8_EXT_WDG_OUT_OF_ORDER_AEC_CFG  is an argument of Rte_Call_pclAecStatus_GetAecStatus()</t>
  </si>
  <si>
    <t>ERH_KU8_EXT_WDG_OUT_OF_ORDER_AEC_CFG  cannot be found as argument Rte_Call_pclAecStatus_GetAecStatus()</t>
  </si>
  <si>
    <t>Following step 2, press step in and check if Rte_Call_pclAecStatus_GetAecStatus() has as argument ERH_KU8_WARM_RESET_AEC_CFG.</t>
  </si>
  <si>
    <t>ERH_KU8_WARM_RESET_AEC_CFG  is an argument of Rte_Call_pclAecStatus_GetAecStatus()</t>
  </si>
  <si>
    <t>ERH_KU8_WARM_RESET_AEC_CFG  cannot be found as argument Rte_Call_pclAecStatus_GetAecStatus()</t>
  </si>
  <si>
    <t>Set a breakpoint at function mmg_UpdateModeStatus_CriticalAutotestsNok() from MMG_CriticalAutoTestsModes.c at line "Rte_Call_pclAutotestServices_GetLastCriticalAutotestID(&amp;u8AutoTestId)". Set variable MMG_u32ModeStatus value to 0x80000000 at line "if (0u != (MMG_u32ModesStatus &amp; MMG_KU32_MASK_CRITICAL_AT_NOK))"</t>
  </si>
  <si>
    <t>Following step 2, set a breakpoint at function mmg_UpdateModeStatus_ExecutedCycle() from MMG_CycleModes.c at line "Rte_Read_prrExecutedCycle_u8CycleNumber(&amp;mmg_u8ExecutedCycle);"</t>
  </si>
  <si>
    <t>Following step 2, set a breakpoint at function mmg_UpdateModeStatus_ExecutedCycle() from MMG_CycleModes.c at line "Rte_Call_pclPyroDevice_GetPyroActivationStatus(&amp;mmg_pb8PyroActivationStatus);". Press run and step in.</t>
  </si>
  <si>
    <t>BMM_runGetPyroActivationStatus() is reached.</t>
  </si>
  <si>
    <t>Following step 2, step in Rte_Call_pclPyroDevice_GetPyroActivationStatus(&amp;mmg_pb8PyroActivationStatus) to check if BFE is reached</t>
  </si>
  <si>
    <t>BFE is reached</t>
  </si>
  <si>
    <t>BFE is not reached</t>
  </si>
  <si>
    <t>29.08.2022</t>
  </si>
  <si>
    <t>Ciprian Galbau</t>
  </si>
  <si>
    <t>Applied from SW R3.0 release</t>
  </si>
  <si>
    <t>1.7</t>
  </si>
  <si>
    <t>Integration test for R3.0 revision</t>
  </si>
  <si>
    <t>Set a BP in MMG_Init function at the MMG_astDelayAfterCycleThrsandModes call and reset the debugger</t>
  </si>
  <si>
    <t>BP set</t>
  </si>
  <si>
    <t>Access delay before MMG_Init</t>
  </si>
  <si>
    <t>MMG_astDelayAfterCycleThrsandModes   is set</t>
  </si>
  <si>
    <t>Check MMG_astDelayAfterCycleThrsandModes threshold</t>
  </si>
  <si>
    <t>ModeStatus request interface</t>
  </si>
  <si>
    <t>Management of delay executed cycle</t>
  </si>
  <si>
    <t>Inhibition of HWA</t>
  </si>
  <si>
    <t>UpdateModeStatus function interfaces</t>
  </si>
  <si>
    <t>UpdateModeStatus to Motor interfaces</t>
  </si>
  <si>
    <t>UpdateModeStatus interface to EOL cycles</t>
  </si>
  <si>
    <t>UpdateModeStatus interface to ERH module</t>
  </si>
  <si>
    <t>UpdateModeStatus interface to ATM module</t>
  </si>
  <si>
    <t>UpdateModeStatus interface to PMP module</t>
  </si>
  <si>
    <t>UpdateModeStatus interface to BMM module</t>
  </si>
  <si>
    <t>Function BMM_runGetPyroActivationStatus() cannot be reached</t>
  </si>
  <si>
    <t>UpdateModeStatus interface to pyro activation</t>
  </si>
  <si>
    <t>UpdateModeStatus interface to HES</t>
  </si>
  <si>
    <t>Check cycle enable validity</t>
  </si>
  <si>
    <t>Set breakpoints in function mmg_CheckCycleEnable() from file MMG.c at lines "(void)Rte_Write_psrEnableCycle0_b8CycleValidity(B_FALSE);, (void)Rte_Write_psrEnableCycle1_b8CycleValidity(B_FALSE);, (void)Rte_Write_psrEnableCycle2_b8CycleValidity(B_FALSE);, (void)Rte_Write_psrEnableCycle3_b8CycleValidity(B_FALSE);"</t>
  </si>
  <si>
    <t>Set breakpoint in function mmg_CheckCycleEnable() from file MMG.c at line "if ( B_TRUE == mmg_CheckIfCycleStepIsvalid(MMG_KU8_CYCLE0_STEP0) )" and run the debugger</t>
  </si>
  <si>
    <t>Check Cycle enable is step valid check</t>
  </si>
  <si>
    <t>Manage Mode Delays interface to reset cause</t>
  </si>
  <si>
    <t>Manage mode delays interface to pyro activation</t>
  </si>
  <si>
    <t>BMM_runGetPyroActivationStatus() is reached</t>
  </si>
  <si>
    <t>BMM_runGetPyroActivationStatus() is not reached</t>
  </si>
  <si>
    <t>Manage Mode delays interface to BFE</t>
  </si>
  <si>
    <t>28.08.2022</t>
  </si>
  <si>
    <t>C. Galbau</t>
  </si>
  <si>
    <t>ARCH_SW_MMG_0128, ARCH_SW_MMG_0129,  ARCH_SW_MMG_0133, ARCH_SW_MMG_0134, ARCH_SW_MMG_0135, ARCH_SW_MMG_0136, ARCH_SW_MMG_0138, ARCH_SW_MMG_0157, ARCH_SW_MMG_0159, ARCH_SW_MMG_0161, ARCH_SW_MMG_0160</t>
  </si>
  <si>
    <t>ARCH_SW_MMG_0200, ARCH_SW_MMG_0201, ARCH_SW_MMG_0250</t>
  </si>
  <si>
    <t>ARCH_SW_MMG_0202, ARCH_SW_MMG_0251</t>
  </si>
  <si>
    <t>ARCH_SW_MMG_0203, ARCH_SW_MMG_0252,ARCH_SW_MMG_0253, ARCH_SW_MMG_0254</t>
  </si>
  <si>
    <t>ARCH_SW_MMG_0162,ARCH_SW_MMG_0163,ARCH_SW_MMG_0164, ARCH_SW_MMG_0140, ARCH_SW_MMG_0255,  ARCH_SW_MMG_0256, ARCH_SW_MMG_0258</t>
  </si>
  <si>
    <t>ARCH_SW_MMG_0130, ARCH_SW_MMG_0137, ARCH_SW_MMG_0150,ARCH_SW_MMG_0151, ARCH_SW_MMG_0156, ARCH_SW_MMG_0152, ARCH_SW_MMG_0153, ARCH_SW_MMG_0154, ARCH_SW_MMG_0155, ARCH_SW_MMG_0257, ARCH_SW_MMG_0132</t>
  </si>
  <si>
    <r>
      <t xml:space="preserve">Comment
</t>
    </r>
    <r>
      <rPr>
        <i/>
        <sz val="11"/>
        <rFont val="Calibri"/>
        <family val="2"/>
      </rPr>
      <t>(aplicable only if test not executed)</t>
    </r>
  </si>
  <si>
    <t>Test for Regression</t>
  </si>
  <si>
    <t>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</si>
</sst>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45" x14ac:knownFonts="1">
    <font>
      <sz val="10"/>
      <name val="Arial"/>
    </font>
    <font>
      <sz val="10"/>
      <name val="Arial"/>
      <family val="2"/>
    </font>
    <font>
      <b/>
      <sz val="10"/>
      <name val="Arial"/>
      <family val="2"/>
    </font>
    <font>
      <sz val="8"/>
      <name val="Arial"/>
      <family val="2"/>
    </font>
    <font>
      <sz val="10"/>
      <name val="Arial"/>
      <family val="2"/>
    </font>
    <font>
      <sz val="10"/>
      <color indexed="12"/>
      <name val="Arial"/>
      <family val="2"/>
    </font>
    <font>
      <i/>
      <sz val="8"/>
      <name val="Arial"/>
      <family val="2"/>
    </font>
    <font>
      <b/>
      <i/>
      <sz val="14"/>
      <name val="Arial"/>
      <family val="2"/>
    </font>
    <font>
      <b/>
      <sz val="10"/>
      <color indexed="9"/>
      <name val="Arial"/>
      <family val="2"/>
    </font>
    <font>
      <i/>
      <sz val="10"/>
      <name val="Arial"/>
      <family val="2"/>
    </font>
    <font>
      <b/>
      <i/>
      <sz val="20"/>
      <name val="Arial"/>
      <family val="2"/>
    </font>
    <font>
      <b/>
      <i/>
      <sz val="10"/>
      <name val="Arial"/>
      <family val="2"/>
    </font>
    <font>
      <b/>
      <i/>
      <sz val="16"/>
      <name val="Arial"/>
      <family val="2"/>
    </font>
    <font>
      <sz val="8"/>
      <color indexed="81"/>
      <name val="Tahoma"/>
      <family val="2"/>
    </font>
    <font>
      <sz val="11"/>
      <color indexed="12"/>
      <name val="Times New Roman"/>
      <family val="1"/>
    </font>
    <font>
      <i/>
      <sz val="14"/>
      <name val="Arial"/>
      <family val="2"/>
    </font>
    <font>
      <i/>
      <sz val="8"/>
      <name val="Times New Roman"/>
      <family val="1"/>
    </font>
    <font>
      <sz val="8"/>
      <color indexed="81"/>
      <name val="Tahoma"/>
      <family val="2"/>
      <charset val="238"/>
    </font>
    <font>
      <sz val="9"/>
      <color indexed="81"/>
      <name val="Tahoma"/>
      <family val="2"/>
    </font>
    <font>
      <b/>
      <sz val="9"/>
      <color indexed="81"/>
      <name val="Tahoma"/>
      <family val="2"/>
    </font>
    <font>
      <sz val="10"/>
      <name val="Arial"/>
      <family val="2"/>
      <charset val="238"/>
    </font>
    <font>
      <u/>
      <sz val="10"/>
      <name val="Arial"/>
      <family val="2"/>
    </font>
    <font>
      <b/>
      <u/>
      <sz val="10"/>
      <name val="Arial"/>
      <family val="2"/>
    </font>
    <font>
      <u/>
      <sz val="10"/>
      <color theme="10"/>
      <name val="Arial"/>
      <family val="2"/>
    </font>
    <font>
      <i/>
      <sz val="8"/>
      <color rgb="FF0070C0"/>
      <name val="Arial"/>
      <family val="2"/>
    </font>
    <font>
      <b/>
      <sz val="20"/>
      <color rgb="FF000080"/>
      <name val="Arial"/>
      <family val="2"/>
    </font>
    <font>
      <sz val="10"/>
      <color rgb="FFC00000"/>
      <name val="Arial"/>
      <family val="2"/>
    </font>
    <font>
      <b/>
      <sz val="10"/>
      <color rgb="FFC00000"/>
      <name val="Arial"/>
      <family val="2"/>
    </font>
    <font>
      <i/>
      <sz val="8"/>
      <color rgb="FF000080"/>
      <name val="Arial"/>
      <family val="2"/>
    </font>
    <font>
      <sz val="11"/>
      <name val="Calibri"/>
      <family val="2"/>
      <charset val="238"/>
      <scheme val="minor"/>
    </font>
    <font>
      <sz val="11"/>
      <color theme="1"/>
      <name val="Calibri"/>
      <family val="2"/>
      <charset val="238"/>
      <scheme val="minor"/>
    </font>
    <font>
      <i/>
      <sz val="11"/>
      <color theme="1"/>
      <name val="Calibri"/>
      <family val="2"/>
      <charset val="238"/>
      <scheme val="minor"/>
    </font>
    <font>
      <i/>
      <sz val="10"/>
      <color theme="1"/>
      <name val="Arial"/>
      <family val="2"/>
    </font>
    <font>
      <sz val="11"/>
      <color rgb="FF000000"/>
      <name val="Calibri"/>
      <family val="2"/>
    </font>
    <font>
      <i/>
      <sz val="11"/>
      <name val="Calibri"/>
      <family val="2"/>
      <charset val="238"/>
      <scheme val="minor"/>
    </font>
    <font>
      <i/>
      <sz val="10"/>
      <color theme="3" tint="-0.499984740745262"/>
      <name val="Arial"/>
      <family val="2"/>
    </font>
    <font>
      <i/>
      <sz val="11"/>
      <color theme="1"/>
      <name val="Calibri"/>
      <family val="2"/>
      <scheme val="minor"/>
    </font>
    <font>
      <b/>
      <sz val="10"/>
      <color theme="0"/>
      <name val="Arial"/>
      <family val="2"/>
    </font>
    <font>
      <b/>
      <i/>
      <sz val="10"/>
      <color rgb="FF000080"/>
      <name val="Arial"/>
      <family val="2"/>
    </font>
    <font>
      <b/>
      <sz val="8"/>
      <color theme="0"/>
      <name val="Arial"/>
      <family val="2"/>
    </font>
    <font>
      <sz val="10"/>
      <color rgb="FF000080"/>
      <name val="Arial"/>
      <family val="2"/>
    </font>
    <font>
      <sz val="8"/>
      <name val="Arial"/>
      <family val="2"/>
    </font>
    <font>
      <sz val="8"/>
      <name val="Arial"/>
    </font>
    <font>
      <sz val="11"/>
      <name val="Calibri"/>
      <family val="2"/>
      <charset val="238"/>
    </font>
    <font>
      <i/>
      <sz val="11"/>
      <name val="Calibri"/>
      <family val="2"/>
    </font>
  </fonts>
  <fills count="11">
    <fill>
      <patternFill patternType="none"/>
    </fill>
    <fill>
      <patternFill patternType="gray125"/>
    </fill>
    <fill>
      <patternFill patternType="solid">
        <fgColor indexed="18"/>
        <bgColor indexed="64"/>
      </patternFill>
    </fill>
    <fill>
      <patternFill patternType="solid">
        <fgColor indexed="65"/>
        <bgColor indexed="10"/>
      </patternFill>
    </fill>
    <fill>
      <patternFill patternType="solid">
        <fgColor theme="3"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rgb="FF000080"/>
        <bgColor indexed="64"/>
      </patternFill>
    </fill>
    <fill>
      <patternFill patternType="solid">
        <fgColor theme="4" tint="0.59999389629810485"/>
        <bgColor indexed="64"/>
      </patternFill>
    </fill>
    <fill>
      <patternFill patternType="solid">
        <fgColor theme="0" tint="-0.499984740745262"/>
        <bgColor indexed="64"/>
      </patternFill>
    </fill>
    <fill>
      <patternFill patternType="solid">
        <fgColor rgb="FFC5D9F1"/>
        <bgColor rgb="FF000000"/>
      </patternFill>
    </fill>
  </fills>
  <borders count="41">
    <border>
      <left/>
      <right/>
      <top/>
      <bottom/>
      <diagonal/>
    </border>
    <border>
      <left/>
      <right/>
      <top/>
      <bottom style="thin">
        <color indexed="64"/>
      </bottom>
      <diagonal/>
    </border>
    <border>
      <left style="thin">
        <color indexed="64"/>
      </left>
      <right/>
      <top/>
      <bottom/>
      <diagonal/>
    </border>
    <border>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rgb="FF000080"/>
      </bottom>
      <diagonal/>
    </border>
    <border>
      <left style="thin">
        <color indexed="64"/>
      </left>
      <right style="thin">
        <color indexed="64"/>
      </right>
      <top style="medium">
        <color indexed="64"/>
      </top>
      <bottom/>
      <diagonal/>
    </border>
  </borders>
  <cellStyleXfs count="3">
    <xf numFmtId="0" fontId="0" fillId="0" borderId="0"/>
    <xf numFmtId="0" fontId="23" fillId="0" borderId="0" applyNumberFormat="0" applyFill="0" applyBorder="0" applyAlignment="0" applyProtection="0"/>
    <xf numFmtId="0" fontId="1" fillId="0" borderId="0"/>
  </cellStyleXfs>
  <cellXfs count="225">
    <xf numFmtId="0" fontId="0" fillId="0" borderId="0" xfId="0"/>
    <xf numFmtId="0" fontId="0" fillId="0" borderId="0" xfId="0" applyAlignment="1">
      <alignment vertical="center"/>
    </xf>
    <xf numFmtId="0" fontId="5" fillId="0" borderId="0" xfId="0" applyFont="1" applyAlignment="1">
      <alignment vertical="center" wrapText="1"/>
    </xf>
    <xf numFmtId="164" fontId="5" fillId="0" borderId="0" xfId="0" applyNumberFormat="1" applyFont="1" applyAlignment="1">
      <alignment horizontal="center" vertical="center" wrapText="1"/>
    </xf>
    <xf numFmtId="20" fontId="5" fillId="0" borderId="0" xfId="0" applyNumberFormat="1" applyFont="1" applyAlignment="1">
      <alignment vertical="center" wrapText="1"/>
    </xf>
    <xf numFmtId="0" fontId="5" fillId="0" borderId="0" xfId="0" applyFont="1" applyAlignment="1">
      <alignment horizontal="left" vertical="center" wrapText="1"/>
    </xf>
    <xf numFmtId="0" fontId="1" fillId="0" borderId="0" xfId="0" applyFont="1" applyAlignment="1">
      <alignment vertical="center"/>
    </xf>
    <xf numFmtId="0" fontId="24" fillId="0" borderId="0" xfId="0" applyFont="1" applyAlignment="1">
      <alignment horizontal="right" vertical="center"/>
    </xf>
    <xf numFmtId="0" fontId="6" fillId="0" borderId="0" xfId="0" applyFont="1" applyAlignment="1">
      <alignment horizontal="left" vertical="center" wrapText="1"/>
    </xf>
    <xf numFmtId="0" fontId="4" fillId="0" borderId="0" xfId="0" applyFont="1" applyAlignment="1">
      <alignment vertical="center" shrinkToFit="1"/>
    </xf>
    <xf numFmtId="0" fontId="1" fillId="0" borderId="0" xfId="0" applyFont="1" applyAlignment="1" applyProtection="1">
      <alignment vertical="center"/>
      <protection locked="0"/>
    </xf>
    <xf numFmtId="0" fontId="0" fillId="0" borderId="0" xfId="0" applyAlignment="1" applyProtection="1">
      <alignment vertical="center"/>
      <protection locked="0"/>
    </xf>
    <xf numFmtId="0" fontId="4" fillId="0" borderId="0" xfId="0" applyFont="1" applyAlignment="1" applyProtection="1">
      <alignment vertical="center"/>
      <protection locked="0"/>
    </xf>
    <xf numFmtId="0" fontId="25" fillId="0" borderId="39" xfId="0" applyFont="1" applyBorder="1" applyAlignment="1" applyProtection="1">
      <alignment vertical="center"/>
      <protection locked="0"/>
    </xf>
    <xf numFmtId="0" fontId="0" fillId="0" borderId="39" xfId="0" applyBorder="1" applyAlignment="1" applyProtection="1">
      <alignment vertical="center"/>
      <protection locked="0"/>
    </xf>
    <xf numFmtId="0" fontId="12" fillId="0" borderId="0" xfId="0" applyFont="1" applyAlignment="1" applyProtection="1">
      <alignment horizontal="left" vertical="center"/>
      <protection locked="0"/>
    </xf>
    <xf numFmtId="0" fontId="7" fillId="0" borderId="0" xfId="0" applyFont="1" applyAlignment="1" applyProtection="1">
      <alignment horizontal="left" vertical="center"/>
      <protection locked="0"/>
    </xf>
    <xf numFmtId="0" fontId="9" fillId="0" borderId="0" xfId="0" applyFont="1" applyAlignment="1" applyProtection="1">
      <alignment vertical="center"/>
      <protection locked="0"/>
    </xf>
    <xf numFmtId="0" fontId="2" fillId="0" borderId="0" xfId="0" applyFont="1" applyAlignment="1" applyProtection="1">
      <alignment vertical="center"/>
      <protection locked="0"/>
    </xf>
    <xf numFmtId="49" fontId="16" fillId="0" borderId="0" xfId="0" applyNumberFormat="1" applyFont="1" applyAlignment="1" applyProtection="1">
      <alignment horizontal="left" vertical="center"/>
      <protection locked="0"/>
    </xf>
    <xf numFmtId="49" fontId="14" fillId="0" borderId="0" xfId="0" applyNumberFormat="1" applyFont="1" applyAlignment="1" applyProtection="1">
      <alignment vertical="center" wrapText="1"/>
      <protection locked="0"/>
    </xf>
    <xf numFmtId="14" fontId="0" fillId="0" borderId="0" xfId="0" applyNumberFormat="1" applyAlignment="1" applyProtection="1">
      <alignment vertical="center"/>
      <protection locked="0"/>
    </xf>
    <xf numFmtId="0" fontId="15" fillId="0" borderId="0" xfId="0" applyFont="1" applyAlignment="1" applyProtection="1">
      <alignment horizontal="left" vertical="center"/>
      <protection locked="0"/>
    </xf>
    <xf numFmtId="0" fontId="0" fillId="0" borderId="0" xfId="0" applyAlignment="1">
      <alignment horizontal="left" vertical="center" wrapText="1"/>
    </xf>
    <xf numFmtId="0" fontId="25" fillId="0" borderId="1" xfId="0" applyFont="1" applyBorder="1" applyAlignment="1" applyProtection="1">
      <alignment vertical="center"/>
      <protection locked="0"/>
    </xf>
    <xf numFmtId="0" fontId="0" fillId="0" borderId="1" xfId="0" applyBorder="1" applyAlignment="1">
      <alignment horizontal="left" vertical="center" wrapText="1"/>
    </xf>
    <xf numFmtId="0" fontId="25" fillId="0" borderId="0" xfId="0" applyFont="1" applyAlignment="1" applyProtection="1">
      <alignment vertical="center"/>
      <protection locked="0"/>
    </xf>
    <xf numFmtId="0" fontId="0" fillId="0" borderId="0" xfId="0" applyAlignment="1">
      <alignment horizontal="left" vertical="center"/>
    </xf>
    <xf numFmtId="0" fontId="0" fillId="0" borderId="0" xfId="0" applyAlignment="1" applyProtection="1">
      <alignment horizontal="left" vertical="center"/>
      <protection locked="0"/>
    </xf>
    <xf numFmtId="0" fontId="4" fillId="0" borderId="0" xfId="0" applyFont="1" applyAlignment="1">
      <alignment vertical="center"/>
    </xf>
    <xf numFmtId="0" fontId="11" fillId="0" borderId="0" xfId="0" applyFont="1" applyAlignment="1">
      <alignment horizontal="left" vertical="center" shrinkToFit="1"/>
    </xf>
    <xf numFmtId="0" fontId="2" fillId="0" borderId="0" xfId="0" applyFont="1" applyAlignment="1">
      <alignment horizontal="left" vertical="center" shrinkToFit="1"/>
    </xf>
    <xf numFmtId="0" fontId="4" fillId="0" borderId="0" xfId="0" applyFont="1" applyAlignment="1" applyProtection="1">
      <alignment vertical="center" shrinkToFit="1"/>
      <protection locked="0"/>
    </xf>
    <xf numFmtId="0" fontId="26" fillId="0" borderId="2" xfId="0" applyFont="1" applyBorder="1" applyAlignment="1" applyProtection="1">
      <alignment horizontal="left" vertical="center" wrapText="1" shrinkToFit="1"/>
      <protection locked="0"/>
    </xf>
    <xf numFmtId="0" fontId="27" fillId="0" borderId="0" xfId="0" applyFont="1" applyAlignment="1" applyProtection="1">
      <alignment horizontal="left" vertical="center" shrinkToFit="1"/>
      <protection locked="0"/>
    </xf>
    <xf numFmtId="0" fontId="26" fillId="0" borderId="0" xfId="0" applyFont="1" applyAlignment="1" applyProtection="1">
      <alignment horizontal="left" vertical="center" wrapText="1" shrinkToFit="1"/>
      <protection locked="0"/>
    </xf>
    <xf numFmtId="0" fontId="27" fillId="0" borderId="3" xfId="0" applyFont="1" applyBorder="1" applyAlignment="1" applyProtection="1">
      <alignment horizontal="left" vertical="center" shrinkToFit="1"/>
      <protection locked="0"/>
    </xf>
    <xf numFmtId="0" fontId="1" fillId="0" borderId="0" xfId="0" applyFont="1" applyAlignment="1" applyProtection="1">
      <alignment vertical="center" shrinkToFit="1"/>
      <protection locked="0"/>
    </xf>
    <xf numFmtId="0" fontId="0" fillId="0" borderId="0" xfId="0" applyAlignment="1" applyProtection="1">
      <alignment vertical="center" shrinkToFit="1"/>
      <protection locked="0"/>
    </xf>
    <xf numFmtId="0" fontId="10" fillId="0" borderId="0" xfId="0" applyFont="1" applyAlignment="1" applyProtection="1">
      <alignment horizontal="center" vertical="center"/>
      <protection locked="0"/>
    </xf>
    <xf numFmtId="0" fontId="28" fillId="0" borderId="0" xfId="0" quotePrefix="1" applyFont="1" applyAlignment="1">
      <alignment horizontal="right" vertical="center"/>
    </xf>
    <xf numFmtId="0" fontId="29" fillId="4" borderId="4" xfId="0" applyFont="1" applyFill="1" applyBorder="1" applyAlignment="1">
      <alignment horizontal="center" vertical="center" wrapText="1"/>
    </xf>
    <xf numFmtId="0" fontId="29" fillId="4" borderId="5" xfId="0" applyFont="1" applyFill="1" applyBorder="1" applyAlignment="1">
      <alignment horizontal="center" vertical="center" wrapText="1"/>
    </xf>
    <xf numFmtId="0" fontId="30" fillId="4" borderId="5" xfId="0" applyFont="1" applyFill="1" applyBorder="1" applyAlignment="1">
      <alignment horizontal="center" vertical="center" wrapText="1"/>
    </xf>
    <xf numFmtId="0" fontId="29" fillId="4" borderId="6" xfId="0" applyFont="1" applyFill="1" applyBorder="1" applyAlignment="1">
      <alignment horizontal="center" vertical="center" wrapText="1"/>
    </xf>
    <xf numFmtId="0" fontId="29" fillId="0" borderId="8" xfId="0" applyFont="1" applyBorder="1" applyAlignment="1">
      <alignment vertical="top"/>
    </xf>
    <xf numFmtId="0" fontId="29" fillId="0" borderId="9" xfId="0" applyFont="1" applyBorder="1" applyAlignment="1">
      <alignment vertical="top"/>
    </xf>
    <xf numFmtId="0" fontId="29" fillId="0" borderId="10" xfId="0" applyFont="1" applyBorder="1" applyAlignment="1">
      <alignment vertical="top"/>
    </xf>
    <xf numFmtId="0" fontId="31" fillId="0" borderId="11" xfId="0" applyFont="1" applyBorder="1" applyAlignment="1">
      <alignment vertical="top"/>
    </xf>
    <xf numFmtId="14" fontId="31" fillId="0" borderId="11" xfId="0" applyNumberFormat="1" applyFont="1" applyBorder="1" applyAlignment="1">
      <alignment horizontal="center" vertical="center" wrapText="1"/>
    </xf>
    <xf numFmtId="0" fontId="31" fillId="0" borderId="11" xfId="0" applyFont="1" applyBorder="1" applyAlignment="1">
      <alignment horizontal="center" vertical="center" wrapText="1"/>
    </xf>
    <xf numFmtId="0" fontId="31" fillId="0" borderId="12" xfId="0" applyFont="1" applyBorder="1" applyAlignment="1">
      <alignment vertical="top" wrapText="1"/>
    </xf>
    <xf numFmtId="0" fontId="29" fillId="0" borderId="13" xfId="0" applyFont="1" applyBorder="1" applyAlignment="1">
      <alignment vertical="top"/>
    </xf>
    <xf numFmtId="0" fontId="29" fillId="0" borderId="14" xfId="0" applyFont="1" applyBorder="1" applyAlignment="1">
      <alignment vertical="top"/>
    </xf>
    <xf numFmtId="0" fontId="1" fillId="5" borderId="0" xfId="0" applyFont="1" applyFill="1" applyAlignment="1">
      <alignment wrapText="1"/>
    </xf>
    <xf numFmtId="0" fontId="1" fillId="5" borderId="0" xfId="0" applyFont="1" applyFill="1"/>
    <xf numFmtId="0" fontId="1" fillId="5" borderId="0" xfId="0" applyFont="1" applyFill="1" applyAlignment="1">
      <alignment horizontal="center"/>
    </xf>
    <xf numFmtId="0" fontId="1" fillId="5" borderId="2" xfId="0" applyFont="1" applyFill="1" applyBorder="1" applyAlignment="1">
      <alignment wrapText="1"/>
    </xf>
    <xf numFmtId="0" fontId="32" fillId="5" borderId="7" xfId="0" applyFont="1" applyFill="1" applyBorder="1" applyAlignment="1">
      <alignment vertical="top"/>
    </xf>
    <xf numFmtId="0" fontId="32" fillId="5" borderId="0" xfId="0" applyFont="1" applyFill="1" applyAlignment="1">
      <alignment vertical="top" wrapText="1"/>
    </xf>
    <xf numFmtId="0" fontId="33" fillId="0" borderId="0" xfId="0" applyFont="1"/>
    <xf numFmtId="0" fontId="33" fillId="0" borderId="10" xfId="0" applyFont="1" applyBorder="1"/>
    <xf numFmtId="0" fontId="20" fillId="0" borderId="10" xfId="0" applyFont="1" applyBorder="1"/>
    <xf numFmtId="10" fontId="33" fillId="0" borderId="10" xfId="0" applyNumberFormat="1" applyFont="1" applyBorder="1"/>
    <xf numFmtId="0" fontId="29" fillId="0" borderId="15" xfId="0" applyFont="1" applyBorder="1" applyAlignment="1">
      <alignment vertical="top"/>
    </xf>
    <xf numFmtId="0" fontId="34" fillId="0" borderId="8" xfId="0" applyFont="1" applyBorder="1" applyAlignment="1">
      <alignment vertical="top"/>
    </xf>
    <xf numFmtId="0" fontId="9" fillId="0" borderId="0" xfId="0" applyFont="1"/>
    <xf numFmtId="0" fontId="31" fillId="6" borderId="11" xfId="0" applyFont="1" applyFill="1" applyBorder="1" applyAlignment="1">
      <alignment horizontal="center" vertical="center"/>
    </xf>
    <xf numFmtId="0" fontId="31" fillId="6" borderId="11" xfId="0" applyFont="1" applyFill="1" applyBorder="1" applyAlignment="1">
      <alignment vertical="top"/>
    </xf>
    <xf numFmtId="0" fontId="31" fillId="6" borderId="11" xfId="0" applyFont="1" applyFill="1" applyBorder="1" applyAlignment="1">
      <alignment horizontal="center" vertical="center" wrapText="1"/>
    </xf>
    <xf numFmtId="0" fontId="34" fillId="6" borderId="15" xfId="0" applyFont="1" applyFill="1" applyBorder="1" applyAlignment="1">
      <alignment vertical="top"/>
    </xf>
    <xf numFmtId="0" fontId="31" fillId="6" borderId="12" xfId="0" applyFont="1" applyFill="1" applyBorder="1" applyAlignment="1">
      <alignment vertical="top" wrapText="1"/>
    </xf>
    <xf numFmtId="49" fontId="1" fillId="0" borderId="0" xfId="0" applyNumberFormat="1" applyFont="1" applyAlignment="1" applyProtection="1">
      <alignment horizontal="left" vertical="center"/>
      <protection locked="0"/>
    </xf>
    <xf numFmtId="0" fontId="29" fillId="0" borderId="16" xfId="0" applyFont="1" applyBorder="1" applyAlignment="1">
      <alignment vertical="top"/>
    </xf>
    <xf numFmtId="0" fontId="36" fillId="0" borderId="11" xfId="0" applyFont="1" applyBorder="1" applyAlignment="1">
      <alignment vertical="top"/>
    </xf>
    <xf numFmtId="0" fontId="0" fillId="5" borderId="0" xfId="0" applyFill="1"/>
    <xf numFmtId="0" fontId="35" fillId="5" borderId="0" xfId="0" applyFont="1" applyFill="1" applyAlignment="1">
      <alignment horizontal="center" vertical="center"/>
    </xf>
    <xf numFmtId="0" fontId="35" fillId="5" borderId="17" xfId="0" applyFont="1" applyFill="1" applyBorder="1" applyAlignment="1">
      <alignment horizontal="center" vertical="center"/>
    </xf>
    <xf numFmtId="0" fontId="0" fillId="5" borderId="0" xfId="0" applyFill="1" applyAlignment="1">
      <alignment wrapText="1"/>
    </xf>
    <xf numFmtId="0" fontId="37" fillId="7" borderId="4" xfId="0" applyFont="1" applyFill="1" applyBorder="1" applyAlignment="1">
      <alignment wrapText="1"/>
    </xf>
    <xf numFmtId="0" fontId="37" fillId="7" borderId="18" xfId="0" applyFont="1" applyFill="1" applyBorder="1" applyAlignment="1">
      <alignment vertical="center" wrapText="1"/>
    </xf>
    <xf numFmtId="0" fontId="37" fillId="7" borderId="19" xfId="0" applyFont="1" applyFill="1" applyBorder="1" applyAlignment="1">
      <alignment horizontal="center" wrapText="1"/>
    </xf>
    <xf numFmtId="0" fontId="1" fillId="8" borderId="9" xfId="2" applyFill="1" applyBorder="1" applyAlignment="1">
      <alignment wrapText="1"/>
    </xf>
    <xf numFmtId="0" fontId="1" fillId="8" borderId="13" xfId="2" applyFill="1" applyBorder="1" applyAlignment="1">
      <alignment wrapText="1"/>
    </xf>
    <xf numFmtId="0" fontId="35" fillId="5" borderId="7" xfId="0" applyFont="1" applyFill="1" applyBorder="1" applyAlignment="1">
      <alignment horizontal="left" vertical="center"/>
    </xf>
    <xf numFmtId="0" fontId="31" fillId="0" borderId="11" xfId="0" applyFont="1" applyBorder="1" applyAlignment="1">
      <alignment vertical="top" wrapText="1"/>
    </xf>
    <xf numFmtId="0" fontId="36" fillId="0" borderId="11" xfId="0" applyFont="1" applyBorder="1" applyAlignment="1">
      <alignment vertical="top" wrapText="1"/>
    </xf>
    <xf numFmtId="0" fontId="23" fillId="6" borderId="11" xfId="1" applyFill="1" applyBorder="1" applyAlignment="1">
      <alignment vertical="top"/>
    </xf>
    <xf numFmtId="0" fontId="1" fillId="0" borderId="0" xfId="0" applyFont="1" applyAlignment="1">
      <alignment vertical="center" shrinkToFit="1"/>
    </xf>
    <xf numFmtId="0" fontId="1" fillId="0" borderId="0" xfId="0" applyFont="1" applyAlignment="1" applyProtection="1">
      <alignment horizontal="left" vertical="center"/>
      <protection locked="0"/>
    </xf>
    <xf numFmtId="49" fontId="1" fillId="0" borderId="0" xfId="0" applyNumberFormat="1" applyFont="1" applyAlignment="1">
      <alignment horizontal="center" vertical="center" wrapText="1"/>
    </xf>
    <xf numFmtId="49" fontId="1" fillId="0" borderId="0" xfId="0" applyNumberFormat="1" applyFont="1" applyAlignment="1" applyProtection="1">
      <alignment horizontal="left" vertical="center" wrapText="1"/>
      <protection locked="0"/>
    </xf>
    <xf numFmtId="49" fontId="1" fillId="0" borderId="0" xfId="0" applyNumberFormat="1" applyFont="1" applyAlignment="1">
      <alignment horizontal="left" vertical="center" wrapText="1"/>
    </xf>
    <xf numFmtId="49" fontId="1" fillId="0" borderId="1" xfId="0" applyNumberFormat="1" applyFont="1" applyBorder="1" applyAlignment="1" applyProtection="1">
      <alignment horizontal="left" vertical="center" wrapText="1"/>
      <protection locked="0"/>
    </xf>
    <xf numFmtId="49" fontId="1" fillId="0" borderId="0" xfId="0" applyNumberFormat="1" applyFont="1" applyAlignment="1">
      <alignment vertical="center"/>
    </xf>
    <xf numFmtId="0" fontId="0" fillId="0" borderId="0" xfId="0" applyFill="1"/>
    <xf numFmtId="0" fontId="35" fillId="0" borderId="17" xfId="0" applyFont="1" applyFill="1" applyBorder="1" applyAlignment="1">
      <alignment horizontal="center" vertical="center"/>
    </xf>
    <xf numFmtId="0" fontId="1" fillId="8" borderId="10" xfId="2" applyFill="1" applyBorder="1" applyAlignment="1">
      <alignment wrapText="1"/>
    </xf>
    <xf numFmtId="0" fontId="35" fillId="0" borderId="40" xfId="0" applyFont="1" applyBorder="1" applyAlignment="1">
      <alignment horizontal="center" vertical="center"/>
    </xf>
    <xf numFmtId="0" fontId="35" fillId="0" borderId="11" xfId="0" applyFont="1" applyBorder="1" applyAlignment="1">
      <alignment horizontal="center" vertical="center"/>
    </xf>
    <xf numFmtId="0" fontId="35" fillId="0" borderId="10" xfId="0" applyFont="1" applyBorder="1" applyAlignment="1">
      <alignment horizontal="center" vertical="center"/>
    </xf>
    <xf numFmtId="0" fontId="43" fillId="10" borderId="7" xfId="0" applyFont="1" applyFill="1" applyBorder="1" applyAlignment="1">
      <alignment horizontal="center" vertical="center" wrapText="1"/>
    </xf>
    <xf numFmtId="0" fontId="38" fillId="0" borderId="15" xfId="0" applyFont="1" applyBorder="1" applyAlignment="1">
      <alignment horizontal="left" vertical="center" shrinkToFit="1"/>
    </xf>
    <xf numFmtId="0" fontId="38" fillId="0" borderId="1" xfId="0" applyFont="1" applyBorder="1" applyAlignment="1">
      <alignment horizontal="left" vertical="center" shrinkToFit="1"/>
    </xf>
    <xf numFmtId="0" fontId="38" fillId="0" borderId="20" xfId="0" applyFont="1" applyBorder="1" applyAlignment="1">
      <alignment horizontal="left" vertical="center" shrinkToFit="1"/>
    </xf>
    <xf numFmtId="0" fontId="39" fillId="9" borderId="21" xfId="0" applyFont="1" applyFill="1" applyBorder="1" applyAlignment="1" applyProtection="1">
      <alignment horizontal="center" vertical="center" shrinkToFit="1"/>
      <protection locked="0"/>
    </xf>
    <xf numFmtId="0" fontId="39" fillId="9" borderId="22" xfId="0" applyFont="1" applyFill="1" applyBorder="1" applyAlignment="1" applyProtection="1">
      <alignment horizontal="center" vertical="center" shrinkToFit="1"/>
      <protection locked="0"/>
    </xf>
    <xf numFmtId="0" fontId="39" fillId="9" borderId="23" xfId="0" applyFont="1" applyFill="1" applyBorder="1" applyAlignment="1" applyProtection="1">
      <alignment horizontal="center" vertical="center" shrinkToFit="1"/>
      <protection locked="0"/>
    </xf>
    <xf numFmtId="0" fontId="6" fillId="0" borderId="21" xfId="0" applyFont="1" applyBorder="1" applyAlignment="1">
      <alignment horizontal="left" vertical="center" shrinkToFit="1"/>
    </xf>
    <xf numFmtId="0" fontId="6" fillId="0" borderId="22" xfId="0" applyFont="1" applyBorder="1" applyAlignment="1">
      <alignment horizontal="left" vertical="center" shrinkToFit="1"/>
    </xf>
    <xf numFmtId="0" fontId="6" fillId="0" borderId="23" xfId="0" applyFont="1" applyBorder="1" applyAlignment="1">
      <alignment horizontal="left" vertical="center" shrinkToFit="1"/>
    </xf>
    <xf numFmtId="0" fontId="1" fillId="0" borderId="15" xfId="0" applyFont="1" applyBorder="1" applyAlignment="1" applyProtection="1">
      <alignment horizontal="right" vertical="top" wrapText="1" shrinkToFit="1"/>
      <protection locked="0"/>
    </xf>
    <xf numFmtId="0" fontId="1" fillId="0" borderId="1" xfId="0" applyFont="1" applyBorder="1" applyAlignment="1" applyProtection="1">
      <alignment horizontal="right" vertical="top" wrapText="1" shrinkToFit="1"/>
      <protection locked="0"/>
    </xf>
    <xf numFmtId="0" fontId="39" fillId="9" borderId="2" xfId="0" applyFont="1" applyFill="1" applyBorder="1" applyAlignment="1" applyProtection="1">
      <alignment horizontal="center" vertical="center" shrinkToFit="1"/>
      <protection locked="0"/>
    </xf>
    <xf numFmtId="0" fontId="39" fillId="9" borderId="0" xfId="0" applyFont="1" applyFill="1" applyAlignment="1" applyProtection="1">
      <alignment horizontal="center" vertical="center" shrinkToFit="1"/>
      <protection locked="0"/>
    </xf>
    <xf numFmtId="0" fontId="39" fillId="9" borderId="3" xfId="0" applyFont="1" applyFill="1" applyBorder="1" applyAlignment="1" applyProtection="1">
      <alignment horizontal="center" vertical="center" shrinkToFit="1"/>
      <protection locked="0"/>
    </xf>
    <xf numFmtId="0" fontId="1" fillId="0" borderId="1" xfId="0" applyFont="1" applyBorder="1" applyAlignment="1" applyProtection="1">
      <alignment horizontal="left" vertical="top" wrapText="1" shrinkToFit="1"/>
      <protection locked="0"/>
    </xf>
    <xf numFmtId="0" fontId="2" fillId="0" borderId="1" xfId="0" applyFont="1" applyBorder="1" applyAlignment="1" applyProtection="1">
      <alignment horizontal="left" vertical="top" shrinkToFit="1"/>
      <protection locked="0"/>
    </xf>
    <xf numFmtId="0" fontId="2" fillId="0" borderId="20" xfId="0" applyFont="1" applyBorder="1" applyAlignment="1" applyProtection="1">
      <alignment horizontal="left" vertical="top" shrinkToFit="1"/>
      <protection locked="0"/>
    </xf>
    <xf numFmtId="0" fontId="6" fillId="0" borderId="21" xfId="0" applyFont="1" applyBorder="1" applyAlignment="1">
      <alignment horizontal="left" vertical="center" wrapText="1"/>
    </xf>
    <xf numFmtId="0" fontId="6" fillId="0" borderId="22" xfId="0" applyFont="1" applyBorder="1" applyAlignment="1">
      <alignment horizontal="left" vertical="center" wrapText="1"/>
    </xf>
    <xf numFmtId="0" fontId="6" fillId="0" borderId="23" xfId="0" applyFont="1" applyBorder="1" applyAlignment="1">
      <alignment horizontal="left" vertical="center" wrapText="1"/>
    </xf>
    <xf numFmtId="0" fontId="10" fillId="0" borderId="0" xfId="0" applyFont="1" applyAlignment="1" applyProtection="1">
      <alignment horizontal="center" vertical="center" wrapText="1"/>
      <protection locked="0"/>
    </xf>
    <xf numFmtId="0" fontId="0" fillId="0" borderId="0" xfId="0" applyAlignment="1">
      <alignment vertical="center" wrapText="1"/>
    </xf>
    <xf numFmtId="0" fontId="1" fillId="0" borderId="21" xfId="0" applyFont="1" applyBorder="1" applyAlignment="1" applyProtection="1">
      <alignment horizontal="left" vertical="top"/>
      <protection locked="0"/>
    </xf>
    <xf numFmtId="0" fontId="1" fillId="0" borderId="22" xfId="0" applyFont="1" applyBorder="1" applyAlignment="1" applyProtection="1">
      <alignment horizontal="left" vertical="top"/>
      <protection locked="0"/>
    </xf>
    <xf numFmtId="0" fontId="1" fillId="0" borderId="23" xfId="0" applyFont="1" applyBorder="1" applyAlignment="1" applyProtection="1">
      <alignment horizontal="left" vertical="top"/>
      <protection locked="0"/>
    </xf>
    <xf numFmtId="0" fontId="39" fillId="9" borderId="22" xfId="0" applyFont="1" applyFill="1" applyBorder="1" applyAlignment="1" applyProtection="1">
      <alignment horizontal="center" vertical="center" wrapText="1"/>
      <protection locked="0"/>
    </xf>
    <xf numFmtId="0" fontId="39" fillId="9" borderId="0" xfId="0" applyFont="1" applyFill="1" applyAlignment="1" applyProtection="1">
      <alignment horizontal="center" vertical="center" wrapText="1"/>
      <protection locked="0"/>
    </xf>
    <xf numFmtId="0" fontId="1" fillId="0" borderId="15" xfId="0" applyFont="1" applyBorder="1" applyAlignment="1" applyProtection="1">
      <alignment horizontal="left" vertical="top"/>
      <protection locked="0"/>
    </xf>
    <xf numFmtId="0" fontId="1" fillId="0" borderId="1" xfId="0" applyFont="1" applyBorder="1" applyAlignment="1" applyProtection="1">
      <alignment horizontal="left" vertical="top"/>
      <protection locked="0"/>
    </xf>
    <xf numFmtId="0" fontId="1" fillId="0" borderId="20" xfId="0" applyFont="1" applyBorder="1" applyAlignment="1" applyProtection="1">
      <alignment horizontal="left" vertical="top"/>
      <protection locked="0"/>
    </xf>
    <xf numFmtId="0" fontId="40" fillId="0" borderId="1" xfId="0" applyFont="1" applyBorder="1" applyAlignment="1" applyProtection="1">
      <alignment horizontal="left" vertical="top" wrapText="1" shrinkToFit="1"/>
      <protection locked="0"/>
    </xf>
    <xf numFmtId="0" fontId="40" fillId="0" borderId="20" xfId="0" applyFont="1" applyBorder="1" applyAlignment="1" applyProtection="1">
      <alignment horizontal="left" vertical="top" wrapText="1" shrinkToFit="1"/>
      <protection locked="0"/>
    </xf>
    <xf numFmtId="49" fontId="1" fillId="0" borderId="10" xfId="0" applyNumberFormat="1" applyFont="1" applyBorder="1" applyAlignment="1" applyProtection="1">
      <alignment vertical="center" wrapText="1"/>
      <protection locked="0"/>
    </xf>
    <xf numFmtId="49" fontId="1" fillId="0" borderId="10" xfId="0" applyNumberFormat="1" applyFont="1" applyBorder="1" applyAlignment="1" applyProtection="1">
      <alignment horizontal="left" vertical="center" wrapText="1"/>
      <protection locked="0"/>
    </xf>
    <xf numFmtId="0" fontId="0" fillId="0" borderId="10" xfId="0" applyBorder="1" applyAlignment="1">
      <alignment horizontal="left" vertical="center" wrapText="1"/>
    </xf>
    <xf numFmtId="0" fontId="8" fillId="2" borderId="10" xfId="0" applyFont="1" applyFill="1" applyBorder="1" applyAlignment="1" applyProtection="1">
      <alignment horizontal="center" vertical="center" wrapText="1"/>
      <protection locked="0"/>
    </xf>
    <xf numFmtId="0" fontId="8" fillId="2" borderId="24" xfId="0" applyFont="1" applyFill="1" applyBorder="1" applyAlignment="1" applyProtection="1">
      <alignment horizontal="center" vertical="center" wrapText="1"/>
      <protection locked="0"/>
    </xf>
    <xf numFmtId="0" fontId="8" fillId="2" borderId="25" xfId="0" applyFont="1" applyFill="1" applyBorder="1" applyAlignment="1" applyProtection="1">
      <alignment horizontal="center" vertical="center" wrapText="1"/>
      <protection locked="0"/>
    </xf>
    <xf numFmtId="0" fontId="8" fillId="2" borderId="16" xfId="0" applyFont="1" applyFill="1" applyBorder="1" applyAlignment="1" applyProtection="1">
      <alignment horizontal="center" vertical="center" wrapText="1"/>
      <protection locked="0"/>
    </xf>
    <xf numFmtId="49" fontId="1" fillId="0" borderId="24" xfId="0" applyNumberFormat="1" applyFont="1" applyBorder="1" applyAlignment="1" applyProtection="1">
      <alignment horizontal="left" vertical="center" wrapText="1"/>
      <protection locked="0"/>
    </xf>
    <xf numFmtId="49" fontId="1" fillId="0" borderId="25" xfId="0" applyNumberFormat="1" applyFont="1" applyBorder="1" applyAlignment="1" applyProtection="1">
      <alignment horizontal="left" vertical="center" wrapText="1"/>
      <protection locked="0"/>
    </xf>
    <xf numFmtId="49" fontId="1" fillId="0" borderId="16" xfId="0" applyNumberFormat="1" applyFont="1" applyBorder="1" applyAlignment="1" applyProtection="1">
      <alignment horizontal="left" vertical="center" wrapText="1"/>
      <protection locked="0"/>
    </xf>
    <xf numFmtId="0" fontId="0" fillId="0" borderId="24" xfId="0" applyBorder="1" applyAlignment="1">
      <alignment horizontal="left" vertical="center" wrapText="1"/>
    </xf>
    <xf numFmtId="0" fontId="0" fillId="0" borderId="25" xfId="0" applyBorder="1" applyAlignment="1">
      <alignment horizontal="left" vertical="center" wrapText="1"/>
    </xf>
    <xf numFmtId="0" fontId="0" fillId="0" borderId="16" xfId="0" applyBorder="1" applyAlignment="1">
      <alignment horizontal="left" vertical="center" wrapText="1"/>
    </xf>
    <xf numFmtId="0" fontId="1" fillId="0" borderId="24" xfId="0" applyFont="1" applyBorder="1" applyAlignment="1">
      <alignment horizontal="left" vertical="center" wrapText="1"/>
    </xf>
    <xf numFmtId="0" fontId="1" fillId="0" borderId="25" xfId="0" applyFont="1" applyBorder="1" applyAlignment="1">
      <alignment horizontal="left" vertical="center" wrapText="1"/>
    </xf>
    <xf numFmtId="0" fontId="1" fillId="0" borderId="16" xfId="0" applyFont="1" applyBorder="1" applyAlignment="1">
      <alignment horizontal="left" vertical="center" wrapText="1"/>
    </xf>
    <xf numFmtId="0" fontId="37" fillId="7" borderId="24" xfId="0" applyFont="1" applyFill="1" applyBorder="1" applyAlignment="1">
      <alignment horizontal="center" vertical="center" wrapText="1"/>
    </xf>
    <xf numFmtId="0" fontId="37" fillId="7" borderId="25" xfId="0" applyFont="1" applyFill="1" applyBorder="1" applyAlignment="1">
      <alignment horizontal="center" vertical="center" wrapText="1"/>
    </xf>
    <xf numFmtId="0" fontId="37" fillId="7" borderId="16" xfId="0" applyFont="1" applyFill="1" applyBorder="1" applyAlignment="1">
      <alignment horizontal="center" vertical="center" wrapText="1"/>
    </xf>
    <xf numFmtId="49" fontId="1" fillId="0" borderId="10" xfId="0" applyNumberFormat="1" applyFont="1" applyBorder="1" applyAlignment="1">
      <alignment horizontal="left" vertical="center" wrapText="1"/>
    </xf>
    <xf numFmtId="0" fontId="0" fillId="0" borderId="10" xfId="0" applyBorder="1" applyAlignment="1">
      <alignment horizontal="center" vertical="center" wrapText="1"/>
    </xf>
    <xf numFmtId="49" fontId="5" fillId="0" borderId="0" xfId="0" applyNumberFormat="1" applyFont="1" applyAlignment="1" applyProtection="1">
      <alignment horizontal="left" vertical="top" wrapText="1"/>
      <protection locked="0"/>
    </xf>
    <xf numFmtId="49" fontId="1" fillId="0" borderId="10" xfId="0" applyNumberFormat="1" applyFont="1" applyBorder="1" applyAlignment="1" applyProtection="1">
      <alignment horizontal="center" vertical="center" wrapText="1"/>
      <protection locked="0"/>
    </xf>
    <xf numFmtId="49" fontId="1" fillId="0" borderId="10" xfId="0" applyNumberFormat="1" applyFont="1" applyBorder="1" applyAlignment="1">
      <alignment horizontal="center" vertical="center" wrapText="1"/>
    </xf>
    <xf numFmtId="0" fontId="6" fillId="3" borderId="21" xfId="0" applyFont="1" applyFill="1" applyBorder="1" applyAlignment="1">
      <alignment horizontal="left" vertical="center" wrapText="1"/>
    </xf>
    <xf numFmtId="0" fontId="6" fillId="3" borderId="22" xfId="0" applyFont="1" applyFill="1" applyBorder="1" applyAlignment="1">
      <alignment horizontal="left" vertical="center" wrapText="1"/>
    </xf>
    <xf numFmtId="0" fontId="6" fillId="3" borderId="23" xfId="0" applyFont="1" applyFill="1" applyBorder="1" applyAlignment="1">
      <alignment horizontal="left" vertical="center" wrapText="1"/>
    </xf>
    <xf numFmtId="0" fontId="38" fillId="3" borderId="15" xfId="0" applyFont="1" applyFill="1" applyBorder="1" applyAlignment="1">
      <alignment horizontal="left" vertical="center" shrinkToFit="1"/>
    </xf>
    <xf numFmtId="0" fontId="38" fillId="3" borderId="1" xfId="0" applyFont="1" applyFill="1" applyBorder="1" applyAlignment="1">
      <alignment horizontal="left" vertical="center" shrinkToFit="1"/>
    </xf>
    <xf numFmtId="0" fontId="38" fillId="3" borderId="20" xfId="0" applyFont="1" applyFill="1" applyBorder="1" applyAlignment="1">
      <alignment horizontal="left" vertical="center" shrinkToFit="1"/>
    </xf>
    <xf numFmtId="0" fontId="6" fillId="3" borderId="21" xfId="0" applyFont="1" applyFill="1" applyBorder="1" applyAlignment="1">
      <alignment horizontal="left" vertical="center" shrinkToFit="1"/>
    </xf>
    <xf numFmtId="0" fontId="6" fillId="3" borderId="22" xfId="0" applyFont="1" applyFill="1" applyBorder="1" applyAlignment="1">
      <alignment horizontal="left" vertical="center" shrinkToFit="1"/>
    </xf>
    <xf numFmtId="0" fontId="6" fillId="3" borderId="23" xfId="0" applyFont="1" applyFill="1" applyBorder="1" applyAlignment="1">
      <alignment horizontal="left" vertical="center" shrinkToFit="1"/>
    </xf>
    <xf numFmtId="0" fontId="0" fillId="2" borderId="10" xfId="0" applyFill="1" applyBorder="1" applyAlignment="1" applyProtection="1">
      <alignment horizontal="center" vertical="center" wrapText="1"/>
      <protection locked="0"/>
    </xf>
    <xf numFmtId="0" fontId="11" fillId="3" borderId="15" xfId="0" applyFont="1" applyFill="1" applyBorder="1" applyAlignment="1">
      <alignment horizontal="left" vertical="center" shrinkToFit="1"/>
    </xf>
    <xf numFmtId="0" fontId="11" fillId="3" borderId="1" xfId="0" applyFont="1" applyFill="1" applyBorder="1" applyAlignment="1">
      <alignment horizontal="left" vertical="center" shrinkToFit="1"/>
    </xf>
    <xf numFmtId="0" fontId="11" fillId="3" borderId="20" xfId="0" applyFont="1" applyFill="1" applyBorder="1" applyAlignment="1">
      <alignment horizontal="left" vertical="center" shrinkToFit="1"/>
    </xf>
    <xf numFmtId="49" fontId="1" fillId="0" borderId="0" xfId="0" applyNumberFormat="1" applyFont="1" applyAlignment="1" applyProtection="1">
      <alignment horizontal="left" vertical="top" wrapText="1"/>
      <protection locked="0"/>
    </xf>
    <xf numFmtId="0" fontId="1" fillId="0" borderId="24" xfId="2" applyFill="1" applyBorder="1" applyAlignment="1">
      <alignment horizontal="left" vertical="top" wrapText="1" shrinkToFit="1"/>
    </xf>
    <xf numFmtId="0" fontId="1" fillId="0" borderId="25" xfId="2" applyFill="1" applyBorder="1" applyAlignment="1">
      <alignment horizontal="left" vertical="top" wrapText="1" shrinkToFit="1"/>
    </xf>
    <xf numFmtId="0" fontId="1" fillId="0" borderId="16" xfId="2" applyFill="1" applyBorder="1" applyAlignment="1">
      <alignment horizontal="left" vertical="top" wrapText="1" shrinkToFit="1"/>
    </xf>
    <xf numFmtId="0" fontId="1" fillId="5" borderId="10" xfId="2" applyFill="1" applyBorder="1" applyAlignment="1">
      <alignment horizontal="left" vertical="top" wrapText="1" shrinkToFit="1"/>
    </xf>
    <xf numFmtId="0" fontId="1" fillId="0" borderId="24" xfId="0" applyFont="1" applyFill="1" applyBorder="1" applyAlignment="1">
      <alignment horizontal="left" vertical="top"/>
    </xf>
    <xf numFmtId="0" fontId="0" fillId="0" borderId="25" xfId="0" applyFill="1" applyBorder="1" applyAlignment="1">
      <alignment horizontal="left" vertical="top"/>
    </xf>
    <xf numFmtId="0" fontId="1" fillId="5" borderId="24" xfId="2" applyFill="1" applyBorder="1" applyAlignment="1">
      <alignment horizontal="left" vertical="top" wrapText="1" shrinkToFit="1"/>
    </xf>
    <xf numFmtId="0" fontId="1" fillId="5" borderId="25" xfId="2" applyFill="1" applyBorder="1" applyAlignment="1">
      <alignment horizontal="left" vertical="top" wrapText="1" shrinkToFit="1"/>
    </xf>
    <xf numFmtId="0" fontId="1" fillId="5" borderId="16" xfId="2" applyFill="1" applyBorder="1" applyAlignment="1">
      <alignment horizontal="left" vertical="top" wrapText="1" shrinkToFit="1"/>
    </xf>
    <xf numFmtId="0" fontId="0" fillId="5" borderId="25" xfId="0" applyFill="1" applyBorder="1" applyAlignment="1">
      <alignment vertical="top"/>
    </xf>
    <xf numFmtId="0" fontId="0" fillId="5" borderId="16" xfId="0" applyFill="1" applyBorder="1" applyAlignment="1">
      <alignment vertical="top"/>
    </xf>
    <xf numFmtId="0" fontId="1" fillId="0" borderId="24" xfId="0" applyFont="1" applyFill="1" applyBorder="1" applyAlignment="1">
      <alignment horizontal="left" vertical="top" wrapText="1"/>
    </xf>
    <xf numFmtId="0" fontId="1" fillId="0" borderId="25" xfId="0" applyFont="1" applyFill="1" applyBorder="1" applyAlignment="1">
      <alignment horizontal="left" vertical="top" wrapText="1"/>
    </xf>
    <xf numFmtId="0" fontId="1" fillId="0" borderId="16" xfId="0" applyFont="1" applyFill="1" applyBorder="1" applyAlignment="1">
      <alignment horizontal="left" vertical="top" wrapText="1"/>
    </xf>
    <xf numFmtId="0" fontId="37" fillId="7" borderId="28" xfId="0" applyFont="1" applyFill="1" applyBorder="1" applyAlignment="1">
      <alignment horizontal="center" wrapText="1"/>
    </xf>
    <xf numFmtId="0" fontId="37" fillId="7" borderId="29" xfId="0" applyFont="1" applyFill="1" applyBorder="1" applyAlignment="1">
      <alignment horizontal="center" wrapText="1"/>
    </xf>
    <xf numFmtId="0" fontId="37" fillId="7" borderId="30" xfId="0" applyFont="1" applyFill="1" applyBorder="1" applyAlignment="1">
      <alignment horizontal="center" wrapText="1"/>
    </xf>
    <xf numFmtId="0" fontId="37" fillId="7" borderId="33" xfId="0" applyFont="1" applyFill="1" applyBorder="1" applyAlignment="1">
      <alignment horizontal="left" vertical="center" wrapText="1"/>
    </xf>
    <xf numFmtId="0" fontId="37" fillId="7" borderId="35" xfId="0" applyFont="1" applyFill="1" applyBorder="1" applyAlignment="1">
      <alignment horizontal="left" vertical="center" wrapText="1"/>
    </xf>
    <xf numFmtId="0" fontId="1" fillId="5" borderId="31" xfId="0" applyFont="1" applyFill="1" applyBorder="1" applyAlignment="1">
      <alignment horizontal="left" vertical="top" wrapText="1" shrinkToFit="1"/>
    </xf>
    <xf numFmtId="0" fontId="1" fillId="5" borderId="32" xfId="0" applyFont="1" applyFill="1" applyBorder="1" applyAlignment="1">
      <alignment horizontal="left" vertical="top" wrapText="1" shrinkToFit="1"/>
    </xf>
    <xf numFmtId="0" fontId="1" fillId="5" borderId="33" xfId="0" applyFont="1" applyFill="1" applyBorder="1" applyAlignment="1">
      <alignment horizontal="left" vertical="top" wrapText="1" shrinkToFit="1"/>
    </xf>
    <xf numFmtId="0" fontId="1" fillId="5" borderId="34" xfId="0" applyFont="1" applyFill="1" applyBorder="1" applyAlignment="1">
      <alignment horizontal="left" vertical="top" wrapText="1" shrinkToFit="1"/>
    </xf>
    <xf numFmtId="0" fontId="1" fillId="5" borderId="0" xfId="0" applyFont="1" applyFill="1" applyAlignment="1">
      <alignment horizontal="left" vertical="top" wrapText="1" shrinkToFit="1"/>
    </xf>
    <xf numFmtId="0" fontId="1" fillId="5" borderId="35" xfId="0" applyFont="1" applyFill="1" applyBorder="1" applyAlignment="1">
      <alignment horizontal="left" vertical="top" wrapText="1" shrinkToFit="1"/>
    </xf>
    <xf numFmtId="0" fontId="1" fillId="5" borderId="36" xfId="0" applyFont="1" applyFill="1" applyBorder="1" applyAlignment="1">
      <alignment horizontal="left" vertical="top" wrapText="1" shrinkToFit="1"/>
    </xf>
    <xf numFmtId="0" fontId="1" fillId="5" borderId="37" xfId="0" applyFont="1" applyFill="1" applyBorder="1" applyAlignment="1">
      <alignment horizontal="left" vertical="top" wrapText="1" shrinkToFit="1"/>
    </xf>
    <xf numFmtId="0" fontId="1" fillId="5" borderId="38" xfId="0" applyFont="1" applyFill="1" applyBorder="1" applyAlignment="1">
      <alignment horizontal="left" vertical="top" wrapText="1" shrinkToFit="1"/>
    </xf>
    <xf numFmtId="0" fontId="9" fillId="5" borderId="6" xfId="0" applyFont="1" applyFill="1" applyBorder="1" applyAlignment="1">
      <alignment horizontal="left"/>
    </xf>
    <xf numFmtId="0" fontId="1" fillId="5" borderId="26" xfId="0" applyFont="1" applyFill="1" applyBorder="1" applyAlignment="1">
      <alignment horizontal="left"/>
    </xf>
    <xf numFmtId="0" fontId="1" fillId="5" borderId="27" xfId="0" applyFont="1" applyFill="1" applyBorder="1" applyAlignment="1">
      <alignment horizontal="left"/>
    </xf>
    <xf numFmtId="0" fontId="1" fillId="5" borderId="6" xfId="0" applyFont="1" applyFill="1" applyBorder="1" applyAlignment="1">
      <alignment horizontal="left" vertical="top"/>
    </xf>
    <xf numFmtId="0" fontId="1" fillId="5" borderId="26" xfId="0" applyFont="1" applyFill="1" applyBorder="1" applyAlignment="1">
      <alignment horizontal="left" vertical="top"/>
    </xf>
    <xf numFmtId="0" fontId="1" fillId="5" borderId="27" xfId="0" applyFont="1" applyFill="1" applyBorder="1" applyAlignment="1">
      <alignment horizontal="left" vertical="top"/>
    </xf>
    <xf numFmtId="0" fontId="1" fillId="5" borderId="6" xfId="0" applyFont="1" applyFill="1" applyBorder="1" applyAlignment="1">
      <alignment horizontal="left" vertical="top" wrapText="1"/>
    </xf>
    <xf numFmtId="0" fontId="1" fillId="5" borderId="26" xfId="0" applyFont="1" applyFill="1" applyBorder="1" applyAlignment="1">
      <alignment horizontal="left" vertical="top" wrapText="1"/>
    </xf>
    <xf numFmtId="0" fontId="1" fillId="5" borderId="27" xfId="0" applyFont="1" applyFill="1" applyBorder="1" applyAlignment="1">
      <alignment horizontal="left" vertical="top" wrapText="1"/>
    </xf>
    <xf numFmtId="0" fontId="1" fillId="0" borderId="10" xfId="2" applyFill="1" applyBorder="1" applyAlignment="1">
      <alignment horizontal="left" vertical="top" wrapText="1" shrinkToFit="1"/>
    </xf>
    <xf numFmtId="0" fontId="0" fillId="5" borderId="24" xfId="0" applyFill="1" applyBorder="1" applyAlignment="1">
      <alignment horizontal="left" vertical="top" wrapText="1"/>
    </xf>
    <xf numFmtId="0" fontId="0" fillId="5" borderId="25" xfId="0" applyFill="1" applyBorder="1" applyAlignment="1">
      <alignment horizontal="left" vertical="top" wrapText="1"/>
    </xf>
    <xf numFmtId="0" fontId="0" fillId="5" borderId="16" xfId="0" applyFill="1" applyBorder="1" applyAlignment="1">
      <alignment horizontal="left" vertical="top" wrapText="1"/>
    </xf>
    <xf numFmtId="0" fontId="1" fillId="0" borderId="6" xfId="0" applyFont="1" applyFill="1" applyBorder="1" applyAlignment="1">
      <alignment horizontal="left" vertical="top"/>
    </xf>
    <xf numFmtId="0" fontId="1" fillId="0" borderId="26" xfId="0" applyFont="1" applyFill="1" applyBorder="1" applyAlignment="1">
      <alignment horizontal="left" vertical="top"/>
    </xf>
    <xf numFmtId="0" fontId="1" fillId="0" borderId="27" xfId="0" applyFont="1" applyFill="1" applyBorder="1" applyAlignment="1">
      <alignment horizontal="left" vertical="top"/>
    </xf>
    <xf numFmtId="0" fontId="1" fillId="5" borderId="24" xfId="2" applyFill="1" applyBorder="1" applyAlignment="1">
      <alignment horizontal="left" vertical="center" wrapText="1" shrinkToFit="1"/>
    </xf>
    <xf numFmtId="0" fontId="1" fillId="5" borderId="25" xfId="2" applyFill="1" applyBorder="1" applyAlignment="1">
      <alignment horizontal="left" vertical="center" wrapText="1" shrinkToFit="1"/>
    </xf>
    <xf numFmtId="0" fontId="1" fillId="5" borderId="16" xfId="2" applyFill="1" applyBorder="1" applyAlignment="1">
      <alignment horizontal="left" vertical="center" wrapText="1" shrinkToFit="1"/>
    </xf>
    <xf numFmtId="0" fontId="1" fillId="5" borderId="24" xfId="2" applyFont="1" applyFill="1" applyBorder="1" applyAlignment="1">
      <alignment horizontal="left" vertical="top" wrapText="1" shrinkToFit="1"/>
    </xf>
    <xf numFmtId="0" fontId="1" fillId="5" borderId="25" xfId="2" applyFont="1" applyFill="1" applyBorder="1" applyAlignment="1">
      <alignment horizontal="left" vertical="top" wrapText="1" shrinkToFit="1"/>
    </xf>
    <xf numFmtId="0" fontId="1" fillId="5" borderId="16" xfId="2" applyFont="1" applyFill="1" applyBorder="1" applyAlignment="1">
      <alignment horizontal="left" vertical="top" wrapText="1" shrinkToFit="1"/>
    </xf>
    <xf numFmtId="0" fontId="1" fillId="0" borderId="6" xfId="0" applyFont="1" applyFill="1" applyBorder="1" applyAlignment="1">
      <alignment horizontal="left" vertical="top" wrapText="1"/>
    </xf>
    <xf numFmtId="0" fontId="1" fillId="0" borderId="26" xfId="0" applyFont="1" applyFill="1" applyBorder="1" applyAlignment="1">
      <alignment horizontal="left" vertical="top" wrapText="1"/>
    </xf>
    <xf numFmtId="0" fontId="1" fillId="0" borderId="27" xfId="0" applyFont="1" applyFill="1" applyBorder="1" applyAlignment="1">
      <alignment horizontal="left" vertical="top" wrapText="1"/>
    </xf>
  </cellXfs>
  <cellStyles count="3">
    <cellStyle name="Hyperlink" xfId="1" builtinId="8"/>
    <cellStyle name="Normal" xfId="0" builtinId="0"/>
    <cellStyle name="Normal 2" xfId="2" xr:uid="{00000000-0005-0000-0000-000002000000}"/>
  </cellStyles>
  <dxfs count="322">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SW integration test progress</a:t>
            </a:r>
          </a:p>
        </c:rich>
      </c:tx>
      <c:overlay val="0"/>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0-5374-434A-AFE8-DF808D2D2BD5}"/>
              </c:ext>
            </c:extLst>
          </c:dPt>
          <c:dPt>
            <c:idx val="1"/>
            <c:bubble3D val="0"/>
            <c:extLst>
              <c:ext xmlns:c16="http://schemas.microsoft.com/office/drawing/2014/chart" uri="{C3380CC4-5D6E-409C-BE32-E72D297353CC}">
                <c16:uniqueId val="{00000001-5374-434A-AFE8-DF808D2D2BD5}"/>
              </c:ext>
            </c:extLst>
          </c:dPt>
          <c:dPt>
            <c:idx val="2"/>
            <c:bubble3D val="0"/>
            <c:spPr>
              <a:solidFill>
                <a:schemeClr val="bg1">
                  <a:lumMod val="75000"/>
                </a:schemeClr>
              </a:solidFill>
            </c:spPr>
            <c:extLst>
              <c:ext xmlns:c16="http://schemas.microsoft.com/office/drawing/2014/chart" uri="{C3380CC4-5D6E-409C-BE32-E72D297353CC}">
                <c16:uniqueId val="{00000002-5374-434A-AFE8-DF808D2D2BD5}"/>
              </c:ext>
            </c:extLst>
          </c:dPt>
          <c:dPt>
            <c:idx val="3"/>
            <c:bubble3D val="0"/>
            <c:extLst>
              <c:ext xmlns:c16="http://schemas.microsoft.com/office/drawing/2014/chart" uri="{C3380CC4-5D6E-409C-BE32-E72D297353CC}">
                <c16:uniqueId val="{00000003-5374-434A-AFE8-DF808D2D2BD5}"/>
              </c:ext>
            </c:extLst>
          </c:dPt>
          <c:dLbls>
            <c:spPr>
              <a:noFill/>
              <a:ln>
                <a:noFill/>
              </a:ln>
              <a:effectLst/>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Metrics!$E$2:$E$5</c:f>
              <c:strCache>
                <c:ptCount val="4"/>
                <c:pt idx="0">
                  <c:v>percentage of tests passed</c:v>
                </c:pt>
                <c:pt idx="1">
                  <c:v>percentage of tests failed</c:v>
                </c:pt>
                <c:pt idx="2">
                  <c:v>percentage  tests not run</c:v>
                </c:pt>
                <c:pt idx="3">
                  <c:v>percentage  tests not applicable</c:v>
                </c:pt>
              </c:strCache>
            </c:strRef>
          </c:cat>
          <c:val>
            <c:numRef>
              <c:f>Metrics!$F$2:$F$5</c:f>
              <c:numCache>
                <c:formatCode>0.00%</c:formatCode>
                <c:ptCount val="4"/>
                <c:pt idx="0">
                  <c:v>0.75</c:v>
                </c:pt>
                <c:pt idx="1">
                  <c:v>0.25</c:v>
                </c:pt>
                <c:pt idx="2">
                  <c:v>0</c:v>
                </c:pt>
                <c:pt idx="3">
                  <c:v>0</c:v>
                </c:pt>
              </c:numCache>
            </c:numRef>
          </c:val>
          <c:extLst>
            <c:ext xmlns:c16="http://schemas.microsoft.com/office/drawing/2014/chart" uri="{C3380CC4-5D6E-409C-BE32-E72D297353CC}">
              <c16:uniqueId val="{00000004-5374-434A-AFE8-DF808D2D2BD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237" name="Picture 12">
          <a:extLst>
            <a:ext uri="{FF2B5EF4-FFF2-40B4-BE49-F238E27FC236}">
              <a16:creationId xmlns:a16="http://schemas.microsoft.com/office/drawing/2014/main" id="{EC3B1DB7-EFD0-4450-A4A6-37F30917EA2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238" name="Picture 13">
          <a:extLst>
            <a:ext uri="{FF2B5EF4-FFF2-40B4-BE49-F238E27FC236}">
              <a16:creationId xmlns:a16="http://schemas.microsoft.com/office/drawing/2014/main" id="{C873E46E-CC37-47C9-B846-1DF96BCE93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5595" name="Picture 1">
          <a:extLst>
            <a:ext uri="{FF2B5EF4-FFF2-40B4-BE49-F238E27FC236}">
              <a16:creationId xmlns:a16="http://schemas.microsoft.com/office/drawing/2014/main" id="{B18CBB95-9994-499B-BF63-42E7193B7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5596" name="Picture 2">
          <a:extLst>
            <a:ext uri="{FF2B5EF4-FFF2-40B4-BE49-F238E27FC236}">
              <a16:creationId xmlns:a16="http://schemas.microsoft.com/office/drawing/2014/main" id="{773197C6-D8B1-4205-A2F6-3F6FDCBCECF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7</xdr:row>
      <xdr:rowOff>0</xdr:rowOff>
    </xdr:from>
    <xdr:to>
      <xdr:col>6</xdr:col>
      <xdr:colOff>561975</xdr:colOff>
      <xdr:row>23</xdr:row>
      <xdr:rowOff>152400</xdr:rowOff>
    </xdr:to>
    <xdr:graphicFrame macro="">
      <xdr:nvGraphicFramePr>
        <xdr:cNvPr id="21575" name="Chart 1">
          <a:extLst>
            <a:ext uri="{FF2B5EF4-FFF2-40B4-BE49-F238E27FC236}">
              <a16:creationId xmlns:a16="http://schemas.microsoft.com/office/drawing/2014/main" id="{3B8DEE3C-F3F6-4252-8DA4-4575A22FEB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59999389629810485"/>
  </sheetPr>
  <dimension ref="A1:BH26"/>
  <sheetViews>
    <sheetView showGridLines="0" zoomScaleNormal="100" workbookViewId="0">
      <selection activeCell="AB5" sqref="AB5:AG5"/>
    </sheetView>
  </sheetViews>
  <sheetFormatPr defaultColWidth="0" defaultRowHeight="13.2" zeroHeight="1" x14ac:dyDescent="0.25"/>
  <cols>
    <col min="1" max="33" width="2.88671875" style="11" customWidth="1"/>
    <col min="34" max="34" width="1.33203125" style="11" customWidth="1"/>
    <col min="35" max="60" width="3.33203125" style="11" hidden="1" customWidth="1"/>
    <col min="61" max="16384" width="0" style="11" hidden="1"/>
  </cols>
  <sheetData>
    <row r="1" spans="1:37" s="1" customFormat="1" x14ac:dyDescent="0.25">
      <c r="C1" s="2"/>
      <c r="D1" s="2"/>
      <c r="E1" s="2"/>
      <c r="F1" s="2"/>
      <c r="G1" s="3"/>
      <c r="H1" s="4"/>
      <c r="I1" s="4"/>
      <c r="J1" s="4"/>
      <c r="K1" s="4"/>
      <c r="L1" s="4"/>
      <c r="M1" s="4"/>
      <c r="N1" s="4"/>
      <c r="O1" s="4"/>
      <c r="P1" s="5"/>
      <c r="Q1" s="5"/>
      <c r="R1" s="5"/>
      <c r="S1" s="5"/>
      <c r="T1" s="5"/>
      <c r="U1" s="5"/>
      <c r="V1" s="5"/>
      <c r="W1" s="5"/>
      <c r="X1" s="5"/>
      <c r="Y1" s="5"/>
      <c r="Z1" s="5"/>
      <c r="AA1" s="5"/>
      <c r="AB1" s="5"/>
      <c r="AC1" s="5"/>
      <c r="AD1" s="5"/>
      <c r="AE1" s="5"/>
      <c r="AF1" s="5"/>
      <c r="AG1" s="5"/>
      <c r="AH1" s="5"/>
      <c r="AI1" s="5"/>
      <c r="AJ1" s="5"/>
      <c r="AK1" s="5"/>
    </row>
    <row r="2" spans="1:37" s="1" customFormat="1" x14ac:dyDescent="0.25">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row>
    <row r="3" spans="1:37" s="1" customFormat="1" x14ac:dyDescent="0.25">
      <c r="C3" s="6"/>
      <c r="D3" s="6"/>
      <c r="E3" s="6"/>
      <c r="F3" s="6"/>
      <c r="G3" s="6"/>
      <c r="H3" s="6"/>
      <c r="I3" s="6"/>
      <c r="J3" s="6"/>
      <c r="K3" s="6"/>
      <c r="L3" s="6"/>
      <c r="M3" s="6"/>
      <c r="N3" s="6"/>
      <c r="O3" s="6"/>
      <c r="P3" s="6"/>
      <c r="Q3" s="6"/>
      <c r="R3" s="6"/>
      <c r="S3" s="6"/>
      <c r="T3" s="6"/>
      <c r="U3" s="6"/>
      <c r="V3" s="6"/>
      <c r="W3" s="6"/>
      <c r="X3" s="6"/>
      <c r="Y3" s="6"/>
      <c r="Z3" s="6"/>
      <c r="AA3" s="6"/>
      <c r="AB3" s="6"/>
      <c r="AC3" s="6"/>
      <c r="AD3" s="40" t="str">
        <f ca="1">MID(CELL("filename"),FIND("[",CELL("filename"))+1,FIND("]",CELL("filename"))-FIND("[",CELL("filename"))-1)</f>
        <v>MMG - Software Integration Test Specification Report.xlsm</v>
      </c>
      <c r="AE3" s="6"/>
      <c r="AF3" s="6"/>
      <c r="AG3" s="6"/>
      <c r="AH3" s="6"/>
      <c r="AI3" s="6"/>
      <c r="AJ3" s="6"/>
      <c r="AK3" s="6"/>
    </row>
    <row r="4" spans="1:37" s="1" customFormat="1" ht="11.1" customHeight="1" x14ac:dyDescent="0.25">
      <c r="A4" s="108" t="s">
        <v>0</v>
      </c>
      <c r="B4" s="109"/>
      <c r="C4" s="109"/>
      <c r="D4" s="109"/>
      <c r="E4" s="109"/>
      <c r="F4" s="109"/>
      <c r="G4" s="109"/>
      <c r="H4" s="109"/>
      <c r="I4" s="109"/>
      <c r="J4" s="109"/>
      <c r="K4" s="109"/>
      <c r="L4" s="109"/>
      <c r="M4" s="109"/>
      <c r="N4" s="109"/>
      <c r="O4" s="109"/>
      <c r="P4" s="109"/>
      <c r="Q4" s="109"/>
      <c r="R4" s="109"/>
      <c r="S4" s="109"/>
      <c r="T4" s="109"/>
      <c r="U4" s="109"/>
      <c r="V4" s="110"/>
      <c r="W4" s="119" t="s">
        <v>1</v>
      </c>
      <c r="X4" s="120"/>
      <c r="Y4" s="120"/>
      <c r="Z4" s="120"/>
      <c r="AA4" s="121"/>
      <c r="AB4" s="108" t="s">
        <v>2</v>
      </c>
      <c r="AC4" s="109"/>
      <c r="AD4" s="109"/>
      <c r="AE4" s="109"/>
      <c r="AF4" s="109"/>
      <c r="AG4" s="110"/>
      <c r="AH4" s="8"/>
      <c r="AI4" s="8"/>
      <c r="AJ4" s="8"/>
      <c r="AK4" s="6"/>
    </row>
    <row r="5" spans="1:37" s="9" customFormat="1" ht="12.75" customHeight="1" x14ac:dyDescent="0.25">
      <c r="A5" s="102" t="s">
        <v>3</v>
      </c>
      <c r="B5" s="103"/>
      <c r="C5" s="103"/>
      <c r="D5" s="103"/>
      <c r="E5" s="103"/>
      <c r="F5" s="103"/>
      <c r="G5" s="103"/>
      <c r="H5" s="103"/>
      <c r="I5" s="103"/>
      <c r="J5" s="103"/>
      <c r="K5" s="103"/>
      <c r="L5" s="103"/>
      <c r="M5" s="103"/>
      <c r="N5" s="103"/>
      <c r="O5" s="103"/>
      <c r="P5" s="103"/>
      <c r="Q5" s="103"/>
      <c r="R5" s="103"/>
      <c r="S5" s="103"/>
      <c r="T5" s="103"/>
      <c r="U5" s="103"/>
      <c r="V5" s="104"/>
      <c r="W5" s="102" t="s">
        <v>17</v>
      </c>
      <c r="X5" s="103"/>
      <c r="Y5" s="103"/>
      <c r="Z5" s="103"/>
      <c r="AA5" s="104"/>
      <c r="AB5" s="102" t="s">
        <v>301</v>
      </c>
      <c r="AC5" s="103"/>
      <c r="AD5" s="103"/>
      <c r="AE5" s="103"/>
      <c r="AF5" s="103"/>
      <c r="AG5" s="104"/>
      <c r="AH5" s="88"/>
      <c r="AI5" s="88"/>
      <c r="AJ5" s="88"/>
      <c r="AK5" s="88"/>
    </row>
    <row r="6" spans="1:37" s="29" customFormat="1" ht="11.1" customHeight="1" x14ac:dyDescent="0.25">
      <c r="A6" s="119" t="s">
        <v>4</v>
      </c>
      <c r="B6" s="120"/>
      <c r="C6" s="120"/>
      <c r="D6" s="121"/>
      <c r="E6" s="119" t="s">
        <v>5</v>
      </c>
      <c r="F6" s="120"/>
      <c r="G6" s="120"/>
      <c r="H6" s="120"/>
      <c r="I6" s="120"/>
      <c r="J6" s="120"/>
      <c r="K6" s="120"/>
      <c r="L6" s="120"/>
      <c r="M6" s="120"/>
      <c r="N6" s="120"/>
      <c r="O6" s="120"/>
      <c r="P6" s="120"/>
      <c r="Q6" s="120"/>
      <c r="R6" s="120"/>
      <c r="S6" s="120"/>
      <c r="T6" s="120"/>
      <c r="U6" s="120"/>
      <c r="V6" s="121"/>
      <c r="W6" s="108" t="s">
        <v>6</v>
      </c>
      <c r="X6" s="109"/>
      <c r="Y6" s="109"/>
      <c r="Z6" s="109"/>
      <c r="AA6" s="110"/>
      <c r="AB6" s="119"/>
      <c r="AC6" s="120"/>
      <c r="AD6" s="121"/>
      <c r="AE6" s="119" t="s">
        <v>7</v>
      </c>
      <c r="AF6" s="120"/>
      <c r="AG6" s="121"/>
      <c r="AH6" s="6"/>
      <c r="AI6" s="6"/>
      <c r="AJ6" s="6"/>
      <c r="AK6" s="6"/>
    </row>
    <row r="7" spans="1:37" s="9" customFormat="1" ht="12.75" customHeight="1" x14ac:dyDescent="0.25">
      <c r="A7" s="102" t="str">
        <f ca="1" xml:space="preserve"> IFERROR(IF(alvDocProperty("MXName")="","TBD",alvDocProperty("MXName")),"TBD")</f>
        <v>TBD</v>
      </c>
      <c r="B7" s="103"/>
      <c r="C7" s="103"/>
      <c r="D7" s="104"/>
      <c r="E7" s="102" t="s">
        <v>8</v>
      </c>
      <c r="F7" s="103"/>
      <c r="G7" s="103"/>
      <c r="H7" s="103"/>
      <c r="I7" s="103"/>
      <c r="J7" s="103"/>
      <c r="K7" s="103"/>
      <c r="L7" s="103"/>
      <c r="M7" s="103"/>
      <c r="N7" s="103"/>
      <c r="O7" s="103"/>
      <c r="P7" s="103"/>
      <c r="Q7" s="103"/>
      <c r="R7" s="103"/>
      <c r="S7" s="103"/>
      <c r="T7" s="103"/>
      <c r="U7" s="103"/>
      <c r="V7" s="104"/>
      <c r="W7" s="102" t="str">
        <f ca="1" xml:space="preserve"> IFERROR(IF(alvDocProperty("MXDocTemplate_Name")="","SW04TEM001",alvDocProperty("MXDocTemplate_Name")),"SW04TEM001")</f>
        <v>SW04TEM001</v>
      </c>
      <c r="X7" s="103"/>
      <c r="Y7" s="103"/>
      <c r="Z7" s="103"/>
      <c r="AA7" s="104"/>
      <c r="AB7" s="102"/>
      <c r="AC7" s="103"/>
      <c r="AD7" s="104"/>
      <c r="AE7" s="102">
        <v>1.7</v>
      </c>
      <c r="AF7" s="103"/>
      <c r="AG7" s="104"/>
      <c r="AH7" s="88"/>
      <c r="AI7" s="88"/>
      <c r="AJ7" s="88"/>
      <c r="AK7" s="88"/>
    </row>
    <row r="8" spans="1:37" s="9" customFormat="1" x14ac:dyDescent="0.25">
      <c r="A8" s="30"/>
      <c r="B8" s="30"/>
      <c r="C8" s="30"/>
      <c r="D8" s="30"/>
      <c r="E8" s="30"/>
      <c r="F8" s="30"/>
      <c r="G8" s="30"/>
      <c r="H8" s="30"/>
      <c r="I8" s="30"/>
      <c r="J8" s="30"/>
      <c r="K8" s="30"/>
      <c r="L8" s="30"/>
      <c r="M8" s="30"/>
      <c r="N8" s="30"/>
      <c r="O8" s="30"/>
      <c r="P8" s="30"/>
      <c r="Q8" s="30"/>
      <c r="R8" s="30"/>
      <c r="S8" s="30"/>
      <c r="T8" s="30"/>
      <c r="U8" s="30"/>
      <c r="V8" s="30"/>
      <c r="W8" s="31"/>
      <c r="X8" s="31"/>
      <c r="Y8" s="31"/>
      <c r="Z8" s="31"/>
      <c r="AA8" s="31"/>
      <c r="AB8" s="30"/>
      <c r="AC8" s="30"/>
      <c r="AD8" s="30"/>
      <c r="AE8" s="30"/>
      <c r="AF8" s="30"/>
      <c r="AG8" s="30"/>
      <c r="AH8" s="88"/>
      <c r="AI8" s="88"/>
      <c r="AJ8" s="88"/>
      <c r="AK8" s="88"/>
    </row>
    <row r="9" spans="1:37" ht="11.1" customHeight="1" x14ac:dyDescent="0.25">
      <c r="A9" s="113" t="s">
        <v>9</v>
      </c>
      <c r="B9" s="114"/>
      <c r="C9" s="114"/>
      <c r="D9" s="114"/>
      <c r="E9" s="114"/>
      <c r="F9" s="114"/>
      <c r="G9" s="114"/>
      <c r="H9" s="114"/>
      <c r="I9" s="114"/>
      <c r="J9" s="114"/>
      <c r="K9" s="115"/>
      <c r="L9" s="113" t="s">
        <v>10</v>
      </c>
      <c r="M9" s="114"/>
      <c r="N9" s="114"/>
      <c r="O9" s="114"/>
      <c r="P9" s="114"/>
      <c r="Q9" s="114"/>
      <c r="R9" s="114"/>
      <c r="S9" s="114"/>
      <c r="T9" s="114"/>
      <c r="U9" s="114"/>
      <c r="V9" s="115"/>
      <c r="W9" s="113" t="s">
        <v>11</v>
      </c>
      <c r="X9" s="114"/>
      <c r="Y9" s="114"/>
      <c r="Z9" s="114"/>
      <c r="AA9" s="114"/>
      <c r="AB9" s="114"/>
      <c r="AC9" s="114"/>
      <c r="AD9" s="114"/>
      <c r="AE9" s="114"/>
      <c r="AF9" s="114"/>
      <c r="AG9" s="115"/>
      <c r="AH9" s="10"/>
      <c r="AI9" s="10"/>
    </row>
    <row r="10" spans="1:37" s="32" customFormat="1" ht="28.5" customHeight="1" x14ac:dyDescent="0.25">
      <c r="A10" s="111" t="s">
        <v>12</v>
      </c>
      <c r="B10" s="112"/>
      <c r="C10" s="112"/>
      <c r="D10" s="112"/>
      <c r="E10" s="112"/>
      <c r="F10" s="132" t="s">
        <v>302</v>
      </c>
      <c r="G10" s="132"/>
      <c r="H10" s="132"/>
      <c r="I10" s="132"/>
      <c r="J10" s="132"/>
      <c r="K10" s="133"/>
      <c r="L10" s="116" t="s">
        <v>14</v>
      </c>
      <c r="M10" s="117"/>
      <c r="N10" s="117"/>
      <c r="O10" s="117"/>
      <c r="P10" s="117"/>
      <c r="Q10" s="117"/>
      <c r="R10" s="117"/>
      <c r="S10" s="117"/>
      <c r="T10" s="117"/>
      <c r="U10" s="117"/>
      <c r="V10" s="118"/>
      <c r="W10" s="116" t="s">
        <v>14</v>
      </c>
      <c r="X10" s="117"/>
      <c r="Y10" s="117"/>
      <c r="Z10" s="117"/>
      <c r="AA10" s="117"/>
      <c r="AB10" s="117"/>
      <c r="AC10" s="117"/>
      <c r="AD10" s="117"/>
      <c r="AE10" s="117"/>
      <c r="AF10" s="117"/>
      <c r="AG10" s="118"/>
      <c r="AH10" s="37"/>
      <c r="AI10" s="37"/>
      <c r="AJ10" s="37"/>
      <c r="AK10" s="37"/>
    </row>
    <row r="11" spans="1:37" s="38" customFormat="1" ht="4.5" customHeight="1" x14ac:dyDescent="0.25">
      <c r="A11" s="33"/>
      <c r="B11" s="34"/>
      <c r="C11" s="34"/>
      <c r="D11" s="34"/>
      <c r="E11" s="34"/>
      <c r="F11" s="34"/>
      <c r="G11" s="34"/>
      <c r="H11" s="34"/>
      <c r="I11" s="34"/>
      <c r="J11" s="34"/>
      <c r="K11" s="34"/>
      <c r="L11" s="35"/>
      <c r="M11" s="34"/>
      <c r="N11" s="34"/>
      <c r="O11" s="34"/>
      <c r="P11" s="34"/>
      <c r="Q11" s="34"/>
      <c r="R11" s="34"/>
      <c r="S11" s="34"/>
      <c r="T11" s="34"/>
      <c r="U11" s="34"/>
      <c r="V11" s="34"/>
      <c r="W11" s="35"/>
      <c r="X11" s="34"/>
      <c r="Y11" s="34"/>
      <c r="Z11" s="34"/>
      <c r="AA11" s="34"/>
      <c r="AB11" s="34"/>
      <c r="AC11" s="34"/>
      <c r="AD11" s="34"/>
      <c r="AE11" s="34"/>
      <c r="AF11" s="34"/>
      <c r="AG11" s="36"/>
      <c r="AH11" s="37"/>
      <c r="AI11" s="37"/>
    </row>
    <row r="12" spans="1:37" ht="11.1" customHeight="1" x14ac:dyDescent="0.25">
      <c r="A12" s="105" t="s">
        <v>15</v>
      </c>
      <c r="B12" s="106"/>
      <c r="C12" s="106"/>
      <c r="D12" s="106"/>
      <c r="E12" s="106"/>
      <c r="F12" s="106"/>
      <c r="G12" s="106"/>
      <c r="H12" s="106"/>
      <c r="I12" s="106"/>
      <c r="J12" s="106"/>
      <c r="K12" s="106"/>
      <c r="L12" s="106"/>
      <c r="M12" s="106"/>
      <c r="N12" s="106"/>
      <c r="O12" s="106"/>
      <c r="P12" s="106"/>
      <c r="Q12" s="106"/>
      <c r="R12" s="106"/>
      <c r="S12" s="106"/>
      <c r="T12" s="106"/>
      <c r="U12" s="106"/>
      <c r="V12" s="106"/>
      <c r="W12" s="106"/>
      <c r="X12" s="106"/>
      <c r="Y12" s="106"/>
      <c r="Z12" s="106"/>
      <c r="AA12" s="106"/>
      <c r="AB12" s="106"/>
      <c r="AC12" s="106"/>
      <c r="AD12" s="106"/>
      <c r="AE12" s="106"/>
      <c r="AF12" s="106"/>
      <c r="AG12" s="107"/>
      <c r="AH12" s="10"/>
      <c r="AI12" s="10"/>
      <c r="AJ12" s="10"/>
      <c r="AK12" s="10"/>
    </row>
    <row r="13" spans="1:37" s="32" customFormat="1" ht="28.5" customHeight="1" x14ac:dyDescent="0.25">
      <c r="A13" s="116" t="s">
        <v>14</v>
      </c>
      <c r="B13" s="117"/>
      <c r="C13" s="117"/>
      <c r="D13" s="117"/>
      <c r="E13" s="117"/>
      <c r="F13" s="117"/>
      <c r="G13" s="117"/>
      <c r="H13" s="117"/>
      <c r="I13" s="117"/>
      <c r="J13" s="117"/>
      <c r="K13" s="118"/>
      <c r="L13" s="116" t="s">
        <v>14</v>
      </c>
      <c r="M13" s="117"/>
      <c r="N13" s="117"/>
      <c r="O13" s="117"/>
      <c r="P13" s="117"/>
      <c r="Q13" s="117"/>
      <c r="R13" s="117"/>
      <c r="S13" s="117"/>
      <c r="T13" s="117"/>
      <c r="U13" s="117"/>
      <c r="V13" s="118"/>
      <c r="W13" s="116" t="s">
        <v>14</v>
      </c>
      <c r="X13" s="117"/>
      <c r="Y13" s="117"/>
      <c r="Z13" s="117"/>
      <c r="AA13" s="117"/>
      <c r="AB13" s="117"/>
      <c r="AC13" s="117"/>
      <c r="AD13" s="117"/>
      <c r="AE13" s="117"/>
      <c r="AF13" s="117"/>
      <c r="AG13" s="118"/>
      <c r="AH13" s="37"/>
      <c r="AI13" s="37"/>
      <c r="AJ13" s="37"/>
      <c r="AK13" s="37"/>
    </row>
    <row r="14" spans="1:37" s="38" customFormat="1" ht="4.5" customHeight="1" x14ac:dyDescent="0.25">
      <c r="A14" s="35"/>
      <c r="B14" s="34"/>
      <c r="C14" s="34"/>
      <c r="D14" s="34"/>
      <c r="E14" s="34"/>
      <c r="F14" s="34"/>
      <c r="G14" s="34"/>
      <c r="H14" s="34"/>
      <c r="I14" s="34"/>
      <c r="J14" s="34"/>
      <c r="K14" s="34"/>
      <c r="L14" s="35"/>
      <c r="M14" s="34"/>
      <c r="N14" s="34"/>
      <c r="O14" s="34"/>
      <c r="P14" s="34"/>
      <c r="Q14" s="34"/>
      <c r="R14" s="34"/>
      <c r="S14" s="34"/>
      <c r="T14" s="34"/>
      <c r="U14" s="34"/>
      <c r="V14" s="34"/>
      <c r="W14" s="35"/>
      <c r="X14" s="34"/>
      <c r="Y14" s="34"/>
      <c r="Z14" s="34"/>
      <c r="AA14" s="34"/>
      <c r="AB14" s="34"/>
      <c r="AC14" s="34"/>
      <c r="AD14" s="34"/>
      <c r="AE14" s="34"/>
      <c r="AF14" s="34"/>
      <c r="AG14" s="34"/>
      <c r="AH14" s="37"/>
      <c r="AI14" s="37"/>
    </row>
    <row r="15" spans="1:37" s="12" customFormat="1" ht="37.5" customHeight="1" x14ac:dyDescent="0.25">
      <c r="A15" s="127" t="s">
        <v>16</v>
      </c>
      <c r="B15" s="127"/>
      <c r="C15" s="127"/>
      <c r="D15" s="127"/>
      <c r="E15" s="124" t="s">
        <v>303</v>
      </c>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6"/>
      <c r="AH15" s="10"/>
      <c r="AI15" s="10"/>
      <c r="AJ15" s="10"/>
      <c r="AK15" s="10"/>
    </row>
    <row r="16" spans="1:37" s="12" customFormat="1" ht="37.5" customHeight="1" x14ac:dyDescent="0.25">
      <c r="A16" s="128"/>
      <c r="B16" s="128"/>
      <c r="C16" s="128"/>
      <c r="D16" s="128"/>
      <c r="E16" s="129"/>
      <c r="F16" s="130"/>
      <c r="G16" s="130"/>
      <c r="H16" s="130"/>
      <c r="I16" s="130"/>
      <c r="J16" s="130"/>
      <c r="K16" s="130"/>
      <c r="L16" s="130"/>
      <c r="M16" s="130"/>
      <c r="N16" s="130"/>
      <c r="O16" s="130"/>
      <c r="P16" s="130"/>
      <c r="Q16" s="130"/>
      <c r="R16" s="130"/>
      <c r="S16" s="130"/>
      <c r="T16" s="130"/>
      <c r="U16" s="130"/>
      <c r="V16" s="130"/>
      <c r="W16" s="130"/>
      <c r="X16" s="130"/>
      <c r="Y16" s="130"/>
      <c r="Z16" s="130"/>
      <c r="AA16" s="130"/>
      <c r="AB16" s="130"/>
      <c r="AC16" s="130"/>
      <c r="AD16" s="130"/>
      <c r="AE16" s="130"/>
      <c r="AF16" s="130"/>
      <c r="AG16" s="131"/>
      <c r="AH16" s="10"/>
      <c r="AI16" s="10"/>
      <c r="AJ16" s="10"/>
      <c r="AK16" s="10"/>
    </row>
    <row r="17" spans="1:37" s="12" customFormat="1" x14ac:dyDescent="0.25">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row>
    <row r="18" spans="1:37" s="12" customFormat="1" x14ac:dyDescent="0.25">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row>
    <row r="19" spans="1:37" s="12" customFormat="1" x14ac:dyDescent="0.25">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row>
    <row r="20" spans="1:37" s="12" customFormat="1" x14ac:dyDescent="0.25">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row>
    <row r="21" spans="1:37" s="12" customFormat="1" ht="15.75" customHeight="1" x14ac:dyDescent="0.25">
      <c r="A21" s="10"/>
      <c r="B21" s="10"/>
      <c r="C21" s="10"/>
      <c r="D21" s="10"/>
      <c r="E21" s="10"/>
      <c r="F21" s="10"/>
      <c r="G21" s="10"/>
      <c r="H21" s="10"/>
      <c r="I21" s="10"/>
      <c r="J21" s="10"/>
      <c r="K21" s="10"/>
      <c r="L21" s="10"/>
      <c r="M21" s="10"/>
      <c r="N21" s="10"/>
      <c r="O21" s="10"/>
      <c r="P21" s="10"/>
      <c r="Q21" s="39"/>
      <c r="R21" s="10"/>
      <c r="S21" s="10"/>
      <c r="T21" s="10"/>
      <c r="U21" s="10"/>
      <c r="V21" s="10"/>
      <c r="W21" s="10"/>
      <c r="X21" s="10"/>
      <c r="Y21" s="10"/>
      <c r="Z21" s="10"/>
      <c r="AA21" s="10"/>
      <c r="AB21" s="10"/>
      <c r="AC21" s="10"/>
      <c r="AD21" s="10"/>
      <c r="AE21" s="10"/>
      <c r="AF21" s="10"/>
      <c r="AG21" s="10"/>
      <c r="AH21" s="10"/>
      <c r="AI21" s="10"/>
      <c r="AJ21" s="10"/>
      <c r="AK21" s="10"/>
    </row>
    <row r="22" spans="1:37" s="12" customFormat="1" ht="12" customHeight="1" x14ac:dyDescent="0.25">
      <c r="A22" s="10"/>
      <c r="B22" s="10"/>
      <c r="C22" s="10"/>
      <c r="D22" s="10"/>
      <c r="E22" s="10"/>
      <c r="F22" s="10"/>
      <c r="G22" s="10"/>
      <c r="H22" s="10"/>
      <c r="I22" s="10"/>
      <c r="J22" s="10"/>
      <c r="K22" s="10"/>
      <c r="L22" s="10"/>
      <c r="M22" s="10"/>
      <c r="N22" s="10"/>
      <c r="O22" s="10"/>
      <c r="P22" s="10"/>
      <c r="Q22" s="39"/>
      <c r="R22" s="10"/>
      <c r="S22" s="10"/>
      <c r="T22" s="10"/>
      <c r="U22" s="10"/>
      <c r="V22" s="10"/>
      <c r="W22" s="10"/>
      <c r="X22" s="10"/>
      <c r="Y22" s="10"/>
      <c r="Z22" s="10"/>
      <c r="AA22" s="10"/>
      <c r="AB22" s="10"/>
      <c r="AC22" s="10"/>
      <c r="AD22" s="10"/>
      <c r="AE22" s="10"/>
      <c r="AF22" s="10"/>
      <c r="AG22" s="10"/>
      <c r="AH22" s="10"/>
      <c r="AI22" s="10"/>
      <c r="AJ22" s="10"/>
      <c r="AK22" s="10"/>
    </row>
    <row r="23" spans="1:37" s="12" customFormat="1" ht="60" customHeight="1" x14ac:dyDescent="0.25">
      <c r="A23" s="122" t="str">
        <f>MXTitle</f>
        <v>MMG - Software Integration Test Specification Report.xls</v>
      </c>
      <c r="B23" s="123"/>
      <c r="C23" s="123"/>
      <c r="D23" s="123"/>
      <c r="E23" s="123"/>
      <c r="F23" s="123"/>
      <c r="G23" s="123"/>
      <c r="H23" s="123"/>
      <c r="I23" s="123"/>
      <c r="J23" s="123"/>
      <c r="K23" s="123"/>
      <c r="L23" s="123"/>
      <c r="M23" s="123"/>
      <c r="N23" s="123"/>
      <c r="O23" s="123"/>
      <c r="P23" s="123"/>
      <c r="Q23" s="123"/>
      <c r="R23" s="123"/>
      <c r="S23" s="123"/>
      <c r="T23" s="123"/>
      <c r="U23" s="123"/>
      <c r="V23" s="123"/>
      <c r="W23" s="123"/>
      <c r="X23" s="123"/>
      <c r="Y23" s="123"/>
      <c r="Z23" s="123"/>
      <c r="AA23" s="123"/>
      <c r="AB23" s="123"/>
      <c r="AC23" s="123"/>
      <c r="AD23" s="123"/>
      <c r="AE23" s="123"/>
      <c r="AF23" s="123"/>
      <c r="AG23" s="123"/>
      <c r="AH23" s="10"/>
      <c r="AI23" s="10"/>
      <c r="AJ23" s="10"/>
      <c r="AK23" s="10"/>
    </row>
    <row r="24" spans="1:37" s="12" customFormat="1" ht="24.6" x14ac:dyDescent="0.25">
      <c r="A24" s="10"/>
      <c r="B24" s="10"/>
      <c r="C24" s="10"/>
      <c r="D24" s="10"/>
      <c r="E24" s="10"/>
      <c r="F24" s="10"/>
      <c r="G24" s="10"/>
      <c r="H24" s="10"/>
      <c r="I24" s="10"/>
      <c r="J24" s="10"/>
      <c r="K24" s="10"/>
      <c r="L24" s="10"/>
      <c r="M24" s="10"/>
      <c r="N24" s="10"/>
      <c r="O24" s="10"/>
      <c r="P24" s="10"/>
      <c r="Q24" s="39"/>
      <c r="R24" s="10"/>
      <c r="S24" s="10"/>
      <c r="T24" s="10"/>
      <c r="U24" s="10"/>
      <c r="V24" s="10"/>
      <c r="W24" s="10"/>
      <c r="X24" s="10"/>
      <c r="Y24" s="10"/>
      <c r="Z24" s="10"/>
      <c r="AA24" s="10"/>
      <c r="AB24" s="10"/>
      <c r="AC24" s="10"/>
      <c r="AD24" s="10"/>
      <c r="AE24" s="10"/>
      <c r="AF24" s="10"/>
      <c r="AG24" s="10"/>
      <c r="AH24" s="10"/>
      <c r="AI24" s="10"/>
      <c r="AJ24" s="10"/>
      <c r="AK24" s="10"/>
    </row>
    <row r="25" spans="1:37" s="12" customFormat="1" x14ac:dyDescent="0.25">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row>
    <row r="26" spans="1:37" x14ac:dyDescent="0.25"/>
  </sheetData>
  <sheetProtection formatCells="0" formatRows="0" insertColumns="0" insertRows="0" insertHyperlinks="0" deleteRows="0" selectLockedCells="1" sort="0" autoFilter="0" pivotTables="0"/>
  <dataConsolidate/>
  <mergeCells count="31">
    <mergeCell ref="AB6:AD6"/>
    <mergeCell ref="AE6:AG6"/>
    <mergeCell ref="W7:AA7"/>
    <mergeCell ref="L13:V13"/>
    <mergeCell ref="A23:AG23"/>
    <mergeCell ref="A13:K13"/>
    <mergeCell ref="AB7:AD7"/>
    <mergeCell ref="A9:K9"/>
    <mergeCell ref="W13:AG13"/>
    <mergeCell ref="E15:AG15"/>
    <mergeCell ref="E7:V7"/>
    <mergeCell ref="A15:D16"/>
    <mergeCell ref="E16:AG16"/>
    <mergeCell ref="W10:AG10"/>
    <mergeCell ref="F10:K10"/>
    <mergeCell ref="A5:V5"/>
    <mergeCell ref="A7:D7"/>
    <mergeCell ref="A12:AG12"/>
    <mergeCell ref="A4:V4"/>
    <mergeCell ref="A10:E10"/>
    <mergeCell ref="L9:V9"/>
    <mergeCell ref="W9:AG9"/>
    <mergeCell ref="L10:V10"/>
    <mergeCell ref="AE7:AG7"/>
    <mergeCell ref="A6:D6"/>
    <mergeCell ref="AB4:AG4"/>
    <mergeCell ref="AB5:AG5"/>
    <mergeCell ref="W4:AA4"/>
    <mergeCell ref="W5:AA5"/>
    <mergeCell ref="W6:AA6"/>
    <mergeCell ref="E6:V6"/>
  </mergeCells>
  <phoneticPr fontId="3" type="noConversion"/>
  <conditionalFormatting sqref="W5:AA5">
    <cfRule type="cellIs" dxfId="321" priority="1" operator="equal">
      <formula>"In-Work"</formula>
    </cfRule>
    <cfRule type="cellIs" dxfId="320" priority="2" stopIfTrue="1" operator="equal">
      <formula>"draft"</formula>
    </cfRule>
    <cfRule type="cellIs" dxfId="319" priority="3" operator="equal">
      <formula>"In-Work"</formula>
    </cfRule>
    <cfRule type="cellIs" dxfId="318" priority="4" stopIfTrue="1" operator="equal">
      <formula>"draft"</formula>
    </cfRule>
    <cfRule type="cellIs" dxfId="317" priority="5" operator="equal">
      <formula>"In-Work"</formula>
    </cfRule>
    <cfRule type="cellIs" dxfId="316" priority="6" stopIfTrue="1" operator="equal">
      <formula>"draft"</formula>
    </cfRule>
    <cfRule type="cellIs" dxfId="315" priority="7" operator="equal">
      <formula>"In-Work"</formula>
    </cfRule>
    <cfRule type="cellIs" dxfId="314" priority="8" stopIfTrue="1" operator="equal">
      <formula>"draft"</formula>
    </cfRule>
    <cfRule type="cellIs" dxfId="313" priority="9" operator="equal">
      <formula>"In-Work"</formula>
    </cfRule>
    <cfRule type="cellIs" dxfId="312" priority="10" stopIfTrue="1" operator="equal">
      <formula>"draft"</formula>
    </cfRule>
    <cfRule type="cellIs" dxfId="311" priority="11" operator="equal">
      <formula>"In-Work"</formula>
    </cfRule>
    <cfRule type="cellIs" dxfId="310" priority="12" stopIfTrue="1" operator="equal">
      <formula>"draft"</formula>
    </cfRule>
    <cfRule type="cellIs" dxfId="309" priority="13" operator="equal">
      <formula>"In-Work"</formula>
    </cfRule>
    <cfRule type="cellIs" dxfId="308" priority="14" stopIfTrue="1" operator="equal">
      <formula>"draft"</formula>
    </cfRule>
    <cfRule type="cellIs" dxfId="307" priority="15" operator="equal">
      <formula>"In-Work"</formula>
    </cfRule>
    <cfRule type="cellIs" dxfId="306" priority="16" stopIfTrue="1" operator="equal">
      <formula>"draft"</formula>
    </cfRule>
    <cfRule type="cellIs" dxfId="305" priority="17" operator="equal">
      <formula>"In-Work"</formula>
    </cfRule>
    <cfRule type="cellIs" dxfId="304" priority="18" stopIfTrue="1" operator="equal">
      <formula>"draft"</formula>
    </cfRule>
    <cfRule type="cellIs" dxfId="303" priority="19" operator="equal">
      <formula>"In-Work"</formula>
    </cfRule>
    <cfRule type="cellIs" dxfId="302" priority="20" stopIfTrue="1" operator="equal">
      <formula>"draft"</formula>
    </cfRule>
    <cfRule type="cellIs" dxfId="301" priority="21" operator="equal">
      <formula>"In-Work"</formula>
    </cfRule>
    <cfRule type="cellIs" dxfId="300" priority="22" stopIfTrue="1" operator="equal">
      <formula>"draft"</formula>
    </cfRule>
    <cfRule type="cellIs" dxfId="299" priority="23" operator="equal">
      <formula>"In-Work"</formula>
    </cfRule>
    <cfRule type="cellIs" dxfId="298" priority="24" stopIfTrue="1" operator="equal">
      <formula>"draft"</formula>
    </cfRule>
    <cfRule type="cellIs" dxfId="297" priority="25" operator="equal">
      <formula>"In-Work"</formula>
    </cfRule>
    <cfRule type="cellIs" dxfId="296" priority="26" stopIfTrue="1" operator="equal">
      <formula>"draft"</formula>
    </cfRule>
    <cfRule type="cellIs" dxfId="295" priority="27" operator="equal">
      <formula>"In-Work"</formula>
    </cfRule>
    <cfRule type="cellIs" dxfId="294" priority="28" stopIfTrue="1" operator="equal">
      <formula>"draft"</formula>
    </cfRule>
    <cfRule type="cellIs" dxfId="293" priority="29" operator="equal">
      <formula>"In-Work"</formula>
    </cfRule>
    <cfRule type="cellIs" dxfId="292" priority="30" stopIfTrue="1" operator="equal">
      <formula>"draft"</formula>
    </cfRule>
    <cfRule type="cellIs" dxfId="291" priority="31" operator="equal">
      <formula>"In-Work"</formula>
    </cfRule>
    <cfRule type="cellIs" dxfId="290" priority="32" stopIfTrue="1" operator="equal">
      <formula>"draft"</formula>
    </cfRule>
    <cfRule type="cellIs" dxfId="289" priority="33" operator="equal">
      <formula>"In-Work"</formula>
    </cfRule>
    <cfRule type="cellIs" dxfId="288" priority="34" stopIfTrue="1" operator="equal">
      <formula>"draft"</formula>
    </cfRule>
    <cfRule type="cellIs" dxfId="287" priority="35" operator="equal">
      <formula>"In-Work"</formula>
    </cfRule>
    <cfRule type="cellIs" dxfId="286" priority="36" stopIfTrue="1" operator="equal">
      <formula>"draft"</formula>
    </cfRule>
  </conditionalFormatting>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Reserved&amp;LTBD ver 1.7&amp;R&amp;P</oddFooter>
  </headerFooter>
  <ignoredErrors>
    <ignoredError sqref="A23:IV23" unlockedFormula="1"/>
    <ignoredError sqref="AD3" evalError="1"/>
  </ignoredError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59999389629810485"/>
  </sheetPr>
  <dimension ref="A1:BH175"/>
  <sheetViews>
    <sheetView showGridLines="0" zoomScaleNormal="100" workbookViewId="0">
      <selection activeCell="L10" sqref="L10"/>
    </sheetView>
  </sheetViews>
  <sheetFormatPr defaultColWidth="0" defaultRowHeight="13.2" zeroHeight="1" x14ac:dyDescent="0.25"/>
  <cols>
    <col min="1" max="33" width="2.88671875" style="11" customWidth="1"/>
    <col min="34" max="34" width="1.33203125" style="11" customWidth="1"/>
    <col min="35" max="60" width="3.33203125" style="11" hidden="1" customWidth="1"/>
    <col min="61" max="16384" width="0" style="11" hidden="1"/>
  </cols>
  <sheetData>
    <row r="1" spans="1:37" s="1" customFormat="1" x14ac:dyDescent="0.25">
      <c r="C1" s="2"/>
      <c r="D1" s="2"/>
      <c r="E1" s="2"/>
      <c r="F1" s="2"/>
      <c r="G1" s="3"/>
      <c r="H1" s="4"/>
      <c r="I1" s="4"/>
      <c r="J1" s="4"/>
      <c r="K1" s="4"/>
      <c r="L1" s="4"/>
      <c r="M1" s="4"/>
      <c r="N1" s="4"/>
      <c r="O1" s="4"/>
      <c r="P1" s="5"/>
      <c r="Q1" s="5"/>
      <c r="R1" s="5"/>
      <c r="S1" s="5"/>
      <c r="T1" s="5"/>
      <c r="U1" s="5"/>
      <c r="V1" s="5"/>
      <c r="W1" s="5"/>
      <c r="X1" s="5"/>
      <c r="Y1" s="5"/>
      <c r="Z1" s="5"/>
      <c r="AA1" s="5"/>
      <c r="AB1" s="5"/>
      <c r="AC1" s="5"/>
      <c r="AD1" s="5"/>
      <c r="AE1" s="5"/>
      <c r="AF1" s="5"/>
      <c r="AG1" s="5"/>
      <c r="AH1" s="5"/>
      <c r="AI1" s="5"/>
      <c r="AJ1" s="5"/>
      <c r="AK1" s="5"/>
    </row>
    <row r="2" spans="1:37" s="1" customFormat="1" x14ac:dyDescent="0.25">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row>
    <row r="3" spans="1:37" s="1" customFormat="1" x14ac:dyDescent="0.25">
      <c r="C3" s="6"/>
      <c r="D3" s="6"/>
      <c r="E3" s="6"/>
      <c r="F3" s="6"/>
      <c r="G3" s="6"/>
      <c r="H3" s="6"/>
      <c r="I3" s="6"/>
      <c r="J3" s="6"/>
      <c r="K3" s="6"/>
      <c r="L3" s="6"/>
      <c r="M3" s="6"/>
      <c r="N3" s="6"/>
      <c r="O3" s="6"/>
      <c r="P3" s="6"/>
      <c r="Q3" s="6"/>
      <c r="R3" s="6"/>
      <c r="S3" s="6"/>
      <c r="T3" s="6"/>
      <c r="U3" s="6"/>
      <c r="V3" s="6"/>
      <c r="W3" s="6"/>
      <c r="X3" s="6"/>
      <c r="Y3" s="6"/>
      <c r="Z3" s="6"/>
      <c r="AA3" s="6"/>
      <c r="AB3" s="6"/>
      <c r="AC3" s="6"/>
      <c r="AD3" s="7" t="str">
        <f ca="1">FileName</f>
        <v>MMG - Software Integration Test Specification Report.xlsm</v>
      </c>
      <c r="AE3" s="6"/>
      <c r="AF3" s="6"/>
      <c r="AG3" s="6"/>
      <c r="AH3" s="6"/>
      <c r="AI3" s="6"/>
      <c r="AJ3" s="6"/>
      <c r="AK3" s="6"/>
    </row>
    <row r="4" spans="1:37" s="1" customFormat="1" ht="11.1" customHeight="1" x14ac:dyDescent="0.25">
      <c r="A4" s="108" t="s">
        <v>0</v>
      </c>
      <c r="B4" s="109"/>
      <c r="C4" s="109"/>
      <c r="D4" s="109"/>
      <c r="E4" s="109"/>
      <c r="F4" s="109"/>
      <c r="G4" s="109"/>
      <c r="H4" s="109"/>
      <c r="I4" s="109"/>
      <c r="J4" s="109"/>
      <c r="K4" s="109"/>
      <c r="L4" s="109"/>
      <c r="M4" s="109"/>
      <c r="N4" s="109"/>
      <c r="O4" s="109"/>
      <c r="P4" s="109"/>
      <c r="Q4" s="109"/>
      <c r="R4" s="109"/>
      <c r="S4" s="109"/>
      <c r="T4" s="109"/>
      <c r="U4" s="109"/>
      <c r="V4" s="110"/>
      <c r="W4" s="158" t="s">
        <v>1</v>
      </c>
      <c r="X4" s="159"/>
      <c r="Y4" s="159"/>
      <c r="Z4" s="159"/>
      <c r="AA4" s="160"/>
      <c r="AB4" s="108" t="s">
        <v>2</v>
      </c>
      <c r="AC4" s="109"/>
      <c r="AD4" s="109"/>
      <c r="AE4" s="109"/>
      <c r="AF4" s="109"/>
      <c r="AG4" s="110"/>
      <c r="AH4" s="8"/>
      <c r="AI4" s="8"/>
      <c r="AJ4" s="8"/>
      <c r="AK4" s="6"/>
    </row>
    <row r="5" spans="1:37" s="9" customFormat="1" x14ac:dyDescent="0.25">
      <c r="A5" s="102" t="str">
        <f>MXAuthority</f>
        <v>254888 DAIMLER MER W174W178 EL SB ECU</v>
      </c>
      <c r="B5" s="103"/>
      <c r="C5" s="103"/>
      <c r="D5" s="103"/>
      <c r="E5" s="103"/>
      <c r="F5" s="103"/>
      <c r="G5" s="103"/>
      <c r="H5" s="103"/>
      <c r="I5" s="103"/>
      <c r="J5" s="103"/>
      <c r="K5" s="103"/>
      <c r="L5" s="103"/>
      <c r="M5" s="103"/>
      <c r="N5" s="103"/>
      <c r="O5" s="103"/>
      <c r="P5" s="103"/>
      <c r="Q5" s="103"/>
      <c r="R5" s="103"/>
      <c r="S5" s="103"/>
      <c r="T5" s="103"/>
      <c r="U5" s="103"/>
      <c r="V5" s="104"/>
      <c r="W5" s="161" t="s">
        <v>17</v>
      </c>
      <c r="X5" s="162"/>
      <c r="Y5" s="162"/>
      <c r="Z5" s="162"/>
      <c r="AA5" s="163"/>
      <c r="AB5" s="102" t="s">
        <v>301</v>
      </c>
      <c r="AC5" s="103"/>
      <c r="AD5" s="103"/>
      <c r="AE5" s="103"/>
      <c r="AF5" s="103"/>
      <c r="AG5" s="104"/>
      <c r="AH5" s="88"/>
      <c r="AI5" s="88"/>
      <c r="AJ5" s="88"/>
      <c r="AK5" s="88"/>
    </row>
    <row r="6" spans="1:37" s="1" customFormat="1" ht="11.1" customHeight="1" x14ac:dyDescent="0.25">
      <c r="A6" s="164" t="s">
        <v>4</v>
      </c>
      <c r="B6" s="165"/>
      <c r="C6" s="165"/>
      <c r="D6" s="166"/>
      <c r="E6" s="164" t="s">
        <v>5</v>
      </c>
      <c r="F6" s="165"/>
      <c r="G6" s="165"/>
      <c r="H6" s="165"/>
      <c r="I6" s="165"/>
      <c r="J6" s="165"/>
      <c r="K6" s="165"/>
      <c r="L6" s="165"/>
      <c r="M6" s="165"/>
      <c r="N6" s="165"/>
      <c r="O6" s="165"/>
      <c r="P6" s="165"/>
      <c r="Q6" s="165"/>
      <c r="R6" s="165"/>
      <c r="S6" s="165"/>
      <c r="T6" s="165"/>
      <c r="U6" s="165"/>
      <c r="V6" s="166"/>
      <c r="W6" s="108" t="s">
        <v>6</v>
      </c>
      <c r="X6" s="109"/>
      <c r="Y6" s="109"/>
      <c r="Z6" s="109"/>
      <c r="AA6" s="110"/>
      <c r="AB6" s="158"/>
      <c r="AC6" s="159"/>
      <c r="AD6" s="160"/>
      <c r="AE6" s="158" t="s">
        <v>7</v>
      </c>
      <c r="AF6" s="159"/>
      <c r="AG6" s="160"/>
      <c r="AH6" s="6"/>
      <c r="AI6" s="6"/>
      <c r="AJ6" s="6"/>
      <c r="AK6" s="6"/>
    </row>
    <row r="7" spans="1:37" s="9" customFormat="1" x14ac:dyDescent="0.25">
      <c r="A7" s="161" t="s">
        <v>19</v>
      </c>
      <c r="B7" s="162"/>
      <c r="C7" s="162"/>
      <c r="D7" s="163"/>
      <c r="E7" s="161" t="str">
        <f>MXTitle</f>
        <v>MMG - Software Integration Test Specification Report.xls</v>
      </c>
      <c r="F7" s="162"/>
      <c r="G7" s="162"/>
      <c r="H7" s="162"/>
      <c r="I7" s="162"/>
      <c r="J7" s="162"/>
      <c r="K7" s="162"/>
      <c r="L7" s="162"/>
      <c r="M7" s="162"/>
      <c r="N7" s="162"/>
      <c r="O7" s="162"/>
      <c r="P7" s="162"/>
      <c r="Q7" s="162"/>
      <c r="R7" s="162"/>
      <c r="S7" s="162"/>
      <c r="T7" s="162"/>
      <c r="U7" s="162"/>
      <c r="V7" s="163"/>
      <c r="W7" s="161" t="str">
        <f ca="1">TemplateRef</f>
        <v>SW04TEM001</v>
      </c>
      <c r="X7" s="162"/>
      <c r="Y7" s="162"/>
      <c r="Z7" s="162"/>
      <c r="AA7" s="163"/>
      <c r="AB7" s="161"/>
      <c r="AC7" s="162"/>
      <c r="AD7" s="163"/>
      <c r="AE7" s="161">
        <v>1.7</v>
      </c>
      <c r="AF7" s="162"/>
      <c r="AG7" s="163"/>
      <c r="AH7" s="88"/>
      <c r="AI7" s="88"/>
      <c r="AJ7" s="88"/>
      <c r="AK7" s="88"/>
    </row>
    <row r="8" spans="1:37" ht="11.1" customHeight="1" x14ac:dyDescent="0.25">
      <c r="A8" s="164" t="s">
        <v>20</v>
      </c>
      <c r="B8" s="165"/>
      <c r="C8" s="165"/>
      <c r="D8" s="165"/>
      <c r="E8" s="165"/>
      <c r="F8" s="165"/>
      <c r="G8" s="165"/>
      <c r="H8" s="165"/>
      <c r="I8" s="165"/>
      <c r="J8" s="165"/>
      <c r="K8" s="165"/>
      <c r="L8" s="165"/>
      <c r="M8" s="165"/>
      <c r="N8" s="165"/>
      <c r="O8" s="165"/>
      <c r="P8" s="165"/>
      <c r="Q8" s="165"/>
      <c r="R8" s="165"/>
      <c r="S8" s="165"/>
      <c r="T8" s="165"/>
      <c r="U8" s="165"/>
      <c r="V8" s="165"/>
      <c r="W8" s="165"/>
      <c r="X8" s="165"/>
      <c r="Y8" s="165"/>
      <c r="Z8" s="165"/>
      <c r="AA8" s="165"/>
      <c r="AB8" s="165"/>
      <c r="AC8" s="165"/>
      <c r="AD8" s="165"/>
      <c r="AE8" s="165"/>
      <c r="AF8" s="165"/>
      <c r="AG8" s="166"/>
      <c r="AH8" s="10"/>
      <c r="AI8" s="10"/>
      <c r="AJ8" s="10"/>
      <c r="AK8" s="10"/>
    </row>
    <row r="9" spans="1:37" s="12" customFormat="1" x14ac:dyDescent="0.25">
      <c r="A9" s="168" t="s">
        <v>21</v>
      </c>
      <c r="B9" s="169"/>
      <c r="C9" s="169"/>
      <c r="D9" s="169"/>
      <c r="E9" s="169"/>
      <c r="F9" s="169"/>
      <c r="G9" s="169"/>
      <c r="H9" s="169"/>
      <c r="I9" s="169"/>
      <c r="J9" s="169"/>
      <c r="K9" s="169"/>
      <c r="L9" s="169"/>
      <c r="M9" s="169"/>
      <c r="N9" s="169"/>
      <c r="O9" s="169"/>
      <c r="P9" s="169"/>
      <c r="Q9" s="169"/>
      <c r="R9" s="169"/>
      <c r="S9" s="169"/>
      <c r="T9" s="169"/>
      <c r="U9" s="169"/>
      <c r="V9" s="169"/>
      <c r="W9" s="169"/>
      <c r="X9" s="169"/>
      <c r="Y9" s="169"/>
      <c r="Z9" s="169"/>
      <c r="AA9" s="169"/>
      <c r="AB9" s="169"/>
      <c r="AC9" s="169"/>
      <c r="AD9" s="169"/>
      <c r="AE9" s="169"/>
      <c r="AF9" s="169"/>
      <c r="AG9" s="170"/>
      <c r="AH9" s="10"/>
      <c r="AI9" s="10"/>
      <c r="AJ9" s="10"/>
      <c r="AK9" s="10"/>
    </row>
    <row r="10" spans="1:37" x14ac:dyDescent="0.25"/>
    <row r="11" spans="1:37" x14ac:dyDescent="0.25"/>
    <row r="12" spans="1:37" ht="24.6" x14ac:dyDescent="0.25">
      <c r="B12" s="13" t="s">
        <v>22</v>
      </c>
      <c r="C12" s="14"/>
      <c r="D12" s="14"/>
      <c r="E12" s="14"/>
      <c r="F12" s="14"/>
      <c r="G12" s="14"/>
      <c r="H12" s="14"/>
      <c r="I12" s="14"/>
      <c r="J12" s="14"/>
      <c r="K12" s="14"/>
      <c r="L12" s="14"/>
      <c r="M12" s="14"/>
      <c r="N12" s="14"/>
      <c r="O12" s="14"/>
      <c r="P12" s="14"/>
      <c r="Q12" s="14"/>
      <c r="R12" s="14"/>
      <c r="S12" s="14"/>
      <c r="T12" s="14"/>
      <c r="U12" s="14"/>
      <c r="V12" s="14"/>
      <c r="W12" s="14"/>
      <c r="X12" s="14"/>
      <c r="Y12" s="14"/>
      <c r="Z12" s="14"/>
      <c r="AA12" s="14"/>
      <c r="AB12" s="14"/>
      <c r="AC12" s="14"/>
      <c r="AD12" s="14"/>
      <c r="AE12" s="14"/>
      <c r="AF12" s="14"/>
    </row>
    <row r="13" spans="1:37" x14ac:dyDescent="0.25"/>
    <row r="14" spans="1:37" ht="20.399999999999999" x14ac:dyDescent="0.25">
      <c r="B14" s="15" t="s">
        <v>23</v>
      </c>
      <c r="C14" s="16"/>
    </row>
    <row r="15" spans="1:37" x14ac:dyDescent="0.25">
      <c r="B15" s="137" t="s">
        <v>24</v>
      </c>
      <c r="C15" s="167"/>
      <c r="D15" s="167"/>
      <c r="E15" s="167"/>
      <c r="F15" s="167"/>
      <c r="G15" s="137" t="s">
        <v>25</v>
      </c>
      <c r="H15" s="137"/>
      <c r="I15" s="137"/>
      <c r="J15" s="137"/>
      <c r="K15" s="137"/>
      <c r="L15" s="137"/>
      <c r="M15" s="137"/>
      <c r="N15" s="137"/>
      <c r="O15" s="137"/>
      <c r="P15" s="137"/>
      <c r="Q15" s="137"/>
      <c r="R15" s="137"/>
      <c r="S15" s="137"/>
      <c r="T15" s="137"/>
      <c r="U15" s="137"/>
      <c r="V15" s="137"/>
      <c r="W15" s="137"/>
      <c r="X15" s="137"/>
      <c r="Y15" s="137"/>
      <c r="Z15" s="137"/>
      <c r="AA15" s="137"/>
      <c r="AB15" s="137"/>
      <c r="AC15" s="137"/>
      <c r="AD15" s="137"/>
      <c r="AE15" s="137"/>
      <c r="AF15" s="137"/>
    </row>
    <row r="16" spans="1:37" ht="24" customHeight="1" x14ac:dyDescent="0.25">
      <c r="B16" s="156" t="s">
        <v>26</v>
      </c>
      <c r="C16" s="156"/>
      <c r="D16" s="156"/>
      <c r="E16" s="156"/>
      <c r="F16" s="156"/>
      <c r="G16" s="135" t="s">
        <v>27</v>
      </c>
      <c r="H16" s="135"/>
      <c r="I16" s="135"/>
      <c r="J16" s="135"/>
      <c r="K16" s="135"/>
      <c r="L16" s="135"/>
      <c r="M16" s="135"/>
      <c r="N16" s="135"/>
      <c r="O16" s="135"/>
      <c r="P16" s="135"/>
      <c r="Q16" s="135"/>
      <c r="R16" s="135"/>
      <c r="S16" s="135"/>
      <c r="T16" s="135"/>
      <c r="U16" s="135"/>
      <c r="V16" s="135"/>
      <c r="W16" s="135"/>
      <c r="X16" s="135"/>
      <c r="Y16" s="135"/>
      <c r="Z16" s="135"/>
      <c r="AA16" s="135"/>
      <c r="AB16" s="135"/>
      <c r="AC16" s="135"/>
      <c r="AD16" s="135"/>
      <c r="AE16" s="135"/>
      <c r="AF16" s="135"/>
    </row>
    <row r="17" spans="1:45" ht="24" customHeight="1" x14ac:dyDescent="0.25">
      <c r="B17" s="156" t="s">
        <v>28</v>
      </c>
      <c r="C17" s="156"/>
      <c r="D17" s="156"/>
      <c r="E17" s="156"/>
      <c r="F17" s="156"/>
      <c r="G17" s="135" t="s">
        <v>29</v>
      </c>
      <c r="H17" s="135"/>
      <c r="I17" s="135"/>
      <c r="J17" s="135"/>
      <c r="K17" s="135"/>
      <c r="L17" s="135"/>
      <c r="M17" s="135"/>
      <c r="N17" s="135"/>
      <c r="O17" s="135"/>
      <c r="P17" s="135"/>
      <c r="Q17" s="135"/>
      <c r="R17" s="135"/>
      <c r="S17" s="135"/>
      <c r="T17" s="135"/>
      <c r="U17" s="135"/>
      <c r="V17" s="135"/>
      <c r="W17" s="135"/>
      <c r="X17" s="135"/>
      <c r="Y17" s="135"/>
      <c r="Z17" s="135"/>
      <c r="AA17" s="135"/>
      <c r="AB17" s="135"/>
      <c r="AC17" s="135"/>
      <c r="AD17" s="135"/>
      <c r="AE17" s="135"/>
      <c r="AF17" s="135"/>
    </row>
    <row r="18" spans="1:45" ht="24" customHeight="1" x14ac:dyDescent="0.25">
      <c r="B18" s="156" t="s">
        <v>30</v>
      </c>
      <c r="C18" s="156"/>
      <c r="D18" s="156"/>
      <c r="E18" s="156"/>
      <c r="F18" s="156"/>
      <c r="G18" s="135" t="s">
        <v>31</v>
      </c>
      <c r="H18" s="135"/>
      <c r="I18" s="135"/>
      <c r="J18" s="135"/>
      <c r="K18" s="135"/>
      <c r="L18" s="135"/>
      <c r="M18" s="135"/>
      <c r="N18" s="135"/>
      <c r="O18" s="135"/>
      <c r="P18" s="135"/>
      <c r="Q18" s="135"/>
      <c r="R18" s="135"/>
      <c r="S18" s="135"/>
      <c r="T18" s="135"/>
      <c r="U18" s="135"/>
      <c r="V18" s="135"/>
      <c r="W18" s="135"/>
      <c r="X18" s="135"/>
      <c r="Y18" s="135"/>
      <c r="Z18" s="135"/>
      <c r="AA18" s="135"/>
      <c r="AB18" s="135"/>
      <c r="AC18" s="135"/>
      <c r="AD18" s="135"/>
      <c r="AE18" s="135"/>
      <c r="AF18" s="135"/>
    </row>
    <row r="19" spans="1:45" ht="24" customHeight="1" x14ac:dyDescent="0.25">
      <c r="B19" s="156" t="s">
        <v>32</v>
      </c>
      <c r="C19" s="156"/>
      <c r="D19" s="156"/>
      <c r="E19" s="156"/>
      <c r="F19" s="156"/>
      <c r="G19" s="135" t="s">
        <v>33</v>
      </c>
      <c r="H19" s="135"/>
      <c r="I19" s="135"/>
      <c r="J19" s="135"/>
      <c r="K19" s="135"/>
      <c r="L19" s="135"/>
      <c r="M19" s="135"/>
      <c r="N19" s="135"/>
      <c r="O19" s="135"/>
      <c r="P19" s="135"/>
      <c r="Q19" s="135"/>
      <c r="R19" s="135"/>
      <c r="S19" s="135"/>
      <c r="T19" s="135"/>
      <c r="U19" s="135"/>
      <c r="V19" s="135"/>
      <c r="W19" s="135"/>
      <c r="X19" s="135"/>
      <c r="Y19" s="135"/>
      <c r="Z19" s="135"/>
      <c r="AA19" s="135"/>
      <c r="AB19" s="135"/>
      <c r="AC19" s="135"/>
      <c r="AD19" s="135"/>
      <c r="AE19" s="135"/>
      <c r="AF19" s="135"/>
      <c r="AS19" s="89"/>
    </row>
    <row r="20" spans="1:45" ht="24" customHeight="1" x14ac:dyDescent="0.25">
      <c r="B20" s="156" t="s">
        <v>34</v>
      </c>
      <c r="C20" s="156"/>
      <c r="D20" s="156"/>
      <c r="E20" s="156"/>
      <c r="F20" s="156"/>
      <c r="G20" s="135" t="s">
        <v>35</v>
      </c>
      <c r="H20" s="135"/>
      <c r="I20" s="135"/>
      <c r="J20" s="135"/>
      <c r="K20" s="135"/>
      <c r="L20" s="135"/>
      <c r="M20" s="135"/>
      <c r="N20" s="135"/>
      <c r="O20" s="135"/>
      <c r="P20" s="135"/>
      <c r="Q20" s="135"/>
      <c r="R20" s="135"/>
      <c r="S20" s="135"/>
      <c r="T20" s="135"/>
      <c r="U20" s="135"/>
      <c r="V20" s="135"/>
      <c r="W20" s="135"/>
      <c r="X20" s="135"/>
      <c r="Y20" s="135"/>
      <c r="Z20" s="135"/>
      <c r="AA20" s="135"/>
      <c r="AB20" s="135"/>
      <c r="AC20" s="135"/>
      <c r="AD20" s="135"/>
      <c r="AE20" s="135"/>
      <c r="AF20" s="135"/>
      <c r="AS20" s="89"/>
    </row>
    <row r="21" spans="1:45" ht="24" customHeight="1" x14ac:dyDescent="0.25">
      <c r="B21" s="156" t="s">
        <v>36</v>
      </c>
      <c r="C21" s="156"/>
      <c r="D21" s="156"/>
      <c r="E21" s="156"/>
      <c r="F21" s="156"/>
      <c r="G21" s="135" t="s">
        <v>37</v>
      </c>
      <c r="H21" s="135"/>
      <c r="I21" s="135"/>
      <c r="J21" s="135"/>
      <c r="K21" s="135"/>
      <c r="L21" s="135"/>
      <c r="M21" s="135"/>
      <c r="N21" s="135"/>
      <c r="O21" s="135"/>
      <c r="P21" s="135"/>
      <c r="Q21" s="135"/>
      <c r="R21" s="135"/>
      <c r="S21" s="135"/>
      <c r="T21" s="135"/>
      <c r="U21" s="135"/>
      <c r="V21" s="135"/>
      <c r="W21" s="135"/>
      <c r="X21" s="135"/>
      <c r="Y21" s="135"/>
      <c r="Z21" s="135"/>
      <c r="AA21" s="135"/>
      <c r="AB21" s="135"/>
      <c r="AC21" s="135"/>
      <c r="AD21" s="135"/>
      <c r="AE21" s="135"/>
      <c r="AF21" s="135"/>
      <c r="AS21" s="89"/>
    </row>
    <row r="22" spans="1:45" x14ac:dyDescent="0.25">
      <c r="C22" s="17"/>
      <c r="I22" s="18"/>
    </row>
    <row r="23" spans="1:45" ht="20.399999999999999" x14ac:dyDescent="0.25">
      <c r="A23" s="15"/>
      <c r="B23" s="15" t="s">
        <v>38</v>
      </c>
      <c r="C23" s="17"/>
      <c r="I23" s="18"/>
    </row>
    <row r="24" spans="1:45" x14ac:dyDescent="0.25">
      <c r="B24" s="137" t="s">
        <v>7</v>
      </c>
      <c r="C24" s="154"/>
      <c r="D24" s="154"/>
      <c r="E24" s="137" t="s">
        <v>39</v>
      </c>
      <c r="F24" s="137"/>
      <c r="G24" s="137"/>
      <c r="H24" s="137"/>
      <c r="I24" s="137" t="s">
        <v>40</v>
      </c>
      <c r="J24" s="154"/>
      <c r="K24" s="154"/>
      <c r="L24" s="154"/>
      <c r="M24" s="154"/>
      <c r="N24" s="154"/>
      <c r="O24" s="154"/>
      <c r="P24" s="154"/>
      <c r="Q24" s="154"/>
      <c r="R24" s="137" t="s">
        <v>41</v>
      </c>
      <c r="S24" s="137"/>
      <c r="T24" s="137"/>
      <c r="U24" s="137"/>
      <c r="V24" s="137"/>
      <c r="W24" s="137"/>
      <c r="X24" s="137"/>
      <c r="Y24" s="137"/>
      <c r="Z24" s="137"/>
      <c r="AA24" s="137"/>
      <c r="AB24" s="137"/>
      <c r="AC24" s="137"/>
      <c r="AD24" s="137"/>
      <c r="AE24" s="137"/>
      <c r="AF24" s="137"/>
    </row>
    <row r="25" spans="1:45" x14ac:dyDescent="0.25">
      <c r="B25" s="156" t="s">
        <v>42</v>
      </c>
      <c r="C25" s="157"/>
      <c r="D25" s="157"/>
      <c r="E25" s="135" t="s">
        <v>43</v>
      </c>
      <c r="F25" s="135"/>
      <c r="G25" s="135"/>
      <c r="H25" s="135"/>
      <c r="I25" s="135" t="s">
        <v>44</v>
      </c>
      <c r="J25" s="153"/>
      <c r="K25" s="153"/>
      <c r="L25" s="153"/>
      <c r="M25" s="153"/>
      <c r="N25" s="153"/>
      <c r="O25" s="153"/>
      <c r="P25" s="153"/>
      <c r="Q25" s="153"/>
      <c r="R25" s="135" t="s">
        <v>45</v>
      </c>
      <c r="S25" s="135"/>
      <c r="T25" s="135"/>
      <c r="U25" s="135"/>
      <c r="V25" s="135"/>
      <c r="W25" s="135"/>
      <c r="X25" s="135"/>
      <c r="Y25" s="135"/>
      <c r="Z25" s="135"/>
      <c r="AA25" s="135"/>
      <c r="AB25" s="135"/>
      <c r="AC25" s="135"/>
      <c r="AD25" s="135"/>
      <c r="AE25" s="135"/>
      <c r="AF25" s="135"/>
    </row>
    <row r="26" spans="1:45" x14ac:dyDescent="0.25">
      <c r="B26" s="156" t="s">
        <v>46</v>
      </c>
      <c r="C26" s="157"/>
      <c r="D26" s="157"/>
      <c r="E26" s="135" t="s">
        <v>47</v>
      </c>
      <c r="F26" s="135"/>
      <c r="G26" s="135"/>
      <c r="H26" s="135"/>
      <c r="I26" s="135" t="s">
        <v>13</v>
      </c>
      <c r="J26" s="153"/>
      <c r="K26" s="153"/>
      <c r="L26" s="153"/>
      <c r="M26" s="153"/>
      <c r="N26" s="153"/>
      <c r="O26" s="153"/>
      <c r="P26" s="153"/>
      <c r="Q26" s="153"/>
      <c r="R26" s="135" t="s">
        <v>48</v>
      </c>
      <c r="S26" s="135"/>
      <c r="T26" s="135"/>
      <c r="U26" s="135"/>
      <c r="V26" s="135"/>
      <c r="W26" s="135"/>
      <c r="X26" s="135"/>
      <c r="Y26" s="135"/>
      <c r="Z26" s="135"/>
      <c r="AA26" s="135"/>
      <c r="AB26" s="135"/>
      <c r="AC26" s="135"/>
      <c r="AD26" s="135"/>
      <c r="AE26" s="135"/>
      <c r="AF26" s="135"/>
    </row>
    <row r="27" spans="1:45" x14ac:dyDescent="0.25">
      <c r="B27" s="156" t="s">
        <v>49</v>
      </c>
      <c r="C27" s="157"/>
      <c r="D27" s="157"/>
      <c r="E27" s="135" t="s">
        <v>50</v>
      </c>
      <c r="F27" s="135"/>
      <c r="G27" s="135"/>
      <c r="H27" s="135"/>
      <c r="I27" s="135" t="s">
        <v>13</v>
      </c>
      <c r="J27" s="153"/>
      <c r="K27" s="153"/>
      <c r="L27" s="153"/>
      <c r="M27" s="153"/>
      <c r="N27" s="153"/>
      <c r="O27" s="153"/>
      <c r="P27" s="153"/>
      <c r="Q27" s="153"/>
      <c r="R27" s="135" t="s">
        <v>51</v>
      </c>
      <c r="S27" s="135"/>
      <c r="T27" s="135"/>
      <c r="U27" s="135"/>
      <c r="V27" s="135"/>
      <c r="W27" s="135"/>
      <c r="X27" s="135"/>
      <c r="Y27" s="135"/>
      <c r="Z27" s="135"/>
      <c r="AA27" s="135"/>
      <c r="AB27" s="135"/>
      <c r="AC27" s="135"/>
      <c r="AD27" s="135"/>
      <c r="AE27" s="135"/>
      <c r="AF27" s="135"/>
    </row>
    <row r="28" spans="1:45" x14ac:dyDescent="0.25">
      <c r="B28" s="156" t="s">
        <v>52</v>
      </c>
      <c r="C28" s="157"/>
      <c r="D28" s="157"/>
      <c r="E28" s="135" t="s">
        <v>53</v>
      </c>
      <c r="F28" s="135"/>
      <c r="G28" s="135"/>
      <c r="H28" s="135"/>
      <c r="I28" s="135" t="s">
        <v>13</v>
      </c>
      <c r="J28" s="153"/>
      <c r="K28" s="153"/>
      <c r="L28" s="153"/>
      <c r="M28" s="153"/>
      <c r="N28" s="153"/>
      <c r="O28" s="153"/>
      <c r="P28" s="153"/>
      <c r="Q28" s="153"/>
      <c r="R28" s="135" t="s">
        <v>54</v>
      </c>
      <c r="S28" s="135"/>
      <c r="T28" s="135"/>
      <c r="U28" s="135"/>
      <c r="V28" s="135"/>
      <c r="W28" s="135"/>
      <c r="X28" s="135"/>
      <c r="Y28" s="135"/>
      <c r="Z28" s="135"/>
      <c r="AA28" s="135"/>
      <c r="AB28" s="135"/>
      <c r="AC28" s="135"/>
      <c r="AD28" s="135"/>
      <c r="AE28" s="135"/>
      <c r="AF28" s="135"/>
    </row>
    <row r="29" spans="1:45" x14ac:dyDescent="0.25">
      <c r="B29" s="156" t="s">
        <v>55</v>
      </c>
      <c r="C29" s="157"/>
      <c r="D29" s="157"/>
      <c r="E29" s="135" t="s">
        <v>18</v>
      </c>
      <c r="F29" s="135"/>
      <c r="G29" s="135"/>
      <c r="H29" s="135"/>
      <c r="I29" s="135" t="s">
        <v>13</v>
      </c>
      <c r="J29" s="153"/>
      <c r="K29" s="153"/>
      <c r="L29" s="153"/>
      <c r="M29" s="153"/>
      <c r="N29" s="153"/>
      <c r="O29" s="153"/>
      <c r="P29" s="153"/>
      <c r="Q29" s="153"/>
      <c r="R29" s="135" t="s">
        <v>56</v>
      </c>
      <c r="S29" s="135"/>
      <c r="T29" s="135"/>
      <c r="U29" s="135"/>
      <c r="V29" s="135"/>
      <c r="W29" s="135"/>
      <c r="X29" s="135"/>
      <c r="Y29" s="135"/>
      <c r="Z29" s="135"/>
      <c r="AA29" s="135"/>
      <c r="AB29" s="135"/>
      <c r="AC29" s="135"/>
      <c r="AD29" s="135"/>
      <c r="AE29" s="135"/>
      <c r="AF29" s="135"/>
    </row>
    <row r="30" spans="1:45" x14ac:dyDescent="0.25">
      <c r="B30" s="156" t="s">
        <v>304</v>
      </c>
      <c r="C30" s="157"/>
      <c r="D30" s="157"/>
      <c r="E30" s="135" t="s">
        <v>301</v>
      </c>
      <c r="F30" s="135"/>
      <c r="G30" s="135"/>
      <c r="H30" s="135"/>
      <c r="I30" s="135" t="s">
        <v>302</v>
      </c>
      <c r="J30" s="153"/>
      <c r="K30" s="153"/>
      <c r="L30" s="153"/>
      <c r="M30" s="153"/>
      <c r="N30" s="153"/>
      <c r="O30" s="153"/>
      <c r="P30" s="153"/>
      <c r="Q30" s="153"/>
      <c r="R30" s="135" t="s">
        <v>305</v>
      </c>
      <c r="S30" s="135"/>
      <c r="T30" s="135"/>
      <c r="U30" s="135"/>
      <c r="V30" s="135"/>
      <c r="W30" s="135"/>
      <c r="X30" s="135"/>
      <c r="Y30" s="135"/>
      <c r="Z30" s="135"/>
      <c r="AA30" s="135"/>
      <c r="AB30" s="135"/>
      <c r="AC30" s="135"/>
      <c r="AD30" s="135"/>
      <c r="AE30" s="135"/>
      <c r="AF30" s="135"/>
    </row>
    <row r="31" spans="1:45" x14ac:dyDescent="0.25">
      <c r="B31" s="19" t="s">
        <v>57</v>
      </c>
      <c r="C31" s="90"/>
      <c r="D31" s="90"/>
      <c r="E31" s="91"/>
      <c r="F31" s="91"/>
      <c r="G31" s="91"/>
      <c r="H31" s="91"/>
      <c r="I31" s="91"/>
      <c r="J31" s="92"/>
      <c r="K31" s="92"/>
      <c r="L31" s="92"/>
      <c r="M31" s="92"/>
      <c r="N31" s="92"/>
      <c r="O31" s="92"/>
      <c r="P31" s="92"/>
      <c r="Q31" s="92"/>
      <c r="R31" s="91"/>
      <c r="S31" s="91"/>
      <c r="T31" s="91"/>
      <c r="U31" s="91"/>
      <c r="V31" s="91"/>
      <c r="W31" s="91"/>
      <c r="X31" s="91"/>
      <c r="Y31" s="91"/>
      <c r="Z31" s="91"/>
      <c r="AA31" s="91"/>
      <c r="AB31" s="91"/>
      <c r="AC31" s="91"/>
      <c r="AD31" s="91"/>
      <c r="AE31" s="91"/>
      <c r="AF31" s="91"/>
    </row>
    <row r="32" spans="1:45" x14ac:dyDescent="0.25">
      <c r="C32" s="17"/>
      <c r="I32" s="18"/>
    </row>
    <row r="33" spans="2:33" ht="20.399999999999999" x14ac:dyDescent="0.25">
      <c r="B33" s="15" t="s">
        <v>58</v>
      </c>
      <c r="I33" s="18"/>
    </row>
    <row r="34" spans="2:33" ht="66.75" customHeight="1" x14ac:dyDescent="0.25">
      <c r="B34" s="155" t="s">
        <v>59</v>
      </c>
      <c r="C34" s="15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155"/>
      <c r="AB34" s="155"/>
      <c r="AC34" s="155"/>
      <c r="AD34" s="155"/>
      <c r="AE34" s="155"/>
      <c r="AF34" s="155"/>
      <c r="AG34" s="20"/>
    </row>
    <row r="35" spans="2:33" x14ac:dyDescent="0.25">
      <c r="J35" s="21"/>
    </row>
    <row r="36" spans="2:33" ht="20.399999999999999" x14ac:dyDescent="0.25">
      <c r="B36" s="15" t="s">
        <v>60</v>
      </c>
      <c r="C36" s="16"/>
      <c r="I36" s="18"/>
    </row>
    <row r="37" spans="2:33" ht="24.75" customHeight="1" x14ac:dyDescent="0.25">
      <c r="B37" s="22" t="s">
        <v>61</v>
      </c>
      <c r="C37" s="16"/>
      <c r="I37" s="18"/>
    </row>
    <row r="38" spans="2:33" ht="12.75" customHeight="1" x14ac:dyDescent="0.25">
      <c r="B38" s="137" t="s">
        <v>62</v>
      </c>
      <c r="C38" s="137"/>
      <c r="D38" s="137"/>
      <c r="E38" s="138" t="s">
        <v>63</v>
      </c>
      <c r="F38" s="139"/>
      <c r="G38" s="139"/>
      <c r="H38" s="139"/>
      <c r="I38" s="139"/>
      <c r="J38" s="139"/>
      <c r="K38" s="139"/>
      <c r="L38" s="139"/>
      <c r="M38" s="139"/>
      <c r="N38" s="139"/>
      <c r="O38" s="139"/>
      <c r="P38" s="139"/>
      <c r="Q38" s="139"/>
      <c r="R38" s="139"/>
      <c r="S38" s="139"/>
      <c r="T38" s="139"/>
      <c r="U38" s="139"/>
      <c r="V38" s="139"/>
      <c r="W38" s="139"/>
      <c r="X38" s="140"/>
      <c r="Y38" s="137" t="s">
        <v>64</v>
      </c>
      <c r="Z38" s="137"/>
      <c r="AA38" s="137"/>
      <c r="AB38" s="137"/>
      <c r="AC38" s="137"/>
      <c r="AD38" s="137"/>
      <c r="AE38" s="137"/>
      <c r="AF38" s="137"/>
    </row>
    <row r="39" spans="2:33" x14ac:dyDescent="0.25">
      <c r="B39" s="134"/>
      <c r="C39" s="134"/>
      <c r="D39" s="134"/>
      <c r="E39" s="141"/>
      <c r="F39" s="142"/>
      <c r="G39" s="142"/>
      <c r="H39" s="142"/>
      <c r="I39" s="142"/>
      <c r="J39" s="142"/>
      <c r="K39" s="142"/>
      <c r="L39" s="142"/>
      <c r="M39" s="142"/>
      <c r="N39" s="142"/>
      <c r="O39" s="142"/>
      <c r="P39" s="142"/>
      <c r="Q39" s="142"/>
      <c r="R39" s="142"/>
      <c r="S39" s="142"/>
      <c r="T39" s="142"/>
      <c r="U39" s="142"/>
      <c r="V39" s="142"/>
      <c r="W39" s="142"/>
      <c r="X39" s="143"/>
      <c r="Y39" s="135"/>
      <c r="Z39" s="136"/>
      <c r="AA39" s="136"/>
      <c r="AB39" s="136"/>
      <c r="AC39" s="136"/>
      <c r="AD39" s="136"/>
      <c r="AE39" s="136"/>
      <c r="AF39" s="136"/>
    </row>
    <row r="40" spans="2:33" x14ac:dyDescent="0.25">
      <c r="B40" s="134"/>
      <c r="C40" s="134"/>
      <c r="D40" s="134"/>
      <c r="E40" s="141"/>
      <c r="F40" s="142"/>
      <c r="G40" s="142"/>
      <c r="H40" s="142"/>
      <c r="I40" s="142"/>
      <c r="J40" s="142"/>
      <c r="K40" s="142"/>
      <c r="L40" s="142"/>
      <c r="M40" s="142"/>
      <c r="N40" s="142"/>
      <c r="O40" s="142"/>
      <c r="P40" s="142"/>
      <c r="Q40" s="142"/>
      <c r="R40" s="142"/>
      <c r="S40" s="142"/>
      <c r="T40" s="142"/>
      <c r="U40" s="142"/>
      <c r="V40" s="142"/>
      <c r="W40" s="142"/>
      <c r="X40" s="143"/>
      <c r="Y40" s="135"/>
      <c r="Z40" s="136"/>
      <c r="AA40" s="136"/>
      <c r="AB40" s="136"/>
      <c r="AC40" s="136"/>
      <c r="AD40" s="136"/>
      <c r="AE40" s="136"/>
      <c r="AF40" s="136"/>
    </row>
    <row r="41" spans="2:33" x14ac:dyDescent="0.25">
      <c r="B41" s="134"/>
      <c r="C41" s="134"/>
      <c r="D41" s="134"/>
      <c r="E41" s="141"/>
      <c r="F41" s="142"/>
      <c r="G41" s="142"/>
      <c r="H41" s="142"/>
      <c r="I41" s="142"/>
      <c r="J41" s="142"/>
      <c r="K41" s="142"/>
      <c r="L41" s="142"/>
      <c r="M41" s="142"/>
      <c r="N41" s="142"/>
      <c r="O41" s="142"/>
      <c r="P41" s="142"/>
      <c r="Q41" s="142"/>
      <c r="R41" s="142"/>
      <c r="S41" s="142"/>
      <c r="T41" s="142"/>
      <c r="U41" s="142"/>
      <c r="V41" s="142"/>
      <c r="W41" s="142"/>
      <c r="X41" s="143"/>
      <c r="Y41" s="135"/>
      <c r="Z41" s="136"/>
      <c r="AA41" s="136"/>
      <c r="AB41" s="136"/>
      <c r="AC41" s="136"/>
      <c r="AD41" s="136"/>
      <c r="AE41" s="136"/>
      <c r="AF41" s="136"/>
    </row>
    <row r="42" spans="2:33" x14ac:dyDescent="0.25">
      <c r="B42" s="134"/>
      <c r="C42" s="134"/>
      <c r="D42" s="134"/>
      <c r="E42" s="141"/>
      <c r="F42" s="142"/>
      <c r="G42" s="142"/>
      <c r="H42" s="142"/>
      <c r="I42" s="142"/>
      <c r="J42" s="142"/>
      <c r="K42" s="142"/>
      <c r="L42" s="142"/>
      <c r="M42" s="142"/>
      <c r="N42" s="142"/>
      <c r="O42" s="142"/>
      <c r="P42" s="142"/>
      <c r="Q42" s="142"/>
      <c r="R42" s="142"/>
      <c r="S42" s="142"/>
      <c r="T42" s="142"/>
      <c r="U42" s="142"/>
      <c r="V42" s="142"/>
      <c r="W42" s="142"/>
      <c r="X42" s="143"/>
      <c r="Y42" s="135"/>
      <c r="Z42" s="136"/>
      <c r="AA42" s="136"/>
      <c r="AB42" s="136"/>
      <c r="AC42" s="136"/>
      <c r="AD42" s="136"/>
      <c r="AE42" s="136"/>
      <c r="AF42" s="136"/>
    </row>
    <row r="43" spans="2:33" ht="24.75" customHeight="1" x14ac:dyDescent="0.25">
      <c r="B43" s="22" t="s">
        <v>65</v>
      </c>
      <c r="C43" s="16"/>
      <c r="I43" s="18"/>
    </row>
    <row r="44" spans="2:33" ht="12.75" customHeight="1" x14ac:dyDescent="0.25">
      <c r="B44" s="137" t="s">
        <v>62</v>
      </c>
      <c r="C44" s="137"/>
      <c r="D44" s="137"/>
      <c r="E44" s="138" t="s">
        <v>63</v>
      </c>
      <c r="F44" s="139"/>
      <c r="G44" s="139"/>
      <c r="H44" s="139"/>
      <c r="I44" s="139"/>
      <c r="J44" s="139"/>
      <c r="K44" s="139"/>
      <c r="L44" s="139"/>
      <c r="M44" s="139"/>
      <c r="N44" s="139"/>
      <c r="O44" s="139"/>
      <c r="P44" s="139"/>
      <c r="Q44" s="139"/>
      <c r="R44" s="139"/>
      <c r="S44" s="139"/>
      <c r="T44" s="139"/>
      <c r="U44" s="139"/>
      <c r="V44" s="139"/>
      <c r="W44" s="139"/>
      <c r="X44" s="140"/>
      <c r="Y44" s="137" t="s">
        <v>64</v>
      </c>
      <c r="Z44" s="137"/>
      <c r="AA44" s="137"/>
      <c r="AB44" s="137"/>
      <c r="AC44" s="137"/>
      <c r="AD44" s="137"/>
      <c r="AE44" s="137"/>
      <c r="AF44" s="137"/>
    </row>
    <row r="45" spans="2:33" x14ac:dyDescent="0.25">
      <c r="B45" s="134"/>
      <c r="C45" s="134"/>
      <c r="D45" s="134"/>
      <c r="E45" s="141"/>
      <c r="F45" s="142"/>
      <c r="G45" s="142"/>
      <c r="H45" s="142"/>
      <c r="I45" s="142"/>
      <c r="J45" s="142"/>
      <c r="K45" s="142"/>
      <c r="L45" s="142"/>
      <c r="M45" s="142"/>
      <c r="N45" s="142"/>
      <c r="O45" s="142"/>
      <c r="P45" s="142"/>
      <c r="Q45" s="142"/>
      <c r="R45" s="142"/>
      <c r="S45" s="142"/>
      <c r="T45" s="142"/>
      <c r="U45" s="142"/>
      <c r="V45" s="142"/>
      <c r="W45" s="142"/>
      <c r="X45" s="143"/>
      <c r="Y45" s="135"/>
      <c r="Z45" s="136"/>
      <c r="AA45" s="136"/>
      <c r="AB45" s="136"/>
      <c r="AC45" s="136"/>
      <c r="AD45" s="136"/>
      <c r="AE45" s="136"/>
      <c r="AF45" s="136"/>
    </row>
    <row r="46" spans="2:33" x14ac:dyDescent="0.25">
      <c r="B46" s="134"/>
      <c r="C46" s="134"/>
      <c r="D46" s="134"/>
      <c r="E46" s="141"/>
      <c r="F46" s="142"/>
      <c r="G46" s="142"/>
      <c r="H46" s="142"/>
      <c r="I46" s="142"/>
      <c r="J46" s="142"/>
      <c r="K46" s="142"/>
      <c r="L46" s="142"/>
      <c r="M46" s="142"/>
      <c r="N46" s="142"/>
      <c r="O46" s="142"/>
      <c r="P46" s="142"/>
      <c r="Q46" s="142"/>
      <c r="R46" s="142"/>
      <c r="S46" s="142"/>
      <c r="T46" s="142"/>
      <c r="U46" s="142"/>
      <c r="V46" s="142"/>
      <c r="W46" s="142"/>
      <c r="X46" s="143"/>
      <c r="Y46" s="135"/>
      <c r="Z46" s="136"/>
      <c r="AA46" s="136"/>
      <c r="AB46" s="136"/>
      <c r="AC46" s="136"/>
      <c r="AD46" s="136"/>
      <c r="AE46" s="136"/>
      <c r="AF46" s="136"/>
    </row>
    <row r="47" spans="2:33" x14ac:dyDescent="0.25">
      <c r="B47" s="134"/>
      <c r="C47" s="134"/>
      <c r="D47" s="134"/>
      <c r="E47" s="141"/>
      <c r="F47" s="142"/>
      <c r="G47" s="142"/>
      <c r="H47" s="142"/>
      <c r="I47" s="142"/>
      <c r="J47" s="142"/>
      <c r="K47" s="142"/>
      <c r="L47" s="142"/>
      <c r="M47" s="142"/>
      <c r="N47" s="142"/>
      <c r="O47" s="142"/>
      <c r="P47" s="142"/>
      <c r="Q47" s="142"/>
      <c r="R47" s="142"/>
      <c r="S47" s="142"/>
      <c r="T47" s="142"/>
      <c r="U47" s="142"/>
      <c r="V47" s="142"/>
      <c r="W47" s="142"/>
      <c r="X47" s="143"/>
      <c r="Y47" s="135"/>
      <c r="Z47" s="136"/>
      <c r="AA47" s="136"/>
      <c r="AB47" s="136"/>
      <c r="AC47" s="136"/>
      <c r="AD47" s="136"/>
      <c r="AE47" s="136"/>
      <c r="AF47" s="136"/>
    </row>
    <row r="48" spans="2:33" x14ac:dyDescent="0.25">
      <c r="B48" s="134"/>
      <c r="C48" s="134"/>
      <c r="D48" s="134"/>
      <c r="E48" s="141"/>
      <c r="F48" s="142"/>
      <c r="G48" s="142"/>
      <c r="H48" s="142"/>
      <c r="I48" s="142"/>
      <c r="J48" s="142"/>
      <c r="K48" s="142"/>
      <c r="L48" s="142"/>
      <c r="M48" s="142"/>
      <c r="N48" s="142"/>
      <c r="O48" s="142"/>
      <c r="P48" s="142"/>
      <c r="Q48" s="142"/>
      <c r="R48" s="142"/>
      <c r="S48" s="142"/>
      <c r="T48" s="142"/>
      <c r="U48" s="142"/>
      <c r="V48" s="142"/>
      <c r="W48" s="142"/>
      <c r="X48" s="143"/>
      <c r="Y48" s="135"/>
      <c r="Z48" s="136"/>
      <c r="AA48" s="136"/>
      <c r="AB48" s="136"/>
      <c r="AC48" s="136"/>
      <c r="AD48" s="136"/>
      <c r="AE48" s="136"/>
      <c r="AF48" s="136"/>
    </row>
    <row r="49" spans="2:32" x14ac:dyDescent="0.25">
      <c r="C49" s="17"/>
      <c r="I49" s="18"/>
    </row>
    <row r="50" spans="2:32" ht="20.399999999999999" x14ac:dyDescent="0.25">
      <c r="B50" s="15" t="s">
        <v>66</v>
      </c>
      <c r="C50" s="16"/>
      <c r="I50" s="18"/>
    </row>
    <row r="51" spans="2:32" ht="12.75" customHeight="1" x14ac:dyDescent="0.25">
      <c r="B51" s="137" t="s">
        <v>67</v>
      </c>
      <c r="C51" s="137"/>
      <c r="D51" s="137"/>
      <c r="E51" s="137"/>
      <c r="F51" s="137"/>
      <c r="G51" s="137"/>
      <c r="H51" s="150"/>
      <c r="I51" s="151"/>
      <c r="J51" s="151"/>
      <c r="K51" s="151"/>
      <c r="L51" s="151"/>
      <c r="M51" s="151"/>
      <c r="N51" s="151"/>
      <c r="O51" s="151"/>
      <c r="P51" s="151"/>
      <c r="Q51" s="151"/>
      <c r="R51" s="151"/>
      <c r="S51" s="151"/>
      <c r="T51" s="151"/>
      <c r="U51" s="151"/>
      <c r="V51" s="151"/>
      <c r="W51" s="151"/>
      <c r="X51" s="151"/>
      <c r="Y51" s="151"/>
      <c r="Z51" s="151"/>
      <c r="AA51" s="151"/>
      <c r="AB51" s="151"/>
      <c r="AC51" s="151"/>
      <c r="AD51" s="151"/>
      <c r="AE51" s="151"/>
      <c r="AF51" s="152"/>
    </row>
    <row r="52" spans="2:32" ht="33.75" customHeight="1" x14ac:dyDescent="0.25">
      <c r="B52" s="141" t="s">
        <v>68</v>
      </c>
      <c r="C52" s="142"/>
      <c r="D52" s="142"/>
      <c r="E52" s="142"/>
      <c r="F52" s="142"/>
      <c r="G52" s="143"/>
      <c r="H52" s="147" t="s">
        <v>69</v>
      </c>
      <c r="I52" s="148"/>
      <c r="J52" s="148"/>
      <c r="K52" s="148"/>
      <c r="L52" s="148"/>
      <c r="M52" s="148"/>
      <c r="N52" s="148"/>
      <c r="O52" s="148"/>
      <c r="P52" s="148"/>
      <c r="Q52" s="148"/>
      <c r="R52" s="148"/>
      <c r="S52" s="148"/>
      <c r="T52" s="148"/>
      <c r="U52" s="148"/>
      <c r="V52" s="148"/>
      <c r="W52" s="148"/>
      <c r="X52" s="148"/>
      <c r="Y52" s="148"/>
      <c r="Z52" s="148"/>
      <c r="AA52" s="148"/>
      <c r="AB52" s="148"/>
      <c r="AC52" s="148"/>
      <c r="AD52" s="148"/>
      <c r="AE52" s="148"/>
      <c r="AF52" s="149"/>
    </row>
    <row r="53" spans="2:32" ht="36.75" customHeight="1" x14ac:dyDescent="0.25">
      <c r="B53" s="141" t="s">
        <v>70</v>
      </c>
      <c r="C53" s="142"/>
      <c r="D53" s="142"/>
      <c r="E53" s="142"/>
      <c r="F53" s="142"/>
      <c r="G53" s="143"/>
      <c r="H53" s="144" t="s">
        <v>71</v>
      </c>
      <c r="I53" s="145"/>
      <c r="J53" s="145"/>
      <c r="K53" s="145"/>
      <c r="L53" s="145"/>
      <c r="M53" s="145"/>
      <c r="N53" s="145"/>
      <c r="O53" s="145"/>
      <c r="P53" s="145"/>
      <c r="Q53" s="145"/>
      <c r="R53" s="145"/>
      <c r="S53" s="145"/>
      <c r="T53" s="145"/>
      <c r="U53" s="145"/>
      <c r="V53" s="145"/>
      <c r="W53" s="145"/>
      <c r="X53" s="145"/>
      <c r="Y53" s="145"/>
      <c r="Z53" s="145"/>
      <c r="AA53" s="145"/>
      <c r="AB53" s="145"/>
      <c r="AC53" s="145"/>
      <c r="AD53" s="145"/>
      <c r="AE53" s="145"/>
      <c r="AF53" s="146"/>
    </row>
    <row r="54" spans="2:32" ht="45.75" customHeight="1" x14ac:dyDescent="0.25">
      <c r="B54" s="141" t="s">
        <v>72</v>
      </c>
      <c r="C54" s="142"/>
      <c r="D54" s="142"/>
      <c r="E54" s="142"/>
      <c r="F54" s="142"/>
      <c r="G54" s="143"/>
      <c r="H54" s="144" t="s">
        <v>73</v>
      </c>
      <c r="I54" s="145"/>
      <c r="J54" s="145"/>
      <c r="K54" s="145"/>
      <c r="L54" s="145"/>
      <c r="M54" s="145"/>
      <c r="N54" s="145"/>
      <c r="O54" s="145"/>
      <c r="P54" s="145"/>
      <c r="Q54" s="145"/>
      <c r="R54" s="145"/>
      <c r="S54" s="145"/>
      <c r="T54" s="145"/>
      <c r="U54" s="145"/>
      <c r="V54" s="145"/>
      <c r="W54" s="145"/>
      <c r="X54" s="145"/>
      <c r="Y54" s="145"/>
      <c r="Z54" s="145"/>
      <c r="AA54" s="145"/>
      <c r="AB54" s="145"/>
      <c r="AC54" s="145"/>
      <c r="AD54" s="145"/>
      <c r="AE54" s="145"/>
      <c r="AF54" s="146"/>
    </row>
    <row r="55" spans="2:32" ht="45.75" customHeight="1" x14ac:dyDescent="0.25">
      <c r="B55" s="141" t="s">
        <v>74</v>
      </c>
      <c r="C55" s="142"/>
      <c r="D55" s="142"/>
      <c r="E55" s="142"/>
      <c r="F55" s="142"/>
      <c r="G55" s="143"/>
      <c r="H55" s="144" t="s">
        <v>75</v>
      </c>
      <c r="I55" s="145"/>
      <c r="J55" s="145"/>
      <c r="K55" s="145"/>
      <c r="L55" s="145"/>
      <c r="M55" s="145"/>
      <c r="N55" s="145"/>
      <c r="O55" s="145"/>
      <c r="P55" s="145"/>
      <c r="Q55" s="145"/>
      <c r="R55" s="145"/>
      <c r="S55" s="145"/>
      <c r="T55" s="145"/>
      <c r="U55" s="145"/>
      <c r="V55" s="145"/>
      <c r="W55" s="145"/>
      <c r="X55" s="145"/>
      <c r="Y55" s="145"/>
      <c r="Z55" s="145"/>
      <c r="AA55" s="145"/>
      <c r="AB55" s="145"/>
      <c r="AC55" s="145"/>
      <c r="AD55" s="145"/>
      <c r="AE55" s="145"/>
      <c r="AF55" s="146"/>
    </row>
    <row r="56" spans="2:32" ht="37.5" customHeight="1" x14ac:dyDescent="0.25">
      <c r="B56" s="141" t="s">
        <v>76</v>
      </c>
      <c r="C56" s="142"/>
      <c r="D56" s="142"/>
      <c r="E56" s="142"/>
      <c r="F56" s="142"/>
      <c r="G56" s="143"/>
      <c r="H56" s="144" t="s">
        <v>77</v>
      </c>
      <c r="I56" s="145"/>
      <c r="J56" s="145"/>
      <c r="K56" s="145"/>
      <c r="L56" s="145"/>
      <c r="M56" s="145"/>
      <c r="N56" s="145"/>
      <c r="O56" s="145"/>
      <c r="P56" s="145"/>
      <c r="Q56" s="145"/>
      <c r="R56" s="145"/>
      <c r="S56" s="145"/>
      <c r="T56" s="145"/>
      <c r="U56" s="145"/>
      <c r="V56" s="145"/>
      <c r="W56" s="145"/>
      <c r="X56" s="145"/>
      <c r="Y56" s="145"/>
      <c r="Z56" s="145"/>
      <c r="AA56" s="145"/>
      <c r="AB56" s="145"/>
      <c r="AC56" s="145"/>
      <c r="AD56" s="145"/>
      <c r="AE56" s="145"/>
      <c r="AF56" s="146"/>
    </row>
    <row r="57" spans="2:32" x14ac:dyDescent="0.25">
      <c r="B57" s="91"/>
      <c r="C57" s="91"/>
      <c r="D57" s="91"/>
      <c r="E57" s="91"/>
      <c r="F57" s="91"/>
      <c r="G57" s="91"/>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row>
    <row r="58" spans="2:32" x14ac:dyDescent="0.25">
      <c r="B58" s="91"/>
      <c r="C58" s="91"/>
      <c r="D58" s="91"/>
      <c r="E58" s="91"/>
      <c r="F58" s="91"/>
      <c r="G58" s="91"/>
      <c r="H58" s="23"/>
      <c r="I58" s="23"/>
      <c r="J58" s="23"/>
      <c r="K58" s="23"/>
      <c r="L58" s="23"/>
      <c r="M58" s="23"/>
      <c r="N58" s="23"/>
      <c r="O58" s="23"/>
      <c r="P58" s="23"/>
      <c r="Q58" s="23"/>
      <c r="R58" s="23"/>
      <c r="S58" s="23"/>
      <c r="T58" s="23"/>
      <c r="U58" s="23"/>
      <c r="V58" s="23"/>
      <c r="W58" s="23"/>
      <c r="X58" s="23"/>
      <c r="Y58" s="23"/>
      <c r="Z58" s="23"/>
      <c r="AA58" s="23"/>
      <c r="AB58" s="23"/>
      <c r="AC58" s="23"/>
      <c r="AD58" s="23"/>
      <c r="AE58" s="23"/>
      <c r="AF58" s="23"/>
    </row>
    <row r="59" spans="2:32" ht="24.6" x14ac:dyDescent="0.25">
      <c r="B59" s="24" t="s">
        <v>78</v>
      </c>
      <c r="C59" s="93"/>
      <c r="D59" s="93"/>
      <c r="E59" s="93"/>
      <c r="F59" s="93"/>
      <c r="G59" s="93"/>
      <c r="H59" s="25"/>
      <c r="I59" s="25"/>
      <c r="J59" s="25"/>
      <c r="K59" s="25"/>
      <c r="L59" s="25"/>
      <c r="M59" s="25"/>
      <c r="N59" s="25"/>
      <c r="O59" s="25"/>
      <c r="P59" s="25"/>
      <c r="Q59" s="25"/>
      <c r="R59" s="25"/>
      <c r="S59" s="25"/>
      <c r="T59" s="25"/>
      <c r="U59" s="25"/>
      <c r="V59" s="25"/>
      <c r="W59" s="25"/>
      <c r="X59" s="25"/>
      <c r="Y59" s="25"/>
      <c r="Z59" s="25"/>
      <c r="AA59" s="25"/>
      <c r="AB59" s="25"/>
      <c r="AC59" s="25"/>
      <c r="AD59" s="25"/>
      <c r="AE59" s="25"/>
      <c r="AF59" s="25"/>
    </row>
    <row r="60" spans="2:32" ht="15.75" customHeight="1" x14ac:dyDescent="0.25">
      <c r="B60" s="26"/>
      <c r="C60" s="91"/>
      <c r="D60" s="91"/>
      <c r="E60" s="91"/>
      <c r="F60" s="91"/>
      <c r="G60" s="91"/>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row>
    <row r="61" spans="2:32" x14ac:dyDescent="0.25">
      <c r="B61" s="72" t="s">
        <v>79</v>
      </c>
      <c r="C61" s="72"/>
      <c r="D61" s="72"/>
      <c r="E61" s="72"/>
      <c r="F61" s="72"/>
      <c r="G61" s="72"/>
      <c r="H61" s="27"/>
      <c r="I61" s="27"/>
      <c r="J61" s="27"/>
      <c r="K61" s="27"/>
      <c r="L61" s="27"/>
      <c r="M61" s="27"/>
      <c r="N61" s="27"/>
      <c r="O61" s="27"/>
      <c r="P61" s="27"/>
      <c r="Q61" s="27"/>
      <c r="R61" s="27"/>
      <c r="S61" s="27"/>
      <c r="T61" s="27"/>
      <c r="U61" s="27"/>
      <c r="V61" s="27"/>
      <c r="W61" s="27"/>
      <c r="X61" s="27"/>
      <c r="Y61" s="27"/>
      <c r="Z61" s="27"/>
      <c r="AA61" s="27"/>
      <c r="AB61" s="27"/>
      <c r="AC61" s="27"/>
      <c r="AD61" s="27"/>
      <c r="AE61" s="27"/>
      <c r="AF61" s="27"/>
    </row>
    <row r="62" spans="2:32" x14ac:dyDescent="0.25">
      <c r="B62" s="72" t="s">
        <v>80</v>
      </c>
      <c r="C62" s="72"/>
      <c r="D62" s="72"/>
      <c r="E62" s="72"/>
      <c r="F62" s="72"/>
      <c r="G62" s="72"/>
      <c r="H62" s="27"/>
      <c r="I62" s="27"/>
      <c r="J62" s="27"/>
      <c r="K62" s="27"/>
      <c r="L62" s="27"/>
      <c r="M62" s="27"/>
      <c r="N62" s="27"/>
      <c r="O62" s="27"/>
      <c r="P62" s="27"/>
      <c r="Q62" s="27"/>
      <c r="R62" s="27"/>
      <c r="S62" s="27"/>
      <c r="T62" s="27"/>
      <c r="U62" s="27"/>
      <c r="V62" s="27"/>
      <c r="W62" s="27"/>
      <c r="X62" s="27"/>
      <c r="Y62" s="27"/>
      <c r="Z62" s="27"/>
      <c r="AA62" s="27"/>
      <c r="AB62" s="27"/>
      <c r="AC62" s="27"/>
      <c r="AD62" s="27"/>
      <c r="AE62" s="27"/>
      <c r="AF62" s="27"/>
    </row>
    <row r="63" spans="2:32" x14ac:dyDescent="0.25">
      <c r="B63" s="72"/>
      <c r="C63" s="72"/>
      <c r="D63" s="72"/>
      <c r="E63" s="72"/>
      <c r="F63" s="72"/>
      <c r="G63" s="72"/>
      <c r="H63" s="27"/>
      <c r="I63" s="27"/>
      <c r="J63" s="27"/>
      <c r="K63" s="27"/>
      <c r="L63" s="27"/>
      <c r="M63" s="27"/>
      <c r="N63" s="27"/>
      <c r="O63" s="27"/>
      <c r="P63" s="27"/>
      <c r="Q63" s="27"/>
      <c r="R63" s="27"/>
      <c r="S63" s="27"/>
      <c r="T63" s="27"/>
      <c r="U63" s="27"/>
      <c r="V63" s="27"/>
      <c r="W63" s="27"/>
      <c r="X63" s="27"/>
      <c r="Y63" s="27"/>
      <c r="Z63" s="27"/>
      <c r="AA63" s="27"/>
      <c r="AB63" s="27"/>
      <c r="AC63" s="27"/>
      <c r="AD63" s="27"/>
      <c r="AE63" s="27"/>
      <c r="AF63" s="27"/>
    </row>
    <row r="64" spans="2:32" x14ac:dyDescent="0.25">
      <c r="B64" s="72"/>
      <c r="C64" s="72"/>
      <c r="D64" s="72"/>
      <c r="E64" s="72"/>
      <c r="F64" s="72"/>
      <c r="G64" s="72"/>
      <c r="H64" s="27"/>
      <c r="I64" s="27"/>
      <c r="J64" s="27"/>
      <c r="K64" s="27"/>
      <c r="L64" s="27"/>
      <c r="M64" s="27"/>
      <c r="N64" s="27"/>
      <c r="O64" s="27"/>
      <c r="P64" s="27"/>
      <c r="Q64" s="27"/>
      <c r="R64" s="27"/>
      <c r="S64" s="27"/>
      <c r="T64" s="27"/>
      <c r="U64" s="27"/>
      <c r="V64" s="27"/>
      <c r="W64" s="27"/>
      <c r="X64" s="27"/>
      <c r="Y64" s="27"/>
      <c r="Z64" s="27"/>
      <c r="AA64" s="27"/>
      <c r="AB64" s="27"/>
      <c r="AC64" s="27"/>
      <c r="AD64" s="27"/>
      <c r="AE64" s="27"/>
      <c r="AF64" s="27"/>
    </row>
    <row r="65" spans="2:33" x14ac:dyDescent="0.25">
      <c r="B65" s="72"/>
      <c r="C65" s="72"/>
      <c r="D65" s="72"/>
      <c r="E65" s="72"/>
      <c r="F65" s="72"/>
      <c r="G65" s="72"/>
      <c r="H65" s="27"/>
      <c r="I65" s="27"/>
      <c r="J65" s="27"/>
      <c r="K65" s="27"/>
      <c r="L65" s="27"/>
      <c r="M65" s="27"/>
      <c r="N65" s="27"/>
      <c r="O65" s="27"/>
      <c r="P65" s="27"/>
      <c r="Q65" s="27"/>
      <c r="R65" s="27"/>
      <c r="S65" s="27"/>
      <c r="T65" s="27"/>
      <c r="U65" s="27"/>
      <c r="V65" s="27"/>
      <c r="W65" s="27"/>
      <c r="X65" s="27"/>
      <c r="Y65" s="27"/>
      <c r="Z65" s="27"/>
      <c r="AA65" s="27"/>
      <c r="AB65" s="27"/>
      <c r="AC65" s="27"/>
      <c r="AD65" s="27"/>
      <c r="AE65" s="27"/>
      <c r="AF65" s="27"/>
    </row>
    <row r="66" spans="2:33" x14ac:dyDescent="0.25">
      <c r="B66" s="72"/>
      <c r="C66" s="72"/>
      <c r="D66" s="72"/>
      <c r="E66" s="72"/>
      <c r="F66" s="72"/>
      <c r="G66" s="72"/>
      <c r="H66" s="27"/>
      <c r="I66" s="27"/>
      <c r="J66" s="27"/>
      <c r="K66" s="27"/>
      <c r="L66" s="27"/>
      <c r="M66" s="27"/>
      <c r="N66" s="27"/>
      <c r="O66" s="27"/>
      <c r="P66" s="27"/>
      <c r="Q66" s="27"/>
      <c r="R66" s="27"/>
      <c r="S66" s="27"/>
      <c r="T66" s="27"/>
      <c r="U66" s="27"/>
      <c r="V66" s="27"/>
      <c r="W66" s="27"/>
      <c r="X66" s="27"/>
      <c r="Y66" s="27"/>
      <c r="Z66" s="27"/>
      <c r="AA66" s="27"/>
      <c r="AB66" s="27"/>
      <c r="AC66" s="27"/>
      <c r="AD66" s="27"/>
      <c r="AE66" s="27"/>
      <c r="AF66" s="27"/>
    </row>
    <row r="67" spans="2:33" x14ac:dyDescent="0.25">
      <c r="B67" s="72"/>
      <c r="C67" s="72"/>
      <c r="D67" s="72"/>
      <c r="E67" s="72"/>
      <c r="F67" s="72"/>
      <c r="G67" s="72"/>
      <c r="H67" s="27"/>
      <c r="I67" s="27"/>
      <c r="J67" s="27"/>
      <c r="K67" s="27"/>
      <c r="L67" s="27"/>
      <c r="M67" s="27"/>
      <c r="N67" s="27"/>
      <c r="O67" s="27"/>
      <c r="P67" s="27"/>
      <c r="Q67" s="27"/>
      <c r="R67" s="27"/>
      <c r="S67" s="27"/>
      <c r="T67" s="27"/>
      <c r="U67" s="27"/>
      <c r="V67" s="27"/>
      <c r="W67" s="27"/>
      <c r="X67" s="27"/>
      <c r="Y67" s="27"/>
      <c r="Z67" s="27"/>
      <c r="AA67" s="27"/>
      <c r="AB67" s="27"/>
      <c r="AC67" s="27"/>
      <c r="AD67" s="27"/>
      <c r="AE67" s="27"/>
      <c r="AF67" s="27"/>
    </row>
    <row r="68" spans="2:33" x14ac:dyDescent="0.25">
      <c r="B68" s="72"/>
      <c r="C68" s="72"/>
      <c r="D68" s="72"/>
      <c r="E68" s="72"/>
      <c r="F68" s="72"/>
      <c r="G68" s="72"/>
      <c r="H68" s="27"/>
      <c r="I68" s="27"/>
      <c r="J68" s="27"/>
      <c r="K68" s="27"/>
      <c r="L68" s="27"/>
      <c r="M68" s="27"/>
      <c r="N68" s="27"/>
      <c r="O68" s="27"/>
      <c r="P68" s="27"/>
      <c r="Q68" s="27"/>
      <c r="R68" s="27"/>
      <c r="S68" s="27"/>
      <c r="T68" s="27"/>
      <c r="U68" s="27"/>
      <c r="V68" s="27"/>
      <c r="W68" s="27"/>
      <c r="X68" s="27"/>
      <c r="Y68" s="27"/>
      <c r="Z68" s="27"/>
      <c r="AA68" s="27"/>
      <c r="AB68" s="27"/>
      <c r="AC68" s="27"/>
      <c r="AD68" s="27"/>
      <c r="AE68" s="27"/>
      <c r="AF68" s="27"/>
    </row>
    <row r="69" spans="2:33" x14ac:dyDescent="0.25">
      <c r="B69" s="72"/>
      <c r="C69" s="72"/>
      <c r="D69" s="72"/>
      <c r="E69" s="72"/>
      <c r="F69" s="72"/>
      <c r="G69" s="72"/>
      <c r="H69" s="27"/>
      <c r="I69" s="27"/>
      <c r="J69" s="27"/>
      <c r="K69" s="27"/>
      <c r="L69" s="27"/>
      <c r="M69" s="27"/>
      <c r="N69" s="27"/>
      <c r="O69" s="27"/>
      <c r="P69" s="27"/>
      <c r="Q69" s="27"/>
      <c r="R69" s="27"/>
      <c r="S69" s="27"/>
      <c r="T69" s="27"/>
      <c r="U69" s="27"/>
      <c r="V69" s="27"/>
      <c r="W69" s="27"/>
      <c r="X69" s="27"/>
      <c r="Y69" s="27"/>
      <c r="Z69" s="27"/>
      <c r="AA69" s="27"/>
      <c r="AB69" s="27"/>
      <c r="AC69" s="27"/>
      <c r="AD69" s="27"/>
      <c r="AE69" s="27"/>
      <c r="AF69" s="27"/>
    </row>
    <row r="70" spans="2:33" x14ac:dyDescent="0.25">
      <c r="B70" s="72"/>
      <c r="C70" s="72"/>
      <c r="D70" s="72"/>
      <c r="E70" s="72"/>
      <c r="F70" s="72"/>
      <c r="G70" s="72"/>
      <c r="H70" s="27"/>
      <c r="I70" s="27"/>
      <c r="J70" s="27"/>
      <c r="K70" s="27"/>
      <c r="L70" s="27"/>
      <c r="M70" s="27"/>
      <c r="N70" s="27"/>
      <c r="O70" s="27"/>
      <c r="P70" s="27"/>
      <c r="Q70" s="27"/>
      <c r="R70" s="27"/>
      <c r="S70" s="27"/>
      <c r="T70" s="27"/>
      <c r="U70" s="27"/>
      <c r="V70" s="27"/>
      <c r="W70" s="27"/>
      <c r="X70" s="27"/>
      <c r="Y70" s="27"/>
      <c r="Z70" s="27"/>
      <c r="AA70" s="27"/>
      <c r="AB70" s="27"/>
      <c r="AC70" s="27"/>
      <c r="AD70" s="27"/>
      <c r="AE70" s="27"/>
      <c r="AF70" s="27"/>
    </row>
    <row r="71" spans="2:33" x14ac:dyDescent="0.25">
      <c r="B71" s="72"/>
      <c r="C71" s="72"/>
      <c r="D71" s="72"/>
      <c r="E71" s="72"/>
      <c r="F71" s="72"/>
      <c r="G71" s="72"/>
      <c r="H71" s="27"/>
      <c r="I71" s="27"/>
      <c r="J71" s="27"/>
      <c r="K71" s="27"/>
      <c r="L71" s="27"/>
      <c r="M71" s="27"/>
      <c r="N71" s="27"/>
      <c r="O71" s="27"/>
      <c r="P71" s="27"/>
      <c r="Q71" s="27"/>
      <c r="R71" s="27"/>
      <c r="S71" s="27"/>
      <c r="T71" s="27"/>
      <c r="U71" s="27"/>
      <c r="V71" s="27"/>
      <c r="W71" s="27"/>
      <c r="X71" s="27"/>
      <c r="Y71" s="27"/>
      <c r="Z71" s="27"/>
      <c r="AA71" s="27"/>
      <c r="AB71" s="27"/>
      <c r="AC71" s="27"/>
      <c r="AD71" s="27"/>
      <c r="AE71" s="27"/>
      <c r="AF71" s="27"/>
    </row>
    <row r="72" spans="2:33" x14ac:dyDescent="0.25">
      <c r="B72" s="72"/>
      <c r="C72" s="72"/>
      <c r="D72" s="72"/>
      <c r="E72" s="72"/>
      <c r="F72" s="72"/>
      <c r="G72" s="72"/>
      <c r="H72" s="27"/>
      <c r="I72" s="27"/>
      <c r="J72" s="27"/>
      <c r="K72" s="27"/>
      <c r="L72" s="27"/>
      <c r="M72" s="27"/>
      <c r="N72" s="27"/>
      <c r="O72" s="27"/>
      <c r="P72" s="27"/>
      <c r="Q72" s="27"/>
      <c r="R72" s="27"/>
      <c r="S72" s="27"/>
      <c r="T72" s="27"/>
      <c r="U72" s="27"/>
      <c r="V72" s="27"/>
      <c r="W72" s="27"/>
      <c r="X72" s="27"/>
      <c r="Y72" s="27"/>
      <c r="Z72" s="27"/>
      <c r="AA72" s="27"/>
      <c r="AB72" s="27"/>
      <c r="AC72" s="27"/>
      <c r="AD72" s="27"/>
      <c r="AE72" s="27"/>
      <c r="AF72" s="27"/>
    </row>
    <row r="73" spans="2:33" x14ac:dyDescent="0.25">
      <c r="B73" s="72"/>
      <c r="C73" s="72"/>
      <c r="D73" s="72"/>
      <c r="E73" s="72"/>
      <c r="F73" s="72"/>
      <c r="G73" s="72"/>
      <c r="H73" s="27"/>
      <c r="I73" s="27"/>
      <c r="J73" s="27"/>
      <c r="K73" s="27"/>
      <c r="L73" s="27"/>
      <c r="M73" s="27"/>
      <c r="N73" s="27"/>
      <c r="O73" s="27"/>
      <c r="P73" s="27"/>
      <c r="Q73" s="27"/>
      <c r="R73" s="27"/>
      <c r="S73" s="27"/>
      <c r="T73" s="27"/>
      <c r="U73" s="27"/>
      <c r="V73" s="27"/>
      <c r="W73" s="27"/>
      <c r="X73" s="27"/>
      <c r="Y73" s="27"/>
      <c r="Z73" s="27"/>
      <c r="AA73" s="27"/>
      <c r="AB73" s="27"/>
      <c r="AC73" s="27"/>
      <c r="AD73" s="27"/>
      <c r="AE73" s="27"/>
      <c r="AF73" s="27"/>
    </row>
    <row r="74" spans="2:33" ht="12" customHeight="1" x14ac:dyDescent="0.25"/>
    <row r="75" spans="2:33" ht="12.75" hidden="1" customHeight="1" x14ac:dyDescent="0.25">
      <c r="B75" s="11" t="s">
        <v>81</v>
      </c>
    </row>
    <row r="76" spans="2:33" ht="12.75" hidden="1" customHeight="1" x14ac:dyDescent="0.25">
      <c r="B76" s="11" t="s">
        <v>82</v>
      </c>
      <c r="G76" s="28"/>
      <c r="H76" s="28"/>
      <c r="I76" s="28"/>
      <c r="J76" s="28"/>
      <c r="K76" s="28"/>
      <c r="L76" s="28"/>
      <c r="M76" s="28"/>
      <c r="N76" s="28"/>
      <c r="O76" s="28"/>
      <c r="P76" s="28"/>
      <c r="Q76" s="28"/>
      <c r="R76" s="28"/>
      <c r="S76" s="28"/>
      <c r="T76" s="28"/>
      <c r="U76" s="28"/>
      <c r="V76" s="28"/>
      <c r="W76" s="28"/>
      <c r="X76" s="28"/>
      <c r="Y76" s="28"/>
      <c r="Z76" s="28"/>
      <c r="AA76" s="28"/>
      <c r="AB76" s="28"/>
      <c r="AC76" s="28"/>
      <c r="AD76" s="28"/>
      <c r="AE76" s="28"/>
      <c r="AF76" s="28"/>
      <c r="AG76" s="28"/>
    </row>
    <row r="77" spans="2:33" ht="12.75" hidden="1" customHeight="1" x14ac:dyDescent="0.25">
      <c r="B77" s="11" t="s">
        <v>83</v>
      </c>
      <c r="G77" s="72"/>
      <c r="H77" s="72"/>
      <c r="I77" s="72"/>
      <c r="J77" s="72"/>
      <c r="K77" s="72"/>
      <c r="L77" s="72"/>
      <c r="M77" s="72"/>
      <c r="N77" s="72"/>
      <c r="O77" s="72"/>
      <c r="P77" s="72"/>
      <c r="Q77" s="72"/>
      <c r="R77" s="72"/>
      <c r="S77" s="72"/>
      <c r="T77" s="72"/>
      <c r="U77" s="72"/>
      <c r="V77" s="72"/>
      <c r="W77" s="72"/>
      <c r="X77" s="72"/>
      <c r="Y77" s="72"/>
      <c r="Z77" s="72"/>
      <c r="AA77" s="72"/>
      <c r="AB77" s="72"/>
      <c r="AC77" s="72"/>
      <c r="AD77" s="72"/>
      <c r="AE77" s="72"/>
      <c r="AF77" s="72"/>
      <c r="AG77" s="72"/>
    </row>
    <row r="78" spans="2:33" ht="12.75" hidden="1" customHeight="1" x14ac:dyDescent="0.25">
      <c r="B78" s="11" t="s">
        <v>84</v>
      </c>
      <c r="G78" s="72"/>
      <c r="H78" s="72"/>
      <c r="I78" s="72"/>
      <c r="J78" s="72"/>
      <c r="K78" s="72"/>
      <c r="L78" s="72"/>
      <c r="M78" s="72"/>
      <c r="N78" s="72"/>
      <c r="O78" s="72"/>
      <c r="P78" s="72"/>
      <c r="Q78" s="72"/>
      <c r="R78" s="72"/>
      <c r="S78" s="72"/>
      <c r="T78" s="72"/>
      <c r="U78" s="72"/>
      <c r="V78" s="72"/>
      <c r="W78" s="72"/>
      <c r="X78" s="72"/>
      <c r="Y78" s="72"/>
      <c r="Z78" s="72"/>
      <c r="AA78" s="72"/>
      <c r="AB78" s="72"/>
      <c r="AC78" s="72"/>
      <c r="AD78" s="72"/>
      <c r="AE78" s="72"/>
      <c r="AF78" s="72"/>
      <c r="AG78" s="72"/>
    </row>
    <row r="79" spans="2:33" ht="12.75" hidden="1" customHeight="1" x14ac:dyDescent="0.25">
      <c r="B79" s="11" t="s">
        <v>85</v>
      </c>
      <c r="F79" s="94"/>
      <c r="G79" s="94"/>
      <c r="H79" s="94"/>
      <c r="I79" s="94"/>
      <c r="S79" s="94"/>
      <c r="T79" s="94"/>
      <c r="U79" s="94"/>
      <c r="V79" s="94"/>
      <c r="W79" s="94"/>
      <c r="X79" s="94"/>
      <c r="Y79" s="94"/>
      <c r="Z79" s="94"/>
      <c r="AA79" s="94"/>
      <c r="AB79" s="94"/>
      <c r="AC79" s="94"/>
      <c r="AD79" s="94"/>
      <c r="AE79" s="94"/>
      <c r="AF79" s="94"/>
      <c r="AG79" s="94"/>
    </row>
    <row r="80" spans="2:33" ht="12.75" hidden="1" customHeight="1" x14ac:dyDescent="0.25">
      <c r="B80" s="11" t="s">
        <v>86</v>
      </c>
      <c r="F80" s="94"/>
      <c r="G80" s="94"/>
      <c r="H80" s="94"/>
      <c r="I80" s="94"/>
      <c r="S80" s="94"/>
      <c r="T80" s="94"/>
      <c r="U80" s="94"/>
      <c r="V80" s="94"/>
      <c r="W80" s="94"/>
      <c r="X80" s="94"/>
      <c r="Y80" s="94"/>
      <c r="Z80" s="94"/>
      <c r="AA80" s="94"/>
      <c r="AB80" s="94"/>
      <c r="AC80" s="94"/>
      <c r="AD80" s="94"/>
      <c r="AE80" s="94"/>
      <c r="AF80" s="94"/>
      <c r="AG80" s="94"/>
    </row>
    <row r="81" spans="2:33" ht="12.75" hidden="1" customHeight="1" x14ac:dyDescent="0.25">
      <c r="B81" s="11" t="s">
        <v>87</v>
      </c>
      <c r="S81" s="94"/>
      <c r="T81" s="94"/>
      <c r="U81" s="94"/>
      <c r="V81" s="94"/>
      <c r="W81" s="94"/>
      <c r="X81" s="94"/>
      <c r="Y81" s="94"/>
      <c r="Z81" s="94"/>
      <c r="AA81" s="94"/>
      <c r="AB81" s="94"/>
      <c r="AC81" s="94"/>
      <c r="AD81" s="94"/>
      <c r="AE81" s="94"/>
      <c r="AF81" s="94"/>
      <c r="AG81" s="94"/>
    </row>
    <row r="82" spans="2:33" ht="12.75" hidden="1" customHeight="1" x14ac:dyDescent="0.25">
      <c r="B82" s="11" t="s">
        <v>88</v>
      </c>
    </row>
    <row r="83" spans="2:33" ht="12.75" hidden="1" customHeight="1" x14ac:dyDescent="0.25">
      <c r="B83" s="11" t="s">
        <v>89</v>
      </c>
    </row>
    <row r="84" spans="2:33" ht="12.75" hidden="1" customHeight="1" x14ac:dyDescent="0.25">
      <c r="B84" s="11" t="s">
        <v>90</v>
      </c>
    </row>
    <row r="85" spans="2:33" ht="12.75" hidden="1" customHeight="1" x14ac:dyDescent="0.25">
      <c r="B85" s="11" t="s">
        <v>91</v>
      </c>
    </row>
    <row r="86" spans="2:33" ht="12.75" hidden="1" customHeight="1" x14ac:dyDescent="0.25">
      <c r="B86" s="11" t="s">
        <v>92</v>
      </c>
    </row>
    <row r="87" spans="2:33" ht="12.75" hidden="1" customHeight="1" x14ac:dyDescent="0.25">
      <c r="B87" s="11" t="s">
        <v>93</v>
      </c>
    </row>
    <row r="88" spans="2:33" ht="12.75" hidden="1" customHeight="1" x14ac:dyDescent="0.25">
      <c r="B88" s="11" t="s">
        <v>94</v>
      </c>
    </row>
    <row r="89" spans="2:33" ht="12.75" hidden="1" customHeight="1" x14ac:dyDescent="0.25">
      <c r="B89" s="11" t="s">
        <v>95</v>
      </c>
    </row>
    <row r="90" spans="2:33" ht="12.75" hidden="1" customHeight="1" x14ac:dyDescent="0.25">
      <c r="B90" s="11" t="s">
        <v>96</v>
      </c>
    </row>
    <row r="91" spans="2:33" ht="12.75" hidden="1" customHeight="1" x14ac:dyDescent="0.25">
      <c r="B91" s="11" t="s">
        <v>97</v>
      </c>
    </row>
    <row r="92" spans="2:33" ht="12.75" hidden="1" customHeight="1" x14ac:dyDescent="0.25">
      <c r="B92" s="11" t="s">
        <v>98</v>
      </c>
    </row>
    <row r="93" spans="2:33" ht="12.75" hidden="1" customHeight="1" x14ac:dyDescent="0.25">
      <c r="B93" s="11" t="s">
        <v>99</v>
      </c>
    </row>
    <row r="94" spans="2:33" ht="12.75" hidden="1" customHeight="1" x14ac:dyDescent="0.25">
      <c r="B94" s="11" t="s">
        <v>100</v>
      </c>
    </row>
    <row r="95" spans="2:33" ht="12.75" hidden="1" customHeight="1" x14ac:dyDescent="0.25">
      <c r="B95" s="11" t="s">
        <v>101</v>
      </c>
    </row>
    <row r="96" spans="2:33" ht="12.75" hidden="1" customHeight="1" x14ac:dyDescent="0.25">
      <c r="B96" s="11" t="s">
        <v>102</v>
      </c>
    </row>
    <row r="97" spans="2:2" ht="12.75" hidden="1" customHeight="1" x14ac:dyDescent="0.25">
      <c r="B97" s="11" t="s">
        <v>103</v>
      </c>
    </row>
    <row r="98" spans="2:2" ht="12.75" hidden="1" customHeight="1" x14ac:dyDescent="0.25">
      <c r="B98" s="11" t="s">
        <v>104</v>
      </c>
    </row>
    <row r="99" spans="2:2" ht="12.75" hidden="1" customHeight="1" x14ac:dyDescent="0.25">
      <c r="B99" s="11" t="s">
        <v>105</v>
      </c>
    </row>
    <row r="100" spans="2:2" ht="12.75" hidden="1" customHeight="1" x14ac:dyDescent="0.25">
      <c r="B100" s="11" t="s">
        <v>106</v>
      </c>
    </row>
    <row r="101" spans="2:2" ht="12.75" hidden="1" customHeight="1" x14ac:dyDescent="0.25">
      <c r="B101" s="11" t="s">
        <v>107</v>
      </c>
    </row>
    <row r="102" spans="2:2" ht="12.75" hidden="1" customHeight="1" x14ac:dyDescent="0.25">
      <c r="B102" s="11" t="s">
        <v>108</v>
      </c>
    </row>
    <row r="161" x14ac:dyDescent="0.25"/>
    <row r="162" x14ac:dyDescent="0.25"/>
    <row r="173" x14ac:dyDescent="0.25"/>
    <row r="174" x14ac:dyDescent="0.25"/>
    <row r="175" x14ac:dyDescent="0.25"/>
  </sheetData>
  <sheetProtection formatCells="0" formatRows="0" insertColumns="0" insertRows="0" insertHyperlinks="0" deleteRows="0" selectLockedCells="1" sort="0" autoFilter="0" pivotTables="0"/>
  <mergeCells count="103">
    <mergeCell ref="AB4:AG4"/>
    <mergeCell ref="AB5:AG5"/>
    <mergeCell ref="AE6:AG6"/>
    <mergeCell ref="AE7:AG7"/>
    <mergeCell ref="A8:AG8"/>
    <mergeCell ref="AB6:AD6"/>
    <mergeCell ref="AB7:AD7"/>
    <mergeCell ref="E6:V6"/>
    <mergeCell ref="B15:F15"/>
    <mergeCell ref="W7:AA7"/>
    <mergeCell ref="G15:AF15"/>
    <mergeCell ref="A9:AG9"/>
    <mergeCell ref="E7:V7"/>
    <mergeCell ref="A4:V4"/>
    <mergeCell ref="A5:V5"/>
    <mergeCell ref="W4:AA4"/>
    <mergeCell ref="W5:AA5"/>
    <mergeCell ref="A6:D6"/>
    <mergeCell ref="A7:D7"/>
    <mergeCell ref="W6:AA6"/>
    <mergeCell ref="B17:F17"/>
    <mergeCell ref="B16:F16"/>
    <mergeCell ref="B20:F20"/>
    <mergeCell ref="G20:AF20"/>
    <mergeCell ref="B19:F19"/>
    <mergeCell ref="G19:AF19"/>
    <mergeCell ref="E44:X44"/>
    <mergeCell ref="E45:X45"/>
    <mergeCell ref="B24:D24"/>
    <mergeCell ref="B18:F18"/>
    <mergeCell ref="G18:AF18"/>
    <mergeCell ref="B42:D42"/>
    <mergeCell ref="E42:X42"/>
    <mergeCell ref="B28:D28"/>
    <mergeCell ref="E28:H28"/>
    <mergeCell ref="I28:Q28"/>
    <mergeCell ref="R28:AF28"/>
    <mergeCell ref="G16:AF16"/>
    <mergeCell ref="G21:AF21"/>
    <mergeCell ref="B21:F21"/>
    <mergeCell ref="G17:AF17"/>
    <mergeCell ref="Y41:AF41"/>
    <mergeCell ref="B41:D41"/>
    <mergeCell ref="B30:D30"/>
    <mergeCell ref="I25:Q25"/>
    <mergeCell ref="B39:D39"/>
    <mergeCell ref="I24:Q24"/>
    <mergeCell ref="R24:AF24"/>
    <mergeCell ref="E27:H27"/>
    <mergeCell ref="I27:Q27"/>
    <mergeCell ref="R27:AF27"/>
    <mergeCell ref="R25:AF25"/>
    <mergeCell ref="R26:AF26"/>
    <mergeCell ref="B34:AF34"/>
    <mergeCell ref="E24:H24"/>
    <mergeCell ref="E25:H25"/>
    <mergeCell ref="E26:H26"/>
    <mergeCell ref="E30:H30"/>
    <mergeCell ref="B27:D27"/>
    <mergeCell ref="B25:D25"/>
    <mergeCell ref="I30:Q30"/>
    <mergeCell ref="B26:D26"/>
    <mergeCell ref="I26:Q26"/>
    <mergeCell ref="R29:AF29"/>
    <mergeCell ref="I29:Q29"/>
    <mergeCell ref="B29:D29"/>
    <mergeCell ref="E29:H29"/>
    <mergeCell ref="B56:G56"/>
    <mergeCell ref="B54:G54"/>
    <mergeCell ref="B53:G53"/>
    <mergeCell ref="B55:G55"/>
    <mergeCell ref="B52:G52"/>
    <mergeCell ref="B51:G51"/>
    <mergeCell ref="Y47:AF47"/>
    <mergeCell ref="Y48:AF48"/>
    <mergeCell ref="B46:D46"/>
    <mergeCell ref="B48:D48"/>
    <mergeCell ref="H56:AF56"/>
    <mergeCell ref="H55:AF55"/>
    <mergeCell ref="H54:AF54"/>
    <mergeCell ref="H53:AF53"/>
    <mergeCell ref="H52:AF52"/>
    <mergeCell ref="B47:D47"/>
    <mergeCell ref="Y46:AF46"/>
    <mergeCell ref="E46:X46"/>
    <mergeCell ref="E48:X48"/>
    <mergeCell ref="H51:AF51"/>
    <mergeCell ref="E47:X47"/>
    <mergeCell ref="B45:D45"/>
    <mergeCell ref="Y45:AF45"/>
    <mergeCell ref="Y44:AF44"/>
    <mergeCell ref="R30:AF30"/>
    <mergeCell ref="Y38:AF38"/>
    <mergeCell ref="B38:D38"/>
    <mergeCell ref="E38:X38"/>
    <mergeCell ref="E41:X41"/>
    <mergeCell ref="E40:X40"/>
    <mergeCell ref="E39:X39"/>
    <mergeCell ref="B40:D40"/>
    <mergeCell ref="Y39:AF39"/>
    <mergeCell ref="Y40:AF40"/>
    <mergeCell ref="Y42:AF42"/>
    <mergeCell ref="B44:D44"/>
  </mergeCells>
  <phoneticPr fontId="3" type="noConversion"/>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Reserved&amp;LTBD ver 1.7&amp;R&amp;P</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9" tint="0.59999389629810485"/>
  </sheetPr>
  <dimension ref="B1:BH171"/>
  <sheetViews>
    <sheetView showGridLines="0" zoomScaleNormal="100" workbookViewId="0">
      <selection activeCell="B1" sqref="B1:AG37"/>
    </sheetView>
  </sheetViews>
  <sheetFormatPr defaultColWidth="0" defaultRowHeight="12.75" customHeight="1" zeroHeight="1" x14ac:dyDescent="0.25"/>
  <cols>
    <col min="1" max="33" width="2.88671875" style="11" customWidth="1"/>
    <col min="34" max="34" width="1.33203125" style="11" customWidth="1"/>
    <col min="35" max="60" width="3.33203125" style="11" hidden="1" customWidth="1"/>
    <col min="61" max="16384" width="0" style="11" hidden="1"/>
  </cols>
  <sheetData>
    <row r="1" spans="2:33" ht="13.2" x14ac:dyDescent="0.25">
      <c r="B1" s="171" t="s">
        <v>109</v>
      </c>
      <c r="C1" s="171"/>
      <c r="D1" s="171"/>
      <c r="E1" s="171"/>
      <c r="F1" s="171"/>
      <c r="G1" s="171"/>
      <c r="H1" s="171"/>
      <c r="I1" s="171"/>
      <c r="J1" s="171"/>
      <c r="K1" s="171"/>
      <c r="L1" s="171"/>
      <c r="M1" s="171"/>
      <c r="N1" s="171"/>
      <c r="O1" s="171"/>
      <c r="P1" s="171"/>
      <c r="Q1" s="171"/>
      <c r="R1" s="171"/>
      <c r="S1" s="171"/>
      <c r="T1" s="171"/>
      <c r="U1" s="171"/>
      <c r="V1" s="171"/>
      <c r="W1" s="171"/>
      <c r="X1" s="171"/>
      <c r="Y1" s="171"/>
      <c r="Z1" s="171"/>
      <c r="AA1" s="171"/>
      <c r="AB1" s="171"/>
      <c r="AC1" s="171"/>
      <c r="AD1" s="171"/>
      <c r="AE1" s="171"/>
      <c r="AF1" s="171"/>
      <c r="AG1" s="171"/>
    </row>
    <row r="2" spans="2:33" ht="20.25" customHeight="1" x14ac:dyDescent="0.25">
      <c r="B2" s="171"/>
      <c r="C2" s="171"/>
      <c r="D2" s="171"/>
      <c r="E2" s="171"/>
      <c r="F2" s="171"/>
      <c r="G2" s="171"/>
      <c r="H2" s="171"/>
      <c r="I2" s="171"/>
      <c r="J2" s="171"/>
      <c r="K2" s="171"/>
      <c r="L2" s="171"/>
      <c r="M2" s="171"/>
      <c r="N2" s="171"/>
      <c r="O2" s="171"/>
      <c r="P2" s="171"/>
      <c r="Q2" s="171"/>
      <c r="R2" s="171"/>
      <c r="S2" s="171"/>
      <c r="T2" s="171"/>
      <c r="U2" s="171"/>
      <c r="V2" s="171"/>
      <c r="W2" s="171"/>
      <c r="X2" s="171"/>
      <c r="Y2" s="171"/>
      <c r="Z2" s="171"/>
      <c r="AA2" s="171"/>
      <c r="AB2" s="171"/>
      <c r="AC2" s="171"/>
      <c r="AD2" s="171"/>
      <c r="AE2" s="171"/>
      <c r="AF2" s="171"/>
      <c r="AG2" s="171"/>
    </row>
    <row r="3" spans="2:33" ht="13.2" x14ac:dyDescent="0.25">
      <c r="B3" s="171"/>
      <c r="C3" s="171"/>
      <c r="D3" s="171"/>
      <c r="E3" s="171"/>
      <c r="F3" s="171"/>
      <c r="G3" s="171"/>
      <c r="H3" s="171"/>
      <c r="I3" s="171"/>
      <c r="J3" s="171"/>
      <c r="K3" s="171"/>
      <c r="L3" s="171"/>
      <c r="M3" s="171"/>
      <c r="N3" s="171"/>
      <c r="O3" s="171"/>
      <c r="P3" s="171"/>
      <c r="Q3" s="171"/>
      <c r="R3" s="171"/>
      <c r="S3" s="171"/>
      <c r="T3" s="171"/>
      <c r="U3" s="171"/>
      <c r="V3" s="171"/>
      <c r="W3" s="171"/>
      <c r="X3" s="171"/>
      <c r="Y3" s="171"/>
      <c r="Z3" s="171"/>
      <c r="AA3" s="171"/>
      <c r="AB3" s="171"/>
      <c r="AC3" s="171"/>
      <c r="AD3" s="171"/>
      <c r="AE3" s="171"/>
      <c r="AF3" s="171"/>
      <c r="AG3" s="171"/>
    </row>
    <row r="4" spans="2:33" ht="13.2" x14ac:dyDescent="0.25">
      <c r="B4" s="171"/>
      <c r="C4" s="171"/>
      <c r="D4" s="171"/>
      <c r="E4" s="171"/>
      <c r="F4" s="171"/>
      <c r="G4" s="171"/>
      <c r="H4" s="171"/>
      <c r="I4" s="171"/>
      <c r="J4" s="171"/>
      <c r="K4" s="171"/>
      <c r="L4" s="171"/>
      <c r="M4" s="171"/>
      <c r="N4" s="171"/>
      <c r="O4" s="171"/>
      <c r="P4" s="171"/>
      <c r="Q4" s="171"/>
      <c r="R4" s="171"/>
      <c r="S4" s="171"/>
      <c r="T4" s="171"/>
      <c r="U4" s="171"/>
      <c r="V4" s="171"/>
      <c r="W4" s="171"/>
      <c r="X4" s="171"/>
      <c r="Y4" s="171"/>
      <c r="Z4" s="171"/>
      <c r="AA4" s="171"/>
      <c r="AB4" s="171"/>
      <c r="AC4" s="171"/>
      <c r="AD4" s="171"/>
      <c r="AE4" s="171"/>
      <c r="AF4" s="171"/>
      <c r="AG4" s="171"/>
    </row>
    <row r="5" spans="2:33" ht="13.2" x14ac:dyDescent="0.25">
      <c r="B5" s="171"/>
      <c r="C5" s="171"/>
      <c r="D5" s="171"/>
      <c r="E5" s="171"/>
      <c r="F5" s="171"/>
      <c r="G5" s="171"/>
      <c r="H5" s="171"/>
      <c r="I5" s="171"/>
      <c r="J5" s="171"/>
      <c r="K5" s="171"/>
      <c r="L5" s="171"/>
      <c r="M5" s="171"/>
      <c r="N5" s="171"/>
      <c r="O5" s="171"/>
      <c r="P5" s="171"/>
      <c r="Q5" s="171"/>
      <c r="R5" s="171"/>
      <c r="S5" s="171"/>
      <c r="T5" s="171"/>
      <c r="U5" s="171"/>
      <c r="V5" s="171"/>
      <c r="W5" s="171"/>
      <c r="X5" s="171"/>
      <c r="Y5" s="171"/>
      <c r="Z5" s="171"/>
      <c r="AA5" s="171"/>
      <c r="AB5" s="171"/>
      <c r="AC5" s="171"/>
      <c r="AD5" s="171"/>
      <c r="AE5" s="171"/>
      <c r="AF5" s="171"/>
      <c r="AG5" s="171"/>
    </row>
    <row r="6" spans="2:33" ht="13.2" x14ac:dyDescent="0.25">
      <c r="B6" s="171"/>
      <c r="C6" s="171"/>
      <c r="D6" s="171"/>
      <c r="E6" s="171"/>
      <c r="F6" s="171"/>
      <c r="G6" s="171"/>
      <c r="H6" s="171"/>
      <c r="I6" s="171"/>
      <c r="J6" s="171"/>
      <c r="K6" s="171"/>
      <c r="L6" s="171"/>
      <c r="M6" s="171"/>
      <c r="N6" s="171"/>
      <c r="O6" s="171"/>
      <c r="P6" s="171"/>
      <c r="Q6" s="171"/>
      <c r="R6" s="171"/>
      <c r="S6" s="171"/>
      <c r="T6" s="171"/>
      <c r="U6" s="171"/>
      <c r="V6" s="171"/>
      <c r="W6" s="171"/>
      <c r="X6" s="171"/>
      <c r="Y6" s="171"/>
      <c r="Z6" s="171"/>
      <c r="AA6" s="171"/>
      <c r="AB6" s="171"/>
      <c r="AC6" s="171"/>
      <c r="AD6" s="171"/>
      <c r="AE6" s="171"/>
      <c r="AF6" s="171"/>
      <c r="AG6" s="171"/>
    </row>
    <row r="7" spans="2:33" ht="13.2" x14ac:dyDescent="0.25">
      <c r="B7" s="171"/>
      <c r="C7" s="171"/>
      <c r="D7" s="171"/>
      <c r="E7" s="171"/>
      <c r="F7" s="171"/>
      <c r="G7" s="171"/>
      <c r="H7" s="171"/>
      <c r="I7" s="171"/>
      <c r="J7" s="171"/>
      <c r="K7" s="171"/>
      <c r="L7" s="171"/>
      <c r="M7" s="171"/>
      <c r="N7" s="171"/>
      <c r="O7" s="171"/>
      <c r="P7" s="171"/>
      <c r="Q7" s="171"/>
      <c r="R7" s="171"/>
      <c r="S7" s="171"/>
      <c r="T7" s="171"/>
      <c r="U7" s="171"/>
      <c r="V7" s="171"/>
      <c r="W7" s="171"/>
      <c r="X7" s="171"/>
      <c r="Y7" s="171"/>
      <c r="Z7" s="171"/>
      <c r="AA7" s="171"/>
      <c r="AB7" s="171"/>
      <c r="AC7" s="171"/>
      <c r="AD7" s="171"/>
      <c r="AE7" s="171"/>
      <c r="AF7" s="171"/>
      <c r="AG7" s="171"/>
    </row>
    <row r="8" spans="2:33" ht="13.2" x14ac:dyDescent="0.25">
      <c r="B8" s="171"/>
      <c r="C8" s="171"/>
      <c r="D8" s="171"/>
      <c r="E8" s="171"/>
      <c r="F8" s="171"/>
      <c r="G8" s="171"/>
      <c r="H8" s="171"/>
      <c r="I8" s="171"/>
      <c r="J8" s="171"/>
      <c r="K8" s="171"/>
      <c r="L8" s="171"/>
      <c r="M8" s="171"/>
      <c r="N8" s="171"/>
      <c r="O8" s="171"/>
      <c r="P8" s="171"/>
      <c r="Q8" s="171"/>
      <c r="R8" s="171"/>
      <c r="S8" s="171"/>
      <c r="T8" s="171"/>
      <c r="U8" s="171"/>
      <c r="V8" s="171"/>
      <c r="W8" s="171"/>
      <c r="X8" s="171"/>
      <c r="Y8" s="171"/>
      <c r="Z8" s="171"/>
      <c r="AA8" s="171"/>
      <c r="AB8" s="171"/>
      <c r="AC8" s="171"/>
      <c r="AD8" s="171"/>
      <c r="AE8" s="171"/>
      <c r="AF8" s="171"/>
      <c r="AG8" s="171"/>
    </row>
    <row r="9" spans="2:33" ht="13.2" x14ac:dyDescent="0.25">
      <c r="B9" s="171"/>
      <c r="C9" s="171"/>
      <c r="D9" s="171"/>
      <c r="E9" s="171"/>
      <c r="F9" s="171"/>
      <c r="G9" s="171"/>
      <c r="H9" s="171"/>
      <c r="I9" s="171"/>
      <c r="J9" s="171"/>
      <c r="K9" s="171"/>
      <c r="L9" s="171"/>
      <c r="M9" s="171"/>
      <c r="N9" s="171"/>
      <c r="O9" s="171"/>
      <c r="P9" s="171"/>
      <c r="Q9" s="171"/>
      <c r="R9" s="171"/>
      <c r="S9" s="171"/>
      <c r="T9" s="171"/>
      <c r="U9" s="171"/>
      <c r="V9" s="171"/>
      <c r="W9" s="171"/>
      <c r="X9" s="171"/>
      <c r="Y9" s="171"/>
      <c r="Z9" s="171"/>
      <c r="AA9" s="171"/>
      <c r="AB9" s="171"/>
      <c r="AC9" s="171"/>
      <c r="AD9" s="171"/>
      <c r="AE9" s="171"/>
      <c r="AF9" s="171"/>
      <c r="AG9" s="171"/>
    </row>
    <row r="10" spans="2:33" ht="13.2" x14ac:dyDescent="0.25">
      <c r="B10" s="171"/>
      <c r="C10" s="171"/>
      <c r="D10" s="171"/>
      <c r="E10" s="171"/>
      <c r="F10" s="171"/>
      <c r="G10" s="171"/>
      <c r="H10" s="171"/>
      <c r="I10" s="171"/>
      <c r="J10" s="171"/>
      <c r="K10" s="171"/>
      <c r="L10" s="171"/>
      <c r="M10" s="171"/>
      <c r="N10" s="171"/>
      <c r="O10" s="171"/>
      <c r="P10" s="171"/>
      <c r="Q10" s="171"/>
      <c r="R10" s="171"/>
      <c r="S10" s="171"/>
      <c r="T10" s="171"/>
      <c r="U10" s="171"/>
      <c r="V10" s="171"/>
      <c r="W10" s="171"/>
      <c r="X10" s="171"/>
      <c r="Y10" s="171"/>
      <c r="Z10" s="171"/>
      <c r="AA10" s="171"/>
      <c r="AB10" s="171"/>
      <c r="AC10" s="171"/>
      <c r="AD10" s="171"/>
      <c r="AE10" s="171"/>
      <c r="AF10" s="171"/>
      <c r="AG10" s="171"/>
    </row>
    <row r="11" spans="2:33" ht="13.2" x14ac:dyDescent="0.25">
      <c r="B11" s="171"/>
      <c r="C11" s="171"/>
      <c r="D11" s="171"/>
      <c r="E11" s="171"/>
      <c r="F11" s="171"/>
      <c r="G11" s="171"/>
      <c r="H11" s="171"/>
      <c r="I11" s="171"/>
      <c r="J11" s="171"/>
      <c r="K11" s="171"/>
      <c r="L11" s="171"/>
      <c r="M11" s="171"/>
      <c r="N11" s="171"/>
      <c r="O11" s="171"/>
      <c r="P11" s="171"/>
      <c r="Q11" s="171"/>
      <c r="R11" s="171"/>
      <c r="S11" s="171"/>
      <c r="T11" s="171"/>
      <c r="U11" s="171"/>
      <c r="V11" s="171"/>
      <c r="W11" s="171"/>
      <c r="X11" s="171"/>
      <c r="Y11" s="171"/>
      <c r="Z11" s="171"/>
      <c r="AA11" s="171"/>
      <c r="AB11" s="171"/>
      <c r="AC11" s="171"/>
      <c r="AD11" s="171"/>
      <c r="AE11" s="171"/>
      <c r="AF11" s="171"/>
      <c r="AG11" s="171"/>
    </row>
    <row r="12" spans="2:33" ht="13.2" x14ac:dyDescent="0.25">
      <c r="B12" s="171"/>
      <c r="C12" s="171"/>
      <c r="D12" s="171"/>
      <c r="E12" s="171"/>
      <c r="F12" s="171"/>
      <c r="G12" s="171"/>
      <c r="H12" s="171"/>
      <c r="I12" s="171"/>
      <c r="J12" s="171"/>
      <c r="K12" s="171"/>
      <c r="L12" s="171"/>
      <c r="M12" s="171"/>
      <c r="N12" s="171"/>
      <c r="O12" s="171"/>
      <c r="P12" s="171"/>
      <c r="Q12" s="171"/>
      <c r="R12" s="171"/>
      <c r="S12" s="171"/>
      <c r="T12" s="171"/>
      <c r="U12" s="171"/>
      <c r="V12" s="171"/>
      <c r="W12" s="171"/>
      <c r="X12" s="171"/>
      <c r="Y12" s="171"/>
      <c r="Z12" s="171"/>
      <c r="AA12" s="171"/>
      <c r="AB12" s="171"/>
      <c r="AC12" s="171"/>
      <c r="AD12" s="171"/>
      <c r="AE12" s="171"/>
      <c r="AF12" s="171"/>
      <c r="AG12" s="171"/>
    </row>
    <row r="13" spans="2:33" ht="13.2" x14ac:dyDescent="0.25">
      <c r="B13" s="171"/>
      <c r="C13" s="171"/>
      <c r="D13" s="171"/>
      <c r="E13" s="171"/>
      <c r="F13" s="171"/>
      <c r="G13" s="171"/>
      <c r="H13" s="171"/>
      <c r="I13" s="171"/>
      <c r="J13" s="171"/>
      <c r="K13" s="171"/>
      <c r="L13" s="171"/>
      <c r="M13" s="171"/>
      <c r="N13" s="171"/>
      <c r="O13" s="171"/>
      <c r="P13" s="171"/>
      <c r="Q13" s="171"/>
      <c r="R13" s="171"/>
      <c r="S13" s="171"/>
      <c r="T13" s="171"/>
      <c r="U13" s="171"/>
      <c r="V13" s="171"/>
      <c r="W13" s="171"/>
      <c r="X13" s="171"/>
      <c r="Y13" s="171"/>
      <c r="Z13" s="171"/>
      <c r="AA13" s="171"/>
      <c r="AB13" s="171"/>
      <c r="AC13" s="171"/>
      <c r="AD13" s="171"/>
      <c r="AE13" s="171"/>
      <c r="AF13" s="171"/>
      <c r="AG13" s="171"/>
    </row>
    <row r="14" spans="2:33" ht="13.2" x14ac:dyDescent="0.25">
      <c r="B14" s="171"/>
      <c r="C14" s="171"/>
      <c r="D14" s="171"/>
      <c r="E14" s="171"/>
      <c r="F14" s="171"/>
      <c r="G14" s="171"/>
      <c r="H14" s="171"/>
      <c r="I14" s="171"/>
      <c r="J14" s="171"/>
      <c r="K14" s="171"/>
      <c r="L14" s="171"/>
      <c r="M14" s="171"/>
      <c r="N14" s="171"/>
      <c r="O14" s="171"/>
      <c r="P14" s="171"/>
      <c r="Q14" s="171"/>
      <c r="R14" s="171"/>
      <c r="S14" s="171"/>
      <c r="T14" s="171"/>
      <c r="U14" s="171"/>
      <c r="V14" s="171"/>
      <c r="W14" s="171"/>
      <c r="X14" s="171"/>
      <c r="Y14" s="171"/>
      <c r="Z14" s="171"/>
      <c r="AA14" s="171"/>
      <c r="AB14" s="171"/>
      <c r="AC14" s="171"/>
      <c r="AD14" s="171"/>
      <c r="AE14" s="171"/>
      <c r="AF14" s="171"/>
      <c r="AG14" s="171"/>
    </row>
    <row r="15" spans="2:33" ht="13.2" x14ac:dyDescent="0.25">
      <c r="B15" s="171"/>
      <c r="C15" s="171"/>
      <c r="D15" s="171"/>
      <c r="E15" s="171"/>
      <c r="F15" s="171"/>
      <c r="G15" s="171"/>
      <c r="H15" s="171"/>
      <c r="I15" s="171"/>
      <c r="J15" s="171"/>
      <c r="K15" s="171"/>
      <c r="L15" s="171"/>
      <c r="M15" s="171"/>
      <c r="N15" s="171"/>
      <c r="O15" s="171"/>
      <c r="P15" s="171"/>
      <c r="Q15" s="171"/>
      <c r="R15" s="171"/>
      <c r="S15" s="171"/>
      <c r="T15" s="171"/>
      <c r="U15" s="171"/>
      <c r="V15" s="171"/>
      <c r="W15" s="171"/>
      <c r="X15" s="171"/>
      <c r="Y15" s="171"/>
      <c r="Z15" s="171"/>
      <c r="AA15" s="171"/>
      <c r="AB15" s="171"/>
      <c r="AC15" s="171"/>
      <c r="AD15" s="171"/>
      <c r="AE15" s="171"/>
      <c r="AF15" s="171"/>
      <c r="AG15" s="171"/>
    </row>
    <row r="16" spans="2:33" ht="13.2" x14ac:dyDescent="0.25">
      <c r="B16" s="171"/>
      <c r="C16" s="171"/>
      <c r="D16" s="171"/>
      <c r="E16" s="171"/>
      <c r="F16" s="171"/>
      <c r="G16" s="171"/>
      <c r="H16" s="171"/>
      <c r="I16" s="171"/>
      <c r="J16" s="171"/>
      <c r="K16" s="171"/>
      <c r="L16" s="171"/>
      <c r="M16" s="171"/>
      <c r="N16" s="171"/>
      <c r="O16" s="171"/>
      <c r="P16" s="171"/>
      <c r="Q16" s="171"/>
      <c r="R16" s="171"/>
      <c r="S16" s="171"/>
      <c r="T16" s="171"/>
      <c r="U16" s="171"/>
      <c r="V16" s="171"/>
      <c r="W16" s="171"/>
      <c r="X16" s="171"/>
      <c r="Y16" s="171"/>
      <c r="Z16" s="171"/>
      <c r="AA16" s="171"/>
      <c r="AB16" s="171"/>
      <c r="AC16" s="171"/>
      <c r="AD16" s="171"/>
      <c r="AE16" s="171"/>
      <c r="AF16" s="171"/>
      <c r="AG16" s="171"/>
    </row>
    <row r="17" spans="2:33" ht="13.2" x14ac:dyDescent="0.25">
      <c r="B17" s="171"/>
      <c r="C17" s="171"/>
      <c r="D17" s="171"/>
      <c r="E17" s="171"/>
      <c r="F17" s="171"/>
      <c r="G17" s="171"/>
      <c r="H17" s="171"/>
      <c r="I17" s="171"/>
      <c r="J17" s="171"/>
      <c r="K17" s="171"/>
      <c r="L17" s="171"/>
      <c r="M17" s="171"/>
      <c r="N17" s="171"/>
      <c r="O17" s="171"/>
      <c r="P17" s="171"/>
      <c r="Q17" s="171"/>
      <c r="R17" s="171"/>
      <c r="S17" s="171"/>
      <c r="T17" s="171"/>
      <c r="U17" s="171"/>
      <c r="V17" s="171"/>
      <c r="W17" s="171"/>
      <c r="X17" s="171"/>
      <c r="Y17" s="171"/>
      <c r="Z17" s="171"/>
      <c r="AA17" s="171"/>
      <c r="AB17" s="171"/>
      <c r="AC17" s="171"/>
      <c r="AD17" s="171"/>
      <c r="AE17" s="171"/>
      <c r="AF17" s="171"/>
      <c r="AG17" s="171"/>
    </row>
    <row r="18" spans="2:33" ht="13.2" x14ac:dyDescent="0.25">
      <c r="B18" s="171"/>
      <c r="C18" s="171"/>
      <c r="D18" s="171"/>
      <c r="E18" s="171"/>
      <c r="F18" s="171"/>
      <c r="G18" s="171"/>
      <c r="H18" s="171"/>
      <c r="I18" s="171"/>
      <c r="J18" s="171"/>
      <c r="K18" s="171"/>
      <c r="L18" s="171"/>
      <c r="M18" s="171"/>
      <c r="N18" s="171"/>
      <c r="O18" s="171"/>
      <c r="P18" s="171"/>
      <c r="Q18" s="171"/>
      <c r="R18" s="171"/>
      <c r="S18" s="171"/>
      <c r="T18" s="171"/>
      <c r="U18" s="171"/>
      <c r="V18" s="171"/>
      <c r="W18" s="171"/>
      <c r="X18" s="171"/>
      <c r="Y18" s="171"/>
      <c r="Z18" s="171"/>
      <c r="AA18" s="171"/>
      <c r="AB18" s="171"/>
      <c r="AC18" s="171"/>
      <c r="AD18" s="171"/>
      <c r="AE18" s="171"/>
      <c r="AF18" s="171"/>
      <c r="AG18" s="171"/>
    </row>
    <row r="19" spans="2:33" ht="13.2" x14ac:dyDescent="0.25">
      <c r="B19" s="171"/>
      <c r="C19" s="171"/>
      <c r="D19" s="171"/>
      <c r="E19" s="171"/>
      <c r="F19" s="171"/>
      <c r="G19" s="171"/>
      <c r="H19" s="171"/>
      <c r="I19" s="171"/>
      <c r="J19" s="171"/>
      <c r="K19" s="171"/>
      <c r="L19" s="171"/>
      <c r="M19" s="171"/>
      <c r="N19" s="171"/>
      <c r="O19" s="171"/>
      <c r="P19" s="171"/>
      <c r="Q19" s="171"/>
      <c r="R19" s="171"/>
      <c r="S19" s="171"/>
      <c r="T19" s="171"/>
      <c r="U19" s="171"/>
      <c r="V19" s="171"/>
      <c r="W19" s="171"/>
      <c r="X19" s="171"/>
      <c r="Y19" s="171"/>
      <c r="Z19" s="171"/>
      <c r="AA19" s="171"/>
      <c r="AB19" s="171"/>
      <c r="AC19" s="171"/>
      <c r="AD19" s="171"/>
      <c r="AE19" s="171"/>
      <c r="AF19" s="171"/>
      <c r="AG19" s="171"/>
    </row>
    <row r="20" spans="2:33" ht="13.2" x14ac:dyDescent="0.25">
      <c r="B20" s="171"/>
      <c r="C20" s="171"/>
      <c r="D20" s="171"/>
      <c r="E20" s="171"/>
      <c r="F20" s="171"/>
      <c r="G20" s="171"/>
      <c r="H20" s="171"/>
      <c r="I20" s="171"/>
      <c r="J20" s="171"/>
      <c r="K20" s="171"/>
      <c r="L20" s="171"/>
      <c r="M20" s="171"/>
      <c r="N20" s="171"/>
      <c r="O20" s="171"/>
      <c r="P20" s="171"/>
      <c r="Q20" s="171"/>
      <c r="R20" s="171"/>
      <c r="S20" s="171"/>
      <c r="T20" s="171"/>
      <c r="U20" s="171"/>
      <c r="V20" s="171"/>
      <c r="W20" s="171"/>
      <c r="X20" s="171"/>
      <c r="Y20" s="171"/>
      <c r="Z20" s="171"/>
      <c r="AA20" s="171"/>
      <c r="AB20" s="171"/>
      <c r="AC20" s="171"/>
      <c r="AD20" s="171"/>
      <c r="AE20" s="171"/>
      <c r="AF20" s="171"/>
      <c r="AG20" s="171"/>
    </row>
    <row r="21" spans="2:33" ht="13.2" x14ac:dyDescent="0.25">
      <c r="B21" s="171"/>
      <c r="C21" s="171"/>
      <c r="D21" s="171"/>
      <c r="E21" s="171"/>
      <c r="F21" s="171"/>
      <c r="G21" s="171"/>
      <c r="H21" s="171"/>
      <c r="I21" s="171"/>
      <c r="J21" s="171"/>
      <c r="K21" s="171"/>
      <c r="L21" s="171"/>
      <c r="M21" s="171"/>
      <c r="N21" s="171"/>
      <c r="O21" s="171"/>
      <c r="P21" s="171"/>
      <c r="Q21" s="171"/>
      <c r="R21" s="171"/>
      <c r="S21" s="171"/>
      <c r="T21" s="171"/>
      <c r="U21" s="171"/>
      <c r="V21" s="171"/>
      <c r="W21" s="171"/>
      <c r="X21" s="171"/>
      <c r="Y21" s="171"/>
      <c r="Z21" s="171"/>
      <c r="AA21" s="171"/>
      <c r="AB21" s="171"/>
      <c r="AC21" s="171"/>
      <c r="AD21" s="171"/>
      <c r="AE21" s="171"/>
      <c r="AF21" s="171"/>
      <c r="AG21" s="171"/>
    </row>
    <row r="22" spans="2:33" ht="13.2" x14ac:dyDescent="0.25">
      <c r="B22" s="171"/>
      <c r="C22" s="171"/>
      <c r="D22" s="171"/>
      <c r="E22" s="171"/>
      <c r="F22" s="171"/>
      <c r="G22" s="171"/>
      <c r="H22" s="171"/>
      <c r="I22" s="171"/>
      <c r="J22" s="171"/>
      <c r="K22" s="171"/>
      <c r="L22" s="171"/>
      <c r="M22" s="171"/>
      <c r="N22" s="171"/>
      <c r="O22" s="171"/>
      <c r="P22" s="171"/>
      <c r="Q22" s="171"/>
      <c r="R22" s="171"/>
      <c r="S22" s="171"/>
      <c r="T22" s="171"/>
      <c r="U22" s="171"/>
      <c r="V22" s="171"/>
      <c r="W22" s="171"/>
      <c r="X22" s="171"/>
      <c r="Y22" s="171"/>
      <c r="Z22" s="171"/>
      <c r="AA22" s="171"/>
      <c r="AB22" s="171"/>
      <c r="AC22" s="171"/>
      <c r="AD22" s="171"/>
      <c r="AE22" s="171"/>
      <c r="AF22" s="171"/>
      <c r="AG22" s="171"/>
    </row>
    <row r="23" spans="2:33" ht="13.2" x14ac:dyDescent="0.25">
      <c r="B23" s="171"/>
      <c r="C23" s="171"/>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71"/>
      <c r="AB23" s="171"/>
      <c r="AC23" s="171"/>
      <c r="AD23" s="171"/>
      <c r="AE23" s="171"/>
      <c r="AF23" s="171"/>
      <c r="AG23" s="171"/>
    </row>
    <row r="24" spans="2:33" ht="13.2" x14ac:dyDescent="0.25">
      <c r="B24" s="171"/>
      <c r="C24" s="171"/>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71"/>
      <c r="AB24" s="171"/>
      <c r="AC24" s="171"/>
      <c r="AD24" s="171"/>
      <c r="AE24" s="171"/>
      <c r="AF24" s="171"/>
      <c r="AG24" s="171"/>
    </row>
    <row r="25" spans="2:33" ht="13.2" x14ac:dyDescent="0.25">
      <c r="B25" s="171"/>
      <c r="C25" s="171"/>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71"/>
      <c r="AB25" s="171"/>
      <c r="AC25" s="171"/>
      <c r="AD25" s="171"/>
      <c r="AE25" s="171"/>
      <c r="AF25" s="171"/>
      <c r="AG25" s="171"/>
    </row>
    <row r="26" spans="2:33" ht="13.2" x14ac:dyDescent="0.25">
      <c r="B26" s="171"/>
      <c r="C26" s="171"/>
      <c r="D26" s="171"/>
      <c r="E26" s="171"/>
      <c r="F26" s="171"/>
      <c r="G26" s="171"/>
      <c r="H26" s="171"/>
      <c r="I26" s="171"/>
      <c r="J26" s="171"/>
      <c r="K26" s="171"/>
      <c r="L26" s="171"/>
      <c r="M26" s="171"/>
      <c r="N26" s="171"/>
      <c r="O26" s="171"/>
      <c r="P26" s="171"/>
      <c r="Q26" s="171"/>
      <c r="R26" s="171"/>
      <c r="S26" s="171"/>
      <c r="T26" s="171"/>
      <c r="U26" s="171"/>
      <c r="V26" s="171"/>
      <c r="W26" s="171"/>
      <c r="X26" s="171"/>
      <c r="Y26" s="171"/>
      <c r="Z26" s="171"/>
      <c r="AA26" s="171"/>
      <c r="AB26" s="171"/>
      <c r="AC26" s="171"/>
      <c r="AD26" s="171"/>
      <c r="AE26" s="171"/>
      <c r="AF26" s="171"/>
      <c r="AG26" s="171"/>
    </row>
    <row r="27" spans="2:33" ht="13.2" x14ac:dyDescent="0.25">
      <c r="B27" s="171"/>
      <c r="C27" s="171"/>
      <c r="D27" s="171"/>
      <c r="E27" s="171"/>
      <c r="F27" s="171"/>
      <c r="G27" s="171"/>
      <c r="H27" s="171"/>
      <c r="I27" s="171"/>
      <c r="J27" s="171"/>
      <c r="K27" s="171"/>
      <c r="L27" s="171"/>
      <c r="M27" s="171"/>
      <c r="N27" s="171"/>
      <c r="O27" s="171"/>
      <c r="P27" s="171"/>
      <c r="Q27" s="171"/>
      <c r="R27" s="171"/>
      <c r="S27" s="171"/>
      <c r="T27" s="171"/>
      <c r="U27" s="171"/>
      <c r="V27" s="171"/>
      <c r="W27" s="171"/>
      <c r="X27" s="171"/>
      <c r="Y27" s="171"/>
      <c r="Z27" s="171"/>
      <c r="AA27" s="171"/>
      <c r="AB27" s="171"/>
      <c r="AC27" s="171"/>
      <c r="AD27" s="171"/>
      <c r="AE27" s="171"/>
      <c r="AF27" s="171"/>
      <c r="AG27" s="171"/>
    </row>
    <row r="28" spans="2:33" ht="13.2" x14ac:dyDescent="0.25">
      <c r="B28" s="171"/>
      <c r="C28" s="171"/>
      <c r="D28" s="171"/>
      <c r="E28" s="171"/>
      <c r="F28" s="171"/>
      <c r="G28" s="171"/>
      <c r="H28" s="171"/>
      <c r="I28" s="171"/>
      <c r="J28" s="171"/>
      <c r="K28" s="171"/>
      <c r="L28" s="171"/>
      <c r="M28" s="171"/>
      <c r="N28" s="171"/>
      <c r="O28" s="171"/>
      <c r="P28" s="171"/>
      <c r="Q28" s="171"/>
      <c r="R28" s="171"/>
      <c r="S28" s="171"/>
      <c r="T28" s="171"/>
      <c r="U28" s="171"/>
      <c r="V28" s="171"/>
      <c r="W28" s="171"/>
      <c r="X28" s="171"/>
      <c r="Y28" s="171"/>
      <c r="Z28" s="171"/>
      <c r="AA28" s="171"/>
      <c r="AB28" s="171"/>
      <c r="AC28" s="171"/>
      <c r="AD28" s="171"/>
      <c r="AE28" s="171"/>
      <c r="AF28" s="171"/>
      <c r="AG28" s="171"/>
    </row>
    <row r="29" spans="2:33" ht="13.2" x14ac:dyDescent="0.25">
      <c r="B29" s="171"/>
      <c r="C29" s="171"/>
      <c r="D29" s="171"/>
      <c r="E29" s="171"/>
      <c r="F29" s="171"/>
      <c r="G29" s="171"/>
      <c r="H29" s="171"/>
      <c r="I29" s="171"/>
      <c r="J29" s="171"/>
      <c r="K29" s="171"/>
      <c r="L29" s="171"/>
      <c r="M29" s="171"/>
      <c r="N29" s="171"/>
      <c r="O29" s="171"/>
      <c r="P29" s="171"/>
      <c r="Q29" s="171"/>
      <c r="R29" s="171"/>
      <c r="S29" s="171"/>
      <c r="T29" s="171"/>
      <c r="U29" s="171"/>
      <c r="V29" s="171"/>
      <c r="W29" s="171"/>
      <c r="X29" s="171"/>
      <c r="Y29" s="171"/>
      <c r="Z29" s="171"/>
      <c r="AA29" s="171"/>
      <c r="AB29" s="171"/>
      <c r="AC29" s="171"/>
      <c r="AD29" s="171"/>
      <c r="AE29" s="171"/>
      <c r="AF29" s="171"/>
      <c r="AG29" s="171"/>
    </row>
    <row r="30" spans="2:33" ht="13.2" x14ac:dyDescent="0.25">
      <c r="B30" s="171"/>
      <c r="C30" s="171"/>
      <c r="D30" s="171"/>
      <c r="E30" s="171"/>
      <c r="F30" s="171"/>
      <c r="G30" s="171"/>
      <c r="H30" s="171"/>
      <c r="I30" s="171"/>
      <c r="J30" s="171"/>
      <c r="K30" s="171"/>
      <c r="L30" s="171"/>
      <c r="M30" s="171"/>
      <c r="N30" s="171"/>
      <c r="O30" s="171"/>
      <c r="P30" s="171"/>
      <c r="Q30" s="171"/>
      <c r="R30" s="171"/>
      <c r="S30" s="171"/>
      <c r="T30" s="171"/>
      <c r="U30" s="171"/>
      <c r="V30" s="171"/>
      <c r="W30" s="171"/>
      <c r="X30" s="171"/>
      <c r="Y30" s="171"/>
      <c r="Z30" s="171"/>
      <c r="AA30" s="171"/>
      <c r="AB30" s="171"/>
      <c r="AC30" s="171"/>
      <c r="AD30" s="171"/>
      <c r="AE30" s="171"/>
      <c r="AF30" s="171"/>
      <c r="AG30" s="171"/>
    </row>
    <row r="31" spans="2:33" ht="13.2" x14ac:dyDescent="0.25">
      <c r="B31" s="171"/>
      <c r="C31" s="171"/>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71"/>
      <c r="AB31" s="171"/>
      <c r="AC31" s="171"/>
      <c r="AD31" s="171"/>
      <c r="AE31" s="171"/>
      <c r="AF31" s="171"/>
      <c r="AG31" s="171"/>
    </row>
    <row r="32" spans="2:33" ht="13.2" x14ac:dyDescent="0.25">
      <c r="B32" s="171"/>
      <c r="C32" s="171"/>
      <c r="D32" s="171"/>
      <c r="E32" s="171"/>
      <c r="F32" s="171"/>
      <c r="G32" s="171"/>
      <c r="H32" s="171"/>
      <c r="I32" s="171"/>
      <c r="J32" s="171"/>
      <c r="K32" s="171"/>
      <c r="L32" s="171"/>
      <c r="M32" s="171"/>
      <c r="N32" s="171"/>
      <c r="O32" s="171"/>
      <c r="P32" s="171"/>
      <c r="Q32" s="171"/>
      <c r="R32" s="171"/>
      <c r="S32" s="171"/>
      <c r="T32" s="171"/>
      <c r="U32" s="171"/>
      <c r="V32" s="171"/>
      <c r="W32" s="171"/>
      <c r="X32" s="171"/>
      <c r="Y32" s="171"/>
      <c r="Z32" s="171"/>
      <c r="AA32" s="171"/>
      <c r="AB32" s="171"/>
      <c r="AC32" s="171"/>
      <c r="AD32" s="171"/>
      <c r="AE32" s="171"/>
      <c r="AF32" s="171"/>
      <c r="AG32" s="171"/>
    </row>
    <row r="33" spans="2:33" ht="13.2" x14ac:dyDescent="0.25">
      <c r="B33" s="171"/>
      <c r="C33" s="171"/>
      <c r="D33" s="171"/>
      <c r="E33" s="171"/>
      <c r="F33" s="171"/>
      <c r="G33" s="171"/>
      <c r="H33" s="171"/>
      <c r="I33" s="171"/>
      <c r="J33" s="171"/>
      <c r="K33" s="171"/>
      <c r="L33" s="171"/>
      <c r="M33" s="171"/>
      <c r="N33" s="171"/>
      <c r="O33" s="171"/>
      <c r="P33" s="171"/>
      <c r="Q33" s="171"/>
      <c r="R33" s="171"/>
      <c r="S33" s="171"/>
      <c r="T33" s="171"/>
      <c r="U33" s="171"/>
      <c r="V33" s="171"/>
      <c r="W33" s="171"/>
      <c r="X33" s="171"/>
      <c r="Y33" s="171"/>
      <c r="Z33" s="171"/>
      <c r="AA33" s="171"/>
      <c r="AB33" s="171"/>
      <c r="AC33" s="171"/>
      <c r="AD33" s="171"/>
      <c r="AE33" s="171"/>
      <c r="AF33" s="171"/>
      <c r="AG33" s="171"/>
    </row>
    <row r="34" spans="2:33" ht="13.2" x14ac:dyDescent="0.25">
      <c r="B34" s="171"/>
      <c r="C34" s="171"/>
      <c r="D34" s="171"/>
      <c r="E34" s="171"/>
      <c r="F34" s="171"/>
      <c r="G34" s="171"/>
      <c r="H34" s="171"/>
      <c r="I34" s="171"/>
      <c r="J34" s="171"/>
      <c r="K34" s="171"/>
      <c r="L34" s="171"/>
      <c r="M34" s="171"/>
      <c r="N34" s="171"/>
      <c r="O34" s="171"/>
      <c r="P34" s="171"/>
      <c r="Q34" s="171"/>
      <c r="R34" s="171"/>
      <c r="S34" s="171"/>
      <c r="T34" s="171"/>
      <c r="U34" s="171"/>
      <c r="V34" s="171"/>
      <c r="W34" s="171"/>
      <c r="X34" s="171"/>
      <c r="Y34" s="171"/>
      <c r="Z34" s="171"/>
      <c r="AA34" s="171"/>
      <c r="AB34" s="171"/>
      <c r="AC34" s="171"/>
      <c r="AD34" s="171"/>
      <c r="AE34" s="171"/>
      <c r="AF34" s="171"/>
      <c r="AG34" s="171"/>
    </row>
    <row r="35" spans="2:33" ht="12.75" customHeight="1" x14ac:dyDescent="0.25">
      <c r="B35" s="171"/>
      <c r="C35" s="171"/>
      <c r="D35" s="171"/>
      <c r="E35" s="171"/>
      <c r="F35" s="171"/>
      <c r="G35" s="171"/>
      <c r="H35" s="171"/>
      <c r="I35" s="171"/>
      <c r="J35" s="171"/>
      <c r="K35" s="171"/>
      <c r="L35" s="171"/>
      <c r="M35" s="171"/>
      <c r="N35" s="171"/>
      <c r="O35" s="171"/>
      <c r="P35" s="171"/>
      <c r="Q35" s="171"/>
      <c r="R35" s="171"/>
      <c r="S35" s="171"/>
      <c r="T35" s="171"/>
      <c r="U35" s="171"/>
      <c r="V35" s="171"/>
      <c r="W35" s="171"/>
      <c r="X35" s="171"/>
      <c r="Y35" s="171"/>
      <c r="Z35" s="171"/>
      <c r="AA35" s="171"/>
      <c r="AB35" s="171"/>
      <c r="AC35" s="171"/>
      <c r="AD35" s="171"/>
      <c r="AE35" s="171"/>
      <c r="AF35" s="171"/>
      <c r="AG35" s="171"/>
    </row>
    <row r="36" spans="2:33" ht="12.75" customHeight="1" x14ac:dyDescent="0.25">
      <c r="B36" s="171"/>
      <c r="C36" s="171"/>
      <c r="D36" s="171"/>
      <c r="E36" s="171"/>
      <c r="F36" s="171"/>
      <c r="G36" s="171"/>
      <c r="H36" s="171"/>
      <c r="I36" s="171"/>
      <c r="J36" s="171"/>
      <c r="K36" s="171"/>
      <c r="L36" s="171"/>
      <c r="M36" s="171"/>
      <c r="N36" s="171"/>
      <c r="O36" s="171"/>
      <c r="P36" s="171"/>
      <c r="Q36" s="171"/>
      <c r="R36" s="171"/>
      <c r="S36" s="171"/>
      <c r="T36" s="171"/>
      <c r="U36" s="171"/>
      <c r="V36" s="171"/>
      <c r="W36" s="171"/>
      <c r="X36" s="171"/>
      <c r="Y36" s="171"/>
      <c r="Z36" s="171"/>
      <c r="AA36" s="171"/>
      <c r="AB36" s="171"/>
      <c r="AC36" s="171"/>
      <c r="AD36" s="171"/>
      <c r="AE36" s="171"/>
      <c r="AF36" s="171"/>
      <c r="AG36" s="171"/>
    </row>
    <row r="37" spans="2:33" ht="12.75" customHeight="1" x14ac:dyDescent="0.25">
      <c r="B37" s="171"/>
      <c r="C37" s="171"/>
      <c r="D37" s="171"/>
      <c r="E37" s="171"/>
      <c r="F37" s="171"/>
      <c r="G37" s="171"/>
      <c r="H37" s="171"/>
      <c r="I37" s="171"/>
      <c r="J37" s="171"/>
      <c r="K37" s="171"/>
      <c r="L37" s="171"/>
      <c r="M37" s="171"/>
      <c r="N37" s="171"/>
      <c r="O37" s="171"/>
      <c r="P37" s="171"/>
      <c r="Q37" s="171"/>
      <c r="R37" s="171"/>
      <c r="S37" s="171"/>
      <c r="T37" s="171"/>
      <c r="U37" s="171"/>
      <c r="V37" s="171"/>
      <c r="W37" s="171"/>
      <c r="X37" s="171"/>
      <c r="Y37" s="171"/>
      <c r="Z37" s="171"/>
      <c r="AA37" s="171"/>
      <c r="AB37" s="171"/>
      <c r="AC37" s="171"/>
      <c r="AD37" s="171"/>
      <c r="AE37" s="171"/>
      <c r="AF37" s="171"/>
      <c r="AG37" s="171"/>
    </row>
    <row r="38" spans="2:33" ht="12.75" customHeight="1" x14ac:dyDescent="0.25"/>
    <row r="39" spans="2:33" ht="12.75" customHeight="1" x14ac:dyDescent="0.25"/>
    <row r="40" spans="2:33" ht="12.75" customHeight="1" x14ac:dyDescent="0.25"/>
    <row r="41" spans="2:33" ht="12.75" customHeight="1" x14ac:dyDescent="0.25"/>
    <row r="42" spans="2:33" ht="12.75" customHeight="1" x14ac:dyDescent="0.25"/>
    <row r="43" spans="2:33" ht="12.75" customHeight="1" x14ac:dyDescent="0.25"/>
    <row r="44" spans="2:33" ht="12.75" customHeight="1" x14ac:dyDescent="0.25"/>
    <row r="45" spans="2:33" ht="12.75" customHeight="1" x14ac:dyDescent="0.25"/>
    <row r="46" spans="2:33" ht="12.75" customHeight="1" x14ac:dyDescent="0.25"/>
    <row r="47" spans="2:33" ht="12.75" customHeight="1" x14ac:dyDescent="0.25"/>
    <row r="48" spans="2:33"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sheetData>
  <sheetProtection formatCells="0" formatRows="0" insertColumns="0" insertRows="0" insertHyperlinks="0" deleteRows="0" selectLockedCells="1" sort="0" autoFilter="0" pivotTables="0"/>
  <mergeCells count="1">
    <mergeCell ref="B1:AG37"/>
  </mergeCell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Reserved&amp;LTBD ver 1.7&amp;R&amp;P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N42"/>
  <sheetViews>
    <sheetView tabSelected="1" zoomScaleNormal="100" workbookViewId="0">
      <selection activeCell="F16" sqref="F16"/>
    </sheetView>
  </sheetViews>
  <sheetFormatPr defaultRowHeight="13.2" x14ac:dyDescent="0.25"/>
  <cols>
    <col min="1" max="1" width="2.5546875" customWidth="1"/>
    <col min="2" max="2" width="5.33203125" customWidth="1"/>
    <col min="3" max="3" width="18.6640625" customWidth="1"/>
    <col min="4" max="4" width="31.44140625" customWidth="1"/>
    <col min="5" max="5" width="14" customWidth="1"/>
    <col min="6" max="6" width="51.6640625" bestFit="1" customWidth="1"/>
    <col min="7" max="7" width="11.6640625" customWidth="1"/>
    <col min="8" max="8" width="7.5546875" bestFit="1" customWidth="1"/>
    <col min="9" max="9" width="12" customWidth="1"/>
    <col min="10" max="10" width="19.5546875" customWidth="1"/>
    <col min="12" max="13" width="11.44140625" customWidth="1"/>
    <col min="14" max="14" width="18.33203125" customWidth="1"/>
  </cols>
  <sheetData>
    <row r="1" spans="2:14" ht="13.8" thickBot="1" x14ac:dyDescent="0.3"/>
    <row r="2" spans="2:14" ht="43.8" thickBot="1" x14ac:dyDescent="0.3">
      <c r="B2" s="41" t="s">
        <v>110</v>
      </c>
      <c r="C2" s="42" t="s">
        <v>111</v>
      </c>
      <c r="D2" s="43" t="s">
        <v>112</v>
      </c>
      <c r="E2" s="43" t="s">
        <v>68</v>
      </c>
      <c r="F2" s="43" t="s">
        <v>113</v>
      </c>
      <c r="G2" s="43" t="s">
        <v>342</v>
      </c>
      <c r="H2" s="43" t="s">
        <v>114</v>
      </c>
      <c r="I2" s="42" t="s">
        <v>39</v>
      </c>
      <c r="J2" s="42" t="s">
        <v>115</v>
      </c>
      <c r="K2" s="42" t="s">
        <v>116</v>
      </c>
      <c r="L2" s="44" t="s">
        <v>117</v>
      </c>
      <c r="M2" s="44" t="s">
        <v>118</v>
      </c>
      <c r="N2" s="101" t="s">
        <v>341</v>
      </c>
    </row>
    <row r="3" spans="2:14" s="66" customFormat="1" ht="14.4" x14ac:dyDescent="0.25">
      <c r="B3" s="65">
        <v>1</v>
      </c>
      <c r="C3" s="87" t="s">
        <v>119</v>
      </c>
      <c r="D3" s="86" t="str">
        <f ca="1">IF(C3&lt;&gt;"",INDIRECT(C3&amp;"!B3"),"")</f>
        <v>ARCH_SW_MMG_0004</v>
      </c>
      <c r="E3" s="48" t="str">
        <f ca="1">IF(C3&lt;&gt;"",INDIRECT(C3&amp;"!B5"),"")</f>
        <v>Nominal</v>
      </c>
      <c r="F3" s="48" t="str">
        <f ca="1">IF(C3&lt;&gt;"",INDIRECT(C3&amp;"!B1"),"")</f>
        <v>Context update</v>
      </c>
      <c r="G3" s="67"/>
      <c r="H3" s="68">
        <v>1</v>
      </c>
      <c r="I3" s="69" t="s">
        <v>333</v>
      </c>
      <c r="J3" s="69"/>
      <c r="K3" s="98" t="str">
        <f ca="1">IF(C3&lt;&gt;"",INDIRECT(C3&amp;"!B9"),"")</f>
        <v>Ok</v>
      </c>
      <c r="L3" s="70" t="s">
        <v>334</v>
      </c>
      <c r="M3" s="70"/>
      <c r="N3" s="71"/>
    </row>
    <row r="4" spans="2:14" ht="14.4" x14ac:dyDescent="0.25">
      <c r="B4" s="46">
        <v>2</v>
      </c>
      <c r="C4" s="87" t="s">
        <v>120</v>
      </c>
      <c r="D4" s="86" t="str">
        <f t="shared" ref="D4" ca="1" si="0">IF(C4&lt;&gt;"",INDIRECT(C4&amp;"!B3"),"")</f>
        <v>ARCH_SW_MMG_0006</v>
      </c>
      <c r="E4" s="48" t="str">
        <f t="shared" ref="E4:E40" ca="1" si="1">IF(C4&lt;&gt;"",INDIRECT(C4&amp;"!B5"),"")</f>
        <v>Nominal</v>
      </c>
      <c r="F4" s="48" t="str">
        <f t="shared" ref="F4:F41" ca="1" si="2">IF(C4&lt;&gt;"",INDIRECT(C4&amp;"!B1"),"")</f>
        <v>ModeStatus request interface</v>
      </c>
      <c r="G4" s="67"/>
      <c r="H4" s="68">
        <v>1</v>
      </c>
      <c r="I4" s="69" t="s">
        <v>333</v>
      </c>
      <c r="J4" s="69"/>
      <c r="K4" s="100" t="str">
        <f t="shared" ref="K4:K42" ca="1" si="3">IF(C4&lt;&gt;"",INDIRECT(C4&amp;"!B9"),"")</f>
        <v>Ok</v>
      </c>
      <c r="L4" s="70" t="s">
        <v>334</v>
      </c>
      <c r="M4" s="70"/>
      <c r="N4" s="71"/>
    </row>
    <row r="5" spans="2:14" ht="14.4" x14ac:dyDescent="0.25">
      <c r="B5" s="46">
        <v>3</v>
      </c>
      <c r="C5" s="87" t="s">
        <v>121</v>
      </c>
      <c r="D5" s="86" t="str">
        <f ca="1">IF(C5&lt;&gt;"",INDIRECT(C5&amp;"!B3"),"")</f>
        <v>ARCH_SW_MMG_0007</v>
      </c>
      <c r="E5" s="48" t="str">
        <f t="shared" ca="1" si="1"/>
        <v>Nominal</v>
      </c>
      <c r="F5" s="48" t="str">
        <f ca="1">IF(C5&lt;&gt;"",INDIRECT(C5&amp;"!B1"),"")</f>
        <v>Management of delay executed cycle</v>
      </c>
      <c r="G5" s="67"/>
      <c r="H5" s="68">
        <v>1</v>
      </c>
      <c r="I5" s="69" t="s">
        <v>333</v>
      </c>
      <c r="J5" s="69"/>
      <c r="K5" s="100" t="str">
        <f t="shared" ca="1" si="3"/>
        <v>Ok</v>
      </c>
      <c r="L5" s="70" t="s">
        <v>334</v>
      </c>
      <c r="M5" s="70"/>
      <c r="N5" s="71"/>
    </row>
    <row r="6" spans="2:14" ht="14.4" x14ac:dyDescent="0.25">
      <c r="B6" s="46">
        <v>4</v>
      </c>
      <c r="C6" s="87" t="s">
        <v>122</v>
      </c>
      <c r="D6" s="48" t="str">
        <f ca="1">IF(C6&lt;&gt;"",INDIRECT(C6&amp;"!B3"),"")</f>
        <v>ARCH_SW_MMG_0008</v>
      </c>
      <c r="E6" s="48" t="str">
        <f t="shared" ca="1" si="1"/>
        <v>Nominal</v>
      </c>
      <c r="F6" s="48" t="str">
        <f t="shared" ca="1" si="2"/>
        <v>Inhibition of HWA</v>
      </c>
      <c r="G6" s="67"/>
      <c r="H6" s="68">
        <v>1</v>
      </c>
      <c r="I6" s="69" t="s">
        <v>333</v>
      </c>
      <c r="J6" s="69"/>
      <c r="K6" s="100" t="str">
        <f t="shared" ca="1" si="3"/>
        <v>Ok</v>
      </c>
      <c r="L6" s="70" t="s">
        <v>334</v>
      </c>
      <c r="M6" s="70"/>
      <c r="N6" s="71"/>
    </row>
    <row r="7" spans="2:14" ht="14.4" x14ac:dyDescent="0.25">
      <c r="B7" s="46">
        <v>5</v>
      </c>
      <c r="C7" s="87" t="s">
        <v>123</v>
      </c>
      <c r="D7" s="48" t="str">
        <f ca="1">IF(C7&lt;&gt;"",INDIRECT(C7&amp;"!B3"),"")</f>
        <v>ARCH_SW_MMG_0009</v>
      </c>
      <c r="E7" s="48" t="str">
        <f t="shared" ca="1" si="1"/>
        <v>Nominal</v>
      </c>
      <c r="F7" s="48" t="str">
        <f t="shared" ca="1" si="2"/>
        <v>Access delay before MMG_Init</v>
      </c>
      <c r="G7" s="67"/>
      <c r="H7" s="68">
        <v>1</v>
      </c>
      <c r="I7" s="69" t="s">
        <v>333</v>
      </c>
      <c r="J7" s="69"/>
      <c r="K7" s="100" t="str">
        <f t="shared" ca="1" si="3"/>
        <v>Ok</v>
      </c>
      <c r="L7" s="70" t="s">
        <v>334</v>
      </c>
      <c r="M7" s="70"/>
      <c r="N7" s="71"/>
    </row>
    <row r="8" spans="2:14" ht="14.4" x14ac:dyDescent="0.25">
      <c r="B8" s="46">
        <v>6</v>
      </c>
      <c r="C8" s="87" t="s">
        <v>124</v>
      </c>
      <c r="D8" s="48" t="str">
        <f ca="1">IF(C8&lt;&gt;"",INDIRECT(C8&amp;"!B3"),"")</f>
        <v>ARCH_SW_MMG_0128, ARCH_SW_MMG_0129,  ARCH_SW_MMG_0133, ARCH_SW_MMG_0134, ARCH_SW_MMG_0135, ARCH_SW_MMG_0136, ARCH_SW_MMG_0138, ARCH_SW_MMG_0157, ARCH_SW_MMG_0159, ARCH_SW_MMG_0161, ARCH_SW_MMG_0160</v>
      </c>
      <c r="E8" s="48" t="str">
        <f t="shared" ca="1" si="1"/>
        <v>Nominal</v>
      </c>
      <c r="F8" s="48" t="str">
        <f t="shared" ca="1" si="2"/>
        <v>UpdateModeStatus function interfaces</v>
      </c>
      <c r="G8" s="67"/>
      <c r="H8" s="68">
        <v>1</v>
      </c>
      <c r="I8" s="69" t="s">
        <v>333</v>
      </c>
      <c r="J8" s="69"/>
      <c r="K8" s="100" t="str">
        <f t="shared" ca="1" si="3"/>
        <v>Nok</v>
      </c>
      <c r="L8" s="70" t="s">
        <v>334</v>
      </c>
      <c r="M8" s="70">
        <v>814528</v>
      </c>
      <c r="N8" s="71"/>
    </row>
    <row r="9" spans="2:14" ht="14.4" x14ac:dyDescent="0.25">
      <c r="B9" s="46">
        <v>7</v>
      </c>
      <c r="C9" s="87" t="s">
        <v>125</v>
      </c>
      <c r="D9" s="74" t="str">
        <f t="shared" ref="D9:D34" ca="1" si="4">IF(C9&lt;&gt;"",INDIRECT(C9&amp;"!B3"),"")</f>
        <v>ARCH_SW_MMG_0130, ARCH_SW_MMG_0137, ARCH_SW_MMG_0150,ARCH_SW_MMG_0151, ARCH_SW_MMG_0156, ARCH_SW_MMG_0152, ARCH_SW_MMG_0153, ARCH_SW_MMG_0154, ARCH_SW_MMG_0155, ARCH_SW_MMG_0257, ARCH_SW_MMG_0132</v>
      </c>
      <c r="E9" s="48" t="str">
        <f t="shared" ca="1" si="1"/>
        <v>Nominal</v>
      </c>
      <c r="F9" s="48" t="str">
        <f t="shared" ca="1" si="2"/>
        <v>UpdateModeStatus to Motor interfaces</v>
      </c>
      <c r="G9" s="67"/>
      <c r="H9" s="68">
        <v>1</v>
      </c>
      <c r="I9" s="69" t="s">
        <v>333</v>
      </c>
      <c r="J9" s="69"/>
      <c r="K9" s="100" t="str">
        <f t="shared" ca="1" si="3"/>
        <v>Ok</v>
      </c>
      <c r="L9" s="70" t="s">
        <v>334</v>
      </c>
      <c r="M9" s="70"/>
      <c r="N9" s="71"/>
    </row>
    <row r="10" spans="2:14" ht="14.4" x14ac:dyDescent="0.25">
      <c r="B10" s="46">
        <v>9</v>
      </c>
      <c r="C10" s="87" t="s">
        <v>126</v>
      </c>
      <c r="D10" s="74" t="str">
        <f ca="1">IF(C10&lt;&gt;"",INDIRECT(C10&amp;"!B3"),"")</f>
        <v>ARCH_SW_MMG_0156, ARCH_SW_MMG_0158</v>
      </c>
      <c r="E10" s="48" t="str">
        <f t="shared" ca="1" si="1"/>
        <v>Nominal</v>
      </c>
      <c r="F10" s="48" t="str">
        <f t="shared" ca="1" si="2"/>
        <v>UpdateModeStatus interface to ERH module</v>
      </c>
      <c r="G10" s="67"/>
      <c r="H10" s="68">
        <v>1</v>
      </c>
      <c r="I10" s="69" t="s">
        <v>333</v>
      </c>
      <c r="J10" s="69"/>
      <c r="K10" s="100" t="str">
        <f t="shared" ca="1" si="3"/>
        <v>Ok</v>
      </c>
      <c r="L10" s="70" t="s">
        <v>334</v>
      </c>
      <c r="M10" s="70"/>
      <c r="N10" s="71"/>
    </row>
    <row r="11" spans="2:14" ht="14.4" x14ac:dyDescent="0.25">
      <c r="B11" s="45">
        <v>10</v>
      </c>
      <c r="C11" s="87" t="s">
        <v>127</v>
      </c>
      <c r="D11" s="48" t="str">
        <f t="shared" ca="1" si="4"/>
        <v>ARCH_SW_MMG_0162,ARCH_SW_MMG_0163,ARCH_SW_MMG_0164, ARCH_SW_MMG_0140, ARCH_SW_MMG_0255,  ARCH_SW_MMG_0256, ARCH_SW_MMG_0258</v>
      </c>
      <c r="E11" s="48" t="str">
        <f t="shared" ca="1" si="1"/>
        <v>Nominal</v>
      </c>
      <c r="F11" s="48" t="str">
        <f t="shared" ca="1" si="2"/>
        <v>UpdateModeStatus interface to EOL cycles</v>
      </c>
      <c r="G11" s="67"/>
      <c r="H11" s="68">
        <v>1</v>
      </c>
      <c r="I11" s="69" t="s">
        <v>333</v>
      </c>
      <c r="J11" s="69"/>
      <c r="K11" s="100" t="str">
        <f t="shared" ca="1" si="3"/>
        <v>Ok</v>
      </c>
      <c r="L11" s="70" t="s">
        <v>334</v>
      </c>
      <c r="M11" s="70"/>
      <c r="N11" s="71"/>
    </row>
    <row r="12" spans="2:14" ht="43.2" x14ac:dyDescent="0.25">
      <c r="B12" s="46">
        <v>11</v>
      </c>
      <c r="C12" s="87" t="s">
        <v>128</v>
      </c>
      <c r="D12" s="85" t="str">
        <f t="shared" ca="1" si="4"/>
        <v>ARCH_SW_MMG_0200, ARCH_SW_MMG_0201, ARCH_SW_MMG_0250</v>
      </c>
      <c r="E12" s="48" t="str">
        <f t="shared" ca="1" si="1"/>
        <v>Nominal</v>
      </c>
      <c r="F12" s="48" t="str">
        <f t="shared" ca="1" si="2"/>
        <v>UpdateModeStatus interface to ATM module</v>
      </c>
      <c r="G12" s="67"/>
      <c r="H12" s="68">
        <v>1</v>
      </c>
      <c r="I12" s="69" t="s">
        <v>301</v>
      </c>
      <c r="J12" s="69"/>
      <c r="K12" s="100" t="str">
        <f t="shared" ca="1" si="3"/>
        <v>Ok</v>
      </c>
      <c r="L12" s="70" t="s">
        <v>334</v>
      </c>
      <c r="M12" s="70"/>
      <c r="N12" s="71"/>
    </row>
    <row r="13" spans="2:14" ht="14.4" x14ac:dyDescent="0.25">
      <c r="B13" s="46">
        <v>12</v>
      </c>
      <c r="C13" s="87" t="s">
        <v>129</v>
      </c>
      <c r="D13" s="48" t="str">
        <f t="shared" ca="1" si="4"/>
        <v>ARCH_SW_MMG_0202, ARCH_SW_MMG_0251</v>
      </c>
      <c r="E13" s="48" t="str">
        <f t="shared" ca="1" si="1"/>
        <v>Nominal</v>
      </c>
      <c r="F13" s="48" t="str">
        <f t="shared" ca="1" si="2"/>
        <v>UpdateModeStatus interface to PMP module</v>
      </c>
      <c r="G13" s="67"/>
      <c r="H13" s="68">
        <v>1</v>
      </c>
      <c r="I13" s="69" t="s">
        <v>301</v>
      </c>
      <c r="J13" s="69"/>
      <c r="K13" s="100" t="str">
        <f t="shared" ca="1" si="3"/>
        <v>Ok</v>
      </c>
      <c r="L13" s="70" t="s">
        <v>334</v>
      </c>
      <c r="M13" s="70"/>
      <c r="N13" s="71"/>
    </row>
    <row r="14" spans="2:14" ht="14.4" x14ac:dyDescent="0.25">
      <c r="B14" s="46">
        <v>13</v>
      </c>
      <c r="C14" s="87" t="s">
        <v>130</v>
      </c>
      <c r="D14" s="74" t="str">
        <f t="shared" ca="1" si="4"/>
        <v>ARCH_SW_MMG_0203, ARCH_SW_MMG_0252,ARCH_SW_MMG_0253, ARCH_SW_MMG_0254</v>
      </c>
      <c r="E14" s="48" t="str">
        <f t="shared" ca="1" si="1"/>
        <v>Nominal</v>
      </c>
      <c r="F14" s="48" t="str">
        <f t="shared" ca="1" si="2"/>
        <v>UpdateModeStatus interface to BMM module</v>
      </c>
      <c r="G14" s="67"/>
      <c r="H14" s="68">
        <v>1</v>
      </c>
      <c r="I14" s="69" t="s">
        <v>301</v>
      </c>
      <c r="J14" s="69"/>
      <c r="K14" s="100" t="str">
        <f t="shared" ca="1" si="3"/>
        <v>Nok</v>
      </c>
      <c r="L14" s="70" t="s">
        <v>334</v>
      </c>
      <c r="M14" s="70">
        <v>814528</v>
      </c>
      <c r="N14" s="71"/>
    </row>
    <row r="15" spans="2:14" ht="14.4" x14ac:dyDescent="0.25">
      <c r="B15" s="46">
        <v>14</v>
      </c>
      <c r="C15" s="87" t="s">
        <v>131</v>
      </c>
      <c r="D15" s="74" t="str">
        <f t="shared" ca="1" si="4"/>
        <v>ARCH_SW_MMG_0204</v>
      </c>
      <c r="E15" s="48" t="str">
        <f t="shared" ca="1" si="1"/>
        <v>Nominal</v>
      </c>
      <c r="F15" s="48" t="str">
        <f t="shared" ca="1" si="2"/>
        <v>UpdateModeStatus interface to pyro activation</v>
      </c>
      <c r="G15" s="67"/>
      <c r="H15" s="68">
        <v>1</v>
      </c>
      <c r="I15" s="69" t="s">
        <v>301</v>
      </c>
      <c r="J15" s="69"/>
      <c r="K15" s="100" t="str">
        <f t="shared" ca="1" si="3"/>
        <v>Nok</v>
      </c>
      <c r="L15" s="70" t="s">
        <v>334</v>
      </c>
      <c r="M15" s="70">
        <v>813820</v>
      </c>
      <c r="N15" s="71"/>
    </row>
    <row r="16" spans="2:14" ht="14.4" x14ac:dyDescent="0.25">
      <c r="B16" s="46">
        <v>15</v>
      </c>
      <c r="C16" s="87" t="s">
        <v>132</v>
      </c>
      <c r="D16" s="86" t="str">
        <f t="shared" ca="1" si="4"/>
        <v>ARCH_SW_MMG_0205</v>
      </c>
      <c r="E16" s="48" t="str">
        <f t="shared" ca="1" si="1"/>
        <v>Nominal</v>
      </c>
      <c r="F16" s="48" t="str">
        <f t="shared" ca="1" si="2"/>
        <v>UpdateModeStatus interface to HES</v>
      </c>
      <c r="G16" s="67"/>
      <c r="H16" s="68">
        <v>1</v>
      </c>
      <c r="I16" s="69" t="s">
        <v>301</v>
      </c>
      <c r="J16" s="69"/>
      <c r="K16" s="100" t="str">
        <f t="shared" ca="1" si="3"/>
        <v>Ok</v>
      </c>
      <c r="L16" s="70" t="s">
        <v>334</v>
      </c>
      <c r="M16" s="70"/>
      <c r="N16" s="71"/>
    </row>
    <row r="17" spans="2:14" ht="14.4" x14ac:dyDescent="0.25">
      <c r="B17" s="46">
        <v>16</v>
      </c>
      <c r="C17" s="87" t="s">
        <v>133</v>
      </c>
      <c r="D17" s="85" t="str">
        <f t="shared" ca="1" si="4"/>
        <v>ARCH_SW_MMG_0206</v>
      </c>
      <c r="E17" s="48" t="str">
        <f t="shared" ca="1" si="1"/>
        <v>Nominal</v>
      </c>
      <c r="F17" s="48" t="str">
        <f t="shared" ca="1" si="2"/>
        <v>Fail of SW Self Protection</v>
      </c>
      <c r="G17" s="67"/>
      <c r="H17" s="68">
        <v>1</v>
      </c>
      <c r="I17" s="69" t="s">
        <v>301</v>
      </c>
      <c r="J17" s="69"/>
      <c r="K17" s="100" t="str">
        <f t="shared" ca="1" si="3"/>
        <v>Ok</v>
      </c>
      <c r="L17" s="70" t="s">
        <v>334</v>
      </c>
      <c r="M17" s="70"/>
      <c r="N17" s="71"/>
    </row>
    <row r="18" spans="2:14" ht="14.4" x14ac:dyDescent="0.25">
      <c r="B18" s="46">
        <v>17</v>
      </c>
      <c r="C18" s="87" t="s">
        <v>134</v>
      </c>
      <c r="D18" s="85" t="str">
        <f t="shared" ca="1" si="4"/>
        <v>ARCH_SW_MMG_0300</v>
      </c>
      <c r="E18" s="48" t="str">
        <f t="shared" ca="1" si="1"/>
        <v>Nominal</v>
      </c>
      <c r="F18" s="48" t="str">
        <f t="shared" ca="1" si="2"/>
        <v>Check cycle enable validity</v>
      </c>
      <c r="G18" s="67" t="s">
        <v>343</v>
      </c>
      <c r="H18" s="68">
        <v>1</v>
      </c>
      <c r="I18" s="69" t="s">
        <v>301</v>
      </c>
      <c r="J18" s="69"/>
      <c r="K18" s="100" t="str">
        <f t="shared" ca="1" si="3"/>
        <v>Ok</v>
      </c>
      <c r="L18" s="70" t="s">
        <v>334</v>
      </c>
      <c r="M18" s="70"/>
      <c r="N18" s="71"/>
    </row>
    <row r="19" spans="2:14" ht="14.4" x14ac:dyDescent="0.25">
      <c r="B19" s="46">
        <v>18</v>
      </c>
      <c r="C19" s="87" t="s">
        <v>135</v>
      </c>
      <c r="D19" s="85" t="str">
        <f t="shared" ca="1" si="4"/>
        <v>ARCH_SW_MMG_0301</v>
      </c>
      <c r="E19" s="48" t="str">
        <f t="shared" ca="1" si="1"/>
        <v>Nominal</v>
      </c>
      <c r="F19" s="48" t="str">
        <f t="shared" ca="1" si="2"/>
        <v>Check Cycle enable is step valid check</v>
      </c>
      <c r="G19" s="67" t="s">
        <v>343</v>
      </c>
      <c r="H19" s="68">
        <v>1</v>
      </c>
      <c r="I19" s="69" t="s">
        <v>301</v>
      </c>
      <c r="J19" s="69"/>
      <c r="K19" s="100" t="str">
        <f t="shared" ca="1" si="3"/>
        <v>Ok</v>
      </c>
      <c r="L19" s="70" t="s">
        <v>334</v>
      </c>
      <c r="M19" s="70"/>
      <c r="N19" s="71"/>
    </row>
    <row r="20" spans="2:14" ht="14.4" x14ac:dyDescent="0.25">
      <c r="B20" s="45">
        <v>19</v>
      </c>
      <c r="C20" s="87" t="s">
        <v>136</v>
      </c>
      <c r="D20" s="74" t="str">
        <f t="shared" ca="1" si="4"/>
        <v>ARCH_SW_MMG_0400</v>
      </c>
      <c r="E20" s="48" t="str">
        <f t="shared" ca="1" si="1"/>
        <v>Nominal</v>
      </c>
      <c r="F20" s="48" t="str">
        <f t="shared" ca="1" si="2"/>
        <v>Manage Mode Delays interface to reset cause</v>
      </c>
      <c r="G20" s="67"/>
      <c r="H20" s="68">
        <v>1</v>
      </c>
      <c r="I20" s="69" t="s">
        <v>301</v>
      </c>
      <c r="J20" s="69"/>
      <c r="K20" s="100" t="str">
        <f t="shared" ca="1" si="3"/>
        <v>Ok</v>
      </c>
      <c r="L20" s="70" t="s">
        <v>334</v>
      </c>
      <c r="M20" s="70"/>
      <c r="N20" s="71"/>
    </row>
    <row r="21" spans="2:14" ht="14.4" x14ac:dyDescent="0.25">
      <c r="B21" s="46">
        <v>21</v>
      </c>
      <c r="C21" s="87" t="s">
        <v>137</v>
      </c>
      <c r="D21" s="74" t="str">
        <f t="shared" ca="1" si="4"/>
        <v>ARCH_SW_MMG_0402</v>
      </c>
      <c r="E21" s="48" t="str">
        <f t="shared" ca="1" si="1"/>
        <v>Nominal</v>
      </c>
      <c r="F21" s="48" t="str">
        <f t="shared" ca="1" si="2"/>
        <v>Manage mode delays interface to pyro activation</v>
      </c>
      <c r="G21" s="67"/>
      <c r="H21" s="68">
        <v>1</v>
      </c>
      <c r="I21" s="69" t="s">
        <v>301</v>
      </c>
      <c r="J21" s="69"/>
      <c r="K21" s="100" t="str">
        <f t="shared" ca="1" si="3"/>
        <v>Nok</v>
      </c>
      <c r="L21" s="70" t="s">
        <v>334</v>
      </c>
      <c r="M21" s="70">
        <v>814528</v>
      </c>
      <c r="N21" s="71"/>
    </row>
    <row r="22" spans="2:14" ht="14.4" x14ac:dyDescent="0.25">
      <c r="B22" s="46">
        <v>22</v>
      </c>
      <c r="C22" s="87" t="s">
        <v>138</v>
      </c>
      <c r="D22" s="48" t="str">
        <f t="shared" ca="1" si="4"/>
        <v>ARCH_SW_MMG_0401</v>
      </c>
      <c r="E22" s="48" t="str">
        <f t="shared" ca="1" si="1"/>
        <v>Nominal</v>
      </c>
      <c r="F22" s="48" t="str">
        <f t="shared" ca="1" si="2"/>
        <v>Manage Mode delays interface to BFE</v>
      </c>
      <c r="G22" s="67"/>
      <c r="H22" s="68">
        <v>1</v>
      </c>
      <c r="I22" s="69" t="s">
        <v>301</v>
      </c>
      <c r="J22" s="69"/>
      <c r="K22" s="100" t="str">
        <f t="shared" ca="1" si="3"/>
        <v>Nok</v>
      </c>
      <c r="L22" s="70" t="s">
        <v>334</v>
      </c>
      <c r="M22" s="70">
        <v>814528</v>
      </c>
      <c r="N22" s="71"/>
    </row>
    <row r="23" spans="2:14" ht="14.4" x14ac:dyDescent="0.25">
      <c r="B23" s="46">
        <v>26</v>
      </c>
      <c r="C23" s="47"/>
      <c r="D23" s="48" t="str">
        <f t="shared" ca="1" si="4"/>
        <v/>
      </c>
      <c r="E23" s="48" t="str">
        <f t="shared" ca="1" si="1"/>
        <v/>
      </c>
      <c r="F23" s="48" t="str">
        <f t="shared" ca="1" si="2"/>
        <v/>
      </c>
      <c r="G23" s="48"/>
      <c r="H23" s="48"/>
      <c r="I23" s="49"/>
      <c r="J23" s="50"/>
      <c r="K23" s="100" t="str">
        <f t="shared" ca="1" si="3"/>
        <v/>
      </c>
      <c r="L23" s="73"/>
      <c r="M23" s="64"/>
      <c r="N23" s="51"/>
    </row>
    <row r="24" spans="2:14" ht="14.4" x14ac:dyDescent="0.25">
      <c r="B24" s="46">
        <v>27</v>
      </c>
      <c r="C24" s="47"/>
      <c r="D24" s="48" t="str">
        <f t="shared" ca="1" si="4"/>
        <v/>
      </c>
      <c r="E24" s="48" t="str">
        <f t="shared" ca="1" si="1"/>
        <v/>
      </c>
      <c r="F24" s="48" t="str">
        <f t="shared" ca="1" si="2"/>
        <v/>
      </c>
      <c r="G24" s="48"/>
      <c r="H24" s="48"/>
      <c r="I24" s="49"/>
      <c r="J24" s="50"/>
      <c r="K24" s="100" t="str">
        <f t="shared" ca="1" si="3"/>
        <v/>
      </c>
      <c r="L24" s="73"/>
      <c r="M24" s="64"/>
      <c r="N24" s="51"/>
    </row>
    <row r="25" spans="2:14" ht="14.4" x14ac:dyDescent="0.25">
      <c r="B25" s="45">
        <v>28</v>
      </c>
      <c r="C25" s="47"/>
      <c r="D25" s="48" t="str">
        <f t="shared" ca="1" si="4"/>
        <v/>
      </c>
      <c r="E25" s="48" t="str">
        <f t="shared" ca="1" si="1"/>
        <v/>
      </c>
      <c r="F25" s="48" t="str">
        <f t="shared" ca="1" si="2"/>
        <v/>
      </c>
      <c r="G25" s="48"/>
      <c r="H25" s="48"/>
      <c r="I25" s="49"/>
      <c r="J25" s="50"/>
      <c r="K25" s="100" t="str">
        <f t="shared" ca="1" si="3"/>
        <v/>
      </c>
      <c r="L25" s="73"/>
      <c r="M25" s="64"/>
      <c r="N25" s="51"/>
    </row>
    <row r="26" spans="2:14" ht="14.4" x14ac:dyDescent="0.25">
      <c r="B26" s="46">
        <v>29</v>
      </c>
      <c r="C26" s="47"/>
      <c r="D26" s="48" t="str">
        <f t="shared" ca="1" si="4"/>
        <v/>
      </c>
      <c r="E26" s="48" t="str">
        <f t="shared" ca="1" si="1"/>
        <v/>
      </c>
      <c r="F26" s="48" t="str">
        <f t="shared" ca="1" si="2"/>
        <v/>
      </c>
      <c r="G26" s="48"/>
      <c r="H26" s="48"/>
      <c r="I26" s="49"/>
      <c r="J26" s="50"/>
      <c r="K26" s="100" t="str">
        <f t="shared" ca="1" si="3"/>
        <v/>
      </c>
      <c r="L26" s="73"/>
      <c r="M26" s="64"/>
      <c r="N26" s="51"/>
    </row>
    <row r="27" spans="2:14" ht="14.4" x14ac:dyDescent="0.25">
      <c r="B27" s="46">
        <v>30</v>
      </c>
      <c r="C27" s="47"/>
      <c r="D27" s="48" t="str">
        <f t="shared" ca="1" si="4"/>
        <v/>
      </c>
      <c r="E27" s="48" t="str">
        <f t="shared" ca="1" si="1"/>
        <v/>
      </c>
      <c r="F27" s="48" t="str">
        <f t="shared" ca="1" si="2"/>
        <v/>
      </c>
      <c r="G27" s="48"/>
      <c r="H27" s="48"/>
      <c r="I27" s="49"/>
      <c r="J27" s="50"/>
      <c r="K27" s="100" t="str">
        <f t="shared" ca="1" si="3"/>
        <v/>
      </c>
      <c r="L27" s="73"/>
      <c r="M27" s="64"/>
      <c r="N27" s="51"/>
    </row>
    <row r="28" spans="2:14" ht="14.4" x14ac:dyDescent="0.25">
      <c r="B28" s="46">
        <v>31</v>
      </c>
      <c r="C28" s="47"/>
      <c r="D28" s="48" t="str">
        <f t="shared" ca="1" si="4"/>
        <v/>
      </c>
      <c r="E28" s="48" t="str">
        <f t="shared" ca="1" si="1"/>
        <v/>
      </c>
      <c r="F28" s="48" t="str">
        <f t="shared" ref="F28:F42" ca="1" si="5">IF(C28&lt;&gt;"",INDIRECT(C28&amp;"!B1"),"")</f>
        <v/>
      </c>
      <c r="G28" s="48"/>
      <c r="H28" s="48"/>
      <c r="I28" s="49"/>
      <c r="J28" s="50"/>
      <c r="K28" s="100" t="str">
        <f t="shared" ca="1" si="3"/>
        <v/>
      </c>
      <c r="L28" s="73"/>
      <c r="M28" s="64"/>
      <c r="N28" s="51"/>
    </row>
    <row r="29" spans="2:14" ht="14.4" x14ac:dyDescent="0.25">
      <c r="B29" s="46">
        <v>32</v>
      </c>
      <c r="C29" s="47"/>
      <c r="D29" s="48" t="str">
        <f t="shared" ca="1" si="4"/>
        <v/>
      </c>
      <c r="E29" s="48" t="str">
        <f t="shared" ca="1" si="1"/>
        <v/>
      </c>
      <c r="F29" s="48" t="str">
        <f t="shared" ca="1" si="2"/>
        <v/>
      </c>
      <c r="G29" s="48"/>
      <c r="H29" s="48"/>
      <c r="I29" s="49"/>
      <c r="J29" s="50"/>
      <c r="K29" s="100" t="str">
        <f t="shared" ca="1" si="3"/>
        <v/>
      </c>
      <c r="L29" s="73"/>
      <c r="M29" s="64"/>
      <c r="N29" s="51"/>
    </row>
    <row r="30" spans="2:14" ht="14.4" x14ac:dyDescent="0.25">
      <c r="B30" s="46">
        <v>33</v>
      </c>
      <c r="C30" s="47"/>
      <c r="D30" s="48" t="str">
        <f t="shared" ca="1" si="4"/>
        <v/>
      </c>
      <c r="E30" s="48" t="str">
        <f t="shared" ca="1" si="1"/>
        <v/>
      </c>
      <c r="F30" s="48" t="str">
        <f t="shared" ca="1" si="2"/>
        <v/>
      </c>
      <c r="G30" s="48"/>
      <c r="H30" s="48"/>
      <c r="I30" s="49"/>
      <c r="J30" s="50"/>
      <c r="K30" s="100" t="str">
        <f t="shared" ca="1" si="3"/>
        <v/>
      </c>
      <c r="L30" s="73"/>
      <c r="M30" s="64"/>
      <c r="N30" s="51"/>
    </row>
    <row r="31" spans="2:14" ht="14.4" x14ac:dyDescent="0.25">
      <c r="B31" s="46">
        <v>34</v>
      </c>
      <c r="C31" s="47"/>
      <c r="D31" s="48" t="str">
        <f t="shared" ca="1" si="4"/>
        <v/>
      </c>
      <c r="E31" s="48" t="str">
        <f t="shared" ca="1" si="1"/>
        <v/>
      </c>
      <c r="F31" s="48" t="str">
        <f t="shared" ca="1" si="2"/>
        <v/>
      </c>
      <c r="G31" s="48"/>
      <c r="H31" s="48"/>
      <c r="I31" s="49"/>
      <c r="J31" s="50"/>
      <c r="K31" s="100" t="str">
        <f t="shared" ca="1" si="3"/>
        <v/>
      </c>
      <c r="L31" s="73"/>
      <c r="M31" s="64"/>
      <c r="N31" s="51"/>
    </row>
    <row r="32" spans="2:14" ht="14.4" x14ac:dyDescent="0.25">
      <c r="B32" s="46">
        <v>35</v>
      </c>
      <c r="C32" s="47"/>
      <c r="D32" s="48" t="str">
        <f t="shared" ca="1" si="4"/>
        <v/>
      </c>
      <c r="E32" s="48" t="str">
        <f t="shared" ca="1" si="1"/>
        <v/>
      </c>
      <c r="F32" s="48" t="str">
        <f t="shared" ca="1" si="2"/>
        <v/>
      </c>
      <c r="G32" s="48"/>
      <c r="H32" s="48"/>
      <c r="I32" s="49"/>
      <c r="J32" s="50"/>
      <c r="K32" s="100" t="str">
        <f t="shared" ca="1" si="3"/>
        <v/>
      </c>
      <c r="L32" s="73"/>
      <c r="M32" s="64"/>
      <c r="N32" s="51"/>
    </row>
    <row r="33" spans="2:14" ht="14.4" x14ac:dyDescent="0.25">
      <c r="B33" s="46">
        <v>36</v>
      </c>
      <c r="C33" s="47"/>
      <c r="D33" s="48" t="str">
        <f t="shared" ca="1" si="4"/>
        <v/>
      </c>
      <c r="E33" s="48" t="str">
        <f t="shared" ca="1" si="1"/>
        <v/>
      </c>
      <c r="F33" s="48" t="str">
        <f t="shared" ca="1" si="2"/>
        <v/>
      </c>
      <c r="G33" s="48"/>
      <c r="H33" s="48"/>
      <c r="I33" s="49"/>
      <c r="J33" s="50"/>
      <c r="K33" s="100" t="str">
        <f t="shared" ca="1" si="3"/>
        <v/>
      </c>
      <c r="L33" s="73"/>
      <c r="M33" s="64"/>
      <c r="N33" s="51"/>
    </row>
    <row r="34" spans="2:14" ht="14.4" x14ac:dyDescent="0.25">
      <c r="B34" s="45">
        <v>37</v>
      </c>
      <c r="C34" s="47"/>
      <c r="D34" s="48" t="str">
        <f t="shared" ca="1" si="4"/>
        <v/>
      </c>
      <c r="E34" s="48" t="str">
        <f t="shared" ca="1" si="1"/>
        <v/>
      </c>
      <c r="F34" s="48" t="str">
        <f t="shared" ca="1" si="2"/>
        <v/>
      </c>
      <c r="G34" s="48"/>
      <c r="H34" s="48"/>
      <c r="I34" s="49"/>
      <c r="J34" s="50"/>
      <c r="K34" s="100" t="str">
        <f t="shared" ca="1" si="3"/>
        <v/>
      </c>
      <c r="L34" s="73"/>
      <c r="M34" s="64"/>
      <c r="N34" s="51"/>
    </row>
    <row r="35" spans="2:14" ht="14.4" x14ac:dyDescent="0.25">
      <c r="B35" s="46">
        <v>38</v>
      </c>
      <c r="C35" s="47"/>
      <c r="D35" s="48" t="str">
        <f t="shared" ref="D35:D42" ca="1" si="6">IF(C35&lt;&gt;"",INDIRECT(C35&amp;"!B5"),"")</f>
        <v/>
      </c>
      <c r="E35" s="48" t="str">
        <f t="shared" ca="1" si="1"/>
        <v/>
      </c>
      <c r="F35" s="48" t="str">
        <f t="shared" ca="1" si="5"/>
        <v/>
      </c>
      <c r="G35" s="48"/>
      <c r="H35" s="48"/>
      <c r="I35" s="49"/>
      <c r="J35" s="50"/>
      <c r="K35" s="100" t="str">
        <f t="shared" ca="1" si="3"/>
        <v/>
      </c>
      <c r="L35" s="73"/>
      <c r="M35" s="64"/>
      <c r="N35" s="51"/>
    </row>
    <row r="36" spans="2:14" ht="14.4" x14ac:dyDescent="0.25">
      <c r="B36" s="46">
        <v>39</v>
      </c>
      <c r="C36" s="47"/>
      <c r="D36" s="48" t="str">
        <f t="shared" ca="1" si="6"/>
        <v/>
      </c>
      <c r="E36" s="48" t="str">
        <f t="shared" ca="1" si="1"/>
        <v/>
      </c>
      <c r="F36" s="48" t="str">
        <f t="shared" ca="1" si="2"/>
        <v/>
      </c>
      <c r="G36" s="48"/>
      <c r="H36" s="48"/>
      <c r="I36" s="49"/>
      <c r="J36" s="50"/>
      <c r="K36" s="100" t="str">
        <f t="shared" ca="1" si="3"/>
        <v/>
      </c>
      <c r="L36" s="73"/>
      <c r="M36" s="64"/>
      <c r="N36" s="51"/>
    </row>
    <row r="37" spans="2:14" ht="14.4" x14ac:dyDescent="0.25">
      <c r="B37" s="46">
        <v>40</v>
      </c>
      <c r="C37" s="47"/>
      <c r="D37" s="48" t="str">
        <f t="shared" ca="1" si="6"/>
        <v/>
      </c>
      <c r="E37" s="48" t="str">
        <f t="shared" ca="1" si="1"/>
        <v/>
      </c>
      <c r="F37" s="48" t="str">
        <f t="shared" ca="1" si="2"/>
        <v/>
      </c>
      <c r="G37" s="48"/>
      <c r="H37" s="48"/>
      <c r="I37" s="49"/>
      <c r="J37" s="50"/>
      <c r="K37" s="100" t="str">
        <f t="shared" ca="1" si="3"/>
        <v/>
      </c>
      <c r="L37" s="73"/>
      <c r="M37" s="64"/>
      <c r="N37" s="51"/>
    </row>
    <row r="38" spans="2:14" ht="14.4" x14ac:dyDescent="0.25">
      <c r="B38" s="46">
        <v>41</v>
      </c>
      <c r="C38" s="47"/>
      <c r="D38" s="48" t="str">
        <f t="shared" ca="1" si="6"/>
        <v/>
      </c>
      <c r="E38" s="48" t="str">
        <f t="shared" ca="1" si="1"/>
        <v/>
      </c>
      <c r="F38" s="48" t="str">
        <f t="shared" ca="1" si="2"/>
        <v/>
      </c>
      <c r="G38" s="48"/>
      <c r="H38" s="48"/>
      <c r="I38" s="49"/>
      <c r="J38" s="50"/>
      <c r="K38" s="100" t="str">
        <f t="shared" ca="1" si="3"/>
        <v/>
      </c>
      <c r="L38" s="73"/>
      <c r="M38" s="64"/>
      <c r="N38" s="51"/>
    </row>
    <row r="39" spans="2:14" ht="14.4" x14ac:dyDescent="0.25">
      <c r="B39" s="46">
        <v>42</v>
      </c>
      <c r="C39" s="47"/>
      <c r="D39" s="48" t="str">
        <f t="shared" ca="1" si="6"/>
        <v/>
      </c>
      <c r="E39" s="48" t="str">
        <f t="shared" ca="1" si="1"/>
        <v/>
      </c>
      <c r="F39" s="48" t="str">
        <f t="shared" ca="1" si="2"/>
        <v/>
      </c>
      <c r="G39" s="48"/>
      <c r="H39" s="48"/>
      <c r="I39" s="49"/>
      <c r="J39" s="50"/>
      <c r="K39" s="100" t="str">
        <f t="shared" ca="1" si="3"/>
        <v/>
      </c>
      <c r="L39" s="73"/>
      <c r="M39" s="64"/>
      <c r="N39" s="51"/>
    </row>
    <row r="40" spans="2:14" ht="14.4" x14ac:dyDescent="0.25">
      <c r="B40" s="46">
        <v>43</v>
      </c>
      <c r="C40" s="47"/>
      <c r="D40" s="48" t="str">
        <f t="shared" ca="1" si="6"/>
        <v/>
      </c>
      <c r="E40" s="48" t="str">
        <f t="shared" ca="1" si="1"/>
        <v/>
      </c>
      <c r="F40" s="48" t="str">
        <f t="shared" ca="1" si="2"/>
        <v/>
      </c>
      <c r="G40" s="48"/>
      <c r="H40" s="48"/>
      <c r="I40" s="49"/>
      <c r="J40" s="50"/>
      <c r="K40" s="100" t="str">
        <f t="shared" ca="1" si="3"/>
        <v/>
      </c>
      <c r="L40" s="73"/>
      <c r="M40" s="64"/>
      <c r="N40" s="51"/>
    </row>
    <row r="41" spans="2:14" ht="14.4" x14ac:dyDescent="0.25">
      <c r="B41" s="46">
        <v>44</v>
      </c>
      <c r="C41" s="47"/>
      <c r="D41" s="48" t="str">
        <f t="shared" ca="1" si="6"/>
        <v/>
      </c>
      <c r="E41" s="48" t="str">
        <f t="shared" ref="E41:E42" ca="1" si="7">IF(C41&lt;&gt;"",INDIRECT(C41&amp;"!B7"),"")</f>
        <v/>
      </c>
      <c r="F41" s="48" t="str">
        <f t="shared" ca="1" si="2"/>
        <v/>
      </c>
      <c r="G41" s="48"/>
      <c r="H41" s="48"/>
      <c r="I41" s="49"/>
      <c r="J41" s="50"/>
      <c r="K41" s="100" t="str">
        <f t="shared" ca="1" si="3"/>
        <v/>
      </c>
      <c r="L41" s="73"/>
      <c r="M41" s="64"/>
      <c r="N41" s="51"/>
    </row>
    <row r="42" spans="2:14" ht="15" thickBot="1" x14ac:dyDescent="0.3">
      <c r="B42" s="52">
        <v>45</v>
      </c>
      <c r="C42" s="53"/>
      <c r="D42" s="48" t="str">
        <f t="shared" ca="1" si="6"/>
        <v/>
      </c>
      <c r="E42" s="48" t="str">
        <f t="shared" ca="1" si="7"/>
        <v/>
      </c>
      <c r="F42" s="48" t="str">
        <f t="shared" ca="1" si="5"/>
        <v/>
      </c>
      <c r="G42" s="48"/>
      <c r="H42" s="48"/>
      <c r="I42" s="49"/>
      <c r="J42" s="50"/>
      <c r="K42" s="99" t="str">
        <f t="shared" ca="1" si="3"/>
        <v/>
      </c>
      <c r="L42" s="73"/>
      <c r="M42" s="64"/>
      <c r="N42" s="51"/>
    </row>
  </sheetData>
  <phoneticPr fontId="41" type="noConversion"/>
  <conditionalFormatting sqref="K3:K42">
    <cfRule type="cellIs" dxfId="285" priority="1" operator="equal">
      <formula>"Nok"</formula>
    </cfRule>
    <cfRule type="cellIs" dxfId="284" priority="2" operator="equal">
      <formula>"Ok"</formula>
    </cfRule>
  </conditionalFormatting>
  <dataValidations count="3">
    <dataValidation type="list" allowBlank="1" showInputMessage="1" showErrorMessage="1" sqref="E41:E42" xr:uid="{00000000-0002-0000-0300-000000000000}">
      <formula1>"Nominal, Robustness, Endurance, Qualification, Other"</formula1>
    </dataValidation>
    <dataValidation type="list" allowBlank="1" showInputMessage="1" showErrorMessage="1" sqref="G3:G22" xr:uid="{00000000-0002-0000-0300-000001000000}">
      <formula1>",X,"</formula1>
    </dataValidation>
    <dataValidation type="list" allowBlank="1" showInputMessage="1" showErrorMessage="1" sqref="H3:H22" xr:uid="{00000000-0002-0000-0300-000002000000}">
      <formula1>"1,2,3,"</formula1>
    </dataValidation>
  </dataValidations>
  <hyperlinks>
    <hyperlink ref="C3" location="SW_IT_MMG_001!A1" display="SW_IT_MMG_001" xr:uid="{14D63F37-196D-4703-955D-8F39280164DE}"/>
    <hyperlink ref="C4" location="SW_IT_MMG_002!A1" display="SW_IT_MMG_002" xr:uid="{507F27EE-40C5-4397-B25A-6F0293802B0B}"/>
    <hyperlink ref="C5" location="SW_IT_MMG_003!A1" display="SW_IT_MMG_003" xr:uid="{DF52183E-4C79-4147-98EA-D9C2BB468BA7}"/>
    <hyperlink ref="C6" location="SW_IT_MMG_004!A1" display="SW_IT_MMG_004" xr:uid="{5A431F95-3511-472E-8330-A92A438FF319}"/>
    <hyperlink ref="C7" location="SW_IT_MMG_005!A1" display="SW_IT_MMG_005" xr:uid="{D1A58857-3747-46CC-8B7A-3A3D824D1263}"/>
    <hyperlink ref="C8" location="SW_IT_MMG_006!A1" display="SW_IT_MMG_006" xr:uid="{2291B59E-66AE-40C2-9CC4-3AD4B36C93F1}"/>
    <hyperlink ref="C9" location="SW_IT_MMG_007!A1" display="SW_IT_MMG_007" xr:uid="{CC450772-7BDF-46E5-AEE6-5CA8EAF0A34B}"/>
    <hyperlink ref="C16" location="SW_IT_MMG_015!A1" display="SW_IT_MMG_015" xr:uid="{4056ADBD-7172-4469-BAED-F1DC9E658F77}"/>
    <hyperlink ref="C10" location="SW_IT_MMG_009!A1" display="SW_IT_MMG_009" xr:uid="{46AAC8BF-DF04-46BA-A369-486404716E1B}"/>
    <hyperlink ref="C17" location="SW_IT_MMG_016!A1" display="SW_IT_MMG_016" xr:uid="{4E385AB4-D0B0-4593-B11A-45944F658EDA}"/>
    <hyperlink ref="C11" location="SW_IT_MMG_010!A1" display="SW_IT_MMG_010" xr:uid="{610C2781-FB84-4B2B-BDF4-67796770425E}"/>
    <hyperlink ref="C18" location="SW_IT_MMG_017!A1" display="SW_IT_MMG_017" xr:uid="{6A64E30F-E6BB-46ED-8D44-1D1C65A5E06A}"/>
    <hyperlink ref="C12" location="SW_IT_MMG_011!A1" display="SW_IT_MMG_011" xr:uid="{4D8278FE-B691-48C0-84FC-EACD229A2471}"/>
    <hyperlink ref="C19" location="SW_IT_MMG_018!A1" display="SW_IT_MMG_018" xr:uid="{3E32A02C-B64B-4C71-BBEB-4EDDC107FD73}"/>
    <hyperlink ref="C13" location="SW_IT_MMG_012!A1" display="SW_IT_MMG_012" xr:uid="{2957E25F-88B7-4274-81FD-98EE15C12851}"/>
    <hyperlink ref="C20" location="SW_IT_MMG_019!A1" display="SW_IT_MMG_019" xr:uid="{64604BD1-0DCF-43DF-AE5E-380F3DC22959}"/>
    <hyperlink ref="C14" location="SW_IT_MMG_013!A1" display="SW_IT_MMG_013" xr:uid="{5D8B85D9-83A5-4A38-AEC0-809D771025EB}"/>
    <hyperlink ref="C21" location="SW_IT_MMG_020!A1" display="SW_IT_MMG_020" xr:uid="{F5315CE5-1C98-4B55-928C-A59EC251863D}"/>
    <hyperlink ref="C15" location="SW_IT_MMG_014!A1" display="SW_IT_MMG_014" xr:uid="{ABF0F429-58DF-467F-9D87-646D0242FB08}"/>
    <hyperlink ref="C22" location="SW_IT_MMG_021!A1" display="SW_IT_MMG_021" xr:uid="{8989E378-BA55-4B5D-8559-07DD00D15BE3}"/>
  </hyperlink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Reserved&amp;LTBD ver 1.7&amp;R&amp;P</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5895F-49A5-4587-B127-6C70166E168E}">
  <sheetPr codeName="Sheet9"/>
  <dimension ref="A1:P32"/>
  <sheetViews>
    <sheetView zoomScaleNormal="100" workbookViewId="0"/>
  </sheetViews>
  <sheetFormatPr defaultColWidth="9.109375" defaultRowHeight="13.2" x14ac:dyDescent="0.25"/>
  <cols>
    <col min="1" max="1" width="20.109375" style="78" customWidth="1"/>
    <col min="2" max="2" width="18.44140625" style="75" customWidth="1"/>
    <col min="3" max="4" width="9.109375" style="75"/>
    <col min="5" max="5" width="28.88671875" style="75" customWidth="1"/>
    <col min="6" max="6" width="25.33203125" style="75" customWidth="1"/>
    <col min="7" max="7" width="1.88671875" style="75" customWidth="1"/>
    <col min="8" max="10" width="9.5546875" style="75" customWidth="1"/>
    <col min="11" max="11" width="14.33203125" style="75" customWidth="1"/>
    <col min="12" max="14" width="9.5546875" style="75" customWidth="1"/>
    <col min="15" max="15" width="40" style="75" customWidth="1"/>
    <col min="16" max="16384" width="9.109375" style="75"/>
  </cols>
  <sheetData>
    <row r="1" spans="1:15" ht="13.8" thickBot="1" x14ac:dyDescent="0.3">
      <c r="A1" s="79" t="s">
        <v>139</v>
      </c>
      <c r="B1" s="200" t="s">
        <v>257</v>
      </c>
      <c r="C1" s="201"/>
      <c r="D1" s="201"/>
      <c r="E1" s="201"/>
      <c r="F1" s="201"/>
      <c r="G1" s="202"/>
      <c r="H1" s="55"/>
      <c r="I1" s="55"/>
      <c r="J1" s="55"/>
      <c r="K1" s="55"/>
      <c r="L1" s="55"/>
      <c r="M1" s="55"/>
      <c r="N1" s="55"/>
      <c r="O1" s="55"/>
    </row>
    <row r="2" spans="1:15" ht="13.8" thickBot="1" x14ac:dyDescent="0.3">
      <c r="A2" s="54"/>
      <c r="B2" s="55"/>
      <c r="C2" s="55"/>
      <c r="D2" s="55"/>
      <c r="E2" s="55"/>
      <c r="F2" s="55"/>
      <c r="G2" s="55"/>
      <c r="H2" s="55"/>
      <c r="I2" s="55"/>
      <c r="J2" s="55"/>
      <c r="K2" s="55"/>
      <c r="L2" s="55"/>
      <c r="M2" s="55"/>
      <c r="N2" s="55"/>
      <c r="O2" s="55"/>
    </row>
    <row r="3" spans="1:15" ht="27" thickBot="1" x14ac:dyDescent="0.3">
      <c r="A3" s="80" t="s">
        <v>140</v>
      </c>
      <c r="B3" s="203" t="s">
        <v>160</v>
      </c>
      <c r="C3" s="204"/>
      <c r="D3" s="204"/>
      <c r="E3" s="204"/>
      <c r="F3" s="204"/>
      <c r="G3" s="205"/>
      <c r="H3" s="55"/>
      <c r="I3" s="55"/>
      <c r="J3" s="55"/>
      <c r="K3" s="55"/>
      <c r="L3" s="55"/>
      <c r="M3" s="55"/>
      <c r="N3" s="55"/>
      <c r="O3" s="55"/>
    </row>
    <row r="4" spans="1:15" ht="13.8" thickBot="1" x14ac:dyDescent="0.3">
      <c r="A4" s="54"/>
      <c r="B4" s="55"/>
      <c r="C4" s="55"/>
      <c r="D4" s="55"/>
      <c r="E4" s="55"/>
      <c r="F4" s="55"/>
      <c r="G4" s="55"/>
      <c r="H4" s="55"/>
      <c r="I4" s="55"/>
      <c r="J4" s="55"/>
      <c r="K4" s="55"/>
      <c r="L4" s="55"/>
      <c r="M4" s="55"/>
      <c r="N4" s="55"/>
      <c r="O4" s="55"/>
    </row>
    <row r="5" spans="1:15" ht="13.8" thickBot="1" x14ac:dyDescent="0.3">
      <c r="A5" s="79" t="s">
        <v>141</v>
      </c>
      <c r="B5" s="58" t="s">
        <v>142</v>
      </c>
      <c r="C5" s="55"/>
      <c r="D5" s="55"/>
      <c r="E5" s="55"/>
      <c r="F5" s="55"/>
      <c r="G5" s="55"/>
      <c r="H5" s="55"/>
      <c r="I5" s="55"/>
      <c r="J5" s="55"/>
      <c r="K5" s="55"/>
      <c r="L5" s="55"/>
      <c r="M5" s="55"/>
      <c r="N5" s="55"/>
      <c r="O5" s="55"/>
    </row>
    <row r="6" spans="1:15" ht="13.8" thickBot="1" x14ac:dyDescent="0.3">
      <c r="A6" s="54"/>
      <c r="B6" s="55"/>
      <c r="C6" s="55"/>
      <c r="D6" s="55"/>
      <c r="E6" s="55"/>
      <c r="F6" s="55"/>
      <c r="G6" s="55"/>
      <c r="H6" s="55"/>
      <c r="I6" s="55"/>
      <c r="J6" s="55"/>
      <c r="K6" s="55"/>
      <c r="L6" s="55"/>
      <c r="M6" s="55"/>
      <c r="N6" s="55"/>
      <c r="O6" s="55"/>
    </row>
    <row r="7" spans="1:15" ht="13.8" thickBot="1" x14ac:dyDescent="0.3">
      <c r="A7" s="79" t="s">
        <v>143</v>
      </c>
      <c r="B7" s="203" t="s">
        <v>250</v>
      </c>
      <c r="C7" s="204"/>
      <c r="D7" s="204"/>
      <c r="E7" s="204"/>
      <c r="F7" s="204"/>
      <c r="G7" s="205"/>
      <c r="H7" s="55"/>
      <c r="I7" s="55"/>
      <c r="J7" s="55"/>
      <c r="K7" s="55"/>
      <c r="L7" s="55"/>
      <c r="M7" s="55"/>
      <c r="N7" s="55"/>
      <c r="O7" s="55"/>
    </row>
    <row r="8" spans="1:15" ht="13.8" thickBot="1" x14ac:dyDescent="0.3">
      <c r="A8" s="57"/>
      <c r="B8" s="56"/>
      <c r="C8" s="56"/>
      <c r="D8" s="56"/>
      <c r="E8" s="56"/>
      <c r="F8" s="56"/>
      <c r="G8" s="56"/>
      <c r="H8" s="55"/>
      <c r="I8" s="55"/>
      <c r="J8" s="55"/>
      <c r="K8" s="55"/>
      <c r="L8" s="55"/>
      <c r="M8" s="55"/>
      <c r="N8" s="55"/>
      <c r="O8" s="55"/>
    </row>
    <row r="9" spans="1:15" ht="13.8" thickBot="1" x14ac:dyDescent="0.3">
      <c r="A9" s="79" t="s">
        <v>144</v>
      </c>
      <c r="B9" s="84" t="s">
        <v>145</v>
      </c>
      <c r="C9" s="55"/>
      <c r="D9" s="55"/>
      <c r="E9" s="55"/>
      <c r="F9" s="55"/>
      <c r="G9" s="55"/>
      <c r="H9" s="55"/>
      <c r="I9" s="55"/>
      <c r="J9" s="55"/>
      <c r="K9" s="55"/>
      <c r="L9" s="55"/>
      <c r="M9" s="55"/>
      <c r="N9" s="55"/>
      <c r="O9" s="55"/>
    </row>
    <row r="10" spans="1:15" ht="13.8" thickBot="1" x14ac:dyDescent="0.3">
      <c r="A10" s="57"/>
      <c r="B10" s="76"/>
      <c r="C10" s="55"/>
      <c r="D10" s="55"/>
      <c r="E10" s="55"/>
      <c r="F10" s="55"/>
      <c r="G10" s="55"/>
      <c r="H10" s="55"/>
      <c r="I10" s="55"/>
      <c r="J10" s="55"/>
      <c r="K10" s="55"/>
      <c r="L10" s="55"/>
      <c r="M10" s="55"/>
      <c r="N10" s="55"/>
      <c r="O10" s="55"/>
    </row>
    <row r="11" spans="1:15" ht="12" customHeight="1" x14ac:dyDescent="0.25">
      <c r="A11" s="189" t="s">
        <v>146</v>
      </c>
      <c r="B11" s="191" t="s">
        <v>147</v>
      </c>
      <c r="C11" s="192"/>
      <c r="D11" s="192"/>
      <c r="E11" s="192"/>
      <c r="F11" s="192"/>
      <c r="G11" s="193"/>
      <c r="H11" s="55"/>
      <c r="I11" s="55"/>
      <c r="J11" s="55"/>
      <c r="K11" s="55"/>
      <c r="L11" s="55"/>
      <c r="M11" s="55"/>
      <c r="N11" s="55"/>
      <c r="O11" s="55"/>
    </row>
    <row r="12" spans="1:15" x14ac:dyDescent="0.25">
      <c r="A12" s="190"/>
      <c r="B12" s="194"/>
      <c r="C12" s="195"/>
      <c r="D12" s="195"/>
      <c r="E12" s="195"/>
      <c r="F12" s="195"/>
      <c r="G12" s="196"/>
      <c r="H12" s="55"/>
      <c r="I12" s="55"/>
      <c r="J12" s="55"/>
      <c r="K12" s="55"/>
      <c r="L12" s="55"/>
      <c r="M12" s="55"/>
      <c r="N12" s="55"/>
      <c r="O12" s="55"/>
    </row>
    <row r="13" spans="1:15" x14ac:dyDescent="0.25">
      <c r="A13" s="190"/>
      <c r="B13" s="194"/>
      <c r="C13" s="195"/>
      <c r="D13" s="195"/>
      <c r="E13" s="195"/>
      <c r="F13" s="195"/>
      <c r="G13" s="196"/>
      <c r="H13" s="54"/>
      <c r="I13" s="55"/>
      <c r="J13" s="55"/>
      <c r="K13" s="55"/>
      <c r="L13" s="55"/>
      <c r="M13" s="55"/>
      <c r="N13" s="55"/>
      <c r="O13" s="55"/>
    </row>
    <row r="14" spans="1:15" ht="13.8" thickBot="1" x14ac:dyDescent="0.3">
      <c r="A14" s="190"/>
      <c r="B14" s="197"/>
      <c r="C14" s="198"/>
      <c r="D14" s="198"/>
      <c r="E14" s="198"/>
      <c r="F14" s="198"/>
      <c r="G14" s="199"/>
      <c r="H14" s="59"/>
      <c r="I14" s="55"/>
      <c r="J14" s="55"/>
      <c r="K14" s="55"/>
      <c r="L14" s="55"/>
      <c r="M14" s="55"/>
      <c r="N14" s="55"/>
      <c r="O14" s="55"/>
    </row>
    <row r="15" spans="1:15" ht="13.8" thickBot="1" x14ac:dyDescent="0.3">
      <c r="A15" s="54"/>
      <c r="B15" s="54"/>
      <c r="C15" s="54"/>
      <c r="D15" s="54"/>
      <c r="E15" s="54"/>
      <c r="F15" s="54"/>
      <c r="G15" s="54"/>
      <c r="H15" s="59"/>
      <c r="I15" s="55"/>
      <c r="J15" s="55"/>
      <c r="K15" s="55"/>
      <c r="L15" s="55"/>
      <c r="M15" s="55"/>
      <c r="N15" s="55"/>
      <c r="O15" s="55"/>
    </row>
    <row r="16" spans="1:15" x14ac:dyDescent="0.25">
      <c r="A16" s="189" t="s">
        <v>148</v>
      </c>
      <c r="B16" s="191" t="s">
        <v>149</v>
      </c>
      <c r="C16" s="192"/>
      <c r="D16" s="192"/>
      <c r="E16" s="192"/>
      <c r="F16" s="192"/>
      <c r="G16" s="193"/>
      <c r="H16" s="55"/>
      <c r="I16" s="55"/>
      <c r="J16" s="55"/>
      <c r="K16" s="55"/>
      <c r="L16" s="55"/>
      <c r="M16" s="55"/>
      <c r="N16" s="55"/>
      <c r="O16" s="55"/>
    </row>
    <row r="17" spans="1:16" x14ac:dyDescent="0.25">
      <c r="A17" s="190"/>
      <c r="B17" s="194"/>
      <c r="C17" s="195"/>
      <c r="D17" s="195"/>
      <c r="E17" s="195"/>
      <c r="F17" s="195"/>
      <c r="G17" s="196"/>
      <c r="H17" s="55"/>
      <c r="I17" s="55"/>
      <c r="J17" s="55"/>
      <c r="K17" s="55"/>
      <c r="L17" s="55"/>
      <c r="M17" s="55"/>
      <c r="N17" s="55"/>
      <c r="O17" s="55"/>
    </row>
    <row r="18" spans="1:16" x14ac:dyDescent="0.25">
      <c r="A18" s="190"/>
      <c r="B18" s="194"/>
      <c r="C18" s="195"/>
      <c r="D18" s="195"/>
      <c r="E18" s="195"/>
      <c r="F18" s="195"/>
      <c r="G18" s="196"/>
      <c r="H18" s="54"/>
      <c r="I18" s="55"/>
      <c r="J18" s="55"/>
      <c r="K18" s="55"/>
      <c r="L18" s="55"/>
      <c r="M18" s="55"/>
      <c r="N18" s="55"/>
      <c r="O18" s="55"/>
    </row>
    <row r="19" spans="1:16" ht="13.8" thickBot="1" x14ac:dyDescent="0.3">
      <c r="A19" s="190"/>
      <c r="B19" s="197"/>
      <c r="C19" s="198"/>
      <c r="D19" s="198"/>
      <c r="E19" s="198"/>
      <c r="F19" s="198"/>
      <c r="G19" s="199"/>
      <c r="H19" s="59"/>
      <c r="I19" s="55"/>
      <c r="J19" s="55"/>
      <c r="K19" s="55"/>
      <c r="L19" s="55"/>
      <c r="M19" s="55"/>
      <c r="N19" s="55"/>
      <c r="O19" s="55"/>
    </row>
    <row r="20" spans="1:16" ht="13.8" thickBot="1" x14ac:dyDescent="0.3">
      <c r="A20" s="54"/>
      <c r="B20" s="54"/>
      <c r="C20" s="54"/>
      <c r="D20" s="54"/>
      <c r="E20" s="54"/>
      <c r="F20" s="54"/>
      <c r="G20" s="54"/>
      <c r="H20" s="59"/>
      <c r="I20" s="55"/>
      <c r="J20" s="55"/>
      <c r="K20" s="55"/>
      <c r="L20" s="55"/>
      <c r="M20" s="55"/>
      <c r="N20" s="55"/>
      <c r="O20" s="55"/>
    </row>
    <row r="21" spans="1:16" ht="12.75" customHeight="1" x14ac:dyDescent="0.25">
      <c r="A21" s="186" t="s">
        <v>150</v>
      </c>
      <c r="B21" s="187"/>
      <c r="C21" s="187"/>
      <c r="D21" s="187"/>
      <c r="E21" s="187"/>
      <c r="F21" s="187"/>
      <c r="G21" s="188"/>
      <c r="H21" s="186" t="s">
        <v>151</v>
      </c>
      <c r="I21" s="187"/>
      <c r="J21" s="187"/>
      <c r="K21" s="188"/>
      <c r="L21" s="186" t="s">
        <v>152</v>
      </c>
      <c r="M21" s="187"/>
      <c r="N21" s="187"/>
      <c r="O21" s="188"/>
      <c r="P21" s="81" t="s">
        <v>153</v>
      </c>
    </row>
    <row r="22" spans="1:16" ht="32.25" customHeight="1" x14ac:dyDescent="0.25">
      <c r="A22" s="82" t="s">
        <v>154</v>
      </c>
      <c r="B22" s="172" t="s">
        <v>192</v>
      </c>
      <c r="C22" s="173"/>
      <c r="D22" s="173"/>
      <c r="E22" s="173"/>
      <c r="F22" s="173"/>
      <c r="G22" s="174"/>
      <c r="H22" s="175" t="s">
        <v>161</v>
      </c>
      <c r="I22" s="175"/>
      <c r="J22" s="175"/>
      <c r="K22" s="175"/>
      <c r="L22" s="175" t="s">
        <v>161</v>
      </c>
      <c r="M22" s="175"/>
      <c r="N22" s="175"/>
      <c r="O22" s="175"/>
      <c r="P22" s="77" t="s">
        <v>145</v>
      </c>
    </row>
    <row r="23" spans="1:16" ht="36.75" customHeight="1" x14ac:dyDescent="0.25">
      <c r="A23" s="82" t="s">
        <v>155</v>
      </c>
      <c r="B23" s="183" t="s">
        <v>193</v>
      </c>
      <c r="C23" s="184"/>
      <c r="D23" s="184"/>
      <c r="E23" s="184"/>
      <c r="F23" s="184"/>
      <c r="G23" s="185"/>
      <c r="H23" s="181" t="s">
        <v>161</v>
      </c>
      <c r="I23" s="181"/>
      <c r="J23" s="181"/>
      <c r="K23" s="182"/>
      <c r="L23" s="175" t="s">
        <v>161</v>
      </c>
      <c r="M23" s="175"/>
      <c r="N23" s="175"/>
      <c r="O23" s="175"/>
      <c r="P23" s="77" t="s">
        <v>145</v>
      </c>
    </row>
    <row r="24" spans="1:16" ht="27.75" customHeight="1" x14ac:dyDescent="0.25">
      <c r="A24" s="82" t="s">
        <v>156</v>
      </c>
      <c r="B24" s="172" t="s">
        <v>194</v>
      </c>
      <c r="C24" s="173"/>
      <c r="D24" s="173"/>
      <c r="E24" s="173"/>
      <c r="F24" s="173"/>
      <c r="G24" s="174"/>
      <c r="H24" s="178" t="s">
        <v>161</v>
      </c>
      <c r="I24" s="179"/>
      <c r="J24" s="179"/>
      <c r="K24" s="180"/>
      <c r="L24" s="178" t="s">
        <v>161</v>
      </c>
      <c r="M24" s="179"/>
      <c r="N24" s="179"/>
      <c r="O24" s="180"/>
      <c r="P24" s="77" t="s">
        <v>145</v>
      </c>
    </row>
    <row r="25" spans="1:16" x14ac:dyDescent="0.25">
      <c r="A25" s="82" t="s">
        <v>157</v>
      </c>
      <c r="B25" s="172"/>
      <c r="C25" s="173"/>
      <c r="D25" s="173"/>
      <c r="E25" s="173"/>
      <c r="F25" s="173"/>
      <c r="G25" s="174"/>
      <c r="H25" s="175"/>
      <c r="I25" s="175"/>
      <c r="J25" s="175"/>
      <c r="K25" s="175"/>
      <c r="L25" s="175"/>
      <c r="M25" s="175"/>
      <c r="N25" s="175"/>
      <c r="O25" s="175"/>
      <c r="P25" s="77"/>
    </row>
    <row r="26" spans="1:16" x14ac:dyDescent="0.25">
      <c r="A26" s="82" t="s">
        <v>158</v>
      </c>
      <c r="B26" s="172"/>
      <c r="C26" s="173"/>
      <c r="D26" s="173"/>
      <c r="E26" s="173"/>
      <c r="F26" s="173"/>
      <c r="G26" s="174"/>
      <c r="H26" s="175"/>
      <c r="I26" s="175"/>
      <c r="J26" s="175"/>
      <c r="K26" s="175"/>
      <c r="L26" s="175"/>
      <c r="M26" s="175"/>
      <c r="N26" s="175"/>
      <c r="O26" s="175"/>
      <c r="P26" s="77"/>
    </row>
    <row r="27" spans="1:16" x14ac:dyDescent="0.25">
      <c r="A27" s="82" t="s">
        <v>159</v>
      </c>
      <c r="B27" s="176"/>
      <c r="C27" s="177"/>
      <c r="D27" s="177"/>
      <c r="E27" s="177"/>
      <c r="F27" s="177"/>
      <c r="G27" s="95"/>
      <c r="H27" s="175"/>
      <c r="I27" s="175"/>
      <c r="J27" s="175"/>
      <c r="K27" s="175"/>
      <c r="L27" s="175"/>
      <c r="M27" s="175"/>
      <c r="N27" s="175"/>
      <c r="O27" s="175"/>
      <c r="P27" s="77"/>
    </row>
    <row r="28" spans="1:16" x14ac:dyDescent="0.25">
      <c r="A28" s="82" t="s">
        <v>162</v>
      </c>
      <c r="B28" s="172"/>
      <c r="C28" s="173"/>
      <c r="D28" s="173"/>
      <c r="E28" s="173"/>
      <c r="F28" s="173"/>
      <c r="G28" s="174"/>
      <c r="H28" s="175"/>
      <c r="I28" s="175"/>
      <c r="J28" s="175"/>
      <c r="K28" s="175"/>
      <c r="L28" s="175"/>
      <c r="M28" s="175"/>
      <c r="N28" s="175"/>
      <c r="O28" s="175"/>
      <c r="P28" s="77"/>
    </row>
    <row r="29" spans="1:16" x14ac:dyDescent="0.25">
      <c r="A29" s="82" t="s">
        <v>163</v>
      </c>
      <c r="B29" s="172"/>
      <c r="C29" s="173"/>
      <c r="D29" s="173"/>
      <c r="E29" s="173"/>
      <c r="F29" s="173"/>
      <c r="G29" s="174"/>
      <c r="H29" s="175"/>
      <c r="I29" s="175"/>
      <c r="J29" s="175"/>
      <c r="K29" s="175"/>
      <c r="L29" s="175"/>
      <c r="M29" s="175"/>
      <c r="N29" s="175"/>
      <c r="O29" s="175"/>
      <c r="P29" s="77"/>
    </row>
    <row r="30" spans="1:16" x14ac:dyDescent="0.25">
      <c r="A30" s="82" t="s">
        <v>164</v>
      </c>
      <c r="B30" s="172"/>
      <c r="C30" s="173"/>
      <c r="D30" s="173"/>
      <c r="E30" s="173"/>
      <c r="F30" s="173"/>
      <c r="G30" s="174"/>
      <c r="H30" s="175"/>
      <c r="I30" s="175"/>
      <c r="J30" s="175"/>
      <c r="K30" s="175"/>
      <c r="L30" s="175"/>
      <c r="M30" s="175"/>
      <c r="N30" s="175"/>
      <c r="O30" s="175"/>
      <c r="P30" s="77"/>
    </row>
    <row r="31" spans="1:16" x14ac:dyDescent="0.25">
      <c r="A31" s="82" t="s">
        <v>165</v>
      </c>
      <c r="B31" s="172"/>
      <c r="C31" s="173"/>
      <c r="D31" s="173"/>
      <c r="E31" s="173"/>
      <c r="F31" s="173"/>
      <c r="G31" s="174"/>
      <c r="H31" s="175"/>
      <c r="I31" s="175"/>
      <c r="J31" s="175"/>
      <c r="K31" s="175"/>
      <c r="L31" s="175"/>
      <c r="M31" s="175"/>
      <c r="N31" s="175"/>
      <c r="O31" s="175"/>
      <c r="P31" s="77"/>
    </row>
    <row r="32" spans="1:16" x14ac:dyDescent="0.25">
      <c r="A32" s="75"/>
    </row>
  </sheetData>
  <mergeCells count="40">
    <mergeCell ref="A16:A19"/>
    <mergeCell ref="B16:G19"/>
    <mergeCell ref="B1:G1"/>
    <mergeCell ref="B3:G3"/>
    <mergeCell ref="B7:G7"/>
    <mergeCell ref="A11:A14"/>
    <mergeCell ref="B11:G14"/>
    <mergeCell ref="A21:G21"/>
    <mergeCell ref="H21:K21"/>
    <mergeCell ref="L21:O21"/>
    <mergeCell ref="B22:G22"/>
    <mergeCell ref="H22:K22"/>
    <mergeCell ref="L22:O22"/>
    <mergeCell ref="B24:G24"/>
    <mergeCell ref="H24:K24"/>
    <mergeCell ref="L23:O23"/>
    <mergeCell ref="B25:G25"/>
    <mergeCell ref="H27:K27"/>
    <mergeCell ref="L24:O24"/>
    <mergeCell ref="H25:K25"/>
    <mergeCell ref="L25:O25"/>
    <mergeCell ref="B26:G26"/>
    <mergeCell ref="H26:K26"/>
    <mergeCell ref="L26:O26"/>
    <mergeCell ref="L27:O27"/>
    <mergeCell ref="H23:K23"/>
    <mergeCell ref="B23:G23"/>
    <mergeCell ref="B28:G28"/>
    <mergeCell ref="H28:K28"/>
    <mergeCell ref="L28:O28"/>
    <mergeCell ref="B27:F27"/>
    <mergeCell ref="B31:G31"/>
    <mergeCell ref="H31:K31"/>
    <mergeCell ref="L31:O31"/>
    <mergeCell ref="B29:G29"/>
    <mergeCell ref="H29:K29"/>
    <mergeCell ref="L29:O29"/>
    <mergeCell ref="B30:G30"/>
    <mergeCell ref="H30:K30"/>
    <mergeCell ref="L30:O30"/>
  </mergeCells>
  <phoneticPr fontId="41" type="noConversion"/>
  <conditionalFormatting sqref="B9:B10">
    <cfRule type="cellIs" dxfId="283" priority="13" operator="equal">
      <formula>"Nok"</formula>
    </cfRule>
    <cfRule type="cellIs" dxfId="282" priority="14" operator="equal">
      <formula>"Ok"</formula>
    </cfRule>
  </conditionalFormatting>
  <conditionalFormatting sqref="P22:P27">
    <cfRule type="cellIs" dxfId="281" priority="11" operator="equal">
      <formula>"Nok"</formula>
    </cfRule>
    <cfRule type="cellIs" dxfId="280" priority="12" operator="equal">
      <formula>"Ok"</formula>
    </cfRule>
  </conditionalFormatting>
  <conditionalFormatting sqref="P29">
    <cfRule type="cellIs" dxfId="279" priority="7" operator="equal">
      <formula>"Nok"</formula>
    </cfRule>
    <cfRule type="cellIs" dxfId="278" priority="8" operator="equal">
      <formula>"Ok"</formula>
    </cfRule>
  </conditionalFormatting>
  <conditionalFormatting sqref="P28">
    <cfRule type="cellIs" dxfId="277" priority="9" operator="equal">
      <formula>"Nok"</formula>
    </cfRule>
    <cfRule type="cellIs" dxfId="276" priority="10" operator="equal">
      <formula>"Ok"</formula>
    </cfRule>
  </conditionalFormatting>
  <conditionalFormatting sqref="P30">
    <cfRule type="cellIs" dxfId="275" priority="5" operator="equal">
      <formula>"Nok"</formula>
    </cfRule>
    <cfRule type="cellIs" dxfId="274" priority="6" operator="equal">
      <formula>"Ok"</formula>
    </cfRule>
  </conditionalFormatting>
  <conditionalFormatting sqref="P31">
    <cfRule type="cellIs" dxfId="273" priority="3" operator="equal">
      <formula>"Nok"</formula>
    </cfRule>
    <cfRule type="cellIs" dxfId="272" priority="4" operator="equal">
      <formula>"Ok"</formula>
    </cfRule>
  </conditionalFormatting>
  <dataValidations count="3">
    <dataValidation type="list" allowBlank="1" showInputMessage="1" showErrorMessage="1" sqref="P22:P31" xr:uid="{EAC354AC-9451-4BC8-8C7D-97A3B2F80652}">
      <formula1>"Ok, Nok, Not run, ,"</formula1>
    </dataValidation>
    <dataValidation type="list" allowBlank="1" showInputMessage="1" showErrorMessage="1" sqref="B9" xr:uid="{A4FA71BC-6E5D-4D10-B548-10BD75308D80}">
      <formula1>"Ok, Nok, Not run, NA"</formula1>
    </dataValidation>
    <dataValidation type="list" allowBlank="1" showInputMessage="1" showErrorMessage="1" sqref="B5" xr:uid="{7C370A4B-CE0E-4251-9DAB-44AD5CACDCF4}">
      <formula1>"Nominal, Robustness, Endurance, Qualification"</formula1>
    </dataValidation>
  </dataValidations>
  <pageMargins left="0.7" right="0.7" top="0.75" bottom="0.75" header="0.3" footer="0.3"/>
  <pageSetup paperSize="9" orientation="portrait" r:id="rId1"/>
  <headerFooter>
    <oddFooter>&amp;LTBD ver 1.7&amp;R&amp;P</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BCA3F-741D-4A12-A67F-C3929B3FAE5E}">
  <sheetPr codeName="Sheet15"/>
  <dimension ref="A1:P33"/>
  <sheetViews>
    <sheetView zoomScaleNormal="100" workbookViewId="0">
      <selection activeCell="B23" sqref="B23:G23"/>
    </sheetView>
  </sheetViews>
  <sheetFormatPr defaultColWidth="9.109375" defaultRowHeight="13.2" x14ac:dyDescent="0.25"/>
  <cols>
    <col min="1" max="1" width="20.109375" style="78" customWidth="1"/>
    <col min="2" max="2" width="18.44140625" style="75" customWidth="1"/>
    <col min="3" max="7" width="9.109375" style="75"/>
    <col min="8" max="10" width="9.5546875" style="75" customWidth="1"/>
    <col min="11" max="11" width="20.5546875" style="75" customWidth="1"/>
    <col min="12" max="14" width="9.5546875" style="75" customWidth="1"/>
    <col min="15" max="15" width="40" style="75" customWidth="1"/>
    <col min="16" max="16384" width="9.109375" style="75"/>
  </cols>
  <sheetData>
    <row r="1" spans="1:15" ht="13.8" thickBot="1" x14ac:dyDescent="0.3">
      <c r="A1" s="79" t="s">
        <v>139</v>
      </c>
      <c r="B1" s="200" t="s">
        <v>311</v>
      </c>
      <c r="C1" s="201"/>
      <c r="D1" s="201"/>
      <c r="E1" s="201"/>
      <c r="F1" s="201"/>
      <c r="G1" s="202"/>
      <c r="H1" s="55"/>
      <c r="I1" s="55"/>
      <c r="J1" s="55"/>
      <c r="K1" s="55"/>
      <c r="L1" s="55"/>
      <c r="M1" s="55"/>
      <c r="N1" s="55"/>
      <c r="O1" s="55"/>
    </row>
    <row r="2" spans="1:15" ht="13.8" thickBot="1" x14ac:dyDescent="0.3">
      <c r="A2" s="54"/>
      <c r="B2" s="55"/>
      <c r="C2" s="55"/>
      <c r="D2" s="55"/>
      <c r="E2" s="55"/>
      <c r="F2" s="55"/>
      <c r="G2" s="55"/>
      <c r="H2" s="55"/>
      <c r="I2" s="55"/>
      <c r="J2" s="55"/>
      <c r="K2" s="55"/>
      <c r="L2" s="55"/>
      <c r="M2" s="55"/>
      <c r="N2" s="55"/>
      <c r="O2" s="55"/>
    </row>
    <row r="3" spans="1:15" ht="27" thickBot="1" x14ac:dyDescent="0.3">
      <c r="A3" s="80" t="s">
        <v>140</v>
      </c>
      <c r="B3" s="203" t="s">
        <v>176</v>
      </c>
      <c r="C3" s="204"/>
      <c r="D3" s="204"/>
      <c r="E3" s="204"/>
      <c r="F3" s="204"/>
      <c r="G3" s="205"/>
      <c r="H3" s="55"/>
      <c r="I3" s="55"/>
      <c r="J3" s="55"/>
      <c r="K3" s="55"/>
      <c r="L3" s="55"/>
      <c r="M3" s="55"/>
      <c r="N3" s="55"/>
      <c r="O3" s="55"/>
    </row>
    <row r="4" spans="1:15" ht="13.8" thickBot="1" x14ac:dyDescent="0.3">
      <c r="A4" s="54"/>
      <c r="B4" s="55"/>
      <c r="C4" s="55"/>
      <c r="D4" s="55"/>
      <c r="E4" s="55"/>
      <c r="F4" s="55"/>
      <c r="G4" s="55"/>
      <c r="H4" s="55"/>
      <c r="I4" s="55"/>
      <c r="J4" s="55"/>
      <c r="K4" s="55"/>
      <c r="L4" s="55"/>
      <c r="M4" s="55"/>
      <c r="N4" s="55"/>
      <c r="O4" s="55"/>
    </row>
    <row r="5" spans="1:15" ht="13.8" thickBot="1" x14ac:dyDescent="0.3">
      <c r="A5" s="79" t="s">
        <v>141</v>
      </c>
      <c r="B5" s="58" t="s">
        <v>142</v>
      </c>
      <c r="C5" s="55"/>
      <c r="D5" s="55"/>
      <c r="E5" s="55"/>
      <c r="F5" s="55"/>
      <c r="G5" s="55"/>
      <c r="H5" s="55"/>
      <c r="I5" s="55"/>
      <c r="J5" s="55"/>
      <c r="K5" s="55"/>
      <c r="L5" s="55"/>
      <c r="M5" s="55"/>
      <c r="N5" s="55"/>
      <c r="O5" s="55"/>
    </row>
    <row r="6" spans="1:15" ht="13.8" thickBot="1" x14ac:dyDescent="0.3">
      <c r="A6" s="54"/>
      <c r="B6" s="55"/>
      <c r="C6" s="55"/>
      <c r="D6" s="55"/>
      <c r="E6" s="55"/>
      <c r="F6" s="55"/>
      <c r="G6" s="55"/>
      <c r="H6" s="55"/>
      <c r="I6" s="55"/>
      <c r="J6" s="55"/>
      <c r="K6" s="55"/>
      <c r="L6" s="55"/>
      <c r="M6" s="55"/>
      <c r="N6" s="55"/>
      <c r="O6" s="55"/>
    </row>
    <row r="7" spans="1:15" ht="13.8" thickBot="1" x14ac:dyDescent="0.3">
      <c r="A7" s="79" t="s">
        <v>143</v>
      </c>
      <c r="B7" s="206" t="s">
        <v>251</v>
      </c>
      <c r="C7" s="207"/>
      <c r="D7" s="207"/>
      <c r="E7" s="207"/>
      <c r="F7" s="207"/>
      <c r="G7" s="208"/>
      <c r="H7" s="55"/>
      <c r="I7" s="55"/>
      <c r="J7" s="55"/>
      <c r="K7" s="55"/>
      <c r="L7" s="55"/>
      <c r="M7" s="55"/>
      <c r="N7" s="55"/>
      <c r="O7" s="55"/>
    </row>
    <row r="8" spans="1:15" ht="13.8" thickBot="1" x14ac:dyDescent="0.3">
      <c r="A8" s="57"/>
      <c r="B8" s="56"/>
      <c r="C8" s="56"/>
      <c r="D8" s="56"/>
      <c r="E8" s="56"/>
      <c r="F8" s="56"/>
      <c r="G8" s="56"/>
      <c r="H8" s="55"/>
      <c r="I8" s="55"/>
      <c r="J8" s="55"/>
      <c r="K8" s="55"/>
      <c r="L8" s="55"/>
      <c r="M8" s="55"/>
      <c r="N8" s="55"/>
      <c r="O8" s="55"/>
    </row>
    <row r="9" spans="1:15" ht="13.8" thickBot="1" x14ac:dyDescent="0.3">
      <c r="A9" s="79" t="s">
        <v>144</v>
      </c>
      <c r="B9" s="84" t="s">
        <v>145</v>
      </c>
      <c r="C9" s="55"/>
      <c r="D9" s="55"/>
      <c r="E9" s="55"/>
      <c r="F9" s="55"/>
      <c r="G9" s="55"/>
      <c r="H9" s="55"/>
      <c r="I9" s="55"/>
      <c r="J9" s="55"/>
      <c r="K9" s="55"/>
      <c r="L9" s="55"/>
      <c r="M9" s="55"/>
      <c r="N9" s="55"/>
      <c r="O9" s="55"/>
    </row>
    <row r="10" spans="1:15" ht="13.8" thickBot="1" x14ac:dyDescent="0.3">
      <c r="A10" s="57"/>
      <c r="B10" s="76"/>
      <c r="C10" s="55"/>
      <c r="D10" s="55"/>
      <c r="E10" s="55"/>
      <c r="F10" s="55"/>
      <c r="G10" s="55"/>
      <c r="H10" s="55"/>
      <c r="I10" s="55"/>
      <c r="J10" s="55"/>
      <c r="K10" s="55"/>
      <c r="L10" s="55"/>
      <c r="M10" s="55"/>
      <c r="N10" s="55"/>
      <c r="O10" s="55"/>
    </row>
    <row r="11" spans="1:15" ht="12" customHeight="1" x14ac:dyDescent="0.25">
      <c r="A11" s="189" t="s">
        <v>146</v>
      </c>
      <c r="B11" s="191" t="s">
        <v>147</v>
      </c>
      <c r="C11" s="192"/>
      <c r="D11" s="192"/>
      <c r="E11" s="192"/>
      <c r="F11" s="192"/>
      <c r="G11" s="193"/>
      <c r="H11" s="55"/>
      <c r="I11" s="55"/>
      <c r="J11" s="55"/>
      <c r="K11" s="55"/>
      <c r="L11" s="55"/>
      <c r="M11" s="55"/>
      <c r="N11" s="55"/>
      <c r="O11" s="55"/>
    </row>
    <row r="12" spans="1:15" x14ac:dyDescent="0.25">
      <c r="A12" s="190"/>
      <c r="B12" s="194"/>
      <c r="C12" s="195"/>
      <c r="D12" s="195"/>
      <c r="E12" s="195"/>
      <c r="F12" s="195"/>
      <c r="G12" s="196"/>
      <c r="H12" s="55"/>
      <c r="I12" s="55"/>
      <c r="J12" s="55"/>
      <c r="K12" s="55"/>
      <c r="L12" s="55"/>
      <c r="M12" s="55"/>
      <c r="N12" s="55"/>
      <c r="O12" s="55"/>
    </row>
    <row r="13" spans="1:15" x14ac:dyDescent="0.25">
      <c r="A13" s="190"/>
      <c r="B13" s="194"/>
      <c r="C13" s="195"/>
      <c r="D13" s="195"/>
      <c r="E13" s="195"/>
      <c r="F13" s="195"/>
      <c r="G13" s="196"/>
      <c r="H13" s="54"/>
      <c r="I13" s="55"/>
      <c r="J13" s="55"/>
      <c r="K13" s="55"/>
      <c r="L13" s="55"/>
      <c r="M13" s="55"/>
      <c r="N13" s="55"/>
      <c r="O13" s="55"/>
    </row>
    <row r="14" spans="1:15" ht="13.8" thickBot="1" x14ac:dyDescent="0.3">
      <c r="A14" s="190"/>
      <c r="B14" s="197"/>
      <c r="C14" s="198"/>
      <c r="D14" s="198"/>
      <c r="E14" s="198"/>
      <c r="F14" s="198"/>
      <c r="G14" s="199"/>
      <c r="H14" s="59"/>
      <c r="I14" s="55"/>
      <c r="J14" s="55"/>
      <c r="K14" s="55"/>
      <c r="L14" s="55"/>
      <c r="M14" s="55"/>
      <c r="N14" s="55"/>
      <c r="O14" s="55"/>
    </row>
    <row r="15" spans="1:15" ht="13.8" thickBot="1" x14ac:dyDescent="0.3">
      <c r="A15" s="54"/>
      <c r="B15" s="54"/>
      <c r="C15" s="54"/>
      <c r="D15" s="54"/>
      <c r="E15" s="54"/>
      <c r="F15" s="54"/>
      <c r="G15" s="54"/>
      <c r="H15" s="59"/>
      <c r="I15" s="55"/>
      <c r="J15" s="55"/>
      <c r="K15" s="55"/>
      <c r="L15" s="55"/>
      <c r="M15" s="55"/>
      <c r="N15" s="55"/>
      <c r="O15" s="55"/>
    </row>
    <row r="16" spans="1:15" x14ac:dyDescent="0.25">
      <c r="A16" s="189" t="s">
        <v>148</v>
      </c>
      <c r="B16" s="191" t="s">
        <v>149</v>
      </c>
      <c r="C16" s="192"/>
      <c r="D16" s="192"/>
      <c r="E16" s="192"/>
      <c r="F16" s="192"/>
      <c r="G16" s="193"/>
      <c r="H16" s="55"/>
      <c r="I16" s="55"/>
      <c r="J16" s="55"/>
      <c r="K16" s="55"/>
      <c r="L16" s="55"/>
      <c r="M16" s="55"/>
      <c r="N16" s="55"/>
      <c r="O16" s="55"/>
    </row>
    <row r="17" spans="1:16" x14ac:dyDescent="0.25">
      <c r="A17" s="190"/>
      <c r="B17" s="194"/>
      <c r="C17" s="195"/>
      <c r="D17" s="195"/>
      <c r="E17" s="195"/>
      <c r="F17" s="195"/>
      <c r="G17" s="196"/>
      <c r="H17" s="55"/>
      <c r="I17" s="55"/>
      <c r="J17" s="55"/>
      <c r="K17" s="55"/>
      <c r="L17" s="55"/>
      <c r="M17" s="55"/>
      <c r="N17" s="55"/>
      <c r="O17" s="55"/>
    </row>
    <row r="18" spans="1:16" x14ac:dyDescent="0.25">
      <c r="A18" s="190"/>
      <c r="B18" s="194"/>
      <c r="C18" s="195"/>
      <c r="D18" s="195"/>
      <c r="E18" s="195"/>
      <c r="F18" s="195"/>
      <c r="G18" s="196"/>
      <c r="H18" s="54"/>
      <c r="I18" s="55"/>
      <c r="J18" s="55"/>
      <c r="K18" s="55"/>
      <c r="L18" s="55"/>
      <c r="M18" s="55"/>
      <c r="N18" s="55"/>
      <c r="O18" s="55"/>
    </row>
    <row r="19" spans="1:16" ht="13.8" thickBot="1" x14ac:dyDescent="0.3">
      <c r="A19" s="190"/>
      <c r="B19" s="197"/>
      <c r="C19" s="198"/>
      <c r="D19" s="198"/>
      <c r="E19" s="198"/>
      <c r="F19" s="198"/>
      <c r="G19" s="199"/>
      <c r="H19" s="59"/>
      <c r="I19" s="55"/>
      <c r="J19" s="55"/>
      <c r="K19" s="55"/>
      <c r="L19" s="55"/>
      <c r="M19" s="55"/>
      <c r="N19" s="55"/>
      <c r="O19" s="55"/>
    </row>
    <row r="20" spans="1:16" ht="13.8" thickBot="1" x14ac:dyDescent="0.3">
      <c r="A20" s="54"/>
      <c r="B20" s="54"/>
      <c r="C20" s="54"/>
      <c r="D20" s="54"/>
      <c r="E20" s="54"/>
      <c r="F20" s="54"/>
      <c r="G20" s="54"/>
      <c r="H20" s="59"/>
      <c r="I20" s="55"/>
      <c r="J20" s="55"/>
      <c r="K20" s="55"/>
      <c r="L20" s="55"/>
      <c r="M20" s="55"/>
      <c r="N20" s="55"/>
      <c r="O20" s="55"/>
    </row>
    <row r="21" spans="1:16" ht="12.75" customHeight="1" x14ac:dyDescent="0.25">
      <c r="A21" s="186" t="s">
        <v>150</v>
      </c>
      <c r="B21" s="187"/>
      <c r="C21" s="187"/>
      <c r="D21" s="187"/>
      <c r="E21" s="187"/>
      <c r="F21" s="187"/>
      <c r="G21" s="188"/>
      <c r="H21" s="186" t="s">
        <v>151</v>
      </c>
      <c r="I21" s="187"/>
      <c r="J21" s="187"/>
      <c r="K21" s="188"/>
      <c r="L21" s="186" t="s">
        <v>152</v>
      </c>
      <c r="M21" s="187"/>
      <c r="N21" s="187"/>
      <c r="O21" s="188"/>
      <c r="P21" s="81" t="s">
        <v>153</v>
      </c>
    </row>
    <row r="22" spans="1:16" ht="51" customHeight="1" x14ac:dyDescent="0.25">
      <c r="A22" s="82" t="s">
        <v>154</v>
      </c>
      <c r="B22" s="172" t="s">
        <v>225</v>
      </c>
      <c r="C22" s="173"/>
      <c r="D22" s="173"/>
      <c r="E22" s="173"/>
      <c r="F22" s="173"/>
      <c r="G22" s="174"/>
      <c r="H22" s="209" t="s">
        <v>166</v>
      </c>
      <c r="I22" s="209"/>
      <c r="J22" s="209"/>
      <c r="K22" s="209"/>
      <c r="L22" s="209" t="s">
        <v>166</v>
      </c>
      <c r="M22" s="209"/>
      <c r="N22" s="209"/>
      <c r="O22" s="209"/>
      <c r="P22" s="77" t="s">
        <v>145</v>
      </c>
    </row>
    <row r="23" spans="1:16" ht="50.25" customHeight="1" x14ac:dyDescent="0.25">
      <c r="A23" s="82" t="s">
        <v>155</v>
      </c>
      <c r="B23" s="210" t="s">
        <v>226</v>
      </c>
      <c r="C23" s="211"/>
      <c r="D23" s="211"/>
      <c r="E23" s="211"/>
      <c r="F23" s="211"/>
      <c r="G23" s="212"/>
      <c r="H23" s="175"/>
      <c r="I23" s="175"/>
      <c r="J23" s="175"/>
      <c r="K23" s="175"/>
      <c r="L23" s="175"/>
      <c r="M23" s="175"/>
      <c r="N23" s="175"/>
      <c r="O23" s="175"/>
      <c r="P23" s="77"/>
    </row>
    <row r="24" spans="1:16" ht="39" customHeight="1" x14ac:dyDescent="0.25">
      <c r="A24" s="82" t="s">
        <v>156</v>
      </c>
      <c r="B24" s="210" t="s">
        <v>227</v>
      </c>
      <c r="C24" s="211"/>
      <c r="D24" s="211"/>
      <c r="E24" s="211"/>
      <c r="F24" s="211"/>
      <c r="G24" s="212"/>
      <c r="H24" s="175" t="s">
        <v>228</v>
      </c>
      <c r="I24" s="175"/>
      <c r="J24" s="175"/>
      <c r="K24" s="175"/>
      <c r="L24" s="175" t="s">
        <v>228</v>
      </c>
      <c r="M24" s="175"/>
      <c r="N24" s="175"/>
      <c r="O24" s="175"/>
      <c r="P24" s="77" t="s">
        <v>145</v>
      </c>
    </row>
    <row r="25" spans="1:16" x14ac:dyDescent="0.25">
      <c r="A25" s="82" t="s">
        <v>157</v>
      </c>
      <c r="B25" s="55"/>
      <c r="H25" s="175"/>
      <c r="I25" s="175"/>
      <c r="J25" s="175"/>
      <c r="K25" s="175"/>
      <c r="L25" s="175"/>
      <c r="M25" s="175"/>
      <c r="N25" s="175"/>
      <c r="O25" s="175"/>
      <c r="P25" s="77"/>
    </row>
    <row r="26" spans="1:16" x14ac:dyDescent="0.25">
      <c r="A26" s="82" t="s">
        <v>158</v>
      </c>
      <c r="B26" s="178"/>
      <c r="C26" s="179"/>
      <c r="D26" s="179"/>
      <c r="E26" s="179"/>
      <c r="F26" s="179"/>
      <c r="G26" s="180"/>
      <c r="H26" s="175"/>
      <c r="I26" s="175"/>
      <c r="J26" s="175"/>
      <c r="K26" s="175"/>
      <c r="L26" s="175"/>
      <c r="M26" s="175"/>
      <c r="N26" s="175"/>
      <c r="O26" s="175"/>
      <c r="P26" s="77"/>
    </row>
    <row r="27" spans="1:16" x14ac:dyDescent="0.25">
      <c r="A27" s="82" t="s">
        <v>159</v>
      </c>
      <c r="B27" s="178"/>
      <c r="C27" s="179"/>
      <c r="D27" s="179"/>
      <c r="E27" s="179"/>
      <c r="F27" s="179"/>
      <c r="G27" s="180"/>
      <c r="H27" s="175"/>
      <c r="I27" s="175"/>
      <c r="J27" s="175"/>
      <c r="K27" s="175"/>
      <c r="L27" s="175"/>
      <c r="M27" s="175"/>
      <c r="N27" s="175"/>
      <c r="O27" s="175"/>
      <c r="P27" s="77"/>
    </row>
    <row r="28" spans="1:16" ht="12.75" customHeight="1" x14ac:dyDescent="0.25">
      <c r="A28" s="82" t="s">
        <v>162</v>
      </c>
      <c r="B28" s="178"/>
      <c r="C28" s="179"/>
      <c r="D28" s="179"/>
      <c r="E28" s="179"/>
      <c r="F28" s="179"/>
      <c r="G28" s="180"/>
      <c r="H28" s="175"/>
      <c r="I28" s="175"/>
      <c r="J28" s="175"/>
      <c r="K28" s="175"/>
      <c r="L28" s="175"/>
      <c r="M28" s="175"/>
      <c r="N28" s="175"/>
      <c r="O28" s="175"/>
      <c r="P28" s="77"/>
    </row>
    <row r="29" spans="1:16" ht="12.75" customHeight="1" x14ac:dyDescent="0.25">
      <c r="A29" s="82" t="s">
        <v>163</v>
      </c>
      <c r="B29" s="178"/>
      <c r="C29" s="179"/>
      <c r="D29" s="179"/>
      <c r="E29" s="179"/>
      <c r="F29" s="179"/>
      <c r="G29" s="180"/>
      <c r="H29" s="175"/>
      <c r="I29" s="175"/>
      <c r="J29" s="175"/>
      <c r="K29" s="175"/>
      <c r="L29" s="175"/>
      <c r="M29" s="175"/>
      <c r="N29" s="175"/>
      <c r="O29" s="175"/>
      <c r="P29" s="77"/>
    </row>
    <row r="30" spans="1:16" ht="12.75" customHeight="1" x14ac:dyDescent="0.25">
      <c r="A30" s="82" t="s">
        <v>164</v>
      </c>
      <c r="B30" s="172"/>
      <c r="C30" s="173"/>
      <c r="D30" s="173"/>
      <c r="E30" s="173"/>
      <c r="F30" s="173"/>
      <c r="G30" s="174"/>
      <c r="H30" s="175"/>
      <c r="I30" s="175"/>
      <c r="J30" s="175"/>
      <c r="K30" s="175"/>
      <c r="L30" s="175"/>
      <c r="M30" s="175"/>
      <c r="N30" s="175"/>
      <c r="O30" s="175"/>
      <c r="P30" s="77"/>
    </row>
    <row r="31" spans="1:16" ht="12.75" customHeight="1" x14ac:dyDescent="0.25">
      <c r="A31" s="82" t="s">
        <v>165</v>
      </c>
      <c r="B31" s="172"/>
      <c r="C31" s="173"/>
      <c r="D31" s="173"/>
      <c r="E31" s="173"/>
      <c r="F31" s="173"/>
      <c r="G31" s="174"/>
      <c r="H31" s="175"/>
      <c r="I31" s="175"/>
      <c r="J31" s="175"/>
      <c r="K31" s="175"/>
      <c r="L31" s="175"/>
      <c r="M31" s="175"/>
      <c r="N31" s="175"/>
      <c r="O31" s="175"/>
      <c r="P31" s="77"/>
    </row>
    <row r="32" spans="1:16" x14ac:dyDescent="0.25">
      <c r="A32" s="82" t="s">
        <v>167</v>
      </c>
      <c r="B32" s="178"/>
      <c r="C32" s="179"/>
      <c r="D32" s="179"/>
      <c r="E32" s="179"/>
      <c r="F32" s="179"/>
      <c r="G32" s="180"/>
      <c r="H32" s="175"/>
      <c r="I32" s="175"/>
      <c r="J32" s="175"/>
      <c r="K32" s="175"/>
      <c r="L32" s="175"/>
      <c r="M32" s="175"/>
      <c r="N32" s="175"/>
      <c r="O32" s="175"/>
      <c r="P32" s="77"/>
    </row>
    <row r="33" spans="1:1" x14ac:dyDescent="0.25">
      <c r="A33" s="75"/>
    </row>
  </sheetData>
  <mergeCells count="42">
    <mergeCell ref="B32:G32"/>
    <mergeCell ref="H32:K32"/>
    <mergeCell ref="L32:O32"/>
    <mergeCell ref="H30:K30"/>
    <mergeCell ref="L30:O30"/>
    <mergeCell ref="B30:G30"/>
    <mergeCell ref="H31:K31"/>
    <mergeCell ref="L31:O31"/>
    <mergeCell ref="H28:K28"/>
    <mergeCell ref="L28:O28"/>
    <mergeCell ref="B29:G29"/>
    <mergeCell ref="H29:K29"/>
    <mergeCell ref="L29:O29"/>
    <mergeCell ref="H23:K23"/>
    <mergeCell ref="L23:O23"/>
    <mergeCell ref="H24:K24"/>
    <mergeCell ref="L24:O24"/>
    <mergeCell ref="B31:G31"/>
    <mergeCell ref="B23:G23"/>
    <mergeCell ref="B24:G24"/>
    <mergeCell ref="H25:K25"/>
    <mergeCell ref="L25:O25"/>
    <mergeCell ref="B26:G26"/>
    <mergeCell ref="H26:K26"/>
    <mergeCell ref="L26:O26"/>
    <mergeCell ref="B27:G27"/>
    <mergeCell ref="H27:K27"/>
    <mergeCell ref="L27:O27"/>
    <mergeCell ref="B28:G28"/>
    <mergeCell ref="A21:G21"/>
    <mergeCell ref="H21:K21"/>
    <mergeCell ref="L21:O21"/>
    <mergeCell ref="B22:G22"/>
    <mergeCell ref="H22:K22"/>
    <mergeCell ref="L22:O22"/>
    <mergeCell ref="A16:A19"/>
    <mergeCell ref="B16:G19"/>
    <mergeCell ref="B1:G1"/>
    <mergeCell ref="B3:G3"/>
    <mergeCell ref="B7:G7"/>
    <mergeCell ref="A11:A14"/>
    <mergeCell ref="B11:G14"/>
  </mergeCells>
  <phoneticPr fontId="42" type="noConversion"/>
  <conditionalFormatting sqref="B9:B10">
    <cfRule type="cellIs" dxfId="271" priority="5" operator="equal">
      <formula>"Nok"</formula>
    </cfRule>
    <cfRule type="cellIs" dxfId="270" priority="6" operator="equal">
      <formula>"Ok"</formula>
    </cfRule>
  </conditionalFormatting>
  <conditionalFormatting sqref="P22 P24:P32">
    <cfRule type="cellIs" dxfId="269" priority="3" operator="equal">
      <formula>"Nok"</formula>
    </cfRule>
    <cfRule type="cellIs" dxfId="268" priority="4" operator="equal">
      <formula>"Ok"</formula>
    </cfRule>
  </conditionalFormatting>
  <conditionalFormatting sqref="P23">
    <cfRule type="cellIs" dxfId="267" priority="1" operator="equal">
      <formula>"Nok"</formula>
    </cfRule>
    <cfRule type="cellIs" dxfId="266" priority="2" operator="equal">
      <formula>"Ok"</formula>
    </cfRule>
  </conditionalFormatting>
  <dataValidations count="3">
    <dataValidation type="list" allowBlank="1" showInputMessage="1" showErrorMessage="1" sqref="P22:P32" xr:uid="{0114A2DB-14CE-47B7-B0EE-7DB29F840CC2}">
      <formula1>"Ok, Nok, Not run, ,"</formula1>
    </dataValidation>
    <dataValidation type="list" allowBlank="1" showInputMessage="1" showErrorMessage="1" sqref="B9" xr:uid="{5BB1DA3E-F95B-4565-BFCA-A80F9665D5B3}">
      <formula1>"Ok, Nok, Not run, NA"</formula1>
    </dataValidation>
    <dataValidation type="list" allowBlank="1" showInputMessage="1" showErrorMessage="1" sqref="B5" xr:uid="{5F8BBE5C-45B2-4B78-9B92-EEF6B546614E}">
      <formula1>"Nominal, Robustness, Endurance, Qualification"</formula1>
    </dataValidation>
  </dataValidations>
  <pageMargins left="0.7" right="0.7" top="0.75" bottom="0.75" header="0.3" footer="0.3"/>
  <pageSetup paperSize="9" orientation="portrait" r:id="rId1"/>
  <headerFooter>
    <oddFooter>&amp;LTBD ver 1.7&amp;R&amp;P</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D1A812-6B46-4A61-9329-16F82FDB9F67}">
  <sheetPr codeName="Sheet16"/>
  <dimension ref="A1:P33"/>
  <sheetViews>
    <sheetView zoomScaleNormal="100" workbookViewId="0"/>
  </sheetViews>
  <sheetFormatPr defaultColWidth="9.109375" defaultRowHeight="13.2" x14ac:dyDescent="0.25"/>
  <cols>
    <col min="1" max="1" width="20.109375" style="78" customWidth="1"/>
    <col min="2" max="2" width="18.44140625" style="75" customWidth="1"/>
    <col min="3" max="7" width="9.109375" style="75"/>
    <col min="8" max="10" width="9.5546875" style="75" customWidth="1"/>
    <col min="11" max="11" width="20.5546875" style="75" customWidth="1"/>
    <col min="12" max="14" width="9.5546875" style="75" customWidth="1"/>
    <col min="15" max="15" width="40" style="75" customWidth="1"/>
    <col min="16" max="16384" width="9.109375" style="75"/>
  </cols>
  <sheetData>
    <row r="1" spans="1:15" ht="13.8" thickBot="1" x14ac:dyDescent="0.3">
      <c r="A1" s="79" t="s">
        <v>139</v>
      </c>
      <c r="B1" s="200" t="s">
        <v>312</v>
      </c>
      <c r="C1" s="201"/>
      <c r="D1" s="201"/>
      <c r="E1" s="201"/>
      <c r="F1" s="201"/>
      <c r="G1" s="202"/>
      <c r="H1" s="55"/>
      <c r="I1" s="55"/>
      <c r="J1" s="55"/>
      <c r="K1" s="55"/>
      <c r="L1" s="55"/>
      <c r="M1" s="55"/>
      <c r="N1" s="55"/>
      <c r="O1" s="55"/>
    </row>
    <row r="2" spans="1:15" ht="13.8" thickBot="1" x14ac:dyDescent="0.3">
      <c r="A2" s="54"/>
      <c r="B2" s="55"/>
      <c r="C2" s="55"/>
      <c r="D2" s="55"/>
      <c r="E2" s="55"/>
      <c r="F2" s="55"/>
      <c r="G2" s="55"/>
      <c r="H2" s="55"/>
      <c r="I2" s="55"/>
      <c r="J2" s="55"/>
      <c r="K2" s="55"/>
      <c r="L2" s="55"/>
      <c r="M2" s="55"/>
      <c r="N2" s="55"/>
      <c r="O2" s="55"/>
    </row>
    <row r="3" spans="1:15" ht="27" thickBot="1" x14ac:dyDescent="0.3">
      <c r="A3" s="80" t="s">
        <v>140</v>
      </c>
      <c r="B3" s="213" t="s">
        <v>177</v>
      </c>
      <c r="C3" s="214"/>
      <c r="D3" s="214"/>
      <c r="E3" s="214"/>
      <c r="F3" s="214"/>
      <c r="G3" s="215"/>
      <c r="H3" s="55"/>
      <c r="I3" s="55"/>
      <c r="J3" s="55"/>
      <c r="K3" s="55"/>
      <c r="L3" s="55"/>
      <c r="M3" s="55"/>
      <c r="N3" s="55"/>
      <c r="O3" s="55"/>
    </row>
    <row r="4" spans="1:15" ht="13.8" thickBot="1" x14ac:dyDescent="0.3">
      <c r="A4" s="54"/>
      <c r="B4" s="55"/>
      <c r="C4" s="55"/>
      <c r="D4" s="55"/>
      <c r="E4" s="55"/>
      <c r="F4" s="55"/>
      <c r="G4" s="55"/>
      <c r="H4" s="55"/>
      <c r="I4" s="55"/>
      <c r="J4" s="55"/>
      <c r="K4" s="55"/>
      <c r="L4" s="55"/>
      <c r="M4" s="55"/>
      <c r="N4" s="55"/>
      <c r="O4" s="55"/>
    </row>
    <row r="5" spans="1:15" ht="13.8" thickBot="1" x14ac:dyDescent="0.3">
      <c r="A5" s="79" t="s">
        <v>141</v>
      </c>
      <c r="B5" s="58" t="s">
        <v>142</v>
      </c>
      <c r="C5" s="55"/>
      <c r="D5" s="55"/>
      <c r="E5" s="55"/>
      <c r="F5" s="55"/>
      <c r="G5" s="55"/>
      <c r="H5" s="55"/>
      <c r="I5" s="55"/>
      <c r="J5" s="55"/>
      <c r="K5" s="55"/>
      <c r="L5" s="55"/>
      <c r="M5" s="55"/>
      <c r="N5" s="55"/>
      <c r="O5" s="55"/>
    </row>
    <row r="6" spans="1:15" ht="13.8" thickBot="1" x14ac:dyDescent="0.3">
      <c r="A6" s="54"/>
      <c r="B6" s="55"/>
      <c r="C6" s="55"/>
      <c r="D6" s="55"/>
      <c r="E6" s="55"/>
      <c r="F6" s="55"/>
      <c r="G6" s="55"/>
      <c r="H6" s="55"/>
      <c r="I6" s="55"/>
      <c r="J6" s="55"/>
      <c r="K6" s="55"/>
      <c r="L6" s="55"/>
      <c r="M6" s="55"/>
      <c r="N6" s="55"/>
      <c r="O6" s="55"/>
    </row>
    <row r="7" spans="1:15" ht="13.8" thickBot="1" x14ac:dyDescent="0.3">
      <c r="A7" s="79" t="s">
        <v>143</v>
      </c>
      <c r="B7" s="203" t="s">
        <v>252</v>
      </c>
      <c r="C7" s="204"/>
      <c r="D7" s="204"/>
      <c r="E7" s="204"/>
      <c r="F7" s="204"/>
      <c r="G7" s="205"/>
      <c r="H7" s="55"/>
      <c r="I7" s="55"/>
      <c r="J7" s="55"/>
      <c r="K7" s="55"/>
      <c r="L7" s="55"/>
      <c r="M7" s="55"/>
      <c r="N7" s="55"/>
      <c r="O7" s="55"/>
    </row>
    <row r="8" spans="1:15" ht="13.8" thickBot="1" x14ac:dyDescent="0.3">
      <c r="A8" s="57"/>
      <c r="B8" s="56"/>
      <c r="C8" s="56"/>
      <c r="D8" s="56"/>
      <c r="E8" s="56"/>
      <c r="F8" s="56"/>
      <c r="G8" s="56"/>
      <c r="H8" s="55"/>
      <c r="I8" s="55"/>
      <c r="J8" s="55"/>
      <c r="K8" s="55"/>
      <c r="L8" s="55"/>
      <c r="M8" s="55"/>
      <c r="N8" s="55"/>
      <c r="O8" s="55"/>
    </row>
    <row r="9" spans="1:15" ht="13.8" thickBot="1" x14ac:dyDescent="0.3">
      <c r="A9" s="79" t="s">
        <v>144</v>
      </c>
      <c r="B9" s="84" t="s">
        <v>145</v>
      </c>
      <c r="C9" s="55"/>
      <c r="D9" s="55"/>
      <c r="E9" s="55"/>
      <c r="F9" s="55"/>
      <c r="G9" s="55"/>
      <c r="H9" s="55"/>
      <c r="I9" s="55"/>
      <c r="J9" s="55"/>
      <c r="K9" s="55"/>
      <c r="L9" s="55"/>
      <c r="M9" s="55"/>
      <c r="N9" s="55"/>
      <c r="O9" s="55"/>
    </row>
    <row r="10" spans="1:15" ht="13.8" thickBot="1" x14ac:dyDescent="0.3">
      <c r="A10" s="57"/>
      <c r="B10" s="76"/>
      <c r="C10" s="55"/>
      <c r="D10" s="55"/>
      <c r="E10" s="55"/>
      <c r="F10" s="55"/>
      <c r="G10" s="55"/>
      <c r="H10" s="55"/>
      <c r="I10" s="55"/>
      <c r="J10" s="55"/>
      <c r="K10" s="55"/>
      <c r="L10" s="55"/>
      <c r="M10" s="55"/>
      <c r="N10" s="55"/>
      <c r="O10" s="55"/>
    </row>
    <row r="11" spans="1:15" ht="12" customHeight="1" x14ac:dyDescent="0.25">
      <c r="A11" s="189" t="s">
        <v>146</v>
      </c>
      <c r="B11" s="191" t="s">
        <v>147</v>
      </c>
      <c r="C11" s="192"/>
      <c r="D11" s="192"/>
      <c r="E11" s="192"/>
      <c r="F11" s="192"/>
      <c r="G11" s="193"/>
      <c r="H11" s="55"/>
      <c r="I11" s="55"/>
      <c r="J11" s="55"/>
      <c r="K11" s="55"/>
      <c r="L11" s="55"/>
      <c r="M11" s="55"/>
      <c r="N11" s="55"/>
      <c r="O11" s="55"/>
    </row>
    <row r="12" spans="1:15" x14ac:dyDescent="0.25">
      <c r="A12" s="190"/>
      <c r="B12" s="194"/>
      <c r="C12" s="195"/>
      <c r="D12" s="195"/>
      <c r="E12" s="195"/>
      <c r="F12" s="195"/>
      <c r="G12" s="196"/>
      <c r="H12" s="55"/>
      <c r="I12" s="55"/>
      <c r="J12" s="55"/>
      <c r="K12" s="55"/>
      <c r="L12" s="55"/>
      <c r="M12" s="55"/>
      <c r="N12" s="55"/>
      <c r="O12" s="55"/>
    </row>
    <row r="13" spans="1:15" x14ac:dyDescent="0.25">
      <c r="A13" s="190"/>
      <c r="B13" s="194"/>
      <c r="C13" s="195"/>
      <c r="D13" s="195"/>
      <c r="E13" s="195"/>
      <c r="F13" s="195"/>
      <c r="G13" s="196"/>
      <c r="H13" s="54"/>
      <c r="I13" s="55"/>
      <c r="J13" s="55"/>
      <c r="K13" s="55"/>
      <c r="L13" s="55"/>
      <c r="M13" s="55"/>
      <c r="N13" s="55"/>
      <c r="O13" s="55"/>
    </row>
    <row r="14" spans="1:15" ht="13.8" thickBot="1" x14ac:dyDescent="0.3">
      <c r="A14" s="190"/>
      <c r="B14" s="197"/>
      <c r="C14" s="198"/>
      <c r="D14" s="198"/>
      <c r="E14" s="198"/>
      <c r="F14" s="198"/>
      <c r="G14" s="199"/>
      <c r="H14" s="59"/>
      <c r="I14" s="55"/>
      <c r="J14" s="55"/>
      <c r="K14" s="55"/>
      <c r="L14" s="55"/>
      <c r="M14" s="55"/>
      <c r="N14" s="55"/>
      <c r="O14" s="55"/>
    </row>
    <row r="15" spans="1:15" ht="13.8" thickBot="1" x14ac:dyDescent="0.3">
      <c r="A15" s="54"/>
      <c r="B15" s="54"/>
      <c r="C15" s="54"/>
      <c r="D15" s="54"/>
      <c r="E15" s="54"/>
      <c r="F15" s="54"/>
      <c r="G15" s="54"/>
      <c r="H15" s="59"/>
      <c r="I15" s="55"/>
      <c r="J15" s="55"/>
      <c r="K15" s="55"/>
      <c r="L15" s="55"/>
      <c r="M15" s="55"/>
      <c r="N15" s="55"/>
      <c r="O15" s="55"/>
    </row>
    <row r="16" spans="1:15" x14ac:dyDescent="0.25">
      <c r="A16" s="189" t="s">
        <v>148</v>
      </c>
      <c r="B16" s="191" t="s">
        <v>149</v>
      </c>
      <c r="C16" s="192"/>
      <c r="D16" s="192"/>
      <c r="E16" s="192"/>
      <c r="F16" s="192"/>
      <c r="G16" s="193"/>
      <c r="H16" s="55"/>
      <c r="I16" s="55"/>
      <c r="J16" s="55"/>
      <c r="K16" s="55"/>
      <c r="L16" s="55"/>
      <c r="M16" s="55"/>
      <c r="N16" s="55"/>
      <c r="O16" s="55"/>
    </row>
    <row r="17" spans="1:16" x14ac:dyDescent="0.25">
      <c r="A17" s="190"/>
      <c r="B17" s="194"/>
      <c r="C17" s="195"/>
      <c r="D17" s="195"/>
      <c r="E17" s="195"/>
      <c r="F17" s="195"/>
      <c r="G17" s="196"/>
      <c r="H17" s="55"/>
      <c r="I17" s="55"/>
      <c r="J17" s="55"/>
      <c r="K17" s="55"/>
      <c r="L17" s="55"/>
      <c r="M17" s="55"/>
      <c r="N17" s="55"/>
      <c r="O17" s="55"/>
    </row>
    <row r="18" spans="1:16" x14ac:dyDescent="0.25">
      <c r="A18" s="190"/>
      <c r="B18" s="194"/>
      <c r="C18" s="195"/>
      <c r="D18" s="195"/>
      <c r="E18" s="195"/>
      <c r="F18" s="195"/>
      <c r="G18" s="196"/>
      <c r="H18" s="54"/>
      <c r="I18" s="55"/>
      <c r="J18" s="55"/>
      <c r="K18" s="55"/>
      <c r="L18" s="55"/>
      <c r="M18" s="55"/>
      <c r="N18" s="55"/>
      <c r="O18" s="55"/>
    </row>
    <row r="19" spans="1:16" ht="13.8" thickBot="1" x14ac:dyDescent="0.3">
      <c r="A19" s="190"/>
      <c r="B19" s="197"/>
      <c r="C19" s="198"/>
      <c r="D19" s="198"/>
      <c r="E19" s="198"/>
      <c r="F19" s="198"/>
      <c r="G19" s="199"/>
      <c r="H19" s="59"/>
      <c r="I19" s="55"/>
      <c r="J19" s="55"/>
      <c r="K19" s="55"/>
      <c r="L19" s="55"/>
      <c r="M19" s="55"/>
      <c r="N19" s="55"/>
      <c r="O19" s="55"/>
    </row>
    <row r="20" spans="1:16" ht="13.8" thickBot="1" x14ac:dyDescent="0.3">
      <c r="A20" s="54"/>
      <c r="B20" s="54"/>
      <c r="C20" s="54"/>
      <c r="D20" s="54"/>
      <c r="E20" s="54"/>
      <c r="F20" s="54"/>
      <c r="G20" s="54"/>
      <c r="H20" s="59"/>
      <c r="I20" s="55"/>
      <c r="J20" s="55"/>
      <c r="K20" s="55"/>
      <c r="L20" s="55"/>
      <c r="M20" s="55"/>
      <c r="N20" s="55"/>
      <c r="O20" s="55"/>
    </row>
    <row r="21" spans="1:16" ht="12.75" customHeight="1" x14ac:dyDescent="0.25">
      <c r="A21" s="186" t="s">
        <v>150</v>
      </c>
      <c r="B21" s="187"/>
      <c r="C21" s="187"/>
      <c r="D21" s="187"/>
      <c r="E21" s="187"/>
      <c r="F21" s="187"/>
      <c r="G21" s="188"/>
      <c r="H21" s="186" t="s">
        <v>151</v>
      </c>
      <c r="I21" s="187"/>
      <c r="J21" s="187"/>
      <c r="K21" s="188"/>
      <c r="L21" s="186" t="s">
        <v>152</v>
      </c>
      <c r="M21" s="187"/>
      <c r="N21" s="187"/>
      <c r="O21" s="188"/>
      <c r="P21" s="81" t="s">
        <v>153</v>
      </c>
    </row>
    <row r="22" spans="1:16" ht="34.5" customHeight="1" x14ac:dyDescent="0.25">
      <c r="A22" s="82" t="s">
        <v>154</v>
      </c>
      <c r="B22" s="172" t="s">
        <v>178</v>
      </c>
      <c r="C22" s="173"/>
      <c r="D22" s="173"/>
      <c r="E22" s="173"/>
      <c r="F22" s="173"/>
      <c r="G22" s="174"/>
      <c r="H22" s="209" t="s">
        <v>166</v>
      </c>
      <c r="I22" s="209"/>
      <c r="J22" s="209"/>
      <c r="K22" s="209"/>
      <c r="L22" s="209" t="s">
        <v>166</v>
      </c>
      <c r="M22" s="209"/>
      <c r="N22" s="209"/>
      <c r="O22" s="209"/>
      <c r="P22" s="77" t="s">
        <v>145</v>
      </c>
    </row>
    <row r="23" spans="1:16" ht="39" customHeight="1" x14ac:dyDescent="0.25">
      <c r="A23" s="82" t="s">
        <v>155</v>
      </c>
      <c r="B23" s="172" t="s">
        <v>195</v>
      </c>
      <c r="C23" s="173"/>
      <c r="D23" s="173"/>
      <c r="E23" s="173"/>
      <c r="F23" s="173"/>
      <c r="G23" s="174"/>
      <c r="H23" s="209" t="s">
        <v>166</v>
      </c>
      <c r="I23" s="209"/>
      <c r="J23" s="209"/>
      <c r="K23" s="209"/>
      <c r="L23" s="209" t="s">
        <v>166</v>
      </c>
      <c r="M23" s="209"/>
      <c r="N23" s="209"/>
      <c r="O23" s="209"/>
      <c r="P23" s="77" t="s">
        <v>145</v>
      </c>
    </row>
    <row r="24" spans="1:16" ht="13.5" customHeight="1" x14ac:dyDescent="0.25">
      <c r="A24" s="82" t="s">
        <v>156</v>
      </c>
      <c r="B24" s="178"/>
      <c r="C24" s="179"/>
      <c r="D24" s="179"/>
      <c r="E24" s="179"/>
      <c r="F24" s="179"/>
      <c r="G24" s="180"/>
      <c r="H24" s="175"/>
      <c r="I24" s="175"/>
      <c r="J24" s="175"/>
      <c r="K24" s="175"/>
      <c r="L24" s="175"/>
      <c r="M24" s="175"/>
      <c r="N24" s="175"/>
      <c r="O24" s="175"/>
      <c r="P24" s="77"/>
    </row>
    <row r="25" spans="1:16" x14ac:dyDescent="0.25">
      <c r="A25" s="82" t="s">
        <v>157</v>
      </c>
      <c r="H25" s="175"/>
      <c r="I25" s="175"/>
      <c r="J25" s="175"/>
      <c r="K25" s="175"/>
      <c r="L25" s="175"/>
      <c r="M25" s="175"/>
      <c r="N25" s="175"/>
      <c r="O25" s="175"/>
      <c r="P25" s="77"/>
    </row>
    <row r="26" spans="1:16" x14ac:dyDescent="0.25">
      <c r="A26" s="82" t="s">
        <v>158</v>
      </c>
      <c r="B26" s="178"/>
      <c r="C26" s="179"/>
      <c r="D26" s="179"/>
      <c r="E26" s="179"/>
      <c r="F26" s="179"/>
      <c r="G26" s="180"/>
      <c r="H26" s="175"/>
      <c r="I26" s="175"/>
      <c r="J26" s="175"/>
      <c r="K26" s="175"/>
      <c r="L26" s="175"/>
      <c r="M26" s="175"/>
      <c r="N26" s="175"/>
      <c r="O26" s="175"/>
      <c r="P26" s="77"/>
    </row>
    <row r="27" spans="1:16" x14ac:dyDescent="0.25">
      <c r="A27" s="82" t="s">
        <v>159</v>
      </c>
      <c r="B27" s="178"/>
      <c r="C27" s="179"/>
      <c r="D27" s="179"/>
      <c r="E27" s="179"/>
      <c r="F27" s="179"/>
      <c r="G27" s="180"/>
      <c r="H27" s="175"/>
      <c r="I27" s="175"/>
      <c r="J27" s="175"/>
      <c r="K27" s="175"/>
      <c r="L27" s="175"/>
      <c r="M27" s="175"/>
      <c r="N27" s="175"/>
      <c r="O27" s="175"/>
      <c r="P27" s="77"/>
    </row>
    <row r="28" spans="1:16" ht="12.75" customHeight="1" x14ac:dyDescent="0.25">
      <c r="A28" s="82" t="s">
        <v>162</v>
      </c>
      <c r="B28" s="178"/>
      <c r="C28" s="179"/>
      <c r="D28" s="179"/>
      <c r="E28" s="179"/>
      <c r="F28" s="179"/>
      <c r="G28" s="180"/>
      <c r="H28" s="175"/>
      <c r="I28" s="175"/>
      <c r="J28" s="175"/>
      <c r="K28" s="175"/>
      <c r="L28" s="175"/>
      <c r="M28" s="175"/>
      <c r="N28" s="175"/>
      <c r="O28" s="175"/>
      <c r="P28" s="77"/>
    </row>
    <row r="29" spans="1:16" ht="12.75" customHeight="1" x14ac:dyDescent="0.25">
      <c r="A29" s="82" t="s">
        <v>163</v>
      </c>
      <c r="B29" s="178"/>
      <c r="C29" s="179"/>
      <c r="D29" s="179"/>
      <c r="E29" s="179"/>
      <c r="F29" s="179"/>
      <c r="G29" s="180"/>
      <c r="H29" s="175"/>
      <c r="I29" s="175"/>
      <c r="J29" s="175"/>
      <c r="K29" s="175"/>
      <c r="L29" s="175"/>
      <c r="M29" s="175"/>
      <c r="N29" s="175"/>
      <c r="O29" s="175"/>
      <c r="P29" s="77"/>
    </row>
    <row r="30" spans="1:16" ht="12.75" customHeight="1" x14ac:dyDescent="0.25">
      <c r="A30" s="82" t="s">
        <v>164</v>
      </c>
      <c r="B30" s="178"/>
      <c r="C30" s="179"/>
      <c r="D30" s="179"/>
      <c r="E30" s="179"/>
      <c r="F30" s="179"/>
      <c r="G30" s="180"/>
      <c r="H30" s="175"/>
      <c r="I30" s="175"/>
      <c r="J30" s="175"/>
      <c r="K30" s="175"/>
      <c r="L30" s="175"/>
      <c r="M30" s="175"/>
      <c r="N30" s="175"/>
      <c r="O30" s="175"/>
      <c r="P30" s="77"/>
    </row>
    <row r="31" spans="1:16" ht="12.75" customHeight="1" x14ac:dyDescent="0.25">
      <c r="A31" s="82" t="s">
        <v>165</v>
      </c>
      <c r="B31" s="178"/>
      <c r="C31" s="179"/>
      <c r="D31" s="179"/>
      <c r="E31" s="179"/>
      <c r="F31" s="179"/>
      <c r="G31" s="180"/>
      <c r="H31" s="175"/>
      <c r="I31" s="175"/>
      <c r="J31" s="175"/>
      <c r="K31" s="175"/>
      <c r="L31" s="175"/>
      <c r="M31" s="175"/>
      <c r="N31" s="175"/>
      <c r="O31" s="175"/>
      <c r="P31" s="77"/>
    </row>
    <row r="32" spans="1:16" x14ac:dyDescent="0.25">
      <c r="A32" s="82" t="s">
        <v>167</v>
      </c>
      <c r="B32" s="178"/>
      <c r="C32" s="179"/>
      <c r="D32" s="179"/>
      <c r="E32" s="179"/>
      <c r="F32" s="179"/>
      <c r="G32" s="180"/>
      <c r="H32" s="175"/>
      <c r="I32" s="175"/>
      <c r="J32" s="175"/>
      <c r="K32" s="175"/>
      <c r="L32" s="175"/>
      <c r="M32" s="175"/>
      <c r="N32" s="175"/>
      <c r="O32" s="175"/>
      <c r="P32" s="77"/>
    </row>
    <row r="33" spans="1:1" x14ac:dyDescent="0.25">
      <c r="A33" s="75"/>
    </row>
  </sheetData>
  <mergeCells count="42">
    <mergeCell ref="B32:G32"/>
    <mergeCell ref="H32:K32"/>
    <mergeCell ref="L32:O32"/>
    <mergeCell ref="B30:G30"/>
    <mergeCell ref="H30:K30"/>
    <mergeCell ref="L30:O30"/>
    <mergeCell ref="B31:G31"/>
    <mergeCell ref="H31:K31"/>
    <mergeCell ref="L31:O31"/>
    <mergeCell ref="B28:G28"/>
    <mergeCell ref="H28:K28"/>
    <mergeCell ref="L28:O28"/>
    <mergeCell ref="B29:G29"/>
    <mergeCell ref="H29:K29"/>
    <mergeCell ref="L29:O29"/>
    <mergeCell ref="B27:G27"/>
    <mergeCell ref="H27:K27"/>
    <mergeCell ref="L27:O27"/>
    <mergeCell ref="B23:G23"/>
    <mergeCell ref="H23:K23"/>
    <mergeCell ref="L23:O23"/>
    <mergeCell ref="B24:G24"/>
    <mergeCell ref="H24:K24"/>
    <mergeCell ref="L24:O24"/>
    <mergeCell ref="H25:K25"/>
    <mergeCell ref="L25:O25"/>
    <mergeCell ref="B26:G26"/>
    <mergeCell ref="H26:K26"/>
    <mergeCell ref="L26:O26"/>
    <mergeCell ref="A21:G21"/>
    <mergeCell ref="H21:K21"/>
    <mergeCell ref="L21:O21"/>
    <mergeCell ref="B22:G22"/>
    <mergeCell ref="H22:K22"/>
    <mergeCell ref="L22:O22"/>
    <mergeCell ref="A16:A19"/>
    <mergeCell ref="B16:G19"/>
    <mergeCell ref="B1:G1"/>
    <mergeCell ref="B3:G3"/>
    <mergeCell ref="B7:G7"/>
    <mergeCell ref="A11:A14"/>
    <mergeCell ref="B11:G14"/>
  </mergeCells>
  <phoneticPr fontId="42" type="noConversion"/>
  <conditionalFormatting sqref="B9:B10">
    <cfRule type="cellIs" dxfId="265" priority="5" operator="equal">
      <formula>"Nok"</formula>
    </cfRule>
    <cfRule type="cellIs" dxfId="264" priority="6" operator="equal">
      <formula>"Ok"</formula>
    </cfRule>
  </conditionalFormatting>
  <conditionalFormatting sqref="P22 P24:P32">
    <cfRule type="cellIs" dxfId="263" priority="3" operator="equal">
      <formula>"Nok"</formula>
    </cfRule>
    <cfRule type="cellIs" dxfId="262" priority="4" operator="equal">
      <formula>"Ok"</formula>
    </cfRule>
  </conditionalFormatting>
  <conditionalFormatting sqref="P23">
    <cfRule type="cellIs" dxfId="261" priority="1" operator="equal">
      <formula>"Nok"</formula>
    </cfRule>
    <cfRule type="cellIs" dxfId="260" priority="2" operator="equal">
      <formula>"Ok"</formula>
    </cfRule>
  </conditionalFormatting>
  <dataValidations count="3">
    <dataValidation type="list" allowBlank="1" showInputMessage="1" showErrorMessage="1" sqref="B5" xr:uid="{64395E17-0A37-441C-B8F4-C56B60E02953}">
      <formula1>"Nominal, Robustness, Endurance, Qualification"</formula1>
    </dataValidation>
    <dataValidation type="list" allowBlank="1" showInputMessage="1" showErrorMessage="1" sqref="B9" xr:uid="{7E60860F-1BEC-424D-9BF2-8A27DEFBD90D}">
      <formula1>"Ok, Nok, Not run, NA"</formula1>
    </dataValidation>
    <dataValidation type="list" allowBlank="1" showInputMessage="1" showErrorMessage="1" sqref="P22:P32" xr:uid="{7B80D661-38E3-4A01-AF80-E289786373AF}">
      <formula1>"Ok, Nok, Not run, ,"</formula1>
    </dataValidation>
  </dataValidations>
  <pageMargins left="0.7" right="0.7" top="0.75" bottom="0.75" header="0.3" footer="0.3"/>
  <pageSetup paperSize="9" orientation="portrait" r:id="rId1"/>
  <headerFooter>
    <oddFooter>&amp;LTBD ver 1.7&amp;R&amp;P</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8C291-A4D5-4EBE-B47E-A197F258A149}">
  <sheetPr codeName="Sheet18"/>
  <dimension ref="A1:P32"/>
  <sheetViews>
    <sheetView zoomScaleNormal="100" workbookViewId="0">
      <selection activeCell="H29" sqref="H29:K29"/>
    </sheetView>
  </sheetViews>
  <sheetFormatPr defaultColWidth="9.109375" defaultRowHeight="13.2" x14ac:dyDescent="0.25"/>
  <cols>
    <col min="1" max="1" width="20.109375" style="78" customWidth="1"/>
    <col min="2" max="2" width="18.44140625" style="75" customWidth="1"/>
    <col min="3" max="7" width="9.109375" style="75"/>
    <col min="8" max="10" width="9.5546875" style="75" customWidth="1"/>
    <col min="11" max="11" width="20.5546875" style="75" customWidth="1"/>
    <col min="12" max="14" width="9.5546875" style="75" customWidth="1"/>
    <col min="15" max="15" width="40" style="75" customWidth="1"/>
    <col min="16" max="16384" width="9.109375" style="75"/>
  </cols>
  <sheetData>
    <row r="1" spans="1:15" ht="13.8" thickBot="1" x14ac:dyDescent="0.3">
      <c r="A1" s="79" t="s">
        <v>139</v>
      </c>
      <c r="B1" s="200" t="s">
        <v>313</v>
      </c>
      <c r="C1" s="201"/>
      <c r="D1" s="201"/>
      <c r="E1" s="201"/>
      <c r="F1" s="201"/>
      <c r="G1" s="202"/>
      <c r="H1" s="55"/>
      <c r="I1" s="55"/>
      <c r="J1" s="55"/>
      <c r="K1" s="55"/>
      <c r="L1" s="55"/>
      <c r="M1" s="55"/>
      <c r="N1" s="55"/>
      <c r="O1" s="55"/>
    </row>
    <row r="2" spans="1:15" ht="13.8" thickBot="1" x14ac:dyDescent="0.3">
      <c r="A2" s="54"/>
      <c r="B2" s="55"/>
      <c r="C2" s="55"/>
      <c r="D2" s="55"/>
      <c r="E2" s="55"/>
      <c r="F2" s="55"/>
      <c r="G2" s="55"/>
      <c r="H2" s="55"/>
      <c r="I2" s="55"/>
      <c r="J2" s="55"/>
      <c r="K2" s="55"/>
      <c r="L2" s="55"/>
      <c r="M2" s="55"/>
      <c r="N2" s="55"/>
      <c r="O2" s="55"/>
    </row>
    <row r="3" spans="1:15" ht="27" thickBot="1" x14ac:dyDescent="0.3">
      <c r="A3" s="80" t="s">
        <v>140</v>
      </c>
      <c r="B3" s="203" t="s">
        <v>179</v>
      </c>
      <c r="C3" s="204"/>
      <c r="D3" s="204"/>
      <c r="E3" s="204"/>
      <c r="F3" s="204"/>
      <c r="G3" s="205"/>
      <c r="H3" s="55"/>
      <c r="I3" s="55"/>
      <c r="J3" s="55"/>
      <c r="K3" s="55"/>
      <c r="L3" s="55"/>
      <c r="M3" s="55"/>
      <c r="N3" s="55"/>
      <c r="O3" s="55"/>
    </row>
    <row r="4" spans="1:15" ht="13.8" thickBot="1" x14ac:dyDescent="0.3">
      <c r="A4" s="54"/>
      <c r="B4" s="55"/>
      <c r="C4" s="55"/>
      <c r="D4" s="55"/>
      <c r="E4" s="55"/>
      <c r="F4" s="55"/>
      <c r="G4" s="55"/>
      <c r="H4" s="55"/>
      <c r="I4" s="55"/>
      <c r="J4" s="55"/>
      <c r="K4" s="55"/>
      <c r="L4" s="55"/>
      <c r="M4" s="55"/>
      <c r="N4" s="55"/>
      <c r="O4" s="55"/>
    </row>
    <row r="5" spans="1:15" ht="13.8" thickBot="1" x14ac:dyDescent="0.3">
      <c r="A5" s="79" t="s">
        <v>141</v>
      </c>
      <c r="B5" s="58" t="s">
        <v>142</v>
      </c>
      <c r="C5" s="55"/>
      <c r="D5" s="55"/>
      <c r="E5" s="55"/>
      <c r="F5" s="55"/>
      <c r="G5" s="55"/>
      <c r="H5" s="55"/>
      <c r="I5" s="55"/>
      <c r="J5" s="55"/>
      <c r="K5" s="55"/>
      <c r="L5" s="55"/>
      <c r="M5" s="55"/>
      <c r="N5" s="55"/>
      <c r="O5" s="55"/>
    </row>
    <row r="6" spans="1:15" ht="13.8" thickBot="1" x14ac:dyDescent="0.3">
      <c r="A6" s="54"/>
      <c r="B6" s="55"/>
      <c r="C6" s="55"/>
      <c r="D6" s="55"/>
      <c r="E6" s="55"/>
      <c r="F6" s="55"/>
      <c r="G6" s="55"/>
      <c r="H6" s="55"/>
      <c r="I6" s="55"/>
      <c r="J6" s="55"/>
      <c r="K6" s="55"/>
      <c r="L6" s="55"/>
      <c r="M6" s="55"/>
      <c r="N6" s="55"/>
      <c r="O6" s="55"/>
    </row>
    <row r="7" spans="1:15" ht="13.8" thickBot="1" x14ac:dyDescent="0.3">
      <c r="A7" s="79" t="s">
        <v>143</v>
      </c>
      <c r="B7" s="203" t="s">
        <v>253</v>
      </c>
      <c r="C7" s="204"/>
      <c r="D7" s="204"/>
      <c r="E7" s="204"/>
      <c r="F7" s="204"/>
      <c r="G7" s="205"/>
      <c r="H7" s="55"/>
      <c r="I7" s="55"/>
      <c r="J7" s="55"/>
      <c r="K7" s="55"/>
      <c r="L7" s="55"/>
      <c r="M7" s="55"/>
      <c r="N7" s="55"/>
      <c r="O7" s="55"/>
    </row>
    <row r="8" spans="1:15" ht="13.8" thickBot="1" x14ac:dyDescent="0.3">
      <c r="A8" s="57"/>
      <c r="B8" s="56"/>
      <c r="C8" s="56"/>
      <c r="D8" s="56"/>
      <c r="E8" s="56"/>
      <c r="F8" s="56"/>
      <c r="G8" s="56"/>
      <c r="H8" s="55"/>
      <c r="I8" s="55"/>
      <c r="J8" s="55"/>
      <c r="K8" s="55"/>
      <c r="L8" s="55"/>
      <c r="M8" s="55"/>
      <c r="N8" s="55"/>
      <c r="O8" s="55"/>
    </row>
    <row r="9" spans="1:15" ht="13.8" thickBot="1" x14ac:dyDescent="0.3">
      <c r="A9" s="79" t="s">
        <v>144</v>
      </c>
      <c r="B9" s="84" t="s">
        <v>145</v>
      </c>
      <c r="C9" s="55"/>
      <c r="D9" s="55"/>
      <c r="E9" s="55"/>
      <c r="F9" s="55"/>
      <c r="G9" s="55"/>
      <c r="H9" s="55"/>
      <c r="I9" s="55"/>
      <c r="J9" s="55"/>
      <c r="K9" s="55"/>
      <c r="L9" s="55"/>
      <c r="M9" s="55"/>
      <c r="N9" s="55"/>
      <c r="O9" s="55"/>
    </row>
    <row r="10" spans="1:15" ht="13.8" thickBot="1" x14ac:dyDescent="0.3">
      <c r="A10" s="57"/>
      <c r="B10" s="76"/>
      <c r="C10" s="55"/>
      <c r="D10" s="55"/>
      <c r="E10" s="55"/>
      <c r="F10" s="55"/>
      <c r="G10" s="55"/>
      <c r="H10" s="55"/>
      <c r="I10" s="55"/>
      <c r="J10" s="55"/>
      <c r="K10" s="55"/>
      <c r="L10" s="55"/>
      <c r="M10" s="55"/>
      <c r="N10" s="55"/>
      <c r="O10" s="55"/>
    </row>
    <row r="11" spans="1:15" ht="12" customHeight="1" x14ac:dyDescent="0.25">
      <c r="A11" s="189" t="s">
        <v>146</v>
      </c>
      <c r="B11" s="191" t="s">
        <v>147</v>
      </c>
      <c r="C11" s="192"/>
      <c r="D11" s="192"/>
      <c r="E11" s="192"/>
      <c r="F11" s="192"/>
      <c r="G11" s="193"/>
      <c r="H11" s="55"/>
      <c r="I11" s="55"/>
      <c r="J11" s="55"/>
      <c r="K11" s="55"/>
      <c r="L11" s="55"/>
      <c r="M11" s="55"/>
      <c r="N11" s="55"/>
      <c r="O11" s="55"/>
    </row>
    <row r="12" spans="1:15" x14ac:dyDescent="0.25">
      <c r="A12" s="190"/>
      <c r="B12" s="194"/>
      <c r="C12" s="195"/>
      <c r="D12" s="195"/>
      <c r="E12" s="195"/>
      <c r="F12" s="195"/>
      <c r="G12" s="196"/>
      <c r="H12" s="55"/>
      <c r="I12" s="55"/>
      <c r="J12" s="55"/>
      <c r="K12" s="55"/>
      <c r="L12" s="55"/>
      <c r="M12" s="55"/>
      <c r="N12" s="55"/>
      <c r="O12" s="55"/>
    </row>
    <row r="13" spans="1:15" x14ac:dyDescent="0.25">
      <c r="A13" s="190"/>
      <c r="B13" s="194"/>
      <c r="C13" s="195"/>
      <c r="D13" s="195"/>
      <c r="E13" s="195"/>
      <c r="F13" s="195"/>
      <c r="G13" s="196"/>
      <c r="H13" s="54"/>
      <c r="I13" s="55"/>
      <c r="J13" s="55"/>
      <c r="K13" s="55"/>
      <c r="L13" s="55"/>
      <c r="M13" s="55"/>
      <c r="N13" s="55"/>
      <c r="O13" s="55"/>
    </row>
    <row r="14" spans="1:15" ht="13.8" thickBot="1" x14ac:dyDescent="0.3">
      <c r="A14" s="190"/>
      <c r="B14" s="197"/>
      <c r="C14" s="198"/>
      <c r="D14" s="198"/>
      <c r="E14" s="198"/>
      <c r="F14" s="198"/>
      <c r="G14" s="199"/>
      <c r="H14" s="59"/>
      <c r="I14" s="55"/>
      <c r="J14" s="55"/>
      <c r="K14" s="55"/>
      <c r="L14" s="55"/>
      <c r="M14" s="55"/>
      <c r="N14" s="55"/>
      <c r="O14" s="55"/>
    </row>
    <row r="15" spans="1:15" ht="13.8" thickBot="1" x14ac:dyDescent="0.3">
      <c r="A15" s="54"/>
      <c r="B15" s="54"/>
      <c r="C15" s="54"/>
      <c r="D15" s="54"/>
      <c r="E15" s="54"/>
      <c r="F15" s="54"/>
      <c r="G15" s="54"/>
      <c r="H15" s="59"/>
      <c r="I15" s="55"/>
      <c r="J15" s="55"/>
      <c r="K15" s="55"/>
      <c r="L15" s="55"/>
      <c r="M15" s="55"/>
      <c r="N15" s="55"/>
      <c r="O15" s="55"/>
    </row>
    <row r="16" spans="1:15" x14ac:dyDescent="0.25">
      <c r="A16" s="189" t="s">
        <v>148</v>
      </c>
      <c r="B16" s="191" t="s">
        <v>149</v>
      </c>
      <c r="C16" s="192"/>
      <c r="D16" s="192"/>
      <c r="E16" s="192"/>
      <c r="F16" s="192"/>
      <c r="G16" s="193"/>
      <c r="H16" s="55"/>
      <c r="I16" s="55"/>
      <c r="J16" s="55"/>
      <c r="K16" s="55"/>
      <c r="L16" s="55"/>
      <c r="M16" s="55"/>
      <c r="N16" s="55"/>
      <c r="O16" s="55"/>
    </row>
    <row r="17" spans="1:16" x14ac:dyDescent="0.25">
      <c r="A17" s="190"/>
      <c r="B17" s="194"/>
      <c r="C17" s="195"/>
      <c r="D17" s="195"/>
      <c r="E17" s="195"/>
      <c r="F17" s="195"/>
      <c r="G17" s="196"/>
      <c r="H17" s="55"/>
      <c r="I17" s="55"/>
      <c r="J17" s="55"/>
      <c r="K17" s="55"/>
      <c r="L17" s="55"/>
      <c r="M17" s="55"/>
      <c r="N17" s="55"/>
      <c r="O17" s="55"/>
    </row>
    <row r="18" spans="1:16" x14ac:dyDescent="0.25">
      <c r="A18" s="190"/>
      <c r="B18" s="194"/>
      <c r="C18" s="195"/>
      <c r="D18" s="195"/>
      <c r="E18" s="195"/>
      <c r="F18" s="195"/>
      <c r="G18" s="196"/>
      <c r="H18" s="54"/>
      <c r="I18" s="55"/>
      <c r="J18" s="55"/>
      <c r="K18" s="55"/>
      <c r="L18" s="55"/>
      <c r="M18" s="55"/>
      <c r="N18" s="55"/>
      <c r="O18" s="55"/>
    </row>
    <row r="19" spans="1:16" ht="13.8" thickBot="1" x14ac:dyDescent="0.3">
      <c r="A19" s="190"/>
      <c r="B19" s="197"/>
      <c r="C19" s="198"/>
      <c r="D19" s="198"/>
      <c r="E19" s="198"/>
      <c r="F19" s="198"/>
      <c r="G19" s="199"/>
      <c r="H19" s="59"/>
      <c r="I19" s="55"/>
      <c r="J19" s="55"/>
      <c r="K19" s="55"/>
      <c r="L19" s="55"/>
      <c r="M19" s="55"/>
      <c r="N19" s="55"/>
      <c r="O19" s="55"/>
    </row>
    <row r="20" spans="1:16" ht="13.8" thickBot="1" x14ac:dyDescent="0.3">
      <c r="A20" s="54"/>
      <c r="B20" s="54"/>
      <c r="C20" s="54"/>
      <c r="D20" s="54"/>
      <c r="E20" s="54"/>
      <c r="F20" s="54"/>
      <c r="G20" s="54"/>
      <c r="H20" s="59"/>
      <c r="I20" s="55"/>
      <c r="J20" s="55"/>
      <c r="K20" s="55"/>
      <c r="L20" s="55"/>
      <c r="M20" s="55"/>
      <c r="N20" s="55"/>
      <c r="O20" s="55"/>
    </row>
    <row r="21" spans="1:16" ht="12.75" customHeight="1" x14ac:dyDescent="0.25">
      <c r="A21" s="186" t="s">
        <v>150</v>
      </c>
      <c r="B21" s="187"/>
      <c r="C21" s="187"/>
      <c r="D21" s="187"/>
      <c r="E21" s="187"/>
      <c r="F21" s="187"/>
      <c r="G21" s="188"/>
      <c r="H21" s="186" t="s">
        <v>151</v>
      </c>
      <c r="I21" s="187"/>
      <c r="J21" s="187"/>
      <c r="K21" s="188"/>
      <c r="L21" s="186" t="s">
        <v>152</v>
      </c>
      <c r="M21" s="187"/>
      <c r="N21" s="187"/>
      <c r="O21" s="188"/>
      <c r="P21" s="81" t="s">
        <v>153</v>
      </c>
    </row>
    <row r="22" spans="1:16" ht="28.95" customHeight="1" x14ac:dyDescent="0.25">
      <c r="A22" s="82" t="s">
        <v>154</v>
      </c>
      <c r="B22" s="178" t="s">
        <v>229</v>
      </c>
      <c r="C22" s="179"/>
      <c r="D22" s="179"/>
      <c r="E22" s="179"/>
      <c r="F22" s="179"/>
      <c r="G22" s="180"/>
      <c r="H22" s="175" t="s">
        <v>224</v>
      </c>
      <c r="I22" s="175"/>
      <c r="J22" s="175"/>
      <c r="K22" s="175"/>
      <c r="L22" s="175" t="s">
        <v>224</v>
      </c>
      <c r="M22" s="175"/>
      <c r="N22" s="175"/>
      <c r="O22" s="175"/>
      <c r="P22" s="77" t="s">
        <v>145</v>
      </c>
    </row>
    <row r="23" spans="1:16" x14ac:dyDescent="0.25">
      <c r="A23" s="82" t="s">
        <v>155</v>
      </c>
      <c r="B23" s="178"/>
      <c r="C23" s="179"/>
      <c r="D23" s="179"/>
      <c r="E23" s="179"/>
      <c r="F23" s="179"/>
      <c r="G23" s="180"/>
      <c r="H23" s="175"/>
      <c r="I23" s="175"/>
      <c r="J23" s="175"/>
      <c r="K23" s="175"/>
      <c r="L23" s="175"/>
      <c r="M23" s="175"/>
      <c r="N23" s="175"/>
      <c r="O23" s="175"/>
      <c r="P23" s="77"/>
    </row>
    <row r="24" spans="1:16" x14ac:dyDescent="0.25">
      <c r="A24" s="82" t="s">
        <v>156</v>
      </c>
      <c r="B24" s="178"/>
      <c r="C24" s="179"/>
      <c r="D24" s="179"/>
      <c r="E24" s="179"/>
      <c r="F24" s="179"/>
      <c r="G24" s="180"/>
      <c r="H24" s="175"/>
      <c r="I24" s="175"/>
      <c r="J24" s="175"/>
      <c r="K24" s="175"/>
      <c r="L24" s="175"/>
      <c r="M24" s="175"/>
      <c r="N24" s="175"/>
      <c r="O24" s="175"/>
      <c r="P24" s="77"/>
    </row>
    <row r="25" spans="1:16" x14ac:dyDescent="0.25">
      <c r="A25" s="82" t="s">
        <v>157</v>
      </c>
      <c r="B25" s="216"/>
      <c r="C25" s="217"/>
      <c r="D25" s="217"/>
      <c r="E25" s="217"/>
      <c r="F25" s="217"/>
      <c r="G25" s="218"/>
      <c r="H25" s="175"/>
      <c r="I25" s="175"/>
      <c r="J25" s="175"/>
      <c r="K25" s="175"/>
      <c r="L25" s="175"/>
      <c r="M25" s="175"/>
      <c r="N25" s="175"/>
      <c r="O25" s="175"/>
      <c r="P25" s="77"/>
    </row>
    <row r="26" spans="1:16" x14ac:dyDescent="0.25">
      <c r="A26" s="82" t="s">
        <v>158</v>
      </c>
      <c r="B26" s="178"/>
      <c r="C26" s="179"/>
      <c r="D26" s="179"/>
      <c r="E26" s="179"/>
      <c r="F26" s="179"/>
      <c r="G26" s="180"/>
      <c r="H26" s="175"/>
      <c r="I26" s="175"/>
      <c r="J26" s="175"/>
      <c r="K26" s="175"/>
      <c r="L26" s="175"/>
      <c r="M26" s="175"/>
      <c r="N26" s="175"/>
      <c r="O26" s="175"/>
      <c r="P26" s="77"/>
    </row>
    <row r="27" spans="1:16" x14ac:dyDescent="0.25">
      <c r="A27" s="82" t="s">
        <v>159</v>
      </c>
      <c r="B27" s="178"/>
      <c r="C27" s="179"/>
      <c r="D27" s="179"/>
      <c r="E27" s="179"/>
      <c r="F27" s="179"/>
      <c r="G27" s="180"/>
      <c r="H27" s="175"/>
      <c r="I27" s="175"/>
      <c r="J27" s="175"/>
      <c r="K27" s="175"/>
      <c r="L27" s="175"/>
      <c r="M27" s="175"/>
      <c r="N27" s="175"/>
      <c r="O27" s="175"/>
      <c r="P27" s="77"/>
    </row>
    <row r="28" spans="1:16" x14ac:dyDescent="0.25">
      <c r="A28" s="82" t="s">
        <v>162</v>
      </c>
      <c r="B28" s="178"/>
      <c r="C28" s="179"/>
      <c r="D28" s="179"/>
      <c r="E28" s="179"/>
      <c r="F28" s="179"/>
      <c r="G28" s="180"/>
      <c r="H28" s="175"/>
      <c r="I28" s="175"/>
      <c r="J28" s="175"/>
      <c r="K28" s="175"/>
      <c r="L28" s="175"/>
      <c r="M28" s="175"/>
      <c r="N28" s="175"/>
      <c r="O28" s="175"/>
      <c r="P28" s="77"/>
    </row>
    <row r="29" spans="1:16" x14ac:dyDescent="0.25">
      <c r="A29" s="82" t="s">
        <v>163</v>
      </c>
      <c r="B29" s="178"/>
      <c r="C29" s="179"/>
      <c r="D29" s="179"/>
      <c r="E29" s="179"/>
      <c r="F29" s="179"/>
      <c r="G29" s="180"/>
      <c r="H29" s="175"/>
      <c r="I29" s="175"/>
      <c r="J29" s="175"/>
      <c r="K29" s="175"/>
      <c r="L29" s="175"/>
      <c r="M29" s="175"/>
      <c r="N29" s="175"/>
      <c r="O29" s="175"/>
      <c r="P29" s="77"/>
    </row>
    <row r="30" spans="1:16" x14ac:dyDescent="0.25">
      <c r="A30" s="82" t="s">
        <v>164</v>
      </c>
      <c r="B30" s="178"/>
      <c r="C30" s="179"/>
      <c r="D30" s="179"/>
      <c r="E30" s="179"/>
      <c r="F30" s="179"/>
      <c r="G30" s="180"/>
      <c r="H30" s="175"/>
      <c r="I30" s="175"/>
      <c r="J30" s="175"/>
      <c r="K30" s="175"/>
      <c r="L30" s="175"/>
      <c r="M30" s="175"/>
      <c r="N30" s="175"/>
      <c r="O30" s="175"/>
      <c r="P30" s="77"/>
    </row>
    <row r="31" spans="1:16" x14ac:dyDescent="0.25">
      <c r="A31" s="82" t="s">
        <v>165</v>
      </c>
      <c r="B31" s="178"/>
      <c r="C31" s="179"/>
      <c r="D31" s="179"/>
      <c r="E31" s="179"/>
      <c r="F31" s="179"/>
      <c r="G31" s="180"/>
      <c r="H31" s="175"/>
      <c r="I31" s="175"/>
      <c r="J31" s="175"/>
      <c r="K31" s="175"/>
      <c r="L31" s="175"/>
      <c r="M31" s="175"/>
      <c r="N31" s="175"/>
      <c r="O31" s="175"/>
      <c r="P31" s="77"/>
    </row>
    <row r="32" spans="1:16" x14ac:dyDescent="0.25">
      <c r="A32" s="82" t="s">
        <v>167</v>
      </c>
      <c r="B32" s="216"/>
      <c r="C32" s="217"/>
      <c r="D32" s="217"/>
      <c r="E32" s="217"/>
      <c r="F32" s="217"/>
      <c r="G32" s="218"/>
      <c r="H32" s="175"/>
      <c r="I32" s="175"/>
      <c r="J32" s="175"/>
      <c r="K32" s="175"/>
      <c r="L32" s="175"/>
      <c r="M32" s="175"/>
      <c r="N32" s="175"/>
      <c r="O32" s="175"/>
      <c r="P32" s="77"/>
    </row>
  </sheetData>
  <mergeCells count="43">
    <mergeCell ref="B31:G31"/>
    <mergeCell ref="H31:K31"/>
    <mergeCell ref="L31:O31"/>
    <mergeCell ref="B32:G32"/>
    <mergeCell ref="H32:K32"/>
    <mergeCell ref="L32:O32"/>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conditionalFormatting sqref="B9:B10">
    <cfRule type="cellIs" dxfId="259" priority="11" operator="equal">
      <formula>"Nok"</formula>
    </cfRule>
    <cfRule type="cellIs" dxfId="258" priority="12" operator="equal">
      <formula>"Ok"</formula>
    </cfRule>
  </conditionalFormatting>
  <conditionalFormatting sqref="P22:P28">
    <cfRule type="cellIs" dxfId="257" priority="9" operator="equal">
      <formula>"Nok"</formula>
    </cfRule>
    <cfRule type="cellIs" dxfId="256" priority="10" operator="equal">
      <formula>"Ok"</formula>
    </cfRule>
  </conditionalFormatting>
  <conditionalFormatting sqref="P29:P32">
    <cfRule type="cellIs" dxfId="255" priority="1" operator="equal">
      <formula>"Nok"</formula>
    </cfRule>
    <cfRule type="cellIs" dxfId="254" priority="2" operator="equal">
      <formula>"Ok"</formula>
    </cfRule>
  </conditionalFormatting>
  <dataValidations count="3">
    <dataValidation type="list" allowBlank="1" showInputMessage="1" showErrorMessage="1" sqref="B5" xr:uid="{EED02ED8-383F-4195-ABE9-4EBBA1ECB93C}">
      <formula1>"Nominal, Robustness, Endurance, Qualification"</formula1>
    </dataValidation>
    <dataValidation type="list" allowBlank="1" showInputMessage="1" showErrorMessage="1" sqref="B9" xr:uid="{E8AA6375-4D43-4D46-A088-98D683C24BA3}">
      <formula1>"Ok, Nok, Not run, NA"</formula1>
    </dataValidation>
    <dataValidation type="list" allowBlank="1" showInputMessage="1" showErrorMessage="1" sqref="P22:P32" xr:uid="{315271E3-B314-4335-95EC-22D70475365B}">
      <formula1>"Ok, Nok, Not run, ,"</formula1>
    </dataValidation>
  </dataValidations>
  <pageMargins left="0.7" right="0.7" top="0.75" bottom="0.75" header="0.3" footer="0.3"/>
  <pageSetup paperSize="9" orientation="portrait" r:id="rId1"/>
  <headerFooter>
    <oddFooter>&amp;LTBD ver 1.7&amp;R&amp;P</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005C68-F4D6-476D-B068-7B02A74405D7}">
  <sheetPr codeName="Sheet17"/>
  <dimension ref="A1:P32"/>
  <sheetViews>
    <sheetView zoomScaleNormal="100" workbookViewId="0"/>
  </sheetViews>
  <sheetFormatPr defaultColWidth="9.109375" defaultRowHeight="13.2" x14ac:dyDescent="0.25"/>
  <cols>
    <col min="1" max="1" width="20.109375" style="78" customWidth="1"/>
    <col min="2" max="2" width="18.44140625" style="75" customWidth="1"/>
    <col min="3" max="7" width="9.109375" style="75"/>
    <col min="8" max="10" width="9.5546875" style="75" customWidth="1"/>
    <col min="11" max="11" width="20.5546875" style="75" customWidth="1"/>
    <col min="12" max="14" width="9.5546875" style="75" customWidth="1"/>
    <col min="15" max="15" width="40" style="75" customWidth="1"/>
    <col min="16" max="16384" width="9.109375" style="75"/>
  </cols>
  <sheetData>
    <row r="1" spans="1:15" ht="13.8" thickBot="1" x14ac:dyDescent="0.3">
      <c r="A1" s="79" t="s">
        <v>139</v>
      </c>
      <c r="B1" s="200" t="s">
        <v>308</v>
      </c>
      <c r="C1" s="201"/>
      <c r="D1" s="201"/>
      <c r="E1" s="201"/>
      <c r="F1" s="201"/>
      <c r="G1" s="202"/>
      <c r="H1" s="55"/>
      <c r="I1" s="55"/>
      <c r="J1" s="55"/>
      <c r="K1" s="55"/>
      <c r="L1" s="55"/>
      <c r="M1" s="55"/>
      <c r="N1" s="55"/>
      <c r="O1" s="55"/>
    </row>
    <row r="2" spans="1:15" ht="13.8" thickBot="1" x14ac:dyDescent="0.3">
      <c r="A2" s="54"/>
      <c r="B2" s="55"/>
      <c r="C2" s="55"/>
      <c r="D2" s="55"/>
      <c r="E2" s="55"/>
      <c r="F2" s="55"/>
      <c r="G2" s="55"/>
      <c r="H2" s="55"/>
      <c r="I2" s="55"/>
      <c r="J2" s="55"/>
      <c r="K2" s="55"/>
      <c r="L2" s="55"/>
      <c r="M2" s="55"/>
      <c r="N2" s="55"/>
      <c r="O2" s="55"/>
    </row>
    <row r="3" spans="1:15" ht="27" thickBot="1" x14ac:dyDescent="0.3">
      <c r="A3" s="80" t="s">
        <v>140</v>
      </c>
      <c r="B3" s="203" t="s">
        <v>230</v>
      </c>
      <c r="C3" s="204"/>
      <c r="D3" s="204"/>
      <c r="E3" s="204"/>
      <c r="F3" s="204"/>
      <c r="G3" s="205"/>
      <c r="H3" s="55"/>
      <c r="I3" s="55"/>
      <c r="J3" s="55"/>
      <c r="K3" s="55"/>
      <c r="L3" s="55"/>
      <c r="M3" s="55"/>
      <c r="N3" s="55"/>
      <c r="O3" s="55"/>
    </row>
    <row r="4" spans="1:15" ht="13.8" thickBot="1" x14ac:dyDescent="0.3">
      <c r="A4" s="54"/>
      <c r="B4" s="55"/>
      <c r="C4" s="55"/>
      <c r="D4" s="55"/>
      <c r="E4" s="55"/>
      <c r="F4" s="55"/>
      <c r="G4" s="55"/>
      <c r="H4" s="55"/>
      <c r="I4" s="55"/>
      <c r="J4" s="55"/>
      <c r="K4" s="55"/>
      <c r="L4" s="55"/>
      <c r="M4" s="55"/>
      <c r="N4" s="55"/>
      <c r="O4" s="55"/>
    </row>
    <row r="5" spans="1:15" ht="13.8" thickBot="1" x14ac:dyDescent="0.3">
      <c r="A5" s="79" t="s">
        <v>141</v>
      </c>
      <c r="B5" s="58" t="s">
        <v>142</v>
      </c>
      <c r="C5" s="55"/>
      <c r="D5" s="55"/>
      <c r="E5" s="55"/>
      <c r="F5" s="55"/>
      <c r="G5" s="55"/>
      <c r="H5" s="55"/>
      <c r="I5" s="55"/>
      <c r="J5" s="55"/>
      <c r="K5" s="55"/>
      <c r="L5" s="55"/>
      <c r="M5" s="55"/>
      <c r="N5" s="55"/>
      <c r="O5" s="55"/>
    </row>
    <row r="6" spans="1:15" ht="13.8" thickBot="1" x14ac:dyDescent="0.3">
      <c r="A6" s="54"/>
      <c r="B6" s="55"/>
      <c r="C6" s="55"/>
      <c r="D6" s="55"/>
      <c r="E6" s="55"/>
      <c r="F6" s="55"/>
      <c r="G6" s="55"/>
      <c r="H6" s="55"/>
      <c r="I6" s="55"/>
      <c r="J6" s="55"/>
      <c r="K6" s="55"/>
      <c r="L6" s="55"/>
      <c r="M6" s="55"/>
      <c r="N6" s="55"/>
      <c r="O6" s="55"/>
    </row>
    <row r="7" spans="1:15" ht="13.8" thickBot="1" x14ac:dyDescent="0.3">
      <c r="A7" s="79" t="s">
        <v>143</v>
      </c>
      <c r="B7" s="203" t="s">
        <v>231</v>
      </c>
      <c r="C7" s="204"/>
      <c r="D7" s="204"/>
      <c r="E7" s="204"/>
      <c r="F7" s="204"/>
      <c r="G7" s="205"/>
      <c r="H7" s="55"/>
      <c r="I7" s="55"/>
      <c r="J7" s="55"/>
      <c r="K7" s="55"/>
      <c r="L7" s="55"/>
      <c r="M7" s="55"/>
      <c r="N7" s="55"/>
      <c r="O7" s="55"/>
    </row>
    <row r="8" spans="1:15" ht="13.8" thickBot="1" x14ac:dyDescent="0.3">
      <c r="A8" s="57"/>
      <c r="B8" s="56"/>
      <c r="C8" s="56"/>
      <c r="D8" s="56"/>
      <c r="E8" s="56"/>
      <c r="F8" s="56"/>
      <c r="G8" s="56"/>
      <c r="H8" s="55"/>
      <c r="I8" s="55"/>
      <c r="J8" s="55"/>
      <c r="K8" s="55"/>
      <c r="L8" s="55"/>
      <c r="M8" s="55"/>
      <c r="N8" s="55"/>
      <c r="O8" s="55"/>
    </row>
    <row r="9" spans="1:15" ht="13.8" thickBot="1" x14ac:dyDescent="0.3">
      <c r="A9" s="79" t="s">
        <v>144</v>
      </c>
      <c r="B9" s="84" t="s">
        <v>145</v>
      </c>
      <c r="C9" s="55"/>
      <c r="D9" s="55"/>
      <c r="E9" s="55"/>
      <c r="F9" s="55"/>
      <c r="G9" s="55"/>
      <c r="H9" s="55"/>
      <c r="I9" s="55"/>
      <c r="J9" s="55"/>
      <c r="K9" s="55"/>
      <c r="L9" s="55"/>
      <c r="M9" s="55"/>
      <c r="N9" s="55"/>
      <c r="O9" s="55"/>
    </row>
    <row r="10" spans="1:15" ht="13.8" thickBot="1" x14ac:dyDescent="0.3">
      <c r="A10" s="57"/>
      <c r="B10" s="76"/>
      <c r="C10" s="55"/>
      <c r="D10" s="55"/>
      <c r="E10" s="55"/>
      <c r="F10" s="55"/>
      <c r="G10" s="55"/>
      <c r="H10" s="55"/>
      <c r="I10" s="55"/>
      <c r="J10" s="55"/>
      <c r="K10" s="55"/>
      <c r="L10" s="55"/>
      <c r="M10" s="55"/>
      <c r="N10" s="55"/>
      <c r="O10" s="55"/>
    </row>
    <row r="11" spans="1:15" ht="12" customHeight="1" x14ac:dyDescent="0.25">
      <c r="A11" s="189" t="s">
        <v>146</v>
      </c>
      <c r="B11" s="191" t="s">
        <v>147</v>
      </c>
      <c r="C11" s="192"/>
      <c r="D11" s="192"/>
      <c r="E11" s="192"/>
      <c r="F11" s="192"/>
      <c r="G11" s="193"/>
      <c r="H11" s="55"/>
      <c r="I11" s="55"/>
      <c r="J11" s="55"/>
      <c r="K11" s="55"/>
      <c r="L11" s="55"/>
      <c r="M11" s="55"/>
      <c r="N11" s="55"/>
      <c r="O11" s="55"/>
    </row>
    <row r="12" spans="1:15" x14ac:dyDescent="0.25">
      <c r="A12" s="190"/>
      <c r="B12" s="194"/>
      <c r="C12" s="195"/>
      <c r="D12" s="195"/>
      <c r="E12" s="195"/>
      <c r="F12" s="195"/>
      <c r="G12" s="196"/>
      <c r="H12" s="55"/>
      <c r="I12" s="55"/>
      <c r="J12" s="55"/>
      <c r="K12" s="55"/>
      <c r="L12" s="55"/>
      <c r="M12" s="55"/>
      <c r="N12" s="55"/>
      <c r="O12" s="55"/>
    </row>
    <row r="13" spans="1:15" x14ac:dyDescent="0.25">
      <c r="A13" s="190"/>
      <c r="B13" s="194"/>
      <c r="C13" s="195"/>
      <c r="D13" s="195"/>
      <c r="E13" s="195"/>
      <c r="F13" s="195"/>
      <c r="G13" s="196"/>
      <c r="H13" s="54"/>
      <c r="I13" s="55"/>
      <c r="J13" s="55"/>
      <c r="K13" s="55"/>
      <c r="L13" s="55"/>
      <c r="M13" s="55"/>
      <c r="N13" s="55"/>
      <c r="O13" s="55"/>
    </row>
    <row r="14" spans="1:15" ht="13.8" thickBot="1" x14ac:dyDescent="0.3">
      <c r="A14" s="190"/>
      <c r="B14" s="197"/>
      <c r="C14" s="198"/>
      <c r="D14" s="198"/>
      <c r="E14" s="198"/>
      <c r="F14" s="198"/>
      <c r="G14" s="199"/>
      <c r="H14" s="59"/>
      <c r="I14" s="55"/>
      <c r="J14" s="55"/>
      <c r="K14" s="55"/>
      <c r="L14" s="55"/>
      <c r="M14" s="55"/>
      <c r="N14" s="55"/>
      <c r="O14" s="55"/>
    </row>
    <row r="15" spans="1:15" ht="13.8" thickBot="1" x14ac:dyDescent="0.3">
      <c r="A15" s="54"/>
      <c r="B15" s="54"/>
      <c r="C15" s="54"/>
      <c r="D15" s="54"/>
      <c r="E15" s="54"/>
      <c r="F15" s="54"/>
      <c r="G15" s="54"/>
      <c r="H15" s="59"/>
      <c r="I15" s="55"/>
      <c r="J15" s="55"/>
      <c r="K15" s="55"/>
      <c r="L15" s="55"/>
      <c r="M15" s="55"/>
      <c r="N15" s="55"/>
      <c r="O15" s="55"/>
    </row>
    <row r="16" spans="1:15" x14ac:dyDescent="0.25">
      <c r="A16" s="189" t="s">
        <v>148</v>
      </c>
      <c r="B16" s="191" t="s">
        <v>149</v>
      </c>
      <c r="C16" s="192"/>
      <c r="D16" s="192"/>
      <c r="E16" s="192"/>
      <c r="F16" s="192"/>
      <c r="G16" s="193"/>
      <c r="H16" s="55"/>
      <c r="I16" s="55"/>
      <c r="J16" s="55"/>
      <c r="K16" s="55"/>
      <c r="L16" s="55"/>
      <c r="M16" s="55"/>
      <c r="N16" s="55"/>
      <c r="O16" s="55"/>
    </row>
    <row r="17" spans="1:16" x14ac:dyDescent="0.25">
      <c r="A17" s="190"/>
      <c r="B17" s="194"/>
      <c r="C17" s="195"/>
      <c r="D17" s="195"/>
      <c r="E17" s="195"/>
      <c r="F17" s="195"/>
      <c r="G17" s="196"/>
      <c r="H17" s="55"/>
      <c r="I17" s="55"/>
      <c r="J17" s="55"/>
      <c r="K17" s="55"/>
      <c r="L17" s="55"/>
      <c r="M17" s="55"/>
      <c r="N17" s="55"/>
      <c r="O17" s="55"/>
    </row>
    <row r="18" spans="1:16" x14ac:dyDescent="0.25">
      <c r="A18" s="190"/>
      <c r="B18" s="194"/>
      <c r="C18" s="195"/>
      <c r="D18" s="195"/>
      <c r="E18" s="195"/>
      <c r="F18" s="195"/>
      <c r="G18" s="196"/>
      <c r="H18" s="54"/>
      <c r="I18" s="55"/>
      <c r="J18" s="55"/>
      <c r="K18" s="55"/>
      <c r="L18" s="55"/>
      <c r="M18" s="55"/>
      <c r="N18" s="55"/>
      <c r="O18" s="55"/>
    </row>
    <row r="19" spans="1:16" ht="13.8" thickBot="1" x14ac:dyDescent="0.3">
      <c r="A19" s="190"/>
      <c r="B19" s="197"/>
      <c r="C19" s="198"/>
      <c r="D19" s="198"/>
      <c r="E19" s="198"/>
      <c r="F19" s="198"/>
      <c r="G19" s="199"/>
      <c r="H19" s="59"/>
      <c r="I19" s="55"/>
      <c r="J19" s="55"/>
      <c r="K19" s="55"/>
      <c r="L19" s="55"/>
      <c r="M19" s="55"/>
      <c r="N19" s="55"/>
      <c r="O19" s="55"/>
    </row>
    <row r="20" spans="1:16" ht="13.8" thickBot="1" x14ac:dyDescent="0.3">
      <c r="A20" s="54"/>
      <c r="B20" s="54"/>
      <c r="C20" s="54"/>
      <c r="D20" s="54"/>
      <c r="E20" s="54"/>
      <c r="F20" s="54"/>
      <c r="G20" s="54"/>
      <c r="H20" s="59"/>
      <c r="I20" s="55"/>
      <c r="J20" s="55"/>
      <c r="K20" s="55"/>
      <c r="L20" s="55"/>
      <c r="M20" s="55"/>
      <c r="N20" s="55"/>
      <c r="O20" s="55"/>
    </row>
    <row r="21" spans="1:16" ht="12.75" customHeight="1" x14ac:dyDescent="0.25">
      <c r="A21" s="186" t="s">
        <v>150</v>
      </c>
      <c r="B21" s="187"/>
      <c r="C21" s="187"/>
      <c r="D21" s="187"/>
      <c r="E21" s="187"/>
      <c r="F21" s="187"/>
      <c r="G21" s="188"/>
      <c r="H21" s="186" t="s">
        <v>151</v>
      </c>
      <c r="I21" s="187"/>
      <c r="J21" s="187"/>
      <c r="K21" s="188"/>
      <c r="L21" s="186" t="s">
        <v>152</v>
      </c>
      <c r="M21" s="187"/>
      <c r="N21" s="187"/>
      <c r="O21" s="188"/>
      <c r="P21" s="81" t="s">
        <v>153</v>
      </c>
    </row>
    <row r="22" spans="1:16" ht="30.75" customHeight="1" x14ac:dyDescent="0.25">
      <c r="A22" s="82" t="s">
        <v>154</v>
      </c>
      <c r="B22" s="219" t="s">
        <v>306</v>
      </c>
      <c r="C22" s="220"/>
      <c r="D22" s="220"/>
      <c r="E22" s="220"/>
      <c r="F22" s="220"/>
      <c r="G22" s="221"/>
      <c r="H22" s="175" t="s">
        <v>307</v>
      </c>
      <c r="I22" s="175"/>
      <c r="J22" s="175"/>
      <c r="K22" s="175"/>
      <c r="L22" s="175" t="s">
        <v>307</v>
      </c>
      <c r="M22" s="175"/>
      <c r="N22" s="175"/>
      <c r="O22" s="175"/>
      <c r="P22" s="77" t="s">
        <v>145</v>
      </c>
    </row>
    <row r="23" spans="1:16" ht="12.75" customHeight="1" x14ac:dyDescent="0.25">
      <c r="A23" s="82" t="s">
        <v>155</v>
      </c>
      <c r="B23" s="178" t="s">
        <v>310</v>
      </c>
      <c r="C23" s="179"/>
      <c r="D23" s="179"/>
      <c r="E23" s="179"/>
      <c r="F23" s="179"/>
      <c r="G23" s="180"/>
      <c r="H23" s="175" t="s">
        <v>309</v>
      </c>
      <c r="I23" s="175"/>
      <c r="J23" s="175"/>
      <c r="K23" s="175"/>
      <c r="L23" s="175" t="s">
        <v>309</v>
      </c>
      <c r="M23" s="175"/>
      <c r="N23" s="175"/>
      <c r="O23" s="175"/>
      <c r="P23" s="77" t="s">
        <v>145</v>
      </c>
    </row>
    <row r="24" spans="1:16" x14ac:dyDescent="0.25">
      <c r="A24" s="82" t="s">
        <v>156</v>
      </c>
      <c r="B24" s="178"/>
      <c r="C24" s="179"/>
      <c r="D24" s="179"/>
      <c r="E24" s="179"/>
      <c r="F24" s="179"/>
      <c r="G24" s="180"/>
      <c r="H24" s="175"/>
      <c r="I24" s="175"/>
      <c r="J24" s="175"/>
      <c r="K24" s="175"/>
      <c r="L24" s="175"/>
      <c r="M24" s="175"/>
      <c r="N24" s="175"/>
      <c r="O24" s="175"/>
      <c r="P24" s="77"/>
    </row>
    <row r="25" spans="1:16" x14ac:dyDescent="0.25">
      <c r="A25" s="82" t="s">
        <v>157</v>
      </c>
      <c r="B25" s="216"/>
      <c r="C25" s="217"/>
      <c r="D25" s="217"/>
      <c r="E25" s="217"/>
      <c r="F25" s="217"/>
      <c r="G25" s="218"/>
      <c r="H25" s="175"/>
      <c r="I25" s="175"/>
      <c r="J25" s="175"/>
      <c r="K25" s="175"/>
      <c r="L25" s="175"/>
      <c r="M25" s="175"/>
      <c r="N25" s="175"/>
      <c r="O25" s="175"/>
      <c r="P25" s="77"/>
    </row>
    <row r="26" spans="1:16" x14ac:dyDescent="0.25">
      <c r="A26" s="82" t="s">
        <v>158</v>
      </c>
      <c r="B26" s="178"/>
      <c r="C26" s="179"/>
      <c r="D26" s="179"/>
      <c r="E26" s="179"/>
      <c r="F26" s="179"/>
      <c r="G26" s="180"/>
      <c r="H26" s="175"/>
      <c r="I26" s="175"/>
      <c r="J26" s="175"/>
      <c r="K26" s="175"/>
      <c r="L26" s="175"/>
      <c r="M26" s="175"/>
      <c r="N26" s="175"/>
      <c r="O26" s="175"/>
      <c r="P26" s="77"/>
    </row>
    <row r="27" spans="1:16" x14ac:dyDescent="0.25">
      <c r="A27" s="82" t="s">
        <v>159</v>
      </c>
      <c r="B27" s="178"/>
      <c r="C27" s="179"/>
      <c r="D27" s="179"/>
      <c r="E27" s="179"/>
      <c r="F27" s="179"/>
      <c r="G27" s="180"/>
      <c r="H27" s="175"/>
      <c r="I27" s="175"/>
      <c r="J27" s="175"/>
      <c r="K27" s="175"/>
      <c r="L27" s="175"/>
      <c r="M27" s="175"/>
      <c r="N27" s="175"/>
      <c r="O27" s="175"/>
      <c r="P27" s="77"/>
    </row>
    <row r="28" spans="1:16" x14ac:dyDescent="0.25">
      <c r="A28" s="82" t="s">
        <v>162</v>
      </c>
      <c r="B28" s="178"/>
      <c r="C28" s="179"/>
      <c r="D28" s="179"/>
      <c r="E28" s="179"/>
      <c r="F28" s="179"/>
      <c r="G28" s="180"/>
      <c r="H28" s="175"/>
      <c r="I28" s="175"/>
      <c r="J28" s="175"/>
      <c r="K28" s="175"/>
      <c r="L28" s="175"/>
      <c r="M28" s="175"/>
      <c r="N28" s="175"/>
      <c r="O28" s="175"/>
      <c r="P28" s="77"/>
    </row>
    <row r="29" spans="1:16" x14ac:dyDescent="0.25">
      <c r="A29" s="82" t="s">
        <v>163</v>
      </c>
      <c r="B29" s="178"/>
      <c r="C29" s="179"/>
      <c r="D29" s="179"/>
      <c r="E29" s="179"/>
      <c r="F29" s="179"/>
      <c r="G29" s="180"/>
      <c r="H29" s="175"/>
      <c r="I29" s="175"/>
      <c r="J29" s="175"/>
      <c r="K29" s="175"/>
      <c r="L29" s="175"/>
      <c r="M29" s="175"/>
      <c r="N29" s="175"/>
      <c r="O29" s="175"/>
      <c r="P29" s="77"/>
    </row>
    <row r="30" spans="1:16" x14ac:dyDescent="0.25">
      <c r="A30" s="82" t="s">
        <v>164</v>
      </c>
      <c r="B30" s="178"/>
      <c r="C30" s="179"/>
      <c r="D30" s="179"/>
      <c r="E30" s="179"/>
      <c r="F30" s="179"/>
      <c r="G30" s="180"/>
      <c r="H30" s="175"/>
      <c r="I30" s="175"/>
      <c r="J30" s="175"/>
      <c r="K30" s="175"/>
      <c r="L30" s="175"/>
      <c r="M30" s="175"/>
      <c r="N30" s="175"/>
      <c r="O30" s="175"/>
      <c r="P30" s="77"/>
    </row>
    <row r="31" spans="1:16" x14ac:dyDescent="0.25">
      <c r="A31" s="82" t="s">
        <v>165</v>
      </c>
      <c r="B31" s="178"/>
      <c r="C31" s="179"/>
      <c r="D31" s="179"/>
      <c r="E31" s="179"/>
      <c r="F31" s="179"/>
      <c r="G31" s="180"/>
      <c r="H31" s="175"/>
      <c r="I31" s="175"/>
      <c r="J31" s="175"/>
      <c r="K31" s="175"/>
      <c r="L31" s="175"/>
      <c r="M31" s="175"/>
      <c r="N31" s="175"/>
      <c r="O31" s="175"/>
      <c r="P31" s="77"/>
    </row>
    <row r="32" spans="1:16" x14ac:dyDescent="0.25">
      <c r="A32" s="82" t="s">
        <v>167</v>
      </c>
      <c r="B32" s="216"/>
      <c r="C32" s="217"/>
      <c r="D32" s="217"/>
      <c r="E32" s="217"/>
      <c r="F32" s="217"/>
      <c r="G32" s="218"/>
      <c r="H32" s="175"/>
      <c r="I32" s="175"/>
      <c r="J32" s="175"/>
      <c r="K32" s="175"/>
      <c r="L32" s="175"/>
      <c r="M32" s="175"/>
      <c r="N32" s="175"/>
      <c r="O32" s="175"/>
      <c r="P32" s="77"/>
    </row>
  </sheetData>
  <mergeCells count="43">
    <mergeCell ref="B32:G32"/>
    <mergeCell ref="H32:K32"/>
    <mergeCell ref="L32:O32"/>
    <mergeCell ref="B30:G30"/>
    <mergeCell ref="H30:K30"/>
    <mergeCell ref="L30:O30"/>
    <mergeCell ref="B31:G31"/>
    <mergeCell ref="H31:K31"/>
    <mergeCell ref="L31:O31"/>
    <mergeCell ref="B28:G28"/>
    <mergeCell ref="H28:K28"/>
    <mergeCell ref="L28:O28"/>
    <mergeCell ref="B29:G29"/>
    <mergeCell ref="H29:K29"/>
    <mergeCell ref="L29:O29"/>
    <mergeCell ref="B27:G27"/>
    <mergeCell ref="H27:K27"/>
    <mergeCell ref="L27:O27"/>
    <mergeCell ref="B23:G23"/>
    <mergeCell ref="H23:K23"/>
    <mergeCell ref="L23:O23"/>
    <mergeCell ref="B24:G24"/>
    <mergeCell ref="H24:K24"/>
    <mergeCell ref="L24:O24"/>
    <mergeCell ref="H25:K25"/>
    <mergeCell ref="L25:O25"/>
    <mergeCell ref="B26:G26"/>
    <mergeCell ref="H26:K26"/>
    <mergeCell ref="L26:O26"/>
    <mergeCell ref="B25:G25"/>
    <mergeCell ref="A21:G21"/>
    <mergeCell ref="H21:K21"/>
    <mergeCell ref="L21:O21"/>
    <mergeCell ref="B22:G22"/>
    <mergeCell ref="H22:K22"/>
    <mergeCell ref="L22:O22"/>
    <mergeCell ref="A16:A19"/>
    <mergeCell ref="B16:G19"/>
    <mergeCell ref="B1:G1"/>
    <mergeCell ref="B3:G3"/>
    <mergeCell ref="B7:G7"/>
    <mergeCell ref="A11:A14"/>
    <mergeCell ref="B11:G14"/>
  </mergeCells>
  <phoneticPr fontId="42" type="noConversion"/>
  <conditionalFormatting sqref="B9:B10">
    <cfRule type="cellIs" dxfId="253" priority="11" operator="equal">
      <formula>"Nok"</formula>
    </cfRule>
    <cfRule type="cellIs" dxfId="252" priority="12" operator="equal">
      <formula>"Ok"</formula>
    </cfRule>
  </conditionalFormatting>
  <conditionalFormatting sqref="P22:P28">
    <cfRule type="cellIs" dxfId="251" priority="9" operator="equal">
      <formula>"Nok"</formula>
    </cfRule>
    <cfRule type="cellIs" dxfId="250" priority="10" operator="equal">
      <formula>"Ok"</formula>
    </cfRule>
  </conditionalFormatting>
  <conditionalFormatting sqref="P29:P32">
    <cfRule type="cellIs" dxfId="249" priority="1" operator="equal">
      <formula>"Nok"</formula>
    </cfRule>
    <cfRule type="cellIs" dxfId="248" priority="2" operator="equal">
      <formula>"Ok"</formula>
    </cfRule>
  </conditionalFormatting>
  <dataValidations count="3">
    <dataValidation type="list" allowBlank="1" showInputMessage="1" showErrorMessage="1" sqref="P22:P32" xr:uid="{B77E6F6F-ADDB-4392-8821-2077B756AD75}">
      <formula1>"Ok, Nok, Not run, ,"</formula1>
    </dataValidation>
    <dataValidation type="list" allowBlank="1" showInputMessage="1" showErrorMessage="1" sqref="B9" xr:uid="{A941A3D1-2E35-426F-BAB1-D9E80CF6091A}">
      <formula1>"Ok, Nok, Not run, NA"</formula1>
    </dataValidation>
    <dataValidation type="list" allowBlank="1" showInputMessage="1" showErrorMessage="1" sqref="B5" xr:uid="{622797D0-C107-4746-96CA-E1F8FA0568FA}">
      <formula1>"Nominal, Robustness, Endurance, Qualification"</formula1>
    </dataValidation>
  </dataValidations>
  <pageMargins left="0.7" right="0.7" top="0.75" bottom="0.75" header="0.3" footer="0.3"/>
  <pageSetup paperSize="9" orientation="portrait" r:id="rId1"/>
  <headerFooter>
    <oddFooter>&amp;LTBD ver 1.7&amp;R&amp;P</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23097-2783-47DD-A25D-4D8B0F052327}">
  <sheetPr codeName="Sheet27"/>
  <dimension ref="A1:P32"/>
  <sheetViews>
    <sheetView zoomScaleNormal="100" workbookViewId="0">
      <selection activeCell="I8" sqref="I8"/>
    </sheetView>
  </sheetViews>
  <sheetFormatPr defaultColWidth="9.109375" defaultRowHeight="13.2" x14ac:dyDescent="0.25"/>
  <cols>
    <col min="1" max="1" width="20.109375" style="78" customWidth="1"/>
    <col min="2" max="2" width="18.44140625" style="75" customWidth="1"/>
    <col min="3" max="6" width="9.109375" style="75"/>
    <col min="7" max="7" width="48.88671875" style="75" customWidth="1"/>
    <col min="8" max="10" width="9.5546875" style="75" customWidth="1"/>
    <col min="11" max="11" width="20.5546875" style="75" customWidth="1"/>
    <col min="12" max="14" width="9.5546875" style="75" customWidth="1"/>
    <col min="15" max="15" width="40" style="75" customWidth="1"/>
    <col min="16" max="16384" width="9.109375" style="75"/>
  </cols>
  <sheetData>
    <row r="1" spans="1:15" ht="13.8" thickBot="1" x14ac:dyDescent="0.3">
      <c r="A1" s="79" t="s">
        <v>139</v>
      </c>
      <c r="B1" s="200" t="s">
        <v>314</v>
      </c>
      <c r="C1" s="201"/>
      <c r="D1" s="201"/>
      <c r="E1" s="201"/>
      <c r="F1" s="201"/>
      <c r="G1" s="202"/>
      <c r="H1" s="55"/>
      <c r="I1" s="55"/>
      <c r="J1" s="55"/>
      <c r="K1" s="55"/>
      <c r="L1" s="55"/>
      <c r="M1" s="55"/>
      <c r="N1" s="55"/>
      <c r="O1" s="55"/>
    </row>
    <row r="2" spans="1:15" ht="13.8" thickBot="1" x14ac:dyDescent="0.3">
      <c r="A2" s="54"/>
      <c r="B2" s="55"/>
      <c r="C2" s="55"/>
      <c r="D2" s="55"/>
      <c r="E2" s="55"/>
      <c r="F2" s="55"/>
      <c r="G2" s="55"/>
      <c r="H2" s="55"/>
      <c r="I2" s="55"/>
      <c r="J2" s="55"/>
      <c r="K2" s="55"/>
      <c r="L2" s="55"/>
      <c r="M2" s="55"/>
      <c r="N2" s="55"/>
      <c r="O2" s="55"/>
    </row>
    <row r="3" spans="1:15" ht="27" thickBot="1" x14ac:dyDescent="0.3">
      <c r="A3" s="80" t="s">
        <v>140</v>
      </c>
      <c r="B3" s="222" t="s">
        <v>335</v>
      </c>
      <c r="C3" s="223"/>
      <c r="D3" s="223"/>
      <c r="E3" s="223"/>
      <c r="F3" s="223"/>
      <c r="G3" s="224"/>
      <c r="H3" s="55"/>
      <c r="I3" s="55"/>
      <c r="J3" s="55"/>
      <c r="K3" s="55"/>
      <c r="L3" s="55"/>
      <c r="M3" s="55"/>
      <c r="N3" s="55"/>
      <c r="O3" s="55"/>
    </row>
    <row r="4" spans="1:15" ht="13.8" thickBot="1" x14ac:dyDescent="0.3">
      <c r="A4" s="54"/>
      <c r="B4" s="55"/>
      <c r="C4" s="55"/>
      <c r="D4" s="55"/>
      <c r="E4" s="55"/>
      <c r="F4" s="55"/>
      <c r="G4" s="55"/>
      <c r="H4" s="55"/>
      <c r="I4" s="55"/>
      <c r="J4" s="55"/>
      <c r="K4" s="55"/>
      <c r="L4" s="55"/>
      <c r="M4" s="55"/>
      <c r="N4" s="55"/>
      <c r="O4" s="55"/>
    </row>
    <row r="5" spans="1:15" ht="13.8" thickBot="1" x14ac:dyDescent="0.3">
      <c r="A5" s="79" t="s">
        <v>141</v>
      </c>
      <c r="B5" s="58" t="s">
        <v>142</v>
      </c>
      <c r="C5" s="55"/>
      <c r="D5" s="55"/>
      <c r="E5" s="55"/>
      <c r="F5" s="55"/>
      <c r="G5" s="55"/>
      <c r="H5" s="55"/>
      <c r="I5" s="55"/>
      <c r="J5" s="55"/>
      <c r="K5" s="55"/>
      <c r="L5" s="55"/>
      <c r="M5" s="55"/>
      <c r="N5" s="55"/>
      <c r="O5" s="55"/>
    </row>
    <row r="6" spans="1:15" ht="13.8" thickBot="1" x14ac:dyDescent="0.3">
      <c r="A6" s="54"/>
      <c r="B6" s="55"/>
      <c r="C6" s="55"/>
      <c r="D6" s="55"/>
      <c r="E6" s="55"/>
      <c r="F6" s="55"/>
      <c r="G6" s="55"/>
      <c r="H6" s="55"/>
      <c r="I6" s="55"/>
      <c r="J6" s="55"/>
      <c r="K6" s="55"/>
      <c r="L6" s="55"/>
      <c r="M6" s="55"/>
      <c r="N6" s="55"/>
      <c r="O6" s="55"/>
    </row>
    <row r="7" spans="1:15" ht="13.8" thickBot="1" x14ac:dyDescent="0.3">
      <c r="A7" s="79" t="s">
        <v>143</v>
      </c>
      <c r="B7" s="213" t="s">
        <v>254</v>
      </c>
      <c r="C7" s="214"/>
      <c r="D7" s="214"/>
      <c r="E7" s="214"/>
      <c r="F7" s="214"/>
      <c r="G7" s="215"/>
      <c r="H7" s="55"/>
      <c r="I7" s="55"/>
      <c r="J7" s="55"/>
      <c r="K7" s="55"/>
      <c r="L7" s="55"/>
      <c r="M7" s="55"/>
      <c r="N7" s="55"/>
      <c r="O7" s="55"/>
    </row>
    <row r="8" spans="1:15" ht="13.8" thickBot="1" x14ac:dyDescent="0.3">
      <c r="A8" s="57"/>
      <c r="B8" s="56"/>
      <c r="C8" s="56"/>
      <c r="D8" s="56"/>
      <c r="E8" s="56"/>
      <c r="F8" s="56"/>
      <c r="G8" s="56"/>
      <c r="H8" s="55"/>
      <c r="I8" s="55"/>
      <c r="J8" s="55"/>
      <c r="K8" s="55"/>
      <c r="L8" s="55"/>
      <c r="M8" s="55"/>
      <c r="N8" s="55"/>
      <c r="O8" s="55"/>
    </row>
    <row r="9" spans="1:15" ht="13.8" thickBot="1" x14ac:dyDescent="0.3">
      <c r="A9" s="79" t="s">
        <v>144</v>
      </c>
      <c r="B9" s="84" t="s">
        <v>180</v>
      </c>
      <c r="C9" s="55"/>
      <c r="D9" s="55"/>
      <c r="E9" s="55"/>
      <c r="F9" s="55"/>
      <c r="G9" s="55"/>
      <c r="H9" s="55"/>
      <c r="I9" s="55"/>
      <c r="J9" s="55"/>
      <c r="K9" s="55"/>
      <c r="L9" s="55"/>
      <c r="M9" s="55"/>
      <c r="N9" s="55"/>
      <c r="O9" s="55"/>
    </row>
    <row r="10" spans="1:15" ht="13.8" thickBot="1" x14ac:dyDescent="0.3">
      <c r="A10" s="57"/>
      <c r="B10" s="76"/>
      <c r="C10" s="55"/>
      <c r="D10" s="55"/>
      <c r="E10" s="55"/>
      <c r="F10" s="55"/>
      <c r="G10" s="55"/>
      <c r="H10" s="55"/>
      <c r="I10" s="55"/>
      <c r="J10" s="55"/>
      <c r="K10" s="55"/>
      <c r="L10" s="55"/>
      <c r="M10" s="55"/>
      <c r="N10" s="55"/>
      <c r="O10" s="55"/>
    </row>
    <row r="11" spans="1:15" ht="12" customHeight="1" x14ac:dyDescent="0.25">
      <c r="A11" s="189" t="s">
        <v>146</v>
      </c>
      <c r="B11" s="191" t="s">
        <v>147</v>
      </c>
      <c r="C11" s="192"/>
      <c r="D11" s="192"/>
      <c r="E11" s="192"/>
      <c r="F11" s="192"/>
      <c r="G11" s="193"/>
      <c r="H11" s="55"/>
      <c r="I11" s="55"/>
      <c r="J11" s="55"/>
      <c r="K11" s="55"/>
      <c r="L11" s="55"/>
      <c r="M11" s="55"/>
      <c r="N11" s="55"/>
      <c r="O11" s="55"/>
    </row>
    <row r="12" spans="1:15" x14ac:dyDescent="0.25">
      <c r="A12" s="190"/>
      <c r="B12" s="194"/>
      <c r="C12" s="195"/>
      <c r="D12" s="195"/>
      <c r="E12" s="195"/>
      <c r="F12" s="195"/>
      <c r="G12" s="196"/>
      <c r="H12" s="55"/>
      <c r="I12" s="55"/>
      <c r="J12" s="55"/>
      <c r="K12" s="55"/>
      <c r="L12" s="55"/>
      <c r="M12" s="55"/>
      <c r="N12" s="55"/>
      <c r="O12" s="55"/>
    </row>
    <row r="13" spans="1:15" x14ac:dyDescent="0.25">
      <c r="A13" s="190"/>
      <c r="B13" s="194"/>
      <c r="C13" s="195"/>
      <c r="D13" s="195"/>
      <c r="E13" s="195"/>
      <c r="F13" s="195"/>
      <c r="G13" s="196"/>
      <c r="H13" s="54"/>
      <c r="I13" s="55"/>
      <c r="J13" s="55"/>
      <c r="K13" s="55"/>
      <c r="L13" s="55"/>
      <c r="M13" s="55"/>
      <c r="N13" s="55"/>
      <c r="O13" s="55"/>
    </row>
    <row r="14" spans="1:15" ht="13.8" thickBot="1" x14ac:dyDescent="0.3">
      <c r="A14" s="190"/>
      <c r="B14" s="197"/>
      <c r="C14" s="198"/>
      <c r="D14" s="198"/>
      <c r="E14" s="198"/>
      <c r="F14" s="198"/>
      <c r="G14" s="199"/>
      <c r="H14" s="59"/>
      <c r="I14" s="55"/>
      <c r="J14" s="55"/>
      <c r="K14" s="55"/>
      <c r="L14" s="55"/>
      <c r="M14" s="55"/>
      <c r="N14" s="55"/>
      <c r="O14" s="55"/>
    </row>
    <row r="15" spans="1:15" ht="13.8" thickBot="1" x14ac:dyDescent="0.3">
      <c r="A15" s="54"/>
      <c r="B15" s="54"/>
      <c r="C15" s="54"/>
      <c r="D15" s="54"/>
      <c r="E15" s="54"/>
      <c r="F15" s="54"/>
      <c r="G15" s="54"/>
      <c r="H15" s="59"/>
      <c r="I15" s="55"/>
      <c r="J15" s="55"/>
      <c r="K15" s="55"/>
      <c r="L15" s="55"/>
      <c r="M15" s="55"/>
      <c r="N15" s="55"/>
      <c r="O15" s="55"/>
    </row>
    <row r="16" spans="1:15" x14ac:dyDescent="0.25">
      <c r="A16" s="189" t="s">
        <v>148</v>
      </c>
      <c r="B16" s="191" t="s">
        <v>149</v>
      </c>
      <c r="C16" s="192"/>
      <c r="D16" s="192"/>
      <c r="E16" s="192"/>
      <c r="F16" s="192"/>
      <c r="G16" s="193"/>
      <c r="H16" s="55"/>
      <c r="I16" s="55"/>
      <c r="J16" s="55"/>
      <c r="K16" s="55"/>
      <c r="L16" s="55"/>
      <c r="M16" s="55"/>
      <c r="N16" s="55"/>
      <c r="O16" s="55"/>
    </row>
    <row r="17" spans="1:16" x14ac:dyDescent="0.25">
      <c r="A17" s="190"/>
      <c r="B17" s="194"/>
      <c r="C17" s="195"/>
      <c r="D17" s="195"/>
      <c r="E17" s="195"/>
      <c r="F17" s="195"/>
      <c r="G17" s="196"/>
      <c r="H17" s="55"/>
      <c r="I17" s="55"/>
      <c r="J17" s="55"/>
      <c r="K17" s="55"/>
      <c r="L17" s="55"/>
      <c r="M17" s="55"/>
      <c r="N17" s="55"/>
      <c r="O17" s="55"/>
    </row>
    <row r="18" spans="1:16" x14ac:dyDescent="0.25">
      <c r="A18" s="190"/>
      <c r="B18" s="194"/>
      <c r="C18" s="195"/>
      <c r="D18" s="195"/>
      <c r="E18" s="195"/>
      <c r="F18" s="195"/>
      <c r="G18" s="196"/>
      <c r="H18" s="54"/>
      <c r="I18" s="55"/>
      <c r="J18" s="55"/>
      <c r="K18" s="55"/>
      <c r="L18" s="55"/>
      <c r="M18" s="55"/>
      <c r="N18" s="55"/>
      <c r="O18" s="55"/>
    </row>
    <row r="19" spans="1:16" ht="13.8" thickBot="1" x14ac:dyDescent="0.3">
      <c r="A19" s="190"/>
      <c r="B19" s="197"/>
      <c r="C19" s="198"/>
      <c r="D19" s="198"/>
      <c r="E19" s="198"/>
      <c r="F19" s="198"/>
      <c r="G19" s="199"/>
      <c r="H19" s="59"/>
      <c r="I19" s="55"/>
      <c r="J19" s="55"/>
      <c r="K19" s="55"/>
      <c r="L19" s="55"/>
      <c r="M19" s="55"/>
      <c r="N19" s="55"/>
      <c r="O19" s="55"/>
    </row>
    <row r="20" spans="1:16" ht="13.8" thickBot="1" x14ac:dyDescent="0.3">
      <c r="A20" s="54"/>
      <c r="B20" s="54"/>
      <c r="C20" s="54"/>
      <c r="D20" s="54"/>
      <c r="E20" s="54"/>
      <c r="F20" s="54"/>
      <c r="G20" s="54"/>
      <c r="H20" s="59"/>
      <c r="I20" s="55"/>
      <c r="J20" s="55"/>
      <c r="K20" s="55"/>
      <c r="L20" s="55"/>
      <c r="M20" s="55"/>
      <c r="N20" s="55"/>
      <c r="O20" s="55"/>
    </row>
    <row r="21" spans="1:16" ht="12.75" customHeight="1" x14ac:dyDescent="0.25">
      <c r="A21" s="186" t="s">
        <v>150</v>
      </c>
      <c r="B21" s="187"/>
      <c r="C21" s="187"/>
      <c r="D21" s="187"/>
      <c r="E21" s="187"/>
      <c r="F21" s="187"/>
      <c r="G21" s="188"/>
      <c r="H21" s="186" t="s">
        <v>151</v>
      </c>
      <c r="I21" s="187"/>
      <c r="J21" s="187"/>
      <c r="K21" s="188"/>
      <c r="L21" s="186" t="s">
        <v>152</v>
      </c>
      <c r="M21" s="187"/>
      <c r="N21" s="187"/>
      <c r="O21" s="188"/>
      <c r="P21" s="81" t="s">
        <v>153</v>
      </c>
    </row>
    <row r="22" spans="1:16" ht="27.75" customHeight="1" x14ac:dyDescent="0.25">
      <c r="A22" s="82" t="s">
        <v>154</v>
      </c>
      <c r="B22" s="178" t="s">
        <v>196</v>
      </c>
      <c r="C22" s="179"/>
      <c r="D22" s="179"/>
      <c r="E22" s="179"/>
      <c r="F22" s="179"/>
      <c r="G22" s="180"/>
      <c r="H22" s="175" t="s">
        <v>166</v>
      </c>
      <c r="I22" s="175"/>
      <c r="J22" s="175"/>
      <c r="K22" s="175"/>
      <c r="L22" s="175" t="s">
        <v>166</v>
      </c>
      <c r="M22" s="175"/>
      <c r="N22" s="175"/>
      <c r="O22" s="175"/>
      <c r="P22" s="77" t="s">
        <v>145</v>
      </c>
    </row>
    <row r="23" spans="1:16" ht="29.25" customHeight="1" x14ac:dyDescent="0.25">
      <c r="A23" s="82" t="s">
        <v>155</v>
      </c>
      <c r="B23" s="178" t="s">
        <v>232</v>
      </c>
      <c r="C23" s="179"/>
      <c r="D23" s="179"/>
      <c r="E23" s="179"/>
      <c r="F23" s="179"/>
      <c r="G23" s="180"/>
      <c r="H23" s="175" t="s">
        <v>166</v>
      </c>
      <c r="I23" s="175"/>
      <c r="J23" s="175"/>
      <c r="K23" s="175"/>
      <c r="L23" s="175" t="s">
        <v>166</v>
      </c>
      <c r="M23" s="175"/>
      <c r="N23" s="175"/>
      <c r="O23" s="175"/>
      <c r="P23" s="77" t="s">
        <v>145</v>
      </c>
    </row>
    <row r="24" spans="1:16" ht="45" customHeight="1" x14ac:dyDescent="0.25">
      <c r="A24" s="82" t="s">
        <v>156</v>
      </c>
      <c r="B24" s="178" t="s">
        <v>261</v>
      </c>
      <c r="C24" s="179"/>
      <c r="D24" s="179"/>
      <c r="E24" s="179"/>
      <c r="F24" s="179"/>
      <c r="G24" s="180"/>
      <c r="H24" s="175" t="s">
        <v>166</v>
      </c>
      <c r="I24" s="175"/>
      <c r="J24" s="175"/>
      <c r="K24" s="175"/>
      <c r="L24" s="175" t="s">
        <v>166</v>
      </c>
      <c r="M24" s="175"/>
      <c r="N24" s="175"/>
      <c r="O24" s="175"/>
      <c r="P24" s="77" t="s">
        <v>145</v>
      </c>
    </row>
    <row r="25" spans="1:16" ht="39.75" customHeight="1" x14ac:dyDescent="0.25">
      <c r="A25" s="82" t="s">
        <v>157</v>
      </c>
      <c r="B25" s="178" t="s">
        <v>258</v>
      </c>
      <c r="C25" s="179"/>
      <c r="D25" s="179"/>
      <c r="E25" s="179"/>
      <c r="F25" s="179"/>
      <c r="G25" s="180"/>
      <c r="H25" s="175" t="s">
        <v>166</v>
      </c>
      <c r="I25" s="175"/>
      <c r="J25" s="175"/>
      <c r="K25" s="175"/>
      <c r="L25" s="175" t="s">
        <v>166</v>
      </c>
      <c r="M25" s="175"/>
      <c r="N25" s="175"/>
      <c r="O25" s="175"/>
      <c r="P25" s="77" t="s">
        <v>145</v>
      </c>
    </row>
    <row r="26" spans="1:16" ht="42.75" customHeight="1" x14ac:dyDescent="0.25">
      <c r="A26" s="97" t="s">
        <v>158</v>
      </c>
      <c r="B26" s="178" t="s">
        <v>259</v>
      </c>
      <c r="C26" s="179"/>
      <c r="D26" s="179"/>
      <c r="E26" s="179"/>
      <c r="F26" s="179"/>
      <c r="G26" s="180"/>
      <c r="H26" s="175" t="s">
        <v>166</v>
      </c>
      <c r="I26" s="175"/>
      <c r="J26" s="175"/>
      <c r="K26" s="175"/>
      <c r="L26" s="175" t="s">
        <v>166</v>
      </c>
      <c r="M26" s="175"/>
      <c r="N26" s="175"/>
      <c r="O26" s="175"/>
      <c r="P26" s="77" t="s">
        <v>145</v>
      </c>
    </row>
    <row r="27" spans="1:16" ht="38.25" customHeight="1" x14ac:dyDescent="0.25">
      <c r="A27" s="97" t="s">
        <v>159</v>
      </c>
      <c r="B27" s="178" t="s">
        <v>260</v>
      </c>
      <c r="C27" s="179"/>
      <c r="D27" s="179"/>
      <c r="E27" s="179"/>
      <c r="F27" s="179"/>
      <c r="G27" s="180"/>
      <c r="H27" s="175" t="s">
        <v>166</v>
      </c>
      <c r="I27" s="175"/>
      <c r="J27" s="175"/>
      <c r="K27" s="175"/>
      <c r="L27" s="175" t="s">
        <v>166</v>
      </c>
      <c r="M27" s="175"/>
      <c r="N27" s="175"/>
      <c r="O27" s="175"/>
      <c r="P27" s="77" t="s">
        <v>145</v>
      </c>
    </row>
    <row r="28" spans="1:16" ht="40.5" customHeight="1" x14ac:dyDescent="0.25">
      <c r="A28" s="97" t="s">
        <v>162</v>
      </c>
      <c r="B28" s="178" t="s">
        <v>274</v>
      </c>
      <c r="C28" s="179"/>
      <c r="D28" s="179"/>
      <c r="E28" s="179"/>
      <c r="F28" s="179"/>
      <c r="G28" s="180"/>
      <c r="H28" s="175" t="s">
        <v>275</v>
      </c>
      <c r="I28" s="175"/>
      <c r="J28" s="175"/>
      <c r="K28" s="175"/>
      <c r="L28" s="175" t="s">
        <v>276</v>
      </c>
      <c r="M28" s="175"/>
      <c r="N28" s="175"/>
      <c r="O28" s="175"/>
      <c r="P28" s="77" t="s">
        <v>180</v>
      </c>
    </row>
    <row r="29" spans="1:16" ht="40.5" customHeight="1" x14ac:dyDescent="0.25">
      <c r="A29" s="97" t="s">
        <v>163</v>
      </c>
      <c r="B29" s="178" t="s">
        <v>277</v>
      </c>
      <c r="C29" s="179"/>
      <c r="D29" s="179"/>
      <c r="E29" s="179"/>
      <c r="F29" s="179"/>
      <c r="G29" s="180"/>
      <c r="H29" s="175" t="s">
        <v>278</v>
      </c>
      <c r="I29" s="175"/>
      <c r="J29" s="175"/>
      <c r="K29" s="175"/>
      <c r="L29" s="175" t="s">
        <v>279</v>
      </c>
      <c r="M29" s="175"/>
      <c r="N29" s="175"/>
      <c r="O29" s="175"/>
      <c r="P29" s="77" t="s">
        <v>180</v>
      </c>
    </row>
    <row r="30" spans="1:16" ht="40.5" customHeight="1" x14ac:dyDescent="0.25">
      <c r="A30" s="97" t="s">
        <v>164</v>
      </c>
      <c r="B30" s="178" t="s">
        <v>285</v>
      </c>
      <c r="C30" s="179"/>
      <c r="D30" s="179"/>
      <c r="E30" s="179"/>
      <c r="F30" s="179"/>
      <c r="G30" s="180"/>
      <c r="H30" s="175" t="s">
        <v>286</v>
      </c>
      <c r="I30" s="175"/>
      <c r="J30" s="175"/>
      <c r="K30" s="175"/>
      <c r="L30" s="175" t="s">
        <v>287</v>
      </c>
      <c r="M30" s="175"/>
      <c r="N30" s="175"/>
      <c r="O30" s="175"/>
      <c r="P30" s="77" t="s">
        <v>180</v>
      </c>
    </row>
    <row r="31" spans="1:16" ht="40.5" customHeight="1" x14ac:dyDescent="0.25">
      <c r="A31" s="97" t="s">
        <v>165</v>
      </c>
      <c r="B31" s="178" t="s">
        <v>288</v>
      </c>
      <c r="C31" s="179"/>
      <c r="D31" s="179"/>
      <c r="E31" s="179"/>
      <c r="F31" s="179"/>
      <c r="G31" s="180"/>
      <c r="H31" s="175" t="s">
        <v>289</v>
      </c>
      <c r="I31" s="175"/>
      <c r="J31" s="175"/>
      <c r="K31" s="175"/>
      <c r="L31" s="175" t="s">
        <v>290</v>
      </c>
      <c r="M31" s="175"/>
      <c r="N31" s="175"/>
      <c r="O31" s="175"/>
      <c r="P31" s="77" t="s">
        <v>180</v>
      </c>
    </row>
    <row r="32" spans="1:16" ht="40.5" customHeight="1" x14ac:dyDescent="0.25">
      <c r="A32" s="97" t="s">
        <v>167</v>
      </c>
      <c r="B32" s="178" t="s">
        <v>291</v>
      </c>
      <c r="C32" s="179"/>
      <c r="D32" s="179"/>
      <c r="E32" s="179"/>
      <c r="F32" s="179"/>
      <c r="G32" s="180"/>
      <c r="H32" s="175" t="s">
        <v>292</v>
      </c>
      <c r="I32" s="175"/>
      <c r="J32" s="175"/>
      <c r="K32" s="175"/>
      <c r="L32" s="175" t="s">
        <v>293</v>
      </c>
      <c r="M32" s="175"/>
      <c r="N32" s="175"/>
      <c r="O32" s="175"/>
      <c r="P32" s="77" t="s">
        <v>180</v>
      </c>
    </row>
  </sheetData>
  <mergeCells count="43">
    <mergeCell ref="B27:G27"/>
    <mergeCell ref="H27:K27"/>
    <mergeCell ref="L27:O27"/>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 ref="B29:G29"/>
    <mergeCell ref="H29:K29"/>
    <mergeCell ref="L29:O29"/>
    <mergeCell ref="B30:G30"/>
    <mergeCell ref="H30:K30"/>
    <mergeCell ref="L30:O30"/>
    <mergeCell ref="B31:G31"/>
    <mergeCell ref="H31:K31"/>
    <mergeCell ref="L31:O31"/>
    <mergeCell ref="B32:G32"/>
    <mergeCell ref="H32:K32"/>
    <mergeCell ref="L32:O32"/>
  </mergeCells>
  <phoneticPr fontId="42" type="noConversion"/>
  <conditionalFormatting sqref="B9:B10">
    <cfRule type="cellIs" dxfId="247" priority="23" operator="equal">
      <formula>"Nok"</formula>
    </cfRule>
    <cfRule type="cellIs" dxfId="246" priority="24" operator="equal">
      <formula>"Ok"</formula>
    </cfRule>
  </conditionalFormatting>
  <conditionalFormatting sqref="P22">
    <cfRule type="cellIs" dxfId="245" priority="21" operator="equal">
      <formula>"Nok"</formula>
    </cfRule>
    <cfRule type="cellIs" dxfId="244" priority="22" operator="equal">
      <formula>"Ok"</formula>
    </cfRule>
  </conditionalFormatting>
  <conditionalFormatting sqref="P23">
    <cfRule type="cellIs" dxfId="243" priority="19" operator="equal">
      <formula>"Nok"</formula>
    </cfRule>
    <cfRule type="cellIs" dxfId="242" priority="20" operator="equal">
      <formula>"Ok"</formula>
    </cfRule>
  </conditionalFormatting>
  <conditionalFormatting sqref="P24">
    <cfRule type="cellIs" dxfId="241" priority="17" operator="equal">
      <formula>"Nok"</formula>
    </cfRule>
    <cfRule type="cellIs" dxfId="240" priority="18" operator="equal">
      <formula>"Ok"</formula>
    </cfRule>
  </conditionalFormatting>
  <conditionalFormatting sqref="P25:P27">
    <cfRule type="cellIs" dxfId="239" priority="15" operator="equal">
      <formula>"Nok"</formula>
    </cfRule>
    <cfRule type="cellIs" dxfId="238" priority="16" operator="equal">
      <formula>"Ok"</formula>
    </cfRule>
  </conditionalFormatting>
  <conditionalFormatting sqref="P28">
    <cfRule type="cellIs" dxfId="237" priority="9" operator="equal">
      <formula>"Nok"</formula>
    </cfRule>
    <cfRule type="cellIs" dxfId="236" priority="10" operator="equal">
      <formula>"Ok"</formula>
    </cfRule>
  </conditionalFormatting>
  <conditionalFormatting sqref="P29">
    <cfRule type="cellIs" dxfId="235" priority="7" operator="equal">
      <formula>"Nok"</formula>
    </cfRule>
    <cfRule type="cellIs" dxfId="234" priority="8" operator="equal">
      <formula>"Ok"</formula>
    </cfRule>
  </conditionalFormatting>
  <conditionalFormatting sqref="P30">
    <cfRule type="cellIs" dxfId="233" priority="5" operator="equal">
      <formula>"Nok"</formula>
    </cfRule>
    <cfRule type="cellIs" dxfId="232" priority="6" operator="equal">
      <formula>"Ok"</formula>
    </cfRule>
  </conditionalFormatting>
  <conditionalFormatting sqref="P31">
    <cfRule type="cellIs" dxfId="231" priority="3" operator="equal">
      <formula>"Nok"</formula>
    </cfRule>
    <cfRule type="cellIs" dxfId="230" priority="4" operator="equal">
      <formula>"Ok"</formula>
    </cfRule>
  </conditionalFormatting>
  <conditionalFormatting sqref="P32">
    <cfRule type="cellIs" dxfId="229" priority="1" operator="equal">
      <formula>"Nok"</formula>
    </cfRule>
    <cfRule type="cellIs" dxfId="228" priority="2" operator="equal">
      <formula>"Ok"</formula>
    </cfRule>
  </conditionalFormatting>
  <dataValidations count="3">
    <dataValidation type="list" allowBlank="1" showInputMessage="1" showErrorMessage="1" sqref="P22:P32" xr:uid="{78C20B9F-B132-4BA9-A532-3C2A3505C7F6}">
      <formula1>"Ok, Nok, Not run, ,"</formula1>
    </dataValidation>
    <dataValidation type="list" allowBlank="1" showInputMessage="1" showErrorMessage="1" sqref="B5" xr:uid="{A543B89D-87E5-4EB7-9565-480DB3EFF754}">
      <formula1>"Nominal, Robustness, Endurance, Qualification"</formula1>
    </dataValidation>
    <dataValidation type="list" allowBlank="1" showInputMessage="1" showErrorMessage="1" sqref="B9" xr:uid="{8360EFD0-CE29-4DC2-AAA3-1F9523F03516}">
      <formula1>"Ok, Nok, Not run, NA"</formula1>
    </dataValidation>
  </dataValidations>
  <pageMargins left="0.7" right="0.7" top="0.75" bottom="0.75" header="0.3" footer="0.3"/>
  <pageSetup paperSize="9" orientation="portrait" r:id="rId1"/>
  <headerFooter>
    <oddFooter>&amp;LTBD ver 1.7&amp;R&amp;P</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F50808-301D-486A-A549-93A503BAEE84}">
  <sheetPr codeName="Sheet31"/>
  <dimension ref="A1:P31"/>
  <sheetViews>
    <sheetView zoomScaleNormal="100" workbookViewId="0">
      <selection activeCell="E20" sqref="E20"/>
    </sheetView>
  </sheetViews>
  <sheetFormatPr defaultColWidth="9.109375" defaultRowHeight="13.2" x14ac:dyDescent="0.25"/>
  <cols>
    <col min="1" max="1" width="20.109375" style="78" customWidth="1"/>
    <col min="2" max="2" width="18.44140625" style="75" customWidth="1"/>
    <col min="3" max="6" width="9.109375" style="75"/>
    <col min="7" max="7" width="48.88671875" style="75" customWidth="1"/>
    <col min="8" max="10" width="9.5546875" style="75" customWidth="1"/>
    <col min="11" max="11" width="20.5546875" style="75" customWidth="1"/>
    <col min="12" max="14" width="9.5546875" style="75" customWidth="1"/>
    <col min="15" max="15" width="40" style="75" customWidth="1"/>
    <col min="16" max="16384" width="9.109375" style="75"/>
  </cols>
  <sheetData>
    <row r="1" spans="1:15" ht="13.8" thickBot="1" x14ac:dyDescent="0.3">
      <c r="A1" s="79" t="s">
        <v>139</v>
      </c>
      <c r="B1" s="200" t="s">
        <v>315</v>
      </c>
      <c r="C1" s="201"/>
      <c r="D1" s="201"/>
      <c r="E1" s="201"/>
      <c r="F1" s="201"/>
      <c r="G1" s="202"/>
      <c r="H1" s="55"/>
      <c r="I1" s="55"/>
      <c r="J1" s="55"/>
      <c r="K1" s="55"/>
      <c r="L1" s="55"/>
      <c r="M1" s="55"/>
      <c r="N1" s="55"/>
      <c r="O1" s="55"/>
    </row>
    <row r="2" spans="1:15" ht="13.8" thickBot="1" x14ac:dyDescent="0.3">
      <c r="A2" s="54"/>
      <c r="B2" s="55"/>
      <c r="C2" s="55"/>
      <c r="D2" s="55"/>
      <c r="E2" s="55"/>
      <c r="F2" s="55"/>
      <c r="G2" s="55"/>
      <c r="H2" s="55"/>
      <c r="I2" s="55"/>
      <c r="J2" s="55"/>
      <c r="K2" s="55"/>
      <c r="L2" s="55"/>
      <c r="M2" s="55"/>
      <c r="N2" s="55"/>
      <c r="O2" s="55"/>
    </row>
    <row r="3" spans="1:15" ht="27" thickBot="1" x14ac:dyDescent="0.3">
      <c r="A3" s="80" t="s">
        <v>140</v>
      </c>
      <c r="B3" s="222" t="s">
        <v>340</v>
      </c>
      <c r="C3" s="223"/>
      <c r="D3" s="223"/>
      <c r="E3" s="223"/>
      <c r="F3" s="223"/>
      <c r="G3" s="224"/>
      <c r="H3" s="55"/>
      <c r="I3" s="55"/>
      <c r="J3" s="55"/>
      <c r="K3" s="55"/>
      <c r="L3" s="55"/>
      <c r="M3" s="55"/>
      <c r="N3" s="55"/>
      <c r="O3" s="55"/>
    </row>
    <row r="4" spans="1:15" ht="13.8" thickBot="1" x14ac:dyDescent="0.3">
      <c r="A4" s="54"/>
      <c r="B4" s="55"/>
      <c r="C4" s="55"/>
      <c r="D4" s="55"/>
      <c r="E4" s="55"/>
      <c r="F4" s="55"/>
      <c r="G4" s="55"/>
      <c r="H4" s="55"/>
      <c r="I4" s="55"/>
      <c r="J4" s="55"/>
      <c r="K4" s="55"/>
      <c r="L4" s="55"/>
      <c r="M4" s="55"/>
      <c r="N4" s="55"/>
      <c r="O4" s="55"/>
    </row>
    <row r="5" spans="1:15" ht="13.8" thickBot="1" x14ac:dyDescent="0.3">
      <c r="A5" s="79" t="s">
        <v>141</v>
      </c>
      <c r="B5" s="58" t="s">
        <v>142</v>
      </c>
      <c r="C5" s="55"/>
      <c r="D5" s="55"/>
      <c r="E5" s="55"/>
      <c r="F5" s="55"/>
      <c r="G5" s="55"/>
      <c r="H5" s="55"/>
      <c r="I5" s="55"/>
      <c r="J5" s="55"/>
      <c r="K5" s="55"/>
      <c r="L5" s="55"/>
      <c r="M5" s="55"/>
      <c r="N5" s="55"/>
      <c r="O5" s="55"/>
    </row>
    <row r="6" spans="1:15" ht="13.8" thickBot="1" x14ac:dyDescent="0.3">
      <c r="A6" s="54"/>
      <c r="B6" s="55"/>
      <c r="C6" s="55"/>
      <c r="D6" s="55"/>
      <c r="E6" s="55"/>
      <c r="F6" s="55"/>
      <c r="G6" s="55"/>
      <c r="H6" s="55"/>
      <c r="I6" s="55"/>
      <c r="J6" s="55"/>
      <c r="K6" s="55"/>
      <c r="L6" s="55"/>
      <c r="M6" s="55"/>
      <c r="N6" s="55"/>
      <c r="O6" s="55"/>
    </row>
    <row r="7" spans="1:15" ht="13.8" thickBot="1" x14ac:dyDescent="0.3">
      <c r="A7" s="79" t="s">
        <v>143</v>
      </c>
      <c r="B7" s="213" t="s">
        <v>255</v>
      </c>
      <c r="C7" s="214"/>
      <c r="D7" s="214"/>
      <c r="E7" s="214"/>
      <c r="F7" s="214"/>
      <c r="G7" s="215"/>
      <c r="H7" s="55"/>
      <c r="I7" s="55"/>
      <c r="J7" s="55"/>
      <c r="K7" s="55"/>
      <c r="L7" s="55"/>
      <c r="M7" s="55"/>
      <c r="N7" s="55"/>
      <c r="O7" s="55"/>
    </row>
    <row r="8" spans="1:15" ht="13.8" thickBot="1" x14ac:dyDescent="0.3">
      <c r="A8" s="57"/>
      <c r="B8" s="56"/>
      <c r="C8" s="56"/>
      <c r="D8" s="56"/>
      <c r="E8" s="56"/>
      <c r="F8" s="56"/>
      <c r="G8" s="56"/>
      <c r="H8" s="55"/>
      <c r="I8" s="55"/>
      <c r="J8" s="55"/>
      <c r="K8" s="55"/>
      <c r="L8" s="55"/>
      <c r="M8" s="55"/>
      <c r="N8" s="55"/>
      <c r="O8" s="55"/>
    </row>
    <row r="9" spans="1:15" ht="13.8" thickBot="1" x14ac:dyDescent="0.3">
      <c r="A9" s="79" t="s">
        <v>144</v>
      </c>
      <c r="B9" s="84" t="s">
        <v>145</v>
      </c>
      <c r="C9" s="55"/>
      <c r="D9" s="55"/>
      <c r="E9" s="55"/>
      <c r="F9" s="55"/>
      <c r="G9" s="55"/>
      <c r="H9" s="55"/>
      <c r="I9" s="55"/>
      <c r="J9" s="55"/>
      <c r="K9" s="55"/>
      <c r="L9" s="55"/>
      <c r="M9" s="55"/>
      <c r="N9" s="55"/>
      <c r="O9" s="55"/>
    </row>
    <row r="10" spans="1:15" ht="13.8" thickBot="1" x14ac:dyDescent="0.3">
      <c r="A10" s="57"/>
      <c r="B10" s="76"/>
      <c r="C10" s="55"/>
      <c r="D10" s="55"/>
      <c r="E10" s="55"/>
      <c r="F10" s="55"/>
      <c r="G10" s="55"/>
      <c r="H10" s="55"/>
      <c r="I10" s="55"/>
      <c r="J10" s="55"/>
      <c r="K10" s="55"/>
      <c r="L10" s="55"/>
      <c r="M10" s="55"/>
      <c r="N10" s="55"/>
      <c r="O10" s="55"/>
    </row>
    <row r="11" spans="1:15" ht="12" customHeight="1" x14ac:dyDescent="0.25">
      <c r="A11" s="189" t="s">
        <v>146</v>
      </c>
      <c r="B11" s="191" t="s">
        <v>147</v>
      </c>
      <c r="C11" s="192"/>
      <c r="D11" s="192"/>
      <c r="E11" s="192"/>
      <c r="F11" s="192"/>
      <c r="G11" s="193"/>
      <c r="H11" s="55"/>
      <c r="I11" s="55"/>
      <c r="J11" s="55"/>
      <c r="K11" s="55"/>
      <c r="L11" s="55"/>
      <c r="M11" s="55"/>
      <c r="N11" s="55"/>
      <c r="O11" s="55"/>
    </row>
    <row r="12" spans="1:15" x14ac:dyDescent="0.25">
      <c r="A12" s="190"/>
      <c r="B12" s="194"/>
      <c r="C12" s="195"/>
      <c r="D12" s="195"/>
      <c r="E12" s="195"/>
      <c r="F12" s="195"/>
      <c r="G12" s="196"/>
      <c r="H12" s="55"/>
      <c r="I12" s="55"/>
      <c r="J12" s="55"/>
      <c r="K12" s="55"/>
      <c r="L12" s="55"/>
      <c r="M12" s="55"/>
      <c r="N12" s="55"/>
      <c r="O12" s="55"/>
    </row>
    <row r="13" spans="1:15" x14ac:dyDescent="0.25">
      <c r="A13" s="190"/>
      <c r="B13" s="194"/>
      <c r="C13" s="195"/>
      <c r="D13" s="195"/>
      <c r="E13" s="195"/>
      <c r="F13" s="195"/>
      <c r="G13" s="196"/>
      <c r="H13" s="54"/>
      <c r="I13" s="55"/>
      <c r="J13" s="55"/>
      <c r="K13" s="55"/>
      <c r="L13" s="55"/>
      <c r="M13" s="55"/>
      <c r="N13" s="55"/>
      <c r="O13" s="55"/>
    </row>
    <row r="14" spans="1:15" ht="13.8" thickBot="1" x14ac:dyDescent="0.3">
      <c r="A14" s="190"/>
      <c r="B14" s="197"/>
      <c r="C14" s="198"/>
      <c r="D14" s="198"/>
      <c r="E14" s="198"/>
      <c r="F14" s="198"/>
      <c r="G14" s="199"/>
      <c r="H14" s="59"/>
      <c r="I14" s="55"/>
      <c r="J14" s="55"/>
      <c r="K14" s="55"/>
      <c r="L14" s="55"/>
      <c r="M14" s="55"/>
      <c r="N14" s="55"/>
      <c r="O14" s="55"/>
    </row>
    <row r="15" spans="1:15" ht="13.8" thickBot="1" x14ac:dyDescent="0.3">
      <c r="A15" s="54"/>
      <c r="B15" s="54"/>
      <c r="C15" s="54"/>
      <c r="D15" s="54"/>
      <c r="E15" s="54"/>
      <c r="F15" s="54"/>
      <c r="G15" s="54"/>
      <c r="H15" s="59"/>
      <c r="I15" s="55"/>
      <c r="J15" s="55"/>
      <c r="K15" s="55"/>
      <c r="L15" s="55"/>
      <c r="M15" s="55"/>
      <c r="N15" s="55"/>
      <c r="O15" s="55"/>
    </row>
    <row r="16" spans="1:15" x14ac:dyDescent="0.25">
      <c r="A16" s="189" t="s">
        <v>148</v>
      </c>
      <c r="B16" s="191" t="s">
        <v>149</v>
      </c>
      <c r="C16" s="192"/>
      <c r="D16" s="192"/>
      <c r="E16" s="192"/>
      <c r="F16" s="192"/>
      <c r="G16" s="193"/>
      <c r="H16" s="55"/>
      <c r="I16" s="55"/>
      <c r="J16" s="55"/>
      <c r="K16" s="55"/>
      <c r="L16" s="55"/>
      <c r="M16" s="55"/>
      <c r="N16" s="55"/>
      <c r="O16" s="55"/>
    </row>
    <row r="17" spans="1:16" x14ac:dyDescent="0.25">
      <c r="A17" s="190"/>
      <c r="B17" s="194"/>
      <c r="C17" s="195"/>
      <c r="D17" s="195"/>
      <c r="E17" s="195"/>
      <c r="F17" s="195"/>
      <c r="G17" s="196"/>
      <c r="H17" s="55"/>
      <c r="I17" s="55"/>
      <c r="J17" s="55"/>
      <c r="K17" s="55"/>
      <c r="L17" s="55"/>
      <c r="M17" s="55"/>
      <c r="N17" s="55"/>
      <c r="O17" s="55"/>
    </row>
    <row r="18" spans="1:16" x14ac:dyDescent="0.25">
      <c r="A18" s="190"/>
      <c r="B18" s="194"/>
      <c r="C18" s="195"/>
      <c r="D18" s="195"/>
      <c r="E18" s="195"/>
      <c r="F18" s="195"/>
      <c r="G18" s="196"/>
      <c r="H18" s="54"/>
      <c r="I18" s="55"/>
      <c r="J18" s="55"/>
      <c r="K18" s="55"/>
      <c r="L18" s="55"/>
      <c r="M18" s="55"/>
      <c r="N18" s="55"/>
      <c r="O18" s="55"/>
    </row>
    <row r="19" spans="1:16" ht="13.8" thickBot="1" x14ac:dyDescent="0.3">
      <c r="A19" s="190"/>
      <c r="B19" s="197"/>
      <c r="C19" s="198"/>
      <c r="D19" s="198"/>
      <c r="E19" s="198"/>
      <c r="F19" s="198"/>
      <c r="G19" s="199"/>
      <c r="H19" s="59"/>
      <c r="I19" s="55"/>
      <c r="J19" s="55"/>
      <c r="K19" s="55"/>
      <c r="L19" s="55"/>
      <c r="M19" s="55"/>
      <c r="N19" s="55"/>
      <c r="O19" s="55"/>
    </row>
    <row r="20" spans="1:16" ht="13.8" thickBot="1" x14ac:dyDescent="0.3">
      <c r="A20" s="54"/>
      <c r="B20" s="54"/>
      <c r="C20" s="54"/>
      <c r="D20" s="54"/>
      <c r="E20" s="54"/>
      <c r="F20" s="54"/>
      <c r="G20" s="54"/>
      <c r="H20" s="59"/>
      <c r="I20" s="55"/>
      <c r="J20" s="55"/>
      <c r="K20" s="55"/>
      <c r="L20" s="55"/>
      <c r="M20" s="55"/>
      <c r="N20" s="55"/>
      <c r="O20" s="55"/>
    </row>
    <row r="21" spans="1:16" ht="12.75" customHeight="1" x14ac:dyDescent="0.25">
      <c r="A21" s="186" t="s">
        <v>150</v>
      </c>
      <c r="B21" s="187"/>
      <c r="C21" s="187"/>
      <c r="D21" s="187"/>
      <c r="E21" s="187"/>
      <c r="F21" s="187"/>
      <c r="G21" s="188"/>
      <c r="H21" s="186" t="s">
        <v>151</v>
      </c>
      <c r="I21" s="187"/>
      <c r="J21" s="187"/>
      <c r="K21" s="188"/>
      <c r="L21" s="186" t="s">
        <v>152</v>
      </c>
      <c r="M21" s="187"/>
      <c r="N21" s="187"/>
      <c r="O21" s="188"/>
      <c r="P21" s="81" t="s">
        <v>153</v>
      </c>
    </row>
    <row r="22" spans="1:16" ht="30" customHeight="1" x14ac:dyDescent="0.25">
      <c r="A22" s="82" t="s">
        <v>154</v>
      </c>
      <c r="B22" s="178" t="s">
        <v>196</v>
      </c>
      <c r="C22" s="179"/>
      <c r="D22" s="179"/>
      <c r="E22" s="179"/>
      <c r="F22" s="179"/>
      <c r="G22" s="180"/>
      <c r="H22" s="175" t="s">
        <v>166</v>
      </c>
      <c r="I22" s="175"/>
      <c r="J22" s="175"/>
      <c r="K22" s="175"/>
      <c r="L22" s="175" t="s">
        <v>166</v>
      </c>
      <c r="M22" s="175"/>
      <c r="N22" s="175"/>
      <c r="O22" s="175"/>
      <c r="P22" s="77" t="s">
        <v>145</v>
      </c>
    </row>
    <row r="23" spans="1:16" ht="30.75" customHeight="1" x14ac:dyDescent="0.25">
      <c r="A23" s="82" t="s">
        <v>155</v>
      </c>
      <c r="B23" s="178" t="s">
        <v>232</v>
      </c>
      <c r="C23" s="179"/>
      <c r="D23" s="179"/>
      <c r="E23" s="179"/>
      <c r="F23" s="179"/>
      <c r="G23" s="180"/>
      <c r="H23" s="175" t="s">
        <v>166</v>
      </c>
      <c r="I23" s="175"/>
      <c r="J23" s="175"/>
      <c r="K23" s="175"/>
      <c r="L23" s="175" t="s">
        <v>166</v>
      </c>
      <c r="M23" s="175"/>
      <c r="N23" s="175"/>
      <c r="O23" s="175"/>
      <c r="P23" s="77" t="s">
        <v>145</v>
      </c>
    </row>
    <row r="24" spans="1:16" ht="40.5" customHeight="1" x14ac:dyDescent="0.25">
      <c r="A24" s="82" t="s">
        <v>156</v>
      </c>
      <c r="B24" s="178" t="s">
        <v>269</v>
      </c>
      <c r="C24" s="179"/>
      <c r="D24" s="179"/>
      <c r="E24" s="179"/>
      <c r="F24" s="179"/>
      <c r="G24" s="180"/>
      <c r="H24" s="175" t="s">
        <v>166</v>
      </c>
      <c r="I24" s="175"/>
      <c r="J24" s="175"/>
      <c r="K24" s="175"/>
      <c r="L24" s="175" t="s">
        <v>166</v>
      </c>
      <c r="M24" s="175"/>
      <c r="N24" s="175"/>
      <c r="O24" s="175"/>
      <c r="P24" s="77" t="s">
        <v>145</v>
      </c>
    </row>
    <row r="25" spans="1:16" ht="43.5" customHeight="1" x14ac:dyDescent="0.25">
      <c r="A25" s="82" t="s">
        <v>157</v>
      </c>
      <c r="B25" s="178" t="s">
        <v>262</v>
      </c>
      <c r="C25" s="179"/>
      <c r="D25" s="179"/>
      <c r="E25" s="179"/>
      <c r="F25" s="179"/>
      <c r="G25" s="180"/>
      <c r="H25" s="175" t="s">
        <v>166</v>
      </c>
      <c r="I25" s="175"/>
      <c r="J25" s="175"/>
      <c r="K25" s="175"/>
      <c r="L25" s="175" t="s">
        <v>166</v>
      </c>
      <c r="M25" s="175"/>
      <c r="N25" s="175"/>
      <c r="O25" s="175"/>
      <c r="P25" s="77" t="s">
        <v>145</v>
      </c>
    </row>
    <row r="26" spans="1:16" ht="41.25" customHeight="1" thickBot="1" x14ac:dyDescent="0.3">
      <c r="A26" s="83" t="s">
        <v>158</v>
      </c>
      <c r="B26" s="178" t="s">
        <v>263</v>
      </c>
      <c r="C26" s="179"/>
      <c r="D26" s="179"/>
      <c r="E26" s="179"/>
      <c r="F26" s="179"/>
      <c r="G26" s="180"/>
      <c r="H26" s="175" t="s">
        <v>166</v>
      </c>
      <c r="I26" s="175"/>
      <c r="J26" s="175"/>
      <c r="K26" s="175"/>
      <c r="L26" s="175" t="s">
        <v>166</v>
      </c>
      <c r="M26" s="175"/>
      <c r="N26" s="175"/>
      <c r="O26" s="175"/>
      <c r="P26" s="77" t="s">
        <v>145</v>
      </c>
    </row>
    <row r="27" spans="1:16" ht="43.5" customHeight="1" thickBot="1" x14ac:dyDescent="0.3">
      <c r="A27" s="83" t="s">
        <v>159</v>
      </c>
      <c r="B27" s="178" t="s">
        <v>264</v>
      </c>
      <c r="C27" s="179"/>
      <c r="D27" s="179"/>
      <c r="E27" s="179"/>
      <c r="F27" s="179"/>
      <c r="G27" s="180"/>
      <c r="H27" s="175" t="s">
        <v>166</v>
      </c>
      <c r="I27" s="175"/>
      <c r="J27" s="175"/>
      <c r="K27" s="175"/>
      <c r="L27" s="175" t="s">
        <v>166</v>
      </c>
      <c r="M27" s="175"/>
      <c r="N27" s="175"/>
      <c r="O27" s="175"/>
      <c r="P27" s="77" t="s">
        <v>145</v>
      </c>
    </row>
    <row r="28" spans="1:16" ht="42.75" customHeight="1" thickBot="1" x14ac:dyDescent="0.3">
      <c r="A28" s="83" t="s">
        <v>162</v>
      </c>
      <c r="B28" s="178" t="s">
        <v>265</v>
      </c>
      <c r="C28" s="179"/>
      <c r="D28" s="179"/>
      <c r="E28" s="179"/>
      <c r="F28" s="179"/>
      <c r="G28" s="180"/>
      <c r="H28" s="175" t="s">
        <v>166</v>
      </c>
      <c r="I28" s="175"/>
      <c r="J28" s="175"/>
      <c r="K28" s="175"/>
      <c r="L28" s="175" t="s">
        <v>166</v>
      </c>
      <c r="M28" s="175"/>
      <c r="N28" s="175"/>
      <c r="O28" s="175"/>
      <c r="P28" s="77" t="s">
        <v>145</v>
      </c>
    </row>
    <row r="29" spans="1:16" ht="45" customHeight="1" thickBot="1" x14ac:dyDescent="0.3">
      <c r="A29" s="83" t="s">
        <v>163</v>
      </c>
      <c r="B29" s="178" t="s">
        <v>266</v>
      </c>
      <c r="C29" s="179"/>
      <c r="D29" s="179"/>
      <c r="E29" s="179"/>
      <c r="F29" s="179"/>
      <c r="G29" s="180"/>
      <c r="H29" s="175" t="s">
        <v>166</v>
      </c>
      <c r="I29" s="175"/>
      <c r="J29" s="175"/>
      <c r="K29" s="175"/>
      <c r="L29" s="175" t="s">
        <v>166</v>
      </c>
      <c r="M29" s="175"/>
      <c r="N29" s="175"/>
      <c r="O29" s="175"/>
      <c r="P29" s="77" t="s">
        <v>145</v>
      </c>
    </row>
    <row r="30" spans="1:16" ht="41.25" customHeight="1" thickBot="1" x14ac:dyDescent="0.3">
      <c r="A30" s="83" t="s">
        <v>164</v>
      </c>
      <c r="B30" s="178" t="s">
        <v>267</v>
      </c>
      <c r="C30" s="179"/>
      <c r="D30" s="179"/>
      <c r="E30" s="179"/>
      <c r="F30" s="179"/>
      <c r="G30" s="180"/>
      <c r="H30" s="175" t="s">
        <v>166</v>
      </c>
      <c r="I30" s="175"/>
      <c r="J30" s="175"/>
      <c r="K30" s="175"/>
      <c r="L30" s="175" t="s">
        <v>166</v>
      </c>
      <c r="M30" s="175"/>
      <c r="N30" s="175"/>
      <c r="O30" s="175"/>
      <c r="P30" s="77" t="s">
        <v>145</v>
      </c>
    </row>
    <row r="31" spans="1:16" ht="40.5" customHeight="1" thickBot="1" x14ac:dyDescent="0.3">
      <c r="A31" s="83" t="s">
        <v>165</v>
      </c>
      <c r="B31" s="178" t="s">
        <v>268</v>
      </c>
      <c r="C31" s="179"/>
      <c r="D31" s="179"/>
      <c r="E31" s="179"/>
      <c r="F31" s="179"/>
      <c r="G31" s="180"/>
      <c r="H31" s="175" t="s">
        <v>166</v>
      </c>
      <c r="I31" s="175"/>
      <c r="J31" s="175"/>
      <c r="K31" s="175"/>
      <c r="L31" s="175" t="s">
        <v>166</v>
      </c>
      <c r="M31" s="175"/>
      <c r="N31" s="175"/>
      <c r="O31" s="175"/>
      <c r="P31" s="77" t="s">
        <v>145</v>
      </c>
    </row>
  </sheetData>
  <mergeCells count="40">
    <mergeCell ref="B31:G31"/>
    <mergeCell ref="H31:K31"/>
    <mergeCell ref="L31:O31"/>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phoneticPr fontId="42" type="noConversion"/>
  <conditionalFormatting sqref="B9:B10">
    <cfRule type="cellIs" dxfId="227" priority="23" operator="equal">
      <formula>"Nok"</formula>
    </cfRule>
    <cfRule type="cellIs" dxfId="226" priority="24" operator="equal">
      <formula>"Ok"</formula>
    </cfRule>
  </conditionalFormatting>
  <conditionalFormatting sqref="P22">
    <cfRule type="cellIs" dxfId="225" priority="21" operator="equal">
      <formula>"Nok"</formula>
    </cfRule>
    <cfRule type="cellIs" dxfId="224" priority="22" operator="equal">
      <formula>"Ok"</formula>
    </cfRule>
  </conditionalFormatting>
  <conditionalFormatting sqref="P23">
    <cfRule type="cellIs" dxfId="223" priority="19" operator="equal">
      <formula>"Nok"</formula>
    </cfRule>
    <cfRule type="cellIs" dxfId="222" priority="20" operator="equal">
      <formula>"Ok"</formula>
    </cfRule>
  </conditionalFormatting>
  <conditionalFormatting sqref="P24:P31">
    <cfRule type="cellIs" dxfId="221" priority="17" operator="equal">
      <formula>"Nok"</formula>
    </cfRule>
    <cfRule type="cellIs" dxfId="220" priority="18" operator="equal">
      <formula>"Ok"</formula>
    </cfRule>
  </conditionalFormatting>
  <dataValidations count="3">
    <dataValidation type="list" allowBlank="1" showInputMessage="1" showErrorMessage="1" sqref="B5" xr:uid="{EA4C1670-E1EC-4A9A-A2BF-FD429C0DFEEC}">
      <formula1>"Nominal, Robustness, Endurance, Qualification"</formula1>
    </dataValidation>
    <dataValidation type="list" allowBlank="1" showInputMessage="1" showErrorMessage="1" sqref="B9" xr:uid="{1E6BF528-833F-47D1-ACA4-47857BB17793}">
      <formula1>"Ok, Nok, Not run, NA"</formula1>
    </dataValidation>
    <dataValidation type="list" allowBlank="1" showInputMessage="1" showErrorMessage="1" sqref="P22:P31" xr:uid="{74294CEA-3185-4657-8DED-70FD8935287C}">
      <formula1>"Ok, Nok, Not run, ,"</formula1>
    </dataValidation>
  </dataValidations>
  <pageMargins left="0.7" right="0.7" top="0.75" bottom="0.75" header="0.3" footer="0.3"/>
  <pageSetup paperSize="9" orientation="portrait" r:id="rId1"/>
  <headerFooter>
    <oddFooter>&amp;LTBD ver 1.7&amp;R&amp;P</oddFooter>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48F77-421E-4B2C-8238-847556E687E4}">
  <sheetPr codeName="Sheet34"/>
  <dimension ref="A1:P31"/>
  <sheetViews>
    <sheetView zoomScaleNormal="100" workbookViewId="0">
      <selection activeCell="B1" sqref="B1:G1"/>
    </sheetView>
  </sheetViews>
  <sheetFormatPr defaultColWidth="9.109375" defaultRowHeight="13.2" x14ac:dyDescent="0.25"/>
  <cols>
    <col min="1" max="1" width="20.109375" style="78" customWidth="1"/>
    <col min="2" max="2" width="18.44140625" style="75" customWidth="1"/>
    <col min="3" max="6" width="9.109375" style="75"/>
    <col min="7" max="7" width="48.88671875" style="75" customWidth="1"/>
    <col min="8" max="10" width="9.5546875" style="75" customWidth="1"/>
    <col min="11" max="11" width="20.5546875" style="75" customWidth="1"/>
    <col min="12" max="14" width="9.5546875" style="75" customWidth="1"/>
    <col min="15" max="15" width="40" style="75" customWidth="1"/>
    <col min="16" max="16384" width="9.109375" style="75"/>
  </cols>
  <sheetData>
    <row r="1" spans="1:15" ht="13.8" thickBot="1" x14ac:dyDescent="0.3">
      <c r="A1" s="79" t="s">
        <v>139</v>
      </c>
      <c r="B1" s="200" t="s">
        <v>317</v>
      </c>
      <c r="C1" s="201"/>
      <c r="D1" s="201"/>
      <c r="E1" s="201"/>
      <c r="F1" s="201"/>
      <c r="G1" s="202"/>
      <c r="H1" s="55"/>
      <c r="I1" s="55"/>
      <c r="J1" s="55"/>
      <c r="K1" s="55"/>
      <c r="L1" s="55"/>
      <c r="M1" s="55"/>
      <c r="N1" s="55"/>
      <c r="O1" s="55"/>
    </row>
    <row r="2" spans="1:15" ht="13.8" thickBot="1" x14ac:dyDescent="0.3">
      <c r="A2" s="54"/>
      <c r="B2" s="55"/>
      <c r="C2" s="55"/>
      <c r="D2" s="55"/>
      <c r="E2" s="55"/>
      <c r="F2" s="55"/>
      <c r="G2" s="55"/>
      <c r="H2" s="55"/>
      <c r="I2" s="55"/>
      <c r="J2" s="55"/>
      <c r="K2" s="55"/>
      <c r="L2" s="55"/>
      <c r="M2" s="55"/>
      <c r="N2" s="55"/>
      <c r="O2" s="55"/>
    </row>
    <row r="3" spans="1:15" ht="27" thickBot="1" x14ac:dyDescent="0.3">
      <c r="A3" s="80" t="s">
        <v>140</v>
      </c>
      <c r="B3" s="222" t="s">
        <v>283</v>
      </c>
      <c r="C3" s="223"/>
      <c r="D3" s="223"/>
      <c r="E3" s="223"/>
      <c r="F3" s="223"/>
      <c r="G3" s="224"/>
      <c r="H3" s="55"/>
      <c r="I3" s="55"/>
      <c r="J3" s="55"/>
      <c r="K3" s="55"/>
      <c r="L3" s="55"/>
      <c r="M3" s="55"/>
      <c r="N3" s="55"/>
      <c r="O3" s="55"/>
    </row>
    <row r="4" spans="1:15" ht="13.8" thickBot="1" x14ac:dyDescent="0.3">
      <c r="A4" s="54"/>
      <c r="B4" s="55"/>
      <c r="C4" s="55"/>
      <c r="D4" s="55"/>
      <c r="E4" s="55"/>
      <c r="F4" s="55"/>
      <c r="G4" s="55"/>
      <c r="H4" s="55"/>
      <c r="I4" s="55"/>
      <c r="J4" s="55"/>
      <c r="K4" s="55"/>
      <c r="L4" s="55"/>
      <c r="M4" s="55"/>
      <c r="N4" s="55"/>
      <c r="O4" s="55"/>
    </row>
    <row r="5" spans="1:15" ht="13.8" thickBot="1" x14ac:dyDescent="0.3">
      <c r="A5" s="79" t="s">
        <v>141</v>
      </c>
      <c r="B5" s="58" t="s">
        <v>142</v>
      </c>
      <c r="C5" s="55"/>
      <c r="D5" s="55"/>
      <c r="E5" s="55"/>
      <c r="F5" s="55"/>
      <c r="G5" s="55"/>
      <c r="H5" s="55"/>
      <c r="I5" s="55"/>
      <c r="J5" s="55"/>
      <c r="K5" s="55"/>
      <c r="L5" s="55"/>
      <c r="M5" s="55"/>
      <c r="N5" s="55"/>
      <c r="O5" s="55"/>
    </row>
    <row r="6" spans="1:15" ht="13.8" thickBot="1" x14ac:dyDescent="0.3">
      <c r="A6" s="54"/>
      <c r="B6" s="55"/>
      <c r="C6" s="55"/>
      <c r="D6" s="55"/>
      <c r="E6" s="55"/>
      <c r="F6" s="55"/>
      <c r="G6" s="55"/>
      <c r="H6" s="55"/>
      <c r="I6" s="55"/>
      <c r="J6" s="55"/>
      <c r="K6" s="55"/>
      <c r="L6" s="55"/>
      <c r="M6" s="55"/>
      <c r="N6" s="55"/>
      <c r="O6" s="55"/>
    </row>
    <row r="7" spans="1:15" ht="13.8" thickBot="1" x14ac:dyDescent="0.3">
      <c r="A7" s="79" t="s">
        <v>143</v>
      </c>
      <c r="B7" s="213" t="s">
        <v>255</v>
      </c>
      <c r="C7" s="214"/>
      <c r="D7" s="214"/>
      <c r="E7" s="214"/>
      <c r="F7" s="214"/>
      <c r="G7" s="215"/>
      <c r="H7" s="55"/>
      <c r="I7" s="55"/>
      <c r="J7" s="55"/>
      <c r="K7" s="55"/>
      <c r="L7" s="55"/>
      <c r="M7" s="55"/>
      <c r="N7" s="55"/>
      <c r="O7" s="55"/>
    </row>
    <row r="8" spans="1:15" ht="13.8" thickBot="1" x14ac:dyDescent="0.3">
      <c r="A8" s="57"/>
      <c r="B8" s="56"/>
      <c r="C8" s="56"/>
      <c r="D8" s="56"/>
      <c r="E8" s="56"/>
      <c r="F8" s="56"/>
      <c r="G8" s="56"/>
      <c r="H8" s="55"/>
      <c r="I8" s="55"/>
      <c r="J8" s="55"/>
      <c r="K8" s="55"/>
      <c r="L8" s="55"/>
      <c r="M8" s="55"/>
      <c r="N8" s="55"/>
      <c r="O8" s="55"/>
    </row>
    <row r="9" spans="1:15" ht="13.8" thickBot="1" x14ac:dyDescent="0.3">
      <c r="A9" s="79" t="s">
        <v>144</v>
      </c>
      <c r="B9" s="84" t="s">
        <v>145</v>
      </c>
      <c r="C9" s="55"/>
      <c r="D9" s="55"/>
      <c r="E9" s="55"/>
      <c r="F9" s="55"/>
      <c r="G9" s="55"/>
      <c r="H9" s="55"/>
      <c r="I9" s="55"/>
      <c r="J9" s="55"/>
      <c r="K9" s="55"/>
      <c r="L9" s="55"/>
      <c r="M9" s="55"/>
      <c r="N9" s="55"/>
      <c r="O9" s="55"/>
    </row>
    <row r="10" spans="1:15" ht="13.8" thickBot="1" x14ac:dyDescent="0.3">
      <c r="A10" s="57"/>
      <c r="B10" s="76"/>
      <c r="C10" s="55"/>
      <c r="D10" s="55"/>
      <c r="E10" s="55"/>
      <c r="F10" s="55"/>
      <c r="G10" s="55"/>
      <c r="H10" s="55"/>
      <c r="I10" s="55"/>
      <c r="J10" s="55"/>
      <c r="K10" s="55"/>
      <c r="L10" s="55"/>
      <c r="M10" s="55"/>
      <c r="N10" s="55"/>
      <c r="O10" s="55"/>
    </row>
    <row r="11" spans="1:15" ht="12" customHeight="1" x14ac:dyDescent="0.25">
      <c r="A11" s="189" t="s">
        <v>146</v>
      </c>
      <c r="B11" s="191" t="s">
        <v>147</v>
      </c>
      <c r="C11" s="192"/>
      <c r="D11" s="192"/>
      <c r="E11" s="192"/>
      <c r="F11" s="192"/>
      <c r="G11" s="193"/>
      <c r="H11" s="55"/>
      <c r="I11" s="55"/>
      <c r="J11" s="55"/>
      <c r="K11" s="55"/>
      <c r="L11" s="55"/>
      <c r="M11" s="55"/>
      <c r="N11" s="55"/>
      <c r="O11" s="55"/>
    </row>
    <row r="12" spans="1:15" x14ac:dyDescent="0.25">
      <c r="A12" s="190"/>
      <c r="B12" s="194"/>
      <c r="C12" s="195"/>
      <c r="D12" s="195"/>
      <c r="E12" s="195"/>
      <c r="F12" s="195"/>
      <c r="G12" s="196"/>
      <c r="H12" s="55"/>
      <c r="I12" s="55"/>
      <c r="J12" s="55"/>
      <c r="K12" s="55"/>
      <c r="L12" s="55"/>
      <c r="M12" s="55"/>
      <c r="N12" s="55"/>
      <c r="O12" s="55"/>
    </row>
    <row r="13" spans="1:15" x14ac:dyDescent="0.25">
      <c r="A13" s="190"/>
      <c r="B13" s="194"/>
      <c r="C13" s="195"/>
      <c r="D13" s="195"/>
      <c r="E13" s="195"/>
      <c r="F13" s="195"/>
      <c r="G13" s="196"/>
      <c r="H13" s="54"/>
      <c r="I13" s="55"/>
      <c r="J13" s="55"/>
      <c r="K13" s="55"/>
      <c r="L13" s="55"/>
      <c r="M13" s="55"/>
      <c r="N13" s="55"/>
      <c r="O13" s="55"/>
    </row>
    <row r="14" spans="1:15" ht="13.8" thickBot="1" x14ac:dyDescent="0.3">
      <c r="A14" s="190"/>
      <c r="B14" s="197"/>
      <c r="C14" s="198"/>
      <c r="D14" s="198"/>
      <c r="E14" s="198"/>
      <c r="F14" s="198"/>
      <c r="G14" s="199"/>
      <c r="H14" s="59"/>
      <c r="I14" s="55"/>
      <c r="J14" s="55"/>
      <c r="K14" s="55"/>
      <c r="L14" s="55"/>
      <c r="M14" s="55"/>
      <c r="N14" s="55"/>
      <c r="O14" s="55"/>
    </row>
    <row r="15" spans="1:15" ht="13.8" thickBot="1" x14ac:dyDescent="0.3">
      <c r="A15" s="54"/>
      <c r="B15" s="54"/>
      <c r="C15" s="54"/>
      <c r="D15" s="54"/>
      <c r="E15" s="54"/>
      <c r="F15" s="54"/>
      <c r="G15" s="54"/>
      <c r="H15" s="59"/>
      <c r="I15" s="55"/>
      <c r="J15" s="55"/>
      <c r="K15" s="55"/>
      <c r="L15" s="55"/>
      <c r="M15" s="55"/>
      <c r="N15" s="55"/>
      <c r="O15" s="55"/>
    </row>
    <row r="16" spans="1:15" x14ac:dyDescent="0.25">
      <c r="A16" s="189" t="s">
        <v>148</v>
      </c>
      <c r="B16" s="191" t="s">
        <v>149</v>
      </c>
      <c r="C16" s="192"/>
      <c r="D16" s="192"/>
      <c r="E16" s="192"/>
      <c r="F16" s="192"/>
      <c r="G16" s="193"/>
      <c r="H16" s="55"/>
      <c r="I16" s="55"/>
      <c r="J16" s="55"/>
      <c r="K16" s="55"/>
      <c r="L16" s="55"/>
      <c r="M16" s="55"/>
      <c r="N16" s="55"/>
      <c r="O16" s="55"/>
    </row>
    <row r="17" spans="1:16" x14ac:dyDescent="0.25">
      <c r="A17" s="190"/>
      <c r="B17" s="194"/>
      <c r="C17" s="195"/>
      <c r="D17" s="195"/>
      <c r="E17" s="195"/>
      <c r="F17" s="195"/>
      <c r="G17" s="196"/>
      <c r="H17" s="55"/>
      <c r="I17" s="55"/>
      <c r="J17" s="55"/>
      <c r="K17" s="55"/>
      <c r="L17" s="55"/>
      <c r="M17" s="55"/>
      <c r="N17" s="55"/>
      <c r="O17" s="55"/>
    </row>
    <row r="18" spans="1:16" x14ac:dyDescent="0.25">
      <c r="A18" s="190"/>
      <c r="B18" s="194"/>
      <c r="C18" s="195"/>
      <c r="D18" s="195"/>
      <c r="E18" s="195"/>
      <c r="F18" s="195"/>
      <c r="G18" s="196"/>
      <c r="H18" s="54"/>
      <c r="I18" s="55"/>
      <c r="J18" s="55"/>
      <c r="K18" s="55"/>
      <c r="L18" s="55"/>
      <c r="M18" s="55"/>
      <c r="N18" s="55"/>
      <c r="O18" s="55"/>
    </row>
    <row r="19" spans="1:16" ht="13.8" thickBot="1" x14ac:dyDescent="0.3">
      <c r="A19" s="190"/>
      <c r="B19" s="197"/>
      <c r="C19" s="198"/>
      <c r="D19" s="198"/>
      <c r="E19" s="198"/>
      <c r="F19" s="198"/>
      <c r="G19" s="199"/>
      <c r="H19" s="59"/>
      <c r="I19" s="55"/>
      <c r="J19" s="55"/>
      <c r="K19" s="55"/>
      <c r="L19" s="55"/>
      <c r="M19" s="55"/>
      <c r="N19" s="55"/>
      <c r="O19" s="55"/>
    </row>
    <row r="20" spans="1:16" ht="13.8" thickBot="1" x14ac:dyDescent="0.3">
      <c r="A20" s="54"/>
      <c r="B20" s="54"/>
      <c r="C20" s="54"/>
      <c r="D20" s="54"/>
      <c r="E20" s="54"/>
      <c r="F20" s="54"/>
      <c r="G20" s="54"/>
      <c r="H20" s="59"/>
      <c r="I20" s="55"/>
      <c r="J20" s="55"/>
      <c r="K20" s="55"/>
      <c r="L20" s="55"/>
      <c r="M20" s="55"/>
      <c r="N20" s="55"/>
      <c r="O20" s="55"/>
    </row>
    <row r="21" spans="1:16" ht="12.75" customHeight="1" x14ac:dyDescent="0.25">
      <c r="A21" s="186" t="s">
        <v>150</v>
      </c>
      <c r="B21" s="187"/>
      <c r="C21" s="187"/>
      <c r="D21" s="187"/>
      <c r="E21" s="187"/>
      <c r="F21" s="187"/>
      <c r="G21" s="188"/>
      <c r="H21" s="186" t="s">
        <v>151</v>
      </c>
      <c r="I21" s="187"/>
      <c r="J21" s="187"/>
      <c r="K21" s="188"/>
      <c r="L21" s="186" t="s">
        <v>152</v>
      </c>
      <c r="M21" s="187"/>
      <c r="N21" s="187"/>
      <c r="O21" s="188"/>
      <c r="P21" s="81" t="s">
        <v>153</v>
      </c>
    </row>
    <row r="22" spans="1:16" ht="30" customHeight="1" x14ac:dyDescent="0.25">
      <c r="A22" s="82" t="s">
        <v>154</v>
      </c>
      <c r="B22" s="178" t="s">
        <v>281</v>
      </c>
      <c r="C22" s="179"/>
      <c r="D22" s="179"/>
      <c r="E22" s="179"/>
      <c r="F22" s="179"/>
      <c r="G22" s="180"/>
      <c r="H22" s="175" t="s">
        <v>166</v>
      </c>
      <c r="I22" s="175"/>
      <c r="J22" s="175"/>
      <c r="K22" s="175"/>
      <c r="L22" s="175" t="s">
        <v>166</v>
      </c>
      <c r="M22" s="175"/>
      <c r="N22" s="175"/>
      <c r="O22" s="175"/>
      <c r="P22" s="77" t="s">
        <v>145</v>
      </c>
    </row>
    <row r="23" spans="1:16" ht="30.75" customHeight="1" x14ac:dyDescent="0.25">
      <c r="A23" s="82" t="s">
        <v>155</v>
      </c>
      <c r="B23" s="178" t="s">
        <v>280</v>
      </c>
      <c r="C23" s="179"/>
      <c r="D23" s="179"/>
      <c r="E23" s="179"/>
      <c r="F23" s="179"/>
      <c r="G23" s="180"/>
      <c r="H23" s="175" t="s">
        <v>166</v>
      </c>
      <c r="I23" s="175"/>
      <c r="J23" s="175"/>
      <c r="K23" s="175"/>
      <c r="L23" s="175" t="s">
        <v>166</v>
      </c>
      <c r="M23" s="175"/>
      <c r="N23" s="175"/>
      <c r="O23" s="175"/>
      <c r="P23" s="77" t="s">
        <v>145</v>
      </c>
    </row>
    <row r="24" spans="1:16" ht="40.5" customHeight="1" x14ac:dyDescent="0.25">
      <c r="A24" s="82" t="s">
        <v>156</v>
      </c>
      <c r="B24" s="178" t="s">
        <v>282</v>
      </c>
      <c r="C24" s="179"/>
      <c r="D24" s="179"/>
      <c r="E24" s="179"/>
      <c r="F24" s="179"/>
      <c r="G24" s="180"/>
      <c r="H24" s="175" t="s">
        <v>166</v>
      </c>
      <c r="I24" s="175"/>
      <c r="J24" s="175"/>
      <c r="K24" s="175"/>
      <c r="L24" s="175" t="s">
        <v>166</v>
      </c>
      <c r="M24" s="175"/>
      <c r="N24" s="175"/>
      <c r="O24" s="175"/>
      <c r="P24" s="77" t="s">
        <v>145</v>
      </c>
    </row>
    <row r="25" spans="1:16" ht="43.5" customHeight="1" x14ac:dyDescent="0.25">
      <c r="A25" s="82" t="s">
        <v>157</v>
      </c>
      <c r="B25" s="178" t="s">
        <v>284</v>
      </c>
      <c r="C25" s="179"/>
      <c r="D25" s="179"/>
      <c r="E25" s="179"/>
      <c r="F25" s="179"/>
      <c r="G25" s="180"/>
      <c r="H25" s="175" t="s">
        <v>166</v>
      </c>
      <c r="I25" s="175"/>
      <c r="J25" s="175"/>
      <c r="K25" s="175"/>
      <c r="L25" s="175" t="s">
        <v>166</v>
      </c>
      <c r="M25" s="175"/>
      <c r="N25" s="175"/>
      <c r="O25" s="175"/>
      <c r="P25" s="77" t="s">
        <v>145</v>
      </c>
    </row>
    <row r="26" spans="1:16" ht="41.25" customHeight="1" thickBot="1" x14ac:dyDescent="0.3">
      <c r="A26" s="83" t="s">
        <v>158</v>
      </c>
      <c r="B26" s="178"/>
      <c r="C26" s="179"/>
      <c r="D26" s="179"/>
      <c r="E26" s="179"/>
      <c r="F26" s="179"/>
      <c r="G26" s="180"/>
      <c r="H26" s="175"/>
      <c r="I26" s="175"/>
      <c r="J26" s="175"/>
      <c r="K26" s="175"/>
      <c r="L26" s="175"/>
      <c r="M26" s="175"/>
      <c r="N26" s="175"/>
      <c r="O26" s="175"/>
      <c r="P26" s="77"/>
    </row>
    <row r="27" spans="1:16" ht="43.5" customHeight="1" thickBot="1" x14ac:dyDescent="0.3">
      <c r="A27" s="83" t="s">
        <v>159</v>
      </c>
      <c r="B27" s="178"/>
      <c r="C27" s="179"/>
      <c r="D27" s="179"/>
      <c r="E27" s="179"/>
      <c r="F27" s="179"/>
      <c r="G27" s="180"/>
      <c r="H27" s="175"/>
      <c r="I27" s="175"/>
      <c r="J27" s="175"/>
      <c r="K27" s="175"/>
      <c r="L27" s="175"/>
      <c r="M27" s="175"/>
      <c r="N27" s="175"/>
      <c r="O27" s="175"/>
      <c r="P27" s="77"/>
    </row>
    <row r="28" spans="1:16" ht="42.75" customHeight="1" thickBot="1" x14ac:dyDescent="0.3">
      <c r="A28" s="83" t="s">
        <v>162</v>
      </c>
      <c r="B28" s="178"/>
      <c r="C28" s="179"/>
      <c r="D28" s="179"/>
      <c r="E28" s="179"/>
      <c r="F28" s="179"/>
      <c r="G28" s="180"/>
      <c r="H28" s="175"/>
      <c r="I28" s="175"/>
      <c r="J28" s="175"/>
      <c r="K28" s="175"/>
      <c r="L28" s="175"/>
      <c r="M28" s="175"/>
      <c r="N28" s="175"/>
      <c r="O28" s="175"/>
      <c r="P28" s="77"/>
    </row>
    <row r="29" spans="1:16" ht="45" customHeight="1" thickBot="1" x14ac:dyDescent="0.3">
      <c r="A29" s="83" t="s">
        <v>163</v>
      </c>
      <c r="B29" s="178"/>
      <c r="C29" s="179"/>
      <c r="D29" s="179"/>
      <c r="E29" s="179"/>
      <c r="F29" s="179"/>
      <c r="G29" s="180"/>
      <c r="H29" s="175"/>
      <c r="I29" s="175"/>
      <c r="J29" s="175"/>
      <c r="K29" s="175"/>
      <c r="L29" s="175"/>
      <c r="M29" s="175"/>
      <c r="N29" s="175"/>
      <c r="O29" s="175"/>
      <c r="P29" s="77"/>
    </row>
    <row r="30" spans="1:16" ht="41.25" customHeight="1" thickBot="1" x14ac:dyDescent="0.3">
      <c r="A30" s="83" t="s">
        <v>164</v>
      </c>
      <c r="B30" s="178"/>
      <c r="C30" s="179"/>
      <c r="D30" s="179"/>
      <c r="E30" s="179"/>
      <c r="F30" s="179"/>
      <c r="G30" s="180"/>
      <c r="H30" s="175"/>
      <c r="I30" s="175"/>
      <c r="J30" s="175"/>
      <c r="K30" s="175"/>
      <c r="L30" s="175"/>
      <c r="M30" s="175"/>
      <c r="N30" s="175"/>
      <c r="O30" s="175"/>
      <c r="P30" s="77"/>
    </row>
    <row r="31" spans="1:16" ht="40.5" customHeight="1" thickBot="1" x14ac:dyDescent="0.3">
      <c r="A31" s="83" t="s">
        <v>165</v>
      </c>
      <c r="B31" s="178"/>
      <c r="C31" s="179"/>
      <c r="D31" s="179"/>
      <c r="E31" s="179"/>
      <c r="F31" s="179"/>
      <c r="G31" s="180"/>
      <c r="H31" s="175"/>
      <c r="I31" s="175"/>
      <c r="J31" s="175"/>
      <c r="K31" s="175"/>
      <c r="L31" s="175"/>
      <c r="M31" s="175"/>
      <c r="N31" s="175"/>
      <c r="O31" s="175"/>
      <c r="P31" s="77"/>
    </row>
  </sheetData>
  <mergeCells count="40">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31:G31"/>
    <mergeCell ref="H31:K31"/>
    <mergeCell ref="L31:O31"/>
    <mergeCell ref="B29:G29"/>
    <mergeCell ref="H29:K29"/>
    <mergeCell ref="L29:O29"/>
    <mergeCell ref="B30:G30"/>
    <mergeCell ref="H30:K30"/>
    <mergeCell ref="L30:O30"/>
  </mergeCells>
  <conditionalFormatting sqref="B9:B10">
    <cfRule type="cellIs" dxfId="219" priority="7" operator="equal">
      <formula>"Nok"</formula>
    </cfRule>
    <cfRule type="cellIs" dxfId="218" priority="8" operator="equal">
      <formula>"Ok"</formula>
    </cfRule>
  </conditionalFormatting>
  <conditionalFormatting sqref="P22">
    <cfRule type="cellIs" dxfId="217" priority="5" operator="equal">
      <formula>"Nok"</formula>
    </cfRule>
    <cfRule type="cellIs" dxfId="216" priority="6" operator="equal">
      <formula>"Ok"</formula>
    </cfRule>
  </conditionalFormatting>
  <conditionalFormatting sqref="P23">
    <cfRule type="cellIs" dxfId="215" priority="3" operator="equal">
      <formula>"Nok"</formula>
    </cfRule>
    <cfRule type="cellIs" dxfId="214" priority="4" operator="equal">
      <formula>"Ok"</formula>
    </cfRule>
  </conditionalFormatting>
  <conditionalFormatting sqref="P24:P31">
    <cfRule type="cellIs" dxfId="213" priority="1" operator="equal">
      <formula>"Nok"</formula>
    </cfRule>
    <cfRule type="cellIs" dxfId="212" priority="2" operator="equal">
      <formula>"Ok"</formula>
    </cfRule>
  </conditionalFormatting>
  <dataValidations count="3">
    <dataValidation type="list" allowBlank="1" showInputMessage="1" showErrorMessage="1" sqref="P22:P31" xr:uid="{7C97FE77-25D4-41CB-AA67-20B5C5F190A5}">
      <formula1>"Ok, Nok, Not run, ,"</formula1>
    </dataValidation>
    <dataValidation type="list" allowBlank="1" showInputMessage="1" showErrorMessage="1" sqref="B9" xr:uid="{16BC8177-E296-4191-8DED-9CD344DA397D}">
      <formula1>"Ok, Nok, Not run, NA"</formula1>
    </dataValidation>
    <dataValidation type="list" allowBlank="1" showInputMessage="1" showErrorMessage="1" sqref="B5" xr:uid="{93D68901-F5A6-46AD-83AB-4567CD1A87B3}">
      <formula1>"Nominal, Robustness, Endurance, Qualification"</formula1>
    </dataValidation>
  </dataValidations>
  <pageMargins left="0.7" right="0.7" top="0.75" bottom="0.75" header="0.3" footer="0.3"/>
  <pageSetup paperSize="9" orientation="portrait" r:id="rId1"/>
  <headerFooter>
    <oddFooter>&amp;LTBD ver 1.7&amp;R&amp;P</oddFooter>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651AF-DF7D-4D6E-871B-CA5EC61A7986}">
  <sheetPr codeName="Sheet19"/>
  <dimension ref="A1:P28"/>
  <sheetViews>
    <sheetView zoomScaleNormal="100" workbookViewId="0">
      <selection activeCell="B3" sqref="B3:G3"/>
    </sheetView>
  </sheetViews>
  <sheetFormatPr defaultColWidth="9.109375" defaultRowHeight="13.2" x14ac:dyDescent="0.25"/>
  <cols>
    <col min="1" max="1" width="20.109375" style="78" customWidth="1"/>
    <col min="2" max="2" width="18.44140625" style="75" customWidth="1"/>
    <col min="3" max="6" width="9.109375" style="75"/>
    <col min="7" max="7" width="48.88671875" style="75" customWidth="1"/>
    <col min="8" max="10" width="9.5546875" style="75" customWidth="1"/>
    <col min="11" max="11" width="20.5546875" style="75" customWidth="1"/>
    <col min="12" max="14" width="9.5546875" style="75" customWidth="1"/>
    <col min="15" max="15" width="40" style="75" customWidth="1"/>
    <col min="16" max="16384" width="9.109375" style="75"/>
  </cols>
  <sheetData>
    <row r="1" spans="1:15" ht="13.8" thickBot="1" x14ac:dyDescent="0.3">
      <c r="A1" s="79" t="s">
        <v>139</v>
      </c>
      <c r="B1" s="200" t="s">
        <v>316</v>
      </c>
      <c r="C1" s="201"/>
      <c r="D1" s="201"/>
      <c r="E1" s="201"/>
      <c r="F1" s="201"/>
      <c r="G1" s="202"/>
      <c r="H1" s="55"/>
      <c r="I1" s="55"/>
      <c r="J1" s="55"/>
      <c r="K1" s="55"/>
      <c r="L1" s="55"/>
      <c r="M1" s="55"/>
      <c r="N1" s="55"/>
      <c r="O1" s="55"/>
    </row>
    <row r="2" spans="1:15" ht="13.8" thickBot="1" x14ac:dyDescent="0.3">
      <c r="A2" s="54"/>
      <c r="B2" s="55"/>
      <c r="C2" s="55"/>
      <c r="D2" s="55"/>
      <c r="E2" s="55"/>
      <c r="F2" s="55"/>
      <c r="G2" s="55"/>
      <c r="H2" s="55"/>
      <c r="I2" s="55"/>
      <c r="J2" s="55"/>
      <c r="K2" s="55"/>
      <c r="L2" s="55"/>
      <c r="M2" s="55"/>
      <c r="N2" s="55"/>
      <c r="O2" s="55"/>
    </row>
    <row r="3" spans="1:15" ht="27" thickBot="1" x14ac:dyDescent="0.3">
      <c r="A3" s="80" t="s">
        <v>140</v>
      </c>
      <c r="B3" s="222" t="s">
        <v>339</v>
      </c>
      <c r="C3" s="223"/>
      <c r="D3" s="223"/>
      <c r="E3" s="223"/>
      <c r="F3" s="223"/>
      <c r="G3" s="224"/>
      <c r="H3" s="55"/>
      <c r="I3" s="55"/>
      <c r="J3" s="55"/>
      <c r="K3" s="55"/>
      <c r="L3" s="55"/>
      <c r="M3" s="55"/>
      <c r="N3" s="55"/>
      <c r="O3" s="55"/>
    </row>
    <row r="4" spans="1:15" ht="13.8" thickBot="1" x14ac:dyDescent="0.3">
      <c r="A4" s="54"/>
      <c r="B4" s="55"/>
      <c r="C4" s="55"/>
      <c r="D4" s="55"/>
      <c r="E4" s="55"/>
      <c r="F4" s="55"/>
      <c r="G4" s="55"/>
      <c r="H4" s="55"/>
      <c r="I4" s="55"/>
      <c r="J4" s="55"/>
      <c r="K4" s="55"/>
      <c r="L4" s="55"/>
      <c r="M4" s="55"/>
      <c r="N4" s="55"/>
      <c r="O4" s="55"/>
    </row>
    <row r="5" spans="1:15" ht="13.8" thickBot="1" x14ac:dyDescent="0.3">
      <c r="A5" s="79" t="s">
        <v>141</v>
      </c>
      <c r="B5" s="58" t="s">
        <v>142</v>
      </c>
      <c r="C5" s="55"/>
      <c r="D5" s="55"/>
      <c r="E5" s="55"/>
      <c r="F5" s="55"/>
      <c r="G5" s="55"/>
      <c r="H5" s="55"/>
      <c r="I5" s="55"/>
      <c r="J5" s="55"/>
      <c r="K5" s="55"/>
      <c r="L5" s="55"/>
      <c r="M5" s="55"/>
      <c r="N5" s="55"/>
      <c r="O5" s="55"/>
    </row>
    <row r="6" spans="1:15" ht="13.8" thickBot="1" x14ac:dyDescent="0.3">
      <c r="A6" s="54"/>
      <c r="B6" s="55"/>
      <c r="C6" s="55"/>
      <c r="D6" s="55"/>
      <c r="E6" s="55"/>
      <c r="F6" s="55"/>
      <c r="G6" s="55"/>
      <c r="H6" s="55"/>
      <c r="I6" s="55"/>
      <c r="J6" s="55"/>
      <c r="K6" s="55"/>
      <c r="L6" s="55"/>
      <c r="M6" s="55"/>
      <c r="N6" s="55"/>
      <c r="O6" s="55"/>
    </row>
    <row r="7" spans="1:15" ht="13.8" thickBot="1" x14ac:dyDescent="0.3">
      <c r="A7" s="79" t="s">
        <v>143</v>
      </c>
      <c r="B7" s="213" t="s">
        <v>270</v>
      </c>
      <c r="C7" s="214"/>
      <c r="D7" s="214"/>
      <c r="E7" s="214"/>
      <c r="F7" s="214"/>
      <c r="G7" s="215"/>
      <c r="H7" s="55"/>
      <c r="I7" s="55"/>
      <c r="J7" s="55"/>
      <c r="K7" s="55"/>
      <c r="L7" s="55"/>
      <c r="M7" s="55"/>
      <c r="N7" s="55"/>
      <c r="O7" s="55"/>
    </row>
    <row r="8" spans="1:15" ht="13.8" thickBot="1" x14ac:dyDescent="0.3">
      <c r="A8" s="57"/>
      <c r="B8" s="56"/>
      <c r="C8" s="56"/>
      <c r="D8" s="56"/>
      <c r="E8" s="56"/>
      <c r="F8" s="56"/>
      <c r="G8" s="56"/>
      <c r="H8" s="55"/>
      <c r="I8" s="55"/>
      <c r="J8" s="55"/>
      <c r="K8" s="55"/>
      <c r="L8" s="55"/>
      <c r="M8" s="55"/>
      <c r="N8" s="55"/>
      <c r="O8" s="55"/>
    </row>
    <row r="9" spans="1:15" ht="13.8" thickBot="1" x14ac:dyDescent="0.3">
      <c r="A9" s="79" t="s">
        <v>144</v>
      </c>
      <c r="B9" s="84" t="s">
        <v>145</v>
      </c>
      <c r="C9" s="55"/>
      <c r="D9" s="55"/>
      <c r="E9" s="55"/>
      <c r="F9" s="55"/>
      <c r="G9" s="55"/>
      <c r="H9" s="55"/>
      <c r="I9" s="55"/>
      <c r="J9" s="55"/>
      <c r="K9" s="55"/>
      <c r="L9" s="55"/>
      <c r="M9" s="55"/>
      <c r="N9" s="55"/>
      <c r="O9" s="55"/>
    </row>
    <row r="10" spans="1:15" ht="13.8" thickBot="1" x14ac:dyDescent="0.3">
      <c r="A10" s="57"/>
      <c r="B10" s="76"/>
      <c r="C10" s="55"/>
      <c r="D10" s="55"/>
      <c r="E10" s="55"/>
      <c r="F10" s="55"/>
      <c r="G10" s="55"/>
      <c r="H10" s="55"/>
      <c r="I10" s="55"/>
      <c r="J10" s="55"/>
      <c r="K10" s="55"/>
      <c r="L10" s="55"/>
      <c r="M10" s="55"/>
      <c r="N10" s="55"/>
      <c r="O10" s="55"/>
    </row>
    <row r="11" spans="1:15" ht="12" customHeight="1" x14ac:dyDescent="0.25">
      <c r="A11" s="189" t="s">
        <v>146</v>
      </c>
      <c r="B11" s="191" t="s">
        <v>147</v>
      </c>
      <c r="C11" s="192"/>
      <c r="D11" s="192"/>
      <c r="E11" s="192"/>
      <c r="F11" s="192"/>
      <c r="G11" s="193"/>
      <c r="H11" s="55"/>
      <c r="I11" s="55"/>
      <c r="J11" s="55"/>
      <c r="K11" s="55"/>
      <c r="L11" s="55"/>
      <c r="M11" s="55"/>
      <c r="N11" s="55"/>
      <c r="O11" s="55"/>
    </row>
    <row r="12" spans="1:15" x14ac:dyDescent="0.25">
      <c r="A12" s="190"/>
      <c r="B12" s="194"/>
      <c r="C12" s="195"/>
      <c r="D12" s="195"/>
      <c r="E12" s="195"/>
      <c r="F12" s="195"/>
      <c r="G12" s="196"/>
      <c r="H12" s="55"/>
      <c r="I12" s="55"/>
      <c r="J12" s="55"/>
      <c r="K12" s="55"/>
      <c r="L12" s="55"/>
      <c r="M12" s="55"/>
      <c r="N12" s="55"/>
      <c r="O12" s="55"/>
    </row>
    <row r="13" spans="1:15" x14ac:dyDescent="0.25">
      <c r="A13" s="190"/>
      <c r="B13" s="194"/>
      <c r="C13" s="195"/>
      <c r="D13" s="195"/>
      <c r="E13" s="195"/>
      <c r="F13" s="195"/>
      <c r="G13" s="196"/>
      <c r="H13" s="54"/>
      <c r="I13" s="55"/>
      <c r="J13" s="55"/>
      <c r="K13" s="55"/>
      <c r="L13" s="55"/>
      <c r="M13" s="55"/>
      <c r="N13" s="55"/>
      <c r="O13" s="55"/>
    </row>
    <row r="14" spans="1:15" ht="13.8" thickBot="1" x14ac:dyDescent="0.3">
      <c r="A14" s="190"/>
      <c r="B14" s="197"/>
      <c r="C14" s="198"/>
      <c r="D14" s="198"/>
      <c r="E14" s="198"/>
      <c r="F14" s="198"/>
      <c r="G14" s="199"/>
      <c r="H14" s="59"/>
      <c r="I14" s="55"/>
      <c r="J14" s="55"/>
      <c r="K14" s="55"/>
      <c r="L14" s="55"/>
      <c r="M14" s="55"/>
      <c r="N14" s="55"/>
      <c r="O14" s="55"/>
    </row>
    <row r="15" spans="1:15" ht="13.8" thickBot="1" x14ac:dyDescent="0.3">
      <c r="A15" s="54"/>
      <c r="B15" s="54"/>
      <c r="C15" s="54"/>
      <c r="D15" s="54"/>
      <c r="E15" s="54"/>
      <c r="F15" s="54"/>
      <c r="G15" s="54"/>
      <c r="H15" s="59"/>
      <c r="I15" s="55"/>
      <c r="J15" s="55"/>
      <c r="K15" s="55"/>
      <c r="L15" s="55"/>
      <c r="M15" s="55"/>
      <c r="N15" s="55"/>
      <c r="O15" s="55"/>
    </row>
    <row r="16" spans="1:15" x14ac:dyDescent="0.25">
      <c r="A16" s="189" t="s">
        <v>148</v>
      </c>
      <c r="B16" s="191" t="s">
        <v>149</v>
      </c>
      <c r="C16" s="192"/>
      <c r="D16" s="192"/>
      <c r="E16" s="192"/>
      <c r="F16" s="192"/>
      <c r="G16" s="193"/>
      <c r="H16" s="55"/>
      <c r="I16" s="55"/>
      <c r="J16" s="55"/>
      <c r="K16" s="55"/>
      <c r="L16" s="55"/>
      <c r="M16" s="55"/>
      <c r="N16" s="55"/>
      <c r="O16" s="55"/>
    </row>
    <row r="17" spans="1:16" x14ac:dyDescent="0.25">
      <c r="A17" s="190"/>
      <c r="B17" s="194"/>
      <c r="C17" s="195"/>
      <c r="D17" s="195"/>
      <c r="E17" s="195"/>
      <c r="F17" s="195"/>
      <c r="G17" s="196"/>
      <c r="H17" s="55"/>
      <c r="I17" s="55"/>
      <c r="J17" s="55"/>
      <c r="K17" s="55"/>
      <c r="L17" s="55"/>
      <c r="M17" s="55"/>
      <c r="N17" s="55"/>
      <c r="O17" s="55"/>
    </row>
    <row r="18" spans="1:16" x14ac:dyDescent="0.25">
      <c r="A18" s="190"/>
      <c r="B18" s="194"/>
      <c r="C18" s="195"/>
      <c r="D18" s="195"/>
      <c r="E18" s="195"/>
      <c r="F18" s="195"/>
      <c r="G18" s="196"/>
      <c r="H18" s="54"/>
      <c r="I18" s="55"/>
      <c r="J18" s="55"/>
      <c r="K18" s="55"/>
      <c r="L18" s="55"/>
      <c r="M18" s="55"/>
      <c r="N18" s="55"/>
      <c r="O18" s="55"/>
    </row>
    <row r="19" spans="1:16" ht="13.8" thickBot="1" x14ac:dyDescent="0.3">
      <c r="A19" s="190"/>
      <c r="B19" s="197"/>
      <c r="C19" s="198"/>
      <c r="D19" s="198"/>
      <c r="E19" s="198"/>
      <c r="F19" s="198"/>
      <c r="G19" s="199"/>
      <c r="H19" s="59"/>
      <c r="I19" s="55"/>
      <c r="J19" s="55"/>
      <c r="K19" s="55"/>
      <c r="L19" s="55"/>
      <c r="M19" s="55"/>
      <c r="N19" s="55"/>
      <c r="O19" s="55"/>
    </row>
    <row r="20" spans="1:16" ht="13.8" thickBot="1" x14ac:dyDescent="0.3">
      <c r="A20" s="54"/>
      <c r="B20" s="54"/>
      <c r="C20" s="54"/>
      <c r="D20" s="54"/>
      <c r="E20" s="54"/>
      <c r="F20" s="54"/>
      <c r="G20" s="54"/>
      <c r="H20" s="59"/>
      <c r="I20" s="55"/>
      <c r="J20" s="55"/>
      <c r="K20" s="55"/>
      <c r="L20" s="55"/>
      <c r="M20" s="55"/>
      <c r="N20" s="55"/>
      <c r="O20" s="55"/>
    </row>
    <row r="21" spans="1:16" ht="12.75" customHeight="1" x14ac:dyDescent="0.25">
      <c r="A21" s="186" t="s">
        <v>150</v>
      </c>
      <c r="B21" s="187"/>
      <c r="C21" s="187"/>
      <c r="D21" s="187"/>
      <c r="E21" s="187"/>
      <c r="F21" s="187"/>
      <c r="G21" s="188"/>
      <c r="H21" s="186" t="s">
        <v>151</v>
      </c>
      <c r="I21" s="187"/>
      <c r="J21" s="187"/>
      <c r="K21" s="188"/>
      <c r="L21" s="186" t="s">
        <v>152</v>
      </c>
      <c r="M21" s="187"/>
      <c r="N21" s="187"/>
      <c r="O21" s="188"/>
      <c r="P21" s="81" t="s">
        <v>153</v>
      </c>
    </row>
    <row r="22" spans="1:16" ht="28.5" customHeight="1" x14ac:dyDescent="0.25">
      <c r="A22" s="82" t="s">
        <v>154</v>
      </c>
      <c r="B22" s="178" t="s">
        <v>196</v>
      </c>
      <c r="C22" s="179"/>
      <c r="D22" s="179"/>
      <c r="E22" s="179"/>
      <c r="F22" s="179"/>
      <c r="G22" s="180"/>
      <c r="H22" s="175" t="s">
        <v>166</v>
      </c>
      <c r="I22" s="175"/>
      <c r="J22" s="175"/>
      <c r="K22" s="175"/>
      <c r="L22" s="175" t="s">
        <v>166</v>
      </c>
      <c r="M22" s="175"/>
      <c r="N22" s="175"/>
      <c r="O22" s="175"/>
      <c r="P22" s="77" t="s">
        <v>145</v>
      </c>
    </row>
    <row r="23" spans="1:16" ht="27.75" customHeight="1" x14ac:dyDescent="0.25">
      <c r="A23" s="82" t="s">
        <v>155</v>
      </c>
      <c r="B23" s="178" t="s">
        <v>233</v>
      </c>
      <c r="C23" s="179"/>
      <c r="D23" s="179"/>
      <c r="E23" s="179"/>
      <c r="F23" s="179"/>
      <c r="G23" s="180"/>
      <c r="H23" s="175" t="s">
        <v>166</v>
      </c>
      <c r="I23" s="175"/>
      <c r="J23" s="175"/>
      <c r="K23" s="175"/>
      <c r="L23" s="175" t="s">
        <v>166</v>
      </c>
      <c r="M23" s="175"/>
      <c r="N23" s="175"/>
      <c r="O23" s="175"/>
      <c r="P23" s="77" t="s">
        <v>145</v>
      </c>
    </row>
    <row r="24" spans="1:16" ht="42.75" customHeight="1" x14ac:dyDescent="0.25">
      <c r="A24" s="82" t="s">
        <v>156</v>
      </c>
      <c r="B24" s="178" t="s">
        <v>273</v>
      </c>
      <c r="C24" s="179"/>
      <c r="D24" s="179"/>
      <c r="E24" s="179"/>
      <c r="F24" s="179"/>
      <c r="G24" s="180"/>
      <c r="H24" s="175" t="s">
        <v>166</v>
      </c>
      <c r="I24" s="175"/>
      <c r="J24" s="175"/>
      <c r="K24" s="175"/>
      <c r="L24" s="175" t="s">
        <v>166</v>
      </c>
      <c r="M24" s="175"/>
      <c r="N24" s="175"/>
      <c r="O24" s="175"/>
      <c r="P24" s="77" t="s">
        <v>145</v>
      </c>
    </row>
    <row r="25" spans="1:16" ht="42.75" customHeight="1" x14ac:dyDescent="0.25">
      <c r="A25" s="82" t="s">
        <v>157</v>
      </c>
      <c r="B25" s="178" t="s">
        <v>271</v>
      </c>
      <c r="C25" s="179"/>
      <c r="D25" s="179"/>
      <c r="E25" s="179"/>
      <c r="F25" s="179"/>
      <c r="G25" s="180"/>
      <c r="H25" s="175" t="s">
        <v>166</v>
      </c>
      <c r="I25" s="175"/>
      <c r="J25" s="175"/>
      <c r="K25" s="175"/>
      <c r="L25" s="175" t="s">
        <v>166</v>
      </c>
      <c r="M25" s="175"/>
      <c r="N25" s="175"/>
      <c r="O25" s="175"/>
      <c r="P25" s="77" t="s">
        <v>145</v>
      </c>
    </row>
    <row r="26" spans="1:16" ht="42" customHeight="1" thickBot="1" x14ac:dyDescent="0.3">
      <c r="A26" s="83" t="s">
        <v>158</v>
      </c>
      <c r="B26" s="178" t="s">
        <v>272</v>
      </c>
      <c r="C26" s="179"/>
      <c r="D26" s="179"/>
      <c r="E26" s="179"/>
      <c r="F26" s="179"/>
      <c r="G26" s="180"/>
      <c r="H26" s="175" t="s">
        <v>166</v>
      </c>
      <c r="I26" s="175"/>
      <c r="J26" s="175"/>
      <c r="K26" s="175"/>
      <c r="L26" s="175" t="s">
        <v>166</v>
      </c>
      <c r="M26" s="175"/>
      <c r="N26" s="175"/>
      <c r="O26" s="175"/>
      <c r="P26" s="77" t="s">
        <v>145</v>
      </c>
    </row>
    <row r="27" spans="1:16" ht="29.25" customHeight="1" thickBot="1" x14ac:dyDescent="0.3">
      <c r="A27" s="83" t="s">
        <v>159</v>
      </c>
      <c r="B27" s="178" t="s">
        <v>234</v>
      </c>
      <c r="C27" s="179"/>
      <c r="D27" s="179"/>
      <c r="E27" s="179"/>
      <c r="F27" s="179"/>
      <c r="G27" s="180"/>
      <c r="H27" s="175" t="s">
        <v>166</v>
      </c>
      <c r="I27" s="175"/>
      <c r="J27" s="175"/>
      <c r="K27" s="175"/>
      <c r="L27" s="175" t="s">
        <v>166</v>
      </c>
      <c r="M27" s="175"/>
      <c r="N27" s="175"/>
      <c r="O27" s="175"/>
      <c r="P27" s="77" t="s">
        <v>145</v>
      </c>
    </row>
    <row r="28" spans="1:16" ht="41.25" customHeight="1" thickBot="1" x14ac:dyDescent="0.3">
      <c r="A28" s="83" t="s">
        <v>162</v>
      </c>
      <c r="B28" s="178" t="s">
        <v>235</v>
      </c>
      <c r="C28" s="179"/>
      <c r="D28" s="179"/>
      <c r="E28" s="179"/>
      <c r="F28" s="179"/>
      <c r="G28" s="180"/>
      <c r="H28" s="175" t="s">
        <v>166</v>
      </c>
      <c r="I28" s="175"/>
      <c r="J28" s="175"/>
      <c r="K28" s="175"/>
      <c r="L28" s="175" t="s">
        <v>166</v>
      </c>
      <c r="M28" s="175"/>
      <c r="N28" s="175"/>
      <c r="O28" s="175"/>
      <c r="P28" s="77" t="s">
        <v>145</v>
      </c>
    </row>
  </sheetData>
  <mergeCells count="31">
    <mergeCell ref="B26:G26"/>
    <mergeCell ref="H26:K26"/>
    <mergeCell ref="L26:O26"/>
    <mergeCell ref="B25:G25"/>
    <mergeCell ref="H25:K25"/>
    <mergeCell ref="L25:O25"/>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 ref="B27:G27"/>
    <mergeCell ref="H27:K27"/>
    <mergeCell ref="L27:O27"/>
    <mergeCell ref="B28:G28"/>
    <mergeCell ref="H28:K28"/>
    <mergeCell ref="L28:O28"/>
  </mergeCells>
  <conditionalFormatting sqref="B9:B10">
    <cfRule type="cellIs" dxfId="211" priority="15" operator="equal">
      <formula>"Nok"</formula>
    </cfRule>
    <cfRule type="cellIs" dxfId="210" priority="16" operator="equal">
      <formula>"Ok"</formula>
    </cfRule>
  </conditionalFormatting>
  <conditionalFormatting sqref="P22 P26:P28">
    <cfRule type="cellIs" dxfId="209" priority="13" operator="equal">
      <formula>"Nok"</formula>
    </cfRule>
    <cfRule type="cellIs" dxfId="208" priority="14" operator="equal">
      <formula>"Ok"</formula>
    </cfRule>
  </conditionalFormatting>
  <conditionalFormatting sqref="P23">
    <cfRule type="cellIs" dxfId="207" priority="11" operator="equal">
      <formula>"Nok"</formula>
    </cfRule>
    <cfRule type="cellIs" dxfId="206" priority="12" operator="equal">
      <formula>"Ok"</formula>
    </cfRule>
  </conditionalFormatting>
  <conditionalFormatting sqref="P24">
    <cfRule type="cellIs" dxfId="205" priority="9" operator="equal">
      <formula>"Nok"</formula>
    </cfRule>
    <cfRule type="cellIs" dxfId="204" priority="10" operator="equal">
      <formula>"Ok"</formula>
    </cfRule>
  </conditionalFormatting>
  <conditionalFormatting sqref="P25">
    <cfRule type="cellIs" dxfId="203" priority="7" operator="equal">
      <formula>"Nok"</formula>
    </cfRule>
    <cfRule type="cellIs" dxfId="202" priority="8" operator="equal">
      <formula>"Ok"</formula>
    </cfRule>
  </conditionalFormatting>
  <dataValidations count="3">
    <dataValidation type="list" allowBlank="1" showInputMessage="1" showErrorMessage="1" sqref="B9" xr:uid="{7DCFEB7D-43F2-4180-9083-0872F98C47F9}">
      <formula1>"Ok, Nok, Not run, NA"</formula1>
    </dataValidation>
    <dataValidation type="list" allowBlank="1" showInputMessage="1" showErrorMessage="1" sqref="B5" xr:uid="{5BD8F2E1-3F9A-4230-BFDC-CE856FED9491}">
      <formula1>"Nominal, Robustness, Endurance, Qualification"</formula1>
    </dataValidation>
    <dataValidation type="list" allowBlank="1" showInputMessage="1" showErrorMessage="1" sqref="P22:P28" xr:uid="{8491E84D-40DB-4EB3-A597-AEC250A1BDC1}">
      <formula1>"Ok, Nok, Not run, ,"</formula1>
    </dataValidation>
  </dataValidations>
  <pageMargins left="0.7" right="0.7" top="0.75" bottom="0.75" header="0.3" footer="0.3"/>
  <pageSetup paperSize="9" orientation="portrait" r:id="rId1"/>
  <headerFooter>
    <oddFooter>&amp;LTBD ver 1.7&amp;R&amp;P</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FEC9C-6990-43EA-A6FD-E1A0D4A20CD6}">
  <sheetPr codeName="Sheet20"/>
  <dimension ref="A1:P33"/>
  <sheetViews>
    <sheetView zoomScaleNormal="100" workbookViewId="0">
      <selection activeCell="B3" sqref="B3:G3"/>
    </sheetView>
  </sheetViews>
  <sheetFormatPr defaultColWidth="9.109375" defaultRowHeight="13.2" x14ac:dyDescent="0.25"/>
  <cols>
    <col min="1" max="1" width="20.109375" style="78" customWidth="1"/>
    <col min="2" max="2" width="18.44140625" style="75" customWidth="1"/>
    <col min="3" max="7" width="9.109375" style="75"/>
    <col min="8" max="10" width="9.5546875" style="75" customWidth="1"/>
    <col min="11" max="11" width="20.5546875" style="75" customWidth="1"/>
    <col min="12" max="14" width="9.5546875" style="75" customWidth="1"/>
    <col min="15" max="15" width="40" style="75" customWidth="1"/>
    <col min="16" max="16384" width="9.109375" style="75"/>
  </cols>
  <sheetData>
    <row r="1" spans="1:15" ht="13.8" thickBot="1" x14ac:dyDescent="0.3">
      <c r="A1" s="79" t="s">
        <v>139</v>
      </c>
      <c r="B1" s="200" t="s">
        <v>318</v>
      </c>
      <c r="C1" s="201"/>
      <c r="D1" s="201"/>
      <c r="E1" s="201"/>
      <c r="F1" s="201"/>
      <c r="G1" s="202"/>
      <c r="H1" s="55"/>
      <c r="I1" s="55"/>
      <c r="J1" s="55"/>
      <c r="K1" s="55"/>
      <c r="L1" s="55"/>
      <c r="M1" s="55"/>
      <c r="N1" s="55"/>
      <c r="O1" s="55"/>
    </row>
    <row r="2" spans="1:15" ht="13.8" thickBot="1" x14ac:dyDescent="0.3">
      <c r="A2" s="54"/>
      <c r="B2" s="55"/>
      <c r="C2" s="55"/>
      <c r="D2" s="55"/>
      <c r="E2" s="55"/>
      <c r="F2" s="55"/>
      <c r="G2" s="55"/>
      <c r="H2" s="55"/>
      <c r="I2" s="55"/>
      <c r="J2" s="55"/>
      <c r="K2" s="55"/>
      <c r="L2" s="55"/>
      <c r="M2" s="55"/>
      <c r="N2" s="55"/>
      <c r="O2" s="55"/>
    </row>
    <row r="3" spans="1:15" ht="27" thickBot="1" x14ac:dyDescent="0.3">
      <c r="A3" s="80" t="s">
        <v>140</v>
      </c>
      <c r="B3" s="213" t="s">
        <v>336</v>
      </c>
      <c r="C3" s="214"/>
      <c r="D3" s="214"/>
      <c r="E3" s="214"/>
      <c r="F3" s="214"/>
      <c r="G3" s="215"/>
      <c r="H3" s="55"/>
      <c r="I3" s="55"/>
      <c r="J3" s="55"/>
      <c r="K3" s="55"/>
      <c r="L3" s="55"/>
      <c r="M3" s="55"/>
      <c r="N3" s="55"/>
      <c r="O3" s="55"/>
    </row>
    <row r="4" spans="1:15" ht="13.8" thickBot="1" x14ac:dyDescent="0.3">
      <c r="A4" s="54"/>
      <c r="B4" s="55"/>
      <c r="C4" s="55"/>
      <c r="D4" s="55"/>
      <c r="E4" s="55"/>
      <c r="F4" s="55"/>
      <c r="G4" s="55"/>
      <c r="H4" s="55"/>
      <c r="I4" s="55"/>
      <c r="J4" s="55"/>
      <c r="K4" s="55"/>
      <c r="L4" s="55"/>
      <c r="M4" s="55"/>
      <c r="N4" s="55"/>
      <c r="O4" s="55"/>
    </row>
    <row r="5" spans="1:15" ht="13.8" thickBot="1" x14ac:dyDescent="0.3">
      <c r="A5" s="79" t="s">
        <v>141</v>
      </c>
      <c r="B5" s="58" t="s">
        <v>142</v>
      </c>
      <c r="C5" s="55"/>
      <c r="D5" s="55"/>
      <c r="E5" s="55"/>
      <c r="F5" s="55"/>
      <c r="G5" s="55"/>
      <c r="H5" s="55"/>
      <c r="I5" s="55"/>
      <c r="J5" s="55"/>
      <c r="K5" s="55"/>
      <c r="L5" s="55"/>
      <c r="M5" s="55"/>
      <c r="N5" s="55"/>
      <c r="O5" s="55"/>
    </row>
    <row r="6" spans="1:15" ht="13.8" thickBot="1" x14ac:dyDescent="0.3">
      <c r="A6" s="54"/>
      <c r="B6" s="55"/>
      <c r="C6" s="55"/>
      <c r="D6" s="55"/>
      <c r="E6" s="55"/>
      <c r="F6" s="55"/>
      <c r="G6" s="55"/>
      <c r="H6" s="55"/>
      <c r="I6" s="55"/>
      <c r="J6" s="55"/>
      <c r="K6" s="55"/>
      <c r="L6" s="55"/>
      <c r="M6" s="55"/>
      <c r="N6" s="55"/>
      <c r="O6" s="55"/>
    </row>
    <row r="7" spans="1:15" ht="13.8" thickBot="1" x14ac:dyDescent="0.3">
      <c r="A7" s="79" t="s">
        <v>143</v>
      </c>
      <c r="B7" s="203" t="s">
        <v>256</v>
      </c>
      <c r="C7" s="204"/>
      <c r="D7" s="204"/>
      <c r="E7" s="204"/>
      <c r="F7" s="204"/>
      <c r="G7" s="205"/>
      <c r="H7" s="55"/>
      <c r="I7" s="55"/>
      <c r="J7" s="55"/>
      <c r="K7" s="55"/>
      <c r="L7" s="55"/>
      <c r="M7" s="55"/>
      <c r="N7" s="55"/>
      <c r="O7" s="55"/>
    </row>
    <row r="8" spans="1:15" ht="13.8" thickBot="1" x14ac:dyDescent="0.3">
      <c r="A8" s="57"/>
      <c r="B8" s="56"/>
      <c r="C8" s="56"/>
      <c r="D8" s="56"/>
      <c r="E8" s="56"/>
      <c r="F8" s="56"/>
      <c r="G8" s="56"/>
      <c r="H8" s="55"/>
      <c r="I8" s="55"/>
      <c r="J8" s="55"/>
      <c r="K8" s="55"/>
      <c r="L8" s="55"/>
      <c r="M8" s="55"/>
      <c r="N8" s="55"/>
      <c r="O8" s="55"/>
    </row>
    <row r="9" spans="1:15" ht="13.8" thickBot="1" x14ac:dyDescent="0.3">
      <c r="A9" s="79" t="s">
        <v>144</v>
      </c>
      <c r="B9" s="84" t="s">
        <v>145</v>
      </c>
      <c r="C9" s="55"/>
      <c r="D9" s="55"/>
      <c r="E9" s="55"/>
      <c r="F9" s="55"/>
      <c r="G9" s="55"/>
      <c r="H9" s="55"/>
      <c r="I9" s="55"/>
      <c r="J9" s="55"/>
      <c r="K9" s="55"/>
      <c r="L9" s="55"/>
      <c r="M9" s="55"/>
      <c r="N9" s="55"/>
      <c r="O9" s="55"/>
    </row>
    <row r="10" spans="1:15" ht="13.8" thickBot="1" x14ac:dyDescent="0.3">
      <c r="A10" s="57"/>
      <c r="B10" s="76"/>
      <c r="C10" s="55"/>
      <c r="D10" s="55"/>
      <c r="E10" s="55"/>
      <c r="F10" s="55"/>
      <c r="G10" s="55"/>
      <c r="H10" s="55"/>
      <c r="I10" s="55"/>
      <c r="J10" s="55"/>
      <c r="K10" s="55"/>
      <c r="L10" s="55"/>
      <c r="M10" s="55"/>
      <c r="N10" s="55"/>
      <c r="O10" s="55"/>
    </row>
    <row r="11" spans="1:15" ht="12" customHeight="1" x14ac:dyDescent="0.25">
      <c r="A11" s="189" t="s">
        <v>146</v>
      </c>
      <c r="B11" s="191" t="s">
        <v>147</v>
      </c>
      <c r="C11" s="192"/>
      <c r="D11" s="192"/>
      <c r="E11" s="192"/>
      <c r="F11" s="192"/>
      <c r="G11" s="193"/>
      <c r="H11" s="55"/>
      <c r="I11" s="55"/>
      <c r="J11" s="55"/>
      <c r="K11" s="55"/>
      <c r="L11" s="55"/>
      <c r="M11" s="55"/>
      <c r="N11" s="55"/>
      <c r="O11" s="55"/>
    </row>
    <row r="12" spans="1:15" x14ac:dyDescent="0.25">
      <c r="A12" s="190"/>
      <c r="B12" s="194"/>
      <c r="C12" s="195"/>
      <c r="D12" s="195"/>
      <c r="E12" s="195"/>
      <c r="F12" s="195"/>
      <c r="G12" s="196"/>
      <c r="H12" s="55"/>
      <c r="I12" s="55"/>
      <c r="J12" s="55"/>
      <c r="K12" s="55"/>
      <c r="L12" s="55"/>
      <c r="M12" s="55"/>
      <c r="N12" s="55"/>
      <c r="O12" s="55"/>
    </row>
    <row r="13" spans="1:15" x14ac:dyDescent="0.25">
      <c r="A13" s="190"/>
      <c r="B13" s="194"/>
      <c r="C13" s="195"/>
      <c r="D13" s="195"/>
      <c r="E13" s="195"/>
      <c r="F13" s="195"/>
      <c r="G13" s="196"/>
      <c r="H13" s="54"/>
      <c r="I13" s="55"/>
      <c r="J13" s="55"/>
      <c r="K13" s="55"/>
      <c r="L13" s="55"/>
      <c r="M13" s="55"/>
      <c r="N13" s="55"/>
      <c r="O13" s="55"/>
    </row>
    <row r="14" spans="1:15" ht="13.8" thickBot="1" x14ac:dyDescent="0.3">
      <c r="A14" s="190"/>
      <c r="B14" s="197"/>
      <c r="C14" s="198"/>
      <c r="D14" s="198"/>
      <c r="E14" s="198"/>
      <c r="F14" s="198"/>
      <c r="G14" s="199"/>
      <c r="H14" s="59"/>
      <c r="I14" s="55"/>
      <c r="J14" s="55"/>
      <c r="K14" s="55"/>
      <c r="L14" s="55"/>
      <c r="M14" s="55"/>
      <c r="N14" s="55"/>
      <c r="O14" s="55"/>
    </row>
    <row r="15" spans="1:15" ht="13.8" thickBot="1" x14ac:dyDescent="0.3">
      <c r="A15" s="54"/>
      <c r="B15" s="54"/>
      <c r="C15" s="54"/>
      <c r="D15" s="54"/>
      <c r="E15" s="54"/>
      <c r="F15" s="54"/>
      <c r="G15" s="54"/>
      <c r="H15" s="59"/>
      <c r="I15" s="55"/>
      <c r="J15" s="55"/>
      <c r="K15" s="55"/>
      <c r="L15" s="55"/>
      <c r="M15" s="55"/>
      <c r="N15" s="55"/>
      <c r="O15" s="55"/>
    </row>
    <row r="16" spans="1:15" x14ac:dyDescent="0.25">
      <c r="A16" s="189" t="s">
        <v>148</v>
      </c>
      <c r="B16" s="191" t="s">
        <v>149</v>
      </c>
      <c r="C16" s="192"/>
      <c r="D16" s="192"/>
      <c r="E16" s="192"/>
      <c r="F16" s="192"/>
      <c r="G16" s="193"/>
      <c r="H16" s="55"/>
      <c r="I16" s="55"/>
      <c r="J16" s="55"/>
      <c r="K16" s="55"/>
      <c r="L16" s="55"/>
      <c r="M16" s="55"/>
      <c r="N16" s="55"/>
      <c r="O16" s="55"/>
    </row>
    <row r="17" spans="1:16" x14ac:dyDescent="0.25">
      <c r="A17" s="190"/>
      <c r="B17" s="194"/>
      <c r="C17" s="195"/>
      <c r="D17" s="195"/>
      <c r="E17" s="195"/>
      <c r="F17" s="195"/>
      <c r="G17" s="196"/>
      <c r="H17" s="55"/>
      <c r="I17" s="55"/>
      <c r="J17" s="55"/>
      <c r="K17" s="55"/>
      <c r="L17" s="55"/>
      <c r="M17" s="55"/>
      <c r="N17" s="55"/>
      <c r="O17" s="55"/>
    </row>
    <row r="18" spans="1:16" x14ac:dyDescent="0.25">
      <c r="A18" s="190"/>
      <c r="B18" s="194"/>
      <c r="C18" s="195"/>
      <c r="D18" s="195"/>
      <c r="E18" s="195"/>
      <c r="F18" s="195"/>
      <c r="G18" s="196"/>
      <c r="H18" s="54"/>
      <c r="I18" s="55"/>
      <c r="J18" s="55"/>
      <c r="K18" s="55"/>
      <c r="L18" s="55"/>
      <c r="M18" s="55"/>
      <c r="N18" s="55"/>
      <c r="O18" s="55"/>
    </row>
    <row r="19" spans="1:16" ht="13.8" thickBot="1" x14ac:dyDescent="0.3">
      <c r="A19" s="190"/>
      <c r="B19" s="197"/>
      <c r="C19" s="198"/>
      <c r="D19" s="198"/>
      <c r="E19" s="198"/>
      <c r="F19" s="198"/>
      <c r="G19" s="199"/>
      <c r="H19" s="59"/>
      <c r="I19" s="55"/>
      <c r="J19" s="55"/>
      <c r="K19" s="55"/>
      <c r="L19" s="55"/>
      <c r="M19" s="55"/>
      <c r="N19" s="55"/>
      <c r="O19" s="55"/>
    </row>
    <row r="20" spans="1:16" ht="13.8" thickBot="1" x14ac:dyDescent="0.3">
      <c r="A20" s="54"/>
      <c r="B20" s="54"/>
      <c r="C20" s="54"/>
      <c r="D20" s="54"/>
      <c r="E20" s="54"/>
      <c r="F20" s="54"/>
      <c r="G20" s="54"/>
      <c r="H20" s="59"/>
      <c r="I20" s="55"/>
      <c r="J20" s="55"/>
      <c r="K20" s="55"/>
      <c r="L20" s="55"/>
      <c r="M20" s="55"/>
      <c r="N20" s="55"/>
      <c r="O20" s="55"/>
    </row>
    <row r="21" spans="1:16" ht="12.75" customHeight="1" x14ac:dyDescent="0.25">
      <c r="A21" s="186" t="s">
        <v>150</v>
      </c>
      <c r="B21" s="187"/>
      <c r="C21" s="187"/>
      <c r="D21" s="187"/>
      <c r="E21" s="187"/>
      <c r="F21" s="187"/>
      <c r="G21" s="188"/>
      <c r="H21" s="186" t="s">
        <v>151</v>
      </c>
      <c r="I21" s="187"/>
      <c r="J21" s="187"/>
      <c r="K21" s="188"/>
      <c r="L21" s="186" t="s">
        <v>152</v>
      </c>
      <c r="M21" s="187"/>
      <c r="N21" s="187"/>
      <c r="O21" s="188"/>
      <c r="P21" s="81" t="s">
        <v>153</v>
      </c>
    </row>
    <row r="22" spans="1:16" ht="28.95" customHeight="1" x14ac:dyDescent="0.25">
      <c r="A22" s="82" t="s">
        <v>154</v>
      </c>
      <c r="B22" s="178" t="s">
        <v>197</v>
      </c>
      <c r="C22" s="179"/>
      <c r="D22" s="179"/>
      <c r="E22" s="179"/>
      <c r="F22" s="179"/>
      <c r="G22" s="180"/>
      <c r="H22" s="175" t="s">
        <v>166</v>
      </c>
      <c r="I22" s="175"/>
      <c r="J22" s="175"/>
      <c r="K22" s="175"/>
      <c r="L22" s="175" t="s">
        <v>166</v>
      </c>
      <c r="M22" s="175"/>
      <c r="N22" s="175"/>
      <c r="O22" s="175"/>
      <c r="P22" s="77" t="s">
        <v>145</v>
      </c>
    </row>
    <row r="23" spans="1:16" ht="27" customHeight="1" x14ac:dyDescent="0.25">
      <c r="A23" s="82" t="s">
        <v>155</v>
      </c>
      <c r="B23" s="178" t="s">
        <v>198</v>
      </c>
      <c r="C23" s="179"/>
      <c r="D23" s="179"/>
      <c r="E23" s="179"/>
      <c r="F23" s="179"/>
      <c r="G23" s="180"/>
      <c r="H23" s="175" t="s">
        <v>166</v>
      </c>
      <c r="I23" s="175"/>
      <c r="J23" s="175"/>
      <c r="K23" s="175"/>
      <c r="L23" s="175" t="s">
        <v>166</v>
      </c>
      <c r="M23" s="175"/>
      <c r="N23" s="175"/>
      <c r="O23" s="175"/>
      <c r="P23" s="77" t="s">
        <v>145</v>
      </c>
    </row>
    <row r="24" spans="1:16" ht="70.5" customHeight="1" x14ac:dyDescent="0.25">
      <c r="A24" s="82" t="s">
        <v>156</v>
      </c>
      <c r="B24" s="178" t="s">
        <v>294</v>
      </c>
      <c r="C24" s="179"/>
      <c r="D24" s="179"/>
      <c r="E24" s="179"/>
      <c r="F24" s="179"/>
      <c r="G24" s="180"/>
      <c r="H24" s="175" t="s">
        <v>166</v>
      </c>
      <c r="I24" s="175"/>
      <c r="J24" s="175"/>
      <c r="K24" s="175"/>
      <c r="L24" s="175" t="s">
        <v>166</v>
      </c>
      <c r="M24" s="175"/>
      <c r="N24" s="175"/>
      <c r="O24" s="175"/>
      <c r="P24" s="77" t="s">
        <v>145</v>
      </c>
    </row>
    <row r="25" spans="1:16" ht="57" customHeight="1" x14ac:dyDescent="0.25">
      <c r="A25" s="82" t="s">
        <v>157</v>
      </c>
      <c r="B25" s="178" t="s">
        <v>199</v>
      </c>
      <c r="C25" s="179"/>
      <c r="D25" s="179"/>
      <c r="E25" s="179"/>
      <c r="F25" s="179"/>
      <c r="G25" s="180"/>
      <c r="H25" s="175" t="s">
        <v>166</v>
      </c>
      <c r="I25" s="175"/>
      <c r="J25" s="175"/>
      <c r="K25" s="175"/>
      <c r="L25" s="175" t="s">
        <v>166</v>
      </c>
      <c r="M25" s="175"/>
      <c r="N25" s="175"/>
      <c r="O25" s="175"/>
      <c r="P25" s="77" t="s">
        <v>145</v>
      </c>
    </row>
    <row r="26" spans="1:16" ht="52.5" customHeight="1" x14ac:dyDescent="0.25">
      <c r="A26" s="82" t="s">
        <v>158</v>
      </c>
      <c r="B26" s="178" t="s">
        <v>223</v>
      </c>
      <c r="C26" s="179"/>
      <c r="D26" s="179"/>
      <c r="E26" s="179"/>
      <c r="F26" s="179"/>
      <c r="G26" s="180"/>
      <c r="H26" s="175" t="s">
        <v>200</v>
      </c>
      <c r="I26" s="175"/>
      <c r="J26" s="175"/>
      <c r="K26" s="175"/>
      <c r="L26" s="175" t="s">
        <v>200</v>
      </c>
      <c r="M26" s="175"/>
      <c r="N26" s="175"/>
      <c r="O26" s="175"/>
      <c r="P26" s="77" t="s">
        <v>145</v>
      </c>
    </row>
    <row r="27" spans="1:16" x14ac:dyDescent="0.25">
      <c r="A27" s="82" t="s">
        <v>159</v>
      </c>
      <c r="B27" s="178"/>
      <c r="C27" s="179"/>
      <c r="D27" s="179"/>
      <c r="E27" s="179"/>
      <c r="F27" s="179"/>
      <c r="G27" s="180"/>
      <c r="H27" s="175"/>
      <c r="I27" s="175"/>
      <c r="J27" s="175"/>
      <c r="K27" s="175"/>
      <c r="L27" s="175"/>
      <c r="M27" s="175"/>
      <c r="N27" s="175"/>
      <c r="O27" s="175"/>
      <c r="P27" s="77"/>
    </row>
    <row r="28" spans="1:16" x14ac:dyDescent="0.25">
      <c r="A28" s="82" t="s">
        <v>162</v>
      </c>
      <c r="B28" s="178"/>
      <c r="C28" s="179"/>
      <c r="D28" s="179"/>
      <c r="E28" s="179"/>
      <c r="F28" s="179"/>
      <c r="G28" s="180"/>
      <c r="H28" s="175"/>
      <c r="I28" s="175"/>
      <c r="J28" s="175"/>
      <c r="K28" s="175"/>
      <c r="L28" s="175"/>
      <c r="M28" s="175"/>
      <c r="N28" s="175"/>
      <c r="O28" s="175"/>
      <c r="P28" s="77"/>
    </row>
    <row r="29" spans="1:16" x14ac:dyDescent="0.25">
      <c r="A29" s="82" t="s">
        <v>163</v>
      </c>
      <c r="B29" s="178"/>
      <c r="C29" s="179"/>
      <c r="D29" s="179"/>
      <c r="E29" s="179"/>
      <c r="F29" s="179"/>
      <c r="G29" s="180"/>
      <c r="H29" s="175"/>
      <c r="I29" s="175"/>
      <c r="J29" s="175"/>
      <c r="K29" s="175"/>
      <c r="L29" s="175"/>
      <c r="M29" s="175"/>
      <c r="N29" s="175"/>
      <c r="O29" s="175"/>
      <c r="P29" s="77"/>
    </row>
    <row r="30" spans="1:16" ht="12.75" customHeight="1" x14ac:dyDescent="0.25">
      <c r="A30" s="82" t="s">
        <v>164</v>
      </c>
      <c r="B30" s="178"/>
      <c r="C30" s="179"/>
      <c r="D30" s="179"/>
      <c r="E30" s="179"/>
      <c r="F30" s="179"/>
      <c r="G30" s="180"/>
      <c r="H30" s="175"/>
      <c r="I30" s="175"/>
      <c r="J30" s="175"/>
      <c r="K30" s="175"/>
      <c r="L30" s="175"/>
      <c r="M30" s="175"/>
      <c r="N30" s="175"/>
      <c r="O30" s="175"/>
      <c r="P30" s="77"/>
    </row>
    <row r="31" spans="1:16" ht="12.75" customHeight="1" x14ac:dyDescent="0.25">
      <c r="A31" s="82" t="s">
        <v>165</v>
      </c>
      <c r="B31" s="178"/>
      <c r="C31" s="179"/>
      <c r="D31" s="179"/>
      <c r="E31" s="179"/>
      <c r="F31" s="179"/>
      <c r="G31" s="180"/>
      <c r="H31" s="175"/>
      <c r="I31" s="175"/>
      <c r="J31" s="175"/>
      <c r="K31" s="175"/>
      <c r="L31" s="175"/>
      <c r="M31" s="175"/>
      <c r="N31" s="175"/>
      <c r="O31" s="175"/>
      <c r="P31" s="77"/>
    </row>
    <row r="32" spans="1:16" x14ac:dyDescent="0.25">
      <c r="A32" s="82" t="s">
        <v>167</v>
      </c>
      <c r="B32" s="178"/>
      <c r="C32" s="179"/>
      <c r="D32" s="179"/>
      <c r="E32" s="179"/>
      <c r="F32" s="179"/>
      <c r="G32" s="180"/>
      <c r="H32" s="175"/>
      <c r="I32" s="175"/>
      <c r="J32" s="175"/>
      <c r="K32" s="175"/>
      <c r="L32" s="175"/>
      <c r="M32" s="175"/>
      <c r="N32" s="175"/>
      <c r="O32" s="175"/>
      <c r="P32" s="77"/>
    </row>
    <row r="33" spans="1:1" x14ac:dyDescent="0.25">
      <c r="A33" s="75"/>
    </row>
  </sheetData>
  <mergeCells count="43">
    <mergeCell ref="B31:G31"/>
    <mergeCell ref="H31:K31"/>
    <mergeCell ref="L31:O31"/>
    <mergeCell ref="B32:G32"/>
    <mergeCell ref="H32:K32"/>
    <mergeCell ref="L32:O32"/>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phoneticPr fontId="42" type="noConversion"/>
  <conditionalFormatting sqref="B9:B10">
    <cfRule type="cellIs" dxfId="201" priority="3" operator="equal">
      <formula>"Nok"</formula>
    </cfRule>
    <cfRule type="cellIs" dxfId="200" priority="4" operator="equal">
      <formula>"Ok"</formula>
    </cfRule>
  </conditionalFormatting>
  <conditionalFormatting sqref="P22:P32">
    <cfRule type="cellIs" dxfId="199" priority="1" operator="equal">
      <formula>"Nok"</formula>
    </cfRule>
    <cfRule type="cellIs" dxfId="198" priority="2" operator="equal">
      <formula>"Ok"</formula>
    </cfRule>
  </conditionalFormatting>
  <dataValidations disablePrompts="1" count="3">
    <dataValidation type="list" allowBlank="1" showInputMessage="1" showErrorMessage="1" sqref="B5" xr:uid="{EE96F3B7-A43D-4FF9-AD04-FE98FA5D24A8}">
      <formula1>"Nominal, Robustness, Endurance, Qualification"</formula1>
    </dataValidation>
    <dataValidation type="list" allowBlank="1" showInputMessage="1" showErrorMessage="1" sqref="B9" xr:uid="{524AFAC7-E573-4C95-9E38-8CB3420215F1}">
      <formula1>"Ok, Nok, Not run, NA"</formula1>
    </dataValidation>
    <dataValidation type="list" allowBlank="1" showInputMessage="1" showErrorMessage="1" sqref="P22:P32" xr:uid="{A71D4C5E-1F99-465E-A348-08A9F50B2559}">
      <formula1>"Ok, Nok, Not run, ,"</formula1>
    </dataValidation>
  </dataValidations>
  <pageMargins left="0.7" right="0.7" top="0.75" bottom="0.75" header="0.3" footer="0.3"/>
  <pageSetup paperSize="9" orientation="portrait" r:id="rId1"/>
  <headerFooter>
    <oddFooter>&amp;LTBD ver 1.7&amp;R&amp;P</oddFooter>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A6B8E-A7AF-4736-8B8B-09760F938FD4}">
  <sheetPr codeName="Sheet21"/>
  <dimension ref="A1:P33"/>
  <sheetViews>
    <sheetView workbookViewId="0">
      <selection activeCell="B3" sqref="B3:G3"/>
    </sheetView>
  </sheetViews>
  <sheetFormatPr defaultColWidth="9.109375" defaultRowHeight="13.2" x14ac:dyDescent="0.25"/>
  <cols>
    <col min="1" max="1" width="20.109375" style="78" customWidth="1"/>
    <col min="2" max="2" width="18.44140625" style="75" customWidth="1"/>
    <col min="3" max="7" width="9.109375" style="75"/>
    <col min="8" max="10" width="9.5546875" style="75" customWidth="1"/>
    <col min="11" max="11" width="20.5546875" style="75" customWidth="1"/>
    <col min="12" max="14" width="9.5546875" style="75" customWidth="1"/>
    <col min="15" max="15" width="40" style="75" customWidth="1"/>
    <col min="16" max="16384" width="9.109375" style="75"/>
  </cols>
  <sheetData>
    <row r="1" spans="1:15" ht="13.8" thickBot="1" x14ac:dyDescent="0.3">
      <c r="A1" s="79" t="s">
        <v>139</v>
      </c>
      <c r="B1" s="200" t="s">
        <v>319</v>
      </c>
      <c r="C1" s="201"/>
      <c r="D1" s="201"/>
      <c r="E1" s="201"/>
      <c r="F1" s="201"/>
      <c r="G1" s="202"/>
      <c r="H1" s="55"/>
      <c r="I1" s="55"/>
      <c r="J1" s="55"/>
      <c r="K1" s="55"/>
      <c r="L1" s="55"/>
      <c r="M1" s="55"/>
      <c r="N1" s="55"/>
      <c r="O1" s="55"/>
    </row>
    <row r="2" spans="1:15" ht="13.8" thickBot="1" x14ac:dyDescent="0.3">
      <c r="A2" s="54"/>
      <c r="B2" s="55"/>
      <c r="C2" s="55"/>
      <c r="D2" s="55"/>
      <c r="E2" s="55"/>
      <c r="F2" s="55"/>
      <c r="G2" s="55"/>
      <c r="H2" s="55"/>
      <c r="I2" s="55"/>
      <c r="J2" s="55"/>
      <c r="K2" s="55"/>
      <c r="L2" s="55"/>
      <c r="M2" s="55"/>
      <c r="N2" s="55"/>
      <c r="O2" s="55"/>
    </row>
    <row r="3" spans="1:15" ht="27" thickBot="1" x14ac:dyDescent="0.3">
      <c r="A3" s="80" t="s">
        <v>140</v>
      </c>
      <c r="B3" s="213" t="s">
        <v>337</v>
      </c>
      <c r="C3" s="214"/>
      <c r="D3" s="214"/>
      <c r="E3" s="214"/>
      <c r="F3" s="214"/>
      <c r="G3" s="215"/>
      <c r="H3" s="55"/>
      <c r="I3" s="55"/>
      <c r="J3" s="55"/>
      <c r="K3" s="55"/>
      <c r="L3" s="55"/>
      <c r="M3" s="55"/>
      <c r="N3" s="55"/>
      <c r="O3" s="55"/>
    </row>
    <row r="4" spans="1:15" ht="13.8" thickBot="1" x14ac:dyDescent="0.3">
      <c r="A4" s="54"/>
      <c r="B4" s="55"/>
      <c r="C4" s="55"/>
      <c r="D4" s="55"/>
      <c r="E4" s="55"/>
      <c r="F4" s="55"/>
      <c r="G4" s="55"/>
      <c r="H4" s="55"/>
      <c r="I4" s="55"/>
      <c r="J4" s="55"/>
      <c r="K4" s="55"/>
      <c r="L4" s="55"/>
      <c r="M4" s="55"/>
      <c r="N4" s="55"/>
      <c r="O4" s="55"/>
    </row>
    <row r="5" spans="1:15" ht="13.8" thickBot="1" x14ac:dyDescent="0.3">
      <c r="A5" s="79" t="s">
        <v>141</v>
      </c>
      <c r="B5" s="58" t="s">
        <v>142</v>
      </c>
      <c r="C5" s="55"/>
      <c r="D5" s="55"/>
      <c r="E5" s="55"/>
      <c r="F5" s="55"/>
      <c r="G5" s="55"/>
      <c r="H5" s="55"/>
      <c r="I5" s="55"/>
      <c r="J5" s="55"/>
      <c r="K5" s="55"/>
      <c r="L5" s="55"/>
      <c r="M5" s="55"/>
      <c r="N5" s="55"/>
      <c r="O5" s="55"/>
    </row>
    <row r="6" spans="1:15" ht="13.8" thickBot="1" x14ac:dyDescent="0.3">
      <c r="A6" s="54"/>
      <c r="B6" s="55"/>
      <c r="C6" s="55"/>
      <c r="D6" s="55"/>
      <c r="E6" s="55"/>
      <c r="F6" s="55"/>
      <c r="G6" s="55"/>
      <c r="H6" s="55"/>
      <c r="I6" s="55"/>
      <c r="J6" s="55"/>
      <c r="K6" s="55"/>
      <c r="L6" s="55"/>
      <c r="M6" s="55"/>
      <c r="N6" s="55"/>
      <c r="O6" s="55"/>
    </row>
    <row r="7" spans="1:15" ht="13.8" thickBot="1" x14ac:dyDescent="0.3">
      <c r="A7" s="79" t="s">
        <v>143</v>
      </c>
      <c r="B7" s="203" t="s">
        <v>201</v>
      </c>
      <c r="C7" s="204"/>
      <c r="D7" s="204"/>
      <c r="E7" s="204"/>
      <c r="F7" s="204"/>
      <c r="G7" s="205"/>
      <c r="H7" s="55"/>
      <c r="I7" s="55"/>
      <c r="J7" s="55"/>
      <c r="K7" s="55"/>
      <c r="L7" s="55"/>
      <c r="M7" s="55"/>
      <c r="N7" s="55"/>
      <c r="O7" s="55"/>
    </row>
    <row r="8" spans="1:15" ht="13.8" thickBot="1" x14ac:dyDescent="0.3">
      <c r="A8" s="57"/>
      <c r="B8" s="56"/>
      <c r="C8" s="56"/>
      <c r="D8" s="56"/>
      <c r="E8" s="56"/>
      <c r="F8" s="56"/>
      <c r="G8" s="56"/>
      <c r="H8" s="55"/>
      <c r="I8" s="55"/>
      <c r="J8" s="55"/>
      <c r="K8" s="55"/>
      <c r="L8" s="55"/>
      <c r="M8" s="55"/>
      <c r="N8" s="55"/>
      <c r="O8" s="55"/>
    </row>
    <row r="9" spans="1:15" ht="13.8" thickBot="1" x14ac:dyDescent="0.3">
      <c r="A9" s="79" t="s">
        <v>144</v>
      </c>
      <c r="B9" s="84" t="s">
        <v>145</v>
      </c>
      <c r="C9" s="55"/>
      <c r="D9" s="55"/>
      <c r="E9" s="55"/>
      <c r="F9" s="55"/>
      <c r="G9" s="55"/>
      <c r="H9" s="55"/>
      <c r="I9" s="55"/>
      <c r="J9" s="55"/>
      <c r="K9" s="55"/>
      <c r="L9" s="55"/>
      <c r="M9" s="55"/>
      <c r="N9" s="55"/>
      <c r="O9" s="55"/>
    </row>
    <row r="10" spans="1:15" ht="13.8" thickBot="1" x14ac:dyDescent="0.3">
      <c r="A10" s="57"/>
      <c r="B10" s="76"/>
      <c r="C10" s="55"/>
      <c r="D10" s="55"/>
      <c r="E10" s="55"/>
      <c r="F10" s="55"/>
      <c r="G10" s="55"/>
      <c r="H10" s="55"/>
      <c r="I10" s="55"/>
      <c r="J10" s="55"/>
      <c r="K10" s="55"/>
      <c r="L10" s="55"/>
      <c r="M10" s="55"/>
      <c r="N10" s="55"/>
      <c r="O10" s="55"/>
    </row>
    <row r="11" spans="1:15" ht="12" customHeight="1" x14ac:dyDescent="0.25">
      <c r="A11" s="189" t="s">
        <v>146</v>
      </c>
      <c r="B11" s="191" t="s">
        <v>147</v>
      </c>
      <c r="C11" s="192"/>
      <c r="D11" s="192"/>
      <c r="E11" s="192"/>
      <c r="F11" s="192"/>
      <c r="G11" s="193"/>
      <c r="H11" s="55"/>
      <c r="I11" s="55"/>
      <c r="J11" s="55"/>
      <c r="K11" s="55"/>
      <c r="L11" s="55"/>
      <c r="M11" s="55"/>
      <c r="N11" s="55"/>
      <c r="O11" s="55"/>
    </row>
    <row r="12" spans="1:15" x14ac:dyDescent="0.25">
      <c r="A12" s="190"/>
      <c r="B12" s="194"/>
      <c r="C12" s="195"/>
      <c r="D12" s="195"/>
      <c r="E12" s="195"/>
      <c r="F12" s="195"/>
      <c r="G12" s="196"/>
      <c r="H12" s="55"/>
      <c r="I12" s="55"/>
      <c r="J12" s="55"/>
      <c r="K12" s="55"/>
      <c r="L12" s="55"/>
      <c r="M12" s="55"/>
      <c r="N12" s="55"/>
      <c r="O12" s="55"/>
    </row>
    <row r="13" spans="1:15" x14ac:dyDescent="0.25">
      <c r="A13" s="190"/>
      <c r="B13" s="194"/>
      <c r="C13" s="195"/>
      <c r="D13" s="195"/>
      <c r="E13" s="195"/>
      <c r="F13" s="195"/>
      <c r="G13" s="196"/>
      <c r="H13" s="54"/>
      <c r="I13" s="55"/>
      <c r="J13" s="55"/>
      <c r="K13" s="55"/>
      <c r="L13" s="55"/>
      <c r="M13" s="55"/>
      <c r="N13" s="55"/>
      <c r="O13" s="55"/>
    </row>
    <row r="14" spans="1:15" ht="13.8" thickBot="1" x14ac:dyDescent="0.3">
      <c r="A14" s="190"/>
      <c r="B14" s="197"/>
      <c r="C14" s="198"/>
      <c r="D14" s="198"/>
      <c r="E14" s="198"/>
      <c r="F14" s="198"/>
      <c r="G14" s="199"/>
      <c r="H14" s="59"/>
      <c r="I14" s="55"/>
      <c r="J14" s="55"/>
      <c r="K14" s="55"/>
      <c r="L14" s="55"/>
      <c r="M14" s="55"/>
      <c r="N14" s="55"/>
      <c r="O14" s="55"/>
    </row>
    <row r="15" spans="1:15" ht="13.8" thickBot="1" x14ac:dyDescent="0.3">
      <c r="A15" s="54"/>
      <c r="B15" s="54"/>
      <c r="C15" s="54"/>
      <c r="D15" s="54"/>
      <c r="E15" s="54"/>
      <c r="F15" s="54"/>
      <c r="G15" s="54"/>
      <c r="H15" s="59"/>
      <c r="I15" s="55"/>
      <c r="J15" s="55"/>
      <c r="K15" s="55"/>
      <c r="L15" s="55"/>
      <c r="M15" s="55"/>
      <c r="N15" s="55"/>
      <c r="O15" s="55"/>
    </row>
    <row r="16" spans="1:15" x14ac:dyDescent="0.25">
      <c r="A16" s="189" t="s">
        <v>148</v>
      </c>
      <c r="B16" s="191" t="s">
        <v>149</v>
      </c>
      <c r="C16" s="192"/>
      <c r="D16" s="192"/>
      <c r="E16" s="192"/>
      <c r="F16" s="192"/>
      <c r="G16" s="193"/>
      <c r="H16" s="55"/>
      <c r="I16" s="55"/>
      <c r="J16" s="55"/>
      <c r="K16" s="55"/>
      <c r="L16" s="55"/>
      <c r="M16" s="55"/>
      <c r="N16" s="55"/>
      <c r="O16" s="55"/>
    </row>
    <row r="17" spans="1:16" x14ac:dyDescent="0.25">
      <c r="A17" s="190"/>
      <c r="B17" s="194"/>
      <c r="C17" s="195"/>
      <c r="D17" s="195"/>
      <c r="E17" s="195"/>
      <c r="F17" s="195"/>
      <c r="G17" s="196"/>
      <c r="H17" s="55"/>
      <c r="I17" s="55"/>
      <c r="J17" s="55"/>
      <c r="K17" s="55"/>
      <c r="L17" s="55"/>
      <c r="M17" s="55"/>
      <c r="N17" s="55"/>
      <c r="O17" s="55"/>
    </row>
    <row r="18" spans="1:16" x14ac:dyDescent="0.25">
      <c r="A18" s="190"/>
      <c r="B18" s="194"/>
      <c r="C18" s="195"/>
      <c r="D18" s="195"/>
      <c r="E18" s="195"/>
      <c r="F18" s="195"/>
      <c r="G18" s="196"/>
      <c r="H18" s="54"/>
      <c r="I18" s="55"/>
      <c r="J18" s="55"/>
      <c r="K18" s="55"/>
      <c r="L18" s="55"/>
      <c r="M18" s="55"/>
      <c r="N18" s="55"/>
      <c r="O18" s="55"/>
    </row>
    <row r="19" spans="1:16" ht="13.8" thickBot="1" x14ac:dyDescent="0.3">
      <c r="A19" s="190"/>
      <c r="B19" s="197"/>
      <c r="C19" s="198"/>
      <c r="D19" s="198"/>
      <c r="E19" s="198"/>
      <c r="F19" s="198"/>
      <c r="G19" s="199"/>
      <c r="H19" s="59"/>
      <c r="I19" s="55"/>
      <c r="J19" s="55"/>
      <c r="K19" s="55"/>
      <c r="L19" s="55"/>
      <c r="M19" s="55"/>
      <c r="N19" s="55"/>
      <c r="O19" s="55"/>
    </row>
    <row r="20" spans="1:16" ht="13.8" thickBot="1" x14ac:dyDescent="0.3">
      <c r="A20" s="54"/>
      <c r="B20" s="54"/>
      <c r="C20" s="54"/>
      <c r="D20" s="54"/>
      <c r="E20" s="54"/>
      <c r="F20" s="54"/>
      <c r="G20" s="54"/>
      <c r="H20" s="59"/>
      <c r="I20" s="55"/>
      <c r="J20" s="55"/>
      <c r="K20" s="55"/>
      <c r="L20" s="55"/>
      <c r="M20" s="55"/>
      <c r="N20" s="55"/>
      <c r="O20" s="55"/>
    </row>
    <row r="21" spans="1:16" ht="12.75" customHeight="1" x14ac:dyDescent="0.25">
      <c r="A21" s="186" t="s">
        <v>150</v>
      </c>
      <c r="B21" s="187"/>
      <c r="C21" s="187"/>
      <c r="D21" s="187"/>
      <c r="E21" s="187"/>
      <c r="F21" s="187"/>
      <c r="G21" s="188"/>
      <c r="H21" s="186" t="s">
        <v>151</v>
      </c>
      <c r="I21" s="187"/>
      <c r="J21" s="187"/>
      <c r="K21" s="188"/>
      <c r="L21" s="186" t="s">
        <v>152</v>
      </c>
      <c r="M21" s="187"/>
      <c r="N21" s="187"/>
      <c r="O21" s="188"/>
      <c r="P21" s="81" t="s">
        <v>153</v>
      </c>
    </row>
    <row r="22" spans="1:16" ht="28.95" customHeight="1" x14ac:dyDescent="0.25">
      <c r="A22" s="82" t="s">
        <v>154</v>
      </c>
      <c r="B22" s="178" t="s">
        <v>197</v>
      </c>
      <c r="C22" s="179"/>
      <c r="D22" s="179"/>
      <c r="E22" s="179"/>
      <c r="F22" s="179"/>
      <c r="G22" s="180"/>
      <c r="H22" s="175" t="s">
        <v>166</v>
      </c>
      <c r="I22" s="175"/>
      <c r="J22" s="175"/>
      <c r="K22" s="175"/>
      <c r="L22" s="175" t="s">
        <v>166</v>
      </c>
      <c r="M22" s="175"/>
      <c r="N22" s="175"/>
      <c r="O22" s="175"/>
      <c r="P22" s="77" t="s">
        <v>145</v>
      </c>
    </row>
    <row r="23" spans="1:16" ht="39" customHeight="1" x14ac:dyDescent="0.25">
      <c r="A23" s="82" t="s">
        <v>155</v>
      </c>
      <c r="B23" s="178" t="s">
        <v>202</v>
      </c>
      <c r="C23" s="179"/>
      <c r="D23" s="179"/>
      <c r="E23" s="179"/>
      <c r="F23" s="179"/>
      <c r="G23" s="180"/>
      <c r="H23" s="175" t="s">
        <v>166</v>
      </c>
      <c r="I23" s="175"/>
      <c r="J23" s="175"/>
      <c r="K23" s="175"/>
      <c r="L23" s="175" t="s">
        <v>166</v>
      </c>
      <c r="M23" s="175"/>
      <c r="N23" s="175"/>
      <c r="O23" s="175"/>
      <c r="P23" s="77" t="s">
        <v>145</v>
      </c>
    </row>
    <row r="24" spans="1:16" ht="67.5" customHeight="1" x14ac:dyDescent="0.25">
      <c r="A24" s="82" t="s">
        <v>156</v>
      </c>
      <c r="B24" s="178" t="s">
        <v>203</v>
      </c>
      <c r="C24" s="179"/>
      <c r="D24" s="179"/>
      <c r="E24" s="179"/>
      <c r="F24" s="179"/>
      <c r="G24" s="180"/>
      <c r="H24" s="175" t="s">
        <v>166</v>
      </c>
      <c r="I24" s="175"/>
      <c r="J24" s="175"/>
      <c r="K24" s="175"/>
      <c r="L24" s="175" t="s">
        <v>166</v>
      </c>
      <c r="M24" s="175"/>
      <c r="N24" s="175"/>
      <c r="O24" s="175"/>
      <c r="P24" s="77" t="s">
        <v>145</v>
      </c>
    </row>
    <row r="25" spans="1:16" ht="44.4" customHeight="1" x14ac:dyDescent="0.25">
      <c r="A25" s="82" t="s">
        <v>157</v>
      </c>
      <c r="B25" s="178" t="s">
        <v>204</v>
      </c>
      <c r="C25" s="179"/>
      <c r="D25" s="179"/>
      <c r="E25" s="179"/>
      <c r="F25" s="179"/>
      <c r="G25" s="180"/>
      <c r="H25" s="175" t="s">
        <v>166</v>
      </c>
      <c r="I25" s="175"/>
      <c r="J25" s="175"/>
      <c r="K25" s="175"/>
      <c r="L25" s="175" t="s">
        <v>166</v>
      </c>
      <c r="M25" s="175"/>
      <c r="N25" s="175"/>
      <c r="O25" s="175"/>
      <c r="P25" s="77" t="s">
        <v>145</v>
      </c>
    </row>
    <row r="26" spans="1:16" x14ac:dyDescent="0.25">
      <c r="A26" s="82" t="s">
        <v>158</v>
      </c>
      <c r="B26" s="178"/>
      <c r="C26" s="179"/>
      <c r="D26" s="179"/>
      <c r="E26" s="179"/>
      <c r="F26" s="179"/>
      <c r="G26" s="180"/>
      <c r="H26" s="175"/>
      <c r="I26" s="175"/>
      <c r="J26" s="175"/>
      <c r="K26" s="175"/>
      <c r="L26" s="175"/>
      <c r="M26" s="175"/>
      <c r="N26" s="175"/>
      <c r="O26" s="175"/>
      <c r="P26" s="77"/>
    </row>
    <row r="27" spans="1:16" x14ac:dyDescent="0.25">
      <c r="A27" s="82" t="s">
        <v>159</v>
      </c>
      <c r="B27" s="178"/>
      <c r="C27" s="179"/>
      <c r="D27" s="179"/>
      <c r="E27" s="179"/>
      <c r="F27" s="179"/>
      <c r="G27" s="180"/>
      <c r="H27" s="178"/>
      <c r="I27" s="179"/>
      <c r="J27" s="179"/>
      <c r="K27" s="180"/>
      <c r="L27" s="178"/>
      <c r="M27" s="179"/>
      <c r="N27" s="179"/>
      <c r="O27" s="180"/>
      <c r="P27" s="77"/>
    </row>
    <row r="28" spans="1:16" x14ac:dyDescent="0.25">
      <c r="A28" s="82" t="s">
        <v>162</v>
      </c>
      <c r="B28" s="178"/>
      <c r="C28" s="179"/>
      <c r="D28" s="179"/>
      <c r="E28" s="179"/>
      <c r="F28" s="179"/>
      <c r="G28" s="180"/>
      <c r="H28" s="175"/>
      <c r="I28" s="175"/>
      <c r="J28" s="175"/>
      <c r="K28" s="175"/>
      <c r="L28" s="175"/>
      <c r="M28" s="175"/>
      <c r="N28" s="175"/>
      <c r="O28" s="175"/>
      <c r="P28" s="77"/>
    </row>
    <row r="29" spans="1:16" x14ac:dyDescent="0.25">
      <c r="A29" s="82" t="s">
        <v>163</v>
      </c>
      <c r="B29" s="178"/>
      <c r="C29" s="179"/>
      <c r="D29" s="179"/>
      <c r="E29" s="179"/>
      <c r="F29" s="179"/>
      <c r="G29" s="180"/>
      <c r="H29" s="175"/>
      <c r="I29" s="175"/>
      <c r="J29" s="175"/>
      <c r="K29" s="175"/>
      <c r="L29" s="175"/>
      <c r="M29" s="175"/>
      <c r="N29" s="175"/>
      <c r="O29" s="175"/>
      <c r="P29" s="77"/>
    </row>
    <row r="30" spans="1:16" ht="12.75" customHeight="1" x14ac:dyDescent="0.25">
      <c r="A30" s="82" t="s">
        <v>164</v>
      </c>
      <c r="B30" s="178"/>
      <c r="C30" s="179"/>
      <c r="D30" s="179"/>
      <c r="E30" s="179"/>
      <c r="F30" s="179"/>
      <c r="G30" s="180"/>
      <c r="H30" s="175"/>
      <c r="I30" s="175"/>
      <c r="J30" s="175"/>
      <c r="K30" s="175"/>
      <c r="L30" s="175"/>
      <c r="M30" s="175"/>
      <c r="N30" s="175"/>
      <c r="O30" s="175"/>
      <c r="P30" s="77"/>
    </row>
    <row r="31" spans="1:16" ht="12.75" customHeight="1" x14ac:dyDescent="0.25">
      <c r="A31" s="82" t="s">
        <v>165</v>
      </c>
      <c r="B31" s="178"/>
      <c r="C31" s="179"/>
      <c r="D31" s="179"/>
      <c r="E31" s="179"/>
      <c r="F31" s="179"/>
      <c r="G31" s="180"/>
      <c r="H31" s="175"/>
      <c r="I31" s="175"/>
      <c r="J31" s="175"/>
      <c r="K31" s="175"/>
      <c r="L31" s="175"/>
      <c r="M31" s="175"/>
      <c r="N31" s="175"/>
      <c r="O31" s="175"/>
      <c r="P31" s="77"/>
    </row>
    <row r="32" spans="1:16" x14ac:dyDescent="0.25">
      <c r="A32" s="82" t="s">
        <v>167</v>
      </c>
      <c r="B32" s="178"/>
      <c r="C32" s="179"/>
      <c r="D32" s="179"/>
      <c r="E32" s="179"/>
      <c r="F32" s="179"/>
      <c r="G32" s="180"/>
      <c r="H32" s="175"/>
      <c r="I32" s="175"/>
      <c r="J32" s="175"/>
      <c r="K32" s="175"/>
      <c r="L32" s="175"/>
      <c r="M32" s="175"/>
      <c r="N32" s="175"/>
      <c r="O32" s="175"/>
      <c r="P32" s="77"/>
    </row>
    <row r="33" spans="1:1" x14ac:dyDescent="0.25">
      <c r="A33" s="75"/>
    </row>
  </sheetData>
  <mergeCells count="43">
    <mergeCell ref="B31:G31"/>
    <mergeCell ref="H31:K31"/>
    <mergeCell ref="L31:O31"/>
    <mergeCell ref="B32:G32"/>
    <mergeCell ref="H32:K32"/>
    <mergeCell ref="L32:O32"/>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phoneticPr fontId="42" type="noConversion"/>
  <conditionalFormatting sqref="B9:B10">
    <cfRule type="cellIs" dxfId="197" priority="11" operator="equal">
      <formula>"Nok"</formula>
    </cfRule>
    <cfRule type="cellIs" dxfId="196" priority="12" operator="equal">
      <formula>"Ok"</formula>
    </cfRule>
  </conditionalFormatting>
  <conditionalFormatting sqref="P28:P32">
    <cfRule type="cellIs" dxfId="195" priority="9" operator="equal">
      <formula>"Nok"</formula>
    </cfRule>
    <cfRule type="cellIs" dxfId="194" priority="10" operator="equal">
      <formula>"Ok"</formula>
    </cfRule>
  </conditionalFormatting>
  <conditionalFormatting sqref="P27">
    <cfRule type="cellIs" dxfId="193" priority="7" operator="equal">
      <formula>"Nok"</formula>
    </cfRule>
    <cfRule type="cellIs" dxfId="192" priority="8" operator="equal">
      <formula>"Ok"</formula>
    </cfRule>
  </conditionalFormatting>
  <conditionalFormatting sqref="P22:P24">
    <cfRule type="cellIs" dxfId="191" priority="5" operator="equal">
      <formula>"Nok"</formula>
    </cfRule>
    <cfRule type="cellIs" dxfId="190" priority="6" operator="equal">
      <formula>"Ok"</formula>
    </cfRule>
  </conditionalFormatting>
  <conditionalFormatting sqref="P25">
    <cfRule type="cellIs" dxfId="189" priority="3" operator="equal">
      <formula>"Nok"</formula>
    </cfRule>
    <cfRule type="cellIs" dxfId="188" priority="4" operator="equal">
      <formula>"Ok"</formula>
    </cfRule>
  </conditionalFormatting>
  <conditionalFormatting sqref="P26">
    <cfRule type="cellIs" dxfId="187" priority="1" operator="equal">
      <formula>"Nok"</formula>
    </cfRule>
    <cfRule type="cellIs" dxfId="186" priority="2" operator="equal">
      <formula>"Ok"</formula>
    </cfRule>
  </conditionalFormatting>
  <dataValidations count="3">
    <dataValidation type="list" allowBlank="1" showInputMessage="1" showErrorMessage="1" sqref="P22:P32" xr:uid="{5BB4E419-E6E8-4262-B760-AB87F6557899}">
      <formula1>"Ok, Nok, Not run, ,"</formula1>
    </dataValidation>
    <dataValidation type="list" allowBlank="1" showInputMessage="1" showErrorMessage="1" sqref="B9" xr:uid="{661CE9B8-FACF-4FD1-B017-FB34DE399D51}">
      <formula1>"Ok, Nok, Not run, NA"</formula1>
    </dataValidation>
    <dataValidation type="list" allowBlank="1" showInputMessage="1" showErrorMessage="1" sqref="B5" xr:uid="{A7FFD3FD-3C92-438A-9500-281AAB6AB40C}">
      <formula1>"Nominal, Robustness, Endurance, Qualification"</formula1>
    </dataValidation>
  </dataValidations>
  <pageMargins left="0.7" right="0.7" top="0.75" bottom="0.75" header="0.3" footer="0.3"/>
  <pageSetup paperSize="9" orientation="portrait" r:id="rId1"/>
  <headerFooter>
    <oddFooter>&amp;LTBD ver 1.7&amp;R&amp;P</oddFooter>
  </headerFooter>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F1DF76-750A-4888-B58F-90509E5F7179}">
  <sheetPr codeName="Sheet22"/>
  <dimension ref="A1:P33"/>
  <sheetViews>
    <sheetView workbookViewId="0">
      <selection activeCell="B3" sqref="B3:G3"/>
    </sheetView>
  </sheetViews>
  <sheetFormatPr defaultColWidth="9.109375" defaultRowHeight="13.2" x14ac:dyDescent="0.25"/>
  <cols>
    <col min="1" max="1" width="20.109375" style="78" customWidth="1"/>
    <col min="2" max="2" width="18.44140625" style="75" customWidth="1"/>
    <col min="3" max="7" width="9.109375" style="75"/>
    <col min="8" max="10" width="9.5546875" style="75" customWidth="1"/>
    <col min="11" max="11" width="20.5546875" style="75" customWidth="1"/>
    <col min="12" max="14" width="9.5546875" style="75" customWidth="1"/>
    <col min="15" max="15" width="40" style="75" customWidth="1"/>
    <col min="16" max="16384" width="9.109375" style="75"/>
  </cols>
  <sheetData>
    <row r="1" spans="1:15" ht="13.8" thickBot="1" x14ac:dyDescent="0.3">
      <c r="A1" s="79" t="s">
        <v>139</v>
      </c>
      <c r="B1" s="200" t="s">
        <v>320</v>
      </c>
      <c r="C1" s="201"/>
      <c r="D1" s="201"/>
      <c r="E1" s="201"/>
      <c r="F1" s="201"/>
      <c r="G1" s="202"/>
      <c r="H1" s="55"/>
      <c r="I1" s="55"/>
      <c r="J1" s="55"/>
      <c r="K1" s="55"/>
      <c r="L1" s="55"/>
      <c r="M1" s="55"/>
      <c r="N1" s="55"/>
      <c r="O1" s="55"/>
    </row>
    <row r="2" spans="1:15" ht="13.8" thickBot="1" x14ac:dyDescent="0.3">
      <c r="A2" s="54"/>
      <c r="B2" s="55"/>
      <c r="C2" s="55"/>
      <c r="D2" s="55"/>
      <c r="E2" s="55"/>
      <c r="F2" s="55"/>
      <c r="G2" s="55"/>
      <c r="H2" s="55"/>
      <c r="I2" s="55"/>
      <c r="J2" s="55"/>
      <c r="K2" s="55"/>
      <c r="L2" s="55"/>
      <c r="M2" s="55"/>
      <c r="N2" s="55"/>
      <c r="O2" s="55"/>
    </row>
    <row r="3" spans="1:15" ht="27" thickBot="1" x14ac:dyDescent="0.3">
      <c r="A3" s="80" t="s">
        <v>140</v>
      </c>
      <c r="B3" s="213" t="s">
        <v>338</v>
      </c>
      <c r="C3" s="214"/>
      <c r="D3" s="214"/>
      <c r="E3" s="214"/>
      <c r="F3" s="214"/>
      <c r="G3" s="215"/>
      <c r="H3" s="55"/>
      <c r="I3" s="55"/>
      <c r="J3" s="55"/>
      <c r="K3" s="55"/>
      <c r="L3" s="55"/>
      <c r="M3" s="55"/>
      <c r="N3" s="55"/>
      <c r="O3" s="55"/>
    </row>
    <row r="4" spans="1:15" ht="13.8" thickBot="1" x14ac:dyDescent="0.3">
      <c r="A4" s="54"/>
      <c r="B4" s="55"/>
      <c r="C4" s="55"/>
      <c r="D4" s="55"/>
      <c r="E4" s="55"/>
      <c r="F4" s="55"/>
      <c r="G4" s="55"/>
      <c r="H4" s="55"/>
      <c r="I4" s="55"/>
      <c r="J4" s="55"/>
      <c r="K4" s="55"/>
      <c r="L4" s="55"/>
      <c r="M4" s="55"/>
      <c r="N4" s="55"/>
      <c r="O4" s="55"/>
    </row>
    <row r="5" spans="1:15" ht="13.8" thickBot="1" x14ac:dyDescent="0.3">
      <c r="A5" s="79" t="s">
        <v>141</v>
      </c>
      <c r="B5" s="58" t="s">
        <v>142</v>
      </c>
      <c r="C5" s="55"/>
      <c r="D5" s="55"/>
      <c r="E5" s="55"/>
      <c r="F5" s="55"/>
      <c r="G5" s="55"/>
      <c r="H5" s="55"/>
      <c r="I5" s="55"/>
      <c r="J5" s="55"/>
      <c r="K5" s="55"/>
      <c r="L5" s="55"/>
      <c r="M5" s="55"/>
      <c r="N5" s="55"/>
      <c r="O5" s="55"/>
    </row>
    <row r="6" spans="1:15" ht="13.8" thickBot="1" x14ac:dyDescent="0.3">
      <c r="A6" s="54"/>
      <c r="B6" s="55"/>
      <c r="C6" s="55"/>
      <c r="D6" s="55"/>
      <c r="E6" s="55"/>
      <c r="F6" s="55"/>
      <c r="G6" s="55"/>
      <c r="H6" s="55"/>
      <c r="I6" s="55"/>
      <c r="J6" s="55"/>
      <c r="K6" s="55"/>
      <c r="L6" s="55"/>
      <c r="M6" s="55"/>
      <c r="N6" s="55"/>
      <c r="O6" s="55"/>
    </row>
    <row r="7" spans="1:15" ht="13.8" thickBot="1" x14ac:dyDescent="0.3">
      <c r="A7" s="79" t="s">
        <v>143</v>
      </c>
      <c r="B7" s="203" t="s">
        <v>205</v>
      </c>
      <c r="C7" s="204"/>
      <c r="D7" s="204"/>
      <c r="E7" s="204"/>
      <c r="F7" s="204"/>
      <c r="G7" s="205"/>
      <c r="H7" s="55"/>
      <c r="I7" s="55"/>
      <c r="J7" s="55"/>
      <c r="K7" s="55"/>
      <c r="L7" s="55"/>
      <c r="M7" s="55"/>
      <c r="N7" s="55"/>
      <c r="O7" s="55"/>
    </row>
    <row r="8" spans="1:15" ht="13.8" thickBot="1" x14ac:dyDescent="0.3">
      <c r="A8" s="57"/>
      <c r="B8" s="56"/>
      <c r="C8" s="56"/>
      <c r="D8" s="56"/>
      <c r="E8" s="56"/>
      <c r="F8" s="56"/>
      <c r="G8" s="56"/>
      <c r="H8" s="55"/>
      <c r="I8" s="55"/>
      <c r="J8" s="55"/>
      <c r="K8" s="55"/>
      <c r="L8" s="55"/>
      <c r="M8" s="55"/>
      <c r="N8" s="55"/>
      <c r="O8" s="55"/>
    </row>
    <row r="9" spans="1:15" ht="13.8" thickBot="1" x14ac:dyDescent="0.3">
      <c r="A9" s="79" t="s">
        <v>144</v>
      </c>
      <c r="B9" s="84" t="s">
        <v>180</v>
      </c>
      <c r="C9" s="55"/>
      <c r="D9" s="55"/>
      <c r="E9" s="55"/>
      <c r="F9" s="55"/>
      <c r="G9" s="55"/>
      <c r="H9" s="55"/>
      <c r="I9" s="55"/>
      <c r="J9" s="55"/>
      <c r="K9" s="55"/>
      <c r="L9" s="55"/>
      <c r="M9" s="55"/>
      <c r="N9" s="55"/>
      <c r="O9" s="55"/>
    </row>
    <row r="10" spans="1:15" ht="13.8" thickBot="1" x14ac:dyDescent="0.3">
      <c r="A10" s="57"/>
      <c r="B10" s="76"/>
      <c r="C10" s="55"/>
      <c r="D10" s="55"/>
      <c r="E10" s="55"/>
      <c r="F10" s="55"/>
      <c r="G10" s="55"/>
      <c r="H10" s="55"/>
      <c r="I10" s="55"/>
      <c r="J10" s="55"/>
      <c r="K10" s="55"/>
      <c r="L10" s="55"/>
      <c r="M10" s="55"/>
      <c r="N10" s="55"/>
      <c r="O10" s="55"/>
    </row>
    <row r="11" spans="1:15" ht="12" customHeight="1" x14ac:dyDescent="0.25">
      <c r="A11" s="189" t="s">
        <v>146</v>
      </c>
      <c r="B11" s="191" t="s">
        <v>147</v>
      </c>
      <c r="C11" s="192"/>
      <c r="D11" s="192"/>
      <c r="E11" s="192"/>
      <c r="F11" s="192"/>
      <c r="G11" s="193"/>
      <c r="H11" s="55"/>
      <c r="I11" s="55"/>
      <c r="J11" s="55"/>
      <c r="K11" s="55"/>
      <c r="L11" s="55"/>
      <c r="M11" s="55"/>
      <c r="N11" s="55"/>
      <c r="O11" s="55"/>
    </row>
    <row r="12" spans="1:15" x14ac:dyDescent="0.25">
      <c r="A12" s="190"/>
      <c r="B12" s="194"/>
      <c r="C12" s="195"/>
      <c r="D12" s="195"/>
      <c r="E12" s="195"/>
      <c r="F12" s="195"/>
      <c r="G12" s="196"/>
      <c r="H12" s="55"/>
      <c r="I12" s="55"/>
      <c r="J12" s="55"/>
      <c r="K12" s="55"/>
      <c r="L12" s="55"/>
      <c r="M12" s="55"/>
      <c r="N12" s="55"/>
      <c r="O12" s="55"/>
    </row>
    <row r="13" spans="1:15" x14ac:dyDescent="0.25">
      <c r="A13" s="190"/>
      <c r="B13" s="194"/>
      <c r="C13" s="195"/>
      <c r="D13" s="195"/>
      <c r="E13" s="195"/>
      <c r="F13" s="195"/>
      <c r="G13" s="196"/>
      <c r="H13" s="54"/>
      <c r="I13" s="55"/>
      <c r="J13" s="55"/>
      <c r="K13" s="55"/>
      <c r="L13" s="55"/>
      <c r="M13" s="55"/>
      <c r="N13" s="55"/>
      <c r="O13" s="55"/>
    </row>
    <row r="14" spans="1:15" ht="13.8" thickBot="1" x14ac:dyDescent="0.3">
      <c r="A14" s="190"/>
      <c r="B14" s="197"/>
      <c r="C14" s="198"/>
      <c r="D14" s="198"/>
      <c r="E14" s="198"/>
      <c r="F14" s="198"/>
      <c r="G14" s="199"/>
      <c r="H14" s="59"/>
      <c r="I14" s="55"/>
      <c r="J14" s="55"/>
      <c r="K14" s="55"/>
      <c r="L14" s="55"/>
      <c r="M14" s="55"/>
      <c r="N14" s="55"/>
      <c r="O14" s="55"/>
    </row>
    <row r="15" spans="1:15" ht="13.8" thickBot="1" x14ac:dyDescent="0.3">
      <c r="A15" s="54"/>
      <c r="B15" s="54"/>
      <c r="C15" s="54"/>
      <c r="D15" s="54"/>
      <c r="E15" s="54"/>
      <c r="F15" s="54"/>
      <c r="G15" s="54"/>
      <c r="H15" s="59"/>
      <c r="I15" s="55"/>
      <c r="J15" s="55"/>
      <c r="K15" s="55"/>
      <c r="L15" s="55"/>
      <c r="M15" s="55"/>
      <c r="N15" s="55"/>
      <c r="O15" s="55"/>
    </row>
    <row r="16" spans="1:15" x14ac:dyDescent="0.25">
      <c r="A16" s="189" t="s">
        <v>148</v>
      </c>
      <c r="B16" s="191" t="s">
        <v>149</v>
      </c>
      <c r="C16" s="192"/>
      <c r="D16" s="192"/>
      <c r="E16" s="192"/>
      <c r="F16" s="192"/>
      <c r="G16" s="193"/>
      <c r="H16" s="55"/>
      <c r="I16" s="55"/>
      <c r="J16" s="55"/>
      <c r="K16" s="55"/>
      <c r="L16" s="55"/>
      <c r="M16" s="55"/>
      <c r="N16" s="55"/>
      <c r="O16" s="55"/>
    </row>
    <row r="17" spans="1:16" x14ac:dyDescent="0.25">
      <c r="A17" s="190"/>
      <c r="B17" s="194"/>
      <c r="C17" s="195"/>
      <c r="D17" s="195"/>
      <c r="E17" s="195"/>
      <c r="F17" s="195"/>
      <c r="G17" s="196"/>
      <c r="H17" s="55"/>
      <c r="I17" s="55"/>
      <c r="J17" s="55"/>
      <c r="K17" s="55"/>
      <c r="L17" s="55"/>
      <c r="M17" s="55"/>
      <c r="N17" s="55"/>
      <c r="O17" s="55"/>
    </row>
    <row r="18" spans="1:16" x14ac:dyDescent="0.25">
      <c r="A18" s="190"/>
      <c r="B18" s="194"/>
      <c r="C18" s="195"/>
      <c r="D18" s="195"/>
      <c r="E18" s="195"/>
      <c r="F18" s="195"/>
      <c r="G18" s="196"/>
      <c r="H18" s="54"/>
      <c r="I18" s="55"/>
      <c r="J18" s="55"/>
      <c r="K18" s="55"/>
      <c r="L18" s="55"/>
      <c r="M18" s="55"/>
      <c r="N18" s="55"/>
      <c r="O18" s="55"/>
    </row>
    <row r="19" spans="1:16" ht="13.8" thickBot="1" x14ac:dyDescent="0.3">
      <c r="A19" s="190"/>
      <c r="B19" s="197"/>
      <c r="C19" s="198"/>
      <c r="D19" s="198"/>
      <c r="E19" s="198"/>
      <c r="F19" s="198"/>
      <c r="G19" s="199"/>
      <c r="H19" s="59"/>
      <c r="I19" s="55"/>
      <c r="J19" s="55"/>
      <c r="K19" s="55"/>
      <c r="L19" s="55"/>
      <c r="M19" s="55"/>
      <c r="N19" s="55"/>
      <c r="O19" s="55"/>
    </row>
    <row r="20" spans="1:16" ht="13.8" thickBot="1" x14ac:dyDescent="0.3">
      <c r="A20" s="54"/>
      <c r="B20" s="54"/>
      <c r="C20" s="54"/>
      <c r="D20" s="54"/>
      <c r="E20" s="54"/>
      <c r="F20" s="54"/>
      <c r="G20" s="54"/>
      <c r="H20" s="59"/>
      <c r="I20" s="55"/>
      <c r="J20" s="55"/>
      <c r="K20" s="55"/>
      <c r="L20" s="55"/>
      <c r="M20" s="55"/>
      <c r="N20" s="55"/>
      <c r="O20" s="55"/>
    </row>
    <row r="21" spans="1:16" ht="12.75" customHeight="1" x14ac:dyDescent="0.25">
      <c r="A21" s="186" t="s">
        <v>150</v>
      </c>
      <c r="B21" s="187"/>
      <c r="C21" s="187"/>
      <c r="D21" s="187"/>
      <c r="E21" s="187"/>
      <c r="F21" s="187"/>
      <c r="G21" s="188"/>
      <c r="H21" s="186" t="s">
        <v>151</v>
      </c>
      <c r="I21" s="187"/>
      <c r="J21" s="187"/>
      <c r="K21" s="188"/>
      <c r="L21" s="186" t="s">
        <v>152</v>
      </c>
      <c r="M21" s="187"/>
      <c r="N21" s="187"/>
      <c r="O21" s="188"/>
      <c r="P21" s="81" t="s">
        <v>153</v>
      </c>
    </row>
    <row r="22" spans="1:16" ht="28.95" customHeight="1" x14ac:dyDescent="0.25">
      <c r="A22" s="82" t="s">
        <v>154</v>
      </c>
      <c r="B22" s="178" t="s">
        <v>197</v>
      </c>
      <c r="C22" s="179"/>
      <c r="D22" s="179"/>
      <c r="E22" s="179"/>
      <c r="F22" s="179"/>
      <c r="G22" s="180"/>
      <c r="H22" s="175" t="s">
        <v>166</v>
      </c>
      <c r="I22" s="175"/>
      <c r="J22" s="175"/>
      <c r="K22" s="175"/>
      <c r="L22" s="175" t="s">
        <v>166</v>
      </c>
      <c r="M22" s="175"/>
      <c r="N22" s="175"/>
      <c r="O22" s="175"/>
      <c r="P22" s="77" t="s">
        <v>145</v>
      </c>
    </row>
    <row r="23" spans="1:16" ht="39" customHeight="1" x14ac:dyDescent="0.25">
      <c r="A23" s="82" t="s">
        <v>155</v>
      </c>
      <c r="B23" s="178" t="s">
        <v>206</v>
      </c>
      <c r="C23" s="179"/>
      <c r="D23" s="179"/>
      <c r="E23" s="179"/>
      <c r="F23" s="179"/>
      <c r="G23" s="180"/>
      <c r="H23" s="178" t="s">
        <v>166</v>
      </c>
      <c r="I23" s="179"/>
      <c r="J23" s="179"/>
      <c r="K23" s="180"/>
      <c r="L23" s="178" t="s">
        <v>166</v>
      </c>
      <c r="M23" s="179"/>
      <c r="N23" s="179"/>
      <c r="O23" s="180"/>
      <c r="P23" s="77" t="s">
        <v>145</v>
      </c>
    </row>
    <row r="24" spans="1:16" ht="41.4" customHeight="1" x14ac:dyDescent="0.25">
      <c r="A24" s="82" t="s">
        <v>156</v>
      </c>
      <c r="B24" s="178" t="s">
        <v>295</v>
      </c>
      <c r="C24" s="179"/>
      <c r="D24" s="179"/>
      <c r="E24" s="179"/>
      <c r="F24" s="179"/>
      <c r="G24" s="180"/>
      <c r="H24" s="178" t="s">
        <v>166</v>
      </c>
      <c r="I24" s="179"/>
      <c r="J24" s="179"/>
      <c r="K24" s="180"/>
      <c r="L24" s="178" t="s">
        <v>166</v>
      </c>
      <c r="M24" s="179"/>
      <c r="N24" s="179"/>
      <c r="O24" s="180"/>
      <c r="P24" s="77" t="s">
        <v>145</v>
      </c>
    </row>
    <row r="25" spans="1:16" ht="59.25" customHeight="1" x14ac:dyDescent="0.25">
      <c r="A25" s="82" t="s">
        <v>157</v>
      </c>
      <c r="B25" s="178" t="s">
        <v>296</v>
      </c>
      <c r="C25" s="179"/>
      <c r="D25" s="179"/>
      <c r="E25" s="179"/>
      <c r="F25" s="179"/>
      <c r="G25" s="180"/>
      <c r="H25" s="178" t="s">
        <v>297</v>
      </c>
      <c r="I25" s="179"/>
      <c r="J25" s="179"/>
      <c r="K25" s="180"/>
      <c r="L25" s="178" t="s">
        <v>321</v>
      </c>
      <c r="M25" s="179"/>
      <c r="N25" s="179"/>
      <c r="O25" s="180"/>
      <c r="P25" s="77" t="s">
        <v>180</v>
      </c>
    </row>
    <row r="26" spans="1:16" ht="38.25" customHeight="1" x14ac:dyDescent="0.25">
      <c r="A26" s="82" t="s">
        <v>158</v>
      </c>
      <c r="B26" s="178" t="s">
        <v>207</v>
      </c>
      <c r="C26" s="179"/>
      <c r="D26" s="179"/>
      <c r="E26" s="179"/>
      <c r="F26" s="179"/>
      <c r="G26" s="180"/>
      <c r="H26" s="178" t="s">
        <v>166</v>
      </c>
      <c r="I26" s="179"/>
      <c r="J26" s="179"/>
      <c r="K26" s="180"/>
      <c r="L26" s="178" t="s">
        <v>166</v>
      </c>
      <c r="M26" s="179"/>
      <c r="N26" s="179"/>
      <c r="O26" s="180"/>
      <c r="P26" s="77" t="s">
        <v>145</v>
      </c>
    </row>
    <row r="27" spans="1:16" ht="51.75" customHeight="1" x14ac:dyDescent="0.25">
      <c r="A27" s="82" t="s">
        <v>159</v>
      </c>
      <c r="B27" s="210" t="s">
        <v>208</v>
      </c>
      <c r="C27" s="211"/>
      <c r="D27" s="211"/>
      <c r="E27" s="211"/>
      <c r="F27" s="211"/>
      <c r="G27" s="212"/>
      <c r="H27" s="178" t="s">
        <v>166</v>
      </c>
      <c r="I27" s="179"/>
      <c r="J27" s="179"/>
      <c r="K27" s="180"/>
      <c r="L27" s="178" t="s">
        <v>166</v>
      </c>
      <c r="M27" s="179"/>
      <c r="N27" s="179"/>
      <c r="O27" s="180"/>
      <c r="P27" s="77" t="s">
        <v>145</v>
      </c>
    </row>
    <row r="28" spans="1:16" x14ac:dyDescent="0.25">
      <c r="A28" s="82" t="s">
        <v>162</v>
      </c>
      <c r="B28" s="178"/>
      <c r="C28" s="179"/>
      <c r="D28" s="179"/>
      <c r="E28" s="179"/>
      <c r="F28" s="179"/>
      <c r="G28" s="180"/>
      <c r="H28" s="175"/>
      <c r="I28" s="175"/>
      <c r="J28" s="175"/>
      <c r="K28" s="175"/>
      <c r="L28" s="175"/>
      <c r="M28" s="175"/>
      <c r="N28" s="175"/>
      <c r="O28" s="175"/>
      <c r="P28" s="77"/>
    </row>
    <row r="29" spans="1:16" x14ac:dyDescent="0.25">
      <c r="A29" s="82" t="s">
        <v>163</v>
      </c>
      <c r="B29" s="178"/>
      <c r="C29" s="179"/>
      <c r="D29" s="179"/>
      <c r="E29" s="179"/>
      <c r="F29" s="179"/>
      <c r="G29" s="180"/>
      <c r="H29" s="175"/>
      <c r="I29" s="175"/>
      <c r="J29" s="175"/>
      <c r="K29" s="175"/>
      <c r="L29" s="175"/>
      <c r="M29" s="175"/>
      <c r="N29" s="175"/>
      <c r="O29" s="175"/>
      <c r="P29" s="77"/>
    </row>
    <row r="30" spans="1:16" ht="12.75" customHeight="1" x14ac:dyDescent="0.25">
      <c r="A30" s="82" t="s">
        <v>164</v>
      </c>
      <c r="B30" s="178"/>
      <c r="C30" s="179"/>
      <c r="D30" s="179"/>
      <c r="E30" s="179"/>
      <c r="F30" s="179"/>
      <c r="G30" s="180"/>
      <c r="H30" s="175"/>
      <c r="I30" s="175"/>
      <c r="J30" s="175"/>
      <c r="K30" s="175"/>
      <c r="L30" s="175"/>
      <c r="M30" s="175"/>
      <c r="N30" s="175"/>
      <c r="O30" s="175"/>
      <c r="P30" s="77"/>
    </row>
    <row r="31" spans="1:16" ht="12.75" customHeight="1" x14ac:dyDescent="0.25">
      <c r="A31" s="82" t="s">
        <v>165</v>
      </c>
      <c r="B31" s="178"/>
      <c r="C31" s="179"/>
      <c r="D31" s="179"/>
      <c r="E31" s="179"/>
      <c r="F31" s="179"/>
      <c r="G31" s="180"/>
      <c r="H31" s="175"/>
      <c r="I31" s="175"/>
      <c r="J31" s="175"/>
      <c r="K31" s="175"/>
      <c r="L31" s="175"/>
      <c r="M31" s="175"/>
      <c r="N31" s="175"/>
      <c r="O31" s="175"/>
      <c r="P31" s="77"/>
    </row>
    <row r="32" spans="1:16" x14ac:dyDescent="0.25">
      <c r="A32" s="82" t="s">
        <v>167</v>
      </c>
      <c r="B32" s="178"/>
      <c r="C32" s="179"/>
      <c r="D32" s="179"/>
      <c r="E32" s="179"/>
      <c r="F32" s="179"/>
      <c r="G32" s="180"/>
      <c r="H32" s="175"/>
      <c r="I32" s="175"/>
      <c r="J32" s="175"/>
      <c r="K32" s="175"/>
      <c r="L32" s="175"/>
      <c r="M32" s="175"/>
      <c r="N32" s="175"/>
      <c r="O32" s="175"/>
      <c r="P32" s="77"/>
    </row>
    <row r="33" spans="1:1" x14ac:dyDescent="0.25">
      <c r="A33" s="75"/>
    </row>
  </sheetData>
  <mergeCells count="43">
    <mergeCell ref="B31:G31"/>
    <mergeCell ref="H31:K31"/>
    <mergeCell ref="L31:O31"/>
    <mergeCell ref="B32:G32"/>
    <mergeCell ref="H32:K32"/>
    <mergeCell ref="L32:O32"/>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phoneticPr fontId="42" type="noConversion"/>
  <conditionalFormatting sqref="B9:B10">
    <cfRule type="cellIs" dxfId="185" priority="13" operator="equal">
      <formula>"Nok"</formula>
    </cfRule>
    <cfRule type="cellIs" dxfId="184" priority="14" operator="equal">
      <formula>"Ok"</formula>
    </cfRule>
  </conditionalFormatting>
  <conditionalFormatting sqref="P22 P28:P32">
    <cfRule type="cellIs" dxfId="183" priority="11" operator="equal">
      <formula>"Nok"</formula>
    </cfRule>
    <cfRule type="cellIs" dxfId="182" priority="12" operator="equal">
      <formula>"Ok"</formula>
    </cfRule>
  </conditionalFormatting>
  <conditionalFormatting sqref="P23">
    <cfRule type="cellIs" dxfId="181" priority="9" operator="equal">
      <formula>"Nok"</formula>
    </cfRule>
    <cfRule type="cellIs" dxfId="180" priority="10" operator="equal">
      <formula>"Ok"</formula>
    </cfRule>
  </conditionalFormatting>
  <conditionalFormatting sqref="P24">
    <cfRule type="cellIs" dxfId="179" priority="7" operator="equal">
      <formula>"Nok"</formula>
    </cfRule>
    <cfRule type="cellIs" dxfId="178" priority="8" operator="equal">
      <formula>"Ok"</formula>
    </cfRule>
  </conditionalFormatting>
  <conditionalFormatting sqref="P25">
    <cfRule type="cellIs" dxfId="177" priority="5" operator="equal">
      <formula>"Nok"</formula>
    </cfRule>
    <cfRule type="cellIs" dxfId="176" priority="6" operator="equal">
      <formula>"Ok"</formula>
    </cfRule>
  </conditionalFormatting>
  <conditionalFormatting sqref="P26">
    <cfRule type="cellIs" dxfId="175" priority="3" operator="equal">
      <formula>"Nok"</formula>
    </cfRule>
    <cfRule type="cellIs" dxfId="174" priority="4" operator="equal">
      <formula>"Ok"</formula>
    </cfRule>
  </conditionalFormatting>
  <conditionalFormatting sqref="P27">
    <cfRule type="cellIs" dxfId="173" priority="1" operator="equal">
      <formula>"Nok"</formula>
    </cfRule>
    <cfRule type="cellIs" dxfId="172" priority="2" operator="equal">
      <formula>"Ok"</formula>
    </cfRule>
  </conditionalFormatting>
  <dataValidations count="3">
    <dataValidation type="list" allowBlank="1" showInputMessage="1" showErrorMessage="1" sqref="P22:P32" xr:uid="{ECBDDA78-3EAA-4051-9B0F-01AD1A2EB693}">
      <formula1>"Ok, Nok, Not run, ,"</formula1>
    </dataValidation>
    <dataValidation type="list" allowBlank="1" showInputMessage="1" showErrorMessage="1" sqref="B9" xr:uid="{EC8D3B7E-6465-41FB-A946-BA17FA08EEA9}">
      <formula1>"Ok, Nok, Not run, NA"</formula1>
    </dataValidation>
    <dataValidation type="list" allowBlank="1" showInputMessage="1" showErrorMessage="1" sqref="B5" xr:uid="{48A27B33-3E3B-4905-BF40-8718F42991F2}">
      <formula1>"Nominal, Robustness, Endurance, Qualification"</formula1>
    </dataValidation>
  </dataValidations>
  <pageMargins left="0.7" right="0.7" top="0.75" bottom="0.75" header="0.3" footer="0.3"/>
  <pageSetup paperSize="9" orientation="portrait" r:id="rId1"/>
  <headerFooter>
    <oddFooter>&amp;LTBD ver 1.7&amp;R&amp;P</oddFooter>
  </headerFooter>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CB3E0-DA13-4AE4-9984-0DB0FB2A9B7F}">
  <sheetPr codeName="Sheet23"/>
  <dimension ref="A1:P33"/>
  <sheetViews>
    <sheetView workbookViewId="0">
      <selection activeCell="O38" sqref="O38"/>
    </sheetView>
  </sheetViews>
  <sheetFormatPr defaultColWidth="9.109375" defaultRowHeight="13.2" x14ac:dyDescent="0.25"/>
  <cols>
    <col min="1" max="1" width="20.109375" style="78" customWidth="1"/>
    <col min="2" max="2" width="18.44140625" style="75" customWidth="1"/>
    <col min="3" max="7" width="9.109375" style="75"/>
    <col min="8" max="10" width="9.5546875" style="75" customWidth="1"/>
    <col min="11" max="11" width="20.5546875" style="75" customWidth="1"/>
    <col min="12" max="14" width="9.5546875" style="75" customWidth="1"/>
    <col min="15" max="15" width="40" style="75" customWidth="1"/>
    <col min="16" max="16384" width="9.109375" style="75"/>
  </cols>
  <sheetData>
    <row r="1" spans="1:15" ht="13.8" thickBot="1" x14ac:dyDescent="0.3">
      <c r="A1" s="79" t="s">
        <v>139</v>
      </c>
      <c r="B1" s="200" t="s">
        <v>322</v>
      </c>
      <c r="C1" s="201"/>
      <c r="D1" s="201"/>
      <c r="E1" s="201"/>
      <c r="F1" s="201"/>
      <c r="G1" s="202"/>
      <c r="H1" s="55"/>
      <c r="I1" s="55"/>
      <c r="J1" s="55"/>
      <c r="K1" s="55"/>
      <c r="L1" s="55"/>
      <c r="M1" s="55"/>
      <c r="N1" s="55"/>
      <c r="O1" s="55"/>
    </row>
    <row r="2" spans="1:15" ht="13.8" thickBot="1" x14ac:dyDescent="0.3">
      <c r="A2" s="54"/>
      <c r="B2" s="55"/>
      <c r="C2" s="55"/>
      <c r="D2" s="55"/>
      <c r="E2" s="55"/>
      <c r="F2" s="55"/>
      <c r="G2" s="55"/>
      <c r="H2" s="55"/>
      <c r="I2" s="55"/>
      <c r="J2" s="55"/>
      <c r="K2" s="55"/>
      <c r="L2" s="55"/>
      <c r="M2" s="55"/>
      <c r="N2" s="55"/>
      <c r="O2" s="55"/>
    </row>
    <row r="3" spans="1:15" ht="27" thickBot="1" x14ac:dyDescent="0.3">
      <c r="A3" s="80" t="s">
        <v>140</v>
      </c>
      <c r="B3" s="213" t="s">
        <v>209</v>
      </c>
      <c r="C3" s="214"/>
      <c r="D3" s="214"/>
      <c r="E3" s="214"/>
      <c r="F3" s="214"/>
      <c r="G3" s="215"/>
      <c r="H3" s="55"/>
      <c r="I3" s="55"/>
      <c r="J3" s="55"/>
      <c r="K3" s="55"/>
      <c r="L3" s="55"/>
      <c r="M3" s="55"/>
      <c r="N3" s="55"/>
      <c r="O3" s="55"/>
    </row>
    <row r="4" spans="1:15" ht="13.8" thickBot="1" x14ac:dyDescent="0.3">
      <c r="A4" s="54"/>
      <c r="B4" s="55"/>
      <c r="C4" s="55"/>
      <c r="D4" s="55"/>
      <c r="E4" s="55"/>
      <c r="F4" s="55"/>
      <c r="G4" s="55"/>
      <c r="H4" s="55"/>
      <c r="I4" s="55"/>
      <c r="J4" s="55"/>
      <c r="K4" s="55"/>
      <c r="L4" s="55"/>
      <c r="M4" s="55"/>
      <c r="N4" s="55"/>
      <c r="O4" s="55"/>
    </row>
    <row r="5" spans="1:15" ht="13.8" thickBot="1" x14ac:dyDescent="0.3">
      <c r="A5" s="79" t="s">
        <v>141</v>
      </c>
      <c r="B5" s="58" t="s">
        <v>142</v>
      </c>
      <c r="C5" s="55"/>
      <c r="D5" s="55"/>
      <c r="E5" s="55"/>
      <c r="F5" s="55"/>
      <c r="G5" s="55"/>
      <c r="H5" s="55"/>
      <c r="I5" s="55"/>
      <c r="J5" s="55"/>
      <c r="K5" s="55"/>
      <c r="L5" s="55"/>
      <c r="M5" s="55"/>
      <c r="N5" s="55"/>
      <c r="O5" s="55"/>
    </row>
    <row r="6" spans="1:15" ht="13.8" thickBot="1" x14ac:dyDescent="0.3">
      <c r="A6" s="54"/>
      <c r="B6" s="55"/>
      <c r="C6" s="55"/>
      <c r="D6" s="55"/>
      <c r="E6" s="55"/>
      <c r="F6" s="55"/>
      <c r="G6" s="55"/>
      <c r="H6" s="55"/>
      <c r="I6" s="55"/>
      <c r="J6" s="55"/>
      <c r="K6" s="55"/>
      <c r="L6" s="55"/>
      <c r="M6" s="55"/>
      <c r="N6" s="55"/>
      <c r="O6" s="55"/>
    </row>
    <row r="7" spans="1:15" ht="13.8" thickBot="1" x14ac:dyDescent="0.3">
      <c r="A7" s="79" t="s">
        <v>143</v>
      </c>
      <c r="B7" s="203" t="s">
        <v>210</v>
      </c>
      <c r="C7" s="204"/>
      <c r="D7" s="204"/>
      <c r="E7" s="204"/>
      <c r="F7" s="204"/>
      <c r="G7" s="205"/>
      <c r="H7" s="55"/>
      <c r="I7" s="55"/>
      <c r="J7" s="55"/>
      <c r="K7" s="55"/>
      <c r="L7" s="55"/>
      <c r="M7" s="55"/>
      <c r="N7" s="55"/>
      <c r="O7" s="55"/>
    </row>
    <row r="8" spans="1:15" ht="13.8" thickBot="1" x14ac:dyDescent="0.3">
      <c r="A8" s="57"/>
      <c r="B8" s="56"/>
      <c r="C8" s="56"/>
      <c r="D8" s="56"/>
      <c r="E8" s="56"/>
      <c r="F8" s="56"/>
      <c r="G8" s="56"/>
      <c r="H8" s="55"/>
      <c r="I8" s="55"/>
      <c r="J8" s="55"/>
      <c r="K8" s="55"/>
      <c r="L8" s="55"/>
      <c r="M8" s="55"/>
      <c r="N8" s="55"/>
      <c r="O8" s="55"/>
    </row>
    <row r="9" spans="1:15" ht="13.8" thickBot="1" x14ac:dyDescent="0.3">
      <c r="A9" s="79" t="s">
        <v>144</v>
      </c>
      <c r="B9" s="84" t="s">
        <v>180</v>
      </c>
      <c r="C9" s="55"/>
      <c r="D9" s="55"/>
      <c r="E9" s="55"/>
      <c r="F9" s="55"/>
      <c r="G9" s="55"/>
      <c r="H9" s="55"/>
      <c r="I9" s="55"/>
      <c r="J9" s="55"/>
      <c r="K9" s="55"/>
      <c r="L9" s="55"/>
      <c r="M9" s="55"/>
      <c r="N9" s="55"/>
      <c r="O9" s="55"/>
    </row>
    <row r="10" spans="1:15" ht="13.8" thickBot="1" x14ac:dyDescent="0.3">
      <c r="A10" s="57"/>
      <c r="B10" s="76"/>
      <c r="C10" s="55"/>
      <c r="D10" s="55"/>
      <c r="E10" s="55"/>
      <c r="F10" s="55"/>
      <c r="G10" s="55"/>
      <c r="H10" s="55"/>
      <c r="I10" s="55"/>
      <c r="J10" s="55"/>
      <c r="K10" s="55"/>
      <c r="L10" s="55"/>
      <c r="M10" s="55"/>
      <c r="N10" s="55"/>
      <c r="O10" s="55"/>
    </row>
    <row r="11" spans="1:15" ht="12" customHeight="1" x14ac:dyDescent="0.25">
      <c r="A11" s="189" t="s">
        <v>146</v>
      </c>
      <c r="B11" s="191" t="s">
        <v>147</v>
      </c>
      <c r="C11" s="192"/>
      <c r="D11" s="192"/>
      <c r="E11" s="192"/>
      <c r="F11" s="192"/>
      <c r="G11" s="193"/>
      <c r="H11" s="55"/>
      <c r="I11" s="55"/>
      <c r="J11" s="55"/>
      <c r="K11" s="55"/>
      <c r="L11" s="55"/>
      <c r="M11" s="55"/>
      <c r="N11" s="55"/>
      <c r="O11" s="55"/>
    </row>
    <row r="12" spans="1:15" x14ac:dyDescent="0.25">
      <c r="A12" s="190"/>
      <c r="B12" s="194"/>
      <c r="C12" s="195"/>
      <c r="D12" s="195"/>
      <c r="E12" s="195"/>
      <c r="F12" s="195"/>
      <c r="G12" s="196"/>
      <c r="H12" s="55"/>
      <c r="I12" s="55"/>
      <c r="J12" s="55"/>
      <c r="K12" s="55"/>
      <c r="L12" s="55"/>
      <c r="M12" s="55"/>
      <c r="N12" s="55"/>
      <c r="O12" s="55"/>
    </row>
    <row r="13" spans="1:15" x14ac:dyDescent="0.25">
      <c r="A13" s="190"/>
      <c r="B13" s="194"/>
      <c r="C13" s="195"/>
      <c r="D13" s="195"/>
      <c r="E13" s="195"/>
      <c r="F13" s="195"/>
      <c r="G13" s="196"/>
      <c r="H13" s="54"/>
      <c r="I13" s="55"/>
      <c r="J13" s="55"/>
      <c r="K13" s="55"/>
      <c r="L13" s="55"/>
      <c r="M13" s="55"/>
      <c r="N13" s="55"/>
      <c r="O13" s="55"/>
    </row>
    <row r="14" spans="1:15" ht="13.8" thickBot="1" x14ac:dyDescent="0.3">
      <c r="A14" s="190"/>
      <c r="B14" s="197"/>
      <c r="C14" s="198"/>
      <c r="D14" s="198"/>
      <c r="E14" s="198"/>
      <c r="F14" s="198"/>
      <c r="G14" s="199"/>
      <c r="H14" s="59"/>
      <c r="I14" s="55"/>
      <c r="J14" s="55"/>
      <c r="K14" s="55"/>
      <c r="L14" s="55"/>
      <c r="M14" s="55"/>
      <c r="N14" s="55"/>
      <c r="O14" s="55"/>
    </row>
    <row r="15" spans="1:15" ht="13.8" thickBot="1" x14ac:dyDescent="0.3">
      <c r="A15" s="54"/>
      <c r="B15" s="54"/>
      <c r="C15" s="54"/>
      <c r="D15" s="54"/>
      <c r="E15" s="54"/>
      <c r="F15" s="54"/>
      <c r="G15" s="54"/>
      <c r="H15" s="59"/>
      <c r="I15" s="55"/>
      <c r="J15" s="55"/>
      <c r="K15" s="55"/>
      <c r="L15" s="55"/>
      <c r="M15" s="55"/>
      <c r="N15" s="55"/>
      <c r="O15" s="55"/>
    </row>
    <row r="16" spans="1:15" x14ac:dyDescent="0.25">
      <c r="A16" s="189" t="s">
        <v>148</v>
      </c>
      <c r="B16" s="191" t="s">
        <v>149</v>
      </c>
      <c r="C16" s="192"/>
      <c r="D16" s="192"/>
      <c r="E16" s="192"/>
      <c r="F16" s="192"/>
      <c r="G16" s="193"/>
      <c r="H16" s="55"/>
      <c r="I16" s="55"/>
      <c r="J16" s="55"/>
      <c r="K16" s="55"/>
      <c r="L16" s="55"/>
      <c r="M16" s="55"/>
      <c r="N16" s="55"/>
      <c r="O16" s="55"/>
    </row>
    <row r="17" spans="1:16" x14ac:dyDescent="0.25">
      <c r="A17" s="190"/>
      <c r="B17" s="194"/>
      <c r="C17" s="195"/>
      <c r="D17" s="195"/>
      <c r="E17" s="195"/>
      <c r="F17" s="195"/>
      <c r="G17" s="196"/>
      <c r="H17" s="55"/>
      <c r="I17" s="55"/>
      <c r="J17" s="55"/>
      <c r="K17" s="55"/>
      <c r="L17" s="55"/>
      <c r="M17" s="55"/>
      <c r="N17" s="55"/>
      <c r="O17" s="55"/>
    </row>
    <row r="18" spans="1:16" x14ac:dyDescent="0.25">
      <c r="A18" s="190"/>
      <c r="B18" s="194"/>
      <c r="C18" s="195"/>
      <c r="D18" s="195"/>
      <c r="E18" s="195"/>
      <c r="F18" s="195"/>
      <c r="G18" s="196"/>
      <c r="H18" s="54"/>
      <c r="I18" s="55"/>
      <c r="J18" s="55"/>
      <c r="K18" s="55"/>
      <c r="L18" s="55"/>
      <c r="M18" s="55"/>
      <c r="N18" s="55"/>
      <c r="O18" s="55"/>
    </row>
    <row r="19" spans="1:16" ht="13.8" thickBot="1" x14ac:dyDescent="0.3">
      <c r="A19" s="190"/>
      <c r="B19" s="197"/>
      <c r="C19" s="198"/>
      <c r="D19" s="198"/>
      <c r="E19" s="198"/>
      <c r="F19" s="198"/>
      <c r="G19" s="199"/>
      <c r="H19" s="59"/>
      <c r="I19" s="55"/>
      <c r="J19" s="55"/>
      <c r="K19" s="55"/>
      <c r="L19" s="55"/>
      <c r="M19" s="55"/>
      <c r="N19" s="55"/>
      <c r="O19" s="55"/>
    </row>
    <row r="20" spans="1:16" ht="13.8" thickBot="1" x14ac:dyDescent="0.3">
      <c r="A20" s="54"/>
      <c r="B20" s="54"/>
      <c r="C20" s="54"/>
      <c r="D20" s="54"/>
      <c r="E20" s="54"/>
      <c r="F20" s="54"/>
      <c r="G20" s="54"/>
      <c r="H20" s="59"/>
      <c r="I20" s="55"/>
      <c r="J20" s="55"/>
      <c r="K20" s="55"/>
      <c r="L20" s="55"/>
      <c r="M20" s="55"/>
      <c r="N20" s="55"/>
      <c r="O20" s="55"/>
    </row>
    <row r="21" spans="1:16" ht="12.75" customHeight="1" x14ac:dyDescent="0.25">
      <c r="A21" s="186" t="s">
        <v>150</v>
      </c>
      <c r="B21" s="187"/>
      <c r="C21" s="187"/>
      <c r="D21" s="187"/>
      <c r="E21" s="187"/>
      <c r="F21" s="187"/>
      <c r="G21" s="188"/>
      <c r="H21" s="186" t="s">
        <v>151</v>
      </c>
      <c r="I21" s="187"/>
      <c r="J21" s="187"/>
      <c r="K21" s="188"/>
      <c r="L21" s="186" t="s">
        <v>152</v>
      </c>
      <c r="M21" s="187"/>
      <c r="N21" s="187"/>
      <c r="O21" s="188"/>
      <c r="P21" s="81" t="s">
        <v>153</v>
      </c>
    </row>
    <row r="22" spans="1:16" ht="28.95" customHeight="1" x14ac:dyDescent="0.25">
      <c r="A22" s="82" t="s">
        <v>154</v>
      </c>
      <c r="B22" s="178" t="s">
        <v>197</v>
      </c>
      <c r="C22" s="179"/>
      <c r="D22" s="179"/>
      <c r="E22" s="179"/>
      <c r="F22" s="179"/>
      <c r="G22" s="180"/>
      <c r="H22" s="175" t="s">
        <v>166</v>
      </c>
      <c r="I22" s="175"/>
      <c r="J22" s="175"/>
      <c r="K22" s="175"/>
      <c r="L22" s="175" t="s">
        <v>166</v>
      </c>
      <c r="M22" s="175"/>
      <c r="N22" s="175"/>
      <c r="O22" s="175"/>
      <c r="P22" s="77" t="s">
        <v>145</v>
      </c>
    </row>
    <row r="23" spans="1:16" ht="39" customHeight="1" x14ac:dyDescent="0.25">
      <c r="A23" s="82" t="s">
        <v>155</v>
      </c>
      <c r="B23" s="178" t="s">
        <v>206</v>
      </c>
      <c r="C23" s="179"/>
      <c r="D23" s="179"/>
      <c r="E23" s="179"/>
      <c r="F23" s="179"/>
      <c r="G23" s="180"/>
      <c r="H23" s="178" t="s">
        <v>166</v>
      </c>
      <c r="I23" s="179"/>
      <c r="J23" s="179"/>
      <c r="K23" s="180"/>
      <c r="L23" s="178" t="s">
        <v>166</v>
      </c>
      <c r="M23" s="179"/>
      <c r="N23" s="179"/>
      <c r="O23" s="180"/>
      <c r="P23" s="77" t="s">
        <v>145</v>
      </c>
    </row>
    <row r="24" spans="1:16" ht="41.4" customHeight="1" x14ac:dyDescent="0.25">
      <c r="A24" s="82" t="s">
        <v>156</v>
      </c>
      <c r="B24" s="178" t="s">
        <v>211</v>
      </c>
      <c r="C24" s="179"/>
      <c r="D24" s="179"/>
      <c r="E24" s="179"/>
      <c r="F24" s="179"/>
      <c r="G24" s="180"/>
      <c r="H24" s="178" t="s">
        <v>166</v>
      </c>
      <c r="I24" s="179"/>
      <c r="J24" s="179"/>
      <c r="K24" s="180"/>
      <c r="L24" s="178" t="s">
        <v>166</v>
      </c>
      <c r="M24" s="179"/>
      <c r="N24" s="179"/>
      <c r="O24" s="180"/>
      <c r="P24" s="77" t="s">
        <v>145</v>
      </c>
    </row>
    <row r="25" spans="1:16" x14ac:dyDescent="0.25">
      <c r="A25" s="82" t="s">
        <v>157</v>
      </c>
      <c r="B25" s="178" t="s">
        <v>212</v>
      </c>
      <c r="C25" s="179"/>
      <c r="D25" s="179"/>
      <c r="E25" s="179"/>
      <c r="F25" s="179"/>
      <c r="G25" s="180"/>
      <c r="H25" s="178" t="s">
        <v>166</v>
      </c>
      <c r="I25" s="179"/>
      <c r="J25" s="179"/>
      <c r="K25" s="180"/>
      <c r="L25" s="178" t="s">
        <v>181</v>
      </c>
      <c r="M25" s="179"/>
      <c r="N25" s="179"/>
      <c r="O25" s="180"/>
      <c r="P25" s="77" t="s">
        <v>180</v>
      </c>
    </row>
    <row r="26" spans="1:16" x14ac:dyDescent="0.25">
      <c r="A26" s="82" t="s">
        <v>158</v>
      </c>
      <c r="B26" s="178"/>
      <c r="C26" s="179"/>
      <c r="D26" s="179"/>
      <c r="E26" s="179"/>
      <c r="F26" s="179"/>
      <c r="G26" s="180"/>
      <c r="H26" s="175"/>
      <c r="I26" s="175"/>
      <c r="J26" s="175"/>
      <c r="K26" s="175"/>
      <c r="L26" s="175"/>
      <c r="M26" s="175"/>
      <c r="N26" s="175"/>
      <c r="O26" s="175"/>
      <c r="P26" s="77"/>
    </row>
    <row r="27" spans="1:16" x14ac:dyDescent="0.25">
      <c r="A27" s="82" t="s">
        <v>159</v>
      </c>
      <c r="B27" s="178"/>
      <c r="C27" s="179"/>
      <c r="D27" s="179"/>
      <c r="E27" s="179"/>
      <c r="F27" s="179"/>
      <c r="G27" s="180"/>
      <c r="H27" s="175"/>
      <c r="I27" s="175"/>
      <c r="J27" s="175"/>
      <c r="K27" s="175"/>
      <c r="L27" s="175"/>
      <c r="M27" s="175"/>
      <c r="N27" s="175"/>
      <c r="O27" s="175"/>
      <c r="P27" s="77"/>
    </row>
    <row r="28" spans="1:16" x14ac:dyDescent="0.25">
      <c r="A28" s="82" t="s">
        <v>162</v>
      </c>
      <c r="B28" s="178"/>
      <c r="C28" s="179"/>
      <c r="D28" s="179"/>
      <c r="E28" s="179"/>
      <c r="F28" s="179"/>
      <c r="G28" s="180"/>
      <c r="H28" s="175"/>
      <c r="I28" s="175"/>
      <c r="J28" s="175"/>
      <c r="K28" s="175"/>
      <c r="L28" s="175"/>
      <c r="M28" s="175"/>
      <c r="N28" s="175"/>
      <c r="O28" s="175"/>
      <c r="P28" s="77"/>
    </row>
    <row r="29" spans="1:16" x14ac:dyDescent="0.25">
      <c r="A29" s="82" t="s">
        <v>163</v>
      </c>
      <c r="B29" s="178"/>
      <c r="C29" s="179"/>
      <c r="D29" s="179"/>
      <c r="E29" s="179"/>
      <c r="F29" s="179"/>
      <c r="G29" s="180"/>
      <c r="H29" s="175"/>
      <c r="I29" s="175"/>
      <c r="J29" s="175"/>
      <c r="K29" s="175"/>
      <c r="L29" s="175"/>
      <c r="M29" s="175"/>
      <c r="N29" s="175"/>
      <c r="O29" s="175"/>
      <c r="P29" s="77"/>
    </row>
    <row r="30" spans="1:16" ht="12.75" customHeight="1" x14ac:dyDescent="0.25">
      <c r="A30" s="82" t="s">
        <v>164</v>
      </c>
      <c r="B30" s="178"/>
      <c r="C30" s="179"/>
      <c r="D30" s="179"/>
      <c r="E30" s="179"/>
      <c r="F30" s="179"/>
      <c r="G30" s="180"/>
      <c r="H30" s="175"/>
      <c r="I30" s="175"/>
      <c r="J30" s="175"/>
      <c r="K30" s="175"/>
      <c r="L30" s="175"/>
      <c r="M30" s="175"/>
      <c r="N30" s="175"/>
      <c r="O30" s="175"/>
      <c r="P30" s="77"/>
    </row>
    <row r="31" spans="1:16" ht="12.75" customHeight="1" x14ac:dyDescent="0.25">
      <c r="A31" s="82" t="s">
        <v>165</v>
      </c>
      <c r="B31" s="178"/>
      <c r="C31" s="179"/>
      <c r="D31" s="179"/>
      <c r="E31" s="179"/>
      <c r="F31" s="179"/>
      <c r="G31" s="180"/>
      <c r="H31" s="175"/>
      <c r="I31" s="175"/>
      <c r="J31" s="175"/>
      <c r="K31" s="175"/>
      <c r="L31" s="175"/>
      <c r="M31" s="175"/>
      <c r="N31" s="175"/>
      <c r="O31" s="175"/>
      <c r="P31" s="77"/>
    </row>
    <row r="32" spans="1:16" x14ac:dyDescent="0.25">
      <c r="A32" s="82" t="s">
        <v>167</v>
      </c>
      <c r="B32" s="178"/>
      <c r="C32" s="179"/>
      <c r="D32" s="179"/>
      <c r="E32" s="179"/>
      <c r="F32" s="179"/>
      <c r="G32" s="180"/>
      <c r="H32" s="175"/>
      <c r="I32" s="175"/>
      <c r="J32" s="175"/>
      <c r="K32" s="175"/>
      <c r="L32" s="175"/>
      <c r="M32" s="175"/>
      <c r="N32" s="175"/>
      <c r="O32" s="175"/>
      <c r="P32" s="77"/>
    </row>
    <row r="33" spans="1:1" x14ac:dyDescent="0.25">
      <c r="A33" s="75"/>
    </row>
  </sheetData>
  <mergeCells count="43">
    <mergeCell ref="B31:G31"/>
    <mergeCell ref="H31:K31"/>
    <mergeCell ref="L31:O31"/>
    <mergeCell ref="B32:G32"/>
    <mergeCell ref="H32:K32"/>
    <mergeCell ref="L32:O32"/>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phoneticPr fontId="42" type="noConversion"/>
  <conditionalFormatting sqref="B9:B10">
    <cfRule type="cellIs" dxfId="171" priority="11" operator="equal">
      <formula>"Nok"</formula>
    </cfRule>
    <cfRule type="cellIs" dxfId="170" priority="12" operator="equal">
      <formula>"Ok"</formula>
    </cfRule>
  </conditionalFormatting>
  <conditionalFormatting sqref="P22 P27:P32">
    <cfRule type="cellIs" dxfId="169" priority="9" operator="equal">
      <formula>"Nok"</formula>
    </cfRule>
    <cfRule type="cellIs" dxfId="168" priority="10" operator="equal">
      <formula>"Ok"</formula>
    </cfRule>
  </conditionalFormatting>
  <conditionalFormatting sqref="P23">
    <cfRule type="cellIs" dxfId="167" priority="7" operator="equal">
      <formula>"Nok"</formula>
    </cfRule>
    <cfRule type="cellIs" dxfId="166" priority="8" operator="equal">
      <formula>"Ok"</formula>
    </cfRule>
  </conditionalFormatting>
  <conditionalFormatting sqref="P24">
    <cfRule type="cellIs" dxfId="165" priority="5" operator="equal">
      <formula>"Nok"</formula>
    </cfRule>
    <cfRule type="cellIs" dxfId="164" priority="6" operator="equal">
      <formula>"Ok"</formula>
    </cfRule>
  </conditionalFormatting>
  <conditionalFormatting sqref="P25">
    <cfRule type="cellIs" dxfId="163" priority="3" operator="equal">
      <formula>"Nok"</formula>
    </cfRule>
    <cfRule type="cellIs" dxfId="162" priority="4" operator="equal">
      <formula>"Ok"</formula>
    </cfRule>
  </conditionalFormatting>
  <conditionalFormatting sqref="P26">
    <cfRule type="cellIs" dxfId="161" priority="1" operator="equal">
      <formula>"Nok"</formula>
    </cfRule>
    <cfRule type="cellIs" dxfId="160" priority="2" operator="equal">
      <formula>"Ok"</formula>
    </cfRule>
  </conditionalFormatting>
  <dataValidations count="3">
    <dataValidation type="list" allowBlank="1" showInputMessage="1" showErrorMessage="1" sqref="B5" xr:uid="{9476D055-237E-4C2B-B929-BF2383E4F03A}">
      <formula1>"Nominal, Robustness, Endurance, Qualification"</formula1>
    </dataValidation>
    <dataValidation type="list" allowBlank="1" showInputMessage="1" showErrorMessage="1" sqref="B9" xr:uid="{55A47DCB-7158-409A-8F23-DA7B68B1BFEF}">
      <formula1>"Ok, Nok, Not run, NA"</formula1>
    </dataValidation>
    <dataValidation type="list" allowBlank="1" showInputMessage="1" showErrorMessage="1" sqref="P22:P32" xr:uid="{EDB8A9C1-8F50-4173-8CEE-4D841590A77C}">
      <formula1>"Ok, Nok, Not run, ,"</formula1>
    </dataValidation>
  </dataValidations>
  <pageMargins left="0.7" right="0.7" top="0.75" bottom="0.75" header="0.3" footer="0.3"/>
  <pageSetup paperSize="9" orientation="portrait" r:id="rId1"/>
  <headerFooter>
    <oddFooter>&amp;LTBD ver 1.7&amp;R&amp;P</odd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2EFF8B-66FB-4876-93E6-5C4F71921A7C}">
  <sheetPr codeName="Sheet24"/>
  <dimension ref="A1:P33"/>
  <sheetViews>
    <sheetView workbookViewId="0">
      <selection activeCell="B23" sqref="B23:G23"/>
    </sheetView>
  </sheetViews>
  <sheetFormatPr defaultColWidth="9.109375" defaultRowHeight="13.2" x14ac:dyDescent="0.25"/>
  <cols>
    <col min="1" max="1" width="20.109375" style="78" customWidth="1"/>
    <col min="2" max="2" width="18.44140625" style="75" customWidth="1"/>
    <col min="3" max="7" width="9.109375" style="75"/>
    <col min="8" max="10" width="9.5546875" style="75" customWidth="1"/>
    <col min="11" max="11" width="20.5546875" style="75" customWidth="1"/>
    <col min="12" max="14" width="9.5546875" style="75" customWidth="1"/>
    <col min="15" max="15" width="40" style="75" customWidth="1"/>
    <col min="16" max="16384" width="9.109375" style="75"/>
  </cols>
  <sheetData>
    <row r="1" spans="1:15" ht="13.8" thickBot="1" x14ac:dyDescent="0.3">
      <c r="A1" s="79" t="s">
        <v>139</v>
      </c>
      <c r="B1" s="200" t="s">
        <v>323</v>
      </c>
      <c r="C1" s="201"/>
      <c r="D1" s="201"/>
      <c r="E1" s="201"/>
      <c r="F1" s="201"/>
      <c r="G1" s="202"/>
      <c r="H1" s="55"/>
      <c r="I1" s="55"/>
      <c r="J1" s="55"/>
      <c r="K1" s="55"/>
      <c r="L1" s="55"/>
      <c r="M1" s="55"/>
      <c r="N1" s="55"/>
      <c r="O1" s="55"/>
    </row>
    <row r="2" spans="1:15" ht="13.8" thickBot="1" x14ac:dyDescent="0.3">
      <c r="A2" s="54"/>
      <c r="B2" s="55"/>
      <c r="C2" s="55"/>
      <c r="D2" s="55"/>
      <c r="E2" s="55"/>
      <c r="F2" s="55"/>
      <c r="G2" s="55"/>
      <c r="H2" s="55"/>
      <c r="I2" s="55"/>
      <c r="J2" s="55"/>
      <c r="K2" s="55"/>
      <c r="L2" s="55"/>
      <c r="M2" s="55"/>
      <c r="N2" s="55"/>
      <c r="O2" s="55"/>
    </row>
    <row r="3" spans="1:15" ht="27" thickBot="1" x14ac:dyDescent="0.3">
      <c r="A3" s="80" t="s">
        <v>140</v>
      </c>
      <c r="B3" s="213" t="s">
        <v>213</v>
      </c>
      <c r="C3" s="214"/>
      <c r="D3" s="214"/>
      <c r="E3" s="214"/>
      <c r="F3" s="214"/>
      <c r="G3" s="215"/>
      <c r="H3" s="55"/>
      <c r="I3" s="55"/>
      <c r="J3" s="55"/>
      <c r="K3" s="55"/>
      <c r="L3" s="55"/>
      <c r="M3" s="55"/>
      <c r="N3" s="55"/>
      <c r="O3" s="55"/>
    </row>
    <row r="4" spans="1:15" ht="13.8" thickBot="1" x14ac:dyDescent="0.3">
      <c r="A4" s="54"/>
      <c r="B4" s="55"/>
      <c r="C4" s="55"/>
      <c r="D4" s="55"/>
      <c r="E4" s="55"/>
      <c r="F4" s="55"/>
      <c r="G4" s="55"/>
      <c r="H4" s="55"/>
      <c r="I4" s="55"/>
      <c r="J4" s="55"/>
      <c r="K4" s="55"/>
      <c r="L4" s="55"/>
      <c r="M4" s="55"/>
      <c r="N4" s="55"/>
      <c r="O4" s="55"/>
    </row>
    <row r="5" spans="1:15" ht="13.8" thickBot="1" x14ac:dyDescent="0.3">
      <c r="A5" s="79" t="s">
        <v>141</v>
      </c>
      <c r="B5" s="58" t="s">
        <v>142</v>
      </c>
      <c r="C5" s="55"/>
      <c r="D5" s="55"/>
      <c r="E5" s="55"/>
      <c r="F5" s="55"/>
      <c r="G5" s="55"/>
      <c r="H5" s="55"/>
      <c r="I5" s="55"/>
      <c r="J5" s="55"/>
      <c r="K5" s="55"/>
      <c r="L5" s="55"/>
      <c r="M5" s="55"/>
      <c r="N5" s="55"/>
      <c r="O5" s="55"/>
    </row>
    <row r="6" spans="1:15" ht="13.8" thickBot="1" x14ac:dyDescent="0.3">
      <c r="A6" s="54"/>
      <c r="B6" s="55"/>
      <c r="C6" s="55"/>
      <c r="D6" s="55"/>
      <c r="E6" s="55"/>
      <c r="F6" s="55"/>
      <c r="G6" s="55"/>
      <c r="H6" s="55"/>
      <c r="I6" s="55"/>
      <c r="J6" s="55"/>
      <c r="K6" s="55"/>
      <c r="L6" s="55"/>
      <c r="M6" s="55"/>
      <c r="N6" s="55"/>
      <c r="O6" s="55"/>
    </row>
    <row r="7" spans="1:15" ht="13.8" thickBot="1" x14ac:dyDescent="0.3">
      <c r="A7" s="79" t="s">
        <v>143</v>
      </c>
      <c r="B7" s="203" t="s">
        <v>214</v>
      </c>
      <c r="C7" s="204"/>
      <c r="D7" s="204"/>
      <c r="E7" s="204"/>
      <c r="F7" s="204"/>
      <c r="G7" s="205"/>
      <c r="H7" s="55"/>
      <c r="I7" s="55"/>
      <c r="J7" s="55"/>
      <c r="K7" s="55"/>
      <c r="L7" s="55"/>
      <c r="M7" s="55"/>
      <c r="N7" s="55"/>
      <c r="O7" s="55"/>
    </row>
    <row r="8" spans="1:15" ht="13.8" thickBot="1" x14ac:dyDescent="0.3">
      <c r="A8" s="57"/>
      <c r="B8" s="56"/>
      <c r="C8" s="56"/>
      <c r="D8" s="56"/>
      <c r="E8" s="56"/>
      <c r="F8" s="56"/>
      <c r="G8" s="56"/>
      <c r="H8" s="55"/>
      <c r="I8" s="55"/>
      <c r="J8" s="55"/>
      <c r="K8" s="55"/>
      <c r="L8" s="55"/>
      <c r="M8" s="55"/>
      <c r="N8" s="55"/>
      <c r="O8" s="55"/>
    </row>
    <row r="9" spans="1:15" ht="13.8" thickBot="1" x14ac:dyDescent="0.3">
      <c r="A9" s="79" t="s">
        <v>144</v>
      </c>
      <c r="B9" s="84" t="s">
        <v>145</v>
      </c>
      <c r="C9" s="55"/>
      <c r="D9" s="55"/>
      <c r="E9" s="55"/>
      <c r="F9" s="55"/>
      <c r="G9" s="55"/>
      <c r="H9" s="55"/>
      <c r="I9" s="55"/>
      <c r="J9" s="55"/>
      <c r="K9" s="55"/>
      <c r="L9" s="55"/>
      <c r="M9" s="55"/>
      <c r="N9" s="55"/>
      <c r="O9" s="55"/>
    </row>
    <row r="10" spans="1:15" ht="13.8" thickBot="1" x14ac:dyDescent="0.3">
      <c r="A10" s="57"/>
      <c r="B10" s="76"/>
      <c r="C10" s="55"/>
      <c r="D10" s="55"/>
      <c r="E10" s="55"/>
      <c r="F10" s="55"/>
      <c r="G10" s="55"/>
      <c r="H10" s="55"/>
      <c r="I10" s="55"/>
      <c r="J10" s="55"/>
      <c r="K10" s="55"/>
      <c r="L10" s="55"/>
      <c r="M10" s="55"/>
      <c r="N10" s="55"/>
      <c r="O10" s="55"/>
    </row>
    <row r="11" spans="1:15" ht="12" customHeight="1" x14ac:dyDescent="0.25">
      <c r="A11" s="189" t="s">
        <v>146</v>
      </c>
      <c r="B11" s="191" t="s">
        <v>147</v>
      </c>
      <c r="C11" s="192"/>
      <c r="D11" s="192"/>
      <c r="E11" s="192"/>
      <c r="F11" s="192"/>
      <c r="G11" s="193"/>
      <c r="H11" s="55"/>
      <c r="I11" s="55"/>
      <c r="J11" s="55"/>
      <c r="K11" s="55"/>
      <c r="L11" s="55"/>
      <c r="M11" s="55"/>
      <c r="N11" s="55"/>
      <c r="O11" s="55"/>
    </row>
    <row r="12" spans="1:15" x14ac:dyDescent="0.25">
      <c r="A12" s="190"/>
      <c r="B12" s="194"/>
      <c r="C12" s="195"/>
      <c r="D12" s="195"/>
      <c r="E12" s="195"/>
      <c r="F12" s="195"/>
      <c r="G12" s="196"/>
      <c r="H12" s="55"/>
      <c r="I12" s="55"/>
      <c r="J12" s="55"/>
      <c r="K12" s="55"/>
      <c r="L12" s="55"/>
      <c r="M12" s="55"/>
      <c r="N12" s="55"/>
      <c r="O12" s="55"/>
    </row>
    <row r="13" spans="1:15" x14ac:dyDescent="0.25">
      <c r="A13" s="190"/>
      <c r="B13" s="194"/>
      <c r="C13" s="195"/>
      <c r="D13" s="195"/>
      <c r="E13" s="195"/>
      <c r="F13" s="195"/>
      <c r="G13" s="196"/>
      <c r="H13" s="54"/>
      <c r="I13" s="55"/>
      <c r="J13" s="55"/>
      <c r="K13" s="55"/>
      <c r="L13" s="55"/>
      <c r="M13" s="55"/>
      <c r="N13" s="55"/>
      <c r="O13" s="55"/>
    </row>
    <row r="14" spans="1:15" ht="13.8" thickBot="1" x14ac:dyDescent="0.3">
      <c r="A14" s="190"/>
      <c r="B14" s="197"/>
      <c r="C14" s="198"/>
      <c r="D14" s="198"/>
      <c r="E14" s="198"/>
      <c r="F14" s="198"/>
      <c r="G14" s="199"/>
      <c r="H14" s="59"/>
      <c r="I14" s="55"/>
      <c r="J14" s="55"/>
      <c r="K14" s="55"/>
      <c r="L14" s="55"/>
      <c r="M14" s="55"/>
      <c r="N14" s="55"/>
      <c r="O14" s="55"/>
    </row>
    <row r="15" spans="1:15" ht="13.8" thickBot="1" x14ac:dyDescent="0.3">
      <c r="A15" s="54"/>
      <c r="B15" s="54"/>
      <c r="C15" s="54"/>
      <c r="D15" s="54"/>
      <c r="E15" s="54"/>
      <c r="F15" s="54"/>
      <c r="G15" s="54"/>
      <c r="H15" s="59"/>
      <c r="I15" s="55"/>
      <c r="J15" s="55"/>
      <c r="K15" s="55"/>
      <c r="L15" s="55"/>
      <c r="M15" s="55"/>
      <c r="N15" s="55"/>
      <c r="O15" s="55"/>
    </row>
    <row r="16" spans="1:15" x14ac:dyDescent="0.25">
      <c r="A16" s="189" t="s">
        <v>148</v>
      </c>
      <c r="B16" s="191" t="s">
        <v>149</v>
      </c>
      <c r="C16" s="192"/>
      <c r="D16" s="192"/>
      <c r="E16" s="192"/>
      <c r="F16" s="192"/>
      <c r="G16" s="193"/>
      <c r="H16" s="55"/>
      <c r="I16" s="55"/>
      <c r="J16" s="55"/>
      <c r="K16" s="55"/>
      <c r="L16" s="55"/>
      <c r="M16" s="55"/>
      <c r="N16" s="55"/>
      <c r="O16" s="55"/>
    </row>
    <row r="17" spans="1:16" x14ac:dyDescent="0.25">
      <c r="A17" s="190"/>
      <c r="B17" s="194"/>
      <c r="C17" s="195"/>
      <c r="D17" s="195"/>
      <c r="E17" s="195"/>
      <c r="F17" s="195"/>
      <c r="G17" s="196"/>
      <c r="H17" s="55"/>
      <c r="I17" s="55"/>
      <c r="J17" s="55"/>
      <c r="K17" s="55"/>
      <c r="L17" s="55"/>
      <c r="M17" s="55"/>
      <c r="N17" s="55"/>
      <c r="O17" s="55"/>
    </row>
    <row r="18" spans="1:16" x14ac:dyDescent="0.25">
      <c r="A18" s="190"/>
      <c r="B18" s="194"/>
      <c r="C18" s="195"/>
      <c r="D18" s="195"/>
      <c r="E18" s="195"/>
      <c r="F18" s="195"/>
      <c r="G18" s="196"/>
      <c r="H18" s="54"/>
      <c r="I18" s="55"/>
      <c r="J18" s="55"/>
      <c r="K18" s="55"/>
      <c r="L18" s="55"/>
      <c r="M18" s="55"/>
      <c r="N18" s="55"/>
      <c r="O18" s="55"/>
    </row>
    <row r="19" spans="1:16" ht="13.8" thickBot="1" x14ac:dyDescent="0.3">
      <c r="A19" s="190"/>
      <c r="B19" s="197"/>
      <c r="C19" s="198"/>
      <c r="D19" s="198"/>
      <c r="E19" s="198"/>
      <c r="F19" s="198"/>
      <c r="G19" s="199"/>
      <c r="H19" s="59"/>
      <c r="I19" s="55"/>
      <c r="J19" s="55"/>
      <c r="K19" s="55"/>
      <c r="L19" s="55"/>
      <c r="M19" s="55"/>
      <c r="N19" s="55"/>
      <c r="O19" s="55"/>
    </row>
    <row r="20" spans="1:16" ht="13.8" thickBot="1" x14ac:dyDescent="0.3">
      <c r="A20" s="54"/>
      <c r="B20" s="54"/>
      <c r="C20" s="54"/>
      <c r="D20" s="54"/>
      <c r="E20" s="54"/>
      <c r="F20" s="54"/>
      <c r="G20" s="54"/>
      <c r="H20" s="59"/>
      <c r="I20" s="55"/>
      <c r="J20" s="55"/>
      <c r="K20" s="55"/>
      <c r="L20" s="55"/>
      <c r="M20" s="55"/>
      <c r="N20" s="55"/>
      <c r="O20" s="55"/>
    </row>
    <row r="21" spans="1:16" ht="12.75" customHeight="1" x14ac:dyDescent="0.25">
      <c r="A21" s="186" t="s">
        <v>150</v>
      </c>
      <c r="B21" s="187"/>
      <c r="C21" s="187"/>
      <c r="D21" s="187"/>
      <c r="E21" s="187"/>
      <c r="F21" s="187"/>
      <c r="G21" s="188"/>
      <c r="H21" s="186" t="s">
        <v>151</v>
      </c>
      <c r="I21" s="187"/>
      <c r="J21" s="187"/>
      <c r="K21" s="188"/>
      <c r="L21" s="186" t="s">
        <v>152</v>
      </c>
      <c r="M21" s="187"/>
      <c r="N21" s="187"/>
      <c r="O21" s="188"/>
      <c r="P21" s="81" t="s">
        <v>153</v>
      </c>
    </row>
    <row r="22" spans="1:16" ht="28.95" customHeight="1" x14ac:dyDescent="0.25">
      <c r="A22" s="82" t="s">
        <v>154</v>
      </c>
      <c r="B22" s="178" t="s">
        <v>196</v>
      </c>
      <c r="C22" s="179"/>
      <c r="D22" s="179"/>
      <c r="E22" s="179"/>
      <c r="F22" s="179"/>
      <c r="G22" s="180"/>
      <c r="H22" s="175" t="s">
        <v>166</v>
      </c>
      <c r="I22" s="175"/>
      <c r="J22" s="175"/>
      <c r="K22" s="175"/>
      <c r="L22" s="175" t="s">
        <v>166</v>
      </c>
      <c r="M22" s="175"/>
      <c r="N22" s="175"/>
      <c r="O22" s="175"/>
      <c r="P22" s="77" t="s">
        <v>145</v>
      </c>
    </row>
    <row r="23" spans="1:16" ht="39" customHeight="1" x14ac:dyDescent="0.25">
      <c r="A23" s="82" t="s">
        <v>155</v>
      </c>
      <c r="B23" s="178" t="s">
        <v>215</v>
      </c>
      <c r="C23" s="179"/>
      <c r="D23" s="179"/>
      <c r="E23" s="179"/>
      <c r="F23" s="179"/>
      <c r="G23" s="180"/>
      <c r="H23" s="178" t="s">
        <v>166</v>
      </c>
      <c r="I23" s="179"/>
      <c r="J23" s="179"/>
      <c r="K23" s="180"/>
      <c r="L23" s="178" t="s">
        <v>166</v>
      </c>
      <c r="M23" s="179"/>
      <c r="N23" s="179"/>
      <c r="O23" s="180"/>
      <c r="P23" s="77" t="s">
        <v>145</v>
      </c>
    </row>
    <row r="24" spans="1:16" ht="41.4" customHeight="1" x14ac:dyDescent="0.25">
      <c r="A24" s="82" t="s">
        <v>156</v>
      </c>
      <c r="B24" s="178" t="s">
        <v>216</v>
      </c>
      <c r="C24" s="179"/>
      <c r="D24" s="179"/>
      <c r="E24" s="179"/>
      <c r="F24" s="179"/>
      <c r="G24" s="180"/>
      <c r="H24" s="178" t="s">
        <v>166</v>
      </c>
      <c r="I24" s="179"/>
      <c r="J24" s="179"/>
      <c r="K24" s="180"/>
      <c r="L24" s="178" t="s">
        <v>166</v>
      </c>
      <c r="M24" s="179"/>
      <c r="N24" s="179"/>
      <c r="O24" s="180"/>
      <c r="P24" s="77" t="s">
        <v>145</v>
      </c>
    </row>
    <row r="25" spans="1:16" ht="26.25" customHeight="1" x14ac:dyDescent="0.25">
      <c r="A25" s="82" t="s">
        <v>157</v>
      </c>
      <c r="B25" s="178" t="s">
        <v>217</v>
      </c>
      <c r="C25" s="179"/>
      <c r="D25" s="179"/>
      <c r="E25" s="179"/>
      <c r="F25" s="179"/>
      <c r="G25" s="180"/>
      <c r="H25" s="178" t="s">
        <v>166</v>
      </c>
      <c r="I25" s="179"/>
      <c r="J25" s="179"/>
      <c r="K25" s="180"/>
      <c r="L25" s="178" t="s">
        <v>166</v>
      </c>
      <c r="M25" s="179"/>
      <c r="N25" s="179"/>
      <c r="O25" s="180"/>
      <c r="P25" s="77" t="s">
        <v>145</v>
      </c>
    </row>
    <row r="26" spans="1:16" x14ac:dyDescent="0.25">
      <c r="A26" s="82" t="s">
        <v>158</v>
      </c>
      <c r="B26" s="178"/>
      <c r="C26" s="179"/>
      <c r="D26" s="179"/>
      <c r="E26" s="179"/>
      <c r="F26" s="179"/>
      <c r="G26" s="180"/>
      <c r="H26" s="175"/>
      <c r="I26" s="175"/>
      <c r="J26" s="175"/>
      <c r="K26" s="175"/>
      <c r="L26" s="175"/>
      <c r="M26" s="175"/>
      <c r="N26" s="175"/>
      <c r="O26" s="175"/>
      <c r="P26" s="77"/>
    </row>
    <row r="27" spans="1:16" x14ac:dyDescent="0.25">
      <c r="A27" s="82" t="s">
        <v>159</v>
      </c>
      <c r="B27" s="178"/>
      <c r="C27" s="179"/>
      <c r="D27" s="179"/>
      <c r="E27" s="179"/>
      <c r="F27" s="179"/>
      <c r="G27" s="180"/>
      <c r="H27" s="175"/>
      <c r="I27" s="175"/>
      <c r="J27" s="175"/>
      <c r="K27" s="175"/>
      <c r="L27" s="175"/>
      <c r="M27" s="175"/>
      <c r="N27" s="175"/>
      <c r="O27" s="175"/>
      <c r="P27" s="77"/>
    </row>
    <row r="28" spans="1:16" x14ac:dyDescent="0.25">
      <c r="A28" s="82" t="s">
        <v>162</v>
      </c>
      <c r="B28" s="178"/>
      <c r="C28" s="179"/>
      <c r="D28" s="179"/>
      <c r="E28" s="179"/>
      <c r="F28" s="179"/>
      <c r="G28" s="180"/>
      <c r="H28" s="175"/>
      <c r="I28" s="175"/>
      <c r="J28" s="175"/>
      <c r="K28" s="175"/>
      <c r="L28" s="175"/>
      <c r="M28" s="175"/>
      <c r="N28" s="175"/>
      <c r="O28" s="175"/>
      <c r="P28" s="77"/>
    </row>
    <row r="29" spans="1:16" x14ac:dyDescent="0.25">
      <c r="A29" s="82" t="s">
        <v>163</v>
      </c>
      <c r="B29" s="178"/>
      <c r="C29" s="179"/>
      <c r="D29" s="179"/>
      <c r="E29" s="179"/>
      <c r="F29" s="179"/>
      <c r="G29" s="180"/>
      <c r="H29" s="175"/>
      <c r="I29" s="175"/>
      <c r="J29" s="175"/>
      <c r="K29" s="175"/>
      <c r="L29" s="175"/>
      <c r="M29" s="175"/>
      <c r="N29" s="175"/>
      <c r="O29" s="175"/>
      <c r="P29" s="77"/>
    </row>
    <row r="30" spans="1:16" ht="12.75" customHeight="1" x14ac:dyDescent="0.25">
      <c r="A30" s="82" t="s">
        <v>164</v>
      </c>
      <c r="B30" s="178"/>
      <c r="C30" s="179"/>
      <c r="D30" s="179"/>
      <c r="E30" s="179"/>
      <c r="F30" s="179"/>
      <c r="G30" s="180"/>
      <c r="H30" s="175"/>
      <c r="I30" s="175"/>
      <c r="J30" s="175"/>
      <c r="K30" s="175"/>
      <c r="L30" s="175"/>
      <c r="M30" s="175"/>
      <c r="N30" s="175"/>
      <c r="O30" s="175"/>
      <c r="P30" s="77"/>
    </row>
    <row r="31" spans="1:16" ht="12.75" customHeight="1" x14ac:dyDescent="0.25">
      <c r="A31" s="82" t="s">
        <v>165</v>
      </c>
      <c r="B31" s="178"/>
      <c r="C31" s="179"/>
      <c r="D31" s="179"/>
      <c r="E31" s="179"/>
      <c r="F31" s="179"/>
      <c r="G31" s="180"/>
      <c r="H31" s="175"/>
      <c r="I31" s="175"/>
      <c r="J31" s="175"/>
      <c r="K31" s="175"/>
      <c r="L31" s="175"/>
      <c r="M31" s="175"/>
      <c r="N31" s="175"/>
      <c r="O31" s="175"/>
      <c r="P31" s="77"/>
    </row>
    <row r="32" spans="1:16" x14ac:dyDescent="0.25">
      <c r="A32" s="82" t="s">
        <v>167</v>
      </c>
      <c r="B32" s="178"/>
      <c r="C32" s="179"/>
      <c r="D32" s="179"/>
      <c r="E32" s="179"/>
      <c r="F32" s="179"/>
      <c r="G32" s="180"/>
      <c r="H32" s="175"/>
      <c r="I32" s="175"/>
      <c r="J32" s="175"/>
      <c r="K32" s="175"/>
      <c r="L32" s="175"/>
      <c r="M32" s="175"/>
      <c r="N32" s="175"/>
      <c r="O32" s="175"/>
      <c r="P32" s="77"/>
    </row>
    <row r="33" spans="1:1" x14ac:dyDescent="0.25">
      <c r="A33" s="75"/>
    </row>
  </sheetData>
  <mergeCells count="43">
    <mergeCell ref="B31:G31"/>
    <mergeCell ref="H31:K31"/>
    <mergeCell ref="L31:O31"/>
    <mergeCell ref="B32:G32"/>
    <mergeCell ref="H32:K32"/>
    <mergeCell ref="L32:O32"/>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phoneticPr fontId="42" type="noConversion"/>
  <conditionalFormatting sqref="B9:B10">
    <cfRule type="cellIs" dxfId="159" priority="15" operator="equal">
      <formula>"Nok"</formula>
    </cfRule>
    <cfRule type="cellIs" dxfId="158" priority="16" operator="equal">
      <formula>"Ok"</formula>
    </cfRule>
  </conditionalFormatting>
  <conditionalFormatting sqref="P22 P29:P32">
    <cfRule type="cellIs" dxfId="157" priority="13" operator="equal">
      <formula>"Nok"</formula>
    </cfRule>
    <cfRule type="cellIs" dxfId="156" priority="14" operator="equal">
      <formula>"Ok"</formula>
    </cfRule>
  </conditionalFormatting>
  <conditionalFormatting sqref="P23">
    <cfRule type="cellIs" dxfId="155" priority="11" operator="equal">
      <formula>"Nok"</formula>
    </cfRule>
    <cfRule type="cellIs" dxfId="154" priority="12" operator="equal">
      <formula>"Ok"</formula>
    </cfRule>
  </conditionalFormatting>
  <conditionalFormatting sqref="P24">
    <cfRule type="cellIs" dxfId="153" priority="9" operator="equal">
      <formula>"Nok"</formula>
    </cfRule>
    <cfRule type="cellIs" dxfId="152" priority="10" operator="equal">
      <formula>"Ok"</formula>
    </cfRule>
  </conditionalFormatting>
  <conditionalFormatting sqref="P25">
    <cfRule type="cellIs" dxfId="151" priority="7" operator="equal">
      <formula>"Nok"</formula>
    </cfRule>
    <cfRule type="cellIs" dxfId="150" priority="8" operator="equal">
      <formula>"Ok"</formula>
    </cfRule>
  </conditionalFormatting>
  <conditionalFormatting sqref="P26">
    <cfRule type="cellIs" dxfId="149" priority="5" operator="equal">
      <formula>"Nok"</formula>
    </cfRule>
    <cfRule type="cellIs" dxfId="148" priority="6" operator="equal">
      <formula>"Ok"</formula>
    </cfRule>
  </conditionalFormatting>
  <conditionalFormatting sqref="P27">
    <cfRule type="cellIs" dxfId="147" priority="3" operator="equal">
      <formula>"Nok"</formula>
    </cfRule>
    <cfRule type="cellIs" dxfId="146" priority="4" operator="equal">
      <formula>"Ok"</formula>
    </cfRule>
  </conditionalFormatting>
  <conditionalFormatting sqref="P28">
    <cfRule type="cellIs" dxfId="145" priority="1" operator="equal">
      <formula>"Nok"</formula>
    </cfRule>
    <cfRule type="cellIs" dxfId="144" priority="2" operator="equal">
      <formula>"Ok"</formula>
    </cfRule>
  </conditionalFormatting>
  <dataValidations count="3">
    <dataValidation type="list" allowBlank="1" showInputMessage="1" showErrorMessage="1" sqref="P22:P32" xr:uid="{6DCB6701-7A76-43D0-BBC6-A7A044D167CC}">
      <formula1>"Ok, Nok, Not run, ,"</formula1>
    </dataValidation>
    <dataValidation type="list" allowBlank="1" showInputMessage="1" showErrorMessage="1" sqref="B9" xr:uid="{38C07840-F902-4066-B4E9-D61C11BFE0A4}">
      <formula1>"Ok, Nok, Not run, NA"</formula1>
    </dataValidation>
    <dataValidation type="list" allowBlank="1" showInputMessage="1" showErrorMessage="1" sqref="B5" xr:uid="{2CA79C4E-5426-4839-985C-EAEC111B703F}">
      <formula1>"Nominal, Robustness, Endurance, Qualification"</formula1>
    </dataValidation>
  </dataValidations>
  <pageMargins left="0.7" right="0.7" top="0.75" bottom="0.75" header="0.3" footer="0.3"/>
  <pageSetup paperSize="9" orientation="portrait" r:id="rId1"/>
  <headerFooter>
    <oddFooter>&amp;LTBD ver 1.7&amp;R&amp;P</odd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B5C15-2AFD-4C77-B2DD-B7C9920AEBF5}">
  <sheetPr codeName="Sheet25"/>
  <dimension ref="A1:P33"/>
  <sheetViews>
    <sheetView workbookViewId="0"/>
  </sheetViews>
  <sheetFormatPr defaultColWidth="9.109375" defaultRowHeight="13.2" x14ac:dyDescent="0.25"/>
  <cols>
    <col min="1" max="1" width="20.109375" style="78" customWidth="1"/>
    <col min="2" max="2" width="18.44140625" style="75" customWidth="1"/>
    <col min="3" max="6" width="9.109375" style="75"/>
    <col min="7" max="7" width="9" style="75" customWidth="1"/>
    <col min="8" max="10" width="9.5546875" style="75" customWidth="1"/>
    <col min="11" max="11" width="20.5546875" style="75" customWidth="1"/>
    <col min="12" max="14" width="9.5546875" style="75" customWidth="1"/>
    <col min="15" max="15" width="40" style="75" customWidth="1"/>
    <col min="16" max="16384" width="9.109375" style="75"/>
  </cols>
  <sheetData>
    <row r="1" spans="1:15" ht="13.8" thickBot="1" x14ac:dyDescent="0.3">
      <c r="A1" s="79" t="s">
        <v>139</v>
      </c>
      <c r="B1" s="200" t="s">
        <v>182</v>
      </c>
      <c r="C1" s="201"/>
      <c r="D1" s="201"/>
      <c r="E1" s="201"/>
      <c r="F1" s="201"/>
      <c r="G1" s="202"/>
      <c r="H1" s="55"/>
      <c r="I1" s="55"/>
      <c r="J1" s="55"/>
      <c r="K1" s="55"/>
      <c r="L1" s="55"/>
      <c r="M1" s="55"/>
      <c r="N1" s="55"/>
      <c r="O1" s="55"/>
    </row>
    <row r="2" spans="1:15" ht="13.8" thickBot="1" x14ac:dyDescent="0.3">
      <c r="A2" s="54"/>
      <c r="B2" s="55"/>
      <c r="C2" s="55"/>
      <c r="D2" s="55"/>
      <c r="E2" s="55"/>
      <c r="F2" s="55"/>
      <c r="G2" s="55"/>
      <c r="H2" s="55"/>
      <c r="I2" s="55"/>
      <c r="J2" s="55"/>
      <c r="K2" s="55"/>
      <c r="L2" s="55"/>
      <c r="M2" s="55"/>
      <c r="N2" s="55"/>
      <c r="O2" s="55"/>
    </row>
    <row r="3" spans="1:15" ht="27" thickBot="1" x14ac:dyDescent="0.3">
      <c r="A3" s="80" t="s">
        <v>140</v>
      </c>
      <c r="B3" s="213" t="s">
        <v>218</v>
      </c>
      <c r="C3" s="214"/>
      <c r="D3" s="214"/>
      <c r="E3" s="214"/>
      <c r="F3" s="214"/>
      <c r="G3" s="215"/>
      <c r="H3" s="55"/>
      <c r="I3" s="55"/>
      <c r="J3" s="55"/>
      <c r="K3" s="55"/>
      <c r="L3" s="55"/>
      <c r="M3" s="55"/>
      <c r="N3" s="55"/>
      <c r="O3" s="55"/>
    </row>
    <row r="4" spans="1:15" ht="13.8" thickBot="1" x14ac:dyDescent="0.3">
      <c r="A4" s="54"/>
      <c r="B4" s="55"/>
      <c r="C4" s="55"/>
      <c r="D4" s="55"/>
      <c r="E4" s="55"/>
      <c r="F4" s="55"/>
      <c r="G4" s="55"/>
      <c r="H4" s="55"/>
      <c r="I4" s="55"/>
      <c r="J4" s="55"/>
      <c r="K4" s="55"/>
      <c r="L4" s="55"/>
      <c r="M4" s="55"/>
      <c r="N4" s="55"/>
      <c r="O4" s="55"/>
    </row>
    <row r="5" spans="1:15" ht="13.8" thickBot="1" x14ac:dyDescent="0.3">
      <c r="A5" s="79" t="s">
        <v>141</v>
      </c>
      <c r="B5" s="58" t="s">
        <v>142</v>
      </c>
      <c r="C5" s="55"/>
      <c r="D5" s="55"/>
      <c r="E5" s="55"/>
      <c r="F5" s="55"/>
      <c r="G5" s="55"/>
      <c r="H5" s="55"/>
      <c r="I5" s="55"/>
      <c r="J5" s="55"/>
      <c r="K5" s="55"/>
      <c r="L5" s="55"/>
      <c r="M5" s="55"/>
      <c r="N5" s="55"/>
      <c r="O5" s="55"/>
    </row>
    <row r="6" spans="1:15" ht="13.8" thickBot="1" x14ac:dyDescent="0.3">
      <c r="A6" s="54"/>
      <c r="B6" s="55"/>
      <c r="C6" s="55"/>
      <c r="D6" s="55"/>
      <c r="E6" s="55"/>
      <c r="F6" s="55"/>
      <c r="G6" s="55"/>
      <c r="H6" s="55"/>
      <c r="I6" s="55"/>
      <c r="J6" s="55"/>
      <c r="K6" s="55"/>
      <c r="L6" s="55"/>
      <c r="M6" s="55"/>
      <c r="N6" s="55"/>
      <c r="O6" s="55"/>
    </row>
    <row r="7" spans="1:15" ht="13.8" thickBot="1" x14ac:dyDescent="0.3">
      <c r="A7" s="79" t="s">
        <v>143</v>
      </c>
      <c r="B7" s="203" t="s">
        <v>219</v>
      </c>
      <c r="C7" s="204"/>
      <c r="D7" s="204"/>
      <c r="E7" s="204"/>
      <c r="F7" s="204"/>
      <c r="G7" s="205"/>
      <c r="H7" s="55"/>
      <c r="I7" s="55"/>
      <c r="J7" s="55"/>
      <c r="K7" s="55"/>
      <c r="L7" s="55"/>
      <c r="M7" s="55"/>
      <c r="N7" s="55"/>
      <c r="O7" s="55"/>
    </row>
    <row r="8" spans="1:15" ht="13.8" thickBot="1" x14ac:dyDescent="0.3">
      <c r="A8" s="57"/>
      <c r="B8" s="56"/>
      <c r="C8" s="56"/>
      <c r="D8" s="56"/>
      <c r="E8" s="56"/>
      <c r="F8" s="56"/>
      <c r="G8" s="56"/>
      <c r="H8" s="55"/>
      <c r="I8" s="55"/>
      <c r="J8" s="55"/>
      <c r="K8" s="55"/>
      <c r="L8" s="55"/>
      <c r="M8" s="55"/>
      <c r="N8" s="55"/>
      <c r="O8" s="55"/>
    </row>
    <row r="9" spans="1:15" ht="13.8" thickBot="1" x14ac:dyDescent="0.3">
      <c r="A9" s="79" t="s">
        <v>144</v>
      </c>
      <c r="B9" s="84" t="s">
        <v>145</v>
      </c>
      <c r="C9" s="55"/>
      <c r="D9" s="55"/>
      <c r="E9" s="55"/>
      <c r="F9" s="55"/>
      <c r="G9" s="55"/>
      <c r="H9" s="55"/>
      <c r="I9" s="55"/>
      <c r="J9" s="55"/>
      <c r="K9" s="55"/>
      <c r="L9" s="55"/>
      <c r="M9" s="55"/>
      <c r="N9" s="55"/>
      <c r="O9" s="55"/>
    </row>
    <row r="10" spans="1:15" ht="13.8" thickBot="1" x14ac:dyDescent="0.3">
      <c r="A10" s="57"/>
      <c r="B10" s="76"/>
      <c r="C10" s="55"/>
      <c r="D10" s="55"/>
      <c r="E10" s="55"/>
      <c r="F10" s="55"/>
      <c r="G10" s="55"/>
      <c r="H10" s="55"/>
      <c r="I10" s="55"/>
      <c r="J10" s="55"/>
      <c r="K10" s="55"/>
      <c r="L10" s="55"/>
      <c r="M10" s="55"/>
      <c r="N10" s="55"/>
      <c r="O10" s="55"/>
    </row>
    <row r="11" spans="1:15" ht="12" customHeight="1" x14ac:dyDescent="0.25">
      <c r="A11" s="189" t="s">
        <v>146</v>
      </c>
      <c r="B11" s="191" t="s">
        <v>147</v>
      </c>
      <c r="C11" s="192"/>
      <c r="D11" s="192"/>
      <c r="E11" s="192"/>
      <c r="F11" s="192"/>
      <c r="G11" s="193"/>
      <c r="H11" s="55"/>
      <c r="I11" s="55"/>
      <c r="J11" s="55"/>
      <c r="K11" s="55"/>
      <c r="L11" s="55"/>
      <c r="M11" s="55"/>
      <c r="N11" s="55"/>
      <c r="O11" s="55"/>
    </row>
    <row r="12" spans="1:15" x14ac:dyDescent="0.25">
      <c r="A12" s="190"/>
      <c r="B12" s="194"/>
      <c r="C12" s="195"/>
      <c r="D12" s="195"/>
      <c r="E12" s="195"/>
      <c r="F12" s="195"/>
      <c r="G12" s="196"/>
      <c r="H12" s="55"/>
      <c r="I12" s="55"/>
      <c r="J12" s="55"/>
      <c r="K12" s="55"/>
      <c r="L12" s="55"/>
      <c r="M12" s="55"/>
      <c r="N12" s="55"/>
      <c r="O12" s="55"/>
    </row>
    <row r="13" spans="1:15" x14ac:dyDescent="0.25">
      <c r="A13" s="190"/>
      <c r="B13" s="194"/>
      <c r="C13" s="195"/>
      <c r="D13" s="195"/>
      <c r="E13" s="195"/>
      <c r="F13" s="195"/>
      <c r="G13" s="196"/>
      <c r="H13" s="54"/>
      <c r="I13" s="55"/>
      <c r="J13" s="55"/>
      <c r="K13" s="55"/>
      <c r="L13" s="55"/>
      <c r="M13" s="55"/>
      <c r="N13" s="55"/>
      <c r="O13" s="55"/>
    </row>
    <row r="14" spans="1:15" ht="13.8" thickBot="1" x14ac:dyDescent="0.3">
      <c r="A14" s="190"/>
      <c r="B14" s="197"/>
      <c r="C14" s="198"/>
      <c r="D14" s="198"/>
      <c r="E14" s="198"/>
      <c r="F14" s="198"/>
      <c r="G14" s="199"/>
      <c r="H14" s="59"/>
      <c r="I14" s="55"/>
      <c r="J14" s="55"/>
      <c r="K14" s="55"/>
      <c r="L14" s="55"/>
      <c r="M14" s="55"/>
      <c r="N14" s="55"/>
      <c r="O14" s="55"/>
    </row>
    <row r="15" spans="1:15" ht="13.8" thickBot="1" x14ac:dyDescent="0.3">
      <c r="A15" s="54"/>
      <c r="B15" s="54"/>
      <c r="C15" s="54"/>
      <c r="D15" s="54"/>
      <c r="E15" s="54"/>
      <c r="F15" s="54"/>
      <c r="G15" s="54"/>
      <c r="H15" s="59"/>
      <c r="I15" s="55"/>
      <c r="J15" s="55"/>
      <c r="K15" s="55"/>
      <c r="L15" s="55"/>
      <c r="M15" s="55"/>
      <c r="N15" s="55"/>
      <c r="O15" s="55"/>
    </row>
    <row r="16" spans="1:15" x14ac:dyDescent="0.25">
      <c r="A16" s="189" t="s">
        <v>148</v>
      </c>
      <c r="B16" s="191" t="s">
        <v>149</v>
      </c>
      <c r="C16" s="192"/>
      <c r="D16" s="192"/>
      <c r="E16" s="192"/>
      <c r="F16" s="192"/>
      <c r="G16" s="193"/>
      <c r="H16" s="55"/>
      <c r="I16" s="55"/>
      <c r="J16" s="55"/>
      <c r="K16" s="55"/>
      <c r="L16" s="55"/>
      <c r="M16" s="55"/>
      <c r="N16" s="55"/>
      <c r="O16" s="55"/>
    </row>
    <row r="17" spans="1:16" x14ac:dyDescent="0.25">
      <c r="A17" s="190"/>
      <c r="B17" s="194"/>
      <c r="C17" s="195"/>
      <c r="D17" s="195"/>
      <c r="E17" s="195"/>
      <c r="F17" s="195"/>
      <c r="G17" s="196"/>
      <c r="H17" s="55"/>
      <c r="I17" s="55"/>
      <c r="J17" s="55"/>
      <c r="K17" s="55"/>
      <c r="L17" s="55"/>
      <c r="M17" s="55"/>
      <c r="N17" s="55"/>
      <c r="O17" s="55"/>
    </row>
    <row r="18" spans="1:16" x14ac:dyDescent="0.25">
      <c r="A18" s="190"/>
      <c r="B18" s="194"/>
      <c r="C18" s="195"/>
      <c r="D18" s="195"/>
      <c r="E18" s="195"/>
      <c r="F18" s="195"/>
      <c r="G18" s="196"/>
      <c r="H18" s="54"/>
      <c r="I18" s="55"/>
      <c r="J18" s="55"/>
      <c r="K18" s="55"/>
      <c r="L18" s="55"/>
      <c r="M18" s="55"/>
      <c r="N18" s="55"/>
      <c r="O18" s="55"/>
    </row>
    <row r="19" spans="1:16" ht="13.8" thickBot="1" x14ac:dyDescent="0.3">
      <c r="A19" s="190"/>
      <c r="B19" s="197"/>
      <c r="C19" s="198"/>
      <c r="D19" s="198"/>
      <c r="E19" s="198"/>
      <c r="F19" s="198"/>
      <c r="G19" s="199"/>
      <c r="H19" s="59"/>
      <c r="I19" s="55"/>
      <c r="J19" s="55"/>
      <c r="K19" s="55"/>
      <c r="L19" s="55"/>
      <c r="M19" s="55"/>
      <c r="N19" s="55"/>
      <c r="O19" s="55"/>
    </row>
    <row r="20" spans="1:16" ht="13.8" thickBot="1" x14ac:dyDescent="0.3">
      <c r="A20" s="54"/>
      <c r="B20" s="54"/>
      <c r="C20" s="54"/>
      <c r="D20" s="54"/>
      <c r="E20" s="54"/>
      <c r="F20" s="54"/>
      <c r="G20" s="54"/>
      <c r="H20" s="59"/>
      <c r="I20" s="55"/>
      <c r="J20" s="55"/>
      <c r="K20" s="55"/>
      <c r="L20" s="55"/>
      <c r="M20" s="55"/>
      <c r="N20" s="55"/>
      <c r="O20" s="55"/>
    </row>
    <row r="21" spans="1:16" ht="12.75" customHeight="1" x14ac:dyDescent="0.25">
      <c r="A21" s="186" t="s">
        <v>150</v>
      </c>
      <c r="B21" s="187"/>
      <c r="C21" s="187"/>
      <c r="D21" s="187"/>
      <c r="E21" s="187"/>
      <c r="F21" s="187"/>
      <c r="G21" s="188"/>
      <c r="H21" s="186" t="s">
        <v>151</v>
      </c>
      <c r="I21" s="187"/>
      <c r="J21" s="187"/>
      <c r="K21" s="188"/>
      <c r="L21" s="186" t="s">
        <v>152</v>
      </c>
      <c r="M21" s="187"/>
      <c r="N21" s="187"/>
      <c r="O21" s="188"/>
      <c r="P21" s="81" t="s">
        <v>153</v>
      </c>
    </row>
    <row r="22" spans="1:16" ht="28.95" customHeight="1" x14ac:dyDescent="0.25">
      <c r="A22" s="82" t="s">
        <v>154</v>
      </c>
      <c r="B22" s="178" t="s">
        <v>196</v>
      </c>
      <c r="C22" s="179"/>
      <c r="D22" s="179"/>
      <c r="E22" s="179"/>
      <c r="F22" s="179"/>
      <c r="G22" s="180"/>
      <c r="H22" s="175" t="s">
        <v>166</v>
      </c>
      <c r="I22" s="175"/>
      <c r="J22" s="175"/>
      <c r="K22" s="175"/>
      <c r="L22" s="175" t="s">
        <v>166</v>
      </c>
      <c r="M22" s="175"/>
      <c r="N22" s="175"/>
      <c r="O22" s="175"/>
      <c r="P22" s="77" t="s">
        <v>145</v>
      </c>
    </row>
    <row r="23" spans="1:16" ht="39" customHeight="1" x14ac:dyDescent="0.25">
      <c r="A23" s="82" t="s">
        <v>155</v>
      </c>
      <c r="B23" s="178" t="s">
        <v>215</v>
      </c>
      <c r="C23" s="179"/>
      <c r="D23" s="179"/>
      <c r="E23" s="179"/>
      <c r="F23" s="179"/>
      <c r="G23" s="180"/>
      <c r="H23" s="178" t="s">
        <v>166</v>
      </c>
      <c r="I23" s="179"/>
      <c r="J23" s="179"/>
      <c r="K23" s="180"/>
      <c r="L23" s="178" t="s">
        <v>166</v>
      </c>
      <c r="M23" s="179"/>
      <c r="N23" s="179"/>
      <c r="O23" s="180"/>
      <c r="P23" s="77" t="s">
        <v>145</v>
      </c>
    </row>
    <row r="24" spans="1:16" ht="82.5" customHeight="1" x14ac:dyDescent="0.25">
      <c r="A24" s="82" t="s">
        <v>156</v>
      </c>
      <c r="B24" s="178" t="s">
        <v>220</v>
      </c>
      <c r="C24" s="179"/>
      <c r="D24" s="179"/>
      <c r="E24" s="179"/>
      <c r="F24" s="179"/>
      <c r="G24" s="180"/>
      <c r="H24" s="178" t="s">
        <v>166</v>
      </c>
      <c r="I24" s="179"/>
      <c r="J24" s="179"/>
      <c r="K24" s="180"/>
      <c r="L24" s="178" t="s">
        <v>166</v>
      </c>
      <c r="M24" s="179"/>
      <c r="N24" s="179"/>
      <c r="O24" s="180"/>
      <c r="P24" s="77" t="s">
        <v>145</v>
      </c>
    </row>
    <row r="25" spans="1:16" ht="24.75" customHeight="1" x14ac:dyDescent="0.25">
      <c r="A25" s="82" t="s">
        <v>157</v>
      </c>
      <c r="B25" s="178" t="s">
        <v>221</v>
      </c>
      <c r="C25" s="179"/>
      <c r="D25" s="179"/>
      <c r="E25" s="179"/>
      <c r="F25" s="179"/>
      <c r="G25" s="180"/>
      <c r="H25" s="178" t="s">
        <v>166</v>
      </c>
      <c r="I25" s="179"/>
      <c r="J25" s="179"/>
      <c r="K25" s="180"/>
      <c r="L25" s="178" t="s">
        <v>166</v>
      </c>
      <c r="M25" s="179"/>
      <c r="N25" s="179"/>
      <c r="O25" s="180"/>
      <c r="P25" s="77" t="s">
        <v>145</v>
      </c>
    </row>
    <row r="26" spans="1:16" x14ac:dyDescent="0.25">
      <c r="A26" s="82" t="s">
        <v>158</v>
      </c>
      <c r="B26" s="178"/>
      <c r="C26" s="179"/>
      <c r="D26" s="179"/>
      <c r="E26" s="179"/>
      <c r="F26" s="179"/>
      <c r="G26" s="180"/>
      <c r="H26" s="175"/>
      <c r="I26" s="175"/>
      <c r="J26" s="175"/>
      <c r="K26" s="175"/>
      <c r="L26" s="175"/>
      <c r="M26" s="175"/>
      <c r="N26" s="175"/>
      <c r="O26" s="175"/>
      <c r="P26" s="77"/>
    </row>
    <row r="27" spans="1:16" x14ac:dyDescent="0.25">
      <c r="A27" s="82" t="s">
        <v>159</v>
      </c>
      <c r="B27" s="178"/>
      <c r="C27" s="179"/>
      <c r="D27" s="179"/>
      <c r="E27" s="179"/>
      <c r="F27" s="179"/>
      <c r="G27" s="180"/>
      <c r="H27" s="178"/>
      <c r="I27" s="179"/>
      <c r="J27" s="179"/>
      <c r="K27" s="180"/>
      <c r="L27" s="178"/>
      <c r="M27" s="179"/>
      <c r="N27" s="179"/>
      <c r="O27" s="180"/>
      <c r="P27" s="77"/>
    </row>
    <row r="28" spans="1:16" x14ac:dyDescent="0.25">
      <c r="A28" s="82" t="s">
        <v>162</v>
      </c>
      <c r="B28" s="178"/>
      <c r="C28" s="179"/>
      <c r="D28" s="179"/>
      <c r="E28" s="179"/>
      <c r="F28" s="179"/>
      <c r="G28" s="180"/>
      <c r="H28" s="178"/>
      <c r="I28" s="179"/>
      <c r="J28" s="179"/>
      <c r="K28" s="180"/>
      <c r="L28" s="178"/>
      <c r="M28" s="179"/>
      <c r="N28" s="179"/>
      <c r="O28" s="180"/>
      <c r="P28" s="77"/>
    </row>
    <row r="29" spans="1:16" x14ac:dyDescent="0.25">
      <c r="A29" s="82" t="s">
        <v>163</v>
      </c>
      <c r="B29" s="178"/>
      <c r="C29" s="179"/>
      <c r="D29" s="179"/>
      <c r="E29" s="179"/>
      <c r="F29" s="179"/>
      <c r="G29" s="180"/>
      <c r="H29" s="175"/>
      <c r="I29" s="175"/>
      <c r="J29" s="175"/>
      <c r="K29" s="175"/>
      <c r="L29" s="175"/>
      <c r="M29" s="175"/>
      <c r="N29" s="175"/>
      <c r="O29" s="175"/>
      <c r="P29" s="77"/>
    </row>
    <row r="30" spans="1:16" ht="12.75" customHeight="1" x14ac:dyDescent="0.25">
      <c r="A30" s="82" t="s">
        <v>164</v>
      </c>
      <c r="B30" s="178"/>
      <c r="C30" s="179"/>
      <c r="D30" s="179"/>
      <c r="E30" s="179"/>
      <c r="F30" s="179"/>
      <c r="G30" s="180"/>
      <c r="H30" s="175"/>
      <c r="I30" s="175"/>
      <c r="J30" s="175"/>
      <c r="K30" s="175"/>
      <c r="L30" s="175"/>
      <c r="M30" s="175"/>
      <c r="N30" s="175"/>
      <c r="O30" s="175"/>
      <c r="P30" s="77"/>
    </row>
    <row r="31" spans="1:16" ht="12.75" customHeight="1" x14ac:dyDescent="0.25">
      <c r="A31" s="82" t="s">
        <v>165</v>
      </c>
      <c r="B31" s="178"/>
      <c r="C31" s="179"/>
      <c r="D31" s="179"/>
      <c r="E31" s="179"/>
      <c r="F31" s="179"/>
      <c r="G31" s="180"/>
      <c r="H31" s="175"/>
      <c r="I31" s="175"/>
      <c r="J31" s="175"/>
      <c r="K31" s="175"/>
      <c r="L31" s="175"/>
      <c r="M31" s="175"/>
      <c r="N31" s="175"/>
      <c r="O31" s="175"/>
      <c r="P31" s="77"/>
    </row>
    <row r="32" spans="1:16" x14ac:dyDescent="0.25">
      <c r="A32" s="82" t="s">
        <v>167</v>
      </c>
      <c r="B32" s="178"/>
      <c r="C32" s="179"/>
      <c r="D32" s="179"/>
      <c r="E32" s="179"/>
      <c r="F32" s="179"/>
      <c r="G32" s="180"/>
      <c r="H32" s="175"/>
      <c r="I32" s="175"/>
      <c r="J32" s="175"/>
      <c r="K32" s="175"/>
      <c r="L32" s="175"/>
      <c r="M32" s="175"/>
      <c r="N32" s="175"/>
      <c r="O32" s="175"/>
      <c r="P32" s="77"/>
    </row>
    <row r="33" spans="1:1" x14ac:dyDescent="0.25">
      <c r="A33" s="75"/>
    </row>
  </sheetData>
  <mergeCells count="43">
    <mergeCell ref="B31:G31"/>
    <mergeCell ref="H31:K31"/>
    <mergeCell ref="L31:O31"/>
    <mergeCell ref="B32:G32"/>
    <mergeCell ref="H32:K32"/>
    <mergeCell ref="L32:O32"/>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phoneticPr fontId="42" type="noConversion"/>
  <conditionalFormatting sqref="B9:B10">
    <cfRule type="cellIs" dxfId="143" priority="11" operator="equal">
      <formula>"Nok"</formula>
    </cfRule>
    <cfRule type="cellIs" dxfId="142" priority="12" operator="equal">
      <formula>"Ok"</formula>
    </cfRule>
  </conditionalFormatting>
  <conditionalFormatting sqref="P22 P27:P32">
    <cfRule type="cellIs" dxfId="141" priority="9" operator="equal">
      <formula>"Nok"</formula>
    </cfRule>
    <cfRule type="cellIs" dxfId="140" priority="10" operator="equal">
      <formula>"Ok"</formula>
    </cfRule>
  </conditionalFormatting>
  <conditionalFormatting sqref="P23">
    <cfRule type="cellIs" dxfId="139" priority="7" operator="equal">
      <formula>"Nok"</formula>
    </cfRule>
    <cfRule type="cellIs" dxfId="138" priority="8" operator="equal">
      <formula>"Ok"</formula>
    </cfRule>
  </conditionalFormatting>
  <conditionalFormatting sqref="P24">
    <cfRule type="cellIs" dxfId="137" priority="5" operator="equal">
      <formula>"Nok"</formula>
    </cfRule>
    <cfRule type="cellIs" dxfId="136" priority="6" operator="equal">
      <formula>"Ok"</formula>
    </cfRule>
  </conditionalFormatting>
  <conditionalFormatting sqref="P25">
    <cfRule type="cellIs" dxfId="135" priority="3" operator="equal">
      <formula>"Nok"</formula>
    </cfRule>
    <cfRule type="cellIs" dxfId="134" priority="4" operator="equal">
      <formula>"Ok"</formula>
    </cfRule>
  </conditionalFormatting>
  <conditionalFormatting sqref="P26">
    <cfRule type="cellIs" dxfId="133" priority="1" operator="equal">
      <formula>"Nok"</formula>
    </cfRule>
    <cfRule type="cellIs" dxfId="132" priority="2" operator="equal">
      <formula>"Ok"</formula>
    </cfRule>
  </conditionalFormatting>
  <dataValidations count="3">
    <dataValidation type="list" allowBlank="1" showInputMessage="1" showErrorMessage="1" sqref="B5" xr:uid="{20E22508-C7A1-4A71-AE90-A4D75243A16D}">
      <formula1>"Nominal, Robustness, Endurance, Qualification"</formula1>
    </dataValidation>
    <dataValidation type="list" allowBlank="1" showInputMessage="1" showErrorMessage="1" sqref="B9" xr:uid="{159B7B6D-B32F-46EA-AB5F-3FAD9F9E12BF}">
      <formula1>"Ok, Nok, Not run, NA"</formula1>
    </dataValidation>
    <dataValidation type="list" allowBlank="1" showInputMessage="1" showErrorMessage="1" sqref="P22:P32" xr:uid="{AC054975-F8F3-4F3F-A3F0-90EE77566096}">
      <formula1>"Ok, Nok, Not run, ,"</formula1>
    </dataValidation>
  </dataValidations>
  <pageMargins left="0.7" right="0.7" top="0.75" bottom="0.75" header="0.3" footer="0.3"/>
  <pageSetup paperSize="9" orientation="portrait" r:id="rId1"/>
  <headerFooter>
    <oddFooter>&amp;LTBD ver 1.7&amp;R&amp;P</oddFooter>
  </headerFooter>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BC3F2-735D-4859-BFD2-E18ADEE09BAA}">
  <sheetPr codeName="Sheet26"/>
  <dimension ref="A1:P33"/>
  <sheetViews>
    <sheetView workbookViewId="0">
      <selection activeCell="B22" sqref="B22:G22"/>
    </sheetView>
  </sheetViews>
  <sheetFormatPr defaultColWidth="9.109375" defaultRowHeight="13.2" x14ac:dyDescent="0.25"/>
  <cols>
    <col min="1" max="1" width="20.109375" style="78" customWidth="1"/>
    <col min="2" max="2" width="18.44140625" style="75" customWidth="1"/>
    <col min="3" max="7" width="9.109375" style="75"/>
    <col min="8" max="10" width="9.5546875" style="75" customWidth="1"/>
    <col min="11" max="11" width="20.5546875" style="75" customWidth="1"/>
    <col min="12" max="14" width="9.5546875" style="75" customWidth="1"/>
    <col min="15" max="15" width="40" style="75" customWidth="1"/>
    <col min="16" max="16384" width="9.109375" style="75"/>
  </cols>
  <sheetData>
    <row r="1" spans="1:15" ht="13.8" thickBot="1" x14ac:dyDescent="0.3">
      <c r="A1" s="79" t="s">
        <v>139</v>
      </c>
      <c r="B1" s="200" t="s">
        <v>324</v>
      </c>
      <c r="C1" s="201"/>
      <c r="D1" s="201"/>
      <c r="E1" s="201"/>
      <c r="F1" s="201"/>
      <c r="G1" s="202"/>
      <c r="H1" s="55"/>
      <c r="I1" s="55"/>
      <c r="J1" s="55"/>
      <c r="K1" s="55"/>
      <c r="L1" s="55"/>
      <c r="M1" s="55"/>
      <c r="N1" s="55"/>
      <c r="O1" s="55"/>
    </row>
    <row r="2" spans="1:15" ht="13.8" thickBot="1" x14ac:dyDescent="0.3">
      <c r="A2" s="54"/>
      <c r="B2" s="55"/>
      <c r="C2" s="55"/>
      <c r="D2" s="55"/>
      <c r="E2" s="55"/>
      <c r="F2" s="55"/>
      <c r="G2" s="55"/>
      <c r="H2" s="55"/>
      <c r="I2" s="55"/>
      <c r="J2" s="55"/>
      <c r="K2" s="55"/>
      <c r="L2" s="55"/>
      <c r="M2" s="55"/>
      <c r="N2" s="55"/>
      <c r="O2" s="55"/>
    </row>
    <row r="3" spans="1:15" ht="27" thickBot="1" x14ac:dyDescent="0.3">
      <c r="A3" s="80" t="s">
        <v>140</v>
      </c>
      <c r="B3" s="203" t="s">
        <v>222</v>
      </c>
      <c r="C3" s="204"/>
      <c r="D3" s="204"/>
      <c r="E3" s="204"/>
      <c r="F3" s="204"/>
      <c r="G3" s="205"/>
      <c r="H3" s="55"/>
      <c r="I3" s="55"/>
      <c r="J3" s="55"/>
      <c r="K3" s="55"/>
      <c r="L3" s="55"/>
      <c r="M3" s="55"/>
      <c r="N3" s="55"/>
      <c r="O3" s="55"/>
    </row>
    <row r="4" spans="1:15" ht="13.8" thickBot="1" x14ac:dyDescent="0.3">
      <c r="A4" s="54"/>
      <c r="B4" s="55"/>
      <c r="C4" s="55"/>
      <c r="D4" s="55"/>
      <c r="E4" s="55"/>
      <c r="F4" s="55"/>
      <c r="G4" s="55"/>
      <c r="H4" s="55"/>
      <c r="I4" s="55"/>
      <c r="J4" s="55"/>
      <c r="K4" s="55"/>
      <c r="L4" s="55"/>
      <c r="M4" s="55"/>
      <c r="N4" s="55"/>
      <c r="O4" s="55"/>
    </row>
    <row r="5" spans="1:15" ht="13.8" thickBot="1" x14ac:dyDescent="0.3">
      <c r="A5" s="79" t="s">
        <v>141</v>
      </c>
      <c r="B5" s="58" t="s">
        <v>142</v>
      </c>
      <c r="C5" s="55"/>
      <c r="D5" s="55"/>
      <c r="E5" s="55"/>
      <c r="F5" s="55"/>
      <c r="G5" s="55"/>
      <c r="H5" s="55"/>
      <c r="I5" s="55"/>
      <c r="J5" s="55"/>
      <c r="K5" s="55"/>
      <c r="L5" s="55"/>
      <c r="M5" s="55"/>
      <c r="N5" s="55"/>
      <c r="O5" s="55"/>
    </row>
    <row r="6" spans="1:15" ht="13.8" thickBot="1" x14ac:dyDescent="0.3">
      <c r="A6" s="54"/>
      <c r="B6" s="55"/>
      <c r="C6" s="55"/>
      <c r="D6" s="55"/>
      <c r="E6" s="55"/>
      <c r="F6" s="55"/>
      <c r="G6" s="55"/>
      <c r="H6" s="55"/>
      <c r="I6" s="55"/>
      <c r="J6" s="55"/>
      <c r="K6" s="55"/>
      <c r="L6" s="55"/>
      <c r="M6" s="55"/>
      <c r="N6" s="55"/>
      <c r="O6" s="55"/>
    </row>
    <row r="7" spans="1:15" ht="13.8" thickBot="1" x14ac:dyDescent="0.3">
      <c r="A7" s="79" t="s">
        <v>143</v>
      </c>
      <c r="B7" s="203" t="s">
        <v>238</v>
      </c>
      <c r="C7" s="204"/>
      <c r="D7" s="204"/>
      <c r="E7" s="204"/>
      <c r="F7" s="204"/>
      <c r="G7" s="205"/>
      <c r="H7" s="55"/>
      <c r="I7" s="55"/>
      <c r="J7" s="55"/>
      <c r="K7" s="55"/>
      <c r="L7" s="55"/>
      <c r="M7" s="55"/>
      <c r="N7" s="55"/>
      <c r="O7" s="55"/>
    </row>
    <row r="8" spans="1:15" ht="13.8" thickBot="1" x14ac:dyDescent="0.3">
      <c r="A8" s="57"/>
      <c r="B8" s="56"/>
      <c r="C8" s="56"/>
      <c r="D8" s="56"/>
      <c r="E8" s="56"/>
      <c r="F8" s="56"/>
      <c r="G8" s="56"/>
      <c r="H8" s="55"/>
      <c r="I8" s="55"/>
      <c r="J8" s="55"/>
      <c r="K8" s="55"/>
      <c r="L8" s="55"/>
      <c r="M8" s="55"/>
      <c r="N8" s="55"/>
      <c r="O8" s="55"/>
    </row>
    <row r="9" spans="1:15" ht="13.8" thickBot="1" x14ac:dyDescent="0.3">
      <c r="A9" s="79" t="s">
        <v>144</v>
      </c>
      <c r="B9" s="84" t="s">
        <v>145</v>
      </c>
      <c r="C9" s="55"/>
      <c r="D9" s="55"/>
      <c r="E9" s="55"/>
      <c r="F9" s="55"/>
      <c r="G9" s="55"/>
      <c r="H9" s="55"/>
      <c r="I9" s="55"/>
      <c r="J9" s="55"/>
      <c r="K9" s="55"/>
      <c r="L9" s="55"/>
      <c r="M9" s="55"/>
      <c r="N9" s="55"/>
      <c r="O9" s="55"/>
    </row>
    <row r="10" spans="1:15" ht="13.8" thickBot="1" x14ac:dyDescent="0.3">
      <c r="A10" s="57"/>
      <c r="B10" s="76"/>
      <c r="C10" s="55"/>
      <c r="D10" s="55"/>
      <c r="E10" s="55"/>
      <c r="F10" s="55"/>
      <c r="G10" s="55"/>
      <c r="H10" s="55"/>
      <c r="I10" s="55"/>
      <c r="J10" s="55"/>
      <c r="K10" s="55"/>
      <c r="L10" s="55"/>
      <c r="M10" s="55"/>
      <c r="N10" s="55"/>
      <c r="O10" s="55"/>
    </row>
    <row r="11" spans="1:15" ht="12" customHeight="1" x14ac:dyDescent="0.25">
      <c r="A11" s="189" t="s">
        <v>146</v>
      </c>
      <c r="B11" s="191" t="s">
        <v>147</v>
      </c>
      <c r="C11" s="192"/>
      <c r="D11" s="192"/>
      <c r="E11" s="192"/>
      <c r="F11" s="192"/>
      <c r="G11" s="193"/>
      <c r="H11" s="55"/>
      <c r="I11" s="55"/>
      <c r="J11" s="55"/>
      <c r="K11" s="55"/>
      <c r="L11" s="55"/>
      <c r="M11" s="55"/>
      <c r="N11" s="55"/>
      <c r="O11" s="55"/>
    </row>
    <row r="12" spans="1:15" x14ac:dyDescent="0.25">
      <c r="A12" s="190"/>
      <c r="B12" s="194"/>
      <c r="C12" s="195"/>
      <c r="D12" s="195"/>
      <c r="E12" s="195"/>
      <c r="F12" s="195"/>
      <c r="G12" s="196"/>
      <c r="H12" s="55"/>
      <c r="I12" s="55"/>
      <c r="J12" s="55"/>
      <c r="K12" s="55"/>
      <c r="L12" s="55"/>
      <c r="M12" s="55"/>
      <c r="N12" s="55"/>
      <c r="O12" s="55"/>
    </row>
    <row r="13" spans="1:15" x14ac:dyDescent="0.25">
      <c r="A13" s="190"/>
      <c r="B13" s="194"/>
      <c r="C13" s="195"/>
      <c r="D13" s="195"/>
      <c r="E13" s="195"/>
      <c r="F13" s="195"/>
      <c r="G13" s="196"/>
      <c r="H13" s="54"/>
      <c r="I13" s="55"/>
      <c r="J13" s="55"/>
      <c r="K13" s="55"/>
      <c r="L13" s="55"/>
      <c r="M13" s="55"/>
      <c r="N13" s="55"/>
      <c r="O13" s="55"/>
    </row>
    <row r="14" spans="1:15" ht="13.8" thickBot="1" x14ac:dyDescent="0.3">
      <c r="A14" s="190"/>
      <c r="B14" s="197"/>
      <c r="C14" s="198"/>
      <c r="D14" s="198"/>
      <c r="E14" s="198"/>
      <c r="F14" s="198"/>
      <c r="G14" s="199"/>
      <c r="H14" s="59"/>
      <c r="I14" s="55"/>
      <c r="J14" s="55"/>
      <c r="K14" s="55"/>
      <c r="L14" s="55"/>
      <c r="M14" s="55"/>
      <c r="N14" s="55"/>
      <c r="O14" s="55"/>
    </row>
    <row r="15" spans="1:15" ht="13.8" thickBot="1" x14ac:dyDescent="0.3">
      <c r="A15" s="54"/>
      <c r="B15" s="54"/>
      <c r="C15" s="54"/>
      <c r="D15" s="54"/>
      <c r="E15" s="54"/>
      <c r="F15" s="54"/>
      <c r="G15" s="54"/>
      <c r="H15" s="59"/>
      <c r="I15" s="55"/>
      <c r="J15" s="55"/>
      <c r="K15" s="55"/>
      <c r="L15" s="55"/>
      <c r="M15" s="55"/>
      <c r="N15" s="55"/>
      <c r="O15" s="55"/>
    </row>
    <row r="16" spans="1:15" x14ac:dyDescent="0.25">
      <c r="A16" s="189" t="s">
        <v>148</v>
      </c>
      <c r="B16" s="191" t="s">
        <v>149</v>
      </c>
      <c r="C16" s="192"/>
      <c r="D16" s="192"/>
      <c r="E16" s="192"/>
      <c r="F16" s="192"/>
      <c r="G16" s="193"/>
      <c r="H16" s="55"/>
      <c r="I16" s="55"/>
      <c r="J16" s="55"/>
      <c r="K16" s="55"/>
      <c r="L16" s="55"/>
      <c r="M16" s="55"/>
      <c r="N16" s="55"/>
      <c r="O16" s="55"/>
    </row>
    <row r="17" spans="1:16" x14ac:dyDescent="0.25">
      <c r="A17" s="190"/>
      <c r="B17" s="194"/>
      <c r="C17" s="195"/>
      <c r="D17" s="195"/>
      <c r="E17" s="195"/>
      <c r="F17" s="195"/>
      <c r="G17" s="196"/>
      <c r="H17" s="55"/>
      <c r="I17" s="55"/>
      <c r="J17" s="55"/>
      <c r="K17" s="55"/>
      <c r="L17" s="55"/>
      <c r="M17" s="55"/>
      <c r="N17" s="55"/>
      <c r="O17" s="55"/>
    </row>
    <row r="18" spans="1:16" x14ac:dyDescent="0.25">
      <c r="A18" s="190"/>
      <c r="B18" s="194"/>
      <c r="C18" s="195"/>
      <c r="D18" s="195"/>
      <c r="E18" s="195"/>
      <c r="F18" s="195"/>
      <c r="G18" s="196"/>
      <c r="H18" s="54"/>
      <c r="I18" s="55"/>
      <c r="J18" s="55"/>
      <c r="K18" s="55"/>
      <c r="L18" s="55"/>
      <c r="M18" s="55"/>
      <c r="N18" s="55"/>
      <c r="O18" s="55"/>
    </row>
    <row r="19" spans="1:16" ht="13.8" thickBot="1" x14ac:dyDescent="0.3">
      <c r="A19" s="190"/>
      <c r="B19" s="197"/>
      <c r="C19" s="198"/>
      <c r="D19" s="198"/>
      <c r="E19" s="198"/>
      <c r="F19" s="198"/>
      <c r="G19" s="199"/>
      <c r="H19" s="59"/>
      <c r="I19" s="55"/>
      <c r="J19" s="55"/>
      <c r="K19" s="55"/>
      <c r="L19" s="55"/>
      <c r="M19" s="55"/>
      <c r="N19" s="55"/>
      <c r="O19" s="55"/>
    </row>
    <row r="20" spans="1:16" ht="13.8" thickBot="1" x14ac:dyDescent="0.3">
      <c r="A20" s="54"/>
      <c r="B20" s="54"/>
      <c r="C20" s="54"/>
      <c r="D20" s="54"/>
      <c r="E20" s="54"/>
      <c r="F20" s="54"/>
      <c r="G20" s="54"/>
      <c r="H20" s="59"/>
      <c r="I20" s="55"/>
      <c r="J20" s="55"/>
      <c r="K20" s="55"/>
      <c r="L20" s="55"/>
      <c r="M20" s="55"/>
      <c r="N20" s="55"/>
      <c r="O20" s="55"/>
    </row>
    <row r="21" spans="1:16" ht="12.75" customHeight="1" x14ac:dyDescent="0.25">
      <c r="A21" s="186" t="s">
        <v>150</v>
      </c>
      <c r="B21" s="187"/>
      <c r="C21" s="187"/>
      <c r="D21" s="187"/>
      <c r="E21" s="187"/>
      <c r="F21" s="187"/>
      <c r="G21" s="188"/>
      <c r="H21" s="186" t="s">
        <v>151</v>
      </c>
      <c r="I21" s="187"/>
      <c r="J21" s="187"/>
      <c r="K21" s="188"/>
      <c r="L21" s="186" t="s">
        <v>152</v>
      </c>
      <c r="M21" s="187"/>
      <c r="N21" s="187"/>
      <c r="O21" s="188"/>
      <c r="P21" s="81" t="s">
        <v>153</v>
      </c>
    </row>
    <row r="22" spans="1:16" ht="82.5" customHeight="1" x14ac:dyDescent="0.25">
      <c r="A22" s="82" t="s">
        <v>154</v>
      </c>
      <c r="B22" s="172" t="s">
        <v>325</v>
      </c>
      <c r="C22" s="173"/>
      <c r="D22" s="173"/>
      <c r="E22" s="173"/>
      <c r="F22" s="173"/>
      <c r="G22" s="174"/>
      <c r="H22" s="175" t="s">
        <v>166</v>
      </c>
      <c r="I22" s="175"/>
      <c r="J22" s="175"/>
      <c r="K22" s="175"/>
      <c r="L22" s="175" t="s">
        <v>166</v>
      </c>
      <c r="M22" s="175"/>
      <c r="N22" s="175"/>
      <c r="O22" s="175"/>
      <c r="P22" s="77" t="s">
        <v>145</v>
      </c>
    </row>
    <row r="23" spans="1:16" x14ac:dyDescent="0.25">
      <c r="A23" s="82" t="s">
        <v>155</v>
      </c>
      <c r="B23" s="172"/>
      <c r="C23" s="173"/>
      <c r="D23" s="173"/>
      <c r="E23" s="173"/>
      <c r="F23" s="173"/>
      <c r="G23" s="174"/>
      <c r="H23" s="178"/>
      <c r="I23" s="179"/>
      <c r="J23" s="179"/>
      <c r="K23" s="180"/>
      <c r="L23" s="178"/>
      <c r="M23" s="179"/>
      <c r="N23" s="179"/>
      <c r="O23" s="180"/>
      <c r="P23" s="77"/>
    </row>
    <row r="24" spans="1:16" x14ac:dyDescent="0.25">
      <c r="A24" s="82" t="s">
        <v>156</v>
      </c>
      <c r="B24" s="172"/>
      <c r="C24" s="173"/>
      <c r="D24" s="173"/>
      <c r="E24" s="173"/>
      <c r="F24" s="173"/>
      <c r="G24" s="174"/>
      <c r="H24" s="178"/>
      <c r="I24" s="179"/>
      <c r="J24" s="179"/>
      <c r="K24" s="180"/>
      <c r="L24" s="178"/>
      <c r="M24" s="179"/>
      <c r="N24" s="179"/>
      <c r="O24" s="180"/>
      <c r="P24" s="77"/>
    </row>
    <row r="25" spans="1:16" x14ac:dyDescent="0.25">
      <c r="A25" s="82" t="s">
        <v>157</v>
      </c>
      <c r="B25" s="172"/>
      <c r="C25" s="173"/>
      <c r="D25" s="173"/>
      <c r="E25" s="173"/>
      <c r="F25" s="173"/>
      <c r="G25" s="174"/>
      <c r="H25" s="178"/>
      <c r="I25" s="179"/>
      <c r="J25" s="179"/>
      <c r="K25" s="180"/>
      <c r="L25" s="178"/>
      <c r="M25" s="179"/>
      <c r="N25" s="179"/>
      <c r="O25" s="180"/>
      <c r="P25" s="77"/>
    </row>
    <row r="26" spans="1:16" x14ac:dyDescent="0.25">
      <c r="A26" s="82" t="s">
        <v>158</v>
      </c>
      <c r="B26" s="172"/>
      <c r="C26" s="173"/>
      <c r="D26" s="173"/>
      <c r="E26" s="173"/>
      <c r="F26" s="173"/>
      <c r="G26" s="174"/>
      <c r="H26" s="175"/>
      <c r="I26" s="175"/>
      <c r="J26" s="175"/>
      <c r="K26" s="175"/>
      <c r="L26" s="175"/>
      <c r="M26" s="175"/>
      <c r="N26" s="175"/>
      <c r="O26" s="175"/>
      <c r="P26" s="77"/>
    </row>
    <row r="27" spans="1:16" x14ac:dyDescent="0.25">
      <c r="A27" s="82" t="s">
        <v>159</v>
      </c>
      <c r="B27" s="172"/>
      <c r="C27" s="173"/>
      <c r="D27" s="173"/>
      <c r="E27" s="173"/>
      <c r="F27" s="173"/>
      <c r="G27" s="174"/>
      <c r="H27" s="178"/>
      <c r="I27" s="179"/>
      <c r="J27" s="179"/>
      <c r="K27" s="180"/>
      <c r="L27" s="178"/>
      <c r="M27" s="179"/>
      <c r="N27" s="179"/>
      <c r="O27" s="180"/>
      <c r="P27" s="77"/>
    </row>
    <row r="28" spans="1:16" x14ac:dyDescent="0.25">
      <c r="A28" s="82" t="s">
        <v>162</v>
      </c>
      <c r="B28" s="172"/>
      <c r="C28" s="173"/>
      <c r="D28" s="173"/>
      <c r="E28" s="173"/>
      <c r="F28" s="173"/>
      <c r="G28" s="174"/>
      <c r="H28" s="178"/>
      <c r="I28" s="179"/>
      <c r="J28" s="179"/>
      <c r="K28" s="180"/>
      <c r="L28" s="178"/>
      <c r="M28" s="179"/>
      <c r="N28" s="179"/>
      <c r="O28" s="180"/>
      <c r="P28" s="77"/>
    </row>
    <row r="29" spans="1:16" x14ac:dyDescent="0.25">
      <c r="A29" s="82" t="s">
        <v>163</v>
      </c>
      <c r="B29" s="178"/>
      <c r="C29" s="179"/>
      <c r="D29" s="179"/>
      <c r="E29" s="179"/>
      <c r="F29" s="179"/>
      <c r="G29" s="180"/>
      <c r="H29" s="175"/>
      <c r="I29" s="175"/>
      <c r="J29" s="175"/>
      <c r="K29" s="175"/>
      <c r="L29" s="175"/>
      <c r="M29" s="175"/>
      <c r="N29" s="175"/>
      <c r="O29" s="175"/>
      <c r="P29" s="77"/>
    </row>
    <row r="30" spans="1:16" ht="12.75" customHeight="1" x14ac:dyDescent="0.25">
      <c r="A30" s="82" t="s">
        <v>164</v>
      </c>
      <c r="B30" s="178"/>
      <c r="C30" s="179"/>
      <c r="D30" s="179"/>
      <c r="E30" s="179"/>
      <c r="F30" s="179"/>
      <c r="G30" s="180"/>
      <c r="H30" s="175"/>
      <c r="I30" s="175"/>
      <c r="J30" s="175"/>
      <c r="K30" s="175"/>
      <c r="L30" s="175"/>
      <c r="M30" s="175"/>
      <c r="N30" s="175"/>
      <c r="O30" s="175"/>
      <c r="P30" s="77"/>
    </row>
    <row r="31" spans="1:16" ht="12.75" customHeight="1" x14ac:dyDescent="0.25">
      <c r="A31" s="82" t="s">
        <v>165</v>
      </c>
      <c r="B31" s="178"/>
      <c r="C31" s="179"/>
      <c r="D31" s="179"/>
      <c r="E31" s="179"/>
      <c r="F31" s="179"/>
      <c r="G31" s="180"/>
      <c r="H31" s="175"/>
      <c r="I31" s="175"/>
      <c r="J31" s="175"/>
      <c r="K31" s="175"/>
      <c r="L31" s="175"/>
      <c r="M31" s="175"/>
      <c r="N31" s="175"/>
      <c r="O31" s="175"/>
      <c r="P31" s="77"/>
    </row>
    <row r="32" spans="1:16" x14ac:dyDescent="0.25">
      <c r="A32" s="82" t="s">
        <v>167</v>
      </c>
      <c r="B32" s="178"/>
      <c r="C32" s="179"/>
      <c r="D32" s="179"/>
      <c r="E32" s="179"/>
      <c r="F32" s="179"/>
      <c r="G32" s="180"/>
      <c r="H32" s="175"/>
      <c r="I32" s="175"/>
      <c r="J32" s="175"/>
      <c r="K32" s="175"/>
      <c r="L32" s="175"/>
      <c r="M32" s="175"/>
      <c r="N32" s="175"/>
      <c r="O32" s="175"/>
      <c r="P32" s="77"/>
    </row>
    <row r="33" spans="1:1" x14ac:dyDescent="0.25">
      <c r="A33" s="75"/>
    </row>
  </sheetData>
  <mergeCells count="43">
    <mergeCell ref="B31:G31"/>
    <mergeCell ref="H31:K31"/>
    <mergeCell ref="L31:O31"/>
    <mergeCell ref="B32:G32"/>
    <mergeCell ref="H32:K32"/>
    <mergeCell ref="L32:O32"/>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phoneticPr fontId="42" type="noConversion"/>
  <conditionalFormatting sqref="B9:B10">
    <cfRule type="cellIs" dxfId="131" priority="19" operator="equal">
      <formula>"Nok"</formula>
    </cfRule>
    <cfRule type="cellIs" dxfId="130" priority="20" operator="equal">
      <formula>"Ok"</formula>
    </cfRule>
  </conditionalFormatting>
  <conditionalFormatting sqref="P29:P32">
    <cfRule type="cellIs" dxfId="129" priority="17" operator="equal">
      <formula>"Nok"</formula>
    </cfRule>
    <cfRule type="cellIs" dxfId="128" priority="18" operator="equal">
      <formula>"Ok"</formula>
    </cfRule>
  </conditionalFormatting>
  <conditionalFormatting sqref="P22">
    <cfRule type="cellIs" dxfId="127" priority="13" operator="equal">
      <formula>"Nok"</formula>
    </cfRule>
    <cfRule type="cellIs" dxfId="126" priority="14" operator="equal">
      <formula>"Ok"</formula>
    </cfRule>
  </conditionalFormatting>
  <conditionalFormatting sqref="P23">
    <cfRule type="cellIs" dxfId="125" priority="11" operator="equal">
      <formula>"Nok"</formula>
    </cfRule>
    <cfRule type="cellIs" dxfId="124" priority="12" operator="equal">
      <formula>"Ok"</formula>
    </cfRule>
  </conditionalFormatting>
  <conditionalFormatting sqref="P24">
    <cfRule type="cellIs" dxfId="123" priority="9" operator="equal">
      <formula>"Nok"</formula>
    </cfRule>
    <cfRule type="cellIs" dxfId="122" priority="10" operator="equal">
      <formula>"Ok"</formula>
    </cfRule>
  </conditionalFormatting>
  <conditionalFormatting sqref="P25">
    <cfRule type="cellIs" dxfId="121" priority="7" operator="equal">
      <formula>"Nok"</formula>
    </cfRule>
    <cfRule type="cellIs" dxfId="120" priority="8" operator="equal">
      <formula>"Ok"</formula>
    </cfRule>
  </conditionalFormatting>
  <conditionalFormatting sqref="P26">
    <cfRule type="cellIs" dxfId="119" priority="5" operator="equal">
      <formula>"Nok"</formula>
    </cfRule>
    <cfRule type="cellIs" dxfId="118" priority="6" operator="equal">
      <formula>"Ok"</formula>
    </cfRule>
  </conditionalFormatting>
  <conditionalFormatting sqref="P27">
    <cfRule type="cellIs" dxfId="117" priority="3" operator="equal">
      <formula>"Nok"</formula>
    </cfRule>
    <cfRule type="cellIs" dxfId="116" priority="4" operator="equal">
      <formula>"Ok"</formula>
    </cfRule>
  </conditionalFormatting>
  <conditionalFormatting sqref="P28">
    <cfRule type="cellIs" dxfId="115" priority="1" operator="equal">
      <formula>"Nok"</formula>
    </cfRule>
    <cfRule type="cellIs" dxfId="114" priority="2" operator="equal">
      <formula>"Ok"</formula>
    </cfRule>
  </conditionalFormatting>
  <dataValidations count="3">
    <dataValidation type="list" allowBlank="1" showInputMessage="1" showErrorMessage="1" sqref="P22:P32" xr:uid="{C5B791DF-F500-4EC6-BE44-16ECED7F6758}">
      <formula1>"Ok, Nok, Not run, ,"</formula1>
    </dataValidation>
    <dataValidation type="list" allowBlank="1" showInputMessage="1" showErrorMessage="1" sqref="B9" xr:uid="{93041C36-51BD-4D73-B29A-E1A864BEF748}">
      <formula1>"Ok, Nok, Not run, NA"</formula1>
    </dataValidation>
    <dataValidation type="list" allowBlank="1" showInputMessage="1" showErrorMessage="1" sqref="B5" xr:uid="{20D30576-0E1A-483A-8005-4695F42941CF}">
      <formula1>"Nominal, Robustness, Endurance, Qualification"</formula1>
    </dataValidation>
  </dataValidations>
  <pageMargins left="0.7" right="0.7" top="0.75" bottom="0.75" header="0.3" footer="0.3"/>
  <pageSetup paperSize="9" orientation="portrait" r:id="rId1"/>
  <headerFooter>
    <oddFooter>&amp;LTBD ver 1.7&amp;R&amp;P</oddFooter>
  </headerFooter>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848C3F-FA29-4419-B050-50869FF9C1FB}">
  <sheetPr codeName="Sheet28"/>
  <dimension ref="A1:P33"/>
  <sheetViews>
    <sheetView workbookViewId="0">
      <selection activeCell="H22" sqref="H22:K22"/>
    </sheetView>
  </sheetViews>
  <sheetFormatPr defaultColWidth="9.109375" defaultRowHeight="13.2" x14ac:dyDescent="0.25"/>
  <cols>
    <col min="1" max="1" width="20.109375" style="78" customWidth="1"/>
    <col min="2" max="2" width="18.44140625" style="75" customWidth="1"/>
    <col min="3" max="7" width="9.109375" style="75"/>
    <col min="8" max="10" width="9.5546875" style="75" customWidth="1"/>
    <col min="11" max="11" width="20.5546875" style="75" customWidth="1"/>
    <col min="12" max="14" width="9.5546875" style="75" customWidth="1"/>
    <col min="15" max="15" width="40" style="75" customWidth="1"/>
    <col min="16" max="16384" width="9.109375" style="75"/>
  </cols>
  <sheetData>
    <row r="1" spans="1:15" ht="13.8" thickBot="1" x14ac:dyDescent="0.3">
      <c r="A1" s="79" t="s">
        <v>139</v>
      </c>
      <c r="B1" s="200" t="s">
        <v>327</v>
      </c>
      <c r="C1" s="201"/>
      <c r="D1" s="201"/>
      <c r="E1" s="201"/>
      <c r="F1" s="201"/>
      <c r="G1" s="202"/>
      <c r="H1" s="55"/>
      <c r="I1" s="55"/>
      <c r="J1" s="55"/>
      <c r="K1" s="55"/>
      <c r="L1" s="55"/>
      <c r="M1" s="55"/>
      <c r="N1" s="55"/>
      <c r="O1" s="55"/>
    </row>
    <row r="2" spans="1:15" ht="13.8" thickBot="1" x14ac:dyDescent="0.3">
      <c r="A2" s="54"/>
      <c r="B2" s="55"/>
      <c r="C2" s="55"/>
      <c r="D2" s="55"/>
      <c r="E2" s="55"/>
      <c r="F2" s="55"/>
      <c r="G2" s="55"/>
      <c r="H2" s="55"/>
      <c r="I2" s="55"/>
      <c r="J2" s="55"/>
      <c r="K2" s="55"/>
      <c r="L2" s="55"/>
      <c r="M2" s="55"/>
      <c r="N2" s="55"/>
      <c r="O2" s="55"/>
    </row>
    <row r="3" spans="1:15" ht="27" thickBot="1" x14ac:dyDescent="0.3">
      <c r="A3" s="80" t="s">
        <v>140</v>
      </c>
      <c r="B3" s="203" t="s">
        <v>236</v>
      </c>
      <c r="C3" s="204"/>
      <c r="D3" s="204"/>
      <c r="E3" s="204"/>
      <c r="F3" s="204"/>
      <c r="G3" s="205"/>
      <c r="H3" s="55"/>
      <c r="I3" s="55"/>
      <c r="J3" s="55"/>
      <c r="K3" s="55"/>
      <c r="L3" s="55"/>
      <c r="M3" s="55"/>
      <c r="N3" s="55"/>
      <c r="O3" s="55"/>
    </row>
    <row r="4" spans="1:15" ht="13.8" thickBot="1" x14ac:dyDescent="0.3">
      <c r="A4" s="54"/>
      <c r="B4" s="55"/>
      <c r="C4" s="55"/>
      <c r="D4" s="55"/>
      <c r="E4" s="55"/>
      <c r="F4" s="55"/>
      <c r="G4" s="55"/>
      <c r="H4" s="55"/>
      <c r="I4" s="55"/>
      <c r="J4" s="55"/>
      <c r="K4" s="55"/>
      <c r="L4" s="55"/>
      <c r="M4" s="55"/>
      <c r="N4" s="55"/>
      <c r="O4" s="55"/>
    </row>
    <row r="5" spans="1:15" ht="13.8" thickBot="1" x14ac:dyDescent="0.3">
      <c r="A5" s="79" t="s">
        <v>141</v>
      </c>
      <c r="B5" s="58" t="s">
        <v>142</v>
      </c>
      <c r="C5" s="55"/>
      <c r="D5" s="55"/>
      <c r="E5" s="55"/>
      <c r="F5" s="55"/>
      <c r="G5" s="55"/>
      <c r="H5" s="55"/>
      <c r="I5" s="55"/>
      <c r="J5" s="55"/>
      <c r="K5" s="55"/>
      <c r="L5" s="55"/>
      <c r="M5" s="55"/>
      <c r="N5" s="55"/>
      <c r="O5" s="55"/>
    </row>
    <row r="6" spans="1:15" ht="13.8" thickBot="1" x14ac:dyDescent="0.3">
      <c r="A6" s="54"/>
      <c r="B6" s="55"/>
      <c r="C6" s="55"/>
      <c r="D6" s="55"/>
      <c r="E6" s="55"/>
      <c r="F6" s="55"/>
      <c r="G6" s="55"/>
      <c r="H6" s="55"/>
      <c r="I6" s="55"/>
      <c r="J6" s="55"/>
      <c r="K6" s="55"/>
      <c r="L6" s="55"/>
      <c r="M6" s="55"/>
      <c r="N6" s="55"/>
      <c r="O6" s="55"/>
    </row>
    <row r="7" spans="1:15" ht="13.8" thickBot="1" x14ac:dyDescent="0.3">
      <c r="A7" s="79" t="s">
        <v>143</v>
      </c>
      <c r="B7" s="203" t="s">
        <v>237</v>
      </c>
      <c r="C7" s="204"/>
      <c r="D7" s="204"/>
      <c r="E7" s="204"/>
      <c r="F7" s="204"/>
      <c r="G7" s="205"/>
      <c r="H7" s="55"/>
      <c r="I7" s="55"/>
      <c r="J7" s="55"/>
      <c r="K7" s="55"/>
      <c r="L7" s="55"/>
      <c r="M7" s="55"/>
      <c r="N7" s="55"/>
      <c r="O7" s="55"/>
    </row>
    <row r="8" spans="1:15" ht="13.8" thickBot="1" x14ac:dyDescent="0.3">
      <c r="A8" s="57"/>
      <c r="B8" s="56"/>
      <c r="C8" s="56"/>
      <c r="D8" s="56"/>
      <c r="E8" s="56"/>
      <c r="F8" s="56"/>
      <c r="G8" s="56"/>
      <c r="H8" s="55"/>
      <c r="I8" s="55"/>
      <c r="J8" s="55"/>
      <c r="K8" s="55"/>
      <c r="L8" s="55"/>
      <c r="M8" s="55"/>
      <c r="N8" s="55"/>
      <c r="O8" s="55"/>
    </row>
    <row r="9" spans="1:15" ht="13.8" thickBot="1" x14ac:dyDescent="0.3">
      <c r="A9" s="79" t="s">
        <v>144</v>
      </c>
      <c r="B9" s="84" t="s">
        <v>145</v>
      </c>
      <c r="C9" s="55"/>
      <c r="D9" s="55"/>
      <c r="E9" s="55"/>
      <c r="F9" s="55"/>
      <c r="G9" s="55"/>
      <c r="H9" s="55"/>
      <c r="I9" s="55"/>
      <c r="J9" s="55"/>
      <c r="K9" s="55"/>
      <c r="L9" s="55"/>
      <c r="M9" s="55"/>
      <c r="N9" s="55"/>
      <c r="O9" s="55"/>
    </row>
    <row r="10" spans="1:15" ht="13.8" thickBot="1" x14ac:dyDescent="0.3">
      <c r="A10" s="57"/>
      <c r="B10" s="76"/>
      <c r="C10" s="55"/>
      <c r="D10" s="55"/>
      <c r="E10" s="55"/>
      <c r="F10" s="55"/>
      <c r="G10" s="55"/>
      <c r="H10" s="55"/>
      <c r="I10" s="55"/>
      <c r="J10" s="55"/>
      <c r="K10" s="55"/>
      <c r="L10" s="55"/>
      <c r="M10" s="55"/>
      <c r="N10" s="55"/>
      <c r="O10" s="55"/>
    </row>
    <row r="11" spans="1:15" ht="12" customHeight="1" x14ac:dyDescent="0.25">
      <c r="A11" s="189" t="s">
        <v>146</v>
      </c>
      <c r="B11" s="191" t="s">
        <v>147</v>
      </c>
      <c r="C11" s="192"/>
      <c r="D11" s="192"/>
      <c r="E11" s="192"/>
      <c r="F11" s="192"/>
      <c r="G11" s="193"/>
      <c r="H11" s="55"/>
      <c r="I11" s="55"/>
      <c r="J11" s="55"/>
      <c r="K11" s="55"/>
      <c r="L11" s="55"/>
      <c r="M11" s="55"/>
      <c r="N11" s="55"/>
      <c r="O11" s="55"/>
    </row>
    <row r="12" spans="1:15" x14ac:dyDescent="0.25">
      <c r="A12" s="190"/>
      <c r="B12" s="194"/>
      <c r="C12" s="195"/>
      <c r="D12" s="195"/>
      <c r="E12" s="195"/>
      <c r="F12" s="195"/>
      <c r="G12" s="196"/>
      <c r="H12" s="55"/>
      <c r="I12" s="55"/>
      <c r="J12" s="55"/>
      <c r="K12" s="55"/>
      <c r="L12" s="55"/>
      <c r="M12" s="55"/>
      <c r="N12" s="55"/>
      <c r="O12" s="55"/>
    </row>
    <row r="13" spans="1:15" x14ac:dyDescent="0.25">
      <c r="A13" s="190"/>
      <c r="B13" s="194"/>
      <c r="C13" s="195"/>
      <c r="D13" s="195"/>
      <c r="E13" s="195"/>
      <c r="F13" s="195"/>
      <c r="G13" s="196"/>
      <c r="H13" s="54"/>
      <c r="I13" s="55"/>
      <c r="J13" s="55"/>
      <c r="K13" s="55"/>
      <c r="L13" s="55"/>
      <c r="M13" s="55"/>
      <c r="N13" s="55"/>
      <c r="O13" s="55"/>
    </row>
    <row r="14" spans="1:15" ht="13.8" thickBot="1" x14ac:dyDescent="0.3">
      <c r="A14" s="190"/>
      <c r="B14" s="197"/>
      <c r="C14" s="198"/>
      <c r="D14" s="198"/>
      <c r="E14" s="198"/>
      <c r="F14" s="198"/>
      <c r="G14" s="199"/>
      <c r="H14" s="59"/>
      <c r="I14" s="55"/>
      <c r="J14" s="55"/>
      <c r="K14" s="55"/>
      <c r="L14" s="55"/>
      <c r="M14" s="55"/>
      <c r="N14" s="55"/>
      <c r="O14" s="55"/>
    </row>
    <row r="15" spans="1:15" ht="13.8" thickBot="1" x14ac:dyDescent="0.3">
      <c r="A15" s="54"/>
      <c r="B15" s="54"/>
      <c r="C15" s="54"/>
      <c r="D15" s="54"/>
      <c r="E15" s="54"/>
      <c r="F15" s="54"/>
      <c r="G15" s="54"/>
      <c r="H15" s="59"/>
      <c r="I15" s="55"/>
      <c r="J15" s="55"/>
      <c r="K15" s="55"/>
      <c r="L15" s="55"/>
      <c r="M15" s="55"/>
      <c r="N15" s="55"/>
      <c r="O15" s="55"/>
    </row>
    <row r="16" spans="1:15" x14ac:dyDescent="0.25">
      <c r="A16" s="189" t="s">
        <v>148</v>
      </c>
      <c r="B16" s="191" t="s">
        <v>149</v>
      </c>
      <c r="C16" s="192"/>
      <c r="D16" s="192"/>
      <c r="E16" s="192"/>
      <c r="F16" s="192"/>
      <c r="G16" s="193"/>
      <c r="H16" s="55"/>
      <c r="I16" s="55"/>
      <c r="J16" s="55"/>
      <c r="K16" s="55"/>
      <c r="L16" s="55"/>
      <c r="M16" s="55"/>
      <c r="N16" s="55"/>
      <c r="O16" s="55"/>
    </row>
    <row r="17" spans="1:16" x14ac:dyDescent="0.25">
      <c r="A17" s="190"/>
      <c r="B17" s="194"/>
      <c r="C17" s="195"/>
      <c r="D17" s="195"/>
      <c r="E17" s="195"/>
      <c r="F17" s="195"/>
      <c r="G17" s="196"/>
      <c r="H17" s="55"/>
      <c r="I17" s="55"/>
      <c r="J17" s="55"/>
      <c r="K17" s="55"/>
      <c r="L17" s="55"/>
      <c r="M17" s="55"/>
      <c r="N17" s="55"/>
      <c r="O17" s="55"/>
    </row>
    <row r="18" spans="1:16" x14ac:dyDescent="0.25">
      <c r="A18" s="190"/>
      <c r="B18" s="194"/>
      <c r="C18" s="195"/>
      <c r="D18" s="195"/>
      <c r="E18" s="195"/>
      <c r="F18" s="195"/>
      <c r="G18" s="196"/>
      <c r="H18" s="54"/>
      <c r="I18" s="55"/>
      <c r="J18" s="55"/>
      <c r="K18" s="55"/>
      <c r="L18" s="55"/>
      <c r="M18" s="55"/>
      <c r="N18" s="55"/>
      <c r="O18" s="55"/>
    </row>
    <row r="19" spans="1:16" ht="13.8" thickBot="1" x14ac:dyDescent="0.3">
      <c r="A19" s="190"/>
      <c r="B19" s="197"/>
      <c r="C19" s="198"/>
      <c r="D19" s="198"/>
      <c r="E19" s="198"/>
      <c r="F19" s="198"/>
      <c r="G19" s="199"/>
      <c r="H19" s="59"/>
      <c r="I19" s="55"/>
      <c r="J19" s="55"/>
      <c r="K19" s="55"/>
      <c r="L19" s="55"/>
      <c r="M19" s="55"/>
      <c r="N19" s="55"/>
      <c r="O19" s="55"/>
    </row>
    <row r="20" spans="1:16" ht="13.8" thickBot="1" x14ac:dyDescent="0.3">
      <c r="A20" s="54"/>
      <c r="B20" s="54"/>
      <c r="C20" s="54"/>
      <c r="D20" s="54"/>
      <c r="E20" s="54"/>
      <c r="F20" s="54"/>
      <c r="G20" s="54"/>
      <c r="H20" s="59"/>
      <c r="I20" s="55"/>
      <c r="J20" s="55"/>
      <c r="K20" s="55"/>
      <c r="L20" s="55"/>
      <c r="M20" s="55"/>
      <c r="N20" s="55"/>
      <c r="O20" s="55"/>
    </row>
    <row r="21" spans="1:16" ht="12.75" customHeight="1" x14ac:dyDescent="0.25">
      <c r="A21" s="186" t="s">
        <v>150</v>
      </c>
      <c r="B21" s="187"/>
      <c r="C21" s="187"/>
      <c r="D21" s="187"/>
      <c r="E21" s="187"/>
      <c r="F21" s="187"/>
      <c r="G21" s="188"/>
      <c r="H21" s="186" t="s">
        <v>151</v>
      </c>
      <c r="I21" s="187"/>
      <c r="J21" s="187"/>
      <c r="K21" s="188"/>
      <c r="L21" s="186" t="s">
        <v>152</v>
      </c>
      <c r="M21" s="187"/>
      <c r="N21" s="187"/>
      <c r="O21" s="188"/>
      <c r="P21" s="81" t="s">
        <v>153</v>
      </c>
    </row>
    <row r="22" spans="1:16" ht="41.25" customHeight="1" x14ac:dyDescent="0.25">
      <c r="A22" s="82" t="s">
        <v>154</v>
      </c>
      <c r="B22" s="172" t="s">
        <v>326</v>
      </c>
      <c r="C22" s="173"/>
      <c r="D22" s="173"/>
      <c r="E22" s="173"/>
      <c r="F22" s="173"/>
      <c r="G22" s="174"/>
      <c r="H22" s="175" t="s">
        <v>166</v>
      </c>
      <c r="I22" s="175"/>
      <c r="J22" s="175"/>
      <c r="K22" s="175"/>
      <c r="L22" s="175" t="s">
        <v>166</v>
      </c>
      <c r="M22" s="175"/>
      <c r="N22" s="175"/>
      <c r="O22" s="175"/>
      <c r="P22" s="96" t="s">
        <v>145</v>
      </c>
    </row>
    <row r="23" spans="1:16" x14ac:dyDescent="0.25">
      <c r="A23" s="82" t="s">
        <v>155</v>
      </c>
      <c r="B23" s="172"/>
      <c r="C23" s="173"/>
      <c r="D23" s="173"/>
      <c r="E23" s="173"/>
      <c r="F23" s="173"/>
      <c r="G23" s="174"/>
      <c r="H23" s="172"/>
      <c r="I23" s="173"/>
      <c r="J23" s="173"/>
      <c r="K23" s="174"/>
      <c r="L23" s="172"/>
      <c r="M23" s="173"/>
      <c r="N23" s="173"/>
      <c r="O23" s="174"/>
      <c r="P23" s="96"/>
    </row>
    <row r="24" spans="1:16" x14ac:dyDescent="0.25">
      <c r="A24" s="82" t="s">
        <v>156</v>
      </c>
      <c r="B24" s="172"/>
      <c r="C24" s="173"/>
      <c r="D24" s="173"/>
      <c r="E24" s="173"/>
      <c r="F24" s="173"/>
      <c r="G24" s="174"/>
      <c r="H24" s="172"/>
      <c r="I24" s="173"/>
      <c r="J24" s="173"/>
      <c r="K24" s="174"/>
      <c r="L24" s="172"/>
      <c r="M24" s="173"/>
      <c r="N24" s="173"/>
      <c r="O24" s="174"/>
      <c r="P24" s="96"/>
    </row>
    <row r="25" spans="1:16" x14ac:dyDescent="0.25">
      <c r="A25" s="82" t="s">
        <v>157</v>
      </c>
      <c r="B25" s="172"/>
      <c r="C25" s="173"/>
      <c r="D25" s="173"/>
      <c r="E25" s="173"/>
      <c r="F25" s="173"/>
      <c r="G25" s="174"/>
      <c r="H25" s="172"/>
      <c r="I25" s="173"/>
      <c r="J25" s="173"/>
      <c r="K25" s="174"/>
      <c r="L25" s="172"/>
      <c r="M25" s="173"/>
      <c r="N25" s="173"/>
      <c r="O25" s="174"/>
      <c r="P25" s="96"/>
    </row>
    <row r="26" spans="1:16" x14ac:dyDescent="0.25">
      <c r="A26" s="82" t="s">
        <v>158</v>
      </c>
      <c r="B26" s="172"/>
      <c r="C26" s="173"/>
      <c r="D26" s="173"/>
      <c r="E26" s="173"/>
      <c r="F26" s="173"/>
      <c r="G26" s="174"/>
      <c r="H26" s="209"/>
      <c r="I26" s="209"/>
      <c r="J26" s="209"/>
      <c r="K26" s="209"/>
      <c r="L26" s="209"/>
      <c r="M26" s="209"/>
      <c r="N26" s="209"/>
      <c r="O26" s="209"/>
      <c r="P26" s="96"/>
    </row>
    <row r="27" spans="1:16" x14ac:dyDescent="0.25">
      <c r="A27" s="82" t="s">
        <v>159</v>
      </c>
      <c r="B27" s="172"/>
      <c r="C27" s="173"/>
      <c r="D27" s="173"/>
      <c r="E27" s="173"/>
      <c r="F27" s="173"/>
      <c r="G27" s="174"/>
      <c r="H27" s="172"/>
      <c r="I27" s="173"/>
      <c r="J27" s="173"/>
      <c r="K27" s="174"/>
      <c r="L27" s="172"/>
      <c r="M27" s="173"/>
      <c r="N27" s="173"/>
      <c r="O27" s="174"/>
      <c r="P27" s="96"/>
    </row>
    <row r="28" spans="1:16" x14ac:dyDescent="0.25">
      <c r="A28" s="82" t="s">
        <v>162</v>
      </c>
      <c r="B28" s="172"/>
      <c r="C28" s="173"/>
      <c r="D28" s="173"/>
      <c r="E28" s="173"/>
      <c r="F28" s="173"/>
      <c r="G28" s="174"/>
      <c r="H28" s="172"/>
      <c r="I28" s="173"/>
      <c r="J28" s="173"/>
      <c r="K28" s="174"/>
      <c r="L28" s="172"/>
      <c r="M28" s="173"/>
      <c r="N28" s="173"/>
      <c r="O28" s="174"/>
      <c r="P28" s="96"/>
    </row>
    <row r="29" spans="1:16" x14ac:dyDescent="0.25">
      <c r="A29" s="82" t="s">
        <v>163</v>
      </c>
      <c r="B29" s="178"/>
      <c r="C29" s="179"/>
      <c r="D29" s="179"/>
      <c r="E29" s="179"/>
      <c r="F29" s="179"/>
      <c r="G29" s="180"/>
      <c r="H29" s="175"/>
      <c r="I29" s="175"/>
      <c r="J29" s="175"/>
      <c r="K29" s="175"/>
      <c r="L29" s="175"/>
      <c r="M29" s="175"/>
      <c r="N29" s="175"/>
      <c r="O29" s="175"/>
      <c r="P29" s="77"/>
    </row>
    <row r="30" spans="1:16" ht="12.75" customHeight="1" x14ac:dyDescent="0.25">
      <c r="A30" s="82" t="s">
        <v>164</v>
      </c>
      <c r="B30" s="178"/>
      <c r="C30" s="179"/>
      <c r="D30" s="179"/>
      <c r="E30" s="179"/>
      <c r="F30" s="179"/>
      <c r="G30" s="180"/>
      <c r="H30" s="175"/>
      <c r="I30" s="175"/>
      <c r="J30" s="175"/>
      <c r="K30" s="175"/>
      <c r="L30" s="175"/>
      <c r="M30" s="175"/>
      <c r="N30" s="175"/>
      <c r="O30" s="175"/>
      <c r="P30" s="77"/>
    </row>
    <row r="31" spans="1:16" ht="12.75" customHeight="1" x14ac:dyDescent="0.25">
      <c r="A31" s="82" t="s">
        <v>165</v>
      </c>
      <c r="B31" s="178"/>
      <c r="C31" s="179"/>
      <c r="D31" s="179"/>
      <c r="E31" s="179"/>
      <c r="F31" s="179"/>
      <c r="G31" s="180"/>
      <c r="H31" s="175"/>
      <c r="I31" s="175"/>
      <c r="J31" s="175"/>
      <c r="K31" s="175"/>
      <c r="L31" s="175"/>
      <c r="M31" s="175"/>
      <c r="N31" s="175"/>
      <c r="O31" s="175"/>
      <c r="P31" s="77"/>
    </row>
    <row r="32" spans="1:16" x14ac:dyDescent="0.25">
      <c r="A32" s="82" t="s">
        <v>167</v>
      </c>
      <c r="B32" s="178"/>
      <c r="C32" s="179"/>
      <c r="D32" s="179"/>
      <c r="E32" s="179"/>
      <c r="F32" s="179"/>
      <c r="G32" s="180"/>
      <c r="H32" s="175"/>
      <c r="I32" s="175"/>
      <c r="J32" s="175"/>
      <c r="K32" s="175"/>
      <c r="L32" s="175"/>
      <c r="M32" s="175"/>
      <c r="N32" s="175"/>
      <c r="O32" s="175"/>
      <c r="P32" s="77"/>
    </row>
    <row r="33" spans="1:1" x14ac:dyDescent="0.25">
      <c r="A33" s="75"/>
    </row>
  </sheetData>
  <mergeCells count="43">
    <mergeCell ref="B31:G31"/>
    <mergeCell ref="H31:K31"/>
    <mergeCell ref="L31:O31"/>
    <mergeCell ref="B32:G32"/>
    <mergeCell ref="H32:K32"/>
    <mergeCell ref="L32:O32"/>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phoneticPr fontId="42" type="noConversion"/>
  <conditionalFormatting sqref="B9:B10">
    <cfRule type="cellIs" dxfId="113" priority="19" operator="equal">
      <formula>"Nok"</formula>
    </cfRule>
    <cfRule type="cellIs" dxfId="112" priority="20" operator="equal">
      <formula>"Ok"</formula>
    </cfRule>
  </conditionalFormatting>
  <conditionalFormatting sqref="P29:P32">
    <cfRule type="cellIs" dxfId="111" priority="17" operator="equal">
      <formula>"Nok"</formula>
    </cfRule>
    <cfRule type="cellIs" dxfId="110" priority="18" operator="equal">
      <formula>"Ok"</formula>
    </cfRule>
  </conditionalFormatting>
  <conditionalFormatting sqref="P22">
    <cfRule type="cellIs" dxfId="109" priority="13" operator="equal">
      <formula>"Nok"</formula>
    </cfRule>
    <cfRule type="cellIs" dxfId="108" priority="14" operator="equal">
      <formula>"Ok"</formula>
    </cfRule>
  </conditionalFormatting>
  <conditionalFormatting sqref="P23">
    <cfRule type="cellIs" dxfId="107" priority="11" operator="equal">
      <formula>"Nok"</formula>
    </cfRule>
    <cfRule type="cellIs" dxfId="106" priority="12" operator="equal">
      <formula>"Ok"</formula>
    </cfRule>
  </conditionalFormatting>
  <conditionalFormatting sqref="P24">
    <cfRule type="cellIs" dxfId="105" priority="9" operator="equal">
      <formula>"Nok"</formula>
    </cfRule>
    <cfRule type="cellIs" dxfId="104" priority="10" operator="equal">
      <formula>"Ok"</formula>
    </cfRule>
  </conditionalFormatting>
  <conditionalFormatting sqref="P25">
    <cfRule type="cellIs" dxfId="103" priority="7" operator="equal">
      <formula>"Nok"</formula>
    </cfRule>
    <cfRule type="cellIs" dxfId="102" priority="8" operator="equal">
      <formula>"Ok"</formula>
    </cfRule>
  </conditionalFormatting>
  <conditionalFormatting sqref="P26">
    <cfRule type="cellIs" dxfId="101" priority="5" operator="equal">
      <formula>"Nok"</formula>
    </cfRule>
    <cfRule type="cellIs" dxfId="100" priority="6" operator="equal">
      <formula>"Ok"</formula>
    </cfRule>
  </conditionalFormatting>
  <conditionalFormatting sqref="P27">
    <cfRule type="cellIs" dxfId="99" priority="3" operator="equal">
      <formula>"Nok"</formula>
    </cfRule>
    <cfRule type="cellIs" dxfId="98" priority="4" operator="equal">
      <formula>"Ok"</formula>
    </cfRule>
  </conditionalFormatting>
  <conditionalFormatting sqref="P28">
    <cfRule type="cellIs" dxfId="97" priority="1" operator="equal">
      <formula>"Nok"</formula>
    </cfRule>
    <cfRule type="cellIs" dxfId="96" priority="2" operator="equal">
      <formula>"Ok"</formula>
    </cfRule>
  </conditionalFormatting>
  <dataValidations count="3">
    <dataValidation type="list" allowBlank="1" showInputMessage="1" showErrorMessage="1" sqref="B5" xr:uid="{96AEE8A3-B710-4185-A822-28310886AB96}">
      <formula1>"Nominal, Robustness, Endurance, Qualification"</formula1>
    </dataValidation>
    <dataValidation type="list" allowBlank="1" showInputMessage="1" showErrorMessage="1" sqref="B9" xr:uid="{C51D8375-18DB-4FF3-8BEC-7ABAD8E83A2D}">
      <formula1>"Ok, Nok, Not run, NA"</formula1>
    </dataValidation>
    <dataValidation type="list" allowBlank="1" showInputMessage="1" showErrorMessage="1" sqref="P22:P32" xr:uid="{258853C5-7728-4C38-854B-6AAD34B62D5D}">
      <formula1>"Ok, Nok, Not run, ,"</formula1>
    </dataValidation>
  </dataValidations>
  <pageMargins left="0.7" right="0.7" top="0.75" bottom="0.75" header="0.3" footer="0.3"/>
  <pageSetup paperSize="9" orientation="portrait" r:id="rId1"/>
  <headerFooter>
    <oddFooter>&amp;LTBD ver 1.7&amp;R&amp;P</oddFooter>
  </headerFooter>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4D67D-2655-4E17-AF75-7B95141F31AC}">
  <sheetPr codeName="Sheet32"/>
  <dimension ref="A1:P32"/>
  <sheetViews>
    <sheetView workbookViewId="0">
      <selection activeCell="B2" sqref="B2"/>
    </sheetView>
  </sheetViews>
  <sheetFormatPr defaultColWidth="9.109375" defaultRowHeight="13.2" x14ac:dyDescent="0.25"/>
  <cols>
    <col min="1" max="1" width="20.109375" style="78" customWidth="1"/>
    <col min="2" max="2" width="18.44140625" style="75" customWidth="1"/>
    <col min="3" max="7" width="9.109375" style="75"/>
    <col min="8" max="10" width="9.5546875" style="75" customWidth="1"/>
    <col min="11" max="11" width="20.5546875" style="75" customWidth="1"/>
    <col min="12" max="14" width="9.5546875" style="75" customWidth="1"/>
    <col min="15" max="15" width="40" style="75" customWidth="1"/>
    <col min="16" max="16384" width="9.109375" style="75"/>
  </cols>
  <sheetData>
    <row r="1" spans="1:15" ht="13.8" thickBot="1" x14ac:dyDescent="0.3">
      <c r="A1" s="79" t="s">
        <v>139</v>
      </c>
      <c r="B1" s="200" t="s">
        <v>328</v>
      </c>
      <c r="C1" s="201"/>
      <c r="D1" s="201"/>
      <c r="E1" s="201"/>
      <c r="F1" s="201"/>
      <c r="G1" s="202"/>
      <c r="H1" s="55"/>
      <c r="I1" s="55"/>
      <c r="J1" s="55"/>
      <c r="K1" s="55"/>
      <c r="L1" s="55"/>
      <c r="M1" s="55"/>
      <c r="N1" s="55"/>
      <c r="O1" s="55"/>
    </row>
    <row r="2" spans="1:15" ht="13.8" thickBot="1" x14ac:dyDescent="0.3">
      <c r="A2" s="54"/>
      <c r="B2" s="55"/>
      <c r="C2" s="55"/>
      <c r="D2" s="55"/>
      <c r="E2" s="55"/>
      <c r="F2" s="55"/>
      <c r="G2" s="55"/>
      <c r="H2" s="55"/>
      <c r="I2" s="55"/>
      <c r="J2" s="55"/>
      <c r="K2" s="55"/>
      <c r="L2" s="55"/>
      <c r="M2" s="55"/>
      <c r="N2" s="55"/>
      <c r="O2" s="55"/>
    </row>
    <row r="3" spans="1:15" ht="27" thickBot="1" x14ac:dyDescent="0.3">
      <c r="A3" s="80" t="s">
        <v>140</v>
      </c>
      <c r="B3" s="203" t="s">
        <v>240</v>
      </c>
      <c r="C3" s="204"/>
      <c r="D3" s="204"/>
      <c r="E3" s="204"/>
      <c r="F3" s="204"/>
      <c r="G3" s="205"/>
      <c r="H3" s="55"/>
      <c r="I3" s="55"/>
      <c r="J3" s="55"/>
      <c r="K3" s="55"/>
      <c r="L3" s="55"/>
      <c r="M3" s="55"/>
      <c r="N3" s="55"/>
      <c r="O3" s="55"/>
    </row>
    <row r="4" spans="1:15" ht="13.8" thickBot="1" x14ac:dyDescent="0.3">
      <c r="A4" s="54"/>
      <c r="B4" s="55"/>
      <c r="C4" s="55"/>
      <c r="D4" s="55"/>
      <c r="E4" s="55"/>
      <c r="F4" s="55"/>
      <c r="G4" s="55"/>
      <c r="H4" s="55"/>
      <c r="I4" s="55"/>
      <c r="J4" s="55"/>
      <c r="K4" s="55"/>
      <c r="L4" s="55"/>
      <c r="M4" s="55"/>
      <c r="N4" s="55"/>
      <c r="O4" s="55"/>
    </row>
    <row r="5" spans="1:15" ht="13.8" thickBot="1" x14ac:dyDescent="0.3">
      <c r="A5" s="79" t="s">
        <v>141</v>
      </c>
      <c r="B5" s="58" t="s">
        <v>142</v>
      </c>
      <c r="C5" s="55"/>
      <c r="D5" s="55"/>
      <c r="E5" s="55"/>
      <c r="F5" s="55"/>
      <c r="G5" s="55"/>
      <c r="H5" s="55"/>
      <c r="I5" s="55"/>
      <c r="J5" s="55"/>
      <c r="K5" s="55"/>
      <c r="L5" s="55"/>
      <c r="M5" s="55"/>
      <c r="N5" s="55"/>
      <c r="O5" s="55"/>
    </row>
    <row r="6" spans="1:15" ht="13.8" thickBot="1" x14ac:dyDescent="0.3">
      <c r="A6" s="54"/>
      <c r="B6" s="55"/>
      <c r="C6" s="55"/>
      <c r="D6" s="55"/>
      <c r="E6" s="55"/>
      <c r="F6" s="55"/>
      <c r="G6" s="55"/>
      <c r="H6" s="55"/>
      <c r="I6" s="55"/>
      <c r="J6" s="55"/>
      <c r="K6" s="55"/>
      <c r="L6" s="55"/>
      <c r="M6" s="55"/>
      <c r="N6" s="55"/>
      <c r="O6" s="55"/>
    </row>
    <row r="7" spans="1:15" ht="13.8" thickBot="1" x14ac:dyDescent="0.3">
      <c r="A7" s="79" t="s">
        <v>143</v>
      </c>
      <c r="B7" s="203" t="s">
        <v>241</v>
      </c>
      <c r="C7" s="204"/>
      <c r="D7" s="204"/>
      <c r="E7" s="204"/>
      <c r="F7" s="204"/>
      <c r="G7" s="205"/>
      <c r="H7" s="55"/>
      <c r="I7" s="55"/>
      <c r="J7" s="55"/>
      <c r="K7" s="55"/>
      <c r="L7" s="55"/>
      <c r="M7" s="55"/>
      <c r="N7" s="55"/>
      <c r="O7" s="55"/>
    </row>
    <row r="8" spans="1:15" ht="13.8" thickBot="1" x14ac:dyDescent="0.3">
      <c r="A8" s="57"/>
      <c r="B8" s="56"/>
      <c r="C8" s="56"/>
      <c r="D8" s="56"/>
      <c r="E8" s="56"/>
      <c r="F8" s="56"/>
      <c r="G8" s="56"/>
      <c r="H8" s="55"/>
      <c r="I8" s="55"/>
      <c r="J8" s="55"/>
      <c r="K8" s="55"/>
      <c r="L8" s="55"/>
      <c r="M8" s="55"/>
      <c r="N8" s="55"/>
      <c r="O8" s="55"/>
    </row>
    <row r="9" spans="1:15" ht="13.8" thickBot="1" x14ac:dyDescent="0.3">
      <c r="A9" s="79" t="s">
        <v>144</v>
      </c>
      <c r="B9" s="84" t="s">
        <v>145</v>
      </c>
      <c r="C9" s="55"/>
      <c r="D9" s="55"/>
      <c r="E9" s="55"/>
      <c r="F9" s="55"/>
      <c r="G9" s="55"/>
      <c r="H9" s="55"/>
      <c r="I9" s="55"/>
      <c r="J9" s="55"/>
      <c r="K9" s="55"/>
      <c r="L9" s="55"/>
      <c r="M9" s="55"/>
      <c r="N9" s="55"/>
      <c r="O9" s="55"/>
    </row>
    <row r="10" spans="1:15" ht="13.8" thickBot="1" x14ac:dyDescent="0.3">
      <c r="A10" s="57"/>
      <c r="B10" s="76"/>
      <c r="C10" s="55"/>
      <c r="D10" s="55"/>
      <c r="E10" s="55"/>
      <c r="F10" s="55"/>
      <c r="G10" s="55"/>
      <c r="H10" s="55"/>
      <c r="I10" s="55"/>
      <c r="J10" s="55"/>
      <c r="K10" s="55"/>
      <c r="L10" s="55"/>
      <c r="M10" s="55"/>
      <c r="N10" s="55"/>
      <c r="O10" s="55"/>
    </row>
    <row r="11" spans="1:15" ht="12" customHeight="1" x14ac:dyDescent="0.25">
      <c r="A11" s="189" t="s">
        <v>146</v>
      </c>
      <c r="B11" s="191" t="s">
        <v>147</v>
      </c>
      <c r="C11" s="192"/>
      <c r="D11" s="192"/>
      <c r="E11" s="192"/>
      <c r="F11" s="192"/>
      <c r="G11" s="193"/>
      <c r="H11" s="55"/>
      <c r="I11" s="55"/>
      <c r="J11" s="55"/>
      <c r="K11" s="55"/>
      <c r="L11" s="55"/>
      <c r="M11" s="55"/>
      <c r="N11" s="55"/>
      <c r="O11" s="55"/>
    </row>
    <row r="12" spans="1:15" x14ac:dyDescent="0.25">
      <c r="A12" s="190"/>
      <c r="B12" s="194"/>
      <c r="C12" s="195"/>
      <c r="D12" s="195"/>
      <c r="E12" s="195"/>
      <c r="F12" s="195"/>
      <c r="G12" s="196"/>
      <c r="H12" s="55"/>
      <c r="I12" s="55"/>
      <c r="J12" s="55"/>
      <c r="K12" s="55"/>
      <c r="L12" s="55"/>
      <c r="M12" s="55"/>
      <c r="N12" s="55"/>
      <c r="O12" s="55"/>
    </row>
    <row r="13" spans="1:15" x14ac:dyDescent="0.25">
      <c r="A13" s="190"/>
      <c r="B13" s="194"/>
      <c r="C13" s="195"/>
      <c r="D13" s="195"/>
      <c r="E13" s="195"/>
      <c r="F13" s="195"/>
      <c r="G13" s="196"/>
      <c r="H13" s="54"/>
      <c r="I13" s="55"/>
      <c r="J13" s="55"/>
      <c r="K13" s="55"/>
      <c r="L13" s="55"/>
      <c r="M13" s="55"/>
      <c r="N13" s="55"/>
      <c r="O13" s="55"/>
    </row>
    <row r="14" spans="1:15" ht="13.8" thickBot="1" x14ac:dyDescent="0.3">
      <c r="A14" s="190"/>
      <c r="B14" s="197"/>
      <c r="C14" s="198"/>
      <c r="D14" s="198"/>
      <c r="E14" s="198"/>
      <c r="F14" s="198"/>
      <c r="G14" s="199"/>
      <c r="H14" s="59"/>
      <c r="I14" s="55"/>
      <c r="J14" s="55"/>
      <c r="K14" s="55"/>
      <c r="L14" s="55"/>
      <c r="M14" s="55"/>
      <c r="N14" s="55"/>
      <c r="O14" s="55"/>
    </row>
    <row r="15" spans="1:15" ht="13.8" thickBot="1" x14ac:dyDescent="0.3">
      <c r="A15" s="54"/>
      <c r="B15" s="54"/>
      <c r="C15" s="54"/>
      <c r="D15" s="54"/>
      <c r="E15" s="54"/>
      <c r="F15" s="54"/>
      <c r="G15" s="54"/>
      <c r="H15" s="59"/>
      <c r="I15" s="55"/>
      <c r="J15" s="55"/>
      <c r="K15" s="55"/>
      <c r="L15" s="55"/>
      <c r="M15" s="55"/>
      <c r="N15" s="55"/>
      <c r="O15" s="55"/>
    </row>
    <row r="16" spans="1:15" x14ac:dyDescent="0.25">
      <c r="A16" s="189" t="s">
        <v>148</v>
      </c>
      <c r="B16" s="191" t="s">
        <v>149</v>
      </c>
      <c r="C16" s="192"/>
      <c r="D16" s="192"/>
      <c r="E16" s="192"/>
      <c r="F16" s="192"/>
      <c r="G16" s="193"/>
      <c r="H16" s="55"/>
      <c r="I16" s="55"/>
      <c r="J16" s="55"/>
      <c r="K16" s="55"/>
      <c r="L16" s="55"/>
      <c r="M16" s="55"/>
      <c r="N16" s="55"/>
      <c r="O16" s="55"/>
    </row>
    <row r="17" spans="1:16" x14ac:dyDescent="0.25">
      <c r="A17" s="190"/>
      <c r="B17" s="194"/>
      <c r="C17" s="195"/>
      <c r="D17" s="195"/>
      <c r="E17" s="195"/>
      <c r="F17" s="195"/>
      <c r="G17" s="196"/>
      <c r="H17" s="55"/>
      <c r="I17" s="55"/>
      <c r="J17" s="55"/>
      <c r="K17" s="55"/>
      <c r="L17" s="55"/>
      <c r="M17" s="55"/>
      <c r="N17" s="55"/>
      <c r="O17" s="55"/>
    </row>
    <row r="18" spans="1:16" x14ac:dyDescent="0.25">
      <c r="A18" s="190"/>
      <c r="B18" s="194"/>
      <c r="C18" s="195"/>
      <c r="D18" s="195"/>
      <c r="E18" s="195"/>
      <c r="F18" s="195"/>
      <c r="G18" s="196"/>
      <c r="H18" s="54"/>
      <c r="I18" s="55"/>
      <c r="J18" s="55"/>
      <c r="K18" s="55"/>
      <c r="L18" s="55"/>
      <c r="M18" s="55"/>
      <c r="N18" s="55"/>
      <c r="O18" s="55"/>
    </row>
    <row r="19" spans="1:16" ht="13.8" thickBot="1" x14ac:dyDescent="0.3">
      <c r="A19" s="190"/>
      <c r="B19" s="197"/>
      <c r="C19" s="198"/>
      <c r="D19" s="198"/>
      <c r="E19" s="198"/>
      <c r="F19" s="198"/>
      <c r="G19" s="199"/>
      <c r="H19" s="59"/>
      <c r="I19" s="55"/>
      <c r="J19" s="55"/>
      <c r="K19" s="55"/>
      <c r="L19" s="55"/>
      <c r="M19" s="55"/>
      <c r="N19" s="55"/>
      <c r="O19" s="55"/>
    </row>
    <row r="20" spans="1:16" ht="13.8" thickBot="1" x14ac:dyDescent="0.3">
      <c r="A20" s="54"/>
      <c r="B20" s="54"/>
      <c r="C20" s="54"/>
      <c r="D20" s="54"/>
      <c r="E20" s="54"/>
      <c r="F20" s="54"/>
      <c r="G20" s="54"/>
      <c r="H20" s="59"/>
      <c r="I20" s="55"/>
      <c r="J20" s="55"/>
      <c r="K20" s="55"/>
      <c r="L20" s="55"/>
      <c r="M20" s="55"/>
      <c r="N20" s="55"/>
      <c r="O20" s="55"/>
    </row>
    <row r="21" spans="1:16" ht="12.75" customHeight="1" x14ac:dyDescent="0.25">
      <c r="A21" s="186" t="s">
        <v>150</v>
      </c>
      <c r="B21" s="187"/>
      <c r="C21" s="187"/>
      <c r="D21" s="187"/>
      <c r="E21" s="187"/>
      <c r="F21" s="187"/>
      <c r="G21" s="188"/>
      <c r="H21" s="186" t="s">
        <v>151</v>
      </c>
      <c r="I21" s="187"/>
      <c r="J21" s="187"/>
      <c r="K21" s="188"/>
      <c r="L21" s="186" t="s">
        <v>152</v>
      </c>
      <c r="M21" s="187"/>
      <c r="N21" s="187"/>
      <c r="O21" s="188"/>
      <c r="P21" s="81" t="s">
        <v>153</v>
      </c>
    </row>
    <row r="22" spans="1:16" ht="39" customHeight="1" x14ac:dyDescent="0.25">
      <c r="A22" s="82" t="s">
        <v>154</v>
      </c>
      <c r="B22" s="172" t="s">
        <v>243</v>
      </c>
      <c r="C22" s="173"/>
      <c r="D22" s="173"/>
      <c r="E22" s="173"/>
      <c r="F22" s="173"/>
      <c r="G22" s="174"/>
      <c r="H22" s="175" t="s">
        <v>166</v>
      </c>
      <c r="I22" s="175"/>
      <c r="J22" s="175"/>
      <c r="K22" s="175"/>
      <c r="L22" s="175" t="s">
        <v>166</v>
      </c>
      <c r="M22" s="175"/>
      <c r="N22" s="175"/>
      <c r="O22" s="175"/>
      <c r="P22" s="96" t="s">
        <v>145</v>
      </c>
    </row>
    <row r="23" spans="1:16" ht="41.4" customHeight="1" x14ac:dyDescent="0.25">
      <c r="A23" s="82" t="s">
        <v>155</v>
      </c>
      <c r="B23" s="172" t="s">
        <v>244</v>
      </c>
      <c r="C23" s="173"/>
      <c r="D23" s="173"/>
      <c r="E23" s="173"/>
      <c r="F23" s="173"/>
      <c r="G23" s="174"/>
      <c r="H23" s="175" t="s">
        <v>166</v>
      </c>
      <c r="I23" s="175"/>
      <c r="J23" s="175"/>
      <c r="K23" s="175"/>
      <c r="L23" s="175" t="s">
        <v>166</v>
      </c>
      <c r="M23" s="175"/>
      <c r="N23" s="175"/>
      <c r="O23" s="175"/>
      <c r="P23" s="96" t="s">
        <v>145</v>
      </c>
    </row>
    <row r="24" spans="1:16" ht="55.5" customHeight="1" x14ac:dyDescent="0.25">
      <c r="A24" s="82" t="s">
        <v>156</v>
      </c>
      <c r="B24" s="172" t="s">
        <v>245</v>
      </c>
      <c r="C24" s="173"/>
      <c r="D24" s="173"/>
      <c r="E24" s="173"/>
      <c r="F24" s="173"/>
      <c r="G24" s="174"/>
      <c r="H24" s="175" t="s">
        <v>166</v>
      </c>
      <c r="I24" s="175"/>
      <c r="J24" s="175"/>
      <c r="K24" s="175"/>
      <c r="L24" s="175" t="s">
        <v>166</v>
      </c>
      <c r="M24" s="175"/>
      <c r="N24" s="175"/>
      <c r="O24" s="175"/>
      <c r="P24" s="96" t="s">
        <v>145</v>
      </c>
    </row>
    <row r="25" spans="1:16" x14ac:dyDescent="0.25">
      <c r="A25" s="82" t="s">
        <v>157</v>
      </c>
      <c r="B25" s="172"/>
      <c r="C25" s="173"/>
      <c r="D25" s="173"/>
      <c r="E25" s="173"/>
      <c r="F25" s="173"/>
      <c r="G25" s="174"/>
      <c r="H25" s="172"/>
      <c r="I25" s="173"/>
      <c r="J25" s="173"/>
      <c r="K25" s="174"/>
      <c r="L25" s="172"/>
      <c r="M25" s="173"/>
      <c r="N25" s="173"/>
      <c r="O25" s="174"/>
      <c r="P25" s="96"/>
    </row>
    <row r="26" spans="1:16" x14ac:dyDescent="0.25">
      <c r="A26" s="82" t="s">
        <v>158</v>
      </c>
      <c r="B26" s="172"/>
      <c r="C26" s="173"/>
      <c r="D26" s="173"/>
      <c r="E26" s="173"/>
      <c r="F26" s="173"/>
      <c r="G26" s="174"/>
      <c r="H26" s="172"/>
      <c r="I26" s="173"/>
      <c r="J26" s="173"/>
      <c r="K26" s="174"/>
      <c r="L26" s="172"/>
      <c r="M26" s="173"/>
      <c r="N26" s="173"/>
      <c r="O26" s="174"/>
      <c r="P26" s="96"/>
    </row>
    <row r="27" spans="1:16" x14ac:dyDescent="0.25">
      <c r="A27" s="82" t="s">
        <v>159</v>
      </c>
      <c r="B27" s="172"/>
      <c r="C27" s="173"/>
      <c r="D27" s="173"/>
      <c r="E27" s="173"/>
      <c r="F27" s="173"/>
      <c r="G27" s="174"/>
      <c r="H27" s="172"/>
      <c r="I27" s="173"/>
      <c r="J27" s="173"/>
      <c r="K27" s="174"/>
      <c r="L27" s="172"/>
      <c r="M27" s="173"/>
      <c r="N27" s="173"/>
      <c r="O27" s="174"/>
      <c r="P27" s="96"/>
    </row>
    <row r="28" spans="1:16" x14ac:dyDescent="0.25">
      <c r="A28" s="82" t="s">
        <v>162</v>
      </c>
      <c r="B28" s="172"/>
      <c r="C28" s="173"/>
      <c r="D28" s="173"/>
      <c r="E28" s="173"/>
      <c r="F28" s="173"/>
      <c r="G28" s="174"/>
      <c r="H28" s="209"/>
      <c r="I28" s="209"/>
      <c r="J28" s="209"/>
      <c r="K28" s="209"/>
      <c r="L28" s="209"/>
      <c r="M28" s="209"/>
      <c r="N28" s="209"/>
      <c r="O28" s="209"/>
      <c r="P28" s="96"/>
    </row>
    <row r="29" spans="1:16" x14ac:dyDescent="0.25">
      <c r="A29" s="82" t="s">
        <v>163</v>
      </c>
      <c r="B29" s="172"/>
      <c r="C29" s="173"/>
      <c r="D29" s="173"/>
      <c r="E29" s="173"/>
      <c r="F29" s="173"/>
      <c r="G29" s="174"/>
      <c r="H29" s="209"/>
      <c r="I29" s="209"/>
      <c r="J29" s="209"/>
      <c r="K29" s="209"/>
      <c r="L29" s="209"/>
      <c r="M29" s="209"/>
      <c r="N29" s="209"/>
      <c r="O29" s="209"/>
      <c r="P29" s="96"/>
    </row>
    <row r="30" spans="1:16" x14ac:dyDescent="0.25">
      <c r="A30" s="82" t="s">
        <v>164</v>
      </c>
      <c r="B30" s="172"/>
      <c r="C30" s="173"/>
      <c r="D30" s="173"/>
      <c r="E30" s="173"/>
      <c r="F30" s="173"/>
      <c r="G30" s="174"/>
      <c r="H30" s="209"/>
      <c r="I30" s="209"/>
      <c r="J30" s="209"/>
      <c r="K30" s="209"/>
      <c r="L30" s="209"/>
      <c r="M30" s="209"/>
      <c r="N30" s="209"/>
      <c r="O30" s="209"/>
      <c r="P30" s="96"/>
    </row>
    <row r="31" spans="1:16" x14ac:dyDescent="0.25">
      <c r="A31" s="82" t="s">
        <v>165</v>
      </c>
      <c r="B31" s="172"/>
      <c r="C31" s="173"/>
      <c r="D31" s="173"/>
      <c r="E31" s="173"/>
      <c r="F31" s="173"/>
      <c r="G31" s="174"/>
      <c r="H31" s="172"/>
      <c r="I31" s="173"/>
      <c r="J31" s="173"/>
      <c r="K31" s="174"/>
      <c r="L31" s="172"/>
      <c r="M31" s="173"/>
      <c r="N31" s="173"/>
      <c r="O31" s="174"/>
      <c r="P31" s="96"/>
    </row>
    <row r="32" spans="1:16" x14ac:dyDescent="0.25">
      <c r="A32" s="82" t="s">
        <v>167</v>
      </c>
      <c r="B32" s="172"/>
      <c r="C32" s="173"/>
      <c r="D32" s="173"/>
      <c r="E32" s="173"/>
      <c r="F32" s="173"/>
      <c r="G32" s="174"/>
      <c r="H32" s="209"/>
      <c r="I32" s="209"/>
      <c r="J32" s="209"/>
      <c r="K32" s="209"/>
      <c r="L32" s="209"/>
      <c r="M32" s="209"/>
      <c r="N32" s="209"/>
      <c r="O32" s="209"/>
      <c r="P32" s="96"/>
    </row>
  </sheetData>
  <mergeCells count="43">
    <mergeCell ref="B31:G31"/>
    <mergeCell ref="H31:K31"/>
    <mergeCell ref="L31:O31"/>
    <mergeCell ref="B32:G32"/>
    <mergeCell ref="H32:K32"/>
    <mergeCell ref="L32:O32"/>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conditionalFormatting sqref="B9:B10">
    <cfRule type="cellIs" dxfId="95" priority="43" operator="equal">
      <formula>"Nok"</formula>
    </cfRule>
    <cfRule type="cellIs" dxfId="94" priority="44" operator="equal">
      <formula>"Ok"</formula>
    </cfRule>
  </conditionalFormatting>
  <conditionalFormatting sqref="P24">
    <cfRule type="cellIs" dxfId="93" priority="41" operator="equal">
      <formula>"Nok"</formula>
    </cfRule>
    <cfRule type="cellIs" dxfId="92" priority="42" operator="equal">
      <formula>"Ok"</formula>
    </cfRule>
  </conditionalFormatting>
  <conditionalFormatting sqref="P25">
    <cfRule type="cellIs" dxfId="91" priority="39" operator="equal">
      <formula>"Nok"</formula>
    </cfRule>
    <cfRule type="cellIs" dxfId="90" priority="40" operator="equal">
      <formula>"Ok"</formula>
    </cfRule>
  </conditionalFormatting>
  <conditionalFormatting sqref="P26">
    <cfRule type="cellIs" dxfId="89" priority="37" operator="equal">
      <formula>"Nok"</formula>
    </cfRule>
    <cfRule type="cellIs" dxfId="88" priority="38" operator="equal">
      <formula>"Ok"</formula>
    </cfRule>
  </conditionalFormatting>
  <conditionalFormatting sqref="P27">
    <cfRule type="cellIs" dxfId="87" priority="35" operator="equal">
      <formula>"Nok"</formula>
    </cfRule>
    <cfRule type="cellIs" dxfId="86" priority="36" operator="equal">
      <formula>"Ok"</formula>
    </cfRule>
  </conditionalFormatting>
  <conditionalFormatting sqref="P28">
    <cfRule type="cellIs" dxfId="85" priority="33" operator="equal">
      <formula>"Nok"</formula>
    </cfRule>
    <cfRule type="cellIs" dxfId="84" priority="34" operator="equal">
      <formula>"Ok"</formula>
    </cfRule>
  </conditionalFormatting>
  <conditionalFormatting sqref="P29">
    <cfRule type="cellIs" dxfId="83" priority="31" operator="equal">
      <formula>"Nok"</formula>
    </cfRule>
    <cfRule type="cellIs" dxfId="82" priority="32" operator="equal">
      <formula>"Ok"</formula>
    </cfRule>
  </conditionalFormatting>
  <conditionalFormatting sqref="P30">
    <cfRule type="cellIs" dxfId="81" priority="29" operator="equal">
      <formula>"Nok"</formula>
    </cfRule>
    <cfRule type="cellIs" dxfId="80" priority="30" operator="equal">
      <formula>"Ok"</formula>
    </cfRule>
  </conditionalFormatting>
  <conditionalFormatting sqref="P31">
    <cfRule type="cellIs" dxfId="79" priority="27" operator="equal">
      <formula>"Nok"</formula>
    </cfRule>
    <cfRule type="cellIs" dxfId="78" priority="28" operator="equal">
      <formula>"Ok"</formula>
    </cfRule>
  </conditionalFormatting>
  <conditionalFormatting sqref="P32">
    <cfRule type="cellIs" dxfId="77" priority="7" operator="equal">
      <formula>"Nok"</formula>
    </cfRule>
    <cfRule type="cellIs" dxfId="76" priority="8" operator="equal">
      <formula>"Ok"</formula>
    </cfRule>
  </conditionalFormatting>
  <conditionalFormatting sqref="P23">
    <cfRule type="cellIs" dxfId="75" priority="5" operator="equal">
      <formula>"Nok"</formula>
    </cfRule>
    <cfRule type="cellIs" dxfId="74" priority="6" operator="equal">
      <formula>"Ok"</formula>
    </cfRule>
  </conditionalFormatting>
  <conditionalFormatting sqref="P23">
    <cfRule type="cellIs" dxfId="73" priority="3" operator="equal">
      <formula>"Nok"</formula>
    </cfRule>
    <cfRule type="cellIs" dxfId="72" priority="4" operator="equal">
      <formula>"Ok"</formula>
    </cfRule>
  </conditionalFormatting>
  <conditionalFormatting sqref="P22">
    <cfRule type="cellIs" dxfId="71" priority="1" operator="equal">
      <formula>"Nok"</formula>
    </cfRule>
    <cfRule type="cellIs" dxfId="70" priority="2" operator="equal">
      <formula>"Ok"</formula>
    </cfRule>
  </conditionalFormatting>
  <dataValidations count="3">
    <dataValidation type="list" allowBlank="1" showInputMessage="1" showErrorMessage="1" sqref="P22:P32" xr:uid="{5C24D764-1EE9-4A17-BB23-675937726D71}">
      <formula1>"Ok, Nok, Not run, ,"</formula1>
    </dataValidation>
    <dataValidation type="list" allowBlank="1" showInputMessage="1" showErrorMessage="1" sqref="B9" xr:uid="{AB989CE8-DB55-4345-B6E5-CA5EB454D236}">
      <formula1>"Ok, Nok, Not run, NA"</formula1>
    </dataValidation>
    <dataValidation type="list" allowBlank="1" showInputMessage="1" showErrorMessage="1" sqref="B5" xr:uid="{224226C1-728B-473E-8034-D6AB875293A2}">
      <formula1>"Nominal, Robustness, Endurance, Qualification"</formula1>
    </dataValidation>
  </dataValidations>
  <pageMargins left="0.7" right="0.7" top="0.75" bottom="0.75" header="0.3" footer="0.3"/>
  <pageSetup paperSize="9" orientation="portrait" r:id="rId1"/>
  <headerFooter>
    <oddFooter>&amp;LTBD ver 1.7&amp;R&amp;P</oddFooter>
  </headerFooter>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33B28-2944-411F-8FA2-985F0B915930}">
  <sheetPr codeName="Sheet30"/>
  <dimension ref="A1:P32"/>
  <sheetViews>
    <sheetView workbookViewId="0">
      <selection activeCell="B24" sqref="B24:G24"/>
    </sheetView>
  </sheetViews>
  <sheetFormatPr defaultColWidth="9.109375" defaultRowHeight="13.2" x14ac:dyDescent="0.25"/>
  <cols>
    <col min="1" max="1" width="20.109375" style="78" customWidth="1"/>
    <col min="2" max="2" width="18.44140625" style="75" customWidth="1"/>
    <col min="3" max="7" width="9.109375" style="75"/>
    <col min="8" max="10" width="9.5546875" style="75" customWidth="1"/>
    <col min="11" max="11" width="20.5546875" style="75" customWidth="1"/>
    <col min="12" max="14" width="9.5546875" style="75" customWidth="1"/>
    <col min="15" max="15" width="40" style="75" customWidth="1"/>
    <col min="16" max="16384" width="9.109375" style="75"/>
  </cols>
  <sheetData>
    <row r="1" spans="1:15" ht="13.8" thickBot="1" x14ac:dyDescent="0.3">
      <c r="A1" s="79" t="s">
        <v>139</v>
      </c>
      <c r="B1" s="200" t="s">
        <v>329</v>
      </c>
      <c r="C1" s="201"/>
      <c r="D1" s="201"/>
      <c r="E1" s="201"/>
      <c r="F1" s="201"/>
      <c r="G1" s="202"/>
      <c r="H1" s="55"/>
      <c r="I1" s="55"/>
      <c r="J1" s="55"/>
      <c r="K1" s="55"/>
      <c r="L1" s="55"/>
      <c r="M1" s="55"/>
      <c r="N1" s="55"/>
      <c r="O1" s="55"/>
    </row>
    <row r="2" spans="1:15" ht="13.8" thickBot="1" x14ac:dyDescent="0.3">
      <c r="A2" s="54"/>
      <c r="B2" s="55"/>
      <c r="C2" s="55"/>
      <c r="D2" s="55"/>
      <c r="E2" s="55"/>
      <c r="F2" s="55"/>
      <c r="G2" s="55"/>
      <c r="H2" s="55"/>
      <c r="I2" s="55"/>
      <c r="J2" s="55"/>
      <c r="K2" s="55"/>
      <c r="L2" s="55"/>
      <c r="M2" s="55"/>
      <c r="N2" s="55"/>
      <c r="O2" s="55"/>
    </row>
    <row r="3" spans="1:15" ht="27" thickBot="1" x14ac:dyDescent="0.3">
      <c r="A3" s="80" t="s">
        <v>140</v>
      </c>
      <c r="B3" s="203" t="s">
        <v>246</v>
      </c>
      <c r="C3" s="204"/>
      <c r="D3" s="204"/>
      <c r="E3" s="204"/>
      <c r="F3" s="204"/>
      <c r="G3" s="205"/>
      <c r="H3" s="55"/>
      <c r="I3" s="55"/>
      <c r="J3" s="55"/>
      <c r="K3" s="55"/>
      <c r="L3" s="55"/>
      <c r="M3" s="55"/>
      <c r="N3" s="55"/>
      <c r="O3" s="55"/>
    </row>
    <row r="4" spans="1:15" ht="13.8" thickBot="1" x14ac:dyDescent="0.3">
      <c r="A4" s="54"/>
      <c r="B4" s="55"/>
      <c r="C4" s="55"/>
      <c r="D4" s="55"/>
      <c r="E4" s="55"/>
      <c r="F4" s="55"/>
      <c r="G4" s="55"/>
      <c r="H4" s="55"/>
      <c r="I4" s="55"/>
      <c r="J4" s="55"/>
      <c r="K4" s="55"/>
      <c r="L4" s="55"/>
      <c r="M4" s="55"/>
      <c r="N4" s="55"/>
      <c r="O4" s="55"/>
    </row>
    <row r="5" spans="1:15" ht="13.8" thickBot="1" x14ac:dyDescent="0.3">
      <c r="A5" s="79" t="s">
        <v>141</v>
      </c>
      <c r="B5" s="58" t="s">
        <v>142</v>
      </c>
      <c r="C5" s="55"/>
      <c r="D5" s="55"/>
      <c r="E5" s="55"/>
      <c r="F5" s="55"/>
      <c r="G5" s="55"/>
      <c r="H5" s="55"/>
      <c r="I5" s="55"/>
      <c r="J5" s="55"/>
      <c r="K5" s="55"/>
      <c r="L5" s="55"/>
      <c r="M5" s="55"/>
      <c r="N5" s="55"/>
      <c r="O5" s="55"/>
    </row>
    <row r="6" spans="1:15" ht="13.8" thickBot="1" x14ac:dyDescent="0.3">
      <c r="A6" s="54"/>
      <c r="B6" s="55"/>
      <c r="C6" s="55"/>
      <c r="D6" s="55"/>
      <c r="E6" s="55"/>
      <c r="F6" s="55"/>
      <c r="G6" s="55"/>
      <c r="H6" s="55"/>
      <c r="I6" s="55"/>
      <c r="J6" s="55"/>
      <c r="K6" s="55"/>
      <c r="L6" s="55"/>
      <c r="M6" s="55"/>
      <c r="N6" s="55"/>
      <c r="O6" s="55"/>
    </row>
    <row r="7" spans="1:15" ht="13.8" thickBot="1" x14ac:dyDescent="0.3">
      <c r="A7" s="79" t="s">
        <v>143</v>
      </c>
      <c r="B7" s="203" t="s">
        <v>247</v>
      </c>
      <c r="C7" s="204"/>
      <c r="D7" s="204"/>
      <c r="E7" s="204"/>
      <c r="F7" s="204"/>
      <c r="G7" s="205"/>
      <c r="H7" s="55"/>
      <c r="I7" s="55"/>
      <c r="J7" s="55"/>
      <c r="K7" s="55"/>
      <c r="L7" s="55"/>
      <c r="M7" s="55"/>
      <c r="N7" s="55"/>
      <c r="O7" s="55"/>
    </row>
    <row r="8" spans="1:15" ht="13.8" thickBot="1" x14ac:dyDescent="0.3">
      <c r="A8" s="57"/>
      <c r="B8" s="56"/>
      <c r="C8" s="56"/>
      <c r="D8" s="56"/>
      <c r="E8" s="56"/>
      <c r="F8" s="56"/>
      <c r="G8" s="56"/>
      <c r="H8" s="55"/>
      <c r="I8" s="55"/>
      <c r="J8" s="55"/>
      <c r="K8" s="55"/>
      <c r="L8" s="55"/>
      <c r="M8" s="55"/>
      <c r="N8" s="55"/>
      <c r="O8" s="55"/>
    </row>
    <row r="9" spans="1:15" ht="13.8" thickBot="1" x14ac:dyDescent="0.3">
      <c r="A9" s="79" t="s">
        <v>144</v>
      </c>
      <c r="B9" s="84" t="s">
        <v>180</v>
      </c>
      <c r="C9" s="55"/>
      <c r="D9" s="55"/>
      <c r="E9" s="55"/>
      <c r="F9" s="55"/>
      <c r="G9" s="55"/>
      <c r="H9" s="55"/>
      <c r="I9" s="55"/>
      <c r="J9" s="55"/>
      <c r="K9" s="55"/>
      <c r="L9" s="55"/>
      <c r="M9" s="55"/>
      <c r="N9" s="55"/>
      <c r="O9" s="55"/>
    </row>
    <row r="10" spans="1:15" ht="13.8" thickBot="1" x14ac:dyDescent="0.3">
      <c r="A10" s="57"/>
      <c r="B10" s="76"/>
      <c r="C10" s="55"/>
      <c r="D10" s="55"/>
      <c r="E10" s="55"/>
      <c r="F10" s="55"/>
      <c r="G10" s="55"/>
      <c r="H10" s="55"/>
      <c r="I10" s="55"/>
      <c r="J10" s="55"/>
      <c r="K10" s="55"/>
      <c r="L10" s="55"/>
      <c r="M10" s="55"/>
      <c r="N10" s="55"/>
      <c r="O10" s="55"/>
    </row>
    <row r="11" spans="1:15" ht="12" customHeight="1" x14ac:dyDescent="0.25">
      <c r="A11" s="189" t="s">
        <v>146</v>
      </c>
      <c r="B11" s="191" t="s">
        <v>147</v>
      </c>
      <c r="C11" s="192"/>
      <c r="D11" s="192"/>
      <c r="E11" s="192"/>
      <c r="F11" s="192"/>
      <c r="G11" s="193"/>
      <c r="H11" s="55"/>
      <c r="I11" s="55"/>
      <c r="J11" s="55"/>
      <c r="K11" s="55"/>
      <c r="L11" s="55"/>
      <c r="M11" s="55"/>
      <c r="N11" s="55"/>
      <c r="O11" s="55"/>
    </row>
    <row r="12" spans="1:15" x14ac:dyDescent="0.25">
      <c r="A12" s="190"/>
      <c r="B12" s="194"/>
      <c r="C12" s="195"/>
      <c r="D12" s="195"/>
      <c r="E12" s="195"/>
      <c r="F12" s="195"/>
      <c r="G12" s="196"/>
      <c r="H12" s="55"/>
      <c r="I12" s="55"/>
      <c r="J12" s="55"/>
      <c r="K12" s="55"/>
      <c r="L12" s="55"/>
      <c r="M12" s="55"/>
      <c r="N12" s="55"/>
      <c r="O12" s="55"/>
    </row>
    <row r="13" spans="1:15" x14ac:dyDescent="0.25">
      <c r="A13" s="190"/>
      <c r="B13" s="194"/>
      <c r="C13" s="195"/>
      <c r="D13" s="195"/>
      <c r="E13" s="195"/>
      <c r="F13" s="195"/>
      <c r="G13" s="196"/>
      <c r="H13" s="54"/>
      <c r="I13" s="55"/>
      <c r="J13" s="55"/>
      <c r="K13" s="55"/>
      <c r="L13" s="55"/>
      <c r="M13" s="55"/>
      <c r="N13" s="55"/>
      <c r="O13" s="55"/>
    </row>
    <row r="14" spans="1:15" ht="13.8" thickBot="1" x14ac:dyDescent="0.3">
      <c r="A14" s="190"/>
      <c r="B14" s="197"/>
      <c r="C14" s="198"/>
      <c r="D14" s="198"/>
      <c r="E14" s="198"/>
      <c r="F14" s="198"/>
      <c r="G14" s="199"/>
      <c r="H14" s="59"/>
      <c r="I14" s="55"/>
      <c r="J14" s="55"/>
      <c r="K14" s="55"/>
      <c r="L14" s="55"/>
      <c r="M14" s="55"/>
      <c r="N14" s="55"/>
      <c r="O14" s="55"/>
    </row>
    <row r="15" spans="1:15" ht="13.8" thickBot="1" x14ac:dyDescent="0.3">
      <c r="A15" s="54"/>
      <c r="B15" s="54"/>
      <c r="C15" s="54"/>
      <c r="D15" s="54"/>
      <c r="E15" s="54"/>
      <c r="F15" s="54"/>
      <c r="G15" s="54"/>
      <c r="H15" s="59"/>
      <c r="I15" s="55"/>
      <c r="J15" s="55"/>
      <c r="K15" s="55"/>
      <c r="L15" s="55"/>
      <c r="M15" s="55"/>
      <c r="N15" s="55"/>
      <c r="O15" s="55"/>
    </row>
    <row r="16" spans="1:15" x14ac:dyDescent="0.25">
      <c r="A16" s="189" t="s">
        <v>148</v>
      </c>
      <c r="B16" s="191" t="s">
        <v>149</v>
      </c>
      <c r="C16" s="192"/>
      <c r="D16" s="192"/>
      <c r="E16" s="192"/>
      <c r="F16" s="192"/>
      <c r="G16" s="193"/>
      <c r="H16" s="55"/>
      <c r="I16" s="55"/>
      <c r="J16" s="55"/>
      <c r="K16" s="55"/>
      <c r="L16" s="55"/>
      <c r="M16" s="55"/>
      <c r="N16" s="55"/>
      <c r="O16" s="55"/>
    </row>
    <row r="17" spans="1:16" x14ac:dyDescent="0.25">
      <c r="A17" s="190"/>
      <c r="B17" s="194"/>
      <c r="C17" s="195"/>
      <c r="D17" s="195"/>
      <c r="E17" s="195"/>
      <c r="F17" s="195"/>
      <c r="G17" s="196"/>
      <c r="H17" s="55"/>
      <c r="I17" s="55"/>
      <c r="J17" s="55"/>
      <c r="K17" s="55"/>
      <c r="L17" s="55"/>
      <c r="M17" s="55"/>
      <c r="N17" s="55"/>
      <c r="O17" s="55"/>
    </row>
    <row r="18" spans="1:16" x14ac:dyDescent="0.25">
      <c r="A18" s="190"/>
      <c r="B18" s="194"/>
      <c r="C18" s="195"/>
      <c r="D18" s="195"/>
      <c r="E18" s="195"/>
      <c r="F18" s="195"/>
      <c r="G18" s="196"/>
      <c r="H18" s="54"/>
      <c r="I18" s="55"/>
      <c r="J18" s="55"/>
      <c r="K18" s="55"/>
      <c r="L18" s="55"/>
      <c r="M18" s="55"/>
      <c r="N18" s="55"/>
      <c r="O18" s="55"/>
    </row>
    <row r="19" spans="1:16" ht="13.8" thickBot="1" x14ac:dyDescent="0.3">
      <c r="A19" s="190"/>
      <c r="B19" s="197"/>
      <c r="C19" s="198"/>
      <c r="D19" s="198"/>
      <c r="E19" s="198"/>
      <c r="F19" s="198"/>
      <c r="G19" s="199"/>
      <c r="H19" s="59"/>
      <c r="I19" s="55"/>
      <c r="J19" s="55"/>
      <c r="K19" s="55"/>
      <c r="L19" s="55"/>
      <c r="M19" s="55"/>
      <c r="N19" s="55"/>
      <c r="O19" s="55"/>
    </row>
    <row r="20" spans="1:16" ht="13.8" thickBot="1" x14ac:dyDescent="0.3">
      <c r="A20" s="54"/>
      <c r="B20" s="54"/>
      <c r="C20" s="54"/>
      <c r="D20" s="54"/>
      <c r="E20" s="54"/>
      <c r="F20" s="54"/>
      <c r="G20" s="54"/>
      <c r="H20" s="59"/>
      <c r="I20" s="55"/>
      <c r="J20" s="55"/>
      <c r="K20" s="55"/>
      <c r="L20" s="55"/>
      <c r="M20" s="55"/>
      <c r="N20" s="55"/>
      <c r="O20" s="55"/>
    </row>
    <row r="21" spans="1:16" ht="12.75" customHeight="1" x14ac:dyDescent="0.25">
      <c r="A21" s="186" t="s">
        <v>150</v>
      </c>
      <c r="B21" s="187"/>
      <c r="C21" s="187"/>
      <c r="D21" s="187"/>
      <c r="E21" s="187"/>
      <c r="F21" s="187"/>
      <c r="G21" s="188"/>
      <c r="H21" s="186" t="s">
        <v>151</v>
      </c>
      <c r="I21" s="187"/>
      <c r="J21" s="187"/>
      <c r="K21" s="188"/>
      <c r="L21" s="186" t="s">
        <v>152</v>
      </c>
      <c r="M21" s="187"/>
      <c r="N21" s="187"/>
      <c r="O21" s="188"/>
      <c r="P21" s="81" t="s">
        <v>153</v>
      </c>
    </row>
    <row r="22" spans="1:16" ht="39" customHeight="1" x14ac:dyDescent="0.25">
      <c r="A22" s="82" t="s">
        <v>154</v>
      </c>
      <c r="B22" s="172" t="s">
        <v>243</v>
      </c>
      <c r="C22" s="173"/>
      <c r="D22" s="173"/>
      <c r="E22" s="173"/>
      <c r="F22" s="173"/>
      <c r="G22" s="174"/>
      <c r="H22" s="175" t="s">
        <v>166</v>
      </c>
      <c r="I22" s="175"/>
      <c r="J22" s="175"/>
      <c r="K22" s="175"/>
      <c r="L22" s="175" t="s">
        <v>166</v>
      </c>
      <c r="M22" s="175"/>
      <c r="N22" s="175"/>
      <c r="O22" s="175"/>
      <c r="P22" s="96" t="s">
        <v>145</v>
      </c>
    </row>
    <row r="23" spans="1:16" ht="51.75" customHeight="1" x14ac:dyDescent="0.25">
      <c r="A23" s="82" t="s">
        <v>155</v>
      </c>
      <c r="B23" s="172" t="s">
        <v>248</v>
      </c>
      <c r="C23" s="173"/>
      <c r="D23" s="173"/>
      <c r="E23" s="173"/>
      <c r="F23" s="173"/>
      <c r="G23" s="174"/>
      <c r="H23" s="175" t="s">
        <v>166</v>
      </c>
      <c r="I23" s="175"/>
      <c r="J23" s="175"/>
      <c r="K23" s="175"/>
      <c r="L23" s="175" t="s">
        <v>166</v>
      </c>
      <c r="M23" s="175"/>
      <c r="N23" s="175"/>
      <c r="O23" s="175"/>
      <c r="P23" s="96" t="s">
        <v>145</v>
      </c>
    </row>
    <row r="24" spans="1:16" ht="39" customHeight="1" x14ac:dyDescent="0.25">
      <c r="A24" s="82" t="s">
        <v>156</v>
      </c>
      <c r="B24" s="172" t="s">
        <v>249</v>
      </c>
      <c r="C24" s="173"/>
      <c r="D24" s="173"/>
      <c r="E24" s="173"/>
      <c r="F24" s="173"/>
      <c r="G24" s="174"/>
      <c r="H24" s="175" t="s">
        <v>330</v>
      </c>
      <c r="I24" s="175"/>
      <c r="J24" s="175"/>
      <c r="K24" s="175"/>
      <c r="L24" s="175" t="s">
        <v>331</v>
      </c>
      <c r="M24" s="175"/>
      <c r="N24" s="175"/>
      <c r="O24" s="175"/>
      <c r="P24" s="96" t="s">
        <v>180</v>
      </c>
    </row>
    <row r="25" spans="1:16" x14ac:dyDescent="0.25">
      <c r="A25" s="82" t="s">
        <v>157</v>
      </c>
      <c r="B25" s="172"/>
      <c r="C25" s="173"/>
      <c r="D25" s="173"/>
      <c r="E25" s="173"/>
      <c r="F25" s="173"/>
      <c r="G25" s="174"/>
      <c r="H25" s="172"/>
      <c r="I25" s="173"/>
      <c r="J25" s="173"/>
      <c r="K25" s="174"/>
      <c r="L25" s="172"/>
      <c r="M25" s="173"/>
      <c r="N25" s="173"/>
      <c r="O25" s="174"/>
      <c r="P25" s="96"/>
    </row>
    <row r="26" spans="1:16" x14ac:dyDescent="0.25">
      <c r="A26" s="82" t="s">
        <v>158</v>
      </c>
      <c r="B26" s="172"/>
      <c r="C26" s="173"/>
      <c r="D26" s="173"/>
      <c r="E26" s="173"/>
      <c r="F26" s="173"/>
      <c r="G26" s="174"/>
      <c r="H26" s="172"/>
      <c r="I26" s="173"/>
      <c r="J26" s="173"/>
      <c r="K26" s="174"/>
      <c r="L26" s="172"/>
      <c r="M26" s="173"/>
      <c r="N26" s="173"/>
      <c r="O26" s="174"/>
      <c r="P26" s="96"/>
    </row>
    <row r="27" spans="1:16" x14ac:dyDescent="0.25">
      <c r="A27" s="82" t="s">
        <v>159</v>
      </c>
      <c r="B27" s="172"/>
      <c r="C27" s="173"/>
      <c r="D27" s="173"/>
      <c r="E27" s="173"/>
      <c r="F27" s="173"/>
      <c r="G27" s="174"/>
      <c r="H27" s="172"/>
      <c r="I27" s="173"/>
      <c r="J27" s="173"/>
      <c r="K27" s="174"/>
      <c r="L27" s="172"/>
      <c r="M27" s="173"/>
      <c r="N27" s="173"/>
      <c r="O27" s="174"/>
      <c r="P27" s="96"/>
    </row>
    <row r="28" spans="1:16" x14ac:dyDescent="0.25">
      <c r="A28" s="82" t="s">
        <v>162</v>
      </c>
      <c r="B28" s="172"/>
      <c r="C28" s="173"/>
      <c r="D28" s="173"/>
      <c r="E28" s="173"/>
      <c r="F28" s="173"/>
      <c r="G28" s="174"/>
      <c r="H28" s="209"/>
      <c r="I28" s="209"/>
      <c r="J28" s="209"/>
      <c r="K28" s="209"/>
      <c r="L28" s="209"/>
      <c r="M28" s="209"/>
      <c r="N28" s="209"/>
      <c r="O28" s="209"/>
      <c r="P28" s="96"/>
    </row>
    <row r="29" spans="1:16" x14ac:dyDescent="0.25">
      <c r="A29" s="82" t="s">
        <v>163</v>
      </c>
      <c r="B29" s="172"/>
      <c r="C29" s="173"/>
      <c r="D29" s="173"/>
      <c r="E29" s="173"/>
      <c r="F29" s="173"/>
      <c r="G29" s="174"/>
      <c r="H29" s="209"/>
      <c r="I29" s="209"/>
      <c r="J29" s="209"/>
      <c r="K29" s="209"/>
      <c r="L29" s="209"/>
      <c r="M29" s="209"/>
      <c r="N29" s="209"/>
      <c r="O29" s="209"/>
      <c r="P29" s="96"/>
    </row>
    <row r="30" spans="1:16" x14ac:dyDescent="0.25">
      <c r="A30" s="82" t="s">
        <v>164</v>
      </c>
      <c r="B30" s="172"/>
      <c r="C30" s="173"/>
      <c r="D30" s="173"/>
      <c r="E30" s="173"/>
      <c r="F30" s="173"/>
      <c r="G30" s="174"/>
      <c r="H30" s="209"/>
      <c r="I30" s="209"/>
      <c r="J30" s="209"/>
      <c r="K30" s="209"/>
      <c r="L30" s="209"/>
      <c r="M30" s="209"/>
      <c r="N30" s="209"/>
      <c r="O30" s="209"/>
      <c r="P30" s="96"/>
    </row>
    <row r="31" spans="1:16" x14ac:dyDescent="0.25">
      <c r="A31" s="82" t="s">
        <v>165</v>
      </c>
      <c r="B31" s="172"/>
      <c r="C31" s="173"/>
      <c r="D31" s="173"/>
      <c r="E31" s="173"/>
      <c r="F31" s="173"/>
      <c r="G31" s="174"/>
      <c r="H31" s="172"/>
      <c r="I31" s="173"/>
      <c r="J31" s="173"/>
      <c r="K31" s="174"/>
      <c r="L31" s="172"/>
      <c r="M31" s="173"/>
      <c r="N31" s="173"/>
      <c r="O31" s="174"/>
      <c r="P31" s="96"/>
    </row>
    <row r="32" spans="1:16" x14ac:dyDescent="0.25">
      <c r="A32" s="82" t="s">
        <v>167</v>
      </c>
      <c r="B32" s="172"/>
      <c r="C32" s="173"/>
      <c r="D32" s="173"/>
      <c r="E32" s="173"/>
      <c r="F32" s="173"/>
      <c r="G32" s="174"/>
      <c r="H32" s="209"/>
      <c r="I32" s="209"/>
      <c r="J32" s="209"/>
      <c r="K32" s="209"/>
      <c r="L32" s="209"/>
      <c r="M32" s="209"/>
      <c r="N32" s="209"/>
      <c r="O32" s="209"/>
      <c r="P32" s="96"/>
    </row>
  </sheetData>
  <mergeCells count="43">
    <mergeCell ref="B31:G31"/>
    <mergeCell ref="H31:K31"/>
    <mergeCell ref="L31:O31"/>
    <mergeCell ref="B32:G32"/>
    <mergeCell ref="H32:K32"/>
    <mergeCell ref="L32:O32"/>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A21:G21"/>
    <mergeCell ref="H21:K21"/>
    <mergeCell ref="L21:O21"/>
    <mergeCell ref="B24:G24"/>
    <mergeCell ref="H24:K24"/>
    <mergeCell ref="L24:O24"/>
    <mergeCell ref="B22:G22"/>
    <mergeCell ref="H22:K22"/>
    <mergeCell ref="L22:O22"/>
    <mergeCell ref="B23:G23"/>
    <mergeCell ref="H23:K23"/>
    <mergeCell ref="L23:O23"/>
    <mergeCell ref="A16:A19"/>
    <mergeCell ref="B16:G19"/>
    <mergeCell ref="B1:G1"/>
    <mergeCell ref="B3:G3"/>
    <mergeCell ref="B7:G7"/>
    <mergeCell ref="A11:A14"/>
    <mergeCell ref="B11:G14"/>
  </mergeCells>
  <phoneticPr fontId="42" type="noConversion"/>
  <conditionalFormatting sqref="B9:B10">
    <cfRule type="cellIs" dxfId="69" priority="45" operator="equal">
      <formula>"Nok"</formula>
    </cfRule>
    <cfRule type="cellIs" dxfId="68" priority="46" operator="equal">
      <formula>"Ok"</formula>
    </cfRule>
  </conditionalFormatting>
  <conditionalFormatting sqref="P24">
    <cfRule type="cellIs" dxfId="67" priority="41" operator="equal">
      <formula>"Nok"</formula>
    </cfRule>
    <cfRule type="cellIs" dxfId="66" priority="42" operator="equal">
      <formula>"Ok"</formula>
    </cfRule>
  </conditionalFormatting>
  <conditionalFormatting sqref="P25">
    <cfRule type="cellIs" dxfId="65" priority="39" operator="equal">
      <formula>"Nok"</formula>
    </cfRule>
    <cfRule type="cellIs" dxfId="64" priority="40" operator="equal">
      <formula>"Ok"</formula>
    </cfRule>
  </conditionalFormatting>
  <conditionalFormatting sqref="P26">
    <cfRule type="cellIs" dxfId="63" priority="37" operator="equal">
      <formula>"Nok"</formula>
    </cfRule>
    <cfRule type="cellIs" dxfId="62" priority="38" operator="equal">
      <formula>"Ok"</formula>
    </cfRule>
  </conditionalFormatting>
  <conditionalFormatting sqref="P27">
    <cfRule type="cellIs" dxfId="61" priority="35" operator="equal">
      <formula>"Nok"</formula>
    </cfRule>
    <cfRule type="cellIs" dxfId="60" priority="36" operator="equal">
      <formula>"Ok"</formula>
    </cfRule>
  </conditionalFormatting>
  <conditionalFormatting sqref="P28">
    <cfRule type="cellIs" dxfId="59" priority="33" operator="equal">
      <formula>"Nok"</formula>
    </cfRule>
    <cfRule type="cellIs" dxfId="58" priority="34" operator="equal">
      <formula>"Ok"</formula>
    </cfRule>
  </conditionalFormatting>
  <conditionalFormatting sqref="P29">
    <cfRule type="cellIs" dxfId="57" priority="31" operator="equal">
      <formula>"Nok"</formula>
    </cfRule>
    <cfRule type="cellIs" dxfId="56" priority="32" operator="equal">
      <formula>"Ok"</formula>
    </cfRule>
  </conditionalFormatting>
  <conditionalFormatting sqref="P30">
    <cfRule type="cellIs" dxfId="55" priority="29" operator="equal">
      <formula>"Nok"</formula>
    </cfRule>
    <cfRule type="cellIs" dxfId="54" priority="30" operator="equal">
      <formula>"Ok"</formula>
    </cfRule>
  </conditionalFormatting>
  <conditionalFormatting sqref="P31">
    <cfRule type="cellIs" dxfId="53" priority="27" operator="equal">
      <formula>"Nok"</formula>
    </cfRule>
    <cfRule type="cellIs" dxfId="52" priority="28" operator="equal">
      <formula>"Ok"</formula>
    </cfRule>
  </conditionalFormatting>
  <conditionalFormatting sqref="P32">
    <cfRule type="cellIs" dxfId="51" priority="7" operator="equal">
      <formula>"Nok"</formula>
    </cfRule>
    <cfRule type="cellIs" dxfId="50" priority="8" operator="equal">
      <formula>"Ok"</formula>
    </cfRule>
  </conditionalFormatting>
  <conditionalFormatting sqref="P23">
    <cfRule type="cellIs" dxfId="49" priority="5" operator="equal">
      <formula>"Nok"</formula>
    </cfRule>
    <cfRule type="cellIs" dxfId="48" priority="6" operator="equal">
      <formula>"Ok"</formula>
    </cfRule>
  </conditionalFormatting>
  <conditionalFormatting sqref="P23">
    <cfRule type="cellIs" dxfId="47" priority="3" operator="equal">
      <formula>"Nok"</formula>
    </cfRule>
    <cfRule type="cellIs" dxfId="46" priority="4" operator="equal">
      <formula>"Ok"</formula>
    </cfRule>
  </conditionalFormatting>
  <conditionalFormatting sqref="P22">
    <cfRule type="cellIs" dxfId="45" priority="1" operator="equal">
      <formula>"Nok"</formula>
    </cfRule>
    <cfRule type="cellIs" dxfId="44" priority="2" operator="equal">
      <formula>"Ok"</formula>
    </cfRule>
  </conditionalFormatting>
  <dataValidations count="3">
    <dataValidation type="list" allowBlank="1" showInputMessage="1" showErrorMessage="1" sqref="B5" xr:uid="{F277E362-B69A-4605-A1BB-BA0D702414C4}">
      <formula1>"Nominal, Robustness, Endurance, Qualification"</formula1>
    </dataValidation>
    <dataValidation type="list" allowBlank="1" showInputMessage="1" showErrorMessage="1" sqref="B9" xr:uid="{7B4CDF69-4754-46FF-918D-D3899654F925}">
      <formula1>"Ok, Nok, Not run, NA"</formula1>
    </dataValidation>
    <dataValidation type="list" allowBlank="1" showInputMessage="1" showErrorMessage="1" sqref="P22:P32" xr:uid="{BF0DCBE3-7CB7-41BB-9D7C-16388E3E4E65}">
      <formula1>"Ok, Nok, Not run, ,"</formula1>
    </dataValidation>
  </dataValidations>
  <pageMargins left="0.7" right="0.7" top="0.75" bottom="0.75" header="0.3" footer="0.3"/>
  <pageSetup paperSize="9" orientation="portrait" r:id="rId1"/>
  <headerFooter>
    <oddFooter>&amp;LTBD ver 1.7&amp;R&amp;P</oddFooter>
  </headerFooter>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2BE61-1A3E-48CB-87D4-132C4344D93D}">
  <sheetPr codeName="Sheet29"/>
  <dimension ref="A1:P40"/>
  <sheetViews>
    <sheetView workbookViewId="0"/>
  </sheetViews>
  <sheetFormatPr defaultColWidth="9.109375" defaultRowHeight="13.2" x14ac:dyDescent="0.25"/>
  <cols>
    <col min="1" max="1" width="20.109375" style="78" customWidth="1"/>
    <col min="2" max="2" width="18.44140625" style="75" customWidth="1"/>
    <col min="3" max="7" width="9.109375" style="75"/>
    <col min="8" max="10" width="9.5546875" style="75" customWidth="1"/>
    <col min="11" max="11" width="20.5546875" style="75" customWidth="1"/>
    <col min="12" max="14" width="9.5546875" style="75" customWidth="1"/>
    <col min="15" max="15" width="40" style="75" customWidth="1"/>
    <col min="16" max="16384" width="9.109375" style="75"/>
  </cols>
  <sheetData>
    <row r="1" spans="1:15" ht="13.8" thickBot="1" x14ac:dyDescent="0.3">
      <c r="A1" s="79" t="s">
        <v>139</v>
      </c>
      <c r="B1" s="200" t="s">
        <v>332</v>
      </c>
      <c r="C1" s="201"/>
      <c r="D1" s="201"/>
      <c r="E1" s="201"/>
      <c r="F1" s="201"/>
      <c r="G1" s="202"/>
      <c r="H1" s="55"/>
      <c r="I1" s="55"/>
      <c r="J1" s="55"/>
      <c r="K1" s="55"/>
      <c r="L1" s="55"/>
      <c r="M1" s="55"/>
      <c r="N1" s="55"/>
      <c r="O1" s="55"/>
    </row>
    <row r="2" spans="1:15" ht="13.8" thickBot="1" x14ac:dyDescent="0.3">
      <c r="A2" s="54"/>
      <c r="B2" s="55"/>
      <c r="C2" s="55"/>
      <c r="D2" s="55"/>
      <c r="E2" s="55"/>
      <c r="F2" s="55"/>
      <c r="G2" s="55"/>
      <c r="H2" s="55"/>
      <c r="I2" s="55"/>
      <c r="J2" s="55"/>
      <c r="K2" s="55"/>
      <c r="L2" s="55"/>
      <c r="M2" s="55"/>
      <c r="N2" s="55"/>
      <c r="O2" s="55"/>
    </row>
    <row r="3" spans="1:15" ht="27" thickBot="1" x14ac:dyDescent="0.3">
      <c r="A3" s="80" t="s">
        <v>140</v>
      </c>
      <c r="B3" s="203" t="s">
        <v>239</v>
      </c>
      <c r="C3" s="204"/>
      <c r="D3" s="204"/>
      <c r="E3" s="204"/>
      <c r="F3" s="204"/>
      <c r="G3" s="205"/>
      <c r="H3" s="55"/>
      <c r="I3" s="55"/>
      <c r="J3" s="55"/>
      <c r="K3" s="55"/>
      <c r="L3" s="55"/>
      <c r="M3" s="55"/>
      <c r="N3" s="55"/>
      <c r="O3" s="55"/>
    </row>
    <row r="4" spans="1:15" ht="13.8" thickBot="1" x14ac:dyDescent="0.3">
      <c r="A4" s="54"/>
      <c r="B4" s="55"/>
      <c r="C4" s="55"/>
      <c r="D4" s="55"/>
      <c r="E4" s="55"/>
      <c r="F4" s="55"/>
      <c r="G4" s="55"/>
      <c r="H4" s="55"/>
      <c r="I4" s="55"/>
      <c r="J4" s="55"/>
      <c r="K4" s="55"/>
      <c r="L4" s="55"/>
      <c r="M4" s="55"/>
      <c r="N4" s="55"/>
      <c r="O4" s="55"/>
    </row>
    <row r="5" spans="1:15" ht="13.8" thickBot="1" x14ac:dyDescent="0.3">
      <c r="A5" s="79" t="s">
        <v>141</v>
      </c>
      <c r="B5" s="58" t="s">
        <v>142</v>
      </c>
      <c r="C5" s="55"/>
      <c r="D5" s="55"/>
      <c r="E5" s="55"/>
      <c r="F5" s="55"/>
      <c r="G5" s="55"/>
      <c r="H5" s="55"/>
      <c r="I5" s="55"/>
      <c r="J5" s="55"/>
      <c r="K5" s="55"/>
      <c r="L5" s="55"/>
      <c r="M5" s="55"/>
      <c r="N5" s="55"/>
      <c r="O5" s="55"/>
    </row>
    <row r="6" spans="1:15" ht="13.8" thickBot="1" x14ac:dyDescent="0.3">
      <c r="A6" s="54"/>
      <c r="B6" s="55"/>
      <c r="C6" s="55"/>
      <c r="D6" s="55"/>
      <c r="E6" s="55"/>
      <c r="F6" s="55"/>
      <c r="G6" s="55"/>
      <c r="H6" s="55"/>
      <c r="I6" s="55"/>
      <c r="J6" s="55"/>
      <c r="K6" s="55"/>
      <c r="L6" s="55"/>
      <c r="M6" s="55"/>
      <c r="N6" s="55"/>
      <c r="O6" s="55"/>
    </row>
    <row r="7" spans="1:15" ht="13.8" thickBot="1" x14ac:dyDescent="0.3">
      <c r="A7" s="79" t="s">
        <v>143</v>
      </c>
      <c r="B7" s="203" t="s">
        <v>242</v>
      </c>
      <c r="C7" s="204"/>
      <c r="D7" s="204"/>
      <c r="E7" s="204"/>
      <c r="F7" s="204"/>
      <c r="G7" s="205"/>
      <c r="H7" s="55"/>
      <c r="I7" s="55"/>
      <c r="J7" s="55"/>
      <c r="K7" s="55"/>
      <c r="L7" s="55"/>
      <c r="M7" s="55"/>
      <c r="N7" s="55"/>
      <c r="O7" s="55"/>
    </row>
    <row r="8" spans="1:15" ht="13.8" thickBot="1" x14ac:dyDescent="0.3">
      <c r="A8" s="57"/>
      <c r="B8" s="56"/>
      <c r="C8" s="56"/>
      <c r="D8" s="56"/>
      <c r="E8" s="56"/>
      <c r="F8" s="56"/>
      <c r="G8" s="56"/>
      <c r="H8" s="55"/>
      <c r="I8" s="55"/>
      <c r="J8" s="55"/>
      <c r="K8" s="55"/>
      <c r="L8" s="55"/>
      <c r="M8" s="55"/>
      <c r="N8" s="55"/>
      <c r="O8" s="55"/>
    </row>
    <row r="9" spans="1:15" ht="13.8" thickBot="1" x14ac:dyDescent="0.3">
      <c r="A9" s="79" t="s">
        <v>144</v>
      </c>
      <c r="B9" s="84" t="s">
        <v>180</v>
      </c>
      <c r="C9" s="55"/>
      <c r="D9" s="55"/>
      <c r="E9" s="55"/>
      <c r="F9" s="55"/>
      <c r="G9" s="55"/>
      <c r="H9" s="55"/>
      <c r="I9" s="55"/>
      <c r="J9" s="55"/>
      <c r="K9" s="55"/>
      <c r="L9" s="55"/>
      <c r="M9" s="55"/>
      <c r="N9" s="55"/>
      <c r="O9" s="55"/>
    </row>
    <row r="10" spans="1:15" ht="13.8" thickBot="1" x14ac:dyDescent="0.3">
      <c r="A10" s="57"/>
      <c r="B10" s="76"/>
      <c r="C10" s="55"/>
      <c r="D10" s="55"/>
      <c r="E10" s="55"/>
      <c r="F10" s="55"/>
      <c r="G10" s="55"/>
      <c r="H10" s="55"/>
      <c r="I10" s="55"/>
      <c r="J10" s="55"/>
      <c r="K10" s="55"/>
      <c r="L10" s="55"/>
      <c r="M10" s="55"/>
      <c r="N10" s="55"/>
      <c r="O10" s="55"/>
    </row>
    <row r="11" spans="1:15" ht="12" customHeight="1" x14ac:dyDescent="0.25">
      <c r="A11" s="189" t="s">
        <v>146</v>
      </c>
      <c r="B11" s="191" t="s">
        <v>147</v>
      </c>
      <c r="C11" s="192"/>
      <c r="D11" s="192"/>
      <c r="E11" s="192"/>
      <c r="F11" s="192"/>
      <c r="G11" s="193"/>
      <c r="H11" s="55"/>
      <c r="I11" s="55"/>
      <c r="J11" s="55"/>
      <c r="K11" s="55"/>
      <c r="L11" s="55"/>
      <c r="M11" s="55"/>
      <c r="N11" s="55"/>
      <c r="O11" s="55"/>
    </row>
    <row r="12" spans="1:15" x14ac:dyDescent="0.25">
      <c r="A12" s="190"/>
      <c r="B12" s="194"/>
      <c r="C12" s="195"/>
      <c r="D12" s="195"/>
      <c r="E12" s="195"/>
      <c r="F12" s="195"/>
      <c r="G12" s="196"/>
      <c r="H12" s="55"/>
      <c r="I12" s="55"/>
      <c r="J12" s="55"/>
      <c r="K12" s="55"/>
      <c r="L12" s="55"/>
      <c r="M12" s="55"/>
      <c r="N12" s="55"/>
      <c r="O12" s="55"/>
    </row>
    <row r="13" spans="1:15" x14ac:dyDescent="0.25">
      <c r="A13" s="190"/>
      <c r="B13" s="194"/>
      <c r="C13" s="195"/>
      <c r="D13" s="195"/>
      <c r="E13" s="195"/>
      <c r="F13" s="195"/>
      <c r="G13" s="196"/>
      <c r="H13" s="54"/>
      <c r="I13" s="55"/>
      <c r="J13" s="55"/>
      <c r="K13" s="55"/>
      <c r="L13" s="55"/>
      <c r="M13" s="55"/>
      <c r="N13" s="55"/>
      <c r="O13" s="55"/>
    </row>
    <row r="14" spans="1:15" ht="13.8" thickBot="1" x14ac:dyDescent="0.3">
      <c r="A14" s="190"/>
      <c r="B14" s="197"/>
      <c r="C14" s="198"/>
      <c r="D14" s="198"/>
      <c r="E14" s="198"/>
      <c r="F14" s="198"/>
      <c r="G14" s="199"/>
      <c r="H14" s="59"/>
      <c r="I14" s="55"/>
      <c r="J14" s="55"/>
      <c r="K14" s="55"/>
      <c r="L14" s="55"/>
      <c r="M14" s="55"/>
      <c r="N14" s="55"/>
      <c r="O14" s="55"/>
    </row>
    <row r="15" spans="1:15" ht="13.8" thickBot="1" x14ac:dyDescent="0.3">
      <c r="A15" s="54"/>
      <c r="B15" s="54"/>
      <c r="C15" s="54"/>
      <c r="D15" s="54"/>
      <c r="E15" s="54"/>
      <c r="F15" s="54"/>
      <c r="G15" s="54"/>
      <c r="H15" s="59"/>
      <c r="I15" s="55"/>
      <c r="J15" s="55"/>
      <c r="K15" s="55"/>
      <c r="L15" s="55"/>
      <c r="M15" s="55"/>
      <c r="N15" s="55"/>
      <c r="O15" s="55"/>
    </row>
    <row r="16" spans="1:15" x14ac:dyDescent="0.25">
      <c r="A16" s="189" t="s">
        <v>148</v>
      </c>
      <c r="B16" s="191" t="s">
        <v>149</v>
      </c>
      <c r="C16" s="192"/>
      <c r="D16" s="192"/>
      <c r="E16" s="192"/>
      <c r="F16" s="192"/>
      <c r="G16" s="193"/>
      <c r="H16" s="55"/>
      <c r="I16" s="55"/>
      <c r="J16" s="55"/>
      <c r="K16" s="55"/>
      <c r="L16" s="55"/>
      <c r="M16" s="55"/>
      <c r="N16" s="55"/>
      <c r="O16" s="55"/>
    </row>
    <row r="17" spans="1:16" x14ac:dyDescent="0.25">
      <c r="A17" s="190"/>
      <c r="B17" s="194"/>
      <c r="C17" s="195"/>
      <c r="D17" s="195"/>
      <c r="E17" s="195"/>
      <c r="F17" s="195"/>
      <c r="G17" s="196"/>
      <c r="H17" s="55"/>
      <c r="I17" s="55"/>
      <c r="J17" s="55"/>
      <c r="K17" s="55"/>
      <c r="L17" s="55"/>
      <c r="M17" s="55"/>
      <c r="N17" s="55"/>
      <c r="O17" s="55"/>
    </row>
    <row r="18" spans="1:16" x14ac:dyDescent="0.25">
      <c r="A18" s="190"/>
      <c r="B18" s="194"/>
      <c r="C18" s="195"/>
      <c r="D18" s="195"/>
      <c r="E18" s="195"/>
      <c r="F18" s="195"/>
      <c r="G18" s="196"/>
      <c r="H18" s="54"/>
      <c r="I18" s="55"/>
      <c r="J18" s="55"/>
      <c r="K18" s="55"/>
      <c r="L18" s="55"/>
      <c r="M18" s="55"/>
      <c r="N18" s="55"/>
      <c r="O18" s="55"/>
    </row>
    <row r="19" spans="1:16" ht="13.8" thickBot="1" x14ac:dyDescent="0.3">
      <c r="A19" s="190"/>
      <c r="B19" s="197"/>
      <c r="C19" s="198"/>
      <c r="D19" s="198"/>
      <c r="E19" s="198"/>
      <c r="F19" s="198"/>
      <c r="G19" s="199"/>
      <c r="H19" s="59"/>
      <c r="I19" s="55"/>
      <c r="J19" s="55"/>
      <c r="K19" s="55"/>
      <c r="L19" s="55"/>
      <c r="M19" s="55"/>
      <c r="N19" s="55"/>
      <c r="O19" s="55"/>
    </row>
    <row r="20" spans="1:16" ht="13.8" thickBot="1" x14ac:dyDescent="0.3">
      <c r="A20" s="54"/>
      <c r="B20" s="54"/>
      <c r="C20" s="54"/>
      <c r="D20" s="54"/>
      <c r="E20" s="54"/>
      <c r="F20" s="54"/>
      <c r="G20" s="54"/>
      <c r="H20" s="59"/>
      <c r="I20" s="55"/>
      <c r="J20" s="55"/>
      <c r="K20" s="55"/>
      <c r="L20" s="55"/>
      <c r="M20" s="55"/>
      <c r="N20" s="55"/>
      <c r="O20" s="55"/>
    </row>
    <row r="21" spans="1:16" ht="12.75" customHeight="1" x14ac:dyDescent="0.25">
      <c r="A21" s="186" t="s">
        <v>150</v>
      </c>
      <c r="B21" s="187"/>
      <c r="C21" s="187"/>
      <c r="D21" s="187"/>
      <c r="E21" s="187"/>
      <c r="F21" s="187"/>
      <c r="G21" s="188"/>
      <c r="H21" s="186" t="s">
        <v>151</v>
      </c>
      <c r="I21" s="187"/>
      <c r="J21" s="187"/>
      <c r="K21" s="188"/>
      <c r="L21" s="186" t="s">
        <v>152</v>
      </c>
      <c r="M21" s="187"/>
      <c r="N21" s="187"/>
      <c r="O21" s="188"/>
      <c r="P21" s="81" t="s">
        <v>153</v>
      </c>
    </row>
    <row r="22" spans="1:16" ht="39" customHeight="1" x14ac:dyDescent="0.25">
      <c r="A22" s="82" t="s">
        <v>154</v>
      </c>
      <c r="B22" s="172" t="s">
        <v>243</v>
      </c>
      <c r="C22" s="173"/>
      <c r="D22" s="173"/>
      <c r="E22" s="173"/>
      <c r="F22" s="173"/>
      <c r="G22" s="174"/>
      <c r="H22" s="175" t="s">
        <v>166</v>
      </c>
      <c r="I22" s="175"/>
      <c r="J22" s="175"/>
      <c r="K22" s="175"/>
      <c r="L22" s="175" t="s">
        <v>166</v>
      </c>
      <c r="M22" s="175"/>
      <c r="N22" s="175"/>
      <c r="O22" s="175"/>
      <c r="P22" s="96" t="s">
        <v>145</v>
      </c>
    </row>
    <row r="23" spans="1:16" ht="38.25" customHeight="1" x14ac:dyDescent="0.25">
      <c r="A23" s="82" t="s">
        <v>155</v>
      </c>
      <c r="B23" s="172" t="s">
        <v>248</v>
      </c>
      <c r="C23" s="173"/>
      <c r="D23" s="173"/>
      <c r="E23" s="173"/>
      <c r="F23" s="173"/>
      <c r="G23" s="174"/>
      <c r="H23" s="175" t="s">
        <v>166</v>
      </c>
      <c r="I23" s="175"/>
      <c r="J23" s="175"/>
      <c r="K23" s="175"/>
      <c r="L23" s="175" t="s">
        <v>166</v>
      </c>
      <c r="M23" s="175"/>
      <c r="N23" s="175"/>
      <c r="O23" s="175"/>
      <c r="P23" s="96" t="s">
        <v>145</v>
      </c>
    </row>
    <row r="24" spans="1:16" ht="37.5" customHeight="1" x14ac:dyDescent="0.25">
      <c r="A24" s="82" t="s">
        <v>156</v>
      </c>
      <c r="B24" s="172" t="s">
        <v>298</v>
      </c>
      <c r="C24" s="173"/>
      <c r="D24" s="173"/>
      <c r="E24" s="173"/>
      <c r="F24" s="173"/>
      <c r="G24" s="174"/>
      <c r="H24" s="209" t="s">
        <v>299</v>
      </c>
      <c r="I24" s="209"/>
      <c r="J24" s="209"/>
      <c r="K24" s="209"/>
      <c r="L24" s="209" t="s">
        <v>300</v>
      </c>
      <c r="M24" s="209"/>
      <c r="N24" s="209"/>
      <c r="O24" s="209"/>
      <c r="P24" s="96" t="s">
        <v>180</v>
      </c>
    </row>
    <row r="25" spans="1:16" x14ac:dyDescent="0.25">
      <c r="A25" s="82" t="s">
        <v>157</v>
      </c>
      <c r="B25" s="172"/>
      <c r="C25" s="173"/>
      <c r="D25" s="173"/>
      <c r="E25" s="173"/>
      <c r="F25" s="173"/>
      <c r="G25" s="174"/>
      <c r="H25" s="172"/>
      <c r="I25" s="173"/>
      <c r="J25" s="173"/>
      <c r="K25" s="174"/>
      <c r="L25" s="172"/>
      <c r="M25" s="173"/>
      <c r="N25" s="173"/>
      <c r="O25" s="174"/>
      <c r="P25" s="96"/>
    </row>
    <row r="26" spans="1:16" x14ac:dyDescent="0.25">
      <c r="A26" s="82" t="s">
        <v>158</v>
      </c>
      <c r="B26" s="172"/>
      <c r="C26" s="173"/>
      <c r="D26" s="173"/>
      <c r="E26" s="173"/>
      <c r="F26" s="173"/>
      <c r="G26" s="174"/>
      <c r="H26" s="172"/>
      <c r="I26" s="173"/>
      <c r="J26" s="173"/>
      <c r="K26" s="174"/>
      <c r="L26" s="172"/>
      <c r="M26" s="173"/>
      <c r="N26" s="173"/>
      <c r="O26" s="174"/>
      <c r="P26" s="96"/>
    </row>
    <row r="27" spans="1:16" x14ac:dyDescent="0.25">
      <c r="A27" s="82" t="s">
        <v>159</v>
      </c>
      <c r="B27" s="172"/>
      <c r="C27" s="173"/>
      <c r="D27" s="173"/>
      <c r="E27" s="173"/>
      <c r="F27" s="173"/>
      <c r="G27" s="174"/>
      <c r="H27" s="172"/>
      <c r="I27" s="173"/>
      <c r="J27" s="173"/>
      <c r="K27" s="174"/>
      <c r="L27" s="172"/>
      <c r="M27" s="173"/>
      <c r="N27" s="173"/>
      <c r="O27" s="174"/>
      <c r="P27" s="96"/>
    </row>
    <row r="28" spans="1:16" x14ac:dyDescent="0.25">
      <c r="A28" s="82" t="s">
        <v>162</v>
      </c>
      <c r="B28" s="172"/>
      <c r="C28" s="173"/>
      <c r="D28" s="173"/>
      <c r="E28" s="173"/>
      <c r="F28" s="173"/>
      <c r="G28" s="174"/>
      <c r="H28" s="209"/>
      <c r="I28" s="209"/>
      <c r="J28" s="209"/>
      <c r="K28" s="209"/>
      <c r="L28" s="209"/>
      <c r="M28" s="209"/>
      <c r="N28" s="209"/>
      <c r="O28" s="209"/>
      <c r="P28" s="96"/>
    </row>
    <row r="29" spans="1:16" x14ac:dyDescent="0.25">
      <c r="A29" s="82" t="s">
        <v>163</v>
      </c>
      <c r="B29" s="172"/>
      <c r="C29" s="173"/>
      <c r="D29" s="173"/>
      <c r="E29" s="173"/>
      <c r="F29" s="173"/>
      <c r="G29" s="174"/>
      <c r="H29" s="209"/>
      <c r="I29" s="209"/>
      <c r="J29" s="209"/>
      <c r="K29" s="209"/>
      <c r="L29" s="209"/>
      <c r="M29" s="209"/>
      <c r="N29" s="209"/>
      <c r="O29" s="209"/>
      <c r="P29" s="96"/>
    </row>
    <row r="30" spans="1:16" x14ac:dyDescent="0.25">
      <c r="A30" s="82" t="s">
        <v>164</v>
      </c>
      <c r="B30" s="172"/>
      <c r="C30" s="173"/>
      <c r="D30" s="173"/>
      <c r="E30" s="173"/>
      <c r="F30" s="173"/>
      <c r="G30" s="174"/>
      <c r="H30" s="209"/>
      <c r="I30" s="209"/>
      <c r="J30" s="209"/>
      <c r="K30" s="209"/>
      <c r="L30" s="209"/>
      <c r="M30" s="209"/>
      <c r="N30" s="209"/>
      <c r="O30" s="209"/>
      <c r="P30" s="96"/>
    </row>
    <row r="31" spans="1:16" x14ac:dyDescent="0.25">
      <c r="A31" s="82" t="s">
        <v>165</v>
      </c>
      <c r="B31" s="172"/>
      <c r="C31" s="173"/>
      <c r="D31" s="173"/>
      <c r="E31" s="173"/>
      <c r="F31" s="173"/>
      <c r="G31" s="174"/>
      <c r="H31" s="172"/>
      <c r="I31" s="173"/>
      <c r="J31" s="173"/>
      <c r="K31" s="174"/>
      <c r="L31" s="172"/>
      <c r="M31" s="173"/>
      <c r="N31" s="173"/>
      <c r="O31" s="174"/>
      <c r="P31" s="96"/>
    </row>
    <row r="32" spans="1:16" x14ac:dyDescent="0.25">
      <c r="A32" s="82" t="s">
        <v>167</v>
      </c>
      <c r="B32" s="172"/>
      <c r="C32" s="173"/>
      <c r="D32" s="173"/>
      <c r="E32" s="173"/>
      <c r="F32" s="173"/>
      <c r="G32" s="174"/>
      <c r="H32" s="209"/>
      <c r="I32" s="209"/>
      <c r="J32" s="209"/>
      <c r="K32" s="209"/>
      <c r="L32" s="209"/>
      <c r="M32" s="209"/>
      <c r="N32" s="209"/>
      <c r="O32" s="209"/>
      <c r="P32" s="96"/>
    </row>
    <row r="33" spans="1:16" x14ac:dyDescent="0.25">
      <c r="A33" s="82" t="s">
        <v>168</v>
      </c>
      <c r="B33" s="172"/>
      <c r="C33" s="173"/>
      <c r="D33" s="173"/>
      <c r="E33" s="173"/>
      <c r="F33" s="173"/>
      <c r="G33" s="174"/>
      <c r="H33" s="172"/>
      <c r="I33" s="173"/>
      <c r="J33" s="173"/>
      <c r="K33" s="174"/>
      <c r="L33" s="172"/>
      <c r="M33" s="173"/>
      <c r="N33" s="173"/>
      <c r="O33" s="174"/>
      <c r="P33" s="96"/>
    </row>
    <row r="34" spans="1:16" x14ac:dyDescent="0.25">
      <c r="A34" s="82" t="s">
        <v>169</v>
      </c>
      <c r="B34" s="172"/>
      <c r="C34" s="173"/>
      <c r="D34" s="173"/>
      <c r="E34" s="173"/>
      <c r="F34" s="173"/>
      <c r="G34" s="174"/>
      <c r="H34" s="209"/>
      <c r="I34" s="209"/>
      <c r="J34" s="209"/>
      <c r="K34" s="209"/>
      <c r="L34" s="209"/>
      <c r="M34" s="209"/>
      <c r="N34" s="209"/>
      <c r="O34" s="209"/>
      <c r="P34" s="96"/>
    </row>
    <row r="35" spans="1:16" x14ac:dyDescent="0.25">
      <c r="A35" s="82" t="s">
        <v>170</v>
      </c>
      <c r="B35" s="172"/>
      <c r="C35" s="173"/>
      <c r="D35" s="173"/>
      <c r="E35" s="173"/>
      <c r="F35" s="173"/>
      <c r="G35" s="174"/>
      <c r="H35" s="172"/>
      <c r="I35" s="173"/>
      <c r="J35" s="173"/>
      <c r="K35" s="174"/>
      <c r="L35" s="172"/>
      <c r="M35" s="173"/>
      <c r="N35" s="173"/>
      <c r="O35" s="174"/>
      <c r="P35" s="96"/>
    </row>
    <row r="36" spans="1:16" x14ac:dyDescent="0.25">
      <c r="A36" s="82" t="s">
        <v>171</v>
      </c>
      <c r="B36" s="172"/>
      <c r="C36" s="173"/>
      <c r="D36" s="173"/>
      <c r="E36" s="173"/>
      <c r="F36" s="173"/>
      <c r="G36" s="174"/>
      <c r="H36" s="172"/>
      <c r="I36" s="173"/>
      <c r="J36" s="173"/>
      <c r="K36" s="174"/>
      <c r="L36" s="172"/>
      <c r="M36" s="173"/>
      <c r="N36" s="173"/>
      <c r="O36" s="174"/>
      <c r="P36" s="96"/>
    </row>
    <row r="37" spans="1:16" x14ac:dyDescent="0.25">
      <c r="A37" s="82" t="s">
        <v>172</v>
      </c>
      <c r="B37" s="172"/>
      <c r="C37" s="173"/>
      <c r="D37" s="173"/>
      <c r="E37" s="173"/>
      <c r="F37" s="173"/>
      <c r="G37" s="174"/>
      <c r="H37" s="172"/>
      <c r="I37" s="173"/>
      <c r="J37" s="173"/>
      <c r="K37" s="174"/>
      <c r="L37" s="172"/>
      <c r="M37" s="173"/>
      <c r="N37" s="173"/>
      <c r="O37" s="174"/>
      <c r="P37" s="96"/>
    </row>
    <row r="38" spans="1:16" x14ac:dyDescent="0.25">
      <c r="A38" s="82" t="s">
        <v>173</v>
      </c>
      <c r="B38" s="172"/>
      <c r="C38" s="173"/>
      <c r="D38" s="173"/>
      <c r="E38" s="173"/>
      <c r="F38" s="173"/>
      <c r="G38" s="174"/>
      <c r="H38" s="209"/>
      <c r="I38" s="209"/>
      <c r="J38" s="209"/>
      <c r="K38" s="209"/>
      <c r="L38" s="209"/>
      <c r="M38" s="209"/>
      <c r="N38" s="209"/>
      <c r="O38" s="209"/>
      <c r="P38" s="96"/>
    </row>
    <row r="39" spans="1:16" x14ac:dyDescent="0.25">
      <c r="A39" s="82" t="s">
        <v>174</v>
      </c>
      <c r="B39" s="172"/>
      <c r="C39" s="173"/>
      <c r="D39" s="173"/>
      <c r="E39" s="173"/>
      <c r="F39" s="173"/>
      <c r="G39" s="174"/>
      <c r="H39" s="209"/>
      <c r="I39" s="209"/>
      <c r="J39" s="209"/>
      <c r="K39" s="209"/>
      <c r="L39" s="209"/>
      <c r="M39" s="209"/>
      <c r="N39" s="209"/>
      <c r="O39" s="209"/>
      <c r="P39" s="96"/>
    </row>
    <row r="40" spans="1:16" x14ac:dyDescent="0.25">
      <c r="A40" s="82" t="s">
        <v>175</v>
      </c>
      <c r="B40" s="172"/>
      <c r="C40" s="173"/>
      <c r="D40" s="173"/>
      <c r="E40" s="173"/>
      <c r="F40" s="173"/>
      <c r="G40" s="174"/>
      <c r="H40" s="209"/>
      <c r="I40" s="209"/>
      <c r="J40" s="209"/>
      <c r="K40" s="209"/>
      <c r="L40" s="209"/>
      <c r="M40" s="209"/>
      <c r="N40" s="209"/>
      <c r="O40" s="209"/>
      <c r="P40" s="96"/>
    </row>
  </sheetData>
  <mergeCells count="67">
    <mergeCell ref="B40:G40"/>
    <mergeCell ref="H40:K40"/>
    <mergeCell ref="L40:O40"/>
    <mergeCell ref="B39:G39"/>
    <mergeCell ref="H39:K39"/>
    <mergeCell ref="L39:O39"/>
    <mergeCell ref="B38:G38"/>
    <mergeCell ref="H38:K38"/>
    <mergeCell ref="L38:O38"/>
    <mergeCell ref="B37:G37"/>
    <mergeCell ref="H37:K37"/>
    <mergeCell ref="L37:O37"/>
    <mergeCell ref="B35:G35"/>
    <mergeCell ref="H35:K35"/>
    <mergeCell ref="L35:O35"/>
    <mergeCell ref="B36:G36"/>
    <mergeCell ref="H36:K36"/>
    <mergeCell ref="L36:O36"/>
    <mergeCell ref="B31:G31"/>
    <mergeCell ref="H31:K31"/>
    <mergeCell ref="L31:O31"/>
    <mergeCell ref="B34:G34"/>
    <mergeCell ref="H34:K34"/>
    <mergeCell ref="L34:O34"/>
    <mergeCell ref="B32:G32"/>
    <mergeCell ref="H32:K32"/>
    <mergeCell ref="L32:O32"/>
    <mergeCell ref="B33:G33"/>
    <mergeCell ref="H33:K33"/>
    <mergeCell ref="L33:O33"/>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A21:G21"/>
    <mergeCell ref="H21:K21"/>
    <mergeCell ref="L21:O21"/>
    <mergeCell ref="B24:G24"/>
    <mergeCell ref="H24:K24"/>
    <mergeCell ref="L24:O24"/>
    <mergeCell ref="B22:G22"/>
    <mergeCell ref="H22:K22"/>
    <mergeCell ref="L22:O22"/>
    <mergeCell ref="B23:G23"/>
    <mergeCell ref="H23:K23"/>
    <mergeCell ref="L23:O23"/>
    <mergeCell ref="A16:A19"/>
    <mergeCell ref="B16:G19"/>
    <mergeCell ref="B1:G1"/>
    <mergeCell ref="B3:G3"/>
    <mergeCell ref="B7:G7"/>
    <mergeCell ref="A11:A14"/>
    <mergeCell ref="B11:G14"/>
  </mergeCells>
  <phoneticPr fontId="42" type="noConversion"/>
  <conditionalFormatting sqref="B9:B10">
    <cfRule type="cellIs" dxfId="43" priority="43" operator="equal">
      <formula>"Nok"</formula>
    </cfRule>
    <cfRule type="cellIs" dxfId="42" priority="44" operator="equal">
      <formula>"Ok"</formula>
    </cfRule>
  </conditionalFormatting>
  <conditionalFormatting sqref="P31">
    <cfRule type="cellIs" dxfId="41" priority="41" operator="equal">
      <formula>"Nok"</formula>
    </cfRule>
    <cfRule type="cellIs" dxfId="40" priority="42" operator="equal">
      <formula>"Ok"</formula>
    </cfRule>
  </conditionalFormatting>
  <conditionalFormatting sqref="P24">
    <cfRule type="cellIs" dxfId="39" priority="39" operator="equal">
      <formula>"Nok"</formula>
    </cfRule>
    <cfRule type="cellIs" dxfId="38" priority="40" operator="equal">
      <formula>"Ok"</formula>
    </cfRule>
  </conditionalFormatting>
  <conditionalFormatting sqref="P25">
    <cfRule type="cellIs" dxfId="37" priority="37" operator="equal">
      <formula>"Nok"</formula>
    </cfRule>
    <cfRule type="cellIs" dxfId="36" priority="38" operator="equal">
      <formula>"Ok"</formula>
    </cfRule>
  </conditionalFormatting>
  <conditionalFormatting sqref="P26">
    <cfRule type="cellIs" dxfId="35" priority="35" operator="equal">
      <formula>"Nok"</formula>
    </cfRule>
    <cfRule type="cellIs" dxfId="34" priority="36" operator="equal">
      <formula>"Ok"</formula>
    </cfRule>
  </conditionalFormatting>
  <conditionalFormatting sqref="P27">
    <cfRule type="cellIs" dxfId="33" priority="33" operator="equal">
      <formula>"Nok"</formula>
    </cfRule>
    <cfRule type="cellIs" dxfId="32" priority="34" operator="equal">
      <formula>"Ok"</formula>
    </cfRule>
  </conditionalFormatting>
  <conditionalFormatting sqref="P28">
    <cfRule type="cellIs" dxfId="31" priority="31" operator="equal">
      <formula>"Nok"</formula>
    </cfRule>
    <cfRule type="cellIs" dxfId="30" priority="32" operator="equal">
      <formula>"Ok"</formula>
    </cfRule>
  </conditionalFormatting>
  <conditionalFormatting sqref="P29">
    <cfRule type="cellIs" dxfId="29" priority="29" operator="equal">
      <formula>"Nok"</formula>
    </cfRule>
    <cfRule type="cellIs" dxfId="28" priority="30" operator="equal">
      <formula>"Ok"</formula>
    </cfRule>
  </conditionalFormatting>
  <conditionalFormatting sqref="P30">
    <cfRule type="cellIs" dxfId="27" priority="27" operator="equal">
      <formula>"Nok"</formula>
    </cfRule>
    <cfRule type="cellIs" dxfId="26" priority="28" operator="equal">
      <formula>"Ok"</formula>
    </cfRule>
  </conditionalFormatting>
  <conditionalFormatting sqref="P34">
    <cfRule type="cellIs" dxfId="25" priority="25" operator="equal">
      <formula>"Nok"</formula>
    </cfRule>
    <cfRule type="cellIs" dxfId="24" priority="26" operator="equal">
      <formula>"Ok"</formula>
    </cfRule>
  </conditionalFormatting>
  <conditionalFormatting sqref="P35">
    <cfRule type="cellIs" dxfId="23" priority="23" operator="equal">
      <formula>"Nok"</formula>
    </cfRule>
    <cfRule type="cellIs" dxfId="22" priority="24" operator="equal">
      <formula>"Ok"</formula>
    </cfRule>
  </conditionalFormatting>
  <conditionalFormatting sqref="P36">
    <cfRule type="cellIs" dxfId="21" priority="21" operator="equal">
      <formula>"Nok"</formula>
    </cfRule>
    <cfRule type="cellIs" dxfId="20" priority="22" operator="equal">
      <formula>"Ok"</formula>
    </cfRule>
  </conditionalFormatting>
  <conditionalFormatting sqref="P37">
    <cfRule type="cellIs" dxfId="19" priority="19" operator="equal">
      <formula>"Nok"</formula>
    </cfRule>
    <cfRule type="cellIs" dxfId="18" priority="20" operator="equal">
      <formula>"Ok"</formula>
    </cfRule>
  </conditionalFormatting>
  <conditionalFormatting sqref="P38">
    <cfRule type="cellIs" dxfId="17" priority="17" operator="equal">
      <formula>"Nok"</formula>
    </cfRule>
    <cfRule type="cellIs" dxfId="16" priority="18" operator="equal">
      <formula>"Ok"</formula>
    </cfRule>
  </conditionalFormatting>
  <conditionalFormatting sqref="P39">
    <cfRule type="cellIs" dxfId="15" priority="15" operator="equal">
      <formula>"Nok"</formula>
    </cfRule>
    <cfRule type="cellIs" dxfId="14" priority="16" operator="equal">
      <formula>"Ok"</formula>
    </cfRule>
  </conditionalFormatting>
  <conditionalFormatting sqref="P40">
    <cfRule type="cellIs" dxfId="13" priority="13" operator="equal">
      <formula>"Nok"</formula>
    </cfRule>
    <cfRule type="cellIs" dxfId="12" priority="14" operator="equal">
      <formula>"Ok"</formula>
    </cfRule>
  </conditionalFormatting>
  <conditionalFormatting sqref="P23">
    <cfRule type="cellIs" dxfId="11" priority="11" operator="equal">
      <formula>"Nok"</formula>
    </cfRule>
    <cfRule type="cellIs" dxfId="10" priority="12" operator="equal">
      <formula>"Ok"</formula>
    </cfRule>
  </conditionalFormatting>
  <conditionalFormatting sqref="P23">
    <cfRule type="cellIs" dxfId="9" priority="9" operator="equal">
      <formula>"Nok"</formula>
    </cfRule>
    <cfRule type="cellIs" dxfId="8" priority="10" operator="equal">
      <formula>"Ok"</formula>
    </cfRule>
  </conditionalFormatting>
  <conditionalFormatting sqref="P22">
    <cfRule type="cellIs" dxfId="7" priority="7" operator="equal">
      <formula>"Nok"</formula>
    </cfRule>
    <cfRule type="cellIs" dxfId="6" priority="8" operator="equal">
      <formula>"Ok"</formula>
    </cfRule>
  </conditionalFormatting>
  <conditionalFormatting sqref="P33">
    <cfRule type="cellIs" dxfId="5" priority="5" operator="equal">
      <formula>"Nok"</formula>
    </cfRule>
    <cfRule type="cellIs" dxfId="4" priority="6" operator="equal">
      <formula>"Ok"</formula>
    </cfRule>
  </conditionalFormatting>
  <conditionalFormatting sqref="P33">
    <cfRule type="cellIs" dxfId="3" priority="3" operator="equal">
      <formula>"Nok"</formula>
    </cfRule>
    <cfRule type="cellIs" dxfId="2" priority="4" operator="equal">
      <formula>"Ok"</formula>
    </cfRule>
  </conditionalFormatting>
  <conditionalFormatting sqref="P32">
    <cfRule type="cellIs" dxfId="1" priority="1" operator="equal">
      <formula>"Nok"</formula>
    </cfRule>
    <cfRule type="cellIs" dxfId="0" priority="2" operator="equal">
      <formula>"Ok"</formula>
    </cfRule>
  </conditionalFormatting>
  <dataValidations count="3">
    <dataValidation type="list" allowBlank="1" showInputMessage="1" showErrorMessage="1" sqref="P22:P40" xr:uid="{8B5A9C04-8351-4505-87F6-73DA7D4CF4C6}">
      <formula1>"Ok, Nok, Not run, ,"</formula1>
    </dataValidation>
    <dataValidation type="list" allowBlank="1" showInputMessage="1" showErrorMessage="1" sqref="B9" xr:uid="{512A959F-89FC-4BAF-9AD0-455065AC24BD}">
      <formula1>"Ok, Nok, Not run, NA"</formula1>
    </dataValidation>
    <dataValidation type="list" allowBlank="1" showInputMessage="1" showErrorMessage="1" sqref="B5" xr:uid="{5B9288A3-9BDA-441A-AAF9-A6123DB873FB}">
      <formula1>"Nominal, Robustness, Endurance, Qualification"</formula1>
    </dataValidation>
  </dataValidations>
  <pageMargins left="0.7" right="0.7" top="0.75" bottom="0.75" header="0.3" footer="0.3"/>
  <pageSetup paperSize="9" orientation="portrait" r:id="rId1"/>
  <headerFooter>
    <oddFooter>&amp;LTBD ver 1.7&amp;R&amp;P</oddFooter>
  </headerFooter>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2:F6"/>
  <sheetViews>
    <sheetView workbookViewId="0">
      <selection activeCell="C4" sqref="C4"/>
    </sheetView>
  </sheetViews>
  <sheetFormatPr defaultColWidth="9.109375" defaultRowHeight="14.4" x14ac:dyDescent="0.3"/>
  <cols>
    <col min="1" max="1" width="4.33203125" style="60" customWidth="1"/>
    <col min="2" max="2" width="24.88671875" style="60" customWidth="1"/>
    <col min="3" max="3" width="4.5546875" style="60" customWidth="1"/>
    <col min="4" max="4" width="4.44140625" style="60" customWidth="1"/>
    <col min="5" max="5" width="29.88671875" style="60" bestFit="1" customWidth="1"/>
    <col min="6" max="6" width="7.6640625" style="60" bestFit="1" customWidth="1"/>
    <col min="7" max="16384" width="9.109375" style="60"/>
  </cols>
  <sheetData>
    <row r="2" spans="2:6" x14ac:dyDescent="0.3">
      <c r="B2" s="61" t="s">
        <v>183</v>
      </c>
      <c r="C2" s="61">
        <f ca="1">COUNTIF('Tests Synthesis'!K3:K42, "Ok")</f>
        <v>15</v>
      </c>
      <c r="E2" s="62" t="s">
        <v>184</v>
      </c>
      <c r="F2" s="63">
        <f ca="1">IF(C6=0,0,C2/C6)</f>
        <v>0.75</v>
      </c>
    </row>
    <row r="3" spans="2:6" x14ac:dyDescent="0.3">
      <c r="B3" s="61" t="s">
        <v>185</v>
      </c>
      <c r="C3" s="61">
        <f ca="1">COUNTIF('Tests Synthesis'!K3:K42, "Nok")</f>
        <v>5</v>
      </c>
      <c r="E3" s="62" t="s">
        <v>186</v>
      </c>
      <c r="F3" s="63">
        <f ca="1">IF(C6=0,0,C3/C6)</f>
        <v>0.25</v>
      </c>
    </row>
    <row r="4" spans="2:6" x14ac:dyDescent="0.3">
      <c r="B4" s="61" t="s">
        <v>187</v>
      </c>
      <c r="C4" s="61">
        <f ca="1">COUNTIF('Tests Synthesis'!K3:K42, "not run")</f>
        <v>0</v>
      </c>
      <c r="E4" s="61" t="s">
        <v>188</v>
      </c>
      <c r="F4" s="63">
        <f ca="1">IF(C6=0,0,C4/C6)</f>
        <v>0</v>
      </c>
    </row>
    <row r="5" spans="2:6" x14ac:dyDescent="0.3">
      <c r="B5" s="61" t="s">
        <v>189</v>
      </c>
      <c r="C5" s="61">
        <f ca="1">COUNTIF('Tests Synthesis'!K4:K43, "NA")</f>
        <v>0</v>
      </c>
      <c r="E5" s="61" t="s">
        <v>190</v>
      </c>
      <c r="F5" s="63">
        <f>IF(C7=0,0,C5/C7)</f>
        <v>0</v>
      </c>
    </row>
    <row r="6" spans="2:6" x14ac:dyDescent="0.3">
      <c r="B6" s="61" t="s">
        <v>191</v>
      </c>
      <c r="C6" s="61">
        <f ca="1">SUM(C2:C4)</f>
        <v>20</v>
      </c>
    </row>
  </sheetData>
  <pageMargins left="0.7" right="0.7" top="0.75" bottom="0.75" header="0.3" footer="0.3"/>
  <pageSetup paperSize="9" orientation="portrait" r:id="rId1"/>
  <headerFooter>
    <oddFooter>&amp;LTBD ver 1.7&amp;R&amp;P</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12</vt:i4>
      </vt:variant>
    </vt:vector>
  </HeadingPairs>
  <TitlesOfParts>
    <vt:vector size="37" baseType="lpstr">
      <vt:lpstr>FrontPage</vt:lpstr>
      <vt:lpstr>General info</vt:lpstr>
      <vt:lpstr>Guide (help)</vt:lpstr>
      <vt:lpstr>Tests Synthesis</vt:lpstr>
      <vt:lpstr>SW_IT_MMG_001</vt:lpstr>
      <vt:lpstr>SW_IT_MMG_002</vt:lpstr>
      <vt:lpstr>SW_IT_MMG_003</vt:lpstr>
      <vt:lpstr>SW_IT_MMG_004</vt:lpstr>
      <vt:lpstr>SW_IT_MMG_005</vt:lpstr>
      <vt:lpstr>SW_IT_MMG_006</vt:lpstr>
      <vt:lpstr>SW_IT_MMG_007</vt:lpstr>
      <vt:lpstr>SW_IT_MMG_009</vt:lpstr>
      <vt:lpstr>SW_IT_MMG_010</vt:lpstr>
      <vt:lpstr>SW_IT_MMG_011</vt:lpstr>
      <vt:lpstr>SW_IT_MMG_012</vt:lpstr>
      <vt:lpstr>SW_IT_MMG_013</vt:lpstr>
      <vt:lpstr>SW_IT_MMG_014</vt:lpstr>
      <vt:lpstr>SW_IT_MMG_015</vt:lpstr>
      <vt:lpstr>SW_IT_MMG_016</vt:lpstr>
      <vt:lpstr>SW_IT_MMG_017</vt:lpstr>
      <vt:lpstr>SW_IT_MMG_018</vt:lpstr>
      <vt:lpstr>SW_IT_MMG_019</vt:lpstr>
      <vt:lpstr>SW_IT_MMG_020</vt:lpstr>
      <vt:lpstr>SW_IT_MMG_021</vt:lpstr>
      <vt:lpstr>Metrics</vt:lpstr>
      <vt:lpstr>FileName</vt:lpstr>
      <vt:lpstr>MXActual_state_Released</vt:lpstr>
      <vt:lpstr>MXAuthority</vt:lpstr>
      <vt:lpstr>MXCurrent.Localized</vt:lpstr>
      <vt:lpstr>MXName</vt:lpstr>
      <vt:lpstr>MXRevision</vt:lpstr>
      <vt:lpstr>MXTitle</vt:lpstr>
      <vt:lpstr>MXVersion</vt:lpstr>
      <vt:lpstr>PLMDocAuthor</vt:lpstr>
      <vt:lpstr>'General info'!Print_Titles</vt:lpstr>
      <vt:lpstr>'Guide (help)'!Print_Titles</vt:lpstr>
      <vt:lpstr>TemplateRef</vt:lpstr>
    </vt:vector>
  </TitlesOfParts>
  <Manager/>
  <Company>Autoliv Electronics AB</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Johannes Kask</dc:creator>
  <cp:keywords/>
  <dc:description/>
  <cp:lastModifiedBy>Mihai Ianos</cp:lastModifiedBy>
  <cp:revision/>
  <dcterms:created xsi:type="dcterms:W3CDTF">2008-08-11T11:06:44Z</dcterms:created>
  <dcterms:modified xsi:type="dcterms:W3CDTF">2022-10-27T14:07:56Z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3</vt:lpwstr>
  </property>
  <property fmtid="{D5CDD505-2E9C-101B-9397-08002B2CF9AE}" pid="4" name="MXActual_state_Preliminary">
    <vt:lpwstr>2010-09-22 12:26</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Document created</vt:lpwstr>
  </property>
  <property fmtid="{D5CDD505-2E9C-101B-9397-08002B2CF9AE}" pid="8" name="MXAuthority_BusinessUnit">
    <vt:lpwstr/>
  </property>
  <property fmtid="{D5CDD505-2E9C-101B-9397-08002B2CF9AE}" pid="9" name="MXAuthority_Description">
    <vt:lpwstr>Process documents etc</vt:lpwstr>
  </property>
  <property fmtid="{D5CDD505-2E9C-101B-9397-08002B2CF9AE}" pid="10" name="MXAuthority_Owner">
    <vt:lpwstr>Marcus Klomark</vt:lpwstr>
  </property>
  <property fmtid="{D5CDD505-2E9C-101B-9397-08002B2CF9AE}" pid="11" name="MXAuthority_Program">
    <vt:lpwstr/>
  </property>
  <property fmtid="{D5CDD505-2E9C-101B-9397-08002B2CF9AE}" pid="12" name="MXCheckin Date">
    <vt:lpwstr>12/22/2010 8:58:03 AM</vt:lpwstr>
  </property>
  <property fmtid="{D5CDD505-2E9C-101B-9397-08002B2CF9AE}" pid="13" name="MXCheckin Reason">
    <vt:lpwstr>Revised by Johannes Kask</vt:lpwstr>
  </property>
  <property fmtid="{D5CDD505-2E9C-101B-9397-08002B2CF9AE}" pid="14" name="MXCurrent">
    <vt:lpwstr>Preliminary</vt:lpwstr>
  </property>
  <property fmtid="{D5CDD505-2E9C-101B-9397-08002B2CF9AE}" pid="15" name="MXDescription">
    <vt:lpwstr/>
  </property>
  <property fmtid="{D5CDD505-2E9C-101B-9397-08002B2CF9AE}" pid="16" name="MXDesignated User">
    <vt:lpwstr>Unassigned</vt:lpwstr>
  </property>
  <property fmtid="{D5CDD505-2E9C-101B-9397-08002B2CF9AE}" pid="17" name="MXEmail">
    <vt:lpwstr>johannes.kask@autoliv.com</vt:lpwstr>
  </property>
  <property fmtid="{D5CDD505-2E9C-101B-9397-08002B2CF9AE}" pid="18" name="MXFirstName">
    <vt:lpwstr>Johannes</vt:lpwstr>
  </property>
  <property fmtid="{D5CDD505-2E9C-101B-9397-08002B2CF9AE}" pid="19" name="MXIs Version Object">
    <vt:lpwstr>False</vt:lpwstr>
  </property>
  <property fmtid="{D5CDD505-2E9C-101B-9397-08002B2CF9AE}" pid="20" name="MXLanguage">
    <vt:lpwstr>English</vt:lpwstr>
  </property>
  <property fmtid="{D5CDD505-2E9C-101B-9397-08002B2CF9AE}" pid="21" name="MXLastName">
    <vt:lpwstr>Kask</vt:lpwstr>
  </property>
  <property fmtid="{D5CDD505-2E9C-101B-9397-08002B2CF9AE}" pid="22" name="MXLatestVersion">
    <vt:lpwstr>3</vt:lpwstr>
  </property>
  <property fmtid="{D5CDD505-2E9C-101B-9397-08002B2CF9AE}" pid="23" name="MXMiddleName">
    <vt:lpwstr/>
  </property>
  <property fmtid="{D5CDD505-2E9C-101B-9397-08002B2CF9AE}" pid="24" name="MXMove Files To Version">
    <vt:lpwstr>False</vt:lpwstr>
  </property>
  <property fmtid="{D5CDD505-2E9C-101B-9397-08002B2CF9AE}" pid="25" name="MXOriginator">
    <vt:lpwstr>Mats Sundin</vt:lpwstr>
  </property>
  <property fmtid="{D5CDD505-2E9C-101B-9397-08002B2CF9AE}" pid="26" name="MXPolicy.Localized">
    <vt:lpwstr>NoReview Document</vt:lpwstr>
  </property>
  <property fmtid="{D5CDD505-2E9C-101B-9397-08002B2CF9AE}" pid="27" name="MXRoute_In-Work_date">
    <vt:lpwstr/>
  </property>
  <property fmtid="{D5CDD505-2E9C-101B-9397-08002B2CF9AE}" pid="28" name="MXRoute_In-Work_name">
    <vt:lpwstr/>
  </property>
  <property fmtid="{D5CDD505-2E9C-101B-9397-08002B2CF9AE}" pid="29" name="MXRoute_Released_date">
    <vt:lpwstr/>
  </property>
  <property fmtid="{D5CDD505-2E9C-101B-9397-08002B2CF9AE}" pid="30" name="MXRoute_Released_name">
    <vt:lpwstr/>
  </property>
  <property fmtid="{D5CDD505-2E9C-101B-9397-08002B2CF9AE}" pid="31" name="MXRoute_Superseded_date">
    <vt:lpwstr/>
  </property>
  <property fmtid="{D5CDD505-2E9C-101B-9397-08002B2CF9AE}" pid="32" name="MXRoute_Superseded_name">
    <vt:lpwstr/>
  </property>
  <property fmtid="{D5CDD505-2E9C-101B-9397-08002B2CF9AE}" pid="33" name="MXSignatures_state_Preliminary">
    <vt:lpwstr/>
  </property>
  <property fmtid="{D5CDD505-2E9C-101B-9397-08002B2CF9AE}" pid="34" name="MXSignatures_state_Released">
    <vt:lpwstr/>
  </property>
  <property fmtid="{D5CDD505-2E9C-101B-9397-08002B2CF9AE}" pid="35" name="MXSignatures_state_Superceded">
    <vt:lpwstr/>
  </property>
  <property fmtid="{D5CDD505-2E9C-101B-9397-08002B2CF9AE}" pid="36" name="MXSuspend Versioning">
    <vt:lpwstr>False</vt:lpwstr>
  </property>
  <property fmtid="{D5CDD505-2E9C-101B-9397-08002B2CF9AE}" pid="37" name="MXType">
    <vt:lpwstr>alvProjectManagement</vt:lpwstr>
  </property>
  <property fmtid="{D5CDD505-2E9C-101B-9397-08002B2CF9AE}" pid="38" name="MXDocTemplate_Name">
    <vt:lpwstr>SW04TEM001</vt:lpwstr>
  </property>
  <property fmtid="{D5CDD505-2E9C-101B-9397-08002B2CF9AE}" pid="39" name="MXCheckin User" linkTarget="PLMDocAuthor">
    <vt:lpwstr>Ciprian Galbau</vt:lpwstr>
  </property>
  <property fmtid="{D5CDD505-2E9C-101B-9397-08002B2CF9AE}" pid="40" name="MXPolicy" linkTarget="MXPolicy">
    <vt:lpwstr>#REF!</vt:lpwstr>
  </property>
  <property fmtid="{D5CDD505-2E9C-101B-9397-08002B2CF9AE}" pid="41" name="MXType.Localized" linkTarget="MXType.Localized">
    <vt:lpwstr>#REF!</vt:lpwstr>
  </property>
</Properties>
</file>