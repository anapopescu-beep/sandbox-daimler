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C:\Projects\DAI_MMA\Phase_02\View_Development\Components\Application\Autoliv\MMG\Quality_Assurance\Peer_Review\"/>
    </mc:Choice>
  </mc:AlternateContent>
  <xr:revisionPtr revIDLastSave="0" documentId="13_ncr:1_{09D4C783-B201-458D-9999-87F37F7078AE}" xr6:coauthVersionLast="47" xr6:coauthVersionMax="47" xr10:uidLastSave="{00000000-0000-0000-0000-000000000000}"/>
  <bookViews>
    <workbookView xWindow="-120" yWindow="-120" windowWidth="29040" windowHeight="15990" tabRatio="750" firstSheet="3"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s>
  <externalReferences>
    <externalReference r:id="rId11"/>
    <externalReference r:id="rId12"/>
    <externalReference r:id="rId13"/>
  </externalReferences>
  <definedNames>
    <definedName name="_xlnm._FilterDatabase" localSheetId="5" hidden="1">Review!$A$4:$M$236</definedName>
    <definedName name="_Toc97800087" localSheetId="5">Review!$D$50</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checklist'!$BJ$3</definedName>
    <definedName name="Title.Checklist.Guide.HowToRate" localSheetId="8">'ITSR checklist'!$N$3</definedName>
    <definedName name="Title.Checklist.Guide.HowToRate" localSheetId="6">'SDD checklist'!$Y$3</definedName>
    <definedName name="Title.Checklist.Guide.HowToRate" localSheetId="9">'UTSR checklist'!$BA$3</definedName>
    <definedName name="Title.Checklist.Guide.WhatToCheck" localSheetId="7">'CODE checklist'!$BI$3</definedName>
    <definedName name="Title.Checklist.Guide.WhatToCheck" localSheetId="8">'ITSR checklist'!$M$3</definedName>
    <definedName name="Title.Checklist.Guide.WhatToCheck" localSheetId="6">'SDD checklist'!$X$3</definedName>
    <definedName name="Title.Checklist.Guide.WhatToCheck" localSheetId="9">'UTSR checklist'!$AZ$3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checklist'!$B$36</definedName>
    <definedName name="Title.Checklist.NoteForAuditor" localSheetId="7">'CODE checklist'!$BI$2</definedName>
    <definedName name="Title.Checklist.NoteForAuditor" localSheetId="8">'ITSR checklist'!$M$2</definedName>
    <definedName name="Title.Checklist.NoteForAuditor" localSheetId="6">'SDD checklist'!$X$2</definedName>
    <definedName name="Title.Checklist.NoteForAuditor" localSheetId="9">'UTSR checklist'!$AZ$2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3" i="201" l="1"/>
  <c r="BG3" i="199"/>
  <c r="BF3" i="199"/>
  <c r="S3" i="198"/>
  <c r="BE3" i="199"/>
  <c r="BD3" i="199"/>
  <c r="BC3" i="199"/>
  <c r="BB3" i="199"/>
  <c r="BA3" i="199"/>
  <c r="AZ3" i="199"/>
  <c r="AY3" i="199"/>
  <c r="E7" i="38"/>
  <c r="W7" i="38"/>
  <c r="A5" i="38"/>
  <c r="AX3" i="199" l="1"/>
  <c r="AW3" i="199"/>
  <c r="T3" i="198"/>
  <c r="AV3" i="199"/>
  <c r="AU3" i="201"/>
  <c r="AU3" i="199"/>
  <c r="R3" i="198"/>
  <c r="Q3" i="198"/>
  <c r="P3" i="198"/>
  <c r="AV3" i="201"/>
  <c r="AT3" i="199"/>
  <c r="AH3" i="199"/>
  <c r="AI3" i="199"/>
  <c r="AJ3" i="199"/>
  <c r="AK3" i="199"/>
  <c r="AL3" i="199"/>
  <c r="AM3" i="199"/>
  <c r="AN3" i="199"/>
  <c r="AO3" i="199"/>
  <c r="AP3" i="199"/>
  <c r="AQ3" i="199"/>
  <c r="AR3" i="199"/>
  <c r="AS3" i="199"/>
  <c r="AT3" i="201"/>
  <c r="AS3" i="201"/>
  <c r="AR3" i="201"/>
  <c r="J3" i="200"/>
  <c r="AL3" i="201"/>
  <c r="AG3" i="199" l="1"/>
  <c r="AF3" i="199"/>
  <c r="I3" i="200"/>
  <c r="H3" i="200"/>
  <c r="G3" i="200"/>
  <c r="Z3" i="201"/>
  <c r="Y3" i="201"/>
  <c r="AA3" i="201"/>
  <c r="X3" i="201"/>
  <c r="W3" i="201"/>
  <c r="V3" i="201"/>
  <c r="AE3" i="199"/>
  <c r="AC3" i="199"/>
  <c r="AD3" i="199"/>
  <c r="AB3" i="199"/>
  <c r="AA3" i="199"/>
  <c r="Z3" i="199"/>
  <c r="Y3" i="199"/>
  <c r="F3" i="200" l="1"/>
  <c r="U3" i="201"/>
  <c r="H27" i="16"/>
  <c r="G27" i="16"/>
  <c r="F27" i="16"/>
  <c r="E27" i="16"/>
  <c r="T3" i="201"/>
  <c r="S3" i="201"/>
  <c r="R3" i="201"/>
  <c r="Q3" i="201"/>
  <c r="P3" i="201"/>
  <c r="O3" i="201"/>
  <c r="J3" i="198"/>
  <c r="I3" i="198"/>
  <c r="H3" i="198"/>
  <c r="K3" i="198" l="1"/>
  <c r="W3" i="199"/>
  <c r="X3" i="199"/>
  <c r="V3" i="199"/>
  <c r="U3" i="199"/>
  <c r="T3" i="199"/>
  <c r="S3" i="199"/>
  <c r="R3" i="199"/>
  <c r="N3" i="201" l="1"/>
  <c r="M3" i="201"/>
  <c r="L3" i="201"/>
  <c r="K3" i="201"/>
  <c r="J3" i="201"/>
  <c r="I3" i="201"/>
  <c r="E3" i="198"/>
  <c r="Q3" i="199"/>
  <c r="P3" i="199"/>
  <c r="O3" i="199"/>
  <c r="N3" i="199"/>
  <c r="M3" i="199"/>
  <c r="L3" i="199"/>
  <c r="J3" i="199"/>
  <c r="I3" i="199"/>
  <c r="H3" i="199"/>
  <c r="C3" i="199"/>
  <c r="G3" i="199"/>
  <c r="F3" i="199"/>
  <c r="A23" i="38"/>
  <c r="C3" i="198"/>
  <c r="H3" i="201" l="1"/>
  <c r="G3" i="201"/>
  <c r="F3" i="201"/>
  <c r="E3" i="201"/>
  <c r="D3" i="201"/>
  <c r="K3" i="200"/>
  <c r="E3" i="200"/>
  <c r="D3" i="200"/>
  <c r="K3" i="199"/>
  <c r="E3" i="199"/>
  <c r="O3" i="198"/>
  <c r="N3" i="198"/>
  <c r="M3" i="198"/>
  <c r="L3" i="198"/>
  <c r="G3" i="198"/>
  <c r="F3" i="198"/>
  <c r="X27" i="16"/>
  <c r="W27" i="16"/>
  <c r="V27" i="16"/>
  <c r="U27" i="16"/>
  <c r="T27" i="16"/>
  <c r="S27" i="16"/>
  <c r="R27" i="16"/>
  <c r="Q27" i="16"/>
  <c r="P27" i="16"/>
  <c r="O27" i="16"/>
  <c r="N27" i="16"/>
  <c r="M27" i="16"/>
  <c r="L27" i="16"/>
  <c r="K27" i="16"/>
  <c r="J27" i="16"/>
  <c r="I27" i="16"/>
  <c r="C3" i="201" l="1"/>
  <c r="C3" i="200"/>
  <c r="D3" i="199"/>
  <c r="D3" i="198"/>
  <c r="Z27" i="16" l="1"/>
  <c r="Y27" i="16"/>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00000000-0006-0000-0000-000001000000}">
      <text>
        <r>
          <rPr>
            <b/>
            <sz val="9"/>
            <color indexed="81"/>
            <rFont val="Tahoma"/>
            <family val="2"/>
          </rPr>
          <t>Fill here the reference of the project review findings : peer review workbook or equivalent</t>
        </r>
      </text>
    </comment>
    <comment ref="AB6" authorId="0" shapeId="0" xr:uid="{00000000-0006-0000-0000-000002000000}">
      <text>
        <r>
          <rPr>
            <sz val="9"/>
            <color indexed="81"/>
            <rFont val="Tahoma"/>
            <family val="2"/>
          </rPr>
          <t>This field is only for PLM document</t>
        </r>
      </text>
    </comment>
    <comment ref="W7" authorId="0" shapeId="0" xr:uid="{00000000-0006-0000-0000-000003000000}">
      <text>
        <r>
          <rPr>
            <sz val="9"/>
            <color indexed="81"/>
            <rFont val="Tahoma"/>
            <family val="2"/>
          </rPr>
          <t xml:space="preserve">Template from process AEM_PROCESS_1.17.00 
Last change : AEM_PROCESS_1.16.00 </t>
        </r>
      </text>
    </comment>
    <comment ref="A9" authorId="1" shapeId="0" xr:uid="{00000000-0006-0000-0000-000004000000}">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00000000-0006-0000-0000-000005000000}">
      <text>
        <r>
          <rPr>
            <sz val="9"/>
            <color indexed="81"/>
            <rFont val="Tahoma"/>
            <family val="2"/>
          </rPr>
          <t>If the document Project list members (TEM461) is not used, please write the reviewers names</t>
        </r>
      </text>
    </comment>
    <comment ref="W9" authorId="0" shapeId="0" xr:uid="{00000000-0006-0000-0000-000006000000}">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G24" authorId="1"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00000000-0006-0000-0100-000005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00000000-0006-0000-0100-000006000000}">
      <text>
        <r>
          <rPr>
            <sz val="8"/>
            <color indexed="81"/>
            <rFont val="Tahoma"/>
            <family val="2"/>
          </rPr>
          <t>Date when the Revision is released</t>
        </r>
      </text>
    </comment>
    <comment ref="I27" authorId="0" shapeId="0" xr:uid="{00000000-0006-0000-0100-000007000000}">
      <text>
        <r>
          <rPr>
            <sz val="8"/>
            <color indexed="81"/>
            <rFont val="Tahoma"/>
            <family val="2"/>
          </rPr>
          <t>Author of the document. Authors if several.</t>
        </r>
      </text>
    </comment>
    <comment ref="R27" authorId="0" shapeId="0" xr:uid="{00000000-0006-0000-0100-000008000000}">
      <text>
        <r>
          <rPr>
            <sz val="8"/>
            <color indexed="81"/>
            <rFont val="Tahoma"/>
            <family val="2"/>
          </rPr>
          <t>Description or comment on the version. E.g. updated after meeting etc.</t>
        </r>
      </text>
    </comment>
    <comment ref="J38" authorId="3" shapeId="0" xr:uid="{00000000-0006-0000-0100-000009000000}">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0" authorId="0" shapeId="0" xr:uid="{00000000-0006-0000-0100-00000B000000}">
      <text>
        <r>
          <rPr>
            <sz val="8"/>
            <color indexed="81"/>
            <rFont val="Tahoma"/>
            <family val="2"/>
          </rPr>
          <t>Title of reference documents.</t>
        </r>
      </text>
    </comment>
    <comment ref="Y40" authorId="0" shapeId="0" xr:uid="{00000000-0006-0000-0100-00000C000000}">
      <text>
        <r>
          <rPr>
            <sz val="8"/>
            <color indexed="81"/>
            <rFont val="Tahoma"/>
            <family val="2"/>
          </rPr>
          <t>Reference number, e.g. E123456 and revision of the reference.</t>
        </r>
      </text>
    </comment>
    <comment ref="N45" authorId="4" shapeId="0" xr:uid="{00000000-0006-0000-0100-00000D000000}">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00000000-0006-0000-0100-00000E000000}">
      <text>
        <r>
          <rPr>
            <sz val="8"/>
            <color indexed="81"/>
            <rFont val="Tahoma"/>
            <family val="2"/>
          </rPr>
          <t>ID of possible reference documents. Any ID can be used, suggestion is [Int1], [Int2] etc. for internal references and [Ext1], [Ext2] etc. for external references</t>
        </r>
      </text>
    </comment>
    <comment ref="E46" authorId="0" shapeId="0" xr:uid="{00000000-0006-0000-0100-00000F000000}">
      <text>
        <r>
          <rPr>
            <sz val="8"/>
            <color indexed="81"/>
            <rFont val="Tahoma"/>
            <family val="2"/>
          </rPr>
          <t>Title of reference documents.</t>
        </r>
      </text>
    </comment>
    <comment ref="Y46" authorId="0" shapeId="0" xr:uid="{00000000-0006-0000-0100-000010000000}">
      <text>
        <r>
          <rPr>
            <sz val="8"/>
            <color indexed="81"/>
            <rFont val="Tahoma"/>
            <family val="2"/>
          </rPr>
          <t>Reference number, e.g. E123456 and revision of the reference.</t>
        </r>
      </text>
    </comment>
    <comment ref="AJ77" authorId="5" shapeId="0" xr:uid="{00000000-0006-0000-0100-000011000000}">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00000000-0006-0000-0100-000012000000}">
      <text>
        <r>
          <rPr>
            <b/>
            <sz val="9"/>
            <color indexed="81"/>
            <rFont val="Tahoma"/>
            <family val="2"/>
          </rPr>
          <t>Don't change this cell</t>
        </r>
      </text>
    </comment>
    <comment ref="AJ78" authorId="5" shapeId="0" xr:uid="{00000000-0006-0000-0100-000013000000}">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00000000-0006-0000-0100-000014000000}">
      <text>
        <r>
          <rPr>
            <b/>
            <sz val="9"/>
            <color indexed="81"/>
            <rFont val="Tahoma"/>
            <family val="2"/>
          </rPr>
          <t>Don't change this cell</t>
        </r>
      </text>
    </comment>
    <comment ref="AJ99" authorId="5" shapeId="0" xr:uid="{00000000-0006-0000-0100-000015000000}">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00000000-0006-0000-0200-00000100000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00000000-0006-0000-0200-000002000000}">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0000000-0006-0000-0200-00000300000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00000000-0006-0000-0200-00000400000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00000000-0006-0000-0200-000005000000}">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3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3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3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00000000-0006-0000-0400-000001000000}">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00000000-0006-0000-0400-000002000000}">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00000000-0006-0000-0400-000003000000}">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500-000001000000}">
      <text>
        <r>
          <rPr>
            <sz val="9"/>
            <color indexed="81"/>
            <rFont val="Tahoma"/>
            <family val="2"/>
          </rPr>
          <t>Detection of :
o Open issues
o To be fixed issues
o Rejected issues</t>
        </r>
      </text>
    </comment>
    <comment ref="L2" authorId="0" shapeId="0" xr:uid="{00000000-0006-0000-05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500-000003000000}">
      <text>
        <r>
          <rPr>
            <b/>
            <sz val="9"/>
            <color indexed="81"/>
            <rFont val="Tahoma"/>
            <family val="2"/>
          </rPr>
          <t>Issues not yet approved</t>
        </r>
        <r>
          <rPr>
            <sz val="9"/>
            <color indexed="81"/>
            <rFont val="Tahoma"/>
            <family val="2"/>
          </rPr>
          <t xml:space="preserve">
</t>
        </r>
      </text>
    </comment>
    <comment ref="A3" authorId="0" shapeId="0" xr:uid="{00000000-0006-0000-05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5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5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5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5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5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5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5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5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5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500-00000E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500-00000F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500-000010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500-000011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0000000-0006-0000-0600-000001000000}">
      <text>
        <r>
          <rPr>
            <sz val="9"/>
            <color indexed="81"/>
            <rFont val="Tahoma"/>
            <family val="2"/>
          </rPr>
          <t>This row is mandatory to force the VBA script to generate the checklist</t>
        </r>
      </text>
    </comment>
    <comment ref="B33" authorId="0" shapeId="0" xr:uid="{00000000-0006-0000-0600-000002000000}">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00000000-0006-0000-0700-00000100000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00000000-0006-0000-0800-000001000000}">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00000000-0006-0000-0800-000002000000}">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00000000-0006-0000-0900-000001000000}">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<sst xmlns="http://schemas.openxmlformats.org/spreadsheetml/2006/main" count="6276" uniqueCount="904">
  <si>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</si>
  <si>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</si>
  <si>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</si>
  <si>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</si>
  <si>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</si>
  <si>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</si>
  <si>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</si>
  <si>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</si>
  <si>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</si>
  <si>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</si>
  <si>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</si>
  <si>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</si>
  <si>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</si>
  <si>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</si>
  <si>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</si>
  <si>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</si>
  <si>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</si>
  <si>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</si>
  <si>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</si>
  <si>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</si>
  <si>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</si>
  <si>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</si>
  <si>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</si>
  <si>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</si>
  <si>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</si>
  <si>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</si>
  <si>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</si>
  <si>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</si>
  <si>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</si>
  <si>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</si>
  <si>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</si>
  <si>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</si>
  <si>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</si>
  <si>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</si>
  <si>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</si>
  <si>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</si>
  <si>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</si>
  <si>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</si>
  <si>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</si>
  <si>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</si>
  <si>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</si>
  <si>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</si>
  <si>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</si>
  <si>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</si>
  <si>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</si>
  <si>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</si>
  <si>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</si>
  <si>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</si>
  <si>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</si>
  <si>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</si>
  <si>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</si>
  <si>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</si>
  <si>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</si>
  <si>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</si>
  <si>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</si>
  <si>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</si>
  <si>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</si>
  <si>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</si>
  <si>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</si>
  <si>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</si>
  <si>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</si>
  <si>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</si>
  <si>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</si>
  <si>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</si>
  <si>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</si>
  <si>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</si>
  <si>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</si>
  <si>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</si>
  <si>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</si>
  <si>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</si>
  <si>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</si>
  <si>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</si>
  <si>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</si>
  <si>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</si>
  <si>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</si>
  <si>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</si>
  <si>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</si>
  <si>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</si>
  <si>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</si>
  <si>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</si>
  <si>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</si>
  <si>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</si>
  <si>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</si>
  <si>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</si>
  <si>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</si>
  <si>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</si>
  <si>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</si>
  <si>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</si>
  <si>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</si>
  <si>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</si>
  <si>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</si>
  <si>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</si>
  <si>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</si>
  <si>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</si>
  <si>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</si>
  <si>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</si>
  <si>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</si>
  <si>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</si>
  <si>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</si>
  <si>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</si>
  <si>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</si>
  <si>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</si>
  <si>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</si>
  <si>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</si>
  <si>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</si>
  <si>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</si>
  <si>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</si>
  <si>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</si>
  <si>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</si>
  <si>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</si>
  <si>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</si>
  <si>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</si>
  <si>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</si>
  <si>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</si>
  <si>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</si>
  <si>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</si>
  <si>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</si>
  <si>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</si>
  <si>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</si>
  <si>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</si>
  <si>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</si>
  <si>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</si>
  <si>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</si>
  <si>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</si>
  <si>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</si>
  <si>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</si>
  <si>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</si>
  <si>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</si>
  <si>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</si>
  <si>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</si>
  <si>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</si>
  <si>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</si>
  <si>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</si>
  <si>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</si>
  <si>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</si>
  <si>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</si>
  <si>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</si>
  <si>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</si>
  <si>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</si>
  <si>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</si>
  <si>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</si>
  <si>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</si>
  <si>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</si>
  <si>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</si>
  <si>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</si>
  <si>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</si>
  <si>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</si>
  <si>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</si>
  <si>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</si>
  <si>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</si>
  <si>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</si>
  <si>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</si>
  <si>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</si>
  <si>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</si>
  <si>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</si>
  <si>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</si>
  <si>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</si>
  <si>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</si>
  <si>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</si>
  <si>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</si>
  <si>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</si>
  <si>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</si>
  <si>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</si>
  <si>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</si>
  <si>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</si>
  <si>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</si>
  <si>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</si>
  <si>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</si>
  <si>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</si>
  <si>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</si>
  <si>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</si>
  <si>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</si>
  <si>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</si>
  <si>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</si>
  <si>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</si>
  <si>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</si>
  <si>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</si>
  <si>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</si>
  <si>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</si>
  <si>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</si>
  <si>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</si>
  <si>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</si>
  <si>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</si>
  <si>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</si>
  <si>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</si>
  <si>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</si>
  <si>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</si>
  <si>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</si>
  <si>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</si>
  <si>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</si>
  <si>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</si>
  <si>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</si>
  <si>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</si>
  <si>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</si>
  <si>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</si>
  <si>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</si>
  <si>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</si>
  <si>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</si>
  <si>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</si>
  <si>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</si>
  <si>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</si>
  <si>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</si>
  <si>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</si>
  <si>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</si>
  <si>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</si>
  <si>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</si>
  <si>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</si>
  <si>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</si>
  <si>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</si>
  <si>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</si>
  <si>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</si>
  <si>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</si>
  <si>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</si>
  <si>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</si>
  <si>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</si>
  <si>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</si>
  <si>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</si>
  <si>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</si>
  <si>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</si>
  <si>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</si>
  <si>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</si>
  <si>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</si>
  <si>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</si>
  <si>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</si>
  <si>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</si>
  <si>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</si>
  <si>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</si>
  <si>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</si>
  <si>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</si>
  <si>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</si>
  <si>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</si>
  <si>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</si>
  <si>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</si>
  <si>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</si>
  <si>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</si>
  <si>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</si>
  <si>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</si>
  <si>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</si>
  <si>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</si>
  <si>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</si>
  <si>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</si>
  <si>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</si>
  <si>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</si>
  <si>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</si>
  <si>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</si>
  <si>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</si>
  <si>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</si>
  <si>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</si>
  <si>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</si>
  <si>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</si>
  <si>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</si>
  <si>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</si>
  <si>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</si>
  <si>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</si>
  <si>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</si>
  <si>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</si>
  <si>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</si>
  <si>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</si>
  <si>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</si>
  <si>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</si>
  <si>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</si>
  <si>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</si>
  <si>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</si>
  <si>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</si>
  <si>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</si>
  <si>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</si>
  <si>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</si>
  <si>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</si>
  <si>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</si>
  <si>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</si>
  <si>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</si>
  <si>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</si>
  <si>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</si>
  <si>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</si>
  <si>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</si>
  <si>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</si>
  <si>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</si>
  <si>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</si>
  <si>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</si>
  <si>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</si>
  <si>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</si>
  <si>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</si>
  <si>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</si>
  <si>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</si>
  <si>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</si>
  <si>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</si>
  <si>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</si>
  <si>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</si>
  <si>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</si>
  <si>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</si>
  <si>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</si>
  <si>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</si>
  <si>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</si>
  <si>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</si>
  <si>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</si>
  <si>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</si>
  <si>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</si>
  <si>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</si>
  <si>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</si>
  <si>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</si>
  <si>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</si>
  <si>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</si>
  <si>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</si>
  <si>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</si>
  <si>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</si>
  <si>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</si>
  <si>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</si>
  <si>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</si>
  <si>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</si>
  <si>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</si>
  <si>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</si>
  <si>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</si>
  <si>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</si>
  <si>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</si>
  <si>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</si>
  <si>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</si>
  <si>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</si>
  <si>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</si>
  <si>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</si>
  <si>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</si>
  <si>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</si>
  <si>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</si>
  <si>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</si>
  <si>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</si>
  <si>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</si>
  <si>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</si>
  <si>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</si>
  <si>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</si>
  <si>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</si>
  <si>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</si>
  <si>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</si>
  <si>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</si>
  <si>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</si>
  <si>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</si>
  <si>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</si>
  <si>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</si>
  <si>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</si>
  <si>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</si>
  <si>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</si>
  <si>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</si>
  <si>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</si>
  <si>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</si>
  <si>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</si>
  <si>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</si>
  <si>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</si>
  <si>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</si>
  <si>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</si>
  <si>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</si>
  <si>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</si>
  <si>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</si>
  <si>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</si>
  <si>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</si>
  <si>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</si>
  <si>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</si>
  <si>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</si>
  <si>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</si>
  <si>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</si>
  <si>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</si>
  <si>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</si>
  <si>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</si>
  <si>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</si>
  <si>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</si>
  <si>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</si>
  <si>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</si>
  <si>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</si>
  <si>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</si>
  <si>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</si>
  <si>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</si>
  <si>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</si>
  <si>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</si>
  <si>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</si>
  <si>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</si>
  <si>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</si>
  <si>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</si>
  <si>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</si>
  <si>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</si>
  <si>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</si>
  <si>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</si>
  <si>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</si>
  <si>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</si>
  <si>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</si>
  <si>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</si>
  <si>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</si>
  <si>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</si>
  <si>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</si>
  <si>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</si>
  <si>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</si>
  <si>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</si>
  <si>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</si>
  <si>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</si>
  <si>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</si>
  <si>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</si>
  <si>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</si>
  <si>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</si>
  <si>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</si>
  <si>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</si>
  <si>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</si>
  <si>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</si>
  <si>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</si>
  <si>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</si>
  <si>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In-Work</t>
  </si>
  <si>
    <t>A.Negrea</t>
  </si>
  <si>
    <t>Andreea Negrea</t>
  </si>
  <si>
    <t>Table of figures should be created</t>
  </si>
  <si>
    <t xml:space="preserve">Please update traceability </t>
  </si>
  <si>
    <t>MMG - Peer Review Workbook (PRWB).xlsm</t>
  </si>
  <si>
    <t>MMG - Detailed Design Document.docx</t>
  </si>
  <si>
    <t>31.01.2022</t>
  </si>
  <si>
    <t>MMG - SW Detailed Design.docx</t>
  </si>
  <si>
    <t>Name of the document doesn't meet the project spcification . It should be "MMG - Detailed Design Document".</t>
  </si>
  <si>
    <t>Please update document header (Project Number&amp; Name ; revision ; template Reviewer and Appoval columns)</t>
  </si>
  <si>
    <t>Author name should be the full name of the developper.</t>
  </si>
  <si>
    <t>Please add local functions .</t>
  </si>
  <si>
    <t>Variables and constants chapter doesn't respect the template</t>
  </si>
  <si>
    <t>Please update the revision history.</t>
  </si>
  <si>
    <t>MMG_private.h</t>
  </si>
  <si>
    <t>1.1.7.4</t>
  </si>
  <si>
    <t>Update comments with current template ( no "Labvel: …" use *\brief … description)</t>
  </si>
  <si>
    <t>Update names for the defines to meet coding guidelines (AAU_MEANINGFUL_NAME)</t>
  </si>
  <si>
    <t>Remove unused defines ( ex MANAGE_MODE_PERIOD )</t>
  </si>
  <si>
    <t>Move NVP defines to NVP ( create a new file )</t>
  </si>
  <si>
    <t>Renamed struct names to meet coding guidelines Aau_MeaningfulNameType</t>
  </si>
  <si>
    <t>Global variabiles should be renamed to meet coding guidelines ( ex mmg_bVoltageStatusIsOk to MMG_bVoltageStatusIsOk)</t>
  </si>
  <si>
    <t>Global functions names should be AAU_MeaningfulName. Update all name for global functions (ex UpdateModeStatus_InhibitionOfCyclesByInternalFailure_AllCycles)</t>
  </si>
  <si>
    <t>MMG_CyclesModes.c</t>
  </si>
  <si>
    <t>1.1.9.5</t>
  </si>
  <si>
    <t>Remove unused defines ( ex KU8_IDX_ADC_OUT_OF_ORDER)</t>
  </si>
  <si>
    <t>Please deleted unused arrays au8InhibitingAECs_TensioningCycles</t>
  </si>
  <si>
    <t>Please rename local/global variables to meet coding guidelines</t>
  </si>
  <si>
    <t>Please update functions description comments and use template description (/**
 * \brief
 *	    Function used to update the input signals
 *
 * \parm
 * 		void
 * \return
 * 		void
 */ )</t>
  </si>
  <si>
    <t>In function UpdateModeStatus_InhibitionOfCyclesByInternalFailure_AllCycles please remove unused Rte call and check for shutdownRequest</t>
  </si>
  <si>
    <t>Please use define B_TRUE , insead of just TRUE.</t>
  </si>
  <si>
    <t>MMG.c</t>
  </si>
  <si>
    <t>1.1.7.9</t>
  </si>
  <si>
    <t>Please add brief description for all functions and their parameters</t>
  </si>
  <si>
    <t>Please add traceability.</t>
  </si>
  <si>
    <t>Please update source file header ( currently refering to CIL module)</t>
  </si>
  <si>
    <t>MMG_DowngradedModes.c</t>
  </si>
  <si>
    <t>1.1.5.3</t>
  </si>
  <si>
    <t>Remove unused functions ( will afect unit testing if commented) ex UpdateModeStatus_UnlockedFactoryMode</t>
  </si>
  <si>
    <t>MMG_CommunicationModes.c</t>
  </si>
  <si>
    <t>1.1.8.3</t>
  </si>
  <si>
    <t>Update names for defines and variables to meet coding guidelines (ex u8PrevHESModeStatus)</t>
  </si>
  <si>
    <t>Update names for defines and variables to meet coding guidelines</t>
  </si>
  <si>
    <t>Remove unused functions ( will afect unit testing if commented) ex UpdateModeStatus_BusOff</t>
  </si>
  <si>
    <t>MMG_CriticalAutoTestsModes.c</t>
  </si>
  <si>
    <t>1.1.4.3</t>
  </si>
  <si>
    <t>Remove unused functions ( will afect unit testing if commented) ex UpdateModeStatus_CriticalAutotestsNok</t>
  </si>
  <si>
    <t>MMG_BatteryModes.c</t>
  </si>
  <si>
    <t>Remove unused functions ( will afect unit testing if commented) ex UpdateModeStatus_PowerVoltageUnstable</t>
  </si>
  <si>
    <t>MMG_private.h - 1.1.7.4</t>
  </si>
  <si>
    <t>MMG_CyclesModes.c - 1.1.9.5</t>
  </si>
  <si>
    <t>Please perform static analysis for this file.</t>
  </si>
  <si>
    <t>MMG.c - 1.1.7.9</t>
  </si>
  <si>
    <t>MMG_DowngradedModes.c- 1.1.5.3</t>
  </si>
  <si>
    <t>MMG_CommunicationModes.c - 1.1.8.3</t>
  </si>
  <si>
    <t>MMG_CriticalAutoTestsModes.c -  1.1.4.3</t>
  </si>
  <si>
    <t>MMG_BatteryModes.c - 1.1.5.3</t>
  </si>
  <si>
    <t>Septimiu Vintila</t>
  </si>
  <si>
    <t>Meeting minutes: use MMG_xxx for global varibles and mmg_xxx for the locals</t>
  </si>
  <si>
    <t>MMG - SW Detailed Design - 1.1.4.1</t>
  </si>
  <si>
    <t>MMG - SW Detailed Design - 1.1.4.4</t>
  </si>
  <si>
    <t>MMG_private.h - 1.1.7.5</t>
  </si>
  <si>
    <t>R02.0</t>
  </si>
  <si>
    <t>MMG_CyclesModes.c - 1.1.9.7</t>
  </si>
  <si>
    <t>MMG.c - 1.1.7.12</t>
  </si>
  <si>
    <t>MMG_DowngradedModes.c- 1.1.5.5</t>
  </si>
  <si>
    <t>MMG_CommunicationModes.c - 1.1.8.5</t>
  </si>
  <si>
    <t>MMG_CriticalAutoTestsModes.c -  1.1.4.5</t>
  </si>
  <si>
    <t>MMG.tmb</t>
  </si>
  <si>
    <t>MMG_BatteryModes.tmb</t>
  </si>
  <si>
    <t>MMG_CommunicationModes.tmb</t>
  </si>
  <si>
    <t>MMG_CriticalAutoTestsModes.tmb</t>
  </si>
  <si>
    <t>MMG_CyclesModes.tmb</t>
  </si>
  <si>
    <t>MMG_DowngradedModes.tmb</t>
  </si>
  <si>
    <t>A. Paval</t>
  </si>
  <si>
    <t>MMG.tmb - 1.1</t>
  </si>
  <si>
    <t>MMG_BatteryModes.tmb - 1.1</t>
  </si>
  <si>
    <t>MMG_CommunicationModes.tmb - 1.1</t>
  </si>
  <si>
    <t>MMG_CriticalAutoTestsModes.tmb - 1.1</t>
  </si>
  <si>
    <t>MMG_CyclesModes.tmb - 1.1</t>
  </si>
  <si>
    <t>MMG_DowngradedModes.tmb - 1.1</t>
  </si>
  <si>
    <t>Alexandru Paval</t>
  </si>
  <si>
    <t>MMG_runManageModeDelays has test cases with no expected results</t>
  </si>
  <si>
    <t>MMG_runUpdateModeStatus has test cases with no expected results</t>
  </si>
  <si>
    <t>MMG_runAutotestCall10ms has testcases that cover no requirement</t>
  </si>
  <si>
    <t>mmg_UpdateModeStatus_PowerVoltageUnstable has coverage under 100%</t>
  </si>
  <si>
    <t>mmg_UpdateModeStatus_BusOff has coverage under 100%</t>
  </si>
  <si>
    <t>mmg_ManageModeDelays_ExecutedCycle has coverage under 100%</t>
  </si>
  <si>
    <t>mmg_UpdateModeStatus_DefaultValues has coverage under 100%</t>
  </si>
  <si>
    <t>mmg_UpdateModeStatus_NoHallEffectSensor has coverage under 100%</t>
  </si>
  <si>
    <t>15.03.2022</t>
  </si>
  <si>
    <t>25.02.2022</t>
  </si>
  <si>
    <t>S. Dominte</t>
  </si>
  <si>
    <t>MMG - SW Detailed Design - 1.1.4.5</t>
  </si>
  <si>
    <t>1.1.4.5</t>
  </si>
  <si>
    <t>Stefan Dominte</t>
  </si>
  <si>
    <t>Update mmg_CheckIfCycleStepIsvalid diagram with corrected FALSE misspell.</t>
  </si>
  <si>
    <t>1.1.7.13</t>
  </si>
  <si>
    <t>Add else clauses in mmg_CheckCycleEnable function.</t>
  </si>
  <si>
    <t>Diagram updated</t>
  </si>
  <si>
    <t>Else added</t>
  </si>
  <si>
    <t>No findings</t>
  </si>
  <si>
    <t>Test cases updated</t>
  </si>
  <si>
    <t>Cannot be reached since port not connected.</t>
  </si>
  <si>
    <t>MMG.tmb - 1.3</t>
  </si>
  <si>
    <t>MMG_BatteryModes.tmb - 1.2</t>
  </si>
  <si>
    <t>MMG_CommunicationModes.tmb - 1.2</t>
  </si>
  <si>
    <t>MMG_CriticalAutoTestsModes.tmb - 1.2</t>
  </si>
  <si>
    <t>MMG_CyclesModes.tmb - 1.3</t>
  </si>
  <si>
    <t>MMG_DowngradedModes.tmb - 1.3</t>
  </si>
  <si>
    <t>Since ports are not connected 100% coverage cannot be obtained.</t>
  </si>
  <si>
    <t>04.04.2022</t>
  </si>
  <si>
    <t>MMG - Software Integration Test Specification Report.xlx</t>
  </si>
  <si>
    <t>08.04.2022</t>
  </si>
  <si>
    <t>MMG - Software Integration Test Specification Report.xlx 1.4</t>
  </si>
  <si>
    <r>
      <t xml:space="preserve">Rename tests as </t>
    </r>
    <r>
      <rPr>
        <b/>
        <sz val="10"/>
        <rFont val="Arial"/>
        <family val="2"/>
      </rPr>
      <t>SW_IT_MMG_xxx</t>
    </r>
    <r>
      <rPr>
        <sz val="10"/>
        <rFont val="Arial"/>
        <family val="2"/>
      </rPr>
      <t xml:space="preserve"> to avoid confusion with other SWC</t>
    </r>
  </si>
  <si>
    <t>No PTC label for all tests.</t>
  </si>
  <si>
    <t>SW_IT_APP_001 and SW_IT_APP_002 have the same test description.</t>
  </si>
  <si>
    <t>Test cases 05, 06 and 20 status is failed.</t>
  </si>
  <si>
    <t>MMG - Detailed Design document.docx</t>
  </si>
  <si>
    <t>1.1.4.8</t>
  </si>
  <si>
    <t>Revision history not correctly updated</t>
  </si>
  <si>
    <t>MMG - Detailed Design document.docx - 1.1.4.8</t>
  </si>
  <si>
    <t>A. Negrea</t>
  </si>
  <si>
    <t>1.1.5.7</t>
  </si>
  <si>
    <t>1.1.7.18</t>
  </si>
  <si>
    <t>1.1.8.7</t>
  </si>
  <si>
    <t>1.1.9.9</t>
  </si>
  <si>
    <t>1.1.4.7</t>
  </si>
  <si>
    <t>MMG_CyclesModes.c - 1.1.9.9</t>
  </si>
  <si>
    <t>MMG.c - 1.1.7.18</t>
  </si>
  <si>
    <t>MMG_DowngradedModes.c- 1.1.5.7</t>
  </si>
  <si>
    <t>MMG_CommunicationModes.c - 1.1.8.7</t>
  </si>
  <si>
    <t>MMG_BatteryModes.c - 1.1.5.7</t>
  </si>
  <si>
    <t>Mirela Obada</t>
  </si>
  <si>
    <t>Revision history updated</t>
  </si>
  <si>
    <t xml:space="preserve">Description updated </t>
  </si>
  <si>
    <t>PTC label added</t>
  </si>
  <si>
    <t>7.12.2022</t>
  </si>
  <si>
    <t>Finding will be fixed on issue created</t>
  </si>
  <si>
    <t>Test id's updated</t>
  </si>
  <si>
    <t>1.1.4.9</t>
  </si>
  <si>
    <t>1.1.7.5</t>
  </si>
  <si>
    <t>MMG - Detailed Design document.docx - 1.1.4.9</t>
  </si>
  <si>
    <t>Mmg.h</t>
  </si>
  <si>
    <t>13.04.2022</t>
  </si>
  <si>
    <t>1.1.4.10</t>
  </si>
  <si>
    <t>Update table of content and table of figures.</t>
  </si>
  <si>
    <t>Update document template.</t>
  </si>
  <si>
    <t>Update Project number &amp; Name and Date of release.</t>
  </si>
  <si>
    <t>Update MMG_runAutotestCall10ms function description.</t>
  </si>
  <si>
    <t>Add value to all variables.</t>
  </si>
  <si>
    <t>Update MMG_u8ATLocalResult variable type.</t>
  </si>
  <si>
    <t>Update all static variable with correct naming convention mmg_... .</t>
  </si>
  <si>
    <t>Update MMG_KU8_CFG_LAST_PRE_TENSIONING_CYCLE define name.</t>
  </si>
  <si>
    <t>Add M_SET_MODE_MASK_OFF and M_SET_MODE_MASK_ON macros.</t>
  </si>
  <si>
    <t>MMG - Detailed Design document.docx - 1.1.4.10</t>
  </si>
  <si>
    <t>16.06.2022</t>
  </si>
  <si>
    <t>Update DSG_MMG_0048 criteria with correct autotest.</t>
  </si>
  <si>
    <t>Add a space between first two architecture requirements in DSG_MMG_0046 element.</t>
  </si>
  <si>
    <t>Update DSG_MMG_0042, DSG_MMG_0044 and DSG_MMG_0043 with correct runnable.</t>
  </si>
  <si>
    <t>Update  document diagrams</t>
  </si>
  <si>
    <t>Update done</t>
  </si>
  <si>
    <t>Value added for variables</t>
  </si>
  <si>
    <t>Macros added</t>
  </si>
  <si>
    <t>Space added</t>
  </si>
  <si>
    <t>No findings found.</t>
  </si>
  <si>
    <t xml:space="preserve"> 6/21/2022</t>
  </si>
  <si>
    <t>21.06.2022</t>
  </si>
  <si>
    <t>1.1.4.14</t>
  </si>
  <si>
    <t>MMG - Detailed Design document.docx - 1.1.4.14</t>
  </si>
  <si>
    <t>22.06.2022</t>
  </si>
  <si>
    <t>1.1.4.17</t>
  </si>
  <si>
    <t>MMG - Detailed Design document.docx - 1.1.4.17</t>
  </si>
  <si>
    <t>Walk-Throughs</t>
  </si>
  <si>
    <t>23.06.2022</t>
  </si>
  <si>
    <t>MMG.tmb - 1.6</t>
  </si>
  <si>
    <t>MMG_BatteryModes.tmb - 1.3</t>
  </si>
  <si>
    <t>MMG_CriticalAutoTestsModes.tmb - 1.3</t>
  </si>
  <si>
    <t>MMG_CyclesModes.tmb - 1.4</t>
  </si>
  <si>
    <t>MMG_DowngradedModes.tmb - 1.4</t>
  </si>
  <si>
    <t>MMG_CommunicationModes.tmb - 1.3</t>
  </si>
  <si>
    <t>Irina Voica</t>
  </si>
  <si>
    <t>MMG - Software Integration Test Specification Report.xlx 1.8</t>
  </si>
  <si>
    <t>28.06.2022</t>
  </si>
  <si>
    <t>SW-R-COD-783-1</t>
  </si>
  <si>
    <r>
      <rPr>
        <b/>
        <sz val="10"/>
        <rFont val="Arial"/>
        <family val="2"/>
      </rPr>
      <t>Static analysis</t>
    </r>
    <r>
      <rPr>
        <sz val="10"/>
        <rFont val="Arial"/>
        <family val="2"/>
      </rPr>
      <t xml:space="preserve">
Is static analysis performed and all findings adressed?</t>
    </r>
  </si>
  <si>
    <t>SW-R-COD-783-2</t>
  </si>
  <si>
    <r>
      <rPr>
        <b/>
        <sz val="10"/>
        <rFont val="Arial"/>
        <family val="2"/>
      </rPr>
      <t>Static analysis</t>
    </r>
    <r>
      <rPr>
        <sz val="10"/>
        <rFont val="Arial"/>
        <family val="2"/>
      </rPr>
      <t xml:space="preserve">
Are the Level 4 to Level 7 findings correctly and completley justified? (intended behavior, benefit or tooling constraint)</t>
    </r>
  </si>
  <si>
    <t>MMG - Software Integration Test Specification Report.xlsm</t>
  </si>
  <si>
    <t>08.09.2022</t>
  </si>
  <si>
    <t>V. Chioveanu</t>
  </si>
  <si>
    <t>MMG - Software Integration Test Specification Report.xlx 1.9</t>
  </si>
  <si>
    <t>Winideea cannot provide logs</t>
  </si>
  <si>
    <t>Vlad Chioveanu</t>
  </si>
  <si>
    <t>MMG - Unit test</t>
  </si>
  <si>
    <t>12.09.2022</t>
  </si>
  <si>
    <t>C. Galbau</t>
  </si>
  <si>
    <t>Ciprian Galbau</t>
  </si>
  <si>
    <t>MMG.tmb - 1.5</t>
  </si>
  <si>
    <t>1.1.7.30</t>
  </si>
  <si>
    <t>Roberto Cristoi</t>
  </si>
  <si>
    <t>No findings.</t>
  </si>
  <si>
    <t>15/9/2022</t>
  </si>
  <si>
    <t>1.1.5.10</t>
  </si>
  <si>
    <t>Missing traceability - mmg_UpdateModeStatus_DefaultValues() function</t>
  </si>
  <si>
    <t>1.1.8.9</t>
  </si>
  <si>
    <t>1.1.9.17</t>
  </si>
  <si>
    <t>Missing traceability - mmg_UpdateModeStatus_InhibitionOfCyclesEndOfLife() function</t>
  </si>
  <si>
    <t>Treat commented code</t>
  </si>
  <si>
    <t>MMG_PresafeRecorder.c</t>
  </si>
  <si>
    <t>Move defines (or used already defined values ): #define MMG_KU16_SEC_TO_MILI                      (1000u)
#define MMG_KU8_EIGHT                             (8u)
#define MMG_KU8_SIXTEEN                           (16u)
#define MMG_KU8_TWENTY_FOUR                       (24u) in common.h</t>
  </si>
  <si>
    <t>Template should be respected , all variables moved to section LOCAL VARIABLES not constant.</t>
  </si>
  <si>
    <t>All local variables should be initialised</t>
  </si>
  <si>
    <t>No need for new defines for 0x00 value if it is considered default value #define MMG_KU8_Start1_BeltHandOver0              (0u)
#define MMG_KU8_Start2_RollOver1                  (0u)
#define MMG_KU8_Start2_RollOver2                  (0u)</t>
  </si>
  <si>
    <t xml:space="preserve">mmg_u16LocalVoltage(mV) should be divided by 1000 ( not 100) to get V value . </t>
  </si>
  <si>
    <t>There is no need for extra var u32AecStatus_StateData to check group status.  Also , /* Number of Aecs which are able to inhibit and abort TENSIONING cycles */
#define MMG_KU8_NB_OF_INPUT_AEC                   ((uint8) 5)
/* Indexes for Auto tests results which are able to inhibit and abort TENSIONING cycles */
#define MMG_KU8_IDX_ECU_DEFECT                    ((uint8) 0)
#define MMG_KU8_IDX_OVER_TEMPERATURE              ((uint8) 1)
#define MMG_KU8_IDX_EOL_COUNTER                   ((uint8) 2)
#define MMG_KU8_IDX_UV                            ((uint8) 3)
#define MMG_KU8_IDX_OV                            ((uint8) 4) cand be deleted after.</t>
  </si>
  <si>
    <t>MMG_PreSafeRecorder - 1.4</t>
  </si>
  <si>
    <t>New typedef struct shpuld have } &lt;Aau&gt;_StructureNameType;</t>
  </si>
  <si>
    <t>MMG_PreSafeRecorder.c</t>
  </si>
  <si>
    <t>10.11.2022</t>
  </si>
  <si>
    <t>1.1.7.33</t>
  </si>
  <si>
    <t>#include "Dem.h" should be deleted</t>
  </si>
  <si>
    <t>MMG_Private.h</t>
  </si>
  <si>
    <t>1.1.7.8</t>
  </si>
  <si>
    <t>1.1.8.10</t>
  </si>
  <si>
    <t>1.1.9.22</t>
  </si>
  <si>
    <t>Noqac</t>
  </si>
  <si>
    <t>MMG_DowngradesModes.c</t>
  </si>
  <si>
    <t>MMG.c - 1.1.7.33</t>
  </si>
  <si>
    <t>MMG_Private.h - 1.1.7.8</t>
  </si>
  <si>
    <t>MMG_CommunicationModes.c - 1.1.8.10</t>
  </si>
  <si>
    <t>MMG_CyclesModes.c - 1.19.22</t>
  </si>
  <si>
    <t>All variables initialized.</t>
  </si>
  <si>
    <t>Variables moved to Local Variables.</t>
  </si>
  <si>
    <t>Structs renamed.</t>
  </si>
  <si>
    <t>Defines from common.h used, new define created for 24 value.</t>
  </si>
  <si>
    <t>Include removed,</t>
  </si>
  <si>
    <t>Will not be fixed according to CDD.</t>
  </si>
  <si>
    <t>Defines removed.</t>
  </si>
  <si>
    <t>QAC performed.</t>
  </si>
  <si>
    <t>MMG_private.h - 1.1.7.9</t>
  </si>
  <si>
    <t>1.1.5.11</t>
  </si>
  <si>
    <t>No dinfings</t>
  </si>
  <si>
    <t>MMG_PreSafeRecorder - 1.5</t>
  </si>
  <si>
    <t>1.1.7.34</t>
  </si>
  <si>
    <t>18.11.2022</t>
  </si>
  <si>
    <t>MMG_CriticalAutoTestsModes.c -  1.1.4.8</t>
  </si>
  <si>
    <t>MMG_DowngradesModes.c - 1.1.5.11</t>
  </si>
  <si>
    <t>1.1.4.19</t>
  </si>
  <si>
    <t>Update description for all defines</t>
  </si>
  <si>
    <t>Update diagram for MMG_runUpdateModeStatus()</t>
  </si>
  <si>
    <t>Remove mmg_UpdateModeStatus_Cranking()</t>
  </si>
  <si>
    <t>Update diagram for mmg_ManageModeDelays_ExecutedCycle()</t>
  </si>
  <si>
    <t>Update diagram for mmg_UpdateModeStatus_BusOff()</t>
  </si>
  <si>
    <t>Remove empty headings chapter 3</t>
  </si>
  <si>
    <t>Update with all variables</t>
  </si>
  <si>
    <t>MMG - Detailed Design document.docx - 1.1.4.19</t>
  </si>
  <si>
    <t>21.11.2022</t>
  </si>
  <si>
    <t>M. Obada</t>
  </si>
  <si>
    <t>Function removed.</t>
  </si>
  <si>
    <t>Diagram updated.</t>
  </si>
  <si>
    <t>Description is under name header.</t>
  </si>
  <si>
    <t>Empty headings removed.</t>
  </si>
  <si>
    <t>All used variables are described in the detaied design.</t>
  </si>
  <si>
    <t>Cornel Albu</t>
  </si>
  <si>
    <t>09.12.2022</t>
  </si>
  <si>
    <t>MMG_BatteryModes.tmb - 1.5</t>
  </si>
  <si>
    <t>MMG_CommunicationModes.tmb - 1.5</t>
  </si>
  <si>
    <t>MMG_CriticalAutoTestsModes.tmb - 1.5</t>
  </si>
  <si>
    <t>MMG_CycleModes.tmb</t>
  </si>
  <si>
    <t>MMG_CyclesModes.tmb - 1.6</t>
  </si>
  <si>
    <t>MMG_DowngradedModes.tmb - 1.6</t>
  </si>
  <si>
    <t>MMG.tmb - 1.7</t>
  </si>
  <si>
    <t>MMG.can</t>
  </si>
  <si>
    <t>MMG.can - v1.1</t>
  </si>
  <si>
    <t>12.12.2022</t>
  </si>
  <si>
    <t>SW_Int_MMG_CheckCycleEnable_01.txt</t>
  </si>
  <si>
    <t>SW_Int_MMG_CheckCycleEnable_02.txt</t>
  </si>
  <si>
    <t>SW_Int_MMG_CheckCycleEnable_01.txt - v1.1</t>
  </si>
  <si>
    <t>SW_Int_MMG_CheckCycleEnable_02.txt - v1.1</t>
  </si>
  <si>
    <t>27.01.2023</t>
  </si>
  <si>
    <t>1.1.5.12</t>
  </si>
  <si>
    <t>Check return statement for RTE calls</t>
  </si>
  <si>
    <t>MMG_DowngradeModes.c - 1.1.5.12</t>
  </si>
  <si>
    <t>1.1.7.36</t>
  </si>
  <si>
    <t>MMG.c - 1.1.7.36</t>
  </si>
  <si>
    <t>1.1.4.23</t>
  </si>
  <si>
    <t>Version in document needs to be updated</t>
  </si>
  <si>
    <t>mmg_UpdateModeStatus_PowerSupply_AllCycles, mmg_UpdateModeStatus_Temperature_EOL_KL30_TensioningCycles, mmg_UpdateModeStatus_NoHallEffectSensor,  mmg_CheckCycleEnable, MMG_Init, MMG_runUpdateModeStatus, mmg_PreSafe_HandleStopData, MMG_runPreSafeRecorder diagram to be updated</t>
  </si>
  <si>
    <t>Update values for mmg_stPreSafeManagement, mmg_stPreSafeStartData, mmg_stPreSafeStopData, mmg_stPreSafeStateData, mmg_u8Return, mmm_stPreSafeInputData</t>
  </si>
  <si>
    <t>Traceability not covered for ARCH_SW_MMG_0153, ARCH_SW_MMG_0207, ARCH_SW_MMG_0208</t>
  </si>
  <si>
    <t>Update values for MMG_KU8_CFG_BSR_TENSIONING_CYCLE, MMG_KU8_CFG_HAPTIC_WARNING_0_CYCLE, MMG_KU8_CFG_HAPTIC_WARNING_1_CYCLE, MMG_KU8_CFG_PRODUCTION_0_CYCLE, MMG_KU8_CFG_PRODUCTION_1_CYCLE</t>
  </si>
  <si>
    <t>Add MMG_KU8_IDX_IMPL_BUCKLE_TENS, MMG_KU8_IDX_TIMOEUT_BUCKLEK_TENS to missing macros</t>
  </si>
  <si>
    <t>Madalina Serban</t>
  </si>
  <si>
    <t>MMG - Detailed Design document.docx - 1.1.4.23</t>
  </si>
  <si>
    <t>Traceability from design is missing</t>
  </si>
  <si>
    <t>Missing comment and description for all the variables used</t>
  </si>
  <si>
    <t>mmm_stPreSafeInputData does not respect naming conventions</t>
  </si>
  <si>
    <t xml:space="preserve">In every if condition the constant should be the first and var the second ex:  I_C04_PRESF_LVL_V2_LVL2 != mmm_stPreSafeInputData.u8PresafeLevelType 
</t>
  </si>
  <si>
    <t>Var mmg_stPreSafeManagement can be initilized at declaration since block id is periodically updated. No actual need to be added in init function.</t>
  </si>
  <si>
    <t>Same info in cil_stInputSignalsPresfRec.u8PresafeLevelType and Rte_Write_psrPreSafeLvl_u8PreSafeLvl(cil_stPresfActAdjFrame.Presf_Lvl_ST3). This solution should be described in detailed or updated.</t>
  </si>
  <si>
    <t>Condition "if(mmm_stPreSafeInputData.u8PresafeLevelType != I_C04_PRESF_LVL_V2_LVL2)"  should also check 0x00 = no action to set tigger ON</t>
  </si>
  <si>
    <t>var Stop2RollOverType1 is uint8 , KB_one used for init is boolean 1. Another define should be used.</t>
  </si>
  <si>
    <t>State2PreSafeCounter initilised with KU8_ZERO and afterwards with MMG_KU8_State_DTC_Is_Not_Set . Also once is set (autotest NOK) it cannot be reset to not set (autotest OK) . So else action for this conditions can be removed.</t>
  </si>
  <si>
    <t>State1PreSafeDisabled = MMG_KU8_State_DTC_Is_Set; Constant name should be updated. State1PreSafeDisabled = MMG_KU8_State_DTC_Is_Set; general name should be used</t>
  </si>
  <si>
    <t>State1 bit4 - Abortion of a PreSafe cycle; State1 bit6 - Under or Over voltage;  general mask for group check should be computed </t>
  </si>
  <si>
    <t>belt handOver variable should be updated with signal value. . Curently 0</t>
  </si>
  <si>
    <t>16.02.2023</t>
  </si>
  <si>
    <t>1.10.</t>
  </si>
  <si>
    <t>MMG_PresafeRecorder.c - 1.10.</t>
  </si>
  <si>
    <t>Robert Hadadea</t>
  </si>
  <si>
    <t>C0 and C1 coverage not 100%</t>
  </si>
  <si>
    <t>Traceability not covering all MMG detailed design requirements</t>
  </si>
  <si>
    <t xml:space="preserve">MMG_DowngradeModes.tmb </t>
  </si>
  <si>
    <t>R. Hadadea</t>
  </si>
  <si>
    <t>MMG.tmb - 1.8</t>
  </si>
  <si>
    <t>MMG_BatteryModes.tmb - 1.6</t>
  </si>
  <si>
    <t>MMG_CommunicationModes.tmb - 1.6</t>
  </si>
  <si>
    <t>MMG_CriticalAutoTestsModes.tmb - 1.6</t>
  </si>
  <si>
    <t>MMG_DowngradedModes.tmb - 1.7</t>
  </si>
  <si>
    <t>1.1.4.26</t>
  </si>
  <si>
    <t>MMG - Detailed Design Document.docx - 1.1.4.26</t>
  </si>
  <si>
    <t>21.02.2023</t>
  </si>
  <si>
    <t>M. Serban</t>
  </si>
  <si>
    <t>2023 02</t>
  </si>
  <si>
    <t>22.02.2023</t>
  </si>
  <si>
    <t>1.1.9.26</t>
  </si>
  <si>
    <t>Update the module defines comments with correct template.</t>
  </si>
  <si>
    <t>Remove unused variable au8InhibitingAECs_TensioningCycles with SEC_CONST_8 memmap.</t>
  </si>
  <si>
    <t>Check/skip return type for all RTE calls.</t>
  </si>
  <si>
    <t>In mmg_UpdateModeStatus_PowerSupply_AllCycles, mmg_UpdateModeStatus_EcuDefective_AllCycles, mmg_UpdateModeStatus_EOLComfort_BSR and mmg_UpdateModeStatus_Temperature_EOL_KL30_TensioningCycles functions remove the unnecesary check if u8ModeStatusIsOk is KU8_TRUE.</t>
  </si>
  <si>
    <t>MMG_CyclesModes.c - 1.19.26</t>
  </si>
  <si>
    <t>07.03.2023</t>
  </si>
  <si>
    <t>MMG_PresafeRecorder.c - 1.12</t>
  </si>
  <si>
    <t>lines 468, 469: in IF condition constant must be first; mmm_stPreSafeInputData name to be updated accordingly</t>
  </si>
  <si>
    <t>07.03.2024</t>
  </si>
  <si>
    <t>Definition of mmg_stPreSafeInputData to be updated</t>
  </si>
  <si>
    <t>08.03.2023</t>
  </si>
  <si>
    <t>08.03.2024</t>
  </si>
  <si>
    <t>1.1.4.29</t>
  </si>
  <si>
    <t>MMG - Detailed Design Document.docx - 1.1.4.29</t>
  </si>
  <si>
    <t>1.1.9.28</t>
  </si>
  <si>
    <t>MMG_CyclesModes.c - 1.19.28</t>
  </si>
  <si>
    <t>1.1.7.38</t>
  </si>
  <si>
    <t>MMG.c - 1.1.7.38</t>
  </si>
  <si>
    <t>Fixed on 1.8</t>
  </si>
  <si>
    <t>MMG_CriticalAutoTestModes.tmb</t>
  </si>
  <si>
    <t>Alexandru Nastase</t>
  </si>
  <si>
    <t>MMG.tmb - 1.9</t>
  </si>
  <si>
    <t>MMG_BatteryModes.tmb - 1.7</t>
  </si>
  <si>
    <t>MMG_CommunicationModes.tmb - 1.7</t>
  </si>
  <si>
    <t>MMG_CriticalAutoTestsModes.tmb - 1.7</t>
  </si>
  <si>
    <t>MMG_DowngradedModes.tmb - 1.8</t>
  </si>
  <si>
    <t>MMG_CyclesModes.tmb - 1.8</t>
  </si>
  <si>
    <t>SW_IT_MMG_AvailabilityDataCategory_01.txt</t>
  </si>
  <si>
    <t>SW_IT_MMG_EcuDefective_AllCycles_01.txt</t>
  </si>
  <si>
    <t>SW_IT_MMG_ExecutedCycleDelay_01.txt</t>
  </si>
  <si>
    <t>SW_IT_MMG_NoHallEffectSensor_01.txt</t>
  </si>
  <si>
    <t>SW_IT_MMG_PowerSupply_AllCycles_01.txt</t>
  </si>
  <si>
    <t>SW_IT_MMG_PowerVoltageUnstable_01.txt</t>
  </si>
  <si>
    <t>SW_IT_MMG_prrExecutedCycle_01.txt</t>
  </si>
  <si>
    <t>SW_IT_MMG_psrExecutedCycle_01.txt</t>
  </si>
  <si>
    <t>SW_IT_MMG_runCheckModeStatus_01.txt</t>
  </si>
  <si>
    <t>SW_IT_MMG_runCheckModeStatus_02.txt</t>
  </si>
  <si>
    <t>SW_IT_MMG_runEnableHBSMonitoring_01.txt</t>
  </si>
  <si>
    <t>SW_IT_MMG_runGetBatteryVoltageSurveyStatus_01.txt</t>
  </si>
  <si>
    <t>SW_IT_MMG_runGetLastCriticalAutotestId_01.txt</t>
  </si>
  <si>
    <t>SW_IT_MMG_runGetPyroActivationStatus_01.txt</t>
  </si>
  <si>
    <t>SW_IT_MMG_runGetResetCause_01.txt</t>
  </si>
  <si>
    <t>SW_IT_MMG_runGetTestResult_01.txt</t>
  </si>
  <si>
    <t>SW_IT_MMG_runManageModeDelays_01.txt</t>
  </si>
  <si>
    <t>SW_IT_MMG_runPreSafeRecorder_01.txt</t>
  </si>
  <si>
    <t>SW_IT_MMG_runPreSafeRecorder_02.txt</t>
  </si>
  <si>
    <t>SW_IT_MMG_runPreSafeRecorder_03.txt</t>
  </si>
  <si>
    <t>SW_IT_MMG_runUpdateModeStatus_01.txt</t>
  </si>
  <si>
    <t>SW_IT_MMG_TensioningCycles_01.txt</t>
  </si>
  <si>
    <t>SW_IT_MMG_TensioningCycles_02.txt</t>
  </si>
  <si>
    <t>ARCH_SW_MMG_0401 is not consistent in action section</t>
  </si>
  <si>
    <t>ARCH_SW_MMG_0004 not consistent in action section</t>
  </si>
  <si>
    <t>SW_Int_MMG_CheckCycleEnable_01.txt - v1.2</t>
  </si>
  <si>
    <t>SW_IT_MMG_AvailabilityDataCategory_01.txt - v1.1</t>
  </si>
  <si>
    <t>SW_IT_MMG_EcuDefective_AllCycles_01.txt - v1.1</t>
  </si>
  <si>
    <t>SW_IT_MMG_ExecutedCycleDelay_01.txt - v1.1</t>
  </si>
  <si>
    <t>SW_IT_MMG_NoHallEffectSensor_01.txt - v1.1</t>
  </si>
  <si>
    <t>SW_IT_MMG_PowerSupply_AllCycles_01.txt - v1.1</t>
  </si>
  <si>
    <t>SW_IT_MMG_PowerVoltageUnstable_01.txt - v1.1</t>
  </si>
  <si>
    <t>SW_IT_MMG_prrExecutedCycle_01.txt - v1.1</t>
  </si>
  <si>
    <t>SW_IT_MMG_psrExecutedCycle_01.txt - v1.1</t>
  </si>
  <si>
    <t>SW_IT_MMG_runCheckModeStatus_01.txt - v1.1</t>
  </si>
  <si>
    <t>SW_IT_MMG_runCheckModeStatus_02.txt - v1.1</t>
  </si>
  <si>
    <t>SW_IT_MMG_runEnableHBSMonitoring_01.txt - v1.1</t>
  </si>
  <si>
    <t>SW_IT_MMG_runGetBatteryVoltageSurveyStatus_01.txt - v1.1</t>
  </si>
  <si>
    <t>SW_IT_MMG_runGetLastCriticalAutotestId_01.txt - v1.1</t>
  </si>
  <si>
    <t>SW_IT_MMG_runGetPyroActivationStatus_01.txt - v1.1</t>
  </si>
  <si>
    <t>SW_IT_MMG_runGetResetCause_01.txt - v1.1</t>
  </si>
  <si>
    <t>SW_IT_MMG_runGetTestResult_01.txt - v1.1</t>
  </si>
  <si>
    <t>SW_IT_MMG_runManageModeDelays_01.txt - v1.1</t>
  </si>
  <si>
    <t>SW_IT_MMG_runPreSafeRecorder_01.txt - v1.1</t>
  </si>
  <si>
    <t>SW_IT_MMG_runPreSafeRecorder_02.txt - v1.1</t>
  </si>
  <si>
    <t>SW_IT_MMG_runPreSafeRecorder_03.txt - v1.1</t>
  </si>
  <si>
    <t>SW_IT_MMG_runUpdateModeStatus_01.txt - v1.1</t>
  </si>
  <si>
    <t>SW_IT_MMG_TensioningCycles_01.txt - v1.1</t>
  </si>
  <si>
    <t>SW_IT_MMG_TensioningCycles_02.txt - v1.1</t>
  </si>
  <si>
    <t>SW_Int_MMG_CheckCycleEnable_01.txt - v1.2
SW_IT_MMG_AvailabilityDataCategory_01.txt - v1.1
SW_IT_MMG_EcuDefective_AllCycles_01.txt - v1.1
SW_IT_MMG_ExecutedCycleDelay_01.txt - v1.1
SW_IT_MMG_NoHallEffectSensor_01.txt - v1.1
SW_IT_MMG_PowerSupply_AllCycles_01.txt - v1.1
SW_IT_MMG_PowerVoltageUnstable_01.txt - v1.1
SW_IT_MMG_prrExecutedCycle_01.txt - v1.1
SW_IT_MMG_psrExecutedCycle_01.txt - v1.1
SW_IT_MMG_runCheckModeStatus_01.txt - v1.1
SW_IT_MMG_runCheckModeStatus_02.txt - v1.1
SW_IT_MMG_runEnableHBSMonitoring_01.txt - v1.1
SW_IT_MMG_runGetBatteryVoltageSurveyStatus_01.txt - v1.1
SW_IT_MMG_runGetLastCriticalAutotestId_01.txt - v1.1
SW_IT_MMG_runGetPyroActivationStatus_01.txt - v1.1
SW_IT_MMG_runGetResetCause_01.txt - v1.1
SW_IT_MMG_runGetTestResult_01.txt - v1.1
SW_IT_MMG_runManageModeDelays_01.txt - v1.1
SW_IT_MMG_runPreSafeRecorder_01.txt - v1.1
SW_IT_MMG_runPreSafeRecorder_02.txt - v1.1
SW_IT_MMG_runPreSafeRecorder_03.txt - v1.1
SW_IT_MMG_runUpdateModeStatus_01.txt - v1.1
SW_IT_MMG_TensioningCycles_01.txt - v1.1
SW_IT_MMG_TensioningCycles_02.txt - v1.1</t>
  </si>
  <si>
    <t>Fixed on 1.2</t>
  </si>
  <si>
    <t>Fxed on 1.2</t>
  </si>
  <si>
    <t>MMG_PreSafeRecorder.tmb</t>
  </si>
  <si>
    <t>27.04.2023</t>
  </si>
  <si>
    <t>MMG_PreSafeRecorder - 1.1</t>
  </si>
  <si>
    <t>MMG_CyclesModes.tmb - 1.9</t>
  </si>
  <si>
    <t>MMG_DowngradedModes.tmb - 1.9</t>
  </si>
  <si>
    <t>MMG_CriticalAutoTestsModes.tmb - 1.8</t>
  </si>
  <si>
    <t>MMG_CommunicationModes.tmb - 1.8</t>
  </si>
  <si>
    <t>MMG_BatteryModes.tmb - 1.8</t>
  </si>
  <si>
    <t>MMG.tmb - 1.10</t>
  </si>
  <si>
    <t>03.05.2023</t>
  </si>
  <si>
    <t>MMG_DowngradesModes.c - 1.1.5.15</t>
  </si>
  <si>
    <t>MMG.c - 1.1.7.39</t>
  </si>
  <si>
    <t>1.1.4.31</t>
  </si>
  <si>
    <t>MMG - Detailed Design Document.docx - 1.1.4.31</t>
  </si>
  <si>
    <t>09.05.2023</t>
  </si>
  <si>
    <t>23.05.2023</t>
  </si>
  <si>
    <t>V.Chioveanu</t>
  </si>
  <si>
    <t>Victor Popina</t>
  </si>
  <si>
    <t>MMG.tmb - 1.11</t>
  </si>
  <si>
    <t>13.06.2023</t>
  </si>
  <si>
    <t>1.1.7.41</t>
  </si>
  <si>
    <t>Traceability to be added</t>
  </si>
  <si>
    <t>1,.1.9.31</t>
  </si>
  <si>
    <t>1.1.7.12</t>
  </si>
  <si>
    <t>MMG.c - 1.1.7.41</t>
  </si>
  <si>
    <t>MMG_private.h - 1.1.7.12</t>
  </si>
  <si>
    <t>1.1.7.42</t>
  </si>
  <si>
    <t>16.06.2023</t>
  </si>
  <si>
    <t>MMG.c - 1.1.7.42</t>
  </si>
  <si>
    <t>MMG_CyclesModes.c - 1.1.9.29</t>
  </si>
  <si>
    <t>1.1.9.29</t>
  </si>
  <si>
    <t>Postponned until M2</t>
  </si>
  <si>
    <t>MMG_PresafeRecorder.c - 1.13</t>
  </si>
  <si>
    <t>22.06.2023</t>
  </si>
  <si>
    <t>Adina Macaveiu</t>
  </si>
  <si>
    <t>MMG.tmb - 1.12</t>
  </si>
  <si>
    <t>1,.1.9.35</t>
  </si>
  <si>
    <t>MMG - Detailed Design Document.docx - 1.1.4.35</t>
  </si>
  <si>
    <t>1.1.4.36</t>
  </si>
  <si>
    <t>1.1.7.46</t>
  </si>
  <si>
    <t>MMG - Detailed Design Document.docx - 1.1.4.36</t>
  </si>
  <si>
    <t>MMG.c - 1.1.7.46</t>
  </si>
  <si>
    <t>10.09.2023</t>
  </si>
  <si>
    <t>MMG.tmb - 1.13</t>
  </si>
  <si>
    <t>1.1.7.47</t>
  </si>
  <si>
    <t>Mihai Ianos</t>
  </si>
  <si>
    <t>MMG - Detailed Design Document.docx - 1.1.4.37</t>
  </si>
  <si>
    <t>1.1.4.37</t>
  </si>
  <si>
    <t>1.1.9.33</t>
  </si>
  <si>
    <t>1.1.5.16</t>
  </si>
  <si>
    <t>MMG_BatteryModes.c -v1.1.5.12</t>
  </si>
  <si>
    <t>MMG_CyclesModes.c - v1.1.9.33</t>
  </si>
  <si>
    <t>MMG_DowngradedModes.c - v1.1.5.16</t>
  </si>
  <si>
    <t>Tensioning cycles not working</t>
  </si>
  <si>
    <t>R08.0</t>
  </si>
  <si>
    <t>1.1.5.14</t>
  </si>
  <si>
    <t>1.1.8.13</t>
  </si>
  <si>
    <t>1.1.4.11</t>
  </si>
  <si>
    <t>MMG_CriticalAutoTestModes.c</t>
  </si>
  <si>
    <t>1.1.9.34</t>
  </si>
  <si>
    <t>1.1.5.17</t>
  </si>
  <si>
    <t>1.1.7.49</t>
  </si>
  <si>
    <t>Replace magical number.</t>
  </si>
  <si>
    <t>Add brief description for all local variables</t>
  </si>
  <si>
    <t>Add brief description for all variables and functions.</t>
  </si>
  <si>
    <t>26.10.2023</t>
  </si>
  <si>
    <t>MMG_CommunicationModes.c - 1.1.8.13</t>
  </si>
  <si>
    <t>MMG_CriticalAutoTestModes.c - 1.1.4.11</t>
  </si>
  <si>
    <t>MMG_CyclesModes.c - 1.1.9.34</t>
  </si>
  <si>
    <t>MMG_DowngradedModes.c - 1.1.5.17</t>
  </si>
  <si>
    <t>MMG_PresafeRecorder.c - 1.14</t>
  </si>
  <si>
    <t>MMG.c - 1.1.7.49</t>
  </si>
  <si>
    <t>MMG_Private.h - 1.1.7.13</t>
  </si>
  <si>
    <t>MMG - Detailed Design Document.docx - 1.1.4.38</t>
  </si>
  <si>
    <t>1.1.4.38</t>
  </si>
  <si>
    <t xml:space="preserve">MMG - Detailed Design Document.docx </t>
  </si>
  <si>
    <t>1.1.9.35</t>
  </si>
  <si>
    <t>1.1.4.39</t>
  </si>
  <si>
    <t>23.01.2024</t>
  </si>
  <si>
    <t xml:space="preserve">BOOL_MMG_SET_EMABLE_CONDITION, MMG_u8EnableCondStatus missing definition; </t>
  </si>
  <si>
    <t>MMG_runUpdateModeStatus diagram to be updated</t>
  </si>
  <si>
    <t>No traceability for ARCH_SW_MMG_0320, ARCH_SW_MMG_0321, ARCH_SW_MMG_0322, ARCH_SW_MMG_0323</t>
  </si>
  <si>
    <t>MMG - Detailed Design Document.docx - 1.1.4.39</t>
  </si>
  <si>
    <t>definition exits</t>
  </si>
  <si>
    <t>fix done</t>
  </si>
  <si>
    <t>30.01.2024</t>
  </si>
  <si>
    <t>1.1.4.40</t>
  </si>
  <si>
    <t>MMG - Detailed Design Document.docx - 1.1.4.40</t>
  </si>
  <si>
    <t>MMG.c - 1.1.7.54</t>
  </si>
  <si>
    <t>1.1.7.54</t>
  </si>
  <si>
    <t>Tudor Gligor</t>
  </si>
  <si>
    <t>MMG_EnableConditions.c - 1.6</t>
  </si>
  <si>
    <t>MMG_EnableConditions.c</t>
  </si>
  <si>
    <t>28.02.2024</t>
  </si>
  <si>
    <t>V.Popina</t>
  </si>
  <si>
    <t>MMG.tmb - 1.14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</si>
</sst>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3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i/>
      <sz val="10"/>
      <color rgb="FF002060"/>
      <name val="Arial"/>
      <family val="2"/>
    </font>
    <font>
      <sz val="8"/>
      <name val="Arial"/>
      <family val="2"/>
    </font>
    <font>
      <sz val="10"/>
      <color theme="1"/>
      <name val="Arial"/>
      <family val="2"/>
    </font>
    <font>
      <sz val="11"/>
      <color rgb="FF000000"/>
      <name val="Calibri"/>
      <family val="2"/>
    </font>
    <font>
      <b/>
      <sz val="11"/>
      <color rgb="FFFA7D00"/>
      <name val="Calibri"/>
      <family val="2"/>
    </font>
  </fonts>
  <fills count="3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rgb="FFF2F2F2"/>
        <bgColor rgb="FF000000"/>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1">
    <xf numFmtId="0" fontId="0" fillId="0" borderId="0"/>
    <xf numFmtId="0" fontId="85" fillId="6" borderId="14" applyNumberFormat="0" applyAlignment="0" applyProtection="0"/>
    <xf numFmtId="0" fontId="86" fillId="0" borderId="0" applyNumberFormat="0" applyFill="0" applyBorder="0" applyAlignment="0" applyProtection="0"/>
    <xf numFmtId="0" fontId="53" fillId="0" borderId="0"/>
    <xf numFmtId="0" fontId="80" fillId="0" borderId="0"/>
    <xf numFmtId="0" fontId="84" fillId="0" borderId="0"/>
    <xf numFmtId="0" fontId="53" fillId="0" borderId="0"/>
    <xf numFmtId="0" fontId="60" fillId="0" borderId="0"/>
    <xf numFmtId="0" fontId="88" fillId="6" borderId="15" applyNumberFormat="0" applyAlignment="0" applyProtection="0"/>
    <xf numFmtId="0" fontId="52" fillId="0" borderId="0"/>
    <xf numFmtId="0" fontId="51" fillId="0" borderId="0"/>
    <xf numFmtId="0" fontId="50" fillId="0" borderId="0"/>
    <xf numFmtId="0" fontId="113" fillId="25" borderId="14" applyNumberFormat="0" applyAlignment="0" applyProtection="0"/>
    <xf numFmtId="0" fontId="114" fillId="26" borderId="0" applyNumberFormat="0" applyBorder="0" applyAlignment="0" applyProtection="0"/>
    <xf numFmtId="0" fontId="49" fillId="27" borderId="0" applyNumberFormat="0" applyBorder="0" applyAlignment="0" applyProtection="0"/>
    <xf numFmtId="0" fontId="53" fillId="0" borderId="0"/>
    <xf numFmtId="0" fontId="48" fillId="27" borderId="0" applyNumberFormat="0" applyBorder="0" applyAlignment="0" applyProtection="0"/>
    <xf numFmtId="0" fontId="47" fillId="27" borderId="0" applyNumberFormat="0" applyBorder="0" applyAlignment="0" applyProtection="0"/>
    <xf numFmtId="0" fontId="46" fillId="27" borderId="0" applyNumberFormat="0" applyBorder="0" applyAlignment="0" applyProtection="0"/>
    <xf numFmtId="0" fontId="45" fillId="27" borderId="0" applyNumberFormat="0" applyBorder="0" applyAlignment="0" applyProtection="0"/>
    <xf numFmtId="0" fontId="44" fillId="27" borderId="0" applyNumberFormat="0" applyBorder="0" applyAlignment="0" applyProtection="0"/>
    <xf numFmtId="0" fontId="43" fillId="27" borderId="0" applyNumberFormat="0" applyBorder="0" applyAlignment="0" applyProtection="0"/>
    <xf numFmtId="0" fontId="42" fillId="27" borderId="0" applyNumberFormat="0" applyBorder="0" applyAlignment="0" applyProtection="0"/>
    <xf numFmtId="0" fontId="41" fillId="27" borderId="0" applyNumberFormat="0" applyBorder="0" applyAlignment="0" applyProtection="0"/>
    <xf numFmtId="0" fontId="40" fillId="27" borderId="0" applyNumberFormat="0" applyBorder="0" applyAlignment="0" applyProtection="0"/>
    <xf numFmtId="0" fontId="39" fillId="27" borderId="0" applyNumberFormat="0" applyBorder="0" applyAlignment="0" applyProtection="0"/>
    <xf numFmtId="0" fontId="38" fillId="27" borderId="0" applyNumberFormat="0" applyBorder="0" applyAlignment="0" applyProtection="0"/>
    <xf numFmtId="0" fontId="37" fillId="0" borderId="0"/>
    <xf numFmtId="0" fontId="36" fillId="27" borderId="0" applyNumberFormat="0" applyBorder="0" applyAlignment="0" applyProtection="0"/>
    <xf numFmtId="0" fontId="35" fillId="27" borderId="0" applyNumberFormat="0" applyBorder="0" applyAlignment="0" applyProtection="0"/>
    <xf numFmtId="0" fontId="133" fillId="0" borderId="0" applyNumberFormat="0" applyFill="0" applyBorder="0" applyAlignment="0" applyProtection="0"/>
  </cellStyleXfs>
  <cellXfs count="366">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4" fillId="3" borderId="12" xfId="0" applyFont="1" applyFill="1" applyBorder="1" applyAlignment="1">
      <alignment horizontal="center" wrapText="1"/>
    </xf>
    <xf numFmtId="0" fontId="0" fillId="2" borderId="0" xfId="0" applyFill="1" applyAlignment="1">
      <alignment horizontal="center"/>
    </xf>
    <xf numFmtId="0" fontId="54"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53" fillId="0" borderId="1" xfId="0" applyFont="1" applyBorder="1" applyAlignment="1">
      <alignment vertical="center" wrapText="1"/>
    </xf>
    <xf numFmtId="0" fontId="53" fillId="3" borderId="1" xfId="0" applyFont="1" applyFill="1" applyBorder="1" applyAlignment="1">
      <alignment horizontal="center" vertical="center" wrapText="1"/>
    </xf>
    <xf numFmtId="0" fontId="53" fillId="2" borderId="0" xfId="0" applyFont="1" applyFill="1" applyAlignment="1">
      <alignment wrapText="1"/>
    </xf>
    <xf numFmtId="0" fontId="89" fillId="7" borderId="0" xfId="0" applyFont="1" applyFill="1" applyAlignment="1">
      <alignment horizontal="center" vertical="center" wrapText="1"/>
    </xf>
    <xf numFmtId="0" fontId="54" fillId="3" borderId="12" xfId="0" applyFont="1" applyFill="1" applyBorder="1" applyAlignment="1">
      <alignment horizontal="center" vertical="center" wrapText="1"/>
    </xf>
    <xf numFmtId="0" fontId="89" fillId="0" borderId="0" xfId="0" applyFont="1" applyAlignment="1">
      <alignment horizontal="center" vertical="center" wrapText="1"/>
    </xf>
    <xf numFmtId="0" fontId="89" fillId="0" borderId="0" xfId="0" applyFont="1" applyAlignment="1">
      <alignment vertical="center"/>
    </xf>
    <xf numFmtId="0" fontId="89" fillId="0" borderId="0" xfId="0" applyFont="1" applyAlignment="1">
      <alignment vertical="center" wrapText="1"/>
    </xf>
    <xf numFmtId="0" fontId="75" fillId="2" borderId="2" xfId="0" applyFont="1" applyFill="1" applyBorder="1"/>
    <xf numFmtId="0" fontId="53" fillId="2" borderId="0" xfId="0" applyFont="1" applyFill="1" applyAlignment="1">
      <alignment horizontal="center"/>
    </xf>
    <xf numFmtId="0" fontId="0" fillId="8" borderId="0" xfId="0" applyFill="1" applyAlignment="1">
      <alignment horizontal="center"/>
    </xf>
    <xf numFmtId="0" fontId="53" fillId="2" borderId="1" xfId="0" applyFont="1" applyFill="1" applyBorder="1" applyAlignment="1">
      <alignment horizontal="center" wrapText="1"/>
    </xf>
    <xf numFmtId="0" fontId="53" fillId="2" borderId="1" xfId="0" applyFont="1" applyFill="1" applyBorder="1" applyAlignment="1">
      <alignment horizontal="center" vertical="center" wrapText="1"/>
    </xf>
    <xf numFmtId="0" fontId="0" fillId="2" borderId="5" xfId="0" applyFill="1" applyBorder="1" applyAlignment="1">
      <alignment wrapText="1"/>
    </xf>
    <xf numFmtId="0" fontId="53" fillId="2" borderId="0" xfId="0" applyFont="1" applyFill="1"/>
    <xf numFmtId="0" fontId="54" fillId="9" borderId="1" xfId="0" applyFont="1" applyFill="1" applyBorder="1" applyAlignment="1">
      <alignment horizontal="center" vertical="center" wrapText="1"/>
    </xf>
    <xf numFmtId="0" fontId="53" fillId="2" borderId="10" xfId="0" applyFont="1" applyFill="1" applyBorder="1"/>
    <xf numFmtId="0" fontId="8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53" fillId="8" borderId="0" xfId="0" applyFont="1" applyFill="1" applyAlignment="1">
      <alignment horizontal="center" vertical="center"/>
    </xf>
    <xf numFmtId="0" fontId="53" fillId="8" borderId="1" xfId="0" applyFont="1" applyFill="1" applyBorder="1" applyAlignment="1">
      <alignment horizontal="center" vertical="center"/>
    </xf>
    <xf numFmtId="0" fontId="53" fillId="13" borderId="1" xfId="0" applyFont="1" applyFill="1" applyBorder="1" applyAlignment="1">
      <alignment horizontal="center" vertical="center" wrapText="1"/>
    </xf>
    <xf numFmtId="0" fontId="54" fillId="3" borderId="16"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89" fillId="8" borderId="0" xfId="0" applyFont="1" applyFill="1" applyAlignment="1">
      <alignment horizontal="center" vertical="center" wrapText="1"/>
    </xf>
    <xf numFmtId="0" fontId="89" fillId="8" borderId="0" xfId="0" applyFont="1" applyFill="1" applyAlignment="1">
      <alignment vertical="center"/>
    </xf>
    <xf numFmtId="0" fontId="0" fillId="8" borderId="0" xfId="0" applyFill="1" applyAlignment="1">
      <alignment vertical="center"/>
    </xf>
    <xf numFmtId="0" fontId="0" fillId="8" borderId="0" xfId="0" applyFill="1"/>
    <xf numFmtId="0" fontId="56" fillId="14" borderId="1" xfId="0" applyFont="1" applyFill="1" applyBorder="1" applyAlignment="1">
      <alignment horizontal="center" vertical="center" wrapText="1"/>
    </xf>
    <xf numFmtId="0" fontId="89" fillId="0" borderId="0" xfId="0" applyFont="1" applyAlignment="1">
      <alignment horizontal="center" vertical="center"/>
    </xf>
    <xf numFmtId="14" fontId="0" fillId="13" borderId="1" xfId="0" applyNumberFormat="1" applyFill="1" applyBorder="1" applyAlignment="1">
      <alignment horizontal="center" vertical="center" wrapText="1"/>
    </xf>
    <xf numFmtId="0" fontId="59" fillId="13" borderId="1" xfId="0" applyFont="1" applyFill="1" applyBorder="1" applyAlignment="1">
      <alignment horizontal="center" vertical="center" wrapText="1"/>
    </xf>
    <xf numFmtId="0" fontId="53" fillId="13" borderId="1" xfId="0" applyFont="1" applyFill="1" applyBorder="1" applyAlignment="1">
      <alignment horizontal="center" vertical="center"/>
    </xf>
    <xf numFmtId="0" fontId="0" fillId="13" borderId="1" xfId="0" applyFill="1" applyBorder="1" applyAlignment="1">
      <alignment horizontal="center" vertical="center"/>
    </xf>
    <xf numFmtId="0" fontId="53" fillId="2" borderId="5" xfId="0" applyFont="1" applyFill="1" applyBorder="1" applyAlignment="1">
      <alignment wrapText="1"/>
    </xf>
    <xf numFmtId="0" fontId="53" fillId="10" borderId="0" xfId="0" applyFont="1" applyFill="1" applyAlignment="1">
      <alignment horizontal="left" vertical="center"/>
    </xf>
    <xf numFmtId="0" fontId="53" fillId="12" borderId="0" xfId="0" applyFont="1" applyFill="1" applyAlignment="1">
      <alignment horizontal="left" vertical="center"/>
    </xf>
    <xf numFmtId="0" fontId="53" fillId="15" borderId="0" xfId="0" applyFont="1" applyFill="1" applyAlignment="1">
      <alignment horizontal="left" vertical="center"/>
    </xf>
    <xf numFmtId="0" fontId="53" fillId="13" borderId="0" xfId="0" applyFont="1" applyFill="1" applyAlignment="1">
      <alignment horizontal="left" vertical="center"/>
    </xf>
    <xf numFmtId="0" fontId="53" fillId="2" borderId="1" xfId="0" applyFont="1" applyFill="1" applyBorder="1"/>
    <xf numFmtId="0" fontId="53" fillId="0" borderId="1" xfId="0" applyFont="1" applyBorder="1" applyAlignment="1">
      <alignment horizontal="center" vertical="center"/>
    </xf>
    <xf numFmtId="0" fontId="0" fillId="2" borderId="0" xfId="0" applyFill="1" applyAlignment="1">
      <alignment horizontal="center" wrapText="1"/>
    </xf>
    <xf numFmtId="0" fontId="85" fillId="6" borderId="16" xfId="1" applyBorder="1" applyAlignment="1">
      <alignment horizontal="center" vertical="center"/>
    </xf>
    <xf numFmtId="0" fontId="53" fillId="3" borderId="12" xfId="0" applyFont="1" applyFill="1" applyBorder="1" applyAlignment="1">
      <alignment horizontal="center" vertical="center" wrapText="1"/>
    </xf>
    <xf numFmtId="0" fontId="85" fillId="6" borderId="1" xfId="1" applyBorder="1" applyAlignment="1">
      <alignment horizontal="center"/>
    </xf>
    <xf numFmtId="0" fontId="90" fillId="6" borderId="15" xfId="8" applyFont="1" applyAlignment="1">
      <alignment horizontal="center"/>
    </xf>
    <xf numFmtId="0" fontId="90" fillId="6" borderId="17" xfId="8" applyFont="1" applyBorder="1" applyAlignment="1">
      <alignment horizontal="center"/>
    </xf>
    <xf numFmtId="0" fontId="85" fillId="6" borderId="1" xfId="1" applyBorder="1" applyAlignment="1">
      <alignment horizontal="center" vertical="center"/>
    </xf>
    <xf numFmtId="0" fontId="87" fillId="6" borderId="16" xfId="1" applyFont="1" applyBorder="1" applyAlignment="1">
      <alignment horizontal="center" vertical="center"/>
    </xf>
    <xf numFmtId="0" fontId="54" fillId="3" borderId="1" xfId="0" applyFont="1" applyFill="1" applyBorder="1" applyAlignment="1">
      <alignment horizontal="center" vertical="center" wrapText="1"/>
    </xf>
    <xf numFmtId="0" fontId="53"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53" fillId="2" borderId="8" xfId="0" applyFont="1" applyFill="1" applyBorder="1" applyAlignment="1">
      <alignment wrapText="1" shrinkToFit="1"/>
    </xf>
    <xf numFmtId="0" fontId="53" fillId="2" borderId="0" xfId="0" applyFont="1" applyFill="1" applyAlignment="1">
      <alignment vertical="top"/>
    </xf>
    <xf numFmtId="0" fontId="53" fillId="0" borderId="0" xfId="3" applyAlignment="1">
      <alignment vertical="center"/>
    </xf>
    <xf numFmtId="0" fontId="57" fillId="0" borderId="0" xfId="3" applyFont="1" applyAlignment="1">
      <alignment vertical="center" wrapText="1"/>
    </xf>
    <xf numFmtId="164" fontId="57" fillId="0" borderId="0" xfId="3" applyNumberFormat="1" applyFont="1" applyAlignment="1">
      <alignment horizontal="center" vertical="center" wrapText="1"/>
    </xf>
    <xf numFmtId="20" fontId="57" fillId="0" borderId="0" xfId="3" applyNumberFormat="1" applyFont="1" applyAlignment="1">
      <alignment vertical="center" wrapText="1"/>
    </xf>
    <xf numFmtId="0" fontId="57" fillId="0" borderId="0" xfId="3" applyFont="1" applyAlignment="1">
      <alignment horizontal="left" vertical="center" wrapText="1"/>
    </xf>
    <xf numFmtId="0" fontId="91" fillId="0" borderId="0" xfId="3" quotePrefix="1" applyFont="1" applyAlignment="1">
      <alignment horizontal="right" vertical="center"/>
    </xf>
    <xf numFmtId="0" fontId="58" fillId="0" borderId="0" xfId="3" applyFont="1" applyAlignment="1">
      <alignment horizontal="left" vertical="center" wrapText="1"/>
    </xf>
    <xf numFmtId="0" fontId="53" fillId="0" borderId="0" xfId="3" applyAlignment="1">
      <alignment vertical="center" shrinkToFit="1"/>
    </xf>
    <xf numFmtId="0" fontId="93" fillId="0" borderId="0" xfId="3" applyFont="1" applyAlignment="1">
      <alignment horizontal="left" vertical="center" shrinkToFit="1"/>
    </xf>
    <xf numFmtId="0" fontId="54" fillId="0" borderId="0" xfId="3" applyFont="1" applyAlignment="1">
      <alignment horizontal="left" vertical="center" shrinkToFit="1"/>
    </xf>
    <xf numFmtId="0" fontId="53" fillId="0" borderId="0" xfId="3" applyAlignment="1" applyProtection="1">
      <alignment vertical="center"/>
      <protection locked="0"/>
    </xf>
    <xf numFmtId="0" fontId="53" fillId="0" borderId="0" xfId="3" applyAlignment="1" applyProtection="1">
      <alignment vertical="center" shrinkToFit="1"/>
      <protection locked="0"/>
    </xf>
    <xf numFmtId="0" fontId="98" fillId="0" borderId="2" xfId="3" applyFont="1" applyBorder="1" applyAlignment="1" applyProtection="1">
      <alignment horizontal="left" vertical="center" wrapText="1" shrinkToFit="1"/>
      <protection locked="0"/>
    </xf>
    <xf numFmtId="0" fontId="99" fillId="0" borderId="0" xfId="3" applyFont="1" applyAlignment="1" applyProtection="1">
      <alignment horizontal="left" vertical="center" shrinkToFit="1"/>
      <protection locked="0"/>
    </xf>
    <xf numFmtId="0" fontId="98" fillId="0" borderId="0" xfId="3" applyFont="1" applyAlignment="1" applyProtection="1">
      <alignment horizontal="left" vertical="center" wrapText="1" shrinkToFit="1"/>
      <protection locked="0"/>
    </xf>
    <xf numFmtId="0" fontId="99" fillId="0" borderId="3" xfId="3" applyFont="1" applyBorder="1" applyAlignment="1" applyProtection="1">
      <alignment horizontal="left" vertical="center" shrinkToFit="1"/>
      <protection locked="0"/>
    </xf>
    <xf numFmtId="0" fontId="102" fillId="0" borderId="0" xfId="3" applyFont="1" applyAlignment="1" applyProtection="1">
      <alignment vertical="center"/>
      <protection locked="0"/>
    </xf>
    <xf numFmtId="0" fontId="103" fillId="0" borderId="0" xfId="3" applyFont="1" applyAlignment="1" applyProtection="1">
      <alignment horizontal="center" vertical="center"/>
      <protection locked="0"/>
    </xf>
    <xf numFmtId="0" fontId="52" fillId="8" borderId="0" xfId="9" applyFill="1"/>
    <xf numFmtId="0" fontId="104" fillId="0" borderId="0" xfId="3" applyFont="1" applyAlignment="1">
      <alignment horizontal="right" vertical="center"/>
    </xf>
    <xf numFmtId="0" fontId="105" fillId="0" borderId="18" xfId="3" applyFont="1" applyBorder="1" applyAlignment="1" applyProtection="1">
      <alignment vertical="center"/>
      <protection locked="0"/>
    </xf>
    <xf numFmtId="0" fontId="53" fillId="0" borderId="18" xfId="3" applyBorder="1" applyAlignment="1" applyProtection="1">
      <alignment vertical="center"/>
      <protection locked="0"/>
    </xf>
    <xf numFmtId="0" fontId="106" fillId="0" borderId="0" xfId="3" applyFont="1" applyAlignment="1" applyProtection="1">
      <alignment horizontal="left" vertical="center"/>
      <protection locked="0"/>
    </xf>
    <xf numFmtId="0" fontId="62" fillId="0" borderId="0" xfId="3" applyFont="1" applyAlignment="1" applyProtection="1">
      <alignment horizontal="left" vertical="center"/>
      <protection locked="0"/>
    </xf>
    <xf numFmtId="0" fontId="83" fillId="0" borderId="0" xfId="3" applyFont="1" applyAlignment="1" applyProtection="1">
      <alignment vertical="center"/>
      <protection locked="0"/>
    </xf>
    <xf numFmtId="0" fontId="54" fillId="0" borderId="0" xfId="3" applyFont="1" applyAlignment="1" applyProtection="1">
      <alignment vertical="center"/>
      <protection locked="0"/>
    </xf>
    <xf numFmtId="49" fontId="107" fillId="0" borderId="0" xfId="3" applyNumberFormat="1" applyFont="1" applyAlignment="1" applyProtection="1">
      <alignment horizontal="left" vertical="center"/>
      <protection locked="0"/>
    </xf>
    <xf numFmtId="49" fontId="53" fillId="0" borderId="0" xfId="3" applyNumberFormat="1" applyAlignment="1">
      <alignment horizontal="center" vertical="center" wrapText="1"/>
    </xf>
    <xf numFmtId="49" fontId="53" fillId="0" borderId="0" xfId="3" applyNumberFormat="1" applyAlignment="1" applyProtection="1">
      <alignment horizontal="left" vertical="center" wrapText="1"/>
      <protection locked="0"/>
    </xf>
    <xf numFmtId="49" fontId="53" fillId="0" borderId="0" xfId="3" applyNumberFormat="1" applyAlignment="1">
      <alignment horizontal="left" vertical="center" wrapText="1"/>
    </xf>
    <xf numFmtId="14" fontId="53" fillId="0" borderId="0" xfId="3" applyNumberFormat="1" applyAlignment="1" applyProtection="1">
      <alignment vertical="center"/>
      <protection locked="0"/>
    </xf>
    <xf numFmtId="0" fontId="108" fillId="0" borderId="0" xfId="3" applyFont="1" applyAlignment="1" applyProtection="1">
      <alignment horizontal="left" vertical="center"/>
      <protection locked="0"/>
    </xf>
    <xf numFmtId="0" fontId="53" fillId="0" borderId="0" xfId="3" applyAlignment="1">
      <alignment horizontal="left" vertical="center" wrapText="1"/>
    </xf>
    <xf numFmtId="0" fontId="105" fillId="0" borderId="5" xfId="3" applyFont="1" applyBorder="1" applyAlignment="1" applyProtection="1">
      <alignment vertical="center"/>
      <protection locked="0"/>
    </xf>
    <xf numFmtId="49" fontId="53" fillId="0" borderId="5" xfId="3" applyNumberFormat="1" applyBorder="1" applyAlignment="1" applyProtection="1">
      <alignment horizontal="left" vertical="center" wrapText="1"/>
      <protection locked="0"/>
    </xf>
    <xf numFmtId="0" fontId="53" fillId="0" borderId="5" xfId="3" applyBorder="1" applyAlignment="1">
      <alignment horizontal="left" vertical="center" wrapText="1"/>
    </xf>
    <xf numFmtId="0" fontId="105" fillId="0" borderId="0" xfId="3" applyFont="1" applyAlignment="1" applyProtection="1">
      <alignment vertical="center"/>
      <protection locked="0"/>
    </xf>
    <xf numFmtId="49" fontId="53" fillId="0" borderId="0" xfId="3" applyNumberFormat="1" applyAlignment="1" applyProtection="1">
      <alignment horizontal="left" vertical="center"/>
      <protection locked="0"/>
    </xf>
    <xf numFmtId="0" fontId="53" fillId="0" borderId="0" xfId="3" applyAlignment="1">
      <alignment horizontal="left" vertical="center"/>
    </xf>
    <xf numFmtId="0" fontId="54" fillId="2" borderId="1" xfId="0" applyFont="1" applyFill="1" applyBorder="1" applyAlignment="1">
      <alignment horizontal="center" vertical="center"/>
    </xf>
    <xf numFmtId="0" fontId="53" fillId="21" borderId="0" xfId="0" applyFont="1" applyFill="1" applyAlignment="1">
      <alignment horizontal="left" vertical="top" wrapText="1"/>
    </xf>
    <xf numFmtId="0" fontId="53" fillId="21" borderId="0" xfId="0" applyFont="1" applyFill="1" applyAlignment="1">
      <alignment wrapText="1"/>
    </xf>
    <xf numFmtId="0" fontId="0" fillId="21" borderId="0" xfId="0" applyFill="1" applyAlignment="1">
      <alignment wrapText="1"/>
    </xf>
    <xf numFmtId="0" fontId="53" fillId="9" borderId="0" xfId="0" applyFont="1" applyFill="1" applyAlignment="1">
      <alignment wrapText="1"/>
    </xf>
    <xf numFmtId="0" fontId="0" fillId="9" borderId="0" xfId="0" applyFill="1" applyAlignment="1">
      <alignment wrapText="1"/>
    </xf>
    <xf numFmtId="0" fontId="53" fillId="2" borderId="2" xfId="0" applyFont="1" applyFill="1" applyBorder="1" applyAlignment="1">
      <alignment horizontal="right"/>
    </xf>
    <xf numFmtId="0" fontId="0" fillId="2" borderId="4" xfId="0" applyFill="1" applyBorder="1" applyAlignment="1">
      <alignment horizontal="right"/>
    </xf>
    <xf numFmtId="0" fontId="50" fillId="0" borderId="0" xfId="11"/>
    <xf numFmtId="0" fontId="56" fillId="10" borderId="1" xfId="0" applyFont="1" applyFill="1" applyBorder="1" applyAlignment="1">
      <alignment horizontal="center" vertical="center" wrapText="1"/>
    </xf>
    <xf numFmtId="0" fontId="115" fillId="12" borderId="1" xfId="0" applyFont="1" applyFill="1" applyBorder="1" applyAlignment="1">
      <alignment horizontal="center" vertical="center" wrapText="1"/>
    </xf>
    <xf numFmtId="0" fontId="56" fillId="11" borderId="1" xfId="0" applyFont="1" applyFill="1" applyBorder="1" applyAlignment="1">
      <alignment horizontal="center" vertical="center" wrapText="1"/>
    </xf>
    <xf numFmtId="14" fontId="56" fillId="11" borderId="1" xfId="0" applyNumberFormat="1" applyFont="1" applyFill="1" applyBorder="1" applyAlignment="1">
      <alignment horizontal="center" vertical="center" wrapText="1"/>
    </xf>
    <xf numFmtId="0" fontId="77" fillId="8" borderId="0" xfId="0" applyFont="1" applyFill="1" applyAlignment="1">
      <alignment horizontal="center" vertical="center"/>
    </xf>
    <xf numFmtId="0" fontId="77" fillId="8" borderId="0" xfId="0" applyFont="1" applyFill="1" applyAlignment="1">
      <alignment vertical="center"/>
    </xf>
    <xf numFmtId="0" fontId="77" fillId="0" borderId="0" xfId="0" applyFont="1" applyAlignment="1">
      <alignment vertical="center"/>
    </xf>
    <xf numFmtId="0" fontId="56" fillId="0" borderId="0" xfId="0" applyFont="1" applyAlignment="1">
      <alignment vertical="center"/>
    </xf>
    <xf numFmtId="0" fontId="117" fillId="29" borderId="20" xfId="14" applyFont="1" applyFill="1" applyBorder="1" applyAlignment="1" applyProtection="1">
      <alignment horizontal="center" vertical="center" wrapText="1"/>
      <protection locked="0"/>
    </xf>
    <xf numFmtId="0" fontId="118" fillId="13" borderId="20" xfId="14" applyFont="1" applyFill="1" applyBorder="1" applyAlignment="1" applyProtection="1">
      <alignment horizontal="center" vertical="center" wrapText="1"/>
    </xf>
    <xf numFmtId="0" fontId="117" fillId="7" borderId="1" xfId="14" applyFont="1" applyFill="1" applyBorder="1" applyAlignment="1">
      <alignment horizontal="left" vertical="center"/>
    </xf>
    <xf numFmtId="0" fontId="113" fillId="25" borderId="14" xfId="12" applyAlignment="1">
      <alignment horizontal="center" vertical="center"/>
    </xf>
    <xf numFmtId="0" fontId="117" fillId="7" borderId="1" xfId="14" applyFont="1" applyFill="1" applyBorder="1" applyAlignment="1">
      <alignment horizontal="center" vertical="center"/>
    </xf>
    <xf numFmtId="0" fontId="53" fillId="5" borderId="0" xfId="15" applyFill="1" applyAlignment="1">
      <alignment vertical="center"/>
    </xf>
    <xf numFmtId="0" fontId="53" fillId="5" borderId="0" xfId="15" applyFill="1" applyAlignment="1">
      <alignment vertical="center" wrapText="1"/>
    </xf>
    <xf numFmtId="0" fontId="53" fillId="0" borderId="1" xfId="3" applyBorder="1" applyAlignment="1">
      <alignment vertical="center"/>
    </xf>
    <xf numFmtId="0" fontId="55" fillId="5" borderId="0" xfId="15" applyFont="1" applyFill="1" applyAlignment="1">
      <alignment vertical="center"/>
    </xf>
    <xf numFmtId="0" fontId="94" fillId="30" borderId="10" xfId="15" applyFont="1" applyFill="1" applyBorder="1" applyAlignment="1">
      <alignment vertical="center"/>
    </xf>
    <xf numFmtId="0" fontId="123" fillId="30" borderId="19" xfId="15" applyFont="1" applyFill="1" applyBorder="1" applyAlignment="1">
      <alignment vertical="center" wrapText="1"/>
    </xf>
    <xf numFmtId="0" fontId="123" fillId="30" borderId="11" xfId="15" applyFont="1" applyFill="1" applyBorder="1" applyAlignment="1">
      <alignment vertical="center" wrapText="1"/>
    </xf>
    <xf numFmtId="0" fontId="53" fillId="5" borderId="1" xfId="15" applyFill="1" applyBorder="1" applyAlignment="1">
      <alignment vertical="center"/>
    </xf>
    <xf numFmtId="0" fontId="53" fillId="0" borderId="12" xfId="3" applyBorder="1" applyAlignment="1">
      <alignment vertical="center"/>
    </xf>
    <xf numFmtId="0" fontId="53" fillId="0" borderId="7" xfId="3" applyBorder="1" applyAlignment="1">
      <alignment vertical="center"/>
    </xf>
    <xf numFmtId="0" fontId="124" fillId="5" borderId="1" xfId="15" applyFont="1" applyFill="1" applyBorder="1" applyAlignment="1">
      <alignment horizontal="center" vertical="center"/>
    </xf>
    <xf numFmtId="0" fontId="53" fillId="5" borderId="1" xfId="15" applyFill="1" applyBorder="1" applyAlignment="1">
      <alignment vertical="center" wrapText="1"/>
    </xf>
    <xf numFmtId="0" fontId="94" fillId="32" borderId="10" xfId="15" applyFont="1" applyFill="1" applyBorder="1" applyAlignment="1">
      <alignment vertical="center"/>
    </xf>
    <xf numFmtId="0" fontId="63" fillId="32" borderId="8" xfId="15" applyFont="1" applyFill="1" applyBorder="1" applyAlignment="1">
      <alignment horizontal="center" vertical="center" wrapText="1"/>
    </xf>
    <xf numFmtId="0" fontId="123" fillId="32" borderId="19" xfId="15" applyFont="1" applyFill="1" applyBorder="1" applyAlignment="1">
      <alignment vertical="center" wrapText="1"/>
    </xf>
    <xf numFmtId="0" fontId="123" fillId="32" borderId="11" xfId="15" applyFont="1" applyFill="1" applyBorder="1" applyAlignment="1">
      <alignment vertical="center" wrapText="1"/>
    </xf>
    <xf numFmtId="0" fontId="94" fillId="33" borderId="1" xfId="15" applyFont="1" applyFill="1" applyBorder="1" applyAlignment="1">
      <alignment horizontal="center" vertical="center" textRotation="45" wrapText="1"/>
    </xf>
    <xf numFmtId="0" fontId="121" fillId="33" borderId="1" xfId="15" applyFont="1" applyFill="1" applyBorder="1" applyAlignment="1">
      <alignment horizontal="center" vertical="center" wrapText="1"/>
    </xf>
    <xf numFmtId="0" fontId="109" fillId="33" borderId="1" xfId="15" applyFont="1" applyFill="1" applyBorder="1" applyAlignment="1">
      <alignment horizontal="center" vertical="center" textRotation="45"/>
    </xf>
    <xf numFmtId="0" fontId="109" fillId="33" borderId="1" xfId="15" applyFont="1" applyFill="1" applyBorder="1" applyAlignment="1">
      <alignment horizontal="center" vertical="center" wrapText="1"/>
    </xf>
    <xf numFmtId="0" fontId="94" fillId="33" borderId="13" xfId="15" applyFont="1" applyFill="1" applyBorder="1" applyAlignment="1">
      <alignment horizontal="center" vertical="center"/>
    </xf>
    <xf numFmtId="0" fontId="122" fillId="33" borderId="13" xfId="15" applyFont="1" applyFill="1" applyBorder="1" applyAlignment="1">
      <alignment horizontal="center" vertical="center" wrapText="1"/>
    </xf>
    <xf numFmtId="0" fontId="94" fillId="24" borderId="7" xfId="15" applyFont="1" applyFill="1" applyBorder="1" applyAlignment="1">
      <alignment horizontal="center" vertical="center"/>
    </xf>
    <xf numFmtId="0" fontId="125" fillId="24" borderId="8" xfId="15" applyFont="1" applyFill="1" applyBorder="1" applyAlignment="1">
      <alignment horizontal="center" vertical="center" wrapText="1"/>
    </xf>
    <xf numFmtId="0" fontId="122" fillId="24" borderId="8" xfId="15" applyFont="1" applyFill="1" applyBorder="1" applyAlignment="1">
      <alignment horizontal="center" vertical="center" wrapText="1"/>
    </xf>
    <xf numFmtId="0" fontId="122" fillId="24" borderId="9" xfId="15" applyFont="1" applyFill="1" applyBorder="1" applyAlignment="1">
      <alignment horizontal="center" vertical="center" wrapText="1"/>
    </xf>
    <xf numFmtId="0" fontId="63" fillId="30" borderId="19" xfId="15" applyFont="1" applyFill="1" applyBorder="1" applyAlignment="1">
      <alignment vertical="center" wrapText="1"/>
    </xf>
    <xf numFmtId="0" fontId="0" fillId="0" borderId="0" xfId="0" applyAlignment="1" applyProtection="1">
      <alignment vertical="center"/>
      <protection locked="0"/>
    </xf>
    <xf numFmtId="0" fontId="106" fillId="0" borderId="0" xfId="0" applyFont="1" applyAlignment="1" applyProtection="1">
      <alignment horizontal="left" vertical="center"/>
      <protection locked="0"/>
    </xf>
    <xf numFmtId="0" fontId="53" fillId="0" borderId="1" xfId="15" applyBorder="1" applyAlignment="1">
      <alignment vertical="center" wrapText="1"/>
    </xf>
    <xf numFmtId="0" fontId="63" fillId="31" borderId="0" xfId="3" applyFont="1" applyFill="1" applyAlignment="1">
      <alignment horizontal="center" wrapText="1"/>
    </xf>
    <xf numFmtId="0" fontId="75" fillId="31" borderId="0" xfId="3" applyFont="1" applyFill="1" applyAlignment="1">
      <alignment horizontal="center" wrapText="1"/>
    </xf>
    <xf numFmtId="0" fontId="117" fillId="29" borderId="12" xfId="29" applyFont="1" applyFill="1" applyBorder="1" applyAlignment="1">
      <alignment horizontal="center" vertical="center" wrapText="1"/>
    </xf>
    <xf numFmtId="0" fontId="130" fillId="0" borderId="2" xfId="0" applyFont="1" applyBorder="1" applyAlignment="1">
      <alignment horizontal="right" vertical="center"/>
    </xf>
    <xf numFmtId="0" fontId="132" fillId="0" borderId="0" xfId="0" applyFont="1" applyAlignment="1">
      <alignment wrapText="1"/>
    </xf>
    <xf numFmtId="0" fontId="114" fillId="7" borderId="1" xfId="14" applyFont="1" applyFill="1" applyBorder="1" applyAlignment="1">
      <alignment horizontal="center" vertical="center"/>
    </xf>
    <xf numFmtId="0" fontId="133" fillId="8" borderId="0" xfId="30" applyFill="1" applyAlignment="1">
      <alignment horizontal="center" wrapText="1"/>
    </xf>
    <xf numFmtId="0" fontId="53" fillId="0" borderId="1" xfId="0" applyFont="1" applyBorder="1" applyAlignment="1">
      <alignment horizontal="center" vertical="center" wrapText="1"/>
    </xf>
    <xf numFmtId="14" fontId="53" fillId="0" borderId="1" xfId="0" applyNumberFormat="1" applyFont="1" applyBorder="1" applyAlignment="1">
      <alignment horizontal="center" vertical="center" wrapText="1"/>
    </xf>
    <xf numFmtId="0" fontId="109" fillId="33" borderId="1" xfId="15" applyFont="1" applyFill="1" applyBorder="1" applyAlignment="1">
      <alignment horizontal="right" vertical="center" wrapText="1"/>
    </xf>
    <xf numFmtId="0" fontId="136" fillId="0" borderId="1" xfId="0" applyFont="1" applyBorder="1" applyAlignment="1">
      <alignment horizontal="center" vertical="center" wrapText="1"/>
    </xf>
    <xf numFmtId="14" fontId="53" fillId="13" borderId="1" xfId="0" applyNumberFormat="1" applyFont="1" applyFill="1" applyBorder="1" applyAlignment="1">
      <alignment horizontal="center" vertical="center" wrapText="1"/>
    </xf>
    <xf numFmtId="0" fontId="53" fillId="0" borderId="0" xfId="0" applyFont="1" applyAlignment="1">
      <alignment horizontal="center" vertical="center"/>
    </xf>
    <xf numFmtId="0" fontId="53" fillId="0" borderId="1" xfId="3" applyBorder="1" applyAlignment="1">
      <alignment vertical="center" wrapText="1"/>
    </xf>
    <xf numFmtId="0" fontId="53" fillId="13" borderId="0" xfId="0" applyFont="1" applyFill="1" applyAlignment="1">
      <alignment wrapText="1"/>
    </xf>
    <xf numFmtId="0" fontId="33" fillId="0" borderId="1" xfId="11" applyFont="1" applyBorder="1"/>
    <xf numFmtId="0" fontId="50" fillId="0" borderId="1" xfId="11" applyBorder="1"/>
    <xf numFmtId="0" fontId="85" fillId="6" borderId="1" xfId="1" applyBorder="1"/>
    <xf numFmtId="0" fontId="34" fillId="0" borderId="1" xfId="11" applyFont="1" applyBorder="1"/>
    <xf numFmtId="0" fontId="31" fillId="0" borderId="1" xfId="11" applyFont="1" applyBorder="1"/>
    <xf numFmtId="0" fontId="32" fillId="0" borderId="1" xfId="11" applyFont="1" applyBorder="1"/>
    <xf numFmtId="0" fontId="28" fillId="0" borderId="1" xfId="11" applyFont="1" applyBorder="1"/>
    <xf numFmtId="0" fontId="30" fillId="0" borderId="1" xfId="11" applyFont="1" applyBorder="1"/>
    <xf numFmtId="0" fontId="29" fillId="0" borderId="1" xfId="11" applyFont="1" applyBorder="1"/>
    <xf numFmtId="0" fontId="27" fillId="0" borderId="1" xfId="11" applyFont="1" applyBorder="1"/>
    <xf numFmtId="0" fontId="53" fillId="8" borderId="1" xfId="0" applyFont="1" applyFill="1" applyBorder="1" applyAlignment="1">
      <alignment horizontal="center" vertical="center" wrapText="1"/>
    </xf>
    <xf numFmtId="0" fontId="53"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ill="1" applyBorder="1" applyAlignment="1">
      <alignment horizontal="center" vertical="center"/>
    </xf>
    <xf numFmtId="14" fontId="53" fillId="8" borderId="1" xfId="0" applyNumberFormat="1" applyFont="1" applyFill="1" applyBorder="1" applyAlignment="1">
      <alignment horizontal="center" vertical="center" wrapText="1"/>
    </xf>
    <xf numFmtId="0" fontId="50" fillId="0" borderId="12" xfId="11" applyBorder="1"/>
    <xf numFmtId="0" fontId="26" fillId="0" borderId="1" xfId="11" applyFont="1" applyBorder="1"/>
    <xf numFmtId="0" fontId="53" fillId="0" borderId="0" xfId="0" applyFont="1" applyAlignment="1">
      <alignment horizontal="center" wrapText="1"/>
    </xf>
    <xf numFmtId="0" fontId="53" fillId="0" borderId="0" xfId="0" applyFont="1"/>
    <xf numFmtId="0" fontId="25" fillId="0" borderId="12" xfId="11" applyFont="1" applyBorder="1"/>
    <xf numFmtId="0" fontId="24" fillId="0" borderId="1" xfId="11" applyFont="1" applyBorder="1"/>
    <xf numFmtId="0" fontId="23" fillId="0" borderId="1" xfId="11" applyFont="1" applyBorder="1"/>
    <xf numFmtId="0" fontId="22" fillId="0" borderId="1" xfId="11" applyFont="1" applyBorder="1"/>
    <xf numFmtId="0" fontId="21" fillId="0" borderId="1" xfId="11" applyFont="1" applyBorder="1"/>
    <xf numFmtId="0" fontId="53" fillId="13" borderId="0" xfId="0" applyFont="1" applyFill="1" applyAlignment="1">
      <alignment horizontal="center" wrapText="1"/>
    </xf>
    <xf numFmtId="0" fontId="20" fillId="0" borderId="1" xfId="11" applyFont="1" applyBorder="1"/>
    <xf numFmtId="0" fontId="137" fillId="0" borderId="1" xfId="0" applyFont="1" applyBorder="1"/>
    <xf numFmtId="0" fontId="138" fillId="35" borderId="1" xfId="0" applyFont="1" applyFill="1" applyBorder="1"/>
    <xf numFmtId="0" fontId="19" fillId="0" borderId="1" xfId="11" applyFont="1" applyBorder="1"/>
    <xf numFmtId="0" fontId="85" fillId="6" borderId="12" xfId="1" applyBorder="1"/>
    <xf numFmtId="0" fontId="19" fillId="0" borderId="12" xfId="11" applyFont="1" applyBorder="1"/>
    <xf numFmtId="0" fontId="18" fillId="0" borderId="12" xfId="11" applyFont="1" applyBorder="1"/>
    <xf numFmtId="0" fontId="17" fillId="0" borderId="1" xfId="11" applyFont="1" applyBorder="1"/>
    <xf numFmtId="0" fontId="17" fillId="0" borderId="12" xfId="11" applyFont="1" applyBorder="1"/>
    <xf numFmtId="0" fontId="16" fillId="0" borderId="12" xfId="11" applyFont="1" applyBorder="1"/>
    <xf numFmtId="0" fontId="15" fillId="0" borderId="1" xfId="11" applyFont="1" applyBorder="1"/>
    <xf numFmtId="0" fontId="15" fillId="0" borderId="12" xfId="11" applyFont="1" applyBorder="1"/>
    <xf numFmtId="0" fontId="14" fillId="0" borderId="1" xfId="11" applyFont="1" applyBorder="1"/>
    <xf numFmtId="0" fontId="0" fillId="0" borderId="1" xfId="0" applyBorder="1" applyAlignment="1">
      <alignment horizontal="left" vertical="top"/>
    </xf>
    <xf numFmtId="0" fontId="109" fillId="33" borderId="1" xfId="15" applyFont="1" applyFill="1" applyBorder="1" applyAlignment="1">
      <alignment horizontal="left" vertical="top" textRotation="45"/>
    </xf>
    <xf numFmtId="2" fontId="0" fillId="0" borderId="1" xfId="0" applyNumberFormat="1" applyBorder="1" applyAlignment="1">
      <alignment horizontal="center" vertical="center" wrapText="1"/>
    </xf>
    <xf numFmtId="0" fontId="13" fillId="0" borderId="1" xfId="11" applyFont="1" applyBorder="1"/>
    <xf numFmtId="0" fontId="12" fillId="0" borderId="12" xfId="11" applyFont="1" applyBorder="1"/>
    <xf numFmtId="0" fontId="11" fillId="0" borderId="12" xfId="11" applyFont="1" applyBorder="1"/>
    <xf numFmtId="0" fontId="53" fillId="0" borderId="0" xfId="0" applyFont="1" applyAlignment="1">
      <alignment horizontal="center"/>
    </xf>
    <xf numFmtId="0" fontId="10" fillId="0" borderId="12" xfId="11" applyFont="1" applyBorder="1"/>
    <xf numFmtId="0" fontId="12" fillId="0" borderId="1" xfId="11" applyFont="1" applyBorder="1"/>
    <xf numFmtId="0" fontId="9" fillId="0" borderId="1" xfId="11" applyFont="1" applyBorder="1"/>
    <xf numFmtId="0" fontId="8" fillId="0" borderId="1" xfId="11" applyFont="1" applyBorder="1"/>
    <xf numFmtId="0" fontId="53" fillId="0" borderId="0" xfId="0" applyFont="1" applyAlignment="1">
      <alignment wrapText="1"/>
    </xf>
    <xf numFmtId="0" fontId="7" fillId="0" borderId="1" xfId="11" applyFont="1" applyBorder="1"/>
    <xf numFmtId="0" fontId="6" fillId="0" borderId="1" xfId="11" applyFont="1" applyBorder="1"/>
    <xf numFmtId="49" fontId="0" fillId="0" borderId="1" xfId="0" applyNumberFormat="1" applyBorder="1" applyAlignment="1">
      <alignment horizontal="center"/>
    </xf>
    <xf numFmtId="0" fontId="0" fillId="0" borderId="1" xfId="0" applyBorder="1"/>
    <xf numFmtId="0" fontId="53" fillId="0" borderId="1" xfId="0" applyFont="1" applyBorder="1"/>
    <xf numFmtId="49" fontId="53" fillId="0" borderId="1" xfId="0" applyNumberFormat="1" applyFont="1" applyBorder="1" applyAlignment="1">
      <alignment horizontal="center"/>
    </xf>
    <xf numFmtId="0" fontId="5" fillId="0" borderId="1" xfId="11" applyFont="1" applyBorder="1"/>
    <xf numFmtId="0" fontId="53" fillId="0" borderId="1" xfId="0" applyFont="1" applyBorder="1" applyAlignment="1">
      <alignment horizontal="left" vertical="center" wrapText="1"/>
    </xf>
    <xf numFmtId="0" fontId="4" fillId="0" borderId="1" xfId="11" applyFont="1" applyBorder="1"/>
    <xf numFmtId="0" fontId="3" fillId="0" borderId="1" xfId="11" applyFont="1" applyBorder="1"/>
    <xf numFmtId="0" fontId="0" fillId="0" borderId="1" xfId="0" applyBorder="1" applyAlignment="1">
      <alignment horizontal="center"/>
    </xf>
    <xf numFmtId="0" fontId="53" fillId="0" borderId="1" xfId="0" applyFont="1" applyBorder="1" applyAlignment="1">
      <alignment wrapText="1"/>
    </xf>
    <xf numFmtId="14" fontId="0" fillId="0" borderId="1" xfId="0" applyNumberForma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2" fillId="0" borderId="1" xfId="11" applyFont="1" applyBorder="1"/>
    <xf numFmtId="0" fontId="1" fillId="0" borderId="1" xfId="11" applyFont="1" applyBorder="1"/>
    <xf numFmtId="0" fontId="103" fillId="0" borderId="0" xfId="3" applyFont="1" applyAlignment="1" applyProtection="1">
      <alignment horizontal="center" vertical="center" wrapText="1"/>
      <protection locked="0"/>
    </xf>
    <xf numFmtId="0" fontId="53" fillId="0" borderId="0" xfId="3" applyAlignment="1">
      <alignment vertical="center" wrapText="1"/>
    </xf>
    <xf numFmtId="0" fontId="94" fillId="16" borderId="2" xfId="3" applyFont="1" applyFill="1" applyBorder="1" applyAlignment="1" applyProtection="1">
      <alignment horizontal="center" vertical="center" shrinkToFit="1"/>
      <protection locked="0"/>
    </xf>
    <xf numFmtId="0" fontId="94" fillId="16" borderId="0" xfId="3" applyFont="1" applyFill="1" applyAlignment="1" applyProtection="1">
      <alignment horizontal="center" vertical="center" shrinkToFit="1"/>
      <protection locked="0"/>
    </xf>
    <xf numFmtId="0" fontId="94" fillId="16" borderId="3" xfId="3" applyFont="1" applyFill="1" applyBorder="1" applyAlignment="1" applyProtection="1">
      <alignment horizontal="center" vertical="center" shrinkToFit="1"/>
      <protection locked="0"/>
    </xf>
    <xf numFmtId="0" fontId="53" fillId="0" borderId="4" xfId="3" applyBorder="1" applyAlignment="1" applyProtection="1">
      <alignment horizontal="right" vertical="top" wrapText="1" shrinkToFit="1"/>
      <protection locked="0"/>
    </xf>
    <xf numFmtId="0" fontId="53" fillId="0" borderId="5" xfId="3" applyBorder="1" applyAlignment="1" applyProtection="1">
      <alignment horizontal="right" vertical="top" wrapText="1" shrinkToFit="1"/>
      <protection locked="0"/>
    </xf>
    <xf numFmtId="0" fontId="95" fillId="0" borderId="5" xfId="0" applyFont="1" applyBorder="1" applyAlignment="1" applyProtection="1">
      <alignment horizontal="left" vertical="top" wrapText="1" shrinkToFit="1"/>
      <protection locked="0"/>
    </xf>
    <xf numFmtId="0" fontId="95" fillId="0" borderId="6" xfId="0" applyFont="1" applyBorder="1" applyAlignment="1" applyProtection="1">
      <alignment horizontal="left" vertical="top" wrapText="1" shrinkToFit="1"/>
      <protection locked="0"/>
    </xf>
    <xf numFmtId="0" fontId="55" fillId="0" borderId="5" xfId="3" applyFont="1" applyBorder="1" applyAlignment="1" applyProtection="1">
      <alignment horizontal="left" vertical="top" wrapText="1" shrinkToFit="1"/>
      <protection locked="0"/>
    </xf>
    <xf numFmtId="0" fontId="97" fillId="0" borderId="5" xfId="3" applyFont="1" applyBorder="1" applyAlignment="1" applyProtection="1">
      <alignment horizontal="left" vertical="top" shrinkToFit="1"/>
      <protection locked="0"/>
    </xf>
    <xf numFmtId="0" fontId="97" fillId="0" borderId="6" xfId="3" applyFont="1" applyBorder="1" applyAlignment="1" applyProtection="1">
      <alignment horizontal="left" vertical="top" shrinkToFit="1"/>
      <protection locked="0"/>
    </xf>
    <xf numFmtId="0" fontId="94" fillId="16" borderId="7" xfId="3" applyFont="1" applyFill="1" applyBorder="1" applyAlignment="1" applyProtection="1">
      <alignment horizontal="center" vertical="center" shrinkToFit="1"/>
      <protection locked="0"/>
    </xf>
    <xf numFmtId="0" fontId="94" fillId="16" borderId="8" xfId="3" applyFont="1" applyFill="1" applyBorder="1" applyAlignment="1" applyProtection="1">
      <alignment horizontal="center" vertical="center" shrinkToFit="1"/>
      <protection locked="0"/>
    </xf>
    <xf numFmtId="0" fontId="94" fillId="16" borderId="9" xfId="3" applyFont="1" applyFill="1" applyBorder="1" applyAlignment="1" applyProtection="1">
      <alignment horizontal="center" vertical="center" shrinkToFit="1"/>
      <protection locked="0"/>
    </xf>
    <xf numFmtId="0" fontId="53" fillId="0" borderId="4" xfId="3" applyBorder="1" applyAlignment="1" applyProtection="1">
      <alignment horizontal="center" vertical="top" wrapText="1" shrinkToFit="1"/>
      <protection locked="0"/>
    </xf>
    <xf numFmtId="0" fontId="53" fillId="0" borderId="5" xfId="3" applyBorder="1" applyAlignment="1" applyProtection="1">
      <alignment horizontal="center" vertical="top" wrapText="1" shrinkToFit="1"/>
      <protection locked="0"/>
    </xf>
    <xf numFmtId="0" fontId="53" fillId="0" borderId="6" xfId="3" applyBorder="1" applyAlignment="1" applyProtection="1">
      <alignment horizontal="center" vertical="top" wrapText="1" shrinkToFit="1"/>
      <protection locked="0"/>
    </xf>
    <xf numFmtId="0" fontId="94" fillId="16" borderId="8" xfId="3" applyFont="1" applyFill="1" applyBorder="1" applyAlignment="1" applyProtection="1">
      <alignment horizontal="center" vertical="center" wrapText="1"/>
      <protection locked="0"/>
    </xf>
    <xf numFmtId="0" fontId="94" fillId="16" borderId="0" xfId="3" applyFont="1" applyFill="1" applyAlignment="1" applyProtection="1">
      <alignment horizontal="center" vertical="center" wrapText="1"/>
      <protection locked="0"/>
    </xf>
    <xf numFmtId="0" fontId="53" fillId="0" borderId="7" xfId="3" applyBorder="1" applyAlignment="1" applyProtection="1">
      <alignment horizontal="left" vertical="top"/>
      <protection locked="0"/>
    </xf>
    <xf numFmtId="0" fontId="53" fillId="0" borderId="8" xfId="3" applyBorder="1" applyAlignment="1" applyProtection="1">
      <alignment horizontal="left" vertical="top"/>
      <protection locked="0"/>
    </xf>
    <xf numFmtId="0" fontId="53" fillId="0" borderId="9" xfId="3" applyBorder="1" applyAlignment="1" applyProtection="1">
      <alignment horizontal="left" vertical="top"/>
      <protection locked="0"/>
    </xf>
    <xf numFmtId="0" fontId="53" fillId="0" borderId="4" xfId="3" applyBorder="1" applyAlignment="1" applyProtection="1">
      <alignment horizontal="left" vertical="top"/>
      <protection locked="0"/>
    </xf>
    <xf numFmtId="0" fontId="53" fillId="0" borderId="5" xfId="3" applyBorder="1" applyAlignment="1" applyProtection="1">
      <alignment horizontal="left" vertical="top"/>
      <protection locked="0"/>
    </xf>
    <xf numFmtId="0" fontId="53" fillId="0" borderId="6" xfId="3" applyBorder="1" applyAlignment="1" applyProtection="1">
      <alignment horizontal="left" vertical="top"/>
      <protection locked="0"/>
    </xf>
    <xf numFmtId="0" fontId="94" fillId="16" borderId="2" xfId="3" applyFont="1" applyFill="1" applyBorder="1" applyAlignment="1" applyProtection="1">
      <alignment horizontal="center" vertical="center" wrapText="1" shrinkToFit="1"/>
      <protection locked="0"/>
    </xf>
    <xf numFmtId="0" fontId="94" fillId="16" borderId="0" xfId="3" applyFont="1" applyFill="1" applyAlignment="1" applyProtection="1">
      <alignment horizontal="center" vertical="center" wrapText="1" shrinkToFit="1"/>
      <protection locked="0"/>
    </xf>
    <xf numFmtId="0" fontId="113" fillId="25" borderId="14" xfId="12" applyAlignment="1" applyProtection="1">
      <alignment horizontal="center" vertical="center"/>
      <protection locked="0"/>
    </xf>
    <xf numFmtId="0" fontId="58" fillId="0" borderId="7" xfId="3" applyFont="1" applyBorder="1" applyAlignment="1">
      <alignment horizontal="left" vertical="center" wrapText="1"/>
    </xf>
    <xf numFmtId="0" fontId="58" fillId="0" borderId="8" xfId="3" applyFont="1" applyBorder="1" applyAlignment="1">
      <alignment horizontal="left" vertical="center" wrapText="1"/>
    </xf>
    <xf numFmtId="0" fontId="58" fillId="0" borderId="9" xfId="3" applyFont="1" applyBorder="1" applyAlignment="1">
      <alignment horizontal="left" vertical="center" wrapText="1"/>
    </xf>
    <xf numFmtId="0" fontId="58" fillId="0" borderId="7" xfId="3" applyFont="1" applyBorder="1" applyAlignment="1">
      <alignment horizontal="left" vertical="center" shrinkToFit="1"/>
    </xf>
    <xf numFmtId="0" fontId="58" fillId="0" borderId="8" xfId="3" applyFont="1" applyBorder="1" applyAlignment="1">
      <alignment horizontal="left" vertical="center" shrinkToFit="1"/>
    </xf>
    <xf numFmtId="0" fontId="58" fillId="0" borderId="9" xfId="3" applyFont="1" applyBorder="1" applyAlignment="1">
      <alignment horizontal="left" vertical="center" shrinkToFit="1"/>
    </xf>
    <xf numFmtId="0" fontId="92" fillId="0" borderId="4" xfId="0" applyFont="1" applyBorder="1" applyAlignment="1">
      <alignment horizontal="left" vertical="center" shrinkToFit="1"/>
    </xf>
    <xf numFmtId="0" fontId="92" fillId="0" borderId="5" xfId="0" applyFont="1" applyBorder="1" applyAlignment="1">
      <alignment horizontal="left" vertical="center" shrinkToFit="1"/>
    </xf>
    <xf numFmtId="0" fontId="92" fillId="0" borderId="6" xfId="0" applyFont="1" applyBorder="1" applyAlignment="1">
      <alignment horizontal="left" vertical="center" shrinkToFit="1"/>
    </xf>
    <xf numFmtId="0" fontId="92" fillId="0" borderId="4" xfId="3" applyFont="1" applyBorder="1" applyAlignment="1">
      <alignment horizontal="left" vertical="center" shrinkToFit="1"/>
    </xf>
    <xf numFmtId="0" fontId="92" fillId="0" borderId="5" xfId="3" applyFont="1" applyBorder="1" applyAlignment="1">
      <alignment horizontal="left" vertical="center" shrinkToFit="1"/>
    </xf>
    <xf numFmtId="0" fontId="92" fillId="0" borderId="6" xfId="3" applyFont="1" applyBorder="1" applyAlignment="1">
      <alignment horizontal="left" vertical="center" shrinkToFit="1"/>
    </xf>
    <xf numFmtId="0" fontId="134" fillId="0" borderId="4" xfId="0" applyFont="1" applyBorder="1" applyAlignment="1">
      <alignment horizontal="left" vertical="center" shrinkToFit="1"/>
    </xf>
    <xf numFmtId="0" fontId="134" fillId="0" borderId="5" xfId="0" applyFont="1" applyBorder="1" applyAlignment="1">
      <alignment horizontal="left" vertical="center" shrinkToFit="1"/>
    </xf>
    <xf numFmtId="0" fontId="134" fillId="0" borderId="6" xfId="0" applyFont="1" applyBorder="1" applyAlignment="1">
      <alignment horizontal="left" vertical="center" shrinkToFit="1"/>
    </xf>
    <xf numFmtId="49" fontId="53" fillId="0" borderId="10" xfId="3" applyNumberFormat="1" applyBorder="1" applyAlignment="1" applyProtection="1">
      <alignment horizontal="center" vertical="center" wrapText="1"/>
      <protection locked="0"/>
    </xf>
    <xf numFmtId="49" fontId="53" fillId="0" borderId="19" xfId="3" applyNumberFormat="1" applyBorder="1" applyAlignment="1" applyProtection="1">
      <alignment horizontal="center" vertical="center" wrapText="1"/>
      <protection locked="0"/>
    </xf>
    <xf numFmtId="49" fontId="53" fillId="0" borderId="11" xfId="3" applyNumberFormat="1" applyBorder="1" applyAlignment="1" applyProtection="1">
      <alignment horizontal="center" vertical="center" wrapText="1"/>
      <protection locked="0"/>
    </xf>
    <xf numFmtId="0" fontId="53" fillId="0" borderId="10" xfId="3" applyBorder="1" applyAlignment="1">
      <alignment horizontal="left" vertical="center" wrapText="1"/>
    </xf>
    <xf numFmtId="0" fontId="53" fillId="0" borderId="19" xfId="3" applyBorder="1" applyAlignment="1">
      <alignment horizontal="left" vertical="center" wrapText="1"/>
    </xf>
    <xf numFmtId="0" fontId="53" fillId="0" borderId="11" xfId="3" applyBorder="1" applyAlignment="1">
      <alignment horizontal="left" vertical="center" wrapText="1"/>
    </xf>
    <xf numFmtId="0" fontId="86" fillId="0" borderId="10" xfId="2" applyBorder="1" applyAlignment="1">
      <alignment horizontal="left" vertical="center" wrapText="1"/>
    </xf>
    <xf numFmtId="0" fontId="72" fillId="18" borderId="1" xfId="3" applyFont="1" applyFill="1" applyBorder="1" applyAlignment="1" applyProtection="1">
      <alignment horizontal="center" vertical="center" wrapText="1"/>
      <protection locked="0"/>
    </xf>
    <xf numFmtId="0" fontId="109" fillId="20" borderId="1" xfId="3" applyFont="1" applyFill="1" applyBorder="1" applyAlignment="1">
      <alignment horizontal="center" vertical="center" wrapText="1"/>
    </xf>
    <xf numFmtId="49" fontId="53" fillId="0" borderId="1" xfId="3" applyNumberFormat="1" applyBorder="1" applyAlignment="1" applyProtection="1">
      <alignment vertical="center" wrapText="1"/>
      <protection locked="0"/>
    </xf>
    <xf numFmtId="49" fontId="53" fillId="0" borderId="1" xfId="3" applyNumberFormat="1" applyBorder="1" applyAlignment="1" applyProtection="1">
      <alignment horizontal="left" vertical="center" wrapText="1"/>
      <protection locked="0"/>
    </xf>
    <xf numFmtId="0" fontId="53" fillId="0" borderId="1" xfId="3" applyBorder="1" applyAlignment="1">
      <alignment horizontal="left" vertical="center" wrapText="1"/>
    </xf>
    <xf numFmtId="0" fontId="53" fillId="0" borderId="1" xfId="3" applyBorder="1" applyAlignment="1">
      <alignment horizontal="center" vertical="center" wrapText="1"/>
    </xf>
    <xf numFmtId="14" fontId="53" fillId="0" borderId="10" xfId="3" applyNumberFormat="1" applyBorder="1" applyAlignment="1" applyProtection="1">
      <alignment horizontal="left" vertical="center" wrapText="1"/>
      <protection locked="0"/>
    </xf>
    <xf numFmtId="14" fontId="53" fillId="0" borderId="19" xfId="3" applyNumberFormat="1" applyBorder="1" applyAlignment="1" applyProtection="1">
      <alignment horizontal="left" vertical="center" wrapText="1"/>
      <protection locked="0"/>
    </xf>
    <xf numFmtId="14" fontId="53" fillId="0" borderId="11" xfId="3" applyNumberFormat="1" applyBorder="1" applyAlignment="1" applyProtection="1">
      <alignment horizontal="left" vertical="center" wrapText="1"/>
      <protection locked="0"/>
    </xf>
    <xf numFmtId="49" fontId="53" fillId="0" borderId="1" xfId="3" applyNumberFormat="1" applyBorder="1" applyAlignment="1">
      <alignment horizontal="left" vertical="center" wrapText="1"/>
    </xf>
    <xf numFmtId="49" fontId="53" fillId="0" borderId="1" xfId="3" applyNumberFormat="1" applyBorder="1" applyAlignment="1" applyProtection="1">
      <alignment horizontal="center" vertical="center" wrapText="1"/>
      <protection locked="0"/>
    </xf>
    <xf numFmtId="49" fontId="53" fillId="0" borderId="1" xfId="3" applyNumberFormat="1" applyBorder="1" applyAlignment="1">
      <alignment horizontal="center" vertical="center" wrapText="1"/>
    </xf>
    <xf numFmtId="49" fontId="53" fillId="22" borderId="1" xfId="3" applyNumberFormat="1" applyFill="1" applyBorder="1" applyAlignment="1" applyProtection="1">
      <alignment horizontal="center" vertical="center" wrapText="1"/>
      <protection locked="0"/>
    </xf>
    <xf numFmtId="49" fontId="53" fillId="34" borderId="1" xfId="3" applyNumberFormat="1" applyFill="1" applyBorder="1" applyAlignment="1" applyProtection="1">
      <alignment horizontal="center" vertical="center" wrapText="1"/>
      <protection locked="0"/>
    </xf>
    <xf numFmtId="49" fontId="89" fillId="24" borderId="1" xfId="3" applyNumberFormat="1" applyFont="1" applyFill="1" applyBorder="1" applyAlignment="1" applyProtection="1">
      <alignment horizontal="center" vertical="center" wrapText="1"/>
      <protection locked="0"/>
    </xf>
    <xf numFmtId="0" fontId="58" fillId="17" borderId="7" xfId="3" applyFont="1" applyFill="1" applyBorder="1" applyAlignment="1">
      <alignment horizontal="left" vertical="center" shrinkToFit="1"/>
    </xf>
    <xf numFmtId="0" fontId="58" fillId="17" borderId="8" xfId="3" applyFont="1" applyFill="1" applyBorder="1" applyAlignment="1">
      <alignment horizontal="left" vertical="center" shrinkToFit="1"/>
    </xf>
    <xf numFmtId="0" fontId="58" fillId="17" borderId="9" xfId="3" applyFont="1" applyFill="1" applyBorder="1" applyAlignment="1">
      <alignment horizontal="left" vertical="center" shrinkToFit="1"/>
    </xf>
    <xf numFmtId="0" fontId="93" fillId="17" borderId="4" xfId="3" applyFont="1" applyFill="1" applyBorder="1" applyAlignment="1">
      <alignment horizontal="left" vertical="center" shrinkToFit="1"/>
    </xf>
    <xf numFmtId="0" fontId="93" fillId="17" borderId="5" xfId="3" applyFont="1" applyFill="1" applyBorder="1" applyAlignment="1">
      <alignment horizontal="left" vertical="center" shrinkToFit="1"/>
    </xf>
    <xf numFmtId="0" fontId="93" fillId="17" borderId="6" xfId="3" applyFont="1" applyFill="1" applyBorder="1" applyAlignment="1">
      <alignment horizontal="left" vertical="center" shrinkToFit="1"/>
    </xf>
    <xf numFmtId="0" fontId="53" fillId="18" borderId="1" xfId="3" applyFill="1" applyBorder="1" applyAlignment="1" applyProtection="1">
      <alignment horizontal="center" vertical="center" wrapText="1"/>
      <protection locked="0"/>
    </xf>
    <xf numFmtId="49" fontId="53" fillId="19" borderId="1" xfId="3" applyNumberFormat="1" applyFill="1" applyBorder="1" applyAlignment="1" applyProtection="1">
      <alignment horizontal="center" vertical="center" wrapText="1"/>
      <protection locked="0"/>
    </xf>
    <xf numFmtId="0" fontId="58" fillId="17" borderId="7" xfId="3" applyFont="1" applyFill="1" applyBorder="1" applyAlignment="1">
      <alignment horizontal="left" vertical="center" wrapText="1"/>
    </xf>
    <xf numFmtId="0" fontId="58" fillId="17" borderId="8" xfId="3" applyFont="1" applyFill="1" applyBorder="1" applyAlignment="1">
      <alignment horizontal="left" vertical="center" wrapText="1"/>
    </xf>
    <xf numFmtId="0" fontId="58" fillId="17" borderId="9" xfId="3" applyFont="1" applyFill="1" applyBorder="1" applyAlignment="1">
      <alignment horizontal="left" vertical="center" wrapText="1"/>
    </xf>
    <xf numFmtId="0" fontId="92" fillId="17" borderId="4" xfId="3" applyFont="1" applyFill="1" applyBorder="1" applyAlignment="1">
      <alignment horizontal="left" vertical="center" shrinkToFit="1"/>
    </xf>
    <xf numFmtId="0" fontId="92" fillId="17" borderId="5" xfId="3" applyFont="1" applyFill="1" applyBorder="1" applyAlignment="1">
      <alignment horizontal="left" vertical="center" shrinkToFit="1"/>
    </xf>
    <xf numFmtId="0" fontId="92" fillId="17" borderId="6" xfId="3" applyFont="1" applyFill="1" applyBorder="1" applyAlignment="1">
      <alignment horizontal="left" vertical="center" shrinkToFit="1"/>
    </xf>
    <xf numFmtId="49" fontId="53" fillId="23" borderId="1" xfId="3" applyNumberFormat="1" applyFill="1" applyBorder="1" applyAlignment="1" applyProtection="1">
      <alignment horizontal="center" vertical="center" wrapText="1"/>
      <protection locked="0"/>
    </xf>
    <xf numFmtId="0" fontId="127" fillId="2" borderId="10" xfId="7" applyFont="1" applyFill="1" applyBorder="1" applyAlignment="1">
      <alignment horizontal="center" vertical="center"/>
    </xf>
    <xf numFmtId="0" fontId="127" fillId="2" borderId="19" xfId="7" applyFont="1" applyFill="1" applyBorder="1" applyAlignment="1">
      <alignment horizontal="center" vertical="center"/>
    </xf>
    <xf numFmtId="0" fontId="127" fillId="2" borderId="11" xfId="7" applyFont="1" applyFill="1" applyBorder="1" applyAlignment="1">
      <alignment horizontal="center" vertical="center"/>
    </xf>
    <xf numFmtId="0" fontId="60" fillId="2" borderId="10" xfId="7" applyFill="1" applyBorder="1" applyAlignment="1">
      <alignment horizontal="justify" vertical="center" wrapText="1"/>
    </xf>
    <xf numFmtId="0" fontId="60" fillId="2" borderId="19" xfId="7" applyFill="1" applyBorder="1" applyAlignment="1">
      <alignment horizontal="justify" vertical="center" wrapText="1"/>
    </xf>
    <xf numFmtId="0" fontId="60" fillId="2" borderId="11" xfId="7" applyFill="1" applyBorder="1" applyAlignment="1">
      <alignment horizontal="justify" vertical="center" wrapText="1"/>
    </xf>
    <xf numFmtId="0" fontId="54" fillId="21" borderId="2" xfId="0" applyFont="1" applyFill="1" applyBorder="1" applyAlignment="1">
      <alignment horizontal="center" vertical="top" textRotation="45"/>
    </xf>
    <xf numFmtId="0" fontId="54" fillId="9" borderId="2" xfId="0" applyFont="1" applyFill="1" applyBorder="1" applyAlignment="1">
      <alignment horizontal="center" vertical="center" textRotation="45"/>
    </xf>
    <xf numFmtId="0" fontId="61" fillId="3" borderId="7" xfId="7" applyFont="1" applyFill="1" applyBorder="1" applyAlignment="1">
      <alignment horizontal="center" vertical="distributed"/>
    </xf>
    <xf numFmtId="0" fontId="61" fillId="3" borderId="8" xfId="7" applyFont="1" applyFill="1" applyBorder="1" applyAlignment="1">
      <alignment horizontal="center" vertical="distributed"/>
    </xf>
    <xf numFmtId="0" fontId="61" fillId="3" borderId="9" xfId="7" applyFont="1" applyFill="1" applyBorder="1" applyAlignment="1">
      <alignment horizontal="center" vertical="distributed"/>
    </xf>
    <xf numFmtId="0" fontId="54" fillId="3" borderId="7" xfId="0" applyFont="1" applyFill="1" applyBorder="1" applyAlignment="1">
      <alignment horizontal="center" wrapText="1"/>
    </xf>
    <xf numFmtId="0" fontId="54" fillId="3" borderId="8" xfId="0" applyFont="1" applyFill="1" applyBorder="1" applyAlignment="1">
      <alignment horizontal="center" wrapText="1"/>
    </xf>
    <xf numFmtId="0" fontId="54" fillId="3" borderId="9" xfId="0" applyFont="1" applyFill="1" applyBorder="1" applyAlignment="1">
      <alignment horizontal="center" wrapText="1"/>
    </xf>
    <xf numFmtId="0" fontId="53" fillId="2" borderId="10" xfId="0" applyFont="1" applyFill="1" applyBorder="1" applyAlignment="1">
      <alignment horizontal="left" vertical="center" wrapText="1" shrinkToFit="1"/>
    </xf>
    <xf numFmtId="0" fontId="53" fillId="2" borderId="11" xfId="0" applyFont="1" applyFill="1" applyBorder="1" applyAlignment="1">
      <alignment horizontal="left" vertical="center" wrapText="1" shrinkToFit="1"/>
    </xf>
    <xf numFmtId="0" fontId="116" fillId="28" borderId="4" xfId="13" applyFont="1" applyFill="1" applyBorder="1" applyAlignment="1" applyProtection="1">
      <alignment horizontal="center" vertical="center" wrapText="1"/>
      <protection locked="0"/>
    </xf>
    <xf numFmtId="0" fontId="116" fillId="28" borderId="5" xfId="13" applyFont="1" applyFill="1" applyBorder="1" applyAlignment="1" applyProtection="1">
      <alignment horizontal="center" vertical="center" wrapText="1"/>
      <protection locked="0"/>
    </xf>
    <xf numFmtId="0" fontId="116" fillId="28" borderId="6" xfId="13" applyFont="1" applyFill="1" applyBorder="1" applyAlignment="1" applyProtection="1">
      <alignment horizontal="center" vertical="center" wrapText="1"/>
      <protection locked="0"/>
    </xf>
    <xf numFmtId="0" fontId="116" fillId="16" borderId="4" xfId="13" applyFont="1" applyFill="1" applyBorder="1" applyAlignment="1" applyProtection="1">
      <alignment horizontal="center" vertical="center" wrapText="1"/>
    </xf>
    <xf numFmtId="0" fontId="116" fillId="16" borderId="5" xfId="13" applyFont="1" applyFill="1" applyBorder="1" applyAlignment="1" applyProtection="1">
      <alignment horizontal="center" vertical="center" wrapText="1"/>
    </xf>
    <xf numFmtId="0" fontId="113" fillId="25" borderId="14" xfId="12" applyAlignment="1">
      <alignment horizontal="left" vertical="center"/>
    </xf>
    <xf numFmtId="0" fontId="63" fillId="8" borderId="5" xfId="0" applyFont="1" applyFill="1" applyBorder="1" applyAlignment="1">
      <alignment horizontal="center" vertical="center"/>
    </xf>
    <xf numFmtId="0" fontId="63" fillId="8" borderId="6" xfId="0" applyFont="1" applyFill="1" applyBorder="1" applyAlignment="1">
      <alignment horizontal="center" vertical="center"/>
    </xf>
    <xf numFmtId="0" fontId="121" fillId="28" borderId="10" xfId="2" applyFont="1" applyFill="1" applyBorder="1" applyAlignment="1" applyProtection="1">
      <alignment horizontal="center" vertical="center" wrapText="1"/>
      <protection locked="0"/>
    </xf>
    <xf numFmtId="0" fontId="121"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00000000-0005-0000-0000-000001000000}"/>
    <cellStyle name="40% - Accent5 11" xfId="25" xr:uid="{00000000-0005-0000-0000-000002000000}"/>
    <cellStyle name="40% - Accent5 12" xfId="26" xr:uid="{00000000-0005-0000-0000-000003000000}"/>
    <cellStyle name="40% - Accent5 13" xfId="28" xr:uid="{00000000-0005-0000-0000-000004000000}"/>
    <cellStyle name="40% - Accent5 14" xfId="29" xr:uid="{00000000-0005-0000-0000-000005000000}"/>
    <cellStyle name="40% - Accent5 2" xfId="16" xr:uid="{00000000-0005-0000-0000-000006000000}"/>
    <cellStyle name="40% - Accent5 3" xfId="17" xr:uid="{00000000-0005-0000-0000-000007000000}"/>
    <cellStyle name="40% - Accent5 4" xfId="18" xr:uid="{00000000-0005-0000-0000-000008000000}"/>
    <cellStyle name="40% - Accent5 5" xfId="19" xr:uid="{00000000-0005-0000-0000-000009000000}"/>
    <cellStyle name="40% - Accent5 6" xfId="20" xr:uid="{00000000-0005-0000-0000-00000A000000}"/>
    <cellStyle name="40% - Accent5 7" xfId="21" xr:uid="{00000000-0005-0000-0000-00000B000000}"/>
    <cellStyle name="40% - Accent5 8" xfId="22" xr:uid="{00000000-0005-0000-0000-00000C000000}"/>
    <cellStyle name="40% - Accent5 9" xfId="23" xr:uid="{00000000-0005-0000-0000-00000D000000}"/>
    <cellStyle name="Accent5" xfId="13" builtinId="45"/>
    <cellStyle name="Calculation" xfId="1" builtinId="22"/>
    <cellStyle name="Hyperlink" xfId="2" builtinId="8"/>
    <cellStyle name="Input" xfId="12" builtinId="20"/>
    <cellStyle name="Normal" xfId="0" builtinId="0"/>
    <cellStyle name="Normal 2" xfId="3" xr:uid="{00000000-0005-0000-0000-000013000000}"/>
    <cellStyle name="Normal 2 2" xfId="4" xr:uid="{00000000-0005-0000-0000-000014000000}"/>
    <cellStyle name="Normal 2 2 2" xfId="15" xr:uid="{00000000-0005-0000-0000-000015000000}"/>
    <cellStyle name="Normal 2 3" xfId="9" xr:uid="{00000000-0005-0000-0000-000016000000}"/>
    <cellStyle name="Normal 3" xfId="5" xr:uid="{00000000-0005-0000-0000-000017000000}"/>
    <cellStyle name="Normal 3 2" xfId="6" xr:uid="{00000000-0005-0000-0000-000018000000}"/>
    <cellStyle name="Normal 3 3" xfId="10" xr:uid="{00000000-0005-0000-0000-000019000000}"/>
    <cellStyle name="Normal 4" xfId="11" xr:uid="{00000000-0005-0000-0000-00001A000000}"/>
    <cellStyle name="Normal 5" xfId="27" xr:uid="{00000000-0005-0000-0000-00001B000000}"/>
    <cellStyle name="Normal_AEF 0XXX M - MA Process Evaluation Form - v2 - draft" xfId="7" xr:uid="{00000000-0005-0000-0000-00001C000000}"/>
    <cellStyle name="Output" xfId="8" builtinId="21"/>
    <cellStyle name="Title" xfId="30" builtinId="15"/>
  </cellStyles>
  <dxfs count="177">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8</c:v>
                </c:pt>
                <c:pt idx="1">
                  <c:v>3</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179182136"/>
        <c:axId val="179180568"/>
      </c:barChart>
      <c:catAx>
        <c:axId val="1791821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79180568"/>
        <c:crosses val="autoZero"/>
        <c:auto val="1"/>
        <c:lblAlgn val="ctr"/>
        <c:lblOffset val="100"/>
        <c:tickLblSkip val="1"/>
        <c:tickMarkSkip val="1"/>
        <c:noMultiLvlLbl val="0"/>
      </c:catAx>
      <c:valAx>
        <c:axId val="179180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791821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6543675</xdr:colOff>
          <xdr:row>117</xdr:row>
          <xdr:rowOff>66675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105410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105410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adalina.serban\AppData\Roaming\Microsoft\AddIns\alvDocProp.xlam" TargetMode="External"/><Relationship Id="rId1" Type="http://schemas.openxmlformats.org/officeDocument/2006/relationships/externalLinkPath" Target="/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113" totalsRowShown="0" headerRowDxfId="141" headerRowBorderDxfId="140" tableBorderDxfId="139" headerRowCellStyle="40% - Accent5" dataCellStyle="Normal 4">
  <autoFilter ref="A2:O113" xr:uid="{00000000-0009-0000-0100-000001000000}"/>
  <tableColumns count="15">
    <tableColumn id="1" xr3:uid="{00000000-0010-0000-0000-000001000000}" name="Work-product(s)" dataDxfId="138" dataCellStyle="Normal 4"/>
    <tableColumn id="2" xr3:uid="{00000000-0010-0000-0000-000002000000}" name="Review type" dataDxfId="137" dataCellStyle="Normal 4"/>
    <tableColumn id="3" xr3:uid="{00000000-0010-0000-0000-000003000000}" name="Starting date" dataDxfId="136" dataCellStyle="Normal 4"/>
    <tableColumn id="4" xr3:uid="{00000000-0010-0000-0000-000004000000}" name="Due date" dataDxfId="135" dataCellStyle="Normal 4"/>
    <tableColumn id="5" xr3:uid="{00000000-0010-0000-0000-000005000000}" name="Effort (in mn)" dataDxfId="134" dataCellStyle="Calculation"/>
    <tableColumn id="6" xr3:uid="{00000000-0010-0000-0000-000006000000}" name="Reviewer 1" dataDxfId="133" dataCellStyle="Normal 4"/>
    <tableColumn id="7" xr3:uid="{00000000-0010-0000-0000-000007000000}" name="Reviewer 2" dataDxfId="132" dataCellStyle="Normal 4"/>
    <tableColumn id="8" xr3:uid="{00000000-0010-0000-0000-000008000000}" name="Reviewer 3" dataDxfId="131" dataCellStyle="Normal 4"/>
    <tableColumn id="9" xr3:uid="{00000000-0010-0000-0000-000009000000}" name="Reviewer 4" dataDxfId="130" dataCellStyle="Normal 4"/>
    <tableColumn id="10" xr3:uid="{00000000-0010-0000-0000-00000A000000}" name="Reviewer 5" dataDxfId="129" dataCellStyle="Normal 4"/>
    <tableColumn id="11" xr3:uid="{00000000-0010-0000-0000-00000B000000}" name="Reviewer 6" dataDxfId="128" dataCellStyle="Normal 4"/>
    <tableColumn id="12" xr3:uid="{00000000-0010-0000-0000-00000C000000}" name="Reviewer 7" dataDxfId="127" dataCellStyle="Normal 4"/>
    <tableColumn id="13" xr3:uid="{00000000-0010-0000-0000-00000D000000}" name="Reviewer 8" dataDxfId="126" dataCellStyle="Normal 4"/>
    <tableColumn id="14" xr3:uid="{00000000-0010-0000-0000-00000E000000}" name="Reviewer 9" dataDxfId="125" dataCellStyle="Normal 4"/>
    <tableColumn id="15" xr3:uid="{00000000-0010-0000-0000-00000F000000}" name="Reviewer 10" dataDxfId="124"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rontPage">
    <tabColor theme="9" tint="0.59999389629810485"/>
  </sheetPr>
  <dimension ref="A1:BH26"/>
  <sheetViews>
    <sheetView showGridLines="0" zoomScale="130" zoomScaleNormal="130" workbookViewId="0">
      <selection activeCell="AE7" sqref="AE7:AG7"/>
    </sheetView>
  </sheetViews>
  <sheetFormatPr defaultColWidth="0" defaultRowHeight="12.75" customHeight="1" zeroHeight="1"/>
  <cols>
    <col min="1" max="3" width="2.5703125" style="96" customWidth="1"/>
    <col min="4" max="4" width="3.42578125" style="96" customWidth="1"/>
    <col min="5" max="33" width="2.5703125" style="96" customWidth="1"/>
    <col min="34" max="34" width="1.42578125" style="96" customWidth="1"/>
    <col min="35" max="60" width="3.42578125" style="96" hidden="1" customWidth="1"/>
    <col min="61" max="16384" width="0" style="96" hidden="1"/>
  </cols>
  <sheetData>
    <row r="1" spans="1:37" s="86" customFormat="1">
      <c r="C1" s="87"/>
      <c r="D1" s="87"/>
      <c r="E1" s="87"/>
      <c r="F1" s="87"/>
      <c r="G1" s="88"/>
      <c r="H1" s="89"/>
      <c r="I1" s="89"/>
      <c r="J1" s="89"/>
      <c r="K1" s="89"/>
      <c r="L1" s="89"/>
      <c r="M1" s="89"/>
      <c r="N1" s="89"/>
      <c r="O1" s="89"/>
      <c r="P1" s="90"/>
      <c r="Q1" s="90"/>
      <c r="R1" s="90"/>
      <c r="S1" s="90"/>
      <c r="T1" s="90"/>
      <c r="U1" s="90"/>
      <c r="V1" s="90"/>
      <c r="W1" s="90"/>
      <c r="X1" s="90"/>
      <c r="Y1" s="90"/>
      <c r="Z1" s="90"/>
      <c r="AA1" s="90"/>
      <c r="AB1" s="90"/>
      <c r="AC1" s="90"/>
      <c r="AD1" s="90"/>
      <c r="AE1" s="90"/>
      <c r="AF1" s="90"/>
      <c r="AG1" s="90"/>
      <c r="AH1" s="90"/>
      <c r="AI1" s="90"/>
      <c r="AJ1" s="90"/>
      <c r="AK1" s="90"/>
    </row>
    <row r="2" spans="1:37" s="86" customFormat="1"/>
    <row r="3" spans="1:37" s="86" customFormat="1">
      <c r="AD3" s="91" t="s">
        <v>405</v>
      </c>
    </row>
    <row r="4" spans="1:37" s="86" customFormat="1" ht="11.1" customHeight="1">
      <c r="A4" s="291" t="s">
        <v>5</v>
      </c>
      <c r="B4" s="292"/>
      <c r="C4" s="292"/>
      <c r="D4" s="292"/>
      <c r="E4" s="292"/>
      <c r="F4" s="292"/>
      <c r="G4" s="292"/>
      <c r="H4" s="292"/>
      <c r="I4" s="292"/>
      <c r="J4" s="292"/>
      <c r="K4" s="292"/>
      <c r="L4" s="292"/>
      <c r="M4" s="292"/>
      <c r="N4" s="292"/>
      <c r="O4" s="292"/>
      <c r="P4" s="292"/>
      <c r="Q4" s="293"/>
      <c r="R4" s="288" t="s">
        <v>12</v>
      </c>
      <c r="S4" s="289"/>
      <c r="T4" s="289"/>
      <c r="U4" s="289"/>
      <c r="V4" s="290"/>
      <c r="W4" s="288" t="s">
        <v>6</v>
      </c>
      <c r="X4" s="289"/>
      <c r="Y4" s="289"/>
      <c r="Z4" s="289"/>
      <c r="AA4" s="290"/>
      <c r="AB4" s="291" t="s">
        <v>137</v>
      </c>
      <c r="AC4" s="292"/>
      <c r="AD4" s="292"/>
      <c r="AE4" s="292"/>
      <c r="AF4" s="292"/>
      <c r="AG4" s="293"/>
      <c r="AH4" s="92"/>
      <c r="AI4" s="92"/>
      <c r="AJ4" s="92"/>
    </row>
    <row r="5" spans="1:37" s="93" customFormat="1" ht="12.75" customHeight="1">
      <c r="A5" s="294" t="str">
        <f ca="1" xml:space="preserve"> IFERROR(IF([2]!alvDocProperty("MXAuthority")="","Process and method",[2]!alvDocProperty("MXAuthority")),"254888 DAIMLER MER W174W178 EL SB ECU")</f>
        <v>254888 DAIMLER MER W174W178 EL SB ECU</v>
      </c>
      <c r="B5" s="295"/>
      <c r="C5" s="295"/>
      <c r="D5" s="295"/>
      <c r="E5" s="295"/>
      <c r="F5" s="295"/>
      <c r="G5" s="295"/>
      <c r="H5" s="295"/>
      <c r="I5" s="295"/>
      <c r="J5" s="295"/>
      <c r="K5" s="295"/>
      <c r="L5" s="295"/>
      <c r="M5" s="295"/>
      <c r="N5" s="295"/>
      <c r="O5" s="295"/>
      <c r="P5" s="295"/>
      <c r="Q5" s="296"/>
      <c r="R5" s="294" t="s">
        <v>138</v>
      </c>
      <c r="S5" s="295"/>
      <c r="T5" s="295"/>
      <c r="U5" s="295"/>
      <c r="V5" s="296"/>
      <c r="W5" s="300" t="s">
        <v>400</v>
      </c>
      <c r="X5" s="301"/>
      <c r="Y5" s="301"/>
      <c r="Z5" s="301"/>
      <c r="AA5" s="302"/>
      <c r="AB5" s="294" t="s">
        <v>726</v>
      </c>
      <c r="AC5" s="295"/>
      <c r="AD5" s="295"/>
      <c r="AE5" s="295"/>
      <c r="AF5" s="295"/>
      <c r="AG5" s="296"/>
    </row>
    <row r="6" spans="1:37" s="86" customFormat="1" ht="11.1" customHeight="1">
      <c r="A6" s="288" t="s">
        <v>7</v>
      </c>
      <c r="B6" s="289"/>
      <c r="C6" s="289"/>
      <c r="D6" s="290"/>
      <c r="E6" s="288" t="s">
        <v>8</v>
      </c>
      <c r="F6" s="289"/>
      <c r="G6" s="289"/>
      <c r="H6" s="289"/>
      <c r="I6" s="289"/>
      <c r="J6" s="289"/>
      <c r="K6" s="289"/>
      <c r="L6" s="289"/>
      <c r="M6" s="289"/>
      <c r="N6" s="289"/>
      <c r="O6" s="289"/>
      <c r="P6" s="289"/>
      <c r="Q6" s="289"/>
      <c r="R6" s="289"/>
      <c r="S6" s="289"/>
      <c r="T6" s="289"/>
      <c r="U6" s="289"/>
      <c r="V6" s="290"/>
      <c r="W6" s="291" t="s">
        <v>10</v>
      </c>
      <c r="X6" s="292"/>
      <c r="Y6" s="292"/>
      <c r="Z6" s="292"/>
      <c r="AA6" s="293"/>
      <c r="AB6" s="288" t="s">
        <v>34</v>
      </c>
      <c r="AC6" s="289"/>
      <c r="AD6" s="290"/>
      <c r="AE6" s="288" t="s">
        <v>9</v>
      </c>
      <c r="AF6" s="289"/>
      <c r="AG6" s="290"/>
    </row>
    <row r="7" spans="1:37" s="93" customFormat="1" ht="12.75" customHeight="1">
      <c r="A7" s="294" t="s">
        <v>11</v>
      </c>
      <c r="B7" s="295"/>
      <c r="C7" s="295"/>
      <c r="D7" s="296"/>
      <c r="E7" s="294" t="str">
        <f ca="1" xml:space="preserve"> IFERROR(IF([2]!alvDocProperty("MXTitle")="","Peer Review Workbook (PRWB)",[2]!alvDocProperty("MXTitle")),"MMG - Peer Review Workbook (PRWB)")</f>
        <v>MMG - Peer Review Workbook (PRWB)</v>
      </c>
      <c r="F7" s="295"/>
      <c r="G7" s="295"/>
      <c r="H7" s="295"/>
      <c r="I7" s="295"/>
      <c r="J7" s="295"/>
      <c r="K7" s="295"/>
      <c r="L7" s="295"/>
      <c r="M7" s="295"/>
      <c r="N7" s="295"/>
      <c r="O7" s="295"/>
      <c r="P7" s="295"/>
      <c r="Q7" s="295"/>
      <c r="R7" s="295"/>
      <c r="S7" s="295"/>
      <c r="T7" s="295"/>
      <c r="U7" s="295"/>
      <c r="V7" s="296"/>
      <c r="W7" s="297" t="str">
        <f ca="1" xml:space="preserve"> IFERROR(IF([2]!alvDocProperty("MXDocTemplate_Name")="","AEF1007",[2]!alvDocProperty("MXDocTemplate_Name")),"AEF1007")</f>
        <v>AEF1007</v>
      </c>
      <c r="X7" s="298"/>
      <c r="Y7" s="298"/>
      <c r="Z7" s="298"/>
      <c r="AA7" s="299"/>
      <c r="AB7" s="294">
        <v>1</v>
      </c>
      <c r="AC7" s="295"/>
      <c r="AD7" s="296"/>
      <c r="AE7" s="294">
        <v>51</v>
      </c>
      <c r="AF7" s="295"/>
      <c r="AG7" s="296"/>
    </row>
    <row r="8" spans="1:37" s="93" customFormat="1">
      <c r="A8" s="94"/>
      <c r="B8" s="94"/>
      <c r="C8" s="94"/>
      <c r="D8" s="94"/>
      <c r="E8" s="94"/>
      <c r="F8" s="94"/>
      <c r="G8" s="94"/>
      <c r="H8" s="94"/>
      <c r="I8" s="94"/>
      <c r="J8" s="94"/>
      <c r="K8" s="94"/>
      <c r="L8" s="94"/>
      <c r="M8" s="94"/>
      <c r="N8" s="94"/>
      <c r="O8" s="94"/>
      <c r="P8" s="94"/>
      <c r="Q8" s="94"/>
      <c r="R8" s="94"/>
      <c r="S8" s="94"/>
      <c r="T8" s="94"/>
      <c r="U8" s="94"/>
      <c r="V8" s="94"/>
      <c r="W8" s="95"/>
      <c r="X8" s="95"/>
      <c r="Y8" s="95"/>
      <c r="Z8" s="95"/>
      <c r="AA8" s="95"/>
      <c r="AB8" s="94"/>
      <c r="AC8" s="94"/>
      <c r="AD8" s="94"/>
      <c r="AE8" s="94"/>
      <c r="AF8" s="94"/>
      <c r="AG8" s="94"/>
    </row>
    <row r="9" spans="1:37" ht="11.1" customHeight="1">
      <c r="A9" s="261" t="s">
        <v>61</v>
      </c>
      <c r="B9" s="262"/>
      <c r="C9" s="262"/>
      <c r="D9" s="262"/>
      <c r="E9" s="262"/>
      <c r="F9" s="262"/>
      <c r="G9" s="262"/>
      <c r="H9" s="262"/>
      <c r="I9" s="262"/>
      <c r="J9" s="262"/>
      <c r="K9" s="263"/>
      <c r="L9" s="261" t="s">
        <v>12</v>
      </c>
      <c r="M9" s="262"/>
      <c r="N9" s="262"/>
      <c r="O9" s="262"/>
      <c r="P9" s="262"/>
      <c r="Q9" s="262"/>
      <c r="R9" s="262"/>
      <c r="S9" s="262"/>
      <c r="T9" s="262"/>
      <c r="U9" s="262"/>
      <c r="V9" s="263"/>
      <c r="W9" s="261" t="s">
        <v>17</v>
      </c>
      <c r="X9" s="262"/>
      <c r="Y9" s="262"/>
      <c r="Z9" s="262"/>
      <c r="AA9" s="262"/>
      <c r="AB9" s="262"/>
      <c r="AC9" s="262"/>
      <c r="AD9" s="262"/>
      <c r="AE9" s="262"/>
      <c r="AF9" s="262"/>
      <c r="AG9" s="263"/>
    </row>
    <row r="10" spans="1:37" s="97" customFormat="1" ht="39" customHeight="1">
      <c r="A10" s="264" t="s">
        <v>139</v>
      </c>
      <c r="B10" s="265"/>
      <c r="C10" s="265"/>
      <c r="D10" s="265"/>
      <c r="E10" s="265"/>
      <c r="F10" s="266" t="s">
        <v>401</v>
      </c>
      <c r="G10" s="266"/>
      <c r="H10" s="266"/>
      <c r="I10" s="266"/>
      <c r="J10" s="266"/>
      <c r="K10" s="267"/>
      <c r="L10" s="268" t="s">
        <v>140</v>
      </c>
      <c r="M10" s="269"/>
      <c r="N10" s="269"/>
      <c r="O10" s="269"/>
      <c r="P10" s="269"/>
      <c r="Q10" s="269"/>
      <c r="R10" s="269"/>
      <c r="S10" s="269"/>
      <c r="T10" s="269"/>
      <c r="U10" s="269"/>
      <c r="V10" s="270"/>
      <c r="W10" s="268" t="s">
        <v>140</v>
      </c>
      <c r="X10" s="269"/>
      <c r="Y10" s="269"/>
      <c r="Z10" s="269"/>
      <c r="AA10" s="269"/>
      <c r="AB10" s="269"/>
      <c r="AC10" s="269"/>
      <c r="AD10" s="269"/>
      <c r="AE10" s="269"/>
      <c r="AF10" s="269"/>
      <c r="AG10" s="270"/>
    </row>
    <row r="11" spans="1:37" s="97" customFormat="1" ht="4.5" customHeight="1">
      <c r="A11" s="98"/>
      <c r="B11" s="99"/>
      <c r="C11" s="99"/>
      <c r="D11" s="99"/>
      <c r="E11" s="99"/>
      <c r="F11" s="99"/>
      <c r="G11" s="99"/>
      <c r="H11" s="99"/>
      <c r="I11" s="99"/>
      <c r="J11" s="99"/>
      <c r="K11" s="99"/>
      <c r="L11" s="100"/>
      <c r="M11" s="99"/>
      <c r="N11" s="99"/>
      <c r="O11" s="99"/>
      <c r="P11" s="99"/>
      <c r="Q11" s="99"/>
      <c r="R11" s="99"/>
      <c r="S11" s="99"/>
      <c r="T11" s="99"/>
      <c r="U11" s="99"/>
      <c r="V11" s="99"/>
      <c r="W11" s="100"/>
      <c r="X11" s="99"/>
      <c r="Y11" s="99"/>
      <c r="Z11" s="99"/>
      <c r="AA11" s="99"/>
      <c r="AB11" s="99"/>
      <c r="AC11" s="99"/>
      <c r="AD11" s="99"/>
      <c r="AE11" s="99"/>
      <c r="AF11" s="99"/>
      <c r="AG11" s="101"/>
    </row>
    <row r="12" spans="1:37" ht="11.1" customHeight="1">
      <c r="A12" s="271" t="s">
        <v>141</v>
      </c>
      <c r="B12" s="272"/>
      <c r="C12" s="272"/>
      <c r="D12" s="272"/>
      <c r="E12" s="272"/>
      <c r="F12" s="272"/>
      <c r="G12" s="272"/>
      <c r="H12" s="272"/>
      <c r="I12" s="272"/>
      <c r="J12" s="272"/>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3"/>
    </row>
    <row r="13" spans="1:37" s="97" customFormat="1" ht="28.5" customHeight="1">
      <c r="A13" s="274" t="s">
        <v>142</v>
      </c>
      <c r="B13" s="275"/>
      <c r="C13" s="275"/>
      <c r="D13" s="275"/>
      <c r="E13" s="275"/>
      <c r="F13" s="275"/>
      <c r="G13" s="275"/>
      <c r="H13" s="275"/>
      <c r="I13" s="275"/>
      <c r="J13" s="275"/>
      <c r="K13" s="275"/>
      <c r="L13" s="275"/>
      <c r="M13" s="275"/>
      <c r="N13" s="275"/>
      <c r="O13" s="275"/>
      <c r="P13" s="275"/>
      <c r="Q13" s="275"/>
      <c r="R13" s="275"/>
      <c r="S13" s="275"/>
      <c r="T13" s="275"/>
      <c r="U13" s="275"/>
      <c r="V13" s="275"/>
      <c r="W13" s="275"/>
      <c r="X13" s="275"/>
      <c r="Y13" s="275"/>
      <c r="Z13" s="275"/>
      <c r="AA13" s="275"/>
      <c r="AB13" s="275"/>
      <c r="AC13" s="275"/>
      <c r="AD13" s="275"/>
      <c r="AE13" s="275"/>
      <c r="AF13" s="275"/>
      <c r="AG13" s="276"/>
    </row>
    <row r="14" spans="1:37" s="97" customFormat="1" ht="4.5" customHeight="1">
      <c r="A14" s="100"/>
      <c r="B14" s="99"/>
      <c r="C14" s="99"/>
      <c r="D14" s="99"/>
      <c r="E14" s="99"/>
      <c r="F14" s="99"/>
      <c r="G14" s="99"/>
      <c r="H14" s="99"/>
      <c r="I14" s="99"/>
      <c r="J14" s="99"/>
      <c r="K14" s="99"/>
      <c r="L14" s="100"/>
      <c r="M14" s="99"/>
      <c r="N14" s="99"/>
      <c r="O14" s="99"/>
      <c r="P14" s="99"/>
      <c r="Q14" s="99"/>
      <c r="R14" s="99"/>
      <c r="S14" s="99"/>
      <c r="T14" s="99"/>
      <c r="U14" s="99"/>
      <c r="V14" s="99"/>
      <c r="W14" s="100"/>
      <c r="X14" s="99"/>
      <c r="Y14" s="99"/>
      <c r="Z14" s="99"/>
      <c r="AA14" s="99"/>
      <c r="AB14" s="99"/>
      <c r="AC14" s="99"/>
      <c r="AD14" s="99"/>
      <c r="AE14" s="99"/>
      <c r="AF14" s="99"/>
      <c r="AG14" s="99"/>
    </row>
    <row r="15" spans="1:37" ht="37.5" customHeight="1">
      <c r="A15" s="277" t="s">
        <v>143</v>
      </c>
      <c r="B15" s="277"/>
      <c r="C15" s="277"/>
      <c r="D15" s="277"/>
      <c r="E15" s="279"/>
      <c r="F15" s="280"/>
      <c r="G15" s="280"/>
      <c r="H15" s="280"/>
      <c r="I15" s="280"/>
      <c r="J15" s="280"/>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1"/>
    </row>
    <row r="16" spans="1:37" ht="37.5" customHeight="1">
      <c r="A16" s="278"/>
      <c r="B16" s="278"/>
      <c r="C16" s="278"/>
      <c r="D16" s="278"/>
      <c r="E16" s="282"/>
      <c r="F16" s="283"/>
      <c r="G16" s="283"/>
      <c r="H16" s="283"/>
      <c r="I16" s="283"/>
      <c r="J16" s="283"/>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4"/>
    </row>
    <row r="17" spans="1:33">
      <c r="A17" s="102"/>
    </row>
    <row r="18" spans="1:33" ht="26.25" customHeight="1">
      <c r="A18" s="285" t="s">
        <v>398</v>
      </c>
      <c r="B18" s="286"/>
      <c r="C18" s="286"/>
      <c r="D18" s="286"/>
      <c r="E18" s="287" t="s">
        <v>397</v>
      </c>
      <c r="F18" s="287"/>
      <c r="G18" s="287"/>
      <c r="H18" s="287"/>
      <c r="I18" s="287"/>
      <c r="J18" s="287"/>
      <c r="K18" s="287"/>
      <c r="L18" s="287"/>
      <c r="M18" s="287"/>
      <c r="N18" s="287"/>
      <c r="O18" s="287"/>
      <c r="P18" s="287"/>
    </row>
    <row r="19" spans="1:33"/>
    <row r="20" spans="1:33"/>
    <row r="21" spans="1:33" ht="15.75" customHeight="1">
      <c r="Q21" s="103"/>
    </row>
    <row r="22" spans="1:33" ht="12" customHeight="1">
      <c r="Q22" s="103"/>
    </row>
    <row r="23" spans="1:33" ht="60" customHeight="1">
      <c r="A23" s="259" t="str">
        <f ca="1">MXTitle</f>
        <v>MMG - Peer Review Workbook (PRWB)</v>
      </c>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row>
    <row r="24" spans="1:33" ht="25.5">
      <c r="Q24" s="103"/>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110" type="noConversion"/>
  <conditionalFormatting sqref="W5">
    <cfRule type="cellIs" dxfId="176" priority="19" operator="equal">
      <formula>"draft"</formula>
    </cfRule>
  </conditionalFormatting>
  <conditionalFormatting sqref="W5:AA5">
    <cfRule type="cellIs" dxfId="175" priority="1" operator="equal">
      <formula>"In-Work"</formula>
    </cfRule>
    <cfRule type="cellIs" dxfId="174" priority="2" stopIfTrue="1" operator="equal">
      <formula>"draft"</formula>
    </cfRule>
    <cfRule type="cellIs" dxfId="173" priority="3" operator="equal">
      <formula>"In-Work"</formula>
    </cfRule>
    <cfRule type="cellIs" dxfId="172" priority="4" stopIfTrue="1" operator="equal">
      <formula>"draft"</formula>
    </cfRule>
    <cfRule type="cellIs" dxfId="171" priority="5" operator="equal">
      <formula>"In-Work"</formula>
    </cfRule>
    <cfRule type="cellIs" dxfId="170" priority="6" stopIfTrue="1" operator="equal">
      <formula>"draft"</formula>
    </cfRule>
    <cfRule type="cellIs" dxfId="169" priority="7" operator="equal">
      <formula>"In-Work"</formula>
    </cfRule>
    <cfRule type="cellIs" dxfId="168" priority="8" stopIfTrue="1" operator="equal">
      <formula>"draft"</formula>
    </cfRule>
    <cfRule type="cellIs" dxfId="167" priority="9" operator="equal">
      <formula>"In-Work"</formula>
    </cfRule>
    <cfRule type="cellIs" dxfId="166" priority="10" stopIfTrue="1" operator="equal">
      <formula>"draft"</formula>
    </cfRule>
    <cfRule type="cellIs" dxfId="165" priority="11" operator="equal">
      <formula>"In-Work"</formula>
    </cfRule>
    <cfRule type="cellIs" dxfId="164" priority="12" stopIfTrue="1" operator="equal">
      <formula>"draft"</formula>
    </cfRule>
    <cfRule type="cellIs" dxfId="163" priority="13" operator="equal">
      <formula>"In-Work"</formula>
    </cfRule>
    <cfRule type="cellIs" dxfId="162" priority="14" stopIfTrue="1" operator="equal">
      <formula>"draft"</formula>
    </cfRule>
    <cfRule type="cellIs" dxfId="161" priority="15" operator="equal">
      <formula>"In-Work"</formula>
    </cfRule>
    <cfRule type="cellIs" dxfId="160" priority="16" stopIfTrue="1" operator="equal">
      <formula>"draft"</formula>
    </cfRule>
    <cfRule type="cellIs" dxfId="159" priority="17" operator="equal">
      <formula>"In-Work"</formula>
    </cfRule>
    <cfRule type="cellIs" dxfId="158" priority="18" stopIfTrue="1" operator="equal">
      <formula>"draft"</formula>
    </cfRule>
  </conditionalFormatting>
  <dataValidations count="1">
    <dataValidation type="list" allowBlank="1" showInputMessage="1" showErrorMessage="1" sqref="E18:P18" xr:uid="{00000000-0002-0000-0000-000000000000}">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neralInfo">
    <tabColor theme="9" tint="0.59999389629810485"/>
    <pageSetUpPr fitToPage="1"/>
  </sheetPr>
  <dimension ref="A1:AJ99"/>
  <sheetViews>
    <sheetView showGridLines="0" topLeftCell="A72" zoomScaleNormal="100" workbookViewId="0">
      <selection activeCell="AJ78" sqref="AJ78"/>
    </sheetView>
  </sheetViews>
  <sheetFormatPr defaultColWidth="9.42578125" defaultRowHeight="15"/>
  <cols>
    <col min="1" max="34" width="2.5703125" style="104" customWidth="1"/>
    <col min="35" max="35" width="9.42578125" style="104"/>
    <col min="36" max="36" width="22" style="104" customWidth="1"/>
    <col min="37" max="16384" width="9.42578125" style="104"/>
  </cols>
  <sheetData>
    <row r="1" spans="1:34">
      <c r="A1" s="86"/>
      <c r="B1" s="86"/>
      <c r="C1" s="87"/>
      <c r="D1" s="87"/>
      <c r="E1" s="87"/>
      <c r="F1" s="87"/>
      <c r="G1" s="88"/>
      <c r="H1" s="89"/>
      <c r="I1" s="89"/>
      <c r="J1" s="89"/>
      <c r="K1" s="89"/>
      <c r="L1" s="89"/>
      <c r="M1" s="89"/>
      <c r="N1" s="89"/>
      <c r="O1" s="89"/>
      <c r="P1" s="90"/>
      <c r="Q1" s="90"/>
      <c r="R1" s="90"/>
      <c r="S1" s="90"/>
      <c r="T1" s="90"/>
      <c r="U1" s="90"/>
      <c r="V1" s="90"/>
      <c r="W1" s="90"/>
      <c r="X1" s="90"/>
      <c r="Y1" s="90"/>
      <c r="Z1" s="90"/>
      <c r="AA1" s="90"/>
      <c r="AB1" s="90"/>
      <c r="AC1" s="90"/>
      <c r="AD1" s="90"/>
      <c r="AE1" s="90"/>
      <c r="AF1" s="90"/>
      <c r="AG1" s="90"/>
      <c r="AH1" s="90"/>
    </row>
    <row r="2" spans="1:34">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row>
    <row r="3" spans="1:34">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105" t="str">
        <f>FileName</f>
        <v>MMG - Peer Review Workbook (PRWB).xlsm</v>
      </c>
      <c r="AE3" s="86"/>
      <c r="AF3" s="86"/>
      <c r="AG3" s="86"/>
      <c r="AH3" s="86"/>
    </row>
    <row r="4" spans="1:34">
      <c r="A4" s="291" t="s">
        <v>5</v>
      </c>
      <c r="B4" s="292"/>
      <c r="C4" s="292"/>
      <c r="D4" s="292"/>
      <c r="E4" s="292"/>
      <c r="F4" s="292"/>
      <c r="G4" s="292"/>
      <c r="H4" s="292"/>
      <c r="I4" s="292"/>
      <c r="J4" s="292"/>
      <c r="K4" s="292"/>
      <c r="L4" s="292"/>
      <c r="M4" s="292"/>
      <c r="N4" s="292"/>
      <c r="O4" s="292"/>
      <c r="P4" s="292"/>
      <c r="Q4" s="292"/>
      <c r="R4" s="292"/>
      <c r="S4" s="292"/>
      <c r="T4" s="292"/>
      <c r="U4" s="292"/>
      <c r="V4" s="293"/>
      <c r="W4" s="333" t="s">
        <v>6</v>
      </c>
      <c r="X4" s="334"/>
      <c r="Y4" s="334"/>
      <c r="Z4" s="334"/>
      <c r="AA4" s="335"/>
      <c r="AB4" s="291" t="s">
        <v>137</v>
      </c>
      <c r="AC4" s="292"/>
      <c r="AD4" s="292"/>
      <c r="AE4" s="292"/>
      <c r="AF4" s="292"/>
      <c r="AG4" s="293"/>
      <c r="AH4" s="92"/>
    </row>
    <row r="5" spans="1:34">
      <c r="A5" s="297" t="s">
        <v>214</v>
      </c>
      <c r="B5" s="298"/>
      <c r="C5" s="298"/>
      <c r="D5" s="298"/>
      <c r="E5" s="298"/>
      <c r="F5" s="298"/>
      <c r="G5" s="298"/>
      <c r="H5" s="298"/>
      <c r="I5" s="298"/>
      <c r="J5" s="298"/>
      <c r="K5" s="298"/>
      <c r="L5" s="298"/>
      <c r="M5" s="298"/>
      <c r="N5" s="298"/>
      <c r="O5" s="298"/>
      <c r="P5" s="298"/>
      <c r="Q5" s="298"/>
      <c r="R5" s="298"/>
      <c r="S5" s="298"/>
      <c r="T5" s="298"/>
      <c r="U5" s="298"/>
      <c r="V5" s="299"/>
      <c r="W5" s="336" t="s">
        <v>213</v>
      </c>
      <c r="X5" s="337"/>
      <c r="Y5" s="337"/>
      <c r="Z5" s="337"/>
      <c r="AA5" s="338"/>
      <c r="AB5" s="297" t="s">
        <v>212</v>
      </c>
      <c r="AC5" s="298"/>
      <c r="AD5" s="298"/>
      <c r="AE5" s="298"/>
      <c r="AF5" s="298"/>
      <c r="AG5" s="299"/>
      <c r="AH5" s="93"/>
    </row>
    <row r="6" spans="1:34">
      <c r="A6" s="325" t="s">
        <v>7</v>
      </c>
      <c r="B6" s="326"/>
      <c r="C6" s="326"/>
      <c r="D6" s="327"/>
      <c r="E6" s="325" t="s">
        <v>8</v>
      </c>
      <c r="F6" s="326"/>
      <c r="G6" s="326"/>
      <c r="H6" s="326"/>
      <c r="I6" s="326"/>
      <c r="J6" s="326"/>
      <c r="K6" s="326"/>
      <c r="L6" s="326"/>
      <c r="M6" s="326"/>
      <c r="N6" s="326"/>
      <c r="O6" s="326"/>
      <c r="P6" s="326"/>
      <c r="Q6" s="326"/>
      <c r="R6" s="326"/>
      <c r="S6" s="326"/>
      <c r="T6" s="326"/>
      <c r="U6" s="326"/>
      <c r="V6" s="327"/>
      <c r="W6" s="291" t="s">
        <v>10</v>
      </c>
      <c r="X6" s="292"/>
      <c r="Y6" s="292"/>
      <c r="Z6" s="292"/>
      <c r="AA6" s="293"/>
      <c r="AB6" s="333" t="s">
        <v>34</v>
      </c>
      <c r="AC6" s="334"/>
      <c r="AD6" s="335"/>
      <c r="AE6" s="333" t="s">
        <v>9</v>
      </c>
      <c r="AF6" s="334"/>
      <c r="AG6" s="335"/>
      <c r="AH6" s="86"/>
    </row>
    <row r="7" spans="1:34">
      <c r="A7" s="336" t="s">
        <v>211</v>
      </c>
      <c r="B7" s="337"/>
      <c r="C7" s="337"/>
      <c r="D7" s="338"/>
      <c r="E7" s="336" t="s">
        <v>216</v>
      </c>
      <c r="F7" s="337"/>
      <c r="G7" s="337"/>
      <c r="H7" s="337"/>
      <c r="I7" s="337"/>
      <c r="J7" s="337"/>
      <c r="K7" s="337"/>
      <c r="L7" s="337"/>
      <c r="M7" s="337"/>
      <c r="N7" s="337"/>
      <c r="O7" s="337"/>
      <c r="P7" s="337"/>
      <c r="Q7" s="337"/>
      <c r="R7" s="337"/>
      <c r="S7" s="337"/>
      <c r="T7" s="337"/>
      <c r="U7" s="337"/>
      <c r="V7" s="338"/>
      <c r="W7" s="336" t="str">
        <f ca="1">TemplateRef</f>
        <v>AEF1007</v>
      </c>
      <c r="X7" s="337"/>
      <c r="Y7" s="337"/>
      <c r="Z7" s="337"/>
      <c r="AA7" s="338"/>
      <c r="AB7" s="336" t="s">
        <v>215</v>
      </c>
      <c r="AC7" s="337"/>
      <c r="AD7" s="338"/>
      <c r="AE7" s="336" t="s">
        <v>215</v>
      </c>
      <c r="AF7" s="337"/>
      <c r="AG7" s="338"/>
      <c r="AH7" s="93"/>
    </row>
    <row r="8" spans="1:34">
      <c r="A8" s="325" t="s">
        <v>144</v>
      </c>
      <c r="B8" s="326"/>
      <c r="C8" s="326"/>
      <c r="D8" s="326"/>
      <c r="E8" s="326"/>
      <c r="F8" s="326"/>
      <c r="G8" s="326"/>
      <c r="H8" s="326"/>
      <c r="I8" s="326"/>
      <c r="J8" s="326"/>
      <c r="K8" s="326"/>
      <c r="L8" s="326"/>
      <c r="M8" s="326"/>
      <c r="N8" s="326"/>
      <c r="O8" s="326"/>
      <c r="P8" s="326"/>
      <c r="Q8" s="326"/>
      <c r="R8" s="326"/>
      <c r="S8" s="326"/>
      <c r="T8" s="326"/>
      <c r="U8" s="326"/>
      <c r="V8" s="326"/>
      <c r="W8" s="326"/>
      <c r="X8" s="326"/>
      <c r="Y8" s="326"/>
      <c r="Z8" s="326"/>
      <c r="AA8" s="326"/>
      <c r="AB8" s="326"/>
      <c r="AC8" s="326"/>
      <c r="AD8" s="326"/>
      <c r="AE8" s="326"/>
      <c r="AF8" s="326"/>
      <c r="AG8" s="327"/>
      <c r="AH8" s="96"/>
    </row>
    <row r="9" spans="1:34">
      <c r="A9" s="328" t="s">
        <v>145</v>
      </c>
      <c r="B9" s="329"/>
      <c r="C9" s="329"/>
      <c r="D9" s="329"/>
      <c r="E9" s="329"/>
      <c r="F9" s="329"/>
      <c r="G9" s="329"/>
      <c r="H9" s="329"/>
      <c r="I9" s="329"/>
      <c r="J9" s="329"/>
      <c r="K9" s="329"/>
      <c r="L9" s="329"/>
      <c r="M9" s="329"/>
      <c r="N9" s="329"/>
      <c r="O9" s="329"/>
      <c r="P9" s="329"/>
      <c r="Q9" s="329"/>
      <c r="R9" s="329"/>
      <c r="S9" s="329"/>
      <c r="T9" s="329"/>
      <c r="U9" s="329"/>
      <c r="V9" s="329"/>
      <c r="W9" s="329"/>
      <c r="X9" s="329"/>
      <c r="Y9" s="329"/>
      <c r="Z9" s="329"/>
      <c r="AA9" s="329"/>
      <c r="AB9" s="329"/>
      <c r="AC9" s="329"/>
      <c r="AD9" s="329"/>
      <c r="AE9" s="329"/>
      <c r="AF9" s="329"/>
      <c r="AG9" s="330"/>
      <c r="AH9" s="96"/>
    </row>
    <row r="10" spans="1:34">
      <c r="A10" s="96"/>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c r="AG10" s="96"/>
      <c r="AH10" s="96"/>
    </row>
    <row r="11" spans="1:34">
      <c r="A11" s="96"/>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c r="AF11" s="96"/>
      <c r="AG11" s="96"/>
      <c r="AH11" s="96"/>
    </row>
    <row r="12" spans="1:34" ht="26.25">
      <c r="A12" s="96"/>
      <c r="B12" s="106" t="s">
        <v>146</v>
      </c>
      <c r="C12" s="107"/>
      <c r="D12" s="107"/>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96"/>
      <c r="AH12" s="96"/>
    </row>
    <row r="13" spans="1:34">
      <c r="A13" s="96"/>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row>
    <row r="14" spans="1:34" ht="20.25">
      <c r="A14" s="96"/>
      <c r="B14" s="108" t="s">
        <v>147</v>
      </c>
      <c r="C14" s="109"/>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row>
    <row r="15" spans="1:34">
      <c r="A15" s="96"/>
      <c r="B15" s="310" t="s">
        <v>148</v>
      </c>
      <c r="C15" s="331"/>
      <c r="D15" s="331"/>
      <c r="E15" s="331"/>
      <c r="F15" s="331"/>
      <c r="G15" s="310" t="s">
        <v>149</v>
      </c>
      <c r="H15" s="310"/>
      <c r="I15" s="310"/>
      <c r="J15" s="310"/>
      <c r="K15" s="310"/>
      <c r="L15" s="310"/>
      <c r="M15" s="310"/>
      <c r="N15" s="310"/>
      <c r="O15" s="310"/>
      <c r="P15" s="310"/>
      <c r="Q15" s="310"/>
      <c r="R15" s="310"/>
      <c r="S15" s="310"/>
      <c r="T15" s="310"/>
      <c r="U15" s="310"/>
      <c r="V15" s="310"/>
      <c r="W15" s="310"/>
      <c r="X15" s="310"/>
      <c r="Y15" s="310"/>
      <c r="Z15" s="310"/>
      <c r="AA15" s="310"/>
      <c r="AB15" s="310"/>
      <c r="AC15" s="310"/>
      <c r="AD15" s="310"/>
      <c r="AE15" s="310"/>
      <c r="AF15" s="310"/>
      <c r="AG15" s="96"/>
      <c r="AH15" s="96"/>
    </row>
    <row r="16" spans="1:34" ht="55.5" customHeight="1">
      <c r="A16" s="96"/>
      <c r="B16" s="332" t="s">
        <v>150</v>
      </c>
      <c r="C16" s="332"/>
      <c r="D16" s="332"/>
      <c r="E16" s="332"/>
      <c r="F16" s="332"/>
      <c r="G16" s="313" t="s">
        <v>151</v>
      </c>
      <c r="H16" s="313"/>
      <c r="I16" s="313"/>
      <c r="J16" s="313"/>
      <c r="K16" s="313"/>
      <c r="L16" s="313"/>
      <c r="M16" s="313"/>
      <c r="N16" s="313"/>
      <c r="O16" s="313"/>
      <c r="P16" s="313"/>
      <c r="Q16" s="313"/>
      <c r="R16" s="313"/>
      <c r="S16" s="313"/>
      <c r="T16" s="313"/>
      <c r="U16" s="313"/>
      <c r="V16" s="313"/>
      <c r="W16" s="313"/>
      <c r="X16" s="313"/>
      <c r="Y16" s="313"/>
      <c r="Z16" s="313"/>
      <c r="AA16" s="313"/>
      <c r="AB16" s="313"/>
      <c r="AC16" s="313"/>
      <c r="AD16" s="313"/>
      <c r="AE16" s="313"/>
      <c r="AF16" s="313"/>
      <c r="AG16" s="96"/>
      <c r="AH16" s="96"/>
    </row>
    <row r="17" spans="1:34">
      <c r="A17" s="96"/>
      <c r="B17" s="332" t="s">
        <v>152</v>
      </c>
      <c r="C17" s="332"/>
      <c r="D17" s="332"/>
      <c r="E17" s="332"/>
      <c r="F17" s="332"/>
      <c r="G17" s="313" t="s">
        <v>153</v>
      </c>
      <c r="H17" s="313"/>
      <c r="I17" s="313"/>
      <c r="J17" s="313"/>
      <c r="K17" s="313"/>
      <c r="L17" s="313"/>
      <c r="M17" s="313"/>
      <c r="N17" s="313"/>
      <c r="O17" s="313"/>
      <c r="P17" s="313"/>
      <c r="Q17" s="313"/>
      <c r="R17" s="313"/>
      <c r="S17" s="313"/>
      <c r="T17" s="313"/>
      <c r="U17" s="313"/>
      <c r="V17" s="313"/>
      <c r="W17" s="313"/>
      <c r="X17" s="313"/>
      <c r="Y17" s="313"/>
      <c r="Z17" s="313"/>
      <c r="AA17" s="313"/>
      <c r="AB17" s="313"/>
      <c r="AC17" s="313"/>
      <c r="AD17" s="313"/>
      <c r="AE17" s="313"/>
      <c r="AF17" s="313"/>
      <c r="AG17" s="96"/>
      <c r="AH17" s="96"/>
    </row>
    <row r="18" spans="1:34" ht="15" customHeight="1">
      <c r="A18" s="96"/>
      <c r="B18" s="332" t="s">
        <v>15</v>
      </c>
      <c r="C18" s="332"/>
      <c r="D18" s="332"/>
      <c r="E18" s="332"/>
      <c r="F18" s="332"/>
      <c r="G18" s="313" t="s">
        <v>154</v>
      </c>
      <c r="H18" s="313"/>
      <c r="I18" s="313"/>
      <c r="J18" s="313"/>
      <c r="K18" s="313"/>
      <c r="L18" s="313"/>
      <c r="M18" s="313"/>
      <c r="N18" s="313"/>
      <c r="O18" s="313"/>
      <c r="P18" s="313"/>
      <c r="Q18" s="313"/>
      <c r="R18" s="313"/>
      <c r="S18" s="313"/>
      <c r="T18" s="313"/>
      <c r="U18" s="313"/>
      <c r="V18" s="313"/>
      <c r="W18" s="313"/>
      <c r="X18" s="313"/>
      <c r="Y18" s="313"/>
      <c r="Z18" s="313"/>
      <c r="AA18" s="313"/>
      <c r="AB18" s="313"/>
      <c r="AC18" s="313"/>
      <c r="AD18" s="313"/>
      <c r="AE18" s="313"/>
      <c r="AF18" s="313"/>
      <c r="AG18" s="96"/>
      <c r="AH18" s="96"/>
    </row>
    <row r="19" spans="1:34" ht="24" customHeight="1">
      <c r="A19" s="96"/>
      <c r="B19" s="322" t="s">
        <v>189</v>
      </c>
      <c r="C19" s="322"/>
      <c r="D19" s="322"/>
      <c r="E19" s="322"/>
      <c r="F19" s="322"/>
      <c r="G19" s="313" t="s">
        <v>154</v>
      </c>
      <c r="H19" s="313"/>
      <c r="I19" s="313"/>
      <c r="J19" s="313"/>
      <c r="K19" s="313"/>
      <c r="L19" s="313"/>
      <c r="M19" s="313"/>
      <c r="N19" s="313"/>
      <c r="O19" s="313"/>
      <c r="P19" s="313"/>
      <c r="Q19" s="313"/>
      <c r="R19" s="313"/>
      <c r="S19" s="313"/>
      <c r="T19" s="313"/>
      <c r="U19" s="313"/>
      <c r="V19" s="313"/>
      <c r="W19" s="313"/>
      <c r="X19" s="313"/>
      <c r="Y19" s="313"/>
      <c r="Z19" s="313"/>
      <c r="AA19" s="313"/>
      <c r="AB19" s="313"/>
      <c r="AC19" s="313"/>
      <c r="AD19" s="313"/>
      <c r="AE19" s="313"/>
      <c r="AF19" s="313"/>
      <c r="AG19" s="96"/>
      <c r="AH19" s="96"/>
    </row>
    <row r="20" spans="1:34">
      <c r="A20" s="96"/>
      <c r="B20" s="339" t="s">
        <v>190</v>
      </c>
      <c r="C20" s="339"/>
      <c r="D20" s="339"/>
      <c r="E20" s="339"/>
      <c r="F20" s="339"/>
      <c r="G20" s="313" t="s">
        <v>154</v>
      </c>
      <c r="H20" s="313"/>
      <c r="I20" s="313"/>
      <c r="J20" s="313"/>
      <c r="K20" s="313"/>
      <c r="L20" s="313"/>
      <c r="M20" s="313"/>
      <c r="N20" s="313"/>
      <c r="O20" s="313"/>
      <c r="P20" s="313"/>
      <c r="Q20" s="313"/>
      <c r="R20" s="313"/>
      <c r="S20" s="313"/>
      <c r="T20" s="313"/>
      <c r="U20" s="313"/>
      <c r="V20" s="313"/>
      <c r="W20" s="313"/>
      <c r="X20" s="313"/>
      <c r="Y20" s="313"/>
      <c r="Z20" s="313"/>
      <c r="AA20" s="313"/>
      <c r="AB20" s="313"/>
      <c r="AC20" s="313"/>
      <c r="AD20" s="313"/>
      <c r="AE20" s="313"/>
      <c r="AF20" s="313"/>
      <c r="AG20" s="96"/>
      <c r="AH20" s="96"/>
    </row>
    <row r="21" spans="1:34" ht="35.25" customHeight="1">
      <c r="A21" s="96"/>
      <c r="B21" s="323" t="s">
        <v>311</v>
      </c>
      <c r="C21" s="323"/>
      <c r="D21" s="323"/>
      <c r="E21" s="323"/>
      <c r="F21" s="323"/>
      <c r="G21" s="313" t="s">
        <v>312</v>
      </c>
      <c r="H21" s="313"/>
      <c r="I21" s="313"/>
      <c r="J21" s="313"/>
      <c r="K21" s="313"/>
      <c r="L21" s="313"/>
      <c r="M21" s="313"/>
      <c r="N21" s="313"/>
      <c r="O21" s="313"/>
      <c r="P21" s="313"/>
      <c r="Q21" s="313"/>
      <c r="R21" s="313"/>
      <c r="S21" s="313"/>
      <c r="T21" s="313"/>
      <c r="U21" s="313"/>
      <c r="V21" s="313"/>
      <c r="W21" s="313"/>
      <c r="X21" s="313"/>
      <c r="Y21" s="313"/>
      <c r="Z21" s="313"/>
      <c r="AA21" s="313"/>
      <c r="AB21" s="313"/>
      <c r="AC21" s="313"/>
      <c r="AD21" s="313"/>
      <c r="AE21" s="313"/>
      <c r="AF21" s="313"/>
      <c r="AG21" s="96"/>
      <c r="AH21" s="96"/>
    </row>
    <row r="22" spans="1:34" ht="28.5" customHeight="1">
      <c r="A22" s="96"/>
      <c r="B22" s="323" t="s">
        <v>313</v>
      </c>
      <c r="C22" s="323"/>
      <c r="D22" s="323"/>
      <c r="E22" s="323"/>
      <c r="F22" s="323"/>
      <c r="G22" s="313" t="s">
        <v>314</v>
      </c>
      <c r="H22" s="313"/>
      <c r="I22" s="313"/>
      <c r="J22" s="313"/>
      <c r="K22" s="313"/>
      <c r="L22" s="313"/>
      <c r="M22" s="313"/>
      <c r="N22" s="313"/>
      <c r="O22" s="313"/>
      <c r="P22" s="313"/>
      <c r="Q22" s="313"/>
      <c r="R22" s="313"/>
      <c r="S22" s="313"/>
      <c r="T22" s="313"/>
      <c r="U22" s="313"/>
      <c r="V22" s="313"/>
      <c r="W22" s="313"/>
      <c r="X22" s="313"/>
      <c r="Y22" s="313"/>
      <c r="Z22" s="313"/>
      <c r="AA22" s="313"/>
      <c r="AB22" s="313"/>
      <c r="AC22" s="313"/>
      <c r="AD22" s="313"/>
      <c r="AE22" s="313"/>
      <c r="AF22" s="313"/>
      <c r="AG22" s="96"/>
      <c r="AH22" s="96"/>
    </row>
    <row r="23" spans="1:34" ht="22.5" customHeight="1">
      <c r="A23" s="96"/>
      <c r="B23" s="323" t="s">
        <v>315</v>
      </c>
      <c r="C23" s="323"/>
      <c r="D23" s="323"/>
      <c r="E23" s="323"/>
      <c r="F23" s="323"/>
      <c r="G23" s="313" t="s">
        <v>316</v>
      </c>
      <c r="H23" s="313"/>
      <c r="I23" s="313"/>
      <c r="J23" s="313"/>
      <c r="K23" s="313"/>
      <c r="L23" s="313"/>
      <c r="M23" s="313"/>
      <c r="N23" s="313"/>
      <c r="O23" s="313"/>
      <c r="P23" s="313"/>
      <c r="Q23" s="313"/>
      <c r="R23" s="313"/>
      <c r="S23" s="313"/>
      <c r="T23" s="313"/>
      <c r="U23" s="313"/>
      <c r="V23" s="313"/>
      <c r="W23" s="313"/>
      <c r="X23" s="313"/>
      <c r="Y23" s="313"/>
      <c r="Z23" s="313"/>
      <c r="AA23" s="313"/>
      <c r="AB23" s="313"/>
      <c r="AC23" s="313"/>
      <c r="AD23" s="313"/>
      <c r="AE23" s="313"/>
      <c r="AF23" s="313"/>
      <c r="AG23" s="96"/>
      <c r="AH23" s="96"/>
    </row>
    <row r="24" spans="1:34" ht="45" customHeight="1">
      <c r="A24" s="96"/>
      <c r="B24" s="324" t="s">
        <v>191</v>
      </c>
      <c r="C24" s="324"/>
      <c r="D24" s="324"/>
      <c r="E24" s="324"/>
      <c r="F24" s="324"/>
      <c r="G24" s="313" t="s">
        <v>395</v>
      </c>
      <c r="H24" s="313"/>
      <c r="I24" s="313"/>
      <c r="J24" s="313"/>
      <c r="K24" s="313"/>
      <c r="L24" s="313"/>
      <c r="M24" s="313"/>
      <c r="N24" s="313"/>
      <c r="O24" s="313"/>
      <c r="P24" s="313"/>
      <c r="Q24" s="313"/>
      <c r="R24" s="313"/>
      <c r="S24" s="313"/>
      <c r="T24" s="313"/>
      <c r="U24" s="313"/>
      <c r="V24" s="313"/>
      <c r="W24" s="313"/>
      <c r="X24" s="313"/>
      <c r="Y24" s="313"/>
      <c r="Z24" s="313"/>
      <c r="AA24" s="313"/>
      <c r="AB24" s="313"/>
      <c r="AC24" s="313"/>
      <c r="AD24" s="313"/>
      <c r="AE24" s="313"/>
      <c r="AF24" s="313"/>
      <c r="AG24" s="96"/>
      <c r="AH24" s="96"/>
    </row>
    <row r="25" spans="1:34">
      <c r="A25" s="96"/>
      <c r="B25" s="96"/>
      <c r="C25" s="110"/>
      <c r="D25" s="96"/>
      <c r="E25" s="96"/>
      <c r="F25" s="96"/>
      <c r="G25" s="96"/>
      <c r="H25" s="96"/>
      <c r="I25" s="111"/>
      <c r="J25" s="96"/>
      <c r="K25" s="96"/>
      <c r="L25" s="96"/>
      <c r="M25" s="96"/>
      <c r="N25" s="96"/>
      <c r="O25" s="96"/>
      <c r="P25" s="96"/>
      <c r="Q25" s="96"/>
      <c r="R25" s="96"/>
      <c r="S25" s="96"/>
      <c r="T25" s="96"/>
      <c r="U25" s="96"/>
      <c r="V25" s="96"/>
      <c r="W25" s="96"/>
      <c r="X25" s="96"/>
      <c r="Y25" s="96"/>
      <c r="Z25" s="96"/>
      <c r="AA25" s="96"/>
      <c r="AB25" s="96"/>
      <c r="AC25" s="96"/>
      <c r="AD25" s="96"/>
      <c r="AE25" s="96"/>
      <c r="AF25" s="96"/>
      <c r="AG25" s="96"/>
      <c r="AH25" s="96"/>
    </row>
    <row r="26" spans="1:34" ht="20.25">
      <c r="A26" s="108"/>
      <c r="B26" s="108" t="s">
        <v>155</v>
      </c>
      <c r="C26" s="110"/>
      <c r="D26" s="96"/>
      <c r="E26" s="96"/>
      <c r="F26" s="96"/>
      <c r="G26" s="96"/>
      <c r="H26" s="96"/>
      <c r="I26" s="111"/>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row>
    <row r="27" spans="1:34">
      <c r="A27" s="96"/>
      <c r="B27" s="310" t="s">
        <v>34</v>
      </c>
      <c r="C27" s="315"/>
      <c r="D27" s="315"/>
      <c r="E27" s="310" t="s">
        <v>93</v>
      </c>
      <c r="F27" s="310"/>
      <c r="G27" s="310"/>
      <c r="H27" s="310"/>
      <c r="I27" s="310" t="s">
        <v>156</v>
      </c>
      <c r="J27" s="315"/>
      <c r="K27" s="315"/>
      <c r="L27" s="315"/>
      <c r="M27" s="315"/>
      <c r="N27" s="315"/>
      <c r="O27" s="315"/>
      <c r="P27" s="315"/>
      <c r="Q27" s="315"/>
      <c r="R27" s="310" t="s">
        <v>157</v>
      </c>
      <c r="S27" s="310"/>
      <c r="T27" s="310"/>
      <c r="U27" s="310"/>
      <c r="V27" s="310"/>
      <c r="W27" s="310"/>
      <c r="X27" s="310"/>
      <c r="Y27" s="310"/>
      <c r="Z27" s="310"/>
      <c r="AA27" s="310"/>
      <c r="AB27" s="310"/>
      <c r="AC27" s="310"/>
      <c r="AD27" s="310"/>
      <c r="AE27" s="310"/>
      <c r="AF27" s="310"/>
      <c r="AG27" s="96"/>
      <c r="AH27" s="96"/>
    </row>
    <row r="28" spans="1:34" ht="40.5" customHeight="1">
      <c r="A28" s="96"/>
      <c r="B28" s="303" t="s">
        <v>3</v>
      </c>
      <c r="C28" s="304" t="s">
        <v>3</v>
      </c>
      <c r="D28" s="305" t="s">
        <v>3</v>
      </c>
      <c r="E28" s="316"/>
      <c r="F28" s="317"/>
      <c r="G28" s="317"/>
      <c r="H28" s="318"/>
      <c r="I28" s="313"/>
      <c r="J28" s="319"/>
      <c r="K28" s="319"/>
      <c r="L28" s="319"/>
      <c r="M28" s="319"/>
      <c r="N28" s="319"/>
      <c r="O28" s="319"/>
      <c r="P28" s="319"/>
      <c r="Q28" s="319"/>
      <c r="R28" s="313" t="s">
        <v>14</v>
      </c>
      <c r="S28" s="313" t="s">
        <v>14</v>
      </c>
      <c r="T28" s="313" t="s">
        <v>14</v>
      </c>
      <c r="U28" s="313" t="s">
        <v>14</v>
      </c>
      <c r="V28" s="313" t="s">
        <v>14</v>
      </c>
      <c r="W28" s="313" t="s">
        <v>14</v>
      </c>
      <c r="X28" s="313" t="s">
        <v>14</v>
      </c>
      <c r="Y28" s="313" t="s">
        <v>14</v>
      </c>
      <c r="Z28" s="313" t="s">
        <v>14</v>
      </c>
      <c r="AA28" s="313" t="s">
        <v>14</v>
      </c>
      <c r="AB28" s="313" t="s">
        <v>14</v>
      </c>
      <c r="AC28" s="313" t="s">
        <v>14</v>
      </c>
      <c r="AD28" s="313" t="s">
        <v>14</v>
      </c>
      <c r="AE28" s="313" t="s">
        <v>14</v>
      </c>
      <c r="AF28" s="313" t="s">
        <v>14</v>
      </c>
      <c r="AG28" s="96"/>
      <c r="AH28" s="96"/>
    </row>
    <row r="29" spans="1:34" ht="60" customHeight="1">
      <c r="A29" s="96"/>
      <c r="B29" s="303" t="s">
        <v>18</v>
      </c>
      <c r="C29" s="304" t="s">
        <v>18</v>
      </c>
      <c r="D29" s="305" t="s">
        <v>18</v>
      </c>
      <c r="E29" s="316">
        <v>40591.490486111114</v>
      </c>
      <c r="F29" s="317">
        <v>40591.490486111114</v>
      </c>
      <c r="G29" s="317">
        <v>40591.490486111114</v>
      </c>
      <c r="H29" s="318">
        <v>40591.490486111114</v>
      </c>
      <c r="I29" s="313" t="s">
        <v>4</v>
      </c>
      <c r="J29" s="319" t="s">
        <v>4</v>
      </c>
      <c r="K29" s="319" t="s">
        <v>4</v>
      </c>
      <c r="L29" s="319" t="s">
        <v>4</v>
      </c>
      <c r="M29" s="319" t="s">
        <v>4</v>
      </c>
      <c r="N29" s="319" t="s">
        <v>4</v>
      </c>
      <c r="O29" s="319" t="s">
        <v>4</v>
      </c>
      <c r="P29" s="319" t="s">
        <v>4</v>
      </c>
      <c r="Q29" s="319" t="s">
        <v>4</v>
      </c>
      <c r="R29" s="313" t="s">
        <v>35</v>
      </c>
      <c r="S29" s="313" t="s">
        <v>35</v>
      </c>
      <c r="T29" s="313" t="s">
        <v>35</v>
      </c>
      <c r="U29" s="313" t="s">
        <v>35</v>
      </c>
      <c r="V29" s="313" t="s">
        <v>35</v>
      </c>
      <c r="W29" s="313" t="s">
        <v>35</v>
      </c>
      <c r="X29" s="313" t="s">
        <v>35</v>
      </c>
      <c r="Y29" s="313" t="s">
        <v>35</v>
      </c>
      <c r="Z29" s="313" t="s">
        <v>35</v>
      </c>
      <c r="AA29" s="313" t="s">
        <v>35</v>
      </c>
      <c r="AB29" s="313" t="s">
        <v>35</v>
      </c>
      <c r="AC29" s="313" t="s">
        <v>35</v>
      </c>
      <c r="AD29" s="313" t="s">
        <v>35</v>
      </c>
      <c r="AE29" s="313" t="s">
        <v>35</v>
      </c>
      <c r="AF29" s="313" t="s">
        <v>35</v>
      </c>
      <c r="AG29" s="96"/>
      <c r="AH29" s="96"/>
    </row>
    <row r="30" spans="1:34" ht="291" customHeight="1">
      <c r="A30" s="96"/>
      <c r="B30" s="303" t="s">
        <v>99</v>
      </c>
      <c r="C30" s="304" t="s">
        <v>99</v>
      </c>
      <c r="D30" s="305" t="s">
        <v>99</v>
      </c>
      <c r="E30" s="316">
        <v>41071.656145833331</v>
      </c>
      <c r="F30" s="317">
        <v>41071.656145833331</v>
      </c>
      <c r="G30" s="317">
        <v>41071.656145833331</v>
      </c>
      <c r="H30" s="318">
        <v>41071.656145833331</v>
      </c>
      <c r="I30" s="313" t="s">
        <v>4</v>
      </c>
      <c r="J30" s="319" t="s">
        <v>4</v>
      </c>
      <c r="K30" s="319" t="s">
        <v>4</v>
      </c>
      <c r="L30" s="319" t="s">
        <v>4</v>
      </c>
      <c r="M30" s="319" t="s">
        <v>4</v>
      </c>
      <c r="N30" s="319" t="s">
        <v>4</v>
      </c>
      <c r="O30" s="319" t="s">
        <v>4</v>
      </c>
      <c r="P30" s="319" t="s">
        <v>4</v>
      </c>
      <c r="Q30" s="319" t="s">
        <v>4</v>
      </c>
      <c r="R30" s="313" t="s">
        <v>130</v>
      </c>
      <c r="S30" s="313" t="s">
        <v>130</v>
      </c>
      <c r="T30" s="313" t="s">
        <v>130</v>
      </c>
      <c r="U30" s="313" t="s">
        <v>130</v>
      </c>
      <c r="V30" s="313" t="s">
        <v>130</v>
      </c>
      <c r="W30" s="313" t="s">
        <v>130</v>
      </c>
      <c r="X30" s="313" t="s">
        <v>130</v>
      </c>
      <c r="Y30" s="313" t="s">
        <v>130</v>
      </c>
      <c r="Z30" s="313" t="s">
        <v>130</v>
      </c>
      <c r="AA30" s="313" t="s">
        <v>130</v>
      </c>
      <c r="AB30" s="313" t="s">
        <v>130</v>
      </c>
      <c r="AC30" s="313" t="s">
        <v>130</v>
      </c>
      <c r="AD30" s="313" t="s">
        <v>130</v>
      </c>
      <c r="AE30" s="313" t="s">
        <v>130</v>
      </c>
      <c r="AF30" s="313" t="s">
        <v>130</v>
      </c>
      <c r="AG30" s="96"/>
      <c r="AH30" s="96"/>
    </row>
    <row r="31" spans="1:34" ht="40.5" customHeight="1">
      <c r="A31" s="96"/>
      <c r="B31" s="303" t="s">
        <v>87</v>
      </c>
      <c r="C31" s="304" t="s">
        <v>87</v>
      </c>
      <c r="D31" s="305" t="s">
        <v>87</v>
      </c>
      <c r="E31" s="316">
        <v>41071.656145833331</v>
      </c>
      <c r="F31" s="317">
        <v>41071.656145833331</v>
      </c>
      <c r="G31" s="317">
        <v>41071.656145833331</v>
      </c>
      <c r="H31" s="318">
        <v>41071.656145833331</v>
      </c>
      <c r="I31" s="313" t="s">
        <v>88</v>
      </c>
      <c r="J31" s="319" t="s">
        <v>88</v>
      </c>
      <c r="K31" s="319" t="s">
        <v>88</v>
      </c>
      <c r="L31" s="319" t="s">
        <v>88</v>
      </c>
      <c r="M31" s="319" t="s">
        <v>88</v>
      </c>
      <c r="N31" s="319" t="s">
        <v>88</v>
      </c>
      <c r="O31" s="319" t="s">
        <v>88</v>
      </c>
      <c r="P31" s="319" t="s">
        <v>88</v>
      </c>
      <c r="Q31" s="319" t="s">
        <v>88</v>
      </c>
      <c r="R31" s="313" t="s">
        <v>101</v>
      </c>
      <c r="S31" s="313" t="s">
        <v>101</v>
      </c>
      <c r="T31" s="313" t="s">
        <v>101</v>
      </c>
      <c r="U31" s="313" t="s">
        <v>101</v>
      </c>
      <c r="V31" s="313" t="s">
        <v>101</v>
      </c>
      <c r="W31" s="313" t="s">
        <v>101</v>
      </c>
      <c r="X31" s="313" t="s">
        <v>101</v>
      </c>
      <c r="Y31" s="313" t="s">
        <v>101</v>
      </c>
      <c r="Z31" s="313" t="s">
        <v>101</v>
      </c>
      <c r="AA31" s="313" t="s">
        <v>101</v>
      </c>
      <c r="AB31" s="313" t="s">
        <v>101</v>
      </c>
      <c r="AC31" s="313" t="s">
        <v>101</v>
      </c>
      <c r="AD31" s="313" t="s">
        <v>101</v>
      </c>
      <c r="AE31" s="313" t="s">
        <v>101</v>
      </c>
      <c r="AF31" s="313" t="s">
        <v>101</v>
      </c>
      <c r="AG31" s="96"/>
      <c r="AH31" s="96"/>
    </row>
    <row r="32" spans="1:34" ht="121.5" customHeight="1">
      <c r="A32" s="96"/>
      <c r="B32" s="303"/>
      <c r="C32" s="304"/>
      <c r="D32" s="305"/>
      <c r="E32" s="316">
        <v>42195</v>
      </c>
      <c r="F32" s="317">
        <v>42195</v>
      </c>
      <c r="G32" s="317">
        <v>42195</v>
      </c>
      <c r="H32" s="318">
        <v>42195</v>
      </c>
      <c r="I32" s="313" t="s">
        <v>100</v>
      </c>
      <c r="J32" s="319" t="s">
        <v>100</v>
      </c>
      <c r="K32" s="319" t="s">
        <v>100</v>
      </c>
      <c r="L32" s="319" t="s">
        <v>100</v>
      </c>
      <c r="M32" s="319" t="s">
        <v>100</v>
      </c>
      <c r="N32" s="319" t="s">
        <v>100</v>
      </c>
      <c r="O32" s="319" t="s">
        <v>100</v>
      </c>
      <c r="P32" s="319" t="s">
        <v>100</v>
      </c>
      <c r="Q32" s="319" t="s">
        <v>100</v>
      </c>
      <c r="R32" s="313" t="s">
        <v>103</v>
      </c>
      <c r="S32" s="313" t="s">
        <v>103</v>
      </c>
      <c r="T32" s="313" t="s">
        <v>103</v>
      </c>
      <c r="U32" s="313" t="s">
        <v>103</v>
      </c>
      <c r="V32" s="313" t="s">
        <v>103</v>
      </c>
      <c r="W32" s="313" t="s">
        <v>103</v>
      </c>
      <c r="X32" s="313" t="s">
        <v>103</v>
      </c>
      <c r="Y32" s="313" t="s">
        <v>103</v>
      </c>
      <c r="Z32" s="313" t="s">
        <v>103</v>
      </c>
      <c r="AA32" s="313" t="s">
        <v>103</v>
      </c>
      <c r="AB32" s="313" t="s">
        <v>103</v>
      </c>
      <c r="AC32" s="313" t="s">
        <v>103</v>
      </c>
      <c r="AD32" s="313" t="s">
        <v>103</v>
      </c>
      <c r="AE32" s="313" t="s">
        <v>103</v>
      </c>
      <c r="AF32" s="313" t="s">
        <v>103</v>
      </c>
      <c r="AG32" s="96"/>
      <c r="AH32" s="96"/>
    </row>
    <row r="33" spans="1:34" ht="114" customHeight="1">
      <c r="A33" s="96"/>
      <c r="B33" s="303" t="s">
        <v>104</v>
      </c>
      <c r="C33" s="304" t="s">
        <v>104</v>
      </c>
      <c r="D33" s="305" t="s">
        <v>104</v>
      </c>
      <c r="E33" s="316">
        <v>42391.634837962964</v>
      </c>
      <c r="F33" s="317">
        <v>42391.634837962964</v>
      </c>
      <c r="G33" s="317">
        <v>42391.634837962964</v>
      </c>
      <c r="H33" s="318">
        <v>42391.634837962964</v>
      </c>
      <c r="I33" s="313" t="s">
        <v>105</v>
      </c>
      <c r="J33" s="319" t="s">
        <v>105</v>
      </c>
      <c r="K33" s="319" t="s">
        <v>105</v>
      </c>
      <c r="L33" s="319" t="s">
        <v>105</v>
      </c>
      <c r="M33" s="319" t="s">
        <v>105</v>
      </c>
      <c r="N33" s="319" t="s">
        <v>105</v>
      </c>
      <c r="O33" s="319" t="s">
        <v>105</v>
      </c>
      <c r="P33" s="319" t="s">
        <v>105</v>
      </c>
      <c r="Q33" s="319" t="s">
        <v>105</v>
      </c>
      <c r="R33" s="313" t="s">
        <v>129</v>
      </c>
      <c r="S33" s="313" t="s">
        <v>129</v>
      </c>
      <c r="T33" s="313" t="s">
        <v>129</v>
      </c>
      <c r="U33" s="313" t="s">
        <v>129</v>
      </c>
      <c r="V33" s="313" t="s">
        <v>129</v>
      </c>
      <c r="W33" s="313" t="s">
        <v>129</v>
      </c>
      <c r="X33" s="313" t="s">
        <v>129</v>
      </c>
      <c r="Y33" s="313" t="s">
        <v>129</v>
      </c>
      <c r="Z33" s="313" t="s">
        <v>129</v>
      </c>
      <c r="AA33" s="313" t="s">
        <v>129</v>
      </c>
      <c r="AB33" s="313" t="s">
        <v>129</v>
      </c>
      <c r="AC33" s="313" t="s">
        <v>129</v>
      </c>
      <c r="AD33" s="313" t="s">
        <v>129</v>
      </c>
      <c r="AE33" s="313" t="s">
        <v>129</v>
      </c>
      <c r="AF33" s="313" t="s">
        <v>129</v>
      </c>
      <c r="AG33" s="96"/>
      <c r="AH33" s="96"/>
    </row>
    <row r="34" spans="1:34" ht="40.5" customHeight="1">
      <c r="A34" s="96"/>
      <c r="B34" s="320" t="s">
        <v>192</v>
      </c>
      <c r="C34" s="321"/>
      <c r="D34" s="321"/>
      <c r="E34" s="316"/>
      <c r="F34" s="317"/>
      <c r="G34" s="317"/>
      <c r="H34" s="318"/>
      <c r="I34" s="313"/>
      <c r="J34" s="319"/>
      <c r="K34" s="319"/>
      <c r="L34" s="319"/>
      <c r="M34" s="319"/>
      <c r="N34" s="319"/>
      <c r="O34" s="319"/>
      <c r="P34" s="319"/>
      <c r="Q34" s="319"/>
      <c r="R34" s="313" t="s">
        <v>193</v>
      </c>
      <c r="S34" s="313"/>
      <c r="T34" s="313"/>
      <c r="U34" s="313"/>
      <c r="V34" s="313"/>
      <c r="W34" s="313"/>
      <c r="X34" s="313"/>
      <c r="Y34" s="313"/>
      <c r="Z34" s="313"/>
      <c r="AA34" s="313"/>
      <c r="AB34" s="313"/>
      <c r="AC34" s="313"/>
      <c r="AD34" s="313"/>
      <c r="AE34" s="313"/>
      <c r="AF34" s="313"/>
      <c r="AG34" s="96"/>
      <c r="AH34" s="96"/>
    </row>
    <row r="35" spans="1:34">
      <c r="A35" s="96"/>
      <c r="B35" s="112" t="s">
        <v>158</v>
      </c>
      <c r="C35" s="113"/>
      <c r="D35" s="113"/>
      <c r="E35" s="114"/>
      <c r="F35" s="114"/>
      <c r="G35" s="114"/>
      <c r="H35" s="114"/>
      <c r="I35" s="114"/>
      <c r="J35" s="115"/>
      <c r="K35" s="115"/>
      <c r="L35" s="115"/>
      <c r="M35" s="115"/>
      <c r="N35" s="115"/>
      <c r="O35" s="115"/>
      <c r="P35" s="115"/>
      <c r="Q35" s="115"/>
      <c r="R35" s="114"/>
      <c r="S35" s="114"/>
      <c r="T35" s="114"/>
      <c r="U35" s="114"/>
      <c r="V35" s="114"/>
      <c r="W35" s="114"/>
      <c r="X35" s="114"/>
      <c r="Y35" s="114"/>
      <c r="Z35" s="114"/>
      <c r="AA35" s="114"/>
      <c r="AB35" s="114"/>
      <c r="AC35" s="114"/>
      <c r="AD35" s="114"/>
      <c r="AE35" s="114"/>
      <c r="AF35" s="114"/>
      <c r="AG35" s="96"/>
      <c r="AH35" s="96"/>
    </row>
    <row r="36" spans="1:34">
      <c r="A36" s="96"/>
      <c r="B36" s="96"/>
      <c r="C36" s="110"/>
      <c r="D36" s="96"/>
      <c r="E36" s="96"/>
      <c r="F36" s="96"/>
      <c r="G36" s="96"/>
      <c r="H36" s="96"/>
      <c r="I36" s="111"/>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row>
    <row r="37" spans="1:34">
      <c r="A37" s="96"/>
      <c r="B37" s="96"/>
      <c r="C37" s="96"/>
      <c r="D37" s="96"/>
      <c r="E37" s="96"/>
      <c r="F37" s="96"/>
      <c r="G37" s="96"/>
      <c r="H37" s="96"/>
      <c r="I37" s="96"/>
      <c r="J37" s="116"/>
      <c r="K37" s="96"/>
      <c r="L37" s="96"/>
      <c r="M37" s="96"/>
      <c r="N37" s="96"/>
      <c r="O37" s="96"/>
      <c r="P37" s="96"/>
      <c r="Q37" s="96"/>
      <c r="R37" s="96"/>
      <c r="S37" s="96"/>
      <c r="T37" s="96"/>
      <c r="U37" s="96"/>
      <c r="V37" s="96"/>
      <c r="W37" s="96"/>
      <c r="X37" s="96"/>
      <c r="Y37" s="96"/>
      <c r="Z37" s="96"/>
      <c r="AA37" s="96"/>
      <c r="AB37" s="96"/>
      <c r="AC37" s="96"/>
      <c r="AD37" s="96"/>
      <c r="AE37" s="96"/>
      <c r="AF37" s="96"/>
      <c r="AG37" s="96"/>
      <c r="AH37" s="96"/>
    </row>
    <row r="38" spans="1:34" ht="20.25">
      <c r="A38" s="96"/>
      <c r="B38" s="108" t="s">
        <v>159</v>
      </c>
      <c r="C38" s="109"/>
      <c r="D38" s="96"/>
      <c r="E38" s="96"/>
      <c r="F38" s="96"/>
      <c r="G38" s="96"/>
      <c r="H38" s="96"/>
      <c r="I38" s="111"/>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row>
    <row r="39" spans="1:34" ht="18.75">
      <c r="A39" s="96"/>
      <c r="B39" s="117" t="s">
        <v>160</v>
      </c>
      <c r="C39" s="109"/>
      <c r="D39" s="96"/>
      <c r="E39" s="96"/>
      <c r="F39" s="96"/>
      <c r="G39" s="96"/>
      <c r="H39" s="96"/>
      <c r="I39" s="111"/>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row>
    <row r="40" spans="1:34">
      <c r="A40" s="96"/>
      <c r="B40" s="310" t="s">
        <v>161</v>
      </c>
      <c r="C40" s="310"/>
      <c r="D40" s="310"/>
      <c r="E40" s="310" t="s">
        <v>162</v>
      </c>
      <c r="F40" s="315"/>
      <c r="G40" s="315"/>
      <c r="H40" s="315"/>
      <c r="I40" s="315"/>
      <c r="J40" s="315"/>
      <c r="K40" s="315"/>
      <c r="L40" s="315"/>
      <c r="M40" s="315"/>
      <c r="N40" s="315"/>
      <c r="O40" s="315"/>
      <c r="P40" s="315"/>
      <c r="Q40" s="315"/>
      <c r="R40" s="315"/>
      <c r="S40" s="315"/>
      <c r="T40" s="315"/>
      <c r="U40" s="315"/>
      <c r="V40" s="315"/>
      <c r="W40" s="315"/>
      <c r="X40" s="315"/>
      <c r="Y40" s="310" t="s">
        <v>163</v>
      </c>
      <c r="Z40" s="310"/>
      <c r="AA40" s="310"/>
      <c r="AB40" s="310"/>
      <c r="AC40" s="310"/>
      <c r="AD40" s="310"/>
      <c r="AE40" s="310"/>
      <c r="AF40" s="310"/>
      <c r="AG40" s="96"/>
      <c r="AH40" s="96"/>
    </row>
    <row r="41" spans="1:34">
      <c r="A41" s="96"/>
      <c r="B41" s="312"/>
      <c r="C41" s="312"/>
      <c r="D41" s="312"/>
      <c r="E41" s="313"/>
      <c r="F41" s="314"/>
      <c r="G41" s="314"/>
      <c r="H41" s="314"/>
      <c r="I41" s="314"/>
      <c r="J41" s="314"/>
      <c r="K41" s="314"/>
      <c r="L41" s="314"/>
      <c r="M41" s="314"/>
      <c r="N41" s="314"/>
      <c r="O41" s="314"/>
      <c r="P41" s="314"/>
      <c r="Q41" s="314"/>
      <c r="R41" s="314"/>
      <c r="S41" s="314"/>
      <c r="T41" s="314"/>
      <c r="U41" s="314"/>
      <c r="V41" s="314"/>
      <c r="W41" s="314"/>
      <c r="X41" s="314"/>
      <c r="Y41" s="313"/>
      <c r="Z41" s="314"/>
      <c r="AA41" s="314"/>
      <c r="AB41" s="314"/>
      <c r="AC41" s="314"/>
      <c r="AD41" s="314"/>
      <c r="AE41" s="314"/>
      <c r="AF41" s="314"/>
      <c r="AG41" s="96"/>
      <c r="AH41" s="96"/>
    </row>
    <row r="42" spans="1:34">
      <c r="A42" s="96"/>
      <c r="B42" s="312"/>
      <c r="C42" s="312"/>
      <c r="D42" s="312"/>
      <c r="E42" s="313"/>
      <c r="F42" s="314"/>
      <c r="G42" s="314"/>
      <c r="H42" s="314"/>
      <c r="I42" s="314"/>
      <c r="J42" s="314"/>
      <c r="K42" s="314"/>
      <c r="L42" s="314"/>
      <c r="M42" s="314"/>
      <c r="N42" s="314"/>
      <c r="O42" s="314"/>
      <c r="P42" s="314"/>
      <c r="Q42" s="314"/>
      <c r="R42" s="314"/>
      <c r="S42" s="314"/>
      <c r="T42" s="314"/>
      <c r="U42" s="314"/>
      <c r="V42" s="314"/>
      <c r="W42" s="314"/>
      <c r="X42" s="314"/>
      <c r="Y42" s="313"/>
      <c r="Z42" s="314"/>
      <c r="AA42" s="314"/>
      <c r="AB42" s="314"/>
      <c r="AC42" s="314"/>
      <c r="AD42" s="314"/>
      <c r="AE42" s="314"/>
      <c r="AF42" s="314"/>
      <c r="AG42" s="96"/>
      <c r="AH42" s="96"/>
    </row>
    <row r="43" spans="1:34">
      <c r="A43" s="96"/>
      <c r="B43" s="312"/>
      <c r="C43" s="312"/>
      <c r="D43" s="312"/>
      <c r="E43" s="313"/>
      <c r="F43" s="314"/>
      <c r="G43" s="314"/>
      <c r="H43" s="314"/>
      <c r="I43" s="314"/>
      <c r="J43" s="314"/>
      <c r="K43" s="314"/>
      <c r="L43" s="314"/>
      <c r="M43" s="314"/>
      <c r="N43" s="314"/>
      <c r="O43" s="314"/>
      <c r="P43" s="314"/>
      <c r="Q43" s="314"/>
      <c r="R43" s="314"/>
      <c r="S43" s="314"/>
      <c r="T43" s="314"/>
      <c r="U43" s="314"/>
      <c r="V43" s="314"/>
      <c r="W43" s="314"/>
      <c r="X43" s="314"/>
      <c r="Y43" s="313"/>
      <c r="Z43" s="314"/>
      <c r="AA43" s="314"/>
      <c r="AB43" s="314"/>
      <c r="AC43" s="314"/>
      <c r="AD43" s="314"/>
      <c r="AE43" s="314"/>
      <c r="AF43" s="314"/>
      <c r="AG43" s="96"/>
      <c r="AH43" s="96"/>
    </row>
    <row r="44" spans="1:34">
      <c r="A44" s="96"/>
      <c r="B44" s="312"/>
      <c r="C44" s="312"/>
      <c r="D44" s="312"/>
      <c r="E44" s="313"/>
      <c r="F44" s="314"/>
      <c r="G44" s="314"/>
      <c r="H44" s="314"/>
      <c r="I44" s="314"/>
      <c r="J44" s="314"/>
      <c r="K44" s="314"/>
      <c r="L44" s="314"/>
      <c r="M44" s="314"/>
      <c r="N44" s="314"/>
      <c r="O44" s="314"/>
      <c r="P44" s="314"/>
      <c r="Q44" s="314"/>
      <c r="R44" s="314"/>
      <c r="S44" s="314"/>
      <c r="T44" s="314"/>
      <c r="U44" s="314"/>
      <c r="V44" s="314"/>
      <c r="W44" s="314"/>
      <c r="X44" s="314"/>
      <c r="Y44" s="313"/>
      <c r="Z44" s="314"/>
      <c r="AA44" s="314"/>
      <c r="AB44" s="314"/>
      <c r="AC44" s="314"/>
      <c r="AD44" s="314"/>
      <c r="AE44" s="314"/>
      <c r="AF44" s="314"/>
      <c r="AG44" s="96"/>
      <c r="AH44" s="96"/>
    </row>
    <row r="45" spans="1:34" ht="18.75">
      <c r="A45" s="96"/>
      <c r="B45" s="117" t="s">
        <v>164</v>
      </c>
      <c r="C45" s="109"/>
      <c r="D45" s="96"/>
      <c r="E45" s="96"/>
      <c r="F45" s="96"/>
      <c r="G45" s="96"/>
      <c r="H45" s="96"/>
      <c r="I45" s="111"/>
      <c r="J45" s="96"/>
      <c r="K45" s="96"/>
      <c r="L45" s="96"/>
      <c r="M45" s="96"/>
      <c r="N45" s="96"/>
      <c r="O45" s="96"/>
      <c r="P45" s="96"/>
      <c r="Q45" s="96"/>
      <c r="R45" s="96"/>
      <c r="S45" s="96"/>
      <c r="T45" s="96"/>
      <c r="U45" s="96"/>
      <c r="V45" s="96"/>
      <c r="W45" s="96"/>
      <c r="X45" s="96"/>
      <c r="Y45" s="96"/>
      <c r="Z45" s="96"/>
      <c r="AA45" s="96"/>
      <c r="AB45" s="96"/>
      <c r="AC45" s="96"/>
      <c r="AD45" s="96"/>
      <c r="AE45" s="96"/>
      <c r="AF45" s="96"/>
      <c r="AG45" s="96"/>
      <c r="AH45" s="96"/>
    </row>
    <row r="46" spans="1:34">
      <c r="A46" s="96"/>
      <c r="B46" s="310" t="s">
        <v>161</v>
      </c>
      <c r="C46" s="310"/>
      <c r="D46" s="310"/>
      <c r="E46" s="310" t="s">
        <v>162</v>
      </c>
      <c r="F46" s="315"/>
      <c r="G46" s="315"/>
      <c r="H46" s="315"/>
      <c r="I46" s="315"/>
      <c r="J46" s="315"/>
      <c r="K46" s="315"/>
      <c r="L46" s="315"/>
      <c r="M46" s="315"/>
      <c r="N46" s="315"/>
      <c r="O46" s="315"/>
      <c r="P46" s="315"/>
      <c r="Q46" s="315"/>
      <c r="R46" s="315"/>
      <c r="S46" s="315"/>
      <c r="T46" s="315"/>
      <c r="U46" s="315"/>
      <c r="V46" s="315"/>
      <c r="W46" s="315"/>
      <c r="X46" s="315"/>
      <c r="Y46" s="310" t="s">
        <v>163</v>
      </c>
      <c r="Z46" s="310"/>
      <c r="AA46" s="310"/>
      <c r="AB46" s="310"/>
      <c r="AC46" s="310"/>
      <c r="AD46" s="310"/>
      <c r="AE46" s="310"/>
      <c r="AF46" s="310"/>
      <c r="AG46" s="96"/>
      <c r="AH46" s="96"/>
    </row>
    <row r="47" spans="1:34">
      <c r="A47" s="96"/>
      <c r="B47" s="312"/>
      <c r="C47" s="312"/>
      <c r="D47" s="312"/>
      <c r="E47" s="313"/>
      <c r="F47" s="314"/>
      <c r="G47" s="314"/>
      <c r="H47" s="314"/>
      <c r="I47" s="314"/>
      <c r="J47" s="314"/>
      <c r="K47" s="314"/>
      <c r="L47" s="314"/>
      <c r="M47" s="314"/>
      <c r="N47" s="314"/>
      <c r="O47" s="314"/>
      <c r="P47" s="314"/>
      <c r="Q47" s="314"/>
      <c r="R47" s="314"/>
      <c r="S47" s="314"/>
      <c r="T47" s="314"/>
      <c r="U47" s="314"/>
      <c r="V47" s="314"/>
      <c r="W47" s="314"/>
      <c r="X47" s="314"/>
      <c r="Y47" s="313"/>
      <c r="Z47" s="314"/>
      <c r="AA47" s="314"/>
      <c r="AB47" s="314"/>
      <c r="AC47" s="314"/>
      <c r="AD47" s="314"/>
      <c r="AE47" s="314"/>
      <c r="AF47" s="314"/>
      <c r="AG47" s="96"/>
      <c r="AH47" s="96"/>
    </row>
    <row r="48" spans="1:34">
      <c r="A48" s="96"/>
      <c r="B48" s="312"/>
      <c r="C48" s="312"/>
      <c r="D48" s="312"/>
      <c r="E48" s="313"/>
      <c r="F48" s="314"/>
      <c r="G48" s="314"/>
      <c r="H48" s="314"/>
      <c r="I48" s="314"/>
      <c r="J48" s="314"/>
      <c r="K48" s="314"/>
      <c r="L48" s="314"/>
      <c r="M48" s="314"/>
      <c r="N48" s="314"/>
      <c r="O48" s="314"/>
      <c r="P48" s="314"/>
      <c r="Q48" s="314"/>
      <c r="R48" s="314"/>
      <c r="S48" s="314"/>
      <c r="T48" s="314"/>
      <c r="U48" s="314"/>
      <c r="V48" s="314"/>
      <c r="W48" s="314"/>
      <c r="X48" s="314"/>
      <c r="Y48" s="313"/>
      <c r="Z48" s="314"/>
      <c r="AA48" s="314"/>
      <c r="AB48" s="314"/>
      <c r="AC48" s="314"/>
      <c r="AD48" s="314"/>
      <c r="AE48" s="314"/>
      <c r="AF48" s="314"/>
      <c r="AG48" s="96"/>
      <c r="AH48" s="96"/>
    </row>
    <row r="49" spans="1:34">
      <c r="A49" s="96"/>
      <c r="B49" s="312"/>
      <c r="C49" s="312"/>
      <c r="D49" s="312"/>
      <c r="E49" s="313"/>
      <c r="F49" s="314"/>
      <c r="G49" s="314"/>
      <c r="H49" s="314"/>
      <c r="I49" s="314"/>
      <c r="J49" s="314"/>
      <c r="K49" s="314"/>
      <c r="L49" s="314"/>
      <c r="M49" s="314"/>
      <c r="N49" s="314"/>
      <c r="O49" s="314"/>
      <c r="P49" s="314"/>
      <c r="Q49" s="314"/>
      <c r="R49" s="314"/>
      <c r="S49" s="314"/>
      <c r="T49" s="314"/>
      <c r="U49" s="314"/>
      <c r="V49" s="314"/>
      <c r="W49" s="314"/>
      <c r="X49" s="314"/>
      <c r="Y49" s="313"/>
      <c r="Z49" s="314"/>
      <c r="AA49" s="314"/>
      <c r="AB49" s="314"/>
      <c r="AC49" s="314"/>
      <c r="AD49" s="314"/>
      <c r="AE49" s="314"/>
      <c r="AF49" s="314"/>
      <c r="AG49" s="96"/>
      <c r="AH49" s="96"/>
    </row>
    <row r="50" spans="1:34">
      <c r="A50" s="96"/>
      <c r="B50" s="312"/>
      <c r="C50" s="312"/>
      <c r="D50" s="312"/>
      <c r="E50" s="313"/>
      <c r="F50" s="314"/>
      <c r="G50" s="314"/>
      <c r="H50" s="314"/>
      <c r="I50" s="314"/>
      <c r="J50" s="314"/>
      <c r="K50" s="314"/>
      <c r="L50" s="314"/>
      <c r="M50" s="314"/>
      <c r="N50" s="314"/>
      <c r="O50" s="314"/>
      <c r="P50" s="314"/>
      <c r="Q50" s="314"/>
      <c r="R50" s="314"/>
      <c r="S50" s="314"/>
      <c r="T50" s="314"/>
      <c r="U50" s="314"/>
      <c r="V50" s="314"/>
      <c r="W50" s="314"/>
      <c r="X50" s="314"/>
      <c r="Y50" s="313"/>
      <c r="Z50" s="314"/>
      <c r="AA50" s="314"/>
      <c r="AB50" s="314"/>
      <c r="AC50" s="314"/>
      <c r="AD50" s="314"/>
      <c r="AE50" s="314"/>
      <c r="AF50" s="314"/>
      <c r="AG50" s="96"/>
      <c r="AH50" s="96"/>
    </row>
    <row r="51" spans="1:34">
      <c r="A51" s="96"/>
      <c r="B51" s="96"/>
      <c r="C51" s="110"/>
      <c r="D51" s="96"/>
      <c r="E51" s="96"/>
      <c r="F51" s="96"/>
      <c r="G51" s="96"/>
      <c r="H51" s="96"/>
      <c r="I51" s="111"/>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row>
    <row r="52" spans="1:34" ht="20.25">
      <c r="A52" s="96"/>
      <c r="B52" s="108" t="s">
        <v>165</v>
      </c>
      <c r="C52" s="109"/>
      <c r="D52" s="96"/>
      <c r="E52" s="96"/>
      <c r="F52" s="96"/>
      <c r="G52" s="96"/>
      <c r="H52" s="96"/>
      <c r="I52" s="111"/>
      <c r="J52" s="96"/>
      <c r="K52" s="96"/>
      <c r="L52" s="96"/>
      <c r="M52" s="96"/>
      <c r="N52" s="96"/>
      <c r="O52" s="96"/>
      <c r="P52" s="96"/>
      <c r="Q52" s="96"/>
      <c r="R52" s="96"/>
      <c r="S52" s="96"/>
      <c r="T52" s="96"/>
      <c r="U52" s="96"/>
      <c r="V52" s="96"/>
      <c r="W52" s="96"/>
      <c r="X52" s="96"/>
      <c r="Y52" s="96"/>
      <c r="Z52" s="96"/>
      <c r="AA52" s="96"/>
      <c r="AB52" s="96"/>
      <c r="AC52" s="96"/>
      <c r="AD52" s="96"/>
      <c r="AE52" s="96"/>
      <c r="AF52" s="96"/>
      <c r="AG52" s="96"/>
      <c r="AH52" s="96"/>
    </row>
    <row r="53" spans="1:34">
      <c r="A53" s="96"/>
      <c r="B53" s="310" t="s">
        <v>166</v>
      </c>
      <c r="C53" s="310"/>
      <c r="D53" s="310"/>
      <c r="E53" s="310"/>
      <c r="F53" s="310"/>
      <c r="G53" s="310"/>
      <c r="H53" s="311"/>
      <c r="I53" s="311"/>
      <c r="J53" s="311"/>
      <c r="K53" s="311"/>
      <c r="L53" s="311"/>
      <c r="M53" s="311"/>
      <c r="N53" s="311"/>
      <c r="O53" s="311"/>
      <c r="P53" s="311"/>
      <c r="Q53" s="311"/>
      <c r="R53" s="311"/>
      <c r="S53" s="311"/>
      <c r="T53" s="311"/>
      <c r="U53" s="311"/>
      <c r="V53" s="311"/>
      <c r="W53" s="311"/>
      <c r="X53" s="311"/>
      <c r="Y53" s="311"/>
      <c r="Z53" s="311"/>
      <c r="AA53" s="311"/>
      <c r="AB53" s="311"/>
      <c r="AC53" s="311"/>
      <c r="AD53" s="311"/>
      <c r="AE53" s="311"/>
      <c r="AF53" s="311"/>
      <c r="AG53" s="96"/>
      <c r="AH53" s="96"/>
    </row>
    <row r="54" spans="1:34" ht="27.75" customHeight="1">
      <c r="A54" s="96"/>
      <c r="B54" s="303" t="s">
        <v>167</v>
      </c>
      <c r="C54" s="304"/>
      <c r="D54" s="304"/>
      <c r="E54" s="304"/>
      <c r="F54" s="304"/>
      <c r="G54" s="305"/>
      <c r="H54" s="309" t="s">
        <v>168</v>
      </c>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8"/>
      <c r="AG54" s="96"/>
      <c r="AH54" s="96"/>
    </row>
    <row r="55" spans="1:34">
      <c r="A55" s="96"/>
      <c r="B55" s="303"/>
      <c r="C55" s="304"/>
      <c r="D55" s="304"/>
      <c r="E55" s="304"/>
      <c r="F55" s="304"/>
      <c r="G55" s="305"/>
      <c r="H55" s="306"/>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8"/>
      <c r="AG55" s="96"/>
      <c r="AH55" s="96"/>
    </row>
    <row r="56" spans="1:34">
      <c r="A56" s="96"/>
      <c r="B56" s="303"/>
      <c r="C56" s="304"/>
      <c r="D56" s="304"/>
      <c r="E56" s="304"/>
      <c r="F56" s="304"/>
      <c r="G56" s="305"/>
      <c r="H56" s="306"/>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8"/>
      <c r="AG56" s="96"/>
      <c r="AH56" s="96"/>
    </row>
    <row r="57" spans="1:34">
      <c r="A57" s="96"/>
      <c r="B57" s="303"/>
      <c r="C57" s="304"/>
      <c r="D57" s="304"/>
      <c r="E57" s="304"/>
      <c r="F57" s="304"/>
      <c r="G57" s="305"/>
      <c r="H57" s="306"/>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8"/>
      <c r="AG57" s="96"/>
      <c r="AH57" s="96"/>
    </row>
    <row r="58" spans="1:34">
      <c r="A58" s="96"/>
      <c r="B58" s="303"/>
      <c r="C58" s="304"/>
      <c r="D58" s="304"/>
      <c r="E58" s="304"/>
      <c r="F58" s="304"/>
      <c r="G58" s="305"/>
      <c r="H58" s="306"/>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8"/>
      <c r="AG58" s="96"/>
      <c r="AH58" s="96"/>
    </row>
    <row r="59" spans="1:34">
      <c r="A59" s="96"/>
      <c r="B59" s="114"/>
      <c r="C59" s="114"/>
      <c r="D59" s="114"/>
      <c r="E59" s="114"/>
      <c r="F59" s="114"/>
      <c r="G59" s="114"/>
      <c r="H59" s="118"/>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8"/>
      <c r="AF59" s="118"/>
      <c r="AG59" s="96"/>
      <c r="AH59" s="96"/>
    </row>
    <row r="60" spans="1:34">
      <c r="A60" s="96"/>
      <c r="B60" s="114"/>
      <c r="C60" s="114"/>
      <c r="D60" s="114"/>
      <c r="E60" s="114"/>
      <c r="F60" s="114"/>
      <c r="G60" s="114"/>
      <c r="H60" s="118"/>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8"/>
      <c r="AF60" s="118"/>
      <c r="AG60" s="96"/>
      <c r="AH60" s="96"/>
    </row>
    <row r="61" spans="1:34" ht="26.25">
      <c r="A61" s="96"/>
      <c r="B61" s="119" t="s">
        <v>169</v>
      </c>
      <c r="C61" s="120"/>
      <c r="D61" s="120"/>
      <c r="E61" s="120"/>
      <c r="F61" s="120"/>
      <c r="G61" s="120"/>
      <c r="H61" s="121"/>
      <c r="I61" s="121"/>
      <c r="J61" s="121"/>
      <c r="K61" s="121"/>
      <c r="L61" s="121"/>
      <c r="M61" s="121"/>
      <c r="N61" s="121"/>
      <c r="O61" s="121"/>
      <c r="P61" s="121"/>
      <c r="Q61" s="121"/>
      <c r="R61" s="121"/>
      <c r="S61" s="121"/>
      <c r="T61" s="121"/>
      <c r="U61" s="121"/>
      <c r="V61" s="121"/>
      <c r="W61" s="121"/>
      <c r="X61" s="121"/>
      <c r="Y61" s="121"/>
      <c r="Z61" s="121"/>
      <c r="AA61" s="121"/>
      <c r="AB61" s="121"/>
      <c r="AC61" s="121"/>
      <c r="AD61" s="121"/>
      <c r="AE61" s="121"/>
      <c r="AF61" s="121"/>
      <c r="AG61" s="96"/>
      <c r="AH61" s="96"/>
    </row>
    <row r="62" spans="1:34" ht="26.25">
      <c r="A62" s="96"/>
      <c r="B62" s="122"/>
      <c r="C62" s="114"/>
      <c r="D62" s="114"/>
      <c r="E62" s="114"/>
      <c r="F62" s="114"/>
      <c r="G62" s="114"/>
      <c r="H62" s="118"/>
      <c r="I62" s="118"/>
      <c r="J62" s="118"/>
      <c r="K62" s="118"/>
      <c r="L62" s="118"/>
      <c r="M62" s="118"/>
      <c r="N62" s="118"/>
      <c r="O62" s="118"/>
      <c r="P62" s="118"/>
      <c r="Q62" s="118"/>
      <c r="R62" s="118"/>
      <c r="S62" s="118"/>
      <c r="T62" s="118"/>
      <c r="U62" s="118"/>
      <c r="V62" s="118"/>
      <c r="W62" s="118"/>
      <c r="X62" s="118"/>
      <c r="Y62" s="118"/>
      <c r="Z62" s="118"/>
      <c r="AA62" s="118"/>
      <c r="AB62" s="118"/>
      <c r="AC62" s="118"/>
      <c r="AD62" s="118"/>
      <c r="AE62" s="118"/>
      <c r="AF62" s="118"/>
      <c r="AG62" s="96"/>
      <c r="AH62" s="96"/>
    </row>
    <row r="63" spans="1:34" s="174" customFormat="1" ht="20.25">
      <c r="B63" s="175" t="s">
        <v>287</v>
      </c>
    </row>
    <row r="64" spans="1:34">
      <c r="A64" s="96"/>
      <c r="B64" s="123"/>
      <c r="C64" s="123"/>
      <c r="D64" s="123"/>
      <c r="E64" s="123"/>
      <c r="F64" s="123"/>
      <c r="G64" s="123"/>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4"/>
      <c r="AF64" s="124"/>
      <c r="AG64" s="96"/>
      <c r="AH64" s="96"/>
    </row>
    <row r="65" spans="1:36" ht="52.5" customHeight="1">
      <c r="A65" s="96"/>
      <c r="B65" s="340" t="s">
        <v>283</v>
      </c>
      <c r="C65" s="341"/>
      <c r="D65" s="341"/>
      <c r="E65" s="341"/>
      <c r="F65" s="341"/>
      <c r="G65" s="342"/>
      <c r="H65" s="343" t="s">
        <v>278</v>
      </c>
      <c r="I65" s="344"/>
      <c r="J65" s="344"/>
      <c r="K65" s="344"/>
      <c r="L65" s="344"/>
      <c r="M65" s="344"/>
      <c r="N65" s="344"/>
      <c r="O65" s="344"/>
      <c r="P65" s="344"/>
      <c r="Q65" s="344"/>
      <c r="R65" s="344"/>
      <c r="S65" s="344"/>
      <c r="T65" s="344"/>
      <c r="U65" s="344"/>
      <c r="V65" s="344"/>
      <c r="W65" s="344"/>
      <c r="X65" s="344"/>
      <c r="Y65" s="344"/>
      <c r="Z65" s="344"/>
      <c r="AA65" s="344"/>
      <c r="AB65" s="344"/>
      <c r="AC65" s="344"/>
      <c r="AD65" s="344"/>
      <c r="AE65" s="344"/>
      <c r="AF65" s="345"/>
      <c r="AG65" s="96"/>
      <c r="AH65" s="96"/>
    </row>
    <row r="66" spans="1:36" ht="111" customHeight="1">
      <c r="A66" s="96"/>
      <c r="B66" s="340" t="s">
        <v>284</v>
      </c>
      <c r="C66" s="341"/>
      <c r="D66" s="341"/>
      <c r="E66" s="341"/>
      <c r="F66" s="341"/>
      <c r="G66" s="342"/>
      <c r="H66" s="343" t="s">
        <v>280</v>
      </c>
      <c r="I66" s="344"/>
      <c r="J66" s="344"/>
      <c r="K66" s="344"/>
      <c r="L66" s="344"/>
      <c r="M66" s="344"/>
      <c r="N66" s="344"/>
      <c r="O66" s="344"/>
      <c r="P66" s="344"/>
      <c r="Q66" s="344"/>
      <c r="R66" s="344"/>
      <c r="S66" s="344"/>
      <c r="T66" s="344"/>
      <c r="U66" s="344"/>
      <c r="V66" s="344"/>
      <c r="W66" s="344"/>
      <c r="X66" s="344"/>
      <c r="Y66" s="344"/>
      <c r="Z66" s="344"/>
      <c r="AA66" s="344"/>
      <c r="AB66" s="344"/>
      <c r="AC66" s="344"/>
      <c r="AD66" s="344"/>
      <c r="AE66" s="344"/>
      <c r="AF66" s="345"/>
      <c r="AG66" s="96"/>
      <c r="AH66" s="96"/>
    </row>
    <row r="67" spans="1:36" ht="52.5" customHeight="1">
      <c r="A67" s="96"/>
      <c r="B67" s="340" t="s">
        <v>285</v>
      </c>
      <c r="C67" s="341"/>
      <c r="D67" s="341"/>
      <c r="E67" s="341"/>
      <c r="F67" s="341"/>
      <c r="G67" s="342"/>
      <c r="H67" s="343" t="s">
        <v>288</v>
      </c>
      <c r="I67" s="344"/>
      <c r="J67" s="344"/>
      <c r="K67" s="344"/>
      <c r="L67" s="344"/>
      <c r="M67" s="344"/>
      <c r="N67" s="344"/>
      <c r="O67" s="344"/>
      <c r="P67" s="344"/>
      <c r="Q67" s="344"/>
      <c r="R67" s="344"/>
      <c r="S67" s="344"/>
      <c r="T67" s="344"/>
      <c r="U67" s="344"/>
      <c r="V67" s="344"/>
      <c r="W67" s="344"/>
      <c r="X67" s="344"/>
      <c r="Y67" s="344"/>
      <c r="Z67" s="344"/>
      <c r="AA67" s="344"/>
      <c r="AB67" s="344"/>
      <c r="AC67" s="344"/>
      <c r="AD67" s="344"/>
      <c r="AE67" s="344"/>
      <c r="AF67" s="345"/>
      <c r="AG67" s="96"/>
      <c r="AH67" s="96"/>
    </row>
    <row r="68" spans="1:36" ht="52.5" customHeight="1">
      <c r="A68" s="96"/>
      <c r="B68" s="340" t="s">
        <v>277</v>
      </c>
      <c r="C68" s="341"/>
      <c r="D68" s="341"/>
      <c r="E68" s="341"/>
      <c r="F68" s="341"/>
      <c r="G68" s="342"/>
      <c r="H68" s="343" t="s">
        <v>281</v>
      </c>
      <c r="I68" s="344"/>
      <c r="J68" s="344"/>
      <c r="K68" s="344"/>
      <c r="L68" s="344"/>
      <c r="M68" s="344"/>
      <c r="N68" s="344"/>
      <c r="O68" s="344"/>
      <c r="P68" s="344"/>
      <c r="Q68" s="344"/>
      <c r="R68" s="344"/>
      <c r="S68" s="344"/>
      <c r="T68" s="344"/>
      <c r="U68" s="344"/>
      <c r="V68" s="344"/>
      <c r="W68" s="344"/>
      <c r="X68" s="344"/>
      <c r="Y68" s="344"/>
      <c r="Z68" s="344"/>
      <c r="AA68" s="344"/>
      <c r="AB68" s="344"/>
      <c r="AC68" s="344"/>
      <c r="AD68" s="344"/>
      <c r="AE68" s="344"/>
      <c r="AF68" s="345"/>
      <c r="AG68" s="96"/>
      <c r="AH68" s="96"/>
    </row>
    <row r="69" spans="1:36" ht="81" customHeight="1">
      <c r="A69" s="96"/>
      <c r="B69" s="340" t="s">
        <v>286</v>
      </c>
      <c r="C69" s="341"/>
      <c r="D69" s="341"/>
      <c r="E69" s="341"/>
      <c r="F69" s="341"/>
      <c r="G69" s="342"/>
      <c r="H69" s="343" t="s">
        <v>289</v>
      </c>
      <c r="I69" s="344"/>
      <c r="J69" s="344"/>
      <c r="K69" s="344"/>
      <c r="L69" s="344"/>
      <c r="M69" s="344"/>
      <c r="N69" s="344"/>
      <c r="O69" s="344"/>
      <c r="P69" s="344"/>
      <c r="Q69" s="344"/>
      <c r="R69" s="344"/>
      <c r="S69" s="344"/>
      <c r="T69" s="344"/>
      <c r="U69" s="344"/>
      <c r="V69" s="344"/>
      <c r="W69" s="344"/>
      <c r="X69" s="344"/>
      <c r="Y69" s="344"/>
      <c r="Z69" s="344"/>
      <c r="AA69" s="344"/>
      <c r="AB69" s="344"/>
      <c r="AC69" s="344"/>
      <c r="AD69" s="344"/>
      <c r="AE69" s="344"/>
      <c r="AF69" s="345"/>
      <c r="AG69" s="96"/>
      <c r="AH69" s="96"/>
    </row>
    <row r="70" spans="1:36" ht="97.5" customHeight="1">
      <c r="A70" s="96"/>
      <c r="B70" s="340" t="s">
        <v>279</v>
      </c>
      <c r="C70" s="341"/>
      <c r="D70" s="341"/>
      <c r="E70" s="341"/>
      <c r="F70" s="341"/>
      <c r="G70" s="342"/>
      <c r="H70" s="343" t="s">
        <v>282</v>
      </c>
      <c r="I70" s="344"/>
      <c r="J70" s="344"/>
      <c r="K70" s="344"/>
      <c r="L70" s="344"/>
      <c r="M70" s="344"/>
      <c r="N70" s="344"/>
      <c r="O70" s="344"/>
      <c r="P70" s="344"/>
      <c r="Q70" s="344"/>
      <c r="R70" s="344"/>
      <c r="S70" s="344"/>
      <c r="T70" s="344"/>
      <c r="U70" s="344"/>
      <c r="V70" s="344"/>
      <c r="W70" s="344"/>
      <c r="X70" s="344"/>
      <c r="Y70" s="344"/>
      <c r="Z70" s="344"/>
      <c r="AA70" s="344"/>
      <c r="AB70" s="344"/>
      <c r="AC70" s="344"/>
      <c r="AD70" s="344"/>
      <c r="AE70" s="344"/>
      <c r="AF70" s="345"/>
      <c r="AG70" s="96"/>
      <c r="AH70" s="96"/>
    </row>
    <row r="71" spans="1:36">
      <c r="A71" s="96"/>
      <c r="B71" s="123"/>
      <c r="C71" s="123"/>
      <c r="D71" s="123"/>
      <c r="E71" s="123"/>
      <c r="F71" s="123"/>
      <c r="G71" s="123"/>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4"/>
      <c r="AF71" s="124"/>
      <c r="AG71" s="96"/>
      <c r="AH71" s="96"/>
    </row>
    <row r="72" spans="1:36">
      <c r="A72" s="96"/>
      <c r="B72" s="123"/>
      <c r="C72" s="123"/>
      <c r="D72" s="123"/>
      <c r="E72" s="123"/>
      <c r="F72" s="123"/>
      <c r="G72" s="123"/>
      <c r="H72" s="124"/>
      <c r="I72" s="124"/>
      <c r="J72" s="124"/>
      <c r="K72" s="124"/>
      <c r="L72" s="124"/>
      <c r="M72" s="124"/>
      <c r="N72" s="124"/>
      <c r="O72" s="124"/>
      <c r="P72" s="124"/>
      <c r="Q72" s="124"/>
      <c r="R72" s="124"/>
      <c r="S72" s="124"/>
      <c r="T72" s="124"/>
      <c r="U72" s="124"/>
      <c r="V72" s="124"/>
      <c r="W72" s="124"/>
      <c r="X72" s="124"/>
      <c r="Y72" s="124"/>
      <c r="Z72" s="124"/>
      <c r="AA72" s="124"/>
      <c r="AB72" s="124"/>
      <c r="AC72" s="124"/>
      <c r="AD72" s="124"/>
      <c r="AE72" s="124"/>
      <c r="AF72" s="124"/>
      <c r="AG72" s="96"/>
      <c r="AH72" s="96"/>
    </row>
    <row r="73" spans="1:36">
      <c r="A73" s="96"/>
      <c r="B73" s="123"/>
      <c r="C73" s="123"/>
      <c r="D73" s="123"/>
      <c r="E73" s="123"/>
      <c r="F73" s="123"/>
      <c r="G73" s="123"/>
      <c r="H73" s="124"/>
      <c r="I73" s="124"/>
      <c r="J73" s="124"/>
      <c r="K73" s="124"/>
      <c r="L73" s="124"/>
      <c r="M73" s="124"/>
      <c r="N73" s="124"/>
      <c r="O73" s="124"/>
      <c r="P73" s="124"/>
      <c r="Q73" s="124"/>
      <c r="R73" s="124"/>
      <c r="S73" s="124"/>
      <c r="T73" s="124"/>
      <c r="U73" s="124"/>
      <c r="V73" s="124"/>
      <c r="W73" s="124"/>
      <c r="X73" s="124"/>
      <c r="Y73" s="124"/>
      <c r="Z73" s="124"/>
      <c r="AA73" s="124"/>
      <c r="AB73" s="124"/>
      <c r="AC73" s="124"/>
      <c r="AD73" s="124"/>
      <c r="AE73" s="124"/>
      <c r="AF73" s="124"/>
      <c r="AG73" s="96"/>
      <c r="AH73" s="96"/>
    </row>
    <row r="74" spans="1:36" ht="26.25">
      <c r="A74" s="96"/>
      <c r="B74" s="119" t="s">
        <v>170</v>
      </c>
      <c r="C74" s="120"/>
      <c r="D74" s="120"/>
      <c r="E74" s="120"/>
      <c r="F74" s="120"/>
      <c r="G74" s="120"/>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96"/>
      <c r="AH74" s="96"/>
    </row>
    <row r="75" spans="1:36">
      <c r="A75" s="96"/>
      <c r="B75" s="123"/>
      <c r="C75" s="123"/>
      <c r="D75" s="123"/>
      <c r="E75" s="123"/>
      <c r="F75" s="123"/>
      <c r="G75" s="123"/>
      <c r="H75" s="124"/>
      <c r="I75" s="124"/>
      <c r="J75" s="124"/>
      <c r="K75" s="124"/>
      <c r="L75" s="124"/>
      <c r="M75" s="124"/>
      <c r="N75" s="124"/>
      <c r="O75" s="124"/>
      <c r="P75" s="124"/>
      <c r="Q75" s="124"/>
      <c r="R75" s="124"/>
      <c r="S75" s="124"/>
      <c r="T75" s="124"/>
      <c r="U75" s="124"/>
      <c r="V75" s="124"/>
      <c r="W75" s="124"/>
      <c r="X75" s="124"/>
      <c r="Y75" s="124"/>
      <c r="Z75" s="124"/>
      <c r="AA75" s="124"/>
      <c r="AB75" s="124"/>
      <c r="AC75" s="124"/>
      <c r="AD75" s="124"/>
      <c r="AE75" s="124"/>
      <c r="AF75" s="124"/>
      <c r="AG75" s="96"/>
      <c r="AH75" s="96"/>
    </row>
    <row r="76" spans="1:36">
      <c r="A76" s="96"/>
      <c r="B76" s="123" t="s">
        <v>171</v>
      </c>
      <c r="C76" s="123"/>
      <c r="D76" s="123"/>
      <c r="E76" s="123"/>
      <c r="F76" s="123"/>
      <c r="G76" s="123"/>
      <c r="H76" s="124"/>
      <c r="I76" s="124"/>
      <c r="J76" s="124"/>
      <c r="K76" s="124"/>
      <c r="L76" s="124"/>
      <c r="M76" s="124"/>
      <c r="N76" s="124"/>
      <c r="O76" s="124"/>
      <c r="P76" s="124"/>
      <c r="Q76" s="124"/>
      <c r="R76" s="124"/>
      <c r="S76" s="124"/>
      <c r="T76" s="124"/>
      <c r="U76" s="124"/>
      <c r="V76" s="124"/>
      <c r="W76" s="124"/>
      <c r="X76" s="124"/>
      <c r="Y76" s="124"/>
      <c r="Z76" s="124"/>
      <c r="AA76" s="124"/>
      <c r="AB76" s="124"/>
      <c r="AC76" s="124"/>
      <c r="AD76" s="124"/>
      <c r="AE76" s="124"/>
      <c r="AF76" s="124"/>
      <c r="AG76" s="96"/>
      <c r="AH76" s="96"/>
    </row>
    <row r="77" spans="1:36" ht="67.5">
      <c r="A77" s="96"/>
      <c r="B77" s="123"/>
      <c r="C77" s="123"/>
      <c r="D77" s="123"/>
      <c r="E77" s="123"/>
      <c r="F77" s="123"/>
      <c r="G77" s="123"/>
      <c r="H77" s="124"/>
      <c r="I77" s="124"/>
      <c r="J77" s="124"/>
      <c r="K77" s="124"/>
      <c r="L77" s="124"/>
      <c r="M77" s="124"/>
      <c r="N77" s="124"/>
      <c r="O77" s="124"/>
      <c r="P77" s="124"/>
      <c r="Q77" s="124"/>
      <c r="R77" s="124"/>
      <c r="S77" s="124"/>
      <c r="T77" s="124"/>
      <c r="U77" s="124"/>
      <c r="V77" s="124"/>
      <c r="W77" s="124"/>
      <c r="X77" s="124"/>
      <c r="Y77" s="124"/>
      <c r="Z77" s="124"/>
      <c r="AA77" s="124"/>
      <c r="AB77" s="124"/>
      <c r="AC77" s="124"/>
      <c r="AD77" s="124"/>
      <c r="AE77" s="124"/>
      <c r="AF77" s="124"/>
      <c r="AG77" s="96"/>
      <c r="AH77" s="96"/>
      <c r="AJ77" s="183" t="s">
        <v>396</v>
      </c>
    </row>
    <row r="78" spans="1:36" ht="18.75">
      <c r="A78" s="96"/>
      <c r="C78" s="123"/>
      <c r="D78" s="123"/>
      <c r="E78" s="123"/>
      <c r="F78" s="123"/>
      <c r="G78" s="123"/>
      <c r="H78" s="124"/>
      <c r="I78" s="124"/>
      <c r="J78" s="124"/>
      <c r="K78" s="124"/>
      <c r="L78" s="124"/>
      <c r="M78" s="124"/>
      <c r="N78" s="124"/>
      <c r="O78" s="124"/>
      <c r="P78" s="124"/>
      <c r="Q78" s="124"/>
      <c r="R78" s="124"/>
      <c r="S78" s="124"/>
      <c r="T78" s="124"/>
      <c r="U78" s="124"/>
      <c r="V78" s="124"/>
      <c r="W78" s="124"/>
      <c r="X78" s="124"/>
      <c r="Y78" s="124"/>
      <c r="Z78" s="124"/>
      <c r="AA78" s="124"/>
      <c r="AB78" s="124"/>
      <c r="AC78" s="124"/>
      <c r="AD78" s="124"/>
      <c r="AE78" s="124"/>
      <c r="AF78" s="124"/>
      <c r="AG78" s="96"/>
      <c r="AH78" s="96"/>
      <c r="AI78" s="144"/>
      <c r="AJ78" s="182" t="s">
        <v>397</v>
      </c>
    </row>
    <row r="79" spans="1:36">
      <c r="A79" s="96"/>
      <c r="C79" s="123"/>
      <c r="D79" s="123"/>
      <c r="E79" s="123"/>
      <c r="F79" s="123"/>
      <c r="G79" s="123"/>
      <c r="H79" s="124"/>
      <c r="I79" s="124"/>
      <c r="J79" s="124"/>
      <c r="K79" s="124"/>
      <c r="L79" s="124"/>
      <c r="M79" s="124"/>
      <c r="N79" s="124"/>
      <c r="O79" s="124"/>
      <c r="P79" s="124"/>
      <c r="Q79" s="124"/>
      <c r="R79" s="124"/>
      <c r="S79" s="124"/>
      <c r="T79" s="124"/>
      <c r="U79" s="124"/>
      <c r="V79" s="124"/>
      <c r="W79" s="124"/>
      <c r="X79" s="124"/>
      <c r="Y79" s="124"/>
      <c r="Z79" s="124"/>
      <c r="AA79" s="124"/>
      <c r="AB79" s="124"/>
      <c r="AC79" s="124"/>
      <c r="AD79" s="124"/>
      <c r="AE79" s="124"/>
      <c r="AF79" s="124"/>
      <c r="AG79" s="96"/>
      <c r="AH79" s="96"/>
      <c r="AI79" s="145" t="s">
        <v>226</v>
      </c>
      <c r="AJ79" s="145" t="s">
        <v>172</v>
      </c>
    </row>
    <row r="80" spans="1:36">
      <c r="A80" s="96"/>
      <c r="C80" s="123"/>
      <c r="D80" s="123"/>
      <c r="E80" s="123"/>
      <c r="F80" s="123"/>
      <c r="G80" s="123"/>
      <c r="H80" s="124"/>
      <c r="I80" s="124"/>
      <c r="J80" s="124"/>
      <c r="K80" s="124"/>
      <c r="L80" s="124"/>
      <c r="M80" s="124"/>
      <c r="N80" s="124"/>
      <c r="O80" s="124"/>
      <c r="P80" s="124"/>
      <c r="Q80" s="124"/>
      <c r="R80" s="124"/>
      <c r="S80" s="124"/>
      <c r="T80" s="124"/>
      <c r="U80" s="124"/>
      <c r="V80" s="124"/>
      <c r="W80" s="124"/>
      <c r="X80" s="124"/>
      <c r="Y80" s="124"/>
      <c r="Z80" s="124"/>
      <c r="AA80" s="124"/>
      <c r="AB80" s="124"/>
      <c r="AC80" s="124"/>
      <c r="AD80" s="124"/>
      <c r="AE80" s="124"/>
      <c r="AF80" s="124"/>
      <c r="AG80" s="96"/>
      <c r="AH80" s="96"/>
      <c r="AI80" s="145" t="s">
        <v>23</v>
      </c>
      <c r="AJ80" s="145" t="s">
        <v>174</v>
      </c>
    </row>
    <row r="81" spans="1:36">
      <c r="A81" s="96"/>
      <c r="C81" s="123"/>
      <c r="D81" s="123"/>
      <c r="E81" s="123"/>
      <c r="F81" s="123"/>
      <c r="G81" s="123"/>
      <c r="H81" s="124"/>
      <c r="I81" s="124"/>
      <c r="J81" s="124"/>
      <c r="K81" s="124"/>
      <c r="L81" s="124"/>
      <c r="M81" s="124"/>
      <c r="N81" s="124"/>
      <c r="O81" s="124"/>
      <c r="P81" s="124"/>
      <c r="Q81" s="124"/>
      <c r="R81" s="124"/>
      <c r="S81" s="124"/>
      <c r="T81" s="124"/>
      <c r="U81" s="124"/>
      <c r="V81" s="124"/>
      <c r="W81" s="124"/>
      <c r="X81" s="124"/>
      <c r="Y81" s="124"/>
      <c r="Z81" s="124"/>
      <c r="AA81" s="124"/>
      <c r="AB81" s="124"/>
      <c r="AC81" s="124"/>
      <c r="AD81" s="124"/>
      <c r="AE81" s="124"/>
      <c r="AF81" s="124"/>
      <c r="AG81" s="96"/>
      <c r="AH81" s="96"/>
      <c r="AI81" s="145" t="s">
        <v>11</v>
      </c>
      <c r="AJ81" s="145" t="s">
        <v>228</v>
      </c>
    </row>
    <row r="82" spans="1:36" ht="18.75">
      <c r="A82" s="96"/>
      <c r="C82" s="123"/>
      <c r="D82" s="123"/>
      <c r="E82" s="123"/>
      <c r="F82" s="123"/>
      <c r="G82" s="123"/>
      <c r="H82" s="124"/>
      <c r="I82" s="124"/>
      <c r="J82" s="124"/>
      <c r="K82" s="124"/>
      <c r="L82" s="124"/>
      <c r="M82" s="124"/>
      <c r="N82" s="124"/>
      <c r="O82" s="124"/>
      <c r="P82" s="124"/>
      <c r="Q82" s="124"/>
      <c r="R82" s="124"/>
      <c r="S82" s="124"/>
      <c r="T82" s="124"/>
      <c r="U82" s="124"/>
      <c r="V82" s="124"/>
      <c r="W82" s="124"/>
      <c r="X82" s="124"/>
      <c r="Y82" s="124"/>
      <c r="Z82" s="124"/>
      <c r="AA82" s="124"/>
      <c r="AB82" s="124"/>
      <c r="AC82" s="124"/>
      <c r="AD82" s="124"/>
      <c r="AE82" s="124"/>
      <c r="AF82" s="124"/>
      <c r="AG82" s="96"/>
      <c r="AH82" s="96"/>
      <c r="AI82" s="146"/>
      <c r="AJ82" s="145" t="s">
        <v>175</v>
      </c>
    </row>
    <row r="83" spans="1:36">
      <c r="A83" s="96"/>
      <c r="B83" s="123"/>
      <c r="C83" s="123"/>
      <c r="D83" s="123"/>
      <c r="E83" s="123"/>
      <c r="F83" s="123"/>
      <c r="G83" s="123"/>
      <c r="H83" s="124"/>
      <c r="I83" s="124"/>
      <c r="J83" s="124"/>
      <c r="K83" s="124"/>
      <c r="L83" s="124"/>
      <c r="M83" s="124"/>
      <c r="N83" s="124"/>
      <c r="O83" s="124"/>
      <c r="P83" s="124"/>
      <c r="Q83" s="124"/>
      <c r="R83" s="124"/>
      <c r="S83" s="124"/>
      <c r="T83" s="124"/>
      <c r="U83" s="124"/>
      <c r="V83" s="124"/>
      <c r="W83" s="124"/>
      <c r="X83" s="124"/>
      <c r="Y83" s="124"/>
      <c r="Z83" s="124"/>
      <c r="AA83" s="124"/>
      <c r="AB83" s="124"/>
      <c r="AC83" s="124"/>
      <c r="AD83" s="124"/>
      <c r="AE83" s="124"/>
      <c r="AF83" s="124"/>
      <c r="AG83" s="96"/>
      <c r="AH83" s="96"/>
      <c r="AJ83" s="145" t="s">
        <v>299</v>
      </c>
    </row>
    <row r="84" spans="1:36">
      <c r="A84" s="96"/>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6"/>
      <c r="AJ84" s="145" t="s">
        <v>173</v>
      </c>
    </row>
    <row r="85" spans="1:36">
      <c r="AJ85" s="145" t="s">
        <v>232</v>
      </c>
    </row>
    <row r="86" spans="1:36">
      <c r="AJ86" s="145" t="s">
        <v>300</v>
      </c>
    </row>
    <row r="87" spans="1:36">
      <c r="AJ87" s="145" t="s">
        <v>301</v>
      </c>
    </row>
    <row r="88" spans="1:36">
      <c r="AJ88" s="145" t="s">
        <v>302</v>
      </c>
    </row>
    <row r="89" spans="1:36">
      <c r="AJ89" s="145" t="s">
        <v>303</v>
      </c>
    </row>
    <row r="90" spans="1:36">
      <c r="AJ90" s="145" t="s">
        <v>309</v>
      </c>
    </row>
    <row r="91" spans="1:36">
      <c r="AJ91" s="145" t="s">
        <v>176</v>
      </c>
    </row>
    <row r="92" spans="1:36">
      <c r="AJ92" s="145" t="s">
        <v>304</v>
      </c>
    </row>
    <row r="93" spans="1:36">
      <c r="AJ93" s="145" t="s">
        <v>305</v>
      </c>
    </row>
    <row r="94" spans="1:36">
      <c r="AJ94" s="145" t="s">
        <v>306</v>
      </c>
    </row>
    <row r="95" spans="1:36">
      <c r="AJ95" s="145" t="s">
        <v>307</v>
      </c>
    </row>
    <row r="96" spans="1:36">
      <c r="AJ96" s="145" t="s">
        <v>308</v>
      </c>
    </row>
    <row r="97" spans="36:36">
      <c r="AJ97" s="145" t="s">
        <v>177</v>
      </c>
    </row>
    <row r="98" spans="36:36">
      <c r="AJ98" s="145" t="s">
        <v>310</v>
      </c>
    </row>
    <row r="99" spans="36:36" ht="18.75">
      <c r="AJ99" s="146" t="s">
        <v>305</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110" type="noConversion"/>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tabColor indexed="47"/>
  </sheetPr>
  <dimension ref="A1:H140"/>
  <sheetViews>
    <sheetView showGridLines="0" zoomScaleNormal="100" workbookViewId="0">
      <pane ySplit="1" topLeftCell="A2" activePane="bottomLeft" state="frozenSplit"/>
      <selection pane="bottomLeft" activeCell="B13" sqref="B13:B15"/>
    </sheetView>
  </sheetViews>
  <sheetFormatPr defaultColWidth="9.42578125" defaultRowHeight="12.75"/>
  <cols>
    <col min="1" max="1" width="3.5703125" style="1" customWidth="1"/>
    <col min="2" max="2" width="19.42578125" style="1" customWidth="1"/>
    <col min="3" max="3" width="100.5703125" style="1" customWidth="1"/>
    <col min="4" max="16384" width="9.42578125" style="1"/>
  </cols>
  <sheetData>
    <row r="1" spans="1:8" ht="19.5">
      <c r="A1" s="348" t="s">
        <v>15</v>
      </c>
      <c r="B1" s="349"/>
      <c r="C1" s="349"/>
      <c r="D1" s="350"/>
    </row>
    <row r="3" spans="1:8">
      <c r="B3" s="351" t="s">
        <v>16</v>
      </c>
      <c r="C3" s="352"/>
      <c r="D3" s="353"/>
    </row>
    <row r="4" spans="1:8">
      <c r="B4" s="69" t="s">
        <v>97</v>
      </c>
      <c r="C4" s="41"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69" t="s">
        <v>84</v>
      </c>
      <c r="C9" s="41" t="s">
        <v>85</v>
      </c>
      <c r="D9" s="12"/>
    </row>
    <row r="10" spans="1:8">
      <c r="B10" s="69" t="s">
        <v>58</v>
      </c>
      <c r="C10" s="41" t="s">
        <v>59</v>
      </c>
      <c r="D10" s="12"/>
    </row>
    <row r="12" spans="1:8">
      <c r="B12" s="351" t="s">
        <v>185</v>
      </c>
      <c r="C12" s="352"/>
      <c r="D12" s="353"/>
    </row>
    <row r="13" spans="1:8" ht="24.75" customHeight="1">
      <c r="B13" s="125" t="s">
        <v>180</v>
      </c>
      <c r="C13" s="354" t="s">
        <v>182</v>
      </c>
      <c r="D13" s="355"/>
    </row>
    <row r="14" spans="1:8" ht="25.5" customHeight="1">
      <c r="B14" s="125" t="s">
        <v>107</v>
      </c>
      <c r="C14" s="354" t="s">
        <v>183</v>
      </c>
      <c r="D14" s="355"/>
      <c r="E14" s="81"/>
      <c r="F14" s="81"/>
      <c r="G14" s="81"/>
      <c r="H14" s="81"/>
    </row>
    <row r="15" spans="1:8" ht="49.5" customHeight="1">
      <c r="B15" s="125" t="s">
        <v>181</v>
      </c>
      <c r="C15" s="354" t="s">
        <v>184</v>
      </c>
      <c r="D15" s="355"/>
      <c r="F15" s="39" t="s">
        <v>136</v>
      </c>
    </row>
    <row r="17" spans="2:6">
      <c r="B17" s="351" t="s">
        <v>13</v>
      </c>
      <c r="C17" s="352"/>
      <c r="D17" s="353"/>
    </row>
    <row r="18" spans="2:6">
      <c r="B18" s="2"/>
      <c r="D18" s="3"/>
      <c r="F18" s="39" t="s">
        <v>133</v>
      </c>
    </row>
    <row r="19" spans="2:6" s="82" customFormat="1" ht="38.25">
      <c r="B19" s="346" t="s">
        <v>186</v>
      </c>
      <c r="C19" s="126" t="s">
        <v>108</v>
      </c>
      <c r="D19" s="83"/>
      <c r="F19" s="85" t="s">
        <v>134</v>
      </c>
    </row>
    <row r="20" spans="2:6">
      <c r="B20" s="346"/>
      <c r="C20" s="127"/>
      <c r="D20" s="3"/>
      <c r="F20" s="39" t="s">
        <v>135</v>
      </c>
    </row>
    <row r="21" spans="2:6" ht="25.5">
      <c r="B21" s="346"/>
      <c r="C21" s="128" t="s">
        <v>109</v>
      </c>
      <c r="D21" s="3"/>
    </row>
    <row r="22" spans="2:6" ht="25.5">
      <c r="B22" s="346"/>
      <c r="C22" s="128" t="s">
        <v>0</v>
      </c>
      <c r="D22" s="3"/>
    </row>
    <row r="23" spans="2:6">
      <c r="B23" s="346"/>
      <c r="C23" s="128" t="s">
        <v>1</v>
      </c>
      <c r="D23" s="3"/>
    </row>
    <row r="24" spans="2:6">
      <c r="B24" s="2"/>
      <c r="C24" s="24"/>
      <c r="D24" s="3"/>
    </row>
    <row r="25" spans="2:6">
      <c r="B25" s="347" t="s">
        <v>187</v>
      </c>
      <c r="C25" s="129" t="s">
        <v>57</v>
      </c>
      <c r="D25" s="3"/>
    </row>
    <row r="26" spans="2:6" ht="25.5">
      <c r="B26" s="347"/>
      <c r="C26" s="130" t="s">
        <v>2</v>
      </c>
      <c r="D26" s="3"/>
    </row>
    <row r="27" spans="2:6">
      <c r="B27" s="347"/>
      <c r="C27" s="129" t="s">
        <v>131</v>
      </c>
      <c r="D27" s="3"/>
    </row>
    <row r="28" spans="2:6">
      <c r="B28" s="2"/>
      <c r="C28" s="24"/>
      <c r="D28" s="3"/>
    </row>
    <row r="29" spans="2:6">
      <c r="B29" s="4"/>
      <c r="C29" s="5"/>
      <c r="D29" s="6"/>
    </row>
    <row r="32" spans="2:6">
      <c r="B32" s="13" t="s">
        <v>52</v>
      </c>
    </row>
    <row r="33" spans="2:4">
      <c r="B33" s="7"/>
      <c r="C33" s="8"/>
      <c r="D33" s="9"/>
    </row>
    <row r="34" spans="2:4" ht="18">
      <c r="B34" s="33" t="s">
        <v>55</v>
      </c>
      <c r="D34" s="3"/>
    </row>
    <row r="35" spans="2:4" ht="25.5">
      <c r="B35" s="2"/>
      <c r="C35" s="27" t="s">
        <v>53</v>
      </c>
      <c r="D35" s="3"/>
    </row>
    <row r="36" spans="2:4">
      <c r="B36" s="4"/>
      <c r="C36" s="64"/>
      <c r="D36" s="6"/>
    </row>
    <row r="37" spans="2:4">
      <c r="B37" s="2"/>
      <c r="C37" s="27"/>
      <c r="D37" s="3"/>
    </row>
    <row r="38" spans="2:4" ht="18">
      <c r="B38" s="33" t="s">
        <v>89</v>
      </c>
      <c r="C38" s="27"/>
      <c r="D38" s="3"/>
    </row>
    <row r="39" spans="2:4" ht="18">
      <c r="B39" s="33"/>
      <c r="C39" s="27"/>
      <c r="D39" s="3"/>
    </row>
    <row r="40" spans="2:4" ht="18">
      <c r="B40" s="33"/>
      <c r="C40" s="27"/>
      <c r="D40" s="3"/>
    </row>
    <row r="41" spans="2:4" ht="18">
      <c r="B41" s="33"/>
      <c r="C41" s="27"/>
      <c r="D41" s="3"/>
    </row>
    <row r="42" spans="2:4" ht="18">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0" t="s">
        <v>393</v>
      </c>
      <c r="C50" s="181" t="s">
        <v>394</v>
      </c>
      <c r="D50" s="3"/>
    </row>
    <row r="51" spans="2:4">
      <c r="B51" s="4"/>
      <c r="C51" s="38"/>
      <c r="D51" s="6"/>
    </row>
    <row r="52" spans="2:4">
      <c r="B52" s="2"/>
      <c r="C52" s="27"/>
      <c r="D52" s="3"/>
    </row>
    <row r="53" spans="2:4" ht="18">
      <c r="B53" s="33" t="s">
        <v>83</v>
      </c>
      <c r="C53" s="27"/>
      <c r="D53" s="3"/>
    </row>
    <row r="54" spans="2:4">
      <c r="B54" s="2"/>
      <c r="C54" s="65" t="s">
        <v>60</v>
      </c>
      <c r="D54" s="3"/>
    </row>
    <row r="55" spans="2:4">
      <c r="B55" s="2"/>
      <c r="C55" s="66" t="s">
        <v>61</v>
      </c>
      <c r="D55" s="3"/>
    </row>
    <row r="56" spans="2:4">
      <c r="B56" s="2"/>
      <c r="C56" s="67" t="s">
        <v>62</v>
      </c>
      <c r="D56" s="3"/>
    </row>
    <row r="57" spans="2:4">
      <c r="B57" s="2"/>
      <c r="C57" s="68" t="s">
        <v>132</v>
      </c>
      <c r="D57" s="3"/>
    </row>
    <row r="58" spans="2:4">
      <c r="B58" s="4"/>
      <c r="C58" s="38"/>
      <c r="D58" s="6"/>
    </row>
    <row r="59" spans="2:4">
      <c r="B59" s="2"/>
      <c r="C59" s="24"/>
      <c r="D59" s="3"/>
    </row>
    <row r="60" spans="2:4" ht="18">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56</v>
      </c>
    </row>
    <row r="112" spans="2:4">
      <c r="B112" s="7"/>
      <c r="C112" s="8"/>
      <c r="D112" s="9"/>
    </row>
    <row r="113" spans="2:4">
      <c r="B113" s="2"/>
      <c r="D113" s="3"/>
    </row>
    <row r="114" spans="2:4">
      <c r="B114" s="2"/>
      <c r="D114" s="3"/>
    </row>
    <row r="115" spans="2:4">
      <c r="B115" s="2"/>
      <c r="C115" s="39" t="s">
        <v>86</v>
      </c>
      <c r="D115" s="3"/>
    </row>
    <row r="116" spans="2:4">
      <c r="B116" s="2"/>
      <c r="D116" s="3"/>
    </row>
    <row r="117" spans="2:4" ht="12.75" customHeight="1">
      <c r="B117" s="2"/>
      <c r="C117" s="39" t="s">
        <v>81</v>
      </c>
      <c r="D117" s="3"/>
    </row>
    <row r="118" spans="2:4" ht="12.75" customHeight="1">
      <c r="B118" s="2"/>
      <c r="D118" s="3"/>
    </row>
    <row r="119" spans="2:4" ht="12.75" customHeight="1">
      <c r="B119" s="2"/>
      <c r="D119" s="3"/>
    </row>
    <row r="120" spans="2:4">
      <c r="B120" s="4"/>
      <c r="C120" s="5"/>
      <c r="D120" s="6"/>
    </row>
    <row r="122" spans="2:4">
      <c r="B122" s="13" t="s">
        <v>110</v>
      </c>
    </row>
    <row r="123" spans="2:4" ht="38.25">
      <c r="B123" s="7"/>
      <c r="C123" s="84" t="s">
        <v>112</v>
      </c>
      <c r="D123" s="9"/>
    </row>
    <row r="124" spans="2:4">
      <c r="B124" s="131" t="s">
        <v>188</v>
      </c>
      <c r="C124" s="1" t="s">
        <v>111</v>
      </c>
      <c r="D124" s="3"/>
    </row>
    <row r="125" spans="2:4">
      <c r="B125" s="131" t="s">
        <v>188</v>
      </c>
      <c r="C125" s="27" t="s">
        <v>115</v>
      </c>
      <c r="D125" s="3"/>
    </row>
    <row r="126" spans="2:4">
      <c r="B126" s="131" t="s">
        <v>188</v>
      </c>
      <c r="C126" s="24" t="s">
        <v>116</v>
      </c>
      <c r="D126" s="3"/>
    </row>
    <row r="127" spans="2:4">
      <c r="B127" s="131" t="s">
        <v>188</v>
      </c>
      <c r="C127" s="24" t="s">
        <v>117</v>
      </c>
      <c r="D127" s="3"/>
    </row>
    <row r="128" spans="2:4">
      <c r="B128" s="131" t="s">
        <v>188</v>
      </c>
      <c r="C128" s="24" t="s">
        <v>118</v>
      </c>
      <c r="D128" s="3"/>
    </row>
    <row r="129" spans="2:4">
      <c r="B129" s="131" t="s">
        <v>188</v>
      </c>
      <c r="C129" s="24" t="s">
        <v>122</v>
      </c>
      <c r="D129" s="3"/>
    </row>
    <row r="130" spans="2:4">
      <c r="B130" s="131" t="s">
        <v>188</v>
      </c>
      <c r="C130" s="24" t="s">
        <v>123</v>
      </c>
      <c r="D130" s="3"/>
    </row>
    <row r="131" spans="2:4">
      <c r="B131" s="131" t="s">
        <v>188</v>
      </c>
      <c r="C131" s="27" t="s">
        <v>125</v>
      </c>
      <c r="D131" s="3"/>
    </row>
    <row r="132" spans="2:4">
      <c r="B132" s="131" t="s">
        <v>188</v>
      </c>
      <c r="C132" s="27" t="s">
        <v>126</v>
      </c>
      <c r="D132" s="3"/>
    </row>
    <row r="133" spans="2:4">
      <c r="B133" s="131" t="s">
        <v>188</v>
      </c>
      <c r="C133" s="1" t="s">
        <v>124</v>
      </c>
      <c r="D133" s="3"/>
    </row>
    <row r="134" spans="2:4">
      <c r="B134" s="131" t="s">
        <v>188</v>
      </c>
      <c r="C134" s="24" t="s">
        <v>119</v>
      </c>
      <c r="D134" s="3"/>
    </row>
    <row r="135" spans="2:4">
      <c r="B135" s="131" t="s">
        <v>188</v>
      </c>
      <c r="C135" s="24" t="s">
        <v>114</v>
      </c>
      <c r="D135" s="3"/>
    </row>
    <row r="136" spans="2:4">
      <c r="B136" s="131" t="s">
        <v>188</v>
      </c>
      <c r="C136" s="27" t="s">
        <v>120</v>
      </c>
      <c r="D136" s="3"/>
    </row>
    <row r="137" spans="2:4">
      <c r="B137" s="131" t="s">
        <v>188</v>
      </c>
      <c r="C137" s="27" t="s">
        <v>128</v>
      </c>
      <c r="D137" s="3"/>
    </row>
    <row r="138" spans="2:4">
      <c r="B138" s="131" t="s">
        <v>188</v>
      </c>
      <c r="C138" s="27" t="s">
        <v>113</v>
      </c>
      <c r="D138" s="3"/>
    </row>
    <row r="139" spans="2:4">
      <c r="B139" s="131" t="s">
        <v>188</v>
      </c>
      <c r="C139" s="27" t="s">
        <v>127</v>
      </c>
      <c r="D139" s="3"/>
    </row>
    <row r="140" spans="2:4">
      <c r="B140" s="132"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55"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6543675</xdr:colOff>
                    <xdr:row>117</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42578125" defaultRowHeight="12.75" outlineLevelCol="1"/>
  <cols>
    <col min="1" max="1" width="9.42578125" style="14" collapsed="1"/>
    <col min="2" max="2" width="9.42578125" style="14" hidden="1" customWidth="1" outlineLevel="1"/>
    <col min="3" max="3" width="24" style="14" bestFit="1" customWidth="1"/>
    <col min="4" max="4" width="14.5703125" style="14" customWidth="1"/>
    <col min="5" max="5" width="10.42578125" style="14" customWidth="1"/>
    <col min="6" max="6" width="11.42578125" style="14" customWidth="1"/>
    <col min="7" max="7" width="9.42578125" style="14" customWidth="1"/>
    <col min="8" max="8" width="10.5703125" style="14" customWidth="1"/>
    <col min="9" max="9" width="12.5703125" style="14" customWidth="1"/>
    <col min="10" max="10" width="13.5703125" style="14" customWidth="1"/>
    <col min="11" max="11" width="9.42578125" style="14" customWidth="1"/>
    <col min="12" max="13" width="12.42578125" style="14" customWidth="1"/>
    <col min="14" max="14" width="10.5703125" style="14" customWidth="1"/>
    <col min="15" max="15" width="9.42578125" style="14" customWidth="1"/>
    <col min="16" max="16" width="10.42578125" style="14" customWidth="1"/>
    <col min="17" max="18" width="10" style="14" bestFit="1" customWidth="1"/>
    <col min="19" max="19" width="11.42578125" style="14" customWidth="1"/>
    <col min="20" max="16384" width="9.4257812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1" customFormat="1" ht="76.5">
      <c r="B24" s="73" t="s">
        <v>90</v>
      </c>
      <c r="C24" s="29" t="s">
        <v>51</v>
      </c>
      <c r="D24" s="50" t="s">
        <v>69</v>
      </c>
      <c r="E24" s="73" t="s">
        <v>304</v>
      </c>
      <c r="F24" s="73" t="s">
        <v>305</v>
      </c>
      <c r="G24" s="73" t="s">
        <v>306</v>
      </c>
      <c r="H24" s="73" t="s">
        <v>307</v>
      </c>
      <c r="I24" s="73" t="s">
        <v>299</v>
      </c>
      <c r="J24" s="73" t="s">
        <v>173</v>
      </c>
      <c r="K24" s="73" t="s">
        <v>232</v>
      </c>
      <c r="L24" s="73" t="s">
        <v>300</v>
      </c>
      <c r="M24" s="73" t="s">
        <v>301</v>
      </c>
      <c r="N24" s="73" t="s">
        <v>302</v>
      </c>
      <c r="O24" s="73" t="s">
        <v>303</v>
      </c>
      <c r="P24" s="73" t="s">
        <v>309</v>
      </c>
      <c r="Q24" s="73" t="s">
        <v>176</v>
      </c>
      <c r="R24" s="73" t="s">
        <v>304</v>
      </c>
      <c r="S24" s="73" t="s">
        <v>305</v>
      </c>
      <c r="T24" s="73" t="s">
        <v>306</v>
      </c>
      <c r="U24" s="73" t="s">
        <v>307</v>
      </c>
      <c r="V24" s="73" t="s">
        <v>308</v>
      </c>
      <c r="W24" s="73" t="s">
        <v>177</v>
      </c>
      <c r="X24" s="73" t="s">
        <v>310</v>
      </c>
      <c r="Y24" s="73" t="s">
        <v>173</v>
      </c>
      <c r="Z24" s="73" t="s">
        <v>232</v>
      </c>
    </row>
    <row r="25" spans="2:52" ht="15">
      <c r="B25" s="75"/>
      <c r="C25" s="36" t="s">
        <v>77</v>
      </c>
      <c r="D25" s="72">
        <f>SUM(E25:AA25)</f>
        <v>8</v>
      </c>
      <c r="E25" s="75">
        <v>0</v>
      </c>
      <c r="F25" s="75">
        <v>0</v>
      </c>
      <c r="G25" s="75">
        <v>0</v>
      </c>
      <c r="H25" s="75">
        <v>7</v>
      </c>
      <c r="I25" s="75">
        <v>0</v>
      </c>
      <c r="J25" s="75">
        <v>0</v>
      </c>
      <c r="K25" s="75">
        <v>0</v>
      </c>
      <c r="L25" s="75">
        <v>0</v>
      </c>
      <c r="M25" s="75">
        <v>0</v>
      </c>
      <c r="N25" s="75">
        <v>0</v>
      </c>
      <c r="O25" s="75">
        <v>0</v>
      </c>
      <c r="P25" s="75">
        <v>0</v>
      </c>
      <c r="Q25" s="75">
        <v>0</v>
      </c>
      <c r="R25" s="75">
        <v>0</v>
      </c>
      <c r="S25" s="75">
        <v>0</v>
      </c>
      <c r="T25" s="75">
        <v>0</v>
      </c>
      <c r="U25" s="75">
        <v>0</v>
      </c>
      <c r="V25" s="75">
        <v>0</v>
      </c>
      <c r="W25" s="75">
        <v>0</v>
      </c>
      <c r="X25" s="75">
        <v>0</v>
      </c>
      <c r="Y25" s="75">
        <v>0</v>
      </c>
      <c r="Z25" s="75">
        <v>1</v>
      </c>
    </row>
    <row r="26" spans="2:52" ht="15">
      <c r="B26" s="76"/>
      <c r="C26" s="37" t="s">
        <v>78</v>
      </c>
      <c r="D26" s="72">
        <f>SUM(E26:AA26)</f>
        <v>3</v>
      </c>
      <c r="E26" s="76">
        <v>0</v>
      </c>
      <c r="F26" s="76">
        <v>0</v>
      </c>
      <c r="G26" s="76">
        <v>0</v>
      </c>
      <c r="H26" s="76">
        <v>3</v>
      </c>
      <c r="I26" s="76">
        <v>0</v>
      </c>
      <c r="J26" s="76">
        <v>0</v>
      </c>
      <c r="K26" s="76">
        <v>0</v>
      </c>
      <c r="L26" s="76">
        <v>0</v>
      </c>
      <c r="M26" s="76">
        <v>0</v>
      </c>
      <c r="N26" s="76">
        <v>0</v>
      </c>
      <c r="O26" s="76">
        <v>0</v>
      </c>
      <c r="P26" s="76">
        <v>0</v>
      </c>
      <c r="Q26" s="76">
        <v>0</v>
      </c>
      <c r="R26" s="76">
        <v>0</v>
      </c>
      <c r="S26" s="76">
        <v>0</v>
      </c>
      <c r="T26" s="76">
        <v>0</v>
      </c>
      <c r="U26" s="76">
        <v>0</v>
      </c>
      <c r="V26" s="76">
        <v>0</v>
      </c>
      <c r="W26" s="76">
        <v>0</v>
      </c>
      <c r="X26" s="76">
        <v>0</v>
      </c>
      <c r="Y26" s="76">
        <v>0</v>
      </c>
      <c r="Z26" s="76">
        <v>0</v>
      </c>
    </row>
    <row r="27" spans="2:52" ht="15">
      <c r="B27" s="74">
        <f>B25+B26</f>
        <v>0</v>
      </c>
      <c r="C27" s="40" t="s">
        <v>22</v>
      </c>
      <c r="D27" s="74">
        <f t="shared" ref="D27" si="0">D25+D26</f>
        <v>11</v>
      </c>
      <c r="E27" s="74">
        <f>E25+E26</f>
        <v>0</v>
      </c>
      <c r="F27" s="74">
        <f>F25+F26</f>
        <v>0</v>
      </c>
      <c r="G27" s="74">
        <f>G25+G26</f>
        <v>0</v>
      </c>
      <c r="H27" s="74">
        <f>H25+H26</f>
        <v>10</v>
      </c>
      <c r="I27" s="74">
        <f t="shared" ref="I27:X27" si="1">I25+I26</f>
        <v>0</v>
      </c>
      <c r="J27" s="74">
        <f t="shared" si="1"/>
        <v>0</v>
      </c>
      <c r="K27" s="74">
        <f t="shared" si="1"/>
        <v>0</v>
      </c>
      <c r="L27" s="74">
        <f t="shared" si="1"/>
        <v>0</v>
      </c>
      <c r="M27" s="74">
        <f t="shared" si="1"/>
        <v>0</v>
      </c>
      <c r="N27" s="74">
        <f t="shared" si="1"/>
        <v>0</v>
      </c>
      <c r="O27" s="74">
        <f t="shared" si="1"/>
        <v>0</v>
      </c>
      <c r="P27" s="74">
        <f t="shared" si="1"/>
        <v>0</v>
      </c>
      <c r="Q27" s="74">
        <f t="shared" si="1"/>
        <v>0</v>
      </c>
      <c r="R27" s="74">
        <f t="shared" si="1"/>
        <v>0</v>
      </c>
      <c r="S27" s="74">
        <f t="shared" si="1"/>
        <v>0</v>
      </c>
      <c r="T27" s="74">
        <f t="shared" si="1"/>
        <v>0</v>
      </c>
      <c r="U27" s="74">
        <f t="shared" si="1"/>
        <v>0</v>
      </c>
      <c r="V27" s="74">
        <f t="shared" si="1"/>
        <v>0</v>
      </c>
      <c r="W27" s="74">
        <f t="shared" si="1"/>
        <v>0</v>
      </c>
      <c r="X27" s="74">
        <f t="shared" si="1"/>
        <v>0</v>
      </c>
      <c r="Y27" s="74">
        <f t="shared" ref="Y27:Z27" si="2">Y25+Y26</f>
        <v>0</v>
      </c>
      <c r="Z27" s="74">
        <f t="shared" si="2"/>
        <v>1</v>
      </c>
    </row>
    <row r="28" spans="2:52">
      <c r="H28" s="34"/>
    </row>
    <row r="29" spans="2:52">
      <c r="H29" s="34"/>
    </row>
    <row r="30" spans="2:52">
      <c r="H30" s="34"/>
    </row>
    <row r="31" spans="2:52" s="71" customFormat="1" ht="60" customHeight="1">
      <c r="B31" s="73" t="s">
        <v>91</v>
      </c>
      <c r="C31" s="29" t="s">
        <v>47</v>
      </c>
      <c r="D31" s="50" t="s">
        <v>69</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5">
      <c r="B32" s="75"/>
      <c r="C32" s="37" t="s">
        <v>19</v>
      </c>
      <c r="D32" s="78">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5">
      <c r="B33" s="76"/>
      <c r="C33" s="37" t="s">
        <v>44</v>
      </c>
      <c r="D33" s="78">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5">
      <c r="B34" s="76"/>
      <c r="C34" s="37" t="s">
        <v>20</v>
      </c>
      <c r="D34" s="78">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5">
      <c r="B35" s="76"/>
      <c r="C35" s="37" t="s">
        <v>21</v>
      </c>
      <c r="D35" s="78">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5">
      <c r="B36" s="76"/>
      <c r="C36" s="37" t="s">
        <v>79</v>
      </c>
      <c r="D36" s="78">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7">
        <f>SUM(B32:B36)</f>
        <v>0</v>
      </c>
      <c r="C37" s="40" t="s">
        <v>22</v>
      </c>
      <c r="D37" s="77">
        <f>SUM(D32:D36)</f>
        <v>0</v>
      </c>
    </row>
    <row r="38" spans="2:52">
      <c r="H38" s="34"/>
    </row>
    <row r="39" spans="2:52">
      <c r="H39" s="34"/>
    </row>
    <row r="40" spans="2:52" s="71" customFormat="1" ht="63.75">
      <c r="B40" s="73" t="s">
        <v>91</v>
      </c>
      <c r="C40" s="29" t="s">
        <v>68</v>
      </c>
      <c r="D40" s="50" t="s">
        <v>69</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6"/>
      <c r="C41" s="37" t="s">
        <v>76</v>
      </c>
      <c r="D41" s="78">
        <f>SUM(E41:AA41)</f>
        <v>0</v>
      </c>
    </row>
    <row r="42" spans="2:52" ht="15">
      <c r="B42" s="76"/>
      <c r="C42" s="37" t="s">
        <v>75</v>
      </c>
      <c r="D42" s="78">
        <f>SUM(E42:AA42)</f>
        <v>0</v>
      </c>
    </row>
    <row r="43" spans="2:52" s="15" customFormat="1" ht="15">
      <c r="B43" s="76"/>
      <c r="C43" s="37" t="s">
        <v>102</v>
      </c>
      <c r="D43" s="78">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7">
        <f>SUM(B41:B43)</f>
        <v>0</v>
      </c>
      <c r="C44" s="40" t="s">
        <v>22</v>
      </c>
      <c r="D44" s="77">
        <f>SUM(D41:D43)</f>
        <v>0</v>
      </c>
    </row>
    <row r="47" spans="2:52" ht="25.5">
      <c r="C47" s="79" t="s">
        <v>60</v>
      </c>
      <c r="D47" s="26" t="s">
        <v>93</v>
      </c>
      <c r="E47" s="26" t="s">
        <v>92</v>
      </c>
    </row>
    <row r="48" spans="2:52">
      <c r="C48" s="80" t="s">
        <v>94</v>
      </c>
      <c r="D48" s="80" t="s">
        <v>95</v>
      </c>
      <c r="E48" s="80" t="s">
        <v>96</v>
      </c>
    </row>
  </sheetData>
  <phoneticPr fontId="55"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Overview">
    <tabColor theme="5"/>
    <outlinePr summaryRight="0"/>
    <pageSetUpPr fitToPage="1"/>
  </sheetPr>
  <dimension ref="A1:O136"/>
  <sheetViews>
    <sheetView showGridLines="0" topLeftCell="A103" zoomScale="80" zoomScaleNormal="80" workbookViewId="0">
      <selection activeCell="C141" sqref="C141"/>
    </sheetView>
  </sheetViews>
  <sheetFormatPr defaultColWidth="8.5703125" defaultRowHeight="15" outlineLevelCol="1"/>
  <cols>
    <col min="1" max="2" width="31.5703125" style="133" customWidth="1"/>
    <col min="3" max="3" width="43.42578125" style="133" customWidth="1"/>
    <col min="4" max="4" width="13.42578125" style="133" customWidth="1"/>
    <col min="5" max="5" width="18.42578125" style="133" customWidth="1"/>
    <col min="6" max="14" width="15.42578125" style="133" customWidth="1" outlineLevel="1"/>
    <col min="15" max="15" width="16.5703125" style="133" customWidth="1" outlineLevel="1"/>
    <col min="16" max="16384" width="8.5703125" style="133"/>
  </cols>
  <sheetData>
    <row r="1" spans="1:15" ht="21" customHeight="1">
      <c r="A1" s="356" t="s">
        <v>195</v>
      </c>
      <c r="B1" s="357"/>
      <c r="C1" s="357"/>
      <c r="D1" s="357"/>
      <c r="E1" s="358"/>
      <c r="F1" s="359" t="s">
        <v>210</v>
      </c>
      <c r="G1" s="360"/>
      <c r="H1" s="360"/>
      <c r="I1" s="360"/>
      <c r="J1" s="360"/>
      <c r="K1" s="360"/>
      <c r="L1" s="360"/>
      <c r="M1" s="360"/>
      <c r="N1" s="360"/>
      <c r="O1" s="360"/>
    </row>
    <row r="2" spans="1:15" ht="18.75">
      <c r="A2" s="142" t="s">
        <v>198</v>
      </c>
      <c r="B2" s="142" t="s">
        <v>194</v>
      </c>
      <c r="C2" s="142" t="s">
        <v>196</v>
      </c>
      <c r="D2" s="142" t="s">
        <v>197</v>
      </c>
      <c r="E2" s="142" t="s">
        <v>199</v>
      </c>
      <c r="F2" s="143" t="s">
        <v>200</v>
      </c>
      <c r="G2" s="143" t="s">
        <v>201</v>
      </c>
      <c r="H2" s="143" t="s">
        <v>202</v>
      </c>
      <c r="I2" s="143" t="s">
        <v>203</v>
      </c>
      <c r="J2" s="143" t="s">
        <v>204</v>
      </c>
      <c r="K2" s="143" t="s">
        <v>205</v>
      </c>
      <c r="L2" s="143" t="s">
        <v>206</v>
      </c>
      <c r="M2" s="143" t="s">
        <v>207</v>
      </c>
      <c r="N2" s="143" t="s">
        <v>208</v>
      </c>
      <c r="O2" s="143" t="s">
        <v>209</v>
      </c>
    </row>
    <row r="3" spans="1:15">
      <c r="A3" s="192" t="s">
        <v>406</v>
      </c>
      <c r="B3" s="193" t="s">
        <v>180</v>
      </c>
      <c r="C3" s="192" t="s">
        <v>407</v>
      </c>
      <c r="D3" s="192" t="s">
        <v>407</v>
      </c>
      <c r="E3" s="194">
        <v>180</v>
      </c>
      <c r="F3" s="195" t="s">
        <v>401</v>
      </c>
      <c r="G3" s="193"/>
      <c r="H3" s="193"/>
      <c r="I3" s="193"/>
      <c r="J3" s="193"/>
      <c r="K3" s="193"/>
      <c r="L3" s="193"/>
      <c r="M3" s="193"/>
      <c r="N3" s="193"/>
      <c r="O3" s="193"/>
    </row>
    <row r="4" spans="1:15">
      <c r="A4" s="19" t="s">
        <v>424</v>
      </c>
      <c r="B4" s="193" t="s">
        <v>180</v>
      </c>
      <c r="C4" s="192" t="s">
        <v>407</v>
      </c>
      <c r="D4" s="192" t="s">
        <v>407</v>
      </c>
      <c r="E4" s="194">
        <v>60</v>
      </c>
      <c r="F4" s="195" t="s">
        <v>401</v>
      </c>
      <c r="G4" s="193"/>
      <c r="H4" s="193"/>
      <c r="I4" s="193"/>
      <c r="J4" s="193"/>
      <c r="K4" s="193"/>
      <c r="L4" s="193"/>
      <c r="M4" s="193"/>
      <c r="N4" s="193"/>
      <c r="O4" s="193"/>
    </row>
    <row r="5" spans="1:15">
      <c r="A5" s="19" t="s">
        <v>432</v>
      </c>
      <c r="B5" s="193" t="s">
        <v>180</v>
      </c>
      <c r="C5" s="192" t="s">
        <v>407</v>
      </c>
      <c r="D5" s="192" t="s">
        <v>407</v>
      </c>
      <c r="E5" s="194">
        <v>60</v>
      </c>
      <c r="F5" s="195" t="s">
        <v>401</v>
      </c>
      <c r="G5" s="193"/>
      <c r="H5" s="193"/>
      <c r="I5" s="193"/>
      <c r="J5" s="193"/>
      <c r="K5" s="193"/>
      <c r="L5" s="193"/>
      <c r="M5" s="193"/>
      <c r="N5" s="193"/>
      <c r="O5" s="193"/>
    </row>
    <row r="6" spans="1:15">
      <c r="A6" s="19" t="s">
        <v>437</v>
      </c>
      <c r="B6" s="193" t="s">
        <v>180</v>
      </c>
      <c r="C6" s="192" t="s">
        <v>407</v>
      </c>
      <c r="D6" s="192" t="s">
        <v>407</v>
      </c>
      <c r="E6" s="194">
        <v>60</v>
      </c>
      <c r="F6" s="195" t="s">
        <v>401</v>
      </c>
      <c r="G6" s="193"/>
      <c r="H6" s="193"/>
      <c r="I6" s="193"/>
      <c r="J6" s="193"/>
      <c r="K6" s="193"/>
      <c r="L6" s="193"/>
      <c r="M6" s="193"/>
      <c r="N6" s="193"/>
      <c r="O6" s="193"/>
    </row>
    <row r="7" spans="1:15">
      <c r="A7" s="19" t="s">
        <v>440</v>
      </c>
      <c r="B7" s="193" t="s">
        <v>180</v>
      </c>
      <c r="C7" s="192" t="s">
        <v>407</v>
      </c>
      <c r="D7" s="192" t="s">
        <v>407</v>
      </c>
      <c r="E7" s="194">
        <v>60</v>
      </c>
      <c r="F7" s="195" t="s">
        <v>401</v>
      </c>
      <c r="G7" s="193"/>
      <c r="H7" s="193"/>
      <c r="I7" s="193"/>
      <c r="J7" s="193"/>
      <c r="K7" s="193"/>
      <c r="L7" s="193"/>
      <c r="M7" s="193"/>
      <c r="N7" s="193"/>
      <c r="O7" s="193"/>
    </row>
    <row r="8" spans="1:15">
      <c r="A8" s="19" t="s">
        <v>424</v>
      </c>
      <c r="B8" s="193" t="s">
        <v>180</v>
      </c>
      <c r="C8" s="192" t="s">
        <v>407</v>
      </c>
      <c r="D8" s="192" t="s">
        <v>407</v>
      </c>
      <c r="E8" s="194">
        <v>60</v>
      </c>
      <c r="F8" s="195" t="s">
        <v>401</v>
      </c>
      <c r="G8" s="193"/>
      <c r="H8" s="193"/>
      <c r="I8" s="193"/>
      <c r="J8" s="193"/>
      <c r="K8" s="193"/>
      <c r="L8" s="193"/>
      <c r="M8" s="193"/>
      <c r="N8" s="193"/>
      <c r="O8" s="193"/>
    </row>
    <row r="9" spans="1:15">
      <c r="A9" s="19" t="s">
        <v>445</v>
      </c>
      <c r="B9" s="193" t="s">
        <v>180</v>
      </c>
      <c r="C9" s="192" t="s">
        <v>407</v>
      </c>
      <c r="D9" s="192" t="s">
        <v>407</v>
      </c>
      <c r="E9" s="194">
        <v>60</v>
      </c>
      <c r="F9" s="195" t="s">
        <v>401</v>
      </c>
      <c r="G9" s="193"/>
      <c r="H9" s="193"/>
      <c r="I9" s="193"/>
      <c r="J9" s="193"/>
      <c r="K9" s="193"/>
      <c r="L9" s="193"/>
      <c r="M9" s="193"/>
      <c r="N9" s="193"/>
      <c r="O9" s="193"/>
    </row>
    <row r="10" spans="1:15">
      <c r="A10" s="184" t="s">
        <v>469</v>
      </c>
      <c r="B10" s="193" t="s">
        <v>180</v>
      </c>
      <c r="C10" s="196" t="s">
        <v>492</v>
      </c>
      <c r="D10" s="196" t="s">
        <v>492</v>
      </c>
      <c r="E10" s="194">
        <v>60</v>
      </c>
      <c r="F10" s="197" t="s">
        <v>475</v>
      </c>
      <c r="G10" s="193"/>
      <c r="H10" s="193"/>
      <c r="I10" s="193"/>
      <c r="J10" s="193"/>
      <c r="K10" s="193"/>
      <c r="L10" s="193"/>
      <c r="M10" s="193"/>
      <c r="N10" s="193"/>
      <c r="O10" s="193"/>
    </row>
    <row r="11" spans="1:15">
      <c r="A11" s="184" t="s">
        <v>470</v>
      </c>
      <c r="B11" s="193" t="s">
        <v>180</v>
      </c>
      <c r="C11" s="196" t="s">
        <v>492</v>
      </c>
      <c r="D11" s="196" t="s">
        <v>492</v>
      </c>
      <c r="E11" s="194">
        <v>60</v>
      </c>
      <c r="F11" s="197" t="s">
        <v>475</v>
      </c>
      <c r="G11" s="193"/>
      <c r="H11" s="193"/>
      <c r="I11" s="193"/>
      <c r="J11" s="193"/>
      <c r="K11" s="193"/>
      <c r="L11" s="193"/>
      <c r="M11" s="193"/>
      <c r="N11" s="193"/>
      <c r="O11" s="193"/>
    </row>
    <row r="12" spans="1:15">
      <c r="A12" s="184" t="s">
        <v>471</v>
      </c>
      <c r="B12" s="193" t="s">
        <v>180</v>
      </c>
      <c r="C12" s="196" t="s">
        <v>492</v>
      </c>
      <c r="D12" s="196" t="s">
        <v>492</v>
      </c>
      <c r="E12" s="194">
        <v>60</v>
      </c>
      <c r="F12" s="197" t="s">
        <v>475</v>
      </c>
      <c r="G12" s="193"/>
      <c r="H12" s="193"/>
      <c r="I12" s="193"/>
      <c r="J12" s="193"/>
      <c r="K12" s="193"/>
      <c r="L12" s="193"/>
      <c r="M12" s="193"/>
      <c r="N12" s="193"/>
      <c r="O12" s="193"/>
    </row>
    <row r="13" spans="1:15">
      <c r="A13" s="184" t="s">
        <v>472</v>
      </c>
      <c r="B13" s="193" t="s">
        <v>180</v>
      </c>
      <c r="C13" s="196" t="s">
        <v>492</v>
      </c>
      <c r="D13" s="196" t="s">
        <v>492</v>
      </c>
      <c r="E13" s="194">
        <v>60</v>
      </c>
      <c r="F13" s="197" t="s">
        <v>475</v>
      </c>
      <c r="G13" s="193"/>
      <c r="H13" s="193"/>
      <c r="I13" s="193"/>
      <c r="J13" s="193"/>
      <c r="K13" s="193"/>
      <c r="L13" s="193"/>
      <c r="M13" s="193"/>
      <c r="N13" s="193"/>
      <c r="O13" s="193"/>
    </row>
    <row r="14" spans="1:15">
      <c r="A14" s="184" t="s">
        <v>473</v>
      </c>
      <c r="B14" s="193" t="s">
        <v>180</v>
      </c>
      <c r="C14" s="196" t="s">
        <v>492</v>
      </c>
      <c r="D14" s="196" t="s">
        <v>492</v>
      </c>
      <c r="E14" s="194">
        <v>60</v>
      </c>
      <c r="F14" s="197" t="s">
        <v>475</v>
      </c>
      <c r="G14" s="193"/>
      <c r="H14" s="193"/>
      <c r="I14" s="193"/>
      <c r="J14" s="193"/>
      <c r="K14" s="193"/>
      <c r="L14" s="193"/>
      <c r="M14" s="193"/>
      <c r="N14" s="193"/>
      <c r="O14" s="193"/>
    </row>
    <row r="15" spans="1:15">
      <c r="A15" s="184" t="s">
        <v>474</v>
      </c>
      <c r="B15" s="193" t="s">
        <v>180</v>
      </c>
      <c r="C15" s="196" t="s">
        <v>492</v>
      </c>
      <c r="D15" s="196" t="s">
        <v>492</v>
      </c>
      <c r="E15" s="194">
        <v>60</v>
      </c>
      <c r="F15" s="197" t="s">
        <v>475</v>
      </c>
      <c r="G15" s="193"/>
      <c r="H15" s="193"/>
      <c r="I15" s="193"/>
      <c r="J15" s="193"/>
      <c r="K15" s="193"/>
      <c r="L15" s="193"/>
      <c r="M15" s="193"/>
      <c r="N15" s="193"/>
      <c r="O15" s="193"/>
    </row>
    <row r="16" spans="1:15">
      <c r="A16" s="198" t="s">
        <v>406</v>
      </c>
      <c r="B16" s="193" t="s">
        <v>180</v>
      </c>
      <c r="C16" s="196" t="s">
        <v>491</v>
      </c>
      <c r="D16" s="196" t="s">
        <v>491</v>
      </c>
      <c r="E16" s="194">
        <v>60</v>
      </c>
      <c r="F16" s="196" t="s">
        <v>493</v>
      </c>
      <c r="G16" s="193"/>
      <c r="H16" s="193"/>
      <c r="I16" s="193"/>
      <c r="J16" s="193"/>
      <c r="K16" s="193"/>
      <c r="L16" s="193"/>
      <c r="M16" s="193"/>
      <c r="N16" s="193"/>
      <c r="O16" s="193"/>
    </row>
    <row r="17" spans="1:15">
      <c r="A17" s="196" t="s">
        <v>432</v>
      </c>
      <c r="B17" s="193" t="s">
        <v>180</v>
      </c>
      <c r="C17" s="196" t="s">
        <v>491</v>
      </c>
      <c r="D17" s="196" t="s">
        <v>491</v>
      </c>
      <c r="E17" s="194">
        <v>60</v>
      </c>
      <c r="F17" s="196" t="s">
        <v>493</v>
      </c>
      <c r="G17" s="193"/>
      <c r="H17" s="193"/>
      <c r="I17" s="193"/>
      <c r="J17" s="193"/>
      <c r="K17" s="193"/>
      <c r="L17" s="193"/>
      <c r="M17" s="193"/>
      <c r="N17" s="193"/>
      <c r="O17" s="193"/>
    </row>
    <row r="18" spans="1:15">
      <c r="A18" s="193" t="s">
        <v>469</v>
      </c>
      <c r="B18" s="193" t="s">
        <v>180</v>
      </c>
      <c r="C18" s="199" t="s">
        <v>512</v>
      </c>
      <c r="D18" s="199" t="s">
        <v>512</v>
      </c>
      <c r="E18" s="194">
        <v>30</v>
      </c>
      <c r="F18" s="195" t="s">
        <v>401</v>
      </c>
      <c r="G18" s="193"/>
      <c r="H18" s="193"/>
      <c r="I18" s="193"/>
      <c r="J18" s="193"/>
      <c r="K18" s="193"/>
      <c r="L18" s="193"/>
      <c r="M18" s="193"/>
      <c r="N18" s="193"/>
      <c r="O18" s="193"/>
    </row>
    <row r="19" spans="1:15">
      <c r="A19" s="193" t="s">
        <v>470</v>
      </c>
      <c r="B19" s="193" t="s">
        <v>180</v>
      </c>
      <c r="C19" s="199" t="s">
        <v>512</v>
      </c>
      <c r="D19" s="199" t="s">
        <v>512</v>
      </c>
      <c r="E19" s="194">
        <v>30</v>
      </c>
      <c r="F19" s="195" t="s">
        <v>401</v>
      </c>
      <c r="G19" s="193"/>
      <c r="H19" s="193"/>
      <c r="I19" s="193"/>
      <c r="J19" s="193"/>
      <c r="K19" s="193"/>
      <c r="L19" s="193"/>
      <c r="M19" s="193"/>
      <c r="N19" s="193"/>
      <c r="O19" s="193"/>
    </row>
    <row r="20" spans="1:15">
      <c r="A20" s="193" t="s">
        <v>471</v>
      </c>
      <c r="B20" s="193" t="s">
        <v>180</v>
      </c>
      <c r="C20" s="199" t="s">
        <v>512</v>
      </c>
      <c r="D20" s="199" t="s">
        <v>512</v>
      </c>
      <c r="E20" s="194">
        <v>30</v>
      </c>
      <c r="F20" s="195" t="s">
        <v>401</v>
      </c>
      <c r="G20" s="193"/>
      <c r="H20" s="193"/>
      <c r="I20" s="193"/>
      <c r="J20" s="193"/>
      <c r="K20" s="193"/>
      <c r="L20" s="193"/>
      <c r="M20" s="193"/>
      <c r="N20" s="193"/>
      <c r="O20" s="193"/>
    </row>
    <row r="21" spans="1:15">
      <c r="A21" s="193" t="s">
        <v>472</v>
      </c>
      <c r="B21" s="193" t="s">
        <v>180</v>
      </c>
      <c r="C21" s="199" t="s">
        <v>512</v>
      </c>
      <c r="D21" s="199" t="s">
        <v>512</v>
      </c>
      <c r="E21" s="194">
        <v>30</v>
      </c>
      <c r="F21" s="195" t="s">
        <v>401</v>
      </c>
      <c r="G21" s="193"/>
      <c r="H21" s="193"/>
      <c r="I21" s="193"/>
      <c r="J21" s="193"/>
      <c r="K21" s="193"/>
      <c r="L21" s="193"/>
      <c r="M21" s="193"/>
      <c r="N21" s="193"/>
      <c r="O21" s="193"/>
    </row>
    <row r="22" spans="1:15">
      <c r="A22" s="193" t="s">
        <v>473</v>
      </c>
      <c r="B22" s="193" t="s">
        <v>180</v>
      </c>
      <c r="C22" s="199" t="s">
        <v>512</v>
      </c>
      <c r="D22" s="199" t="s">
        <v>512</v>
      </c>
      <c r="E22" s="194">
        <v>30</v>
      </c>
      <c r="F22" s="195" t="s">
        <v>401</v>
      </c>
      <c r="G22" s="193"/>
      <c r="H22" s="193"/>
      <c r="I22" s="193"/>
      <c r="J22" s="193"/>
      <c r="K22" s="193"/>
      <c r="L22" s="193"/>
      <c r="M22" s="193"/>
      <c r="N22" s="193"/>
      <c r="O22" s="193"/>
    </row>
    <row r="23" spans="1:15">
      <c r="A23" s="193" t="s">
        <v>474</v>
      </c>
      <c r="B23" s="193" t="s">
        <v>180</v>
      </c>
      <c r="C23" s="199" t="s">
        <v>512</v>
      </c>
      <c r="D23" s="199" t="s">
        <v>512</v>
      </c>
      <c r="E23" s="194">
        <v>30</v>
      </c>
      <c r="F23" s="195" t="s">
        <v>401</v>
      </c>
      <c r="G23" s="193"/>
      <c r="H23" s="193"/>
      <c r="I23" s="193"/>
      <c r="J23" s="193"/>
      <c r="K23" s="193"/>
      <c r="L23" s="193"/>
      <c r="M23" s="193"/>
      <c r="N23" s="193"/>
      <c r="O23" s="193"/>
    </row>
    <row r="24" spans="1:15">
      <c r="A24" s="200" t="s">
        <v>513</v>
      </c>
      <c r="B24" s="193" t="s">
        <v>180</v>
      </c>
      <c r="C24" s="200" t="s">
        <v>514</v>
      </c>
      <c r="D24" s="200" t="s">
        <v>514</v>
      </c>
      <c r="E24" s="194">
        <v>60</v>
      </c>
      <c r="F24" s="200" t="s">
        <v>493</v>
      </c>
      <c r="G24" s="193"/>
      <c r="H24" s="193"/>
      <c r="I24" s="193"/>
      <c r="J24" s="193"/>
      <c r="K24" s="193"/>
      <c r="L24" s="193"/>
      <c r="M24" s="193"/>
      <c r="N24" s="193"/>
      <c r="O24" s="193"/>
    </row>
    <row r="25" spans="1:15">
      <c r="A25" s="193" t="s">
        <v>406</v>
      </c>
      <c r="B25" s="193" t="s">
        <v>180</v>
      </c>
      <c r="C25" s="200" t="s">
        <v>514</v>
      </c>
      <c r="D25" s="200" t="s">
        <v>514</v>
      </c>
      <c r="E25" s="194">
        <v>30</v>
      </c>
      <c r="F25" s="198" t="s">
        <v>524</v>
      </c>
      <c r="G25" s="193"/>
      <c r="H25" s="193"/>
      <c r="I25" s="193"/>
      <c r="J25" s="193"/>
      <c r="K25" s="193"/>
      <c r="L25" s="193"/>
      <c r="M25" s="193"/>
      <c r="N25" s="193"/>
      <c r="O25" s="193"/>
    </row>
    <row r="26" spans="1:15">
      <c r="A26" s="193" t="s">
        <v>424</v>
      </c>
      <c r="B26" s="193" t="s">
        <v>180</v>
      </c>
      <c r="C26" s="193" t="s">
        <v>514</v>
      </c>
      <c r="D26" s="193" t="s">
        <v>514</v>
      </c>
      <c r="E26" s="194">
        <v>30</v>
      </c>
      <c r="F26" s="193" t="s">
        <v>401</v>
      </c>
      <c r="G26" s="193"/>
      <c r="H26" s="193"/>
      <c r="I26" s="193"/>
      <c r="J26" s="193"/>
      <c r="K26" s="193"/>
      <c r="L26" s="193"/>
      <c r="M26" s="193"/>
      <c r="N26" s="193"/>
      <c r="O26" s="193"/>
    </row>
    <row r="27" spans="1:15">
      <c r="A27" s="193" t="s">
        <v>432</v>
      </c>
      <c r="B27" s="193" t="s">
        <v>180</v>
      </c>
      <c r="C27" s="193" t="s">
        <v>514</v>
      </c>
      <c r="D27" s="193" t="s">
        <v>514</v>
      </c>
      <c r="E27" s="194">
        <v>30</v>
      </c>
      <c r="F27" s="193" t="s">
        <v>401</v>
      </c>
      <c r="G27" s="193"/>
      <c r="H27" s="193"/>
      <c r="I27" s="193"/>
      <c r="J27" s="193"/>
      <c r="K27" s="193"/>
      <c r="L27" s="193"/>
      <c r="M27" s="193"/>
      <c r="N27" s="193"/>
      <c r="O27" s="193"/>
    </row>
    <row r="28" spans="1:15">
      <c r="A28" s="193" t="s">
        <v>437</v>
      </c>
      <c r="B28" s="193" t="s">
        <v>180</v>
      </c>
      <c r="C28" s="193" t="s">
        <v>514</v>
      </c>
      <c r="D28" s="193" t="s">
        <v>514</v>
      </c>
      <c r="E28" s="194">
        <v>30</v>
      </c>
      <c r="F28" s="193" t="s">
        <v>401</v>
      </c>
      <c r="G28" s="193"/>
      <c r="H28" s="193"/>
      <c r="I28" s="193"/>
      <c r="J28" s="193"/>
      <c r="K28" s="193"/>
      <c r="L28" s="193"/>
      <c r="M28" s="193"/>
      <c r="N28" s="193"/>
      <c r="O28" s="193"/>
    </row>
    <row r="29" spans="1:15">
      <c r="A29" s="193" t="s">
        <v>440</v>
      </c>
      <c r="B29" s="193" t="s">
        <v>180</v>
      </c>
      <c r="C29" s="193" t="s">
        <v>514</v>
      </c>
      <c r="D29" s="193" t="s">
        <v>514</v>
      </c>
      <c r="E29" s="194">
        <v>30</v>
      </c>
      <c r="F29" s="193" t="s">
        <v>401</v>
      </c>
      <c r="G29" s="193"/>
      <c r="H29" s="193"/>
      <c r="I29" s="193"/>
      <c r="J29" s="193"/>
      <c r="K29" s="193"/>
      <c r="L29" s="193"/>
      <c r="M29" s="193"/>
      <c r="N29" s="193"/>
      <c r="O29" s="193"/>
    </row>
    <row r="30" spans="1:15">
      <c r="A30" s="193" t="s">
        <v>424</v>
      </c>
      <c r="B30" s="193" t="s">
        <v>180</v>
      </c>
      <c r="C30" s="193" t="s">
        <v>514</v>
      </c>
      <c r="D30" s="193" t="s">
        <v>514</v>
      </c>
      <c r="E30" s="194">
        <v>30</v>
      </c>
      <c r="F30" s="193" t="s">
        <v>401</v>
      </c>
      <c r="G30" s="193"/>
      <c r="H30" s="193"/>
      <c r="I30" s="193"/>
      <c r="J30" s="193"/>
      <c r="K30" s="193"/>
      <c r="L30" s="193"/>
      <c r="M30" s="193"/>
      <c r="N30" s="193"/>
      <c r="O30" s="193"/>
    </row>
    <row r="31" spans="1:15">
      <c r="A31" s="193" t="s">
        <v>445</v>
      </c>
      <c r="B31" s="193" t="s">
        <v>180</v>
      </c>
      <c r="C31" s="193" t="s">
        <v>514</v>
      </c>
      <c r="D31" s="193" t="s">
        <v>514</v>
      </c>
      <c r="E31" s="194">
        <v>30</v>
      </c>
      <c r="F31" s="193" t="s">
        <v>401</v>
      </c>
      <c r="G31" s="193"/>
      <c r="H31" s="193"/>
      <c r="I31" s="193"/>
      <c r="J31" s="193"/>
      <c r="K31" s="193"/>
      <c r="L31" s="193"/>
      <c r="M31" s="193"/>
      <c r="N31" s="193"/>
      <c r="O31" s="193"/>
    </row>
    <row r="32" spans="1:15">
      <c r="A32" s="193" t="s">
        <v>545</v>
      </c>
      <c r="B32" s="193" t="s">
        <v>180</v>
      </c>
      <c r="C32" s="193" t="s">
        <v>546</v>
      </c>
      <c r="D32" s="193" t="s">
        <v>546</v>
      </c>
      <c r="E32" s="194">
        <v>30</v>
      </c>
      <c r="F32" s="193" t="s">
        <v>401</v>
      </c>
      <c r="G32" s="193"/>
      <c r="H32" s="193"/>
      <c r="I32" s="193"/>
      <c r="J32" s="193"/>
      <c r="K32" s="193"/>
      <c r="L32" s="193"/>
      <c r="M32" s="193"/>
      <c r="N32" s="193"/>
      <c r="O32" s="193"/>
    </row>
    <row r="33" spans="1:15">
      <c r="A33" s="220" t="s">
        <v>406</v>
      </c>
      <c r="B33" s="193" t="s">
        <v>180</v>
      </c>
      <c r="C33" s="193" t="s">
        <v>546</v>
      </c>
      <c r="D33" s="193" t="s">
        <v>546</v>
      </c>
      <c r="E33" s="194">
        <v>30</v>
      </c>
      <c r="F33" s="193" t="s">
        <v>401</v>
      </c>
      <c r="G33" s="193"/>
      <c r="H33" s="193"/>
      <c r="I33" s="193"/>
      <c r="J33" s="193"/>
      <c r="K33" s="193"/>
      <c r="L33" s="193"/>
      <c r="M33" s="193"/>
      <c r="N33" s="193"/>
      <c r="O33" s="193"/>
    </row>
    <row r="34" spans="1:15">
      <c r="A34" s="193" t="s">
        <v>406</v>
      </c>
      <c r="B34" s="193" t="s">
        <v>180</v>
      </c>
      <c r="C34" s="193" t="s">
        <v>558</v>
      </c>
      <c r="D34" s="193" t="s">
        <v>558</v>
      </c>
      <c r="E34" s="194">
        <v>120</v>
      </c>
      <c r="F34" s="193" t="s">
        <v>493</v>
      </c>
      <c r="G34" s="193"/>
      <c r="H34" s="193"/>
      <c r="I34" s="193"/>
      <c r="J34" s="193"/>
      <c r="K34" s="193"/>
      <c r="L34" s="193"/>
      <c r="M34" s="193"/>
      <c r="N34" s="193"/>
      <c r="O34" s="193"/>
    </row>
    <row r="35" spans="1:15">
      <c r="A35" s="193" t="s">
        <v>406</v>
      </c>
      <c r="B35" s="193" t="s">
        <v>180</v>
      </c>
      <c r="C35" s="193" t="s">
        <v>569</v>
      </c>
      <c r="D35" s="193" t="s">
        <v>569</v>
      </c>
      <c r="E35" s="194">
        <v>30</v>
      </c>
      <c r="F35" s="193" t="s">
        <v>493</v>
      </c>
      <c r="G35" s="193"/>
      <c r="H35" s="193"/>
      <c r="I35" s="193"/>
      <c r="J35" s="193"/>
      <c r="K35" s="193"/>
      <c r="L35" s="193"/>
      <c r="M35" s="193"/>
      <c r="N35" s="193"/>
      <c r="O35" s="193"/>
    </row>
    <row r="36" spans="1:15">
      <c r="A36" s="193" t="s">
        <v>406</v>
      </c>
      <c r="B36" s="193" t="s">
        <v>180</v>
      </c>
      <c r="C36" s="193" t="s">
        <v>572</v>
      </c>
      <c r="D36" s="193" t="s">
        <v>572</v>
      </c>
      <c r="E36" s="194">
        <v>30</v>
      </c>
      <c r="F36" s="193" t="s">
        <v>493</v>
      </c>
      <c r="G36" s="193"/>
      <c r="H36" s="193"/>
      <c r="I36" s="193"/>
      <c r="J36" s="193"/>
      <c r="K36" s="193"/>
      <c r="L36" s="193"/>
      <c r="M36" s="193"/>
      <c r="N36" s="193"/>
      <c r="O36" s="193"/>
    </row>
    <row r="37" spans="1:15">
      <c r="A37" s="193" t="s">
        <v>469</v>
      </c>
      <c r="B37" s="193" t="s">
        <v>575</v>
      </c>
      <c r="C37" s="193" t="s">
        <v>576</v>
      </c>
      <c r="D37" s="193" t="s">
        <v>576</v>
      </c>
      <c r="E37" s="194">
        <v>30</v>
      </c>
      <c r="F37" s="193" t="s">
        <v>493</v>
      </c>
      <c r="G37" s="193" t="s">
        <v>583</v>
      </c>
      <c r="H37" s="193"/>
      <c r="I37" s="193"/>
      <c r="J37" s="193"/>
      <c r="K37" s="193"/>
      <c r="L37" s="193"/>
      <c r="M37" s="193"/>
      <c r="N37" s="193"/>
      <c r="O37" s="193"/>
    </row>
    <row r="38" spans="1:15">
      <c r="A38" s="193" t="s">
        <v>470</v>
      </c>
      <c r="B38" s="193" t="s">
        <v>575</v>
      </c>
      <c r="C38" s="193" t="s">
        <v>576</v>
      </c>
      <c r="D38" s="193" t="s">
        <v>576</v>
      </c>
      <c r="E38" s="194">
        <v>30</v>
      </c>
      <c r="F38" s="193" t="s">
        <v>493</v>
      </c>
      <c r="G38" s="193" t="s">
        <v>583</v>
      </c>
      <c r="H38" s="193"/>
      <c r="I38" s="193"/>
      <c r="J38" s="193"/>
      <c r="K38" s="193"/>
      <c r="L38" s="193"/>
      <c r="M38" s="193"/>
      <c r="N38" s="193"/>
      <c r="O38" s="193"/>
    </row>
    <row r="39" spans="1:15">
      <c r="A39" s="193" t="s">
        <v>471</v>
      </c>
      <c r="B39" s="193" t="s">
        <v>575</v>
      </c>
      <c r="C39" s="193" t="s">
        <v>576</v>
      </c>
      <c r="D39" s="193" t="s">
        <v>576</v>
      </c>
      <c r="E39" s="194">
        <v>30</v>
      </c>
      <c r="F39" s="193" t="s">
        <v>493</v>
      </c>
      <c r="G39" s="193" t="s">
        <v>583</v>
      </c>
      <c r="H39" s="193"/>
      <c r="I39" s="193"/>
      <c r="J39" s="193"/>
      <c r="K39" s="193"/>
      <c r="L39" s="193"/>
      <c r="M39" s="193"/>
      <c r="N39" s="193"/>
      <c r="O39" s="193"/>
    </row>
    <row r="40" spans="1:15">
      <c r="A40" s="193" t="s">
        <v>472</v>
      </c>
      <c r="B40" s="193" t="s">
        <v>575</v>
      </c>
      <c r="C40" s="193" t="s">
        <v>576</v>
      </c>
      <c r="D40" s="193" t="s">
        <v>576</v>
      </c>
      <c r="E40" s="194">
        <v>30</v>
      </c>
      <c r="F40" s="193" t="s">
        <v>493</v>
      </c>
      <c r="G40" s="193" t="s">
        <v>583</v>
      </c>
      <c r="H40" s="193"/>
      <c r="I40" s="193"/>
      <c r="J40" s="193"/>
      <c r="K40" s="193"/>
      <c r="L40" s="193"/>
      <c r="M40" s="193"/>
      <c r="N40" s="193"/>
      <c r="O40" s="193"/>
    </row>
    <row r="41" spans="1:15">
      <c r="A41" s="193" t="s">
        <v>473</v>
      </c>
      <c r="B41" s="193" t="s">
        <v>575</v>
      </c>
      <c r="C41" s="193" t="s">
        <v>576</v>
      </c>
      <c r="D41" s="193" t="s">
        <v>576</v>
      </c>
      <c r="E41" s="194">
        <v>30</v>
      </c>
      <c r="F41" s="193" t="s">
        <v>493</v>
      </c>
      <c r="G41" s="193" t="s">
        <v>583</v>
      </c>
      <c r="H41" s="193"/>
      <c r="I41" s="193"/>
      <c r="J41" s="193"/>
      <c r="K41" s="193"/>
      <c r="L41" s="193"/>
      <c r="M41" s="193"/>
      <c r="N41" s="193"/>
      <c r="O41" s="193"/>
    </row>
    <row r="42" spans="1:15">
      <c r="A42" s="193" t="s">
        <v>474</v>
      </c>
      <c r="B42" s="193" t="s">
        <v>575</v>
      </c>
      <c r="C42" s="193" t="s">
        <v>576</v>
      </c>
      <c r="D42" s="193" t="s">
        <v>576</v>
      </c>
      <c r="E42" s="194">
        <v>30</v>
      </c>
      <c r="F42" s="193" t="s">
        <v>493</v>
      </c>
      <c r="G42" s="193" t="s">
        <v>583</v>
      </c>
      <c r="H42" s="193"/>
      <c r="I42" s="193"/>
      <c r="J42" s="193"/>
      <c r="K42" s="193"/>
      <c r="L42" s="193"/>
      <c r="M42" s="193"/>
      <c r="N42" s="193"/>
      <c r="O42" s="193"/>
    </row>
    <row r="43" spans="1:15">
      <c r="A43" s="193" t="s">
        <v>513</v>
      </c>
      <c r="B43" s="193" t="s">
        <v>180</v>
      </c>
      <c r="C43" s="193" t="s">
        <v>585</v>
      </c>
      <c r="D43" s="193" t="s">
        <v>585</v>
      </c>
      <c r="E43" s="194">
        <v>30</v>
      </c>
      <c r="F43" s="193" t="s">
        <v>475</v>
      </c>
      <c r="G43" s="193"/>
      <c r="H43" s="193"/>
      <c r="I43" s="193"/>
      <c r="J43" s="193"/>
      <c r="K43" s="193"/>
      <c r="L43" s="193"/>
      <c r="M43" s="193"/>
      <c r="N43" s="193"/>
      <c r="O43" s="193"/>
    </row>
    <row r="44" spans="1:15">
      <c r="A44" s="193" t="s">
        <v>590</v>
      </c>
      <c r="B44" s="193" t="s">
        <v>180</v>
      </c>
      <c r="C44" s="193" t="s">
        <v>591</v>
      </c>
      <c r="D44" s="193" t="s">
        <v>591</v>
      </c>
      <c r="E44" s="194">
        <v>120</v>
      </c>
      <c r="F44" s="193" t="s">
        <v>592</v>
      </c>
      <c r="G44" s="193"/>
      <c r="H44" s="193"/>
      <c r="I44" s="193"/>
      <c r="J44" s="193"/>
      <c r="K44" s="193"/>
      <c r="L44" s="193"/>
      <c r="M44" s="193"/>
      <c r="N44" s="193"/>
      <c r="O44" s="193"/>
    </row>
    <row r="45" spans="1:15">
      <c r="A45" s="193" t="s">
        <v>596</v>
      </c>
      <c r="B45" s="193" t="s">
        <v>180</v>
      </c>
      <c r="C45" s="193" t="s">
        <v>597</v>
      </c>
      <c r="D45" s="193" t="s">
        <v>597</v>
      </c>
      <c r="E45" s="194">
        <v>120</v>
      </c>
      <c r="F45" s="193" t="s">
        <v>598</v>
      </c>
      <c r="G45" s="193"/>
      <c r="H45" s="193"/>
      <c r="I45" s="193"/>
      <c r="J45" s="193"/>
      <c r="K45" s="193"/>
      <c r="L45" s="193"/>
      <c r="M45" s="193"/>
      <c r="N45" s="193"/>
      <c r="O45" s="193"/>
    </row>
    <row r="46" spans="1:15">
      <c r="A46" s="208" t="s">
        <v>620</v>
      </c>
      <c r="B46" s="193" t="s">
        <v>180</v>
      </c>
      <c r="C46" s="208" t="s">
        <v>621</v>
      </c>
      <c r="D46" s="208" t="s">
        <v>621</v>
      </c>
      <c r="E46" s="194">
        <v>320</v>
      </c>
      <c r="F46" s="208" t="s">
        <v>524</v>
      </c>
      <c r="G46" s="193"/>
      <c r="H46" s="193"/>
      <c r="I46" s="193"/>
      <c r="J46" s="193"/>
      <c r="K46" s="193"/>
      <c r="L46" s="193"/>
      <c r="M46" s="193"/>
      <c r="N46" s="193"/>
      <c r="O46" s="193"/>
    </row>
    <row r="47" spans="1:15">
      <c r="A47" s="193" t="s">
        <v>424</v>
      </c>
      <c r="B47" s="193" t="s">
        <v>180</v>
      </c>
      <c r="C47" s="208" t="s">
        <v>621</v>
      </c>
      <c r="D47" s="208" t="s">
        <v>621</v>
      </c>
      <c r="E47" s="194">
        <v>60</v>
      </c>
      <c r="F47" s="208" t="s">
        <v>524</v>
      </c>
      <c r="G47" s="193"/>
      <c r="H47" s="193"/>
      <c r="I47" s="193"/>
      <c r="J47" s="193"/>
      <c r="K47" s="193"/>
      <c r="L47" s="193"/>
      <c r="M47" s="193"/>
      <c r="N47" s="193"/>
      <c r="O47" s="193"/>
    </row>
    <row r="48" spans="1:15">
      <c r="A48" s="193" t="s">
        <v>432</v>
      </c>
      <c r="B48" s="193" t="s">
        <v>180</v>
      </c>
      <c r="C48" s="208" t="s">
        <v>621</v>
      </c>
      <c r="D48" s="208" t="s">
        <v>621</v>
      </c>
      <c r="E48" s="194">
        <v>60</v>
      </c>
      <c r="F48" s="208" t="s">
        <v>524</v>
      </c>
      <c r="G48" s="193"/>
      <c r="H48" s="193"/>
      <c r="I48" s="193"/>
      <c r="J48" s="193"/>
      <c r="K48" s="193"/>
      <c r="L48" s="193"/>
      <c r="M48" s="193"/>
      <c r="N48" s="193"/>
      <c r="O48" s="193"/>
    </row>
    <row r="49" spans="1:15">
      <c r="A49" s="193" t="s">
        <v>437</v>
      </c>
      <c r="B49" s="193" t="s">
        <v>180</v>
      </c>
      <c r="C49" s="208" t="s">
        <v>621</v>
      </c>
      <c r="D49" s="208" t="s">
        <v>621</v>
      </c>
      <c r="E49" s="194">
        <v>60</v>
      </c>
      <c r="F49" s="208" t="s">
        <v>524</v>
      </c>
      <c r="G49" s="193"/>
      <c r="H49" s="193"/>
      <c r="I49" s="193"/>
      <c r="J49" s="193"/>
      <c r="K49" s="193"/>
      <c r="L49" s="193"/>
      <c r="M49" s="193"/>
      <c r="N49" s="193"/>
      <c r="O49" s="193"/>
    </row>
    <row r="50" spans="1:15">
      <c r="A50" s="193" t="s">
        <v>440</v>
      </c>
      <c r="B50" s="193" t="s">
        <v>180</v>
      </c>
      <c r="C50" s="208" t="s">
        <v>621</v>
      </c>
      <c r="D50" s="208" t="s">
        <v>621</v>
      </c>
      <c r="E50" s="194">
        <v>60</v>
      </c>
      <c r="F50" s="208" t="s">
        <v>524</v>
      </c>
      <c r="G50" s="193"/>
      <c r="H50" s="193"/>
      <c r="I50" s="193"/>
      <c r="J50" s="193"/>
      <c r="K50" s="193"/>
      <c r="L50" s="193"/>
      <c r="M50" s="193"/>
      <c r="N50" s="193"/>
      <c r="O50" s="193"/>
    </row>
    <row r="51" spans="1:15">
      <c r="A51" s="224" t="s">
        <v>620</v>
      </c>
      <c r="B51" s="193" t="s">
        <v>180</v>
      </c>
      <c r="C51" s="211" t="s">
        <v>647</v>
      </c>
      <c r="D51" s="211" t="s">
        <v>647</v>
      </c>
      <c r="E51" s="194">
        <v>60</v>
      </c>
      <c r="F51" s="208" t="s">
        <v>524</v>
      </c>
      <c r="G51" s="207"/>
      <c r="H51" s="207"/>
      <c r="I51" s="207"/>
      <c r="J51" s="207"/>
      <c r="K51" s="207"/>
      <c r="L51" s="207"/>
      <c r="M51" s="207"/>
      <c r="N51" s="207"/>
      <c r="O51" s="207"/>
    </row>
    <row r="52" spans="1:15">
      <c r="A52" s="193" t="s">
        <v>424</v>
      </c>
      <c r="B52" s="193" t="s">
        <v>180</v>
      </c>
      <c r="C52" s="211" t="s">
        <v>647</v>
      </c>
      <c r="D52" s="211" t="s">
        <v>647</v>
      </c>
      <c r="E52" s="194">
        <v>60</v>
      </c>
      <c r="F52" s="208" t="s">
        <v>524</v>
      </c>
      <c r="G52" s="193"/>
      <c r="H52" s="193"/>
      <c r="I52" s="193"/>
      <c r="J52" s="193"/>
      <c r="K52" s="193"/>
      <c r="L52" s="193"/>
      <c r="M52" s="193"/>
      <c r="N52" s="193"/>
      <c r="O52" s="193"/>
    </row>
    <row r="53" spans="1:15">
      <c r="A53" s="227" t="s">
        <v>432</v>
      </c>
      <c r="B53" s="193" t="s">
        <v>180</v>
      </c>
      <c r="C53" s="211" t="s">
        <v>647</v>
      </c>
      <c r="D53" s="211" t="s">
        <v>647</v>
      </c>
      <c r="E53" s="194">
        <v>60</v>
      </c>
      <c r="F53" s="208" t="s">
        <v>524</v>
      </c>
      <c r="G53" s="193"/>
      <c r="H53" s="193"/>
      <c r="I53" s="193"/>
      <c r="J53" s="193"/>
      <c r="K53" s="193"/>
      <c r="L53" s="193"/>
      <c r="M53" s="193"/>
      <c r="N53" s="193"/>
      <c r="O53" s="193"/>
    </row>
    <row r="54" spans="1:15">
      <c r="A54" s="193" t="s">
        <v>437</v>
      </c>
      <c r="B54" s="193" t="s">
        <v>180</v>
      </c>
      <c r="C54" s="211" t="s">
        <v>647</v>
      </c>
      <c r="D54" s="211" t="s">
        <v>647</v>
      </c>
      <c r="E54" s="194">
        <v>60</v>
      </c>
      <c r="F54" s="208" t="s">
        <v>524</v>
      </c>
      <c r="G54" s="193"/>
      <c r="H54" s="193"/>
      <c r="I54" s="193"/>
      <c r="J54" s="193"/>
      <c r="K54" s="193"/>
      <c r="L54" s="193"/>
      <c r="M54" s="193"/>
      <c r="N54" s="193"/>
      <c r="O54" s="193"/>
    </row>
    <row r="55" spans="1:15">
      <c r="A55" s="193" t="s">
        <v>440</v>
      </c>
      <c r="B55" s="193" t="s">
        <v>180</v>
      </c>
      <c r="C55" s="211" t="s">
        <v>647</v>
      </c>
      <c r="D55" s="211" t="s">
        <v>647</v>
      </c>
      <c r="E55" s="194">
        <v>60</v>
      </c>
      <c r="F55" s="208" t="s">
        <v>524</v>
      </c>
      <c r="G55" s="193"/>
      <c r="H55" s="193"/>
      <c r="I55" s="193"/>
      <c r="J55" s="193"/>
      <c r="K55" s="193"/>
      <c r="L55" s="193"/>
      <c r="M55" s="193"/>
      <c r="N55" s="193"/>
      <c r="O55" s="193"/>
    </row>
    <row r="56" spans="1:15">
      <c r="A56" s="224" t="s">
        <v>406</v>
      </c>
      <c r="B56" s="193" t="s">
        <v>180</v>
      </c>
      <c r="C56" s="212" t="s">
        <v>659</v>
      </c>
      <c r="D56" s="212" t="s">
        <v>659</v>
      </c>
      <c r="E56" s="194">
        <v>30</v>
      </c>
      <c r="F56" s="212" t="s">
        <v>660</v>
      </c>
      <c r="G56" s="193"/>
      <c r="H56" s="193"/>
      <c r="I56" s="193"/>
      <c r="J56" s="193"/>
      <c r="K56" s="193"/>
      <c r="L56" s="193"/>
      <c r="M56" s="193"/>
      <c r="N56" s="193"/>
      <c r="O56" s="193"/>
    </row>
    <row r="57" spans="1:15">
      <c r="A57" s="213" t="s">
        <v>470</v>
      </c>
      <c r="B57" s="213" t="s">
        <v>180</v>
      </c>
      <c r="C57" s="213" t="s">
        <v>667</v>
      </c>
      <c r="D57" s="213" t="s">
        <v>667</v>
      </c>
      <c r="E57" s="194">
        <v>30</v>
      </c>
      <c r="F57" s="213" t="s">
        <v>592</v>
      </c>
      <c r="G57" s="193"/>
      <c r="H57" s="193"/>
      <c r="I57" s="193"/>
      <c r="J57" s="193"/>
      <c r="K57" s="193"/>
      <c r="L57" s="193"/>
      <c r="M57" s="193"/>
      <c r="N57" s="193"/>
      <c r="O57" s="193"/>
    </row>
    <row r="58" spans="1:15">
      <c r="A58" s="213" t="s">
        <v>471</v>
      </c>
      <c r="B58" s="213" t="s">
        <v>180</v>
      </c>
      <c r="C58" s="213" t="s">
        <v>667</v>
      </c>
      <c r="D58" s="213" t="s">
        <v>667</v>
      </c>
      <c r="E58" s="194">
        <v>30</v>
      </c>
      <c r="F58" s="213" t="s">
        <v>592</v>
      </c>
      <c r="G58" s="193"/>
      <c r="H58" s="193"/>
      <c r="I58" s="193"/>
      <c r="J58" s="193"/>
      <c r="K58" s="193"/>
      <c r="L58" s="193"/>
      <c r="M58" s="193"/>
      <c r="N58" s="193"/>
      <c r="O58" s="193"/>
    </row>
    <row r="59" spans="1:15">
      <c r="A59" s="213" t="s">
        <v>472</v>
      </c>
      <c r="B59" s="213" t="s">
        <v>180</v>
      </c>
      <c r="C59" s="213" t="s">
        <v>667</v>
      </c>
      <c r="D59" s="213" t="s">
        <v>667</v>
      </c>
      <c r="E59" s="194">
        <v>30</v>
      </c>
      <c r="F59" s="213" t="s">
        <v>592</v>
      </c>
      <c r="G59" s="193"/>
      <c r="H59" s="193"/>
      <c r="I59" s="193"/>
      <c r="J59" s="193"/>
      <c r="K59" s="193"/>
      <c r="L59" s="193"/>
      <c r="M59" s="193"/>
      <c r="N59" s="193"/>
      <c r="O59" s="193"/>
    </row>
    <row r="60" spans="1:15">
      <c r="A60" s="213" t="s">
        <v>671</v>
      </c>
      <c r="B60" s="213" t="s">
        <v>180</v>
      </c>
      <c r="C60" s="213" t="s">
        <v>667</v>
      </c>
      <c r="D60" s="213" t="s">
        <v>667</v>
      </c>
      <c r="E60" s="194">
        <v>30</v>
      </c>
      <c r="F60" s="213" t="s">
        <v>592</v>
      </c>
      <c r="G60" s="193"/>
      <c r="H60" s="193"/>
      <c r="I60" s="193"/>
      <c r="J60" s="193"/>
      <c r="K60" s="193"/>
      <c r="L60" s="193"/>
      <c r="M60" s="193"/>
      <c r="N60" s="193"/>
      <c r="O60" s="193"/>
    </row>
    <row r="61" spans="1:15">
      <c r="A61" s="213" t="s">
        <v>469</v>
      </c>
      <c r="B61" s="213" t="s">
        <v>180</v>
      </c>
      <c r="C61" s="213" t="s">
        <v>667</v>
      </c>
      <c r="D61" s="213" t="s">
        <v>667</v>
      </c>
      <c r="E61" s="194">
        <v>30</v>
      </c>
      <c r="F61" s="213" t="s">
        <v>592</v>
      </c>
      <c r="G61" s="193"/>
      <c r="H61" s="193"/>
      <c r="I61" s="193"/>
      <c r="J61" s="193"/>
      <c r="K61" s="193"/>
      <c r="L61" s="193"/>
      <c r="M61" s="193"/>
      <c r="N61" s="193"/>
      <c r="O61" s="193"/>
    </row>
    <row r="62" spans="1:15">
      <c r="A62" s="214" t="s">
        <v>675</v>
      </c>
      <c r="B62" s="214" t="s">
        <v>180</v>
      </c>
      <c r="C62" s="214" t="s">
        <v>677</v>
      </c>
      <c r="D62" s="214" t="s">
        <v>677</v>
      </c>
      <c r="E62" s="194">
        <v>30</v>
      </c>
      <c r="F62" s="214" t="s">
        <v>592</v>
      </c>
      <c r="G62" s="193"/>
      <c r="H62" s="193"/>
      <c r="I62" s="193"/>
      <c r="J62" s="193"/>
      <c r="K62" s="193"/>
      <c r="L62" s="193"/>
      <c r="M62" s="193"/>
      <c r="N62" s="193"/>
      <c r="O62" s="193"/>
    </row>
    <row r="63" spans="1:15">
      <c r="A63" s="215" t="s">
        <v>678</v>
      </c>
      <c r="B63" s="215" t="s">
        <v>180</v>
      </c>
      <c r="C63" s="215" t="s">
        <v>682</v>
      </c>
      <c r="D63" s="215" t="s">
        <v>682</v>
      </c>
      <c r="E63" s="194">
        <v>30</v>
      </c>
      <c r="F63" s="215" t="s">
        <v>592</v>
      </c>
      <c r="G63" s="193"/>
      <c r="H63" s="193"/>
      <c r="I63" s="193"/>
      <c r="J63" s="193"/>
      <c r="K63" s="193"/>
      <c r="L63" s="193"/>
      <c r="M63" s="193"/>
      <c r="N63" s="193"/>
      <c r="O63" s="193"/>
    </row>
    <row r="64" spans="1:15">
      <c r="A64" s="215" t="s">
        <v>679</v>
      </c>
      <c r="B64" s="215" t="s">
        <v>180</v>
      </c>
      <c r="C64" s="215" t="s">
        <v>682</v>
      </c>
      <c r="D64" s="215" t="s">
        <v>682</v>
      </c>
      <c r="E64" s="194">
        <v>30</v>
      </c>
      <c r="F64" s="215" t="s">
        <v>592</v>
      </c>
      <c r="G64" s="193"/>
      <c r="H64" s="193"/>
      <c r="I64" s="193"/>
      <c r="J64" s="193"/>
      <c r="K64" s="193"/>
      <c r="L64" s="193"/>
      <c r="M64" s="193"/>
      <c r="N64" s="193"/>
      <c r="O64" s="193"/>
    </row>
    <row r="65" spans="1:15">
      <c r="A65" s="217" t="s">
        <v>620</v>
      </c>
      <c r="B65" s="217" t="s">
        <v>180</v>
      </c>
      <c r="C65" s="217" t="s">
        <v>709</v>
      </c>
      <c r="D65" s="217" t="s">
        <v>709</v>
      </c>
      <c r="E65" s="194">
        <v>240</v>
      </c>
      <c r="F65" s="217" t="s">
        <v>524</v>
      </c>
      <c r="G65" s="193"/>
      <c r="H65" s="193"/>
      <c r="I65" s="193"/>
      <c r="J65" s="193"/>
      <c r="K65" s="193"/>
      <c r="L65" s="193"/>
      <c r="M65" s="193"/>
      <c r="N65" s="193"/>
      <c r="O65" s="193"/>
    </row>
    <row r="66" spans="1:15">
      <c r="A66" s="218" t="s">
        <v>470</v>
      </c>
      <c r="B66" s="218" t="s">
        <v>180</v>
      </c>
      <c r="C66" s="218" t="s">
        <v>709</v>
      </c>
      <c r="D66" s="218" t="s">
        <v>709</v>
      </c>
      <c r="E66" s="219">
        <v>30</v>
      </c>
      <c r="F66" s="218" t="s">
        <v>716</v>
      </c>
      <c r="G66" s="218"/>
      <c r="H66" s="218"/>
      <c r="I66" s="218"/>
      <c r="J66" s="218"/>
      <c r="K66" s="218"/>
      <c r="L66" s="218"/>
      <c r="M66" s="218"/>
      <c r="N66" s="218"/>
      <c r="O66" s="218"/>
    </row>
    <row r="67" spans="1:15">
      <c r="A67" s="218" t="s">
        <v>471</v>
      </c>
      <c r="B67" s="218" t="s">
        <v>180</v>
      </c>
      <c r="C67" s="218" t="s">
        <v>709</v>
      </c>
      <c r="D67" s="218" t="s">
        <v>709</v>
      </c>
      <c r="E67" s="219">
        <v>30</v>
      </c>
      <c r="F67" s="218" t="s">
        <v>716</v>
      </c>
      <c r="G67" s="218"/>
      <c r="H67" s="218"/>
      <c r="I67" s="218"/>
      <c r="J67" s="218"/>
      <c r="K67" s="218"/>
      <c r="L67" s="218"/>
      <c r="M67" s="218"/>
      <c r="N67" s="218"/>
      <c r="O67" s="218"/>
    </row>
    <row r="68" spans="1:15">
      <c r="A68" s="218" t="s">
        <v>472</v>
      </c>
      <c r="B68" s="218" t="s">
        <v>180</v>
      </c>
      <c r="C68" s="218" t="s">
        <v>709</v>
      </c>
      <c r="D68" s="218" t="s">
        <v>709</v>
      </c>
      <c r="E68" s="219">
        <v>30</v>
      </c>
      <c r="F68" s="218" t="s">
        <v>716</v>
      </c>
      <c r="G68" s="218"/>
      <c r="H68" s="218"/>
      <c r="I68" s="218"/>
      <c r="J68" s="218"/>
      <c r="K68" s="218"/>
      <c r="L68" s="218"/>
      <c r="M68" s="218"/>
      <c r="N68" s="218"/>
      <c r="O68" s="218"/>
    </row>
    <row r="69" spans="1:15">
      <c r="A69" s="193" t="s">
        <v>671</v>
      </c>
      <c r="B69" s="193" t="s">
        <v>180</v>
      </c>
      <c r="C69" s="193" t="s">
        <v>709</v>
      </c>
      <c r="D69" s="193" t="s">
        <v>709</v>
      </c>
      <c r="E69" s="194">
        <v>30</v>
      </c>
      <c r="F69" s="193" t="s">
        <v>716</v>
      </c>
      <c r="G69" s="193"/>
      <c r="H69" s="193"/>
      <c r="I69" s="193"/>
      <c r="J69" s="193"/>
      <c r="K69" s="193"/>
      <c r="L69" s="193"/>
      <c r="M69" s="193"/>
      <c r="N69" s="193"/>
      <c r="O69" s="193"/>
    </row>
    <row r="70" spans="1:15">
      <c r="A70" s="193" t="s">
        <v>469</v>
      </c>
      <c r="B70" s="193" t="s">
        <v>180</v>
      </c>
      <c r="C70" s="193" t="s">
        <v>709</v>
      </c>
      <c r="D70" s="193" t="s">
        <v>709</v>
      </c>
      <c r="E70" s="194">
        <v>30</v>
      </c>
      <c r="F70" s="193" t="s">
        <v>716</v>
      </c>
      <c r="G70" s="193"/>
      <c r="H70" s="193"/>
      <c r="I70" s="193"/>
      <c r="J70" s="193"/>
      <c r="K70" s="193"/>
      <c r="L70" s="193"/>
      <c r="M70" s="193"/>
      <c r="N70" s="193"/>
      <c r="O70" s="193"/>
    </row>
    <row r="71" spans="1:15">
      <c r="A71" s="235" t="s">
        <v>406</v>
      </c>
      <c r="B71" s="193" t="s">
        <v>180</v>
      </c>
      <c r="C71" s="222" t="s">
        <v>724</v>
      </c>
      <c r="D71" s="222" t="s">
        <v>724</v>
      </c>
      <c r="E71" s="221">
        <v>30</v>
      </c>
      <c r="F71" s="225" t="s">
        <v>725</v>
      </c>
      <c r="G71" s="207"/>
      <c r="H71" s="207"/>
      <c r="I71" s="207"/>
      <c r="J71" s="207"/>
      <c r="K71" s="207"/>
      <c r="L71" s="207"/>
      <c r="M71" s="207"/>
      <c r="N71" s="207"/>
      <c r="O71" s="207"/>
    </row>
    <row r="72" spans="1:15">
      <c r="A72" s="207" t="s">
        <v>424</v>
      </c>
      <c r="B72" s="207" t="s">
        <v>180</v>
      </c>
      <c r="C72" s="223" t="s">
        <v>727</v>
      </c>
      <c r="D72" s="223" t="s">
        <v>727</v>
      </c>
      <c r="E72" s="221">
        <v>120</v>
      </c>
      <c r="F72" s="193" t="s">
        <v>493</v>
      </c>
      <c r="G72" s="207"/>
      <c r="H72" s="207"/>
      <c r="I72" s="207"/>
      <c r="J72" s="207"/>
      <c r="K72" s="207"/>
      <c r="L72" s="207"/>
      <c r="M72" s="207"/>
      <c r="N72" s="207"/>
      <c r="O72" s="207"/>
    </row>
    <row r="73" spans="1:15">
      <c r="A73" s="225" t="s">
        <v>620</v>
      </c>
      <c r="B73" s="207" t="s">
        <v>180</v>
      </c>
      <c r="C73" s="224" t="s">
        <v>734</v>
      </c>
      <c r="D73" s="224" t="s">
        <v>739</v>
      </c>
      <c r="E73" s="194">
        <v>30</v>
      </c>
      <c r="F73" s="224" t="s">
        <v>725</v>
      </c>
      <c r="G73" s="193"/>
      <c r="H73" s="193"/>
      <c r="I73" s="193"/>
      <c r="J73" s="193"/>
      <c r="K73" s="193"/>
      <c r="L73" s="193"/>
      <c r="M73" s="193"/>
      <c r="N73" s="193"/>
      <c r="O73" s="193"/>
    </row>
    <row r="74" spans="1:15">
      <c r="A74" s="228" t="s">
        <v>406</v>
      </c>
      <c r="B74" s="207" t="s">
        <v>180</v>
      </c>
      <c r="C74" s="224" t="s">
        <v>737</v>
      </c>
      <c r="D74" s="224" t="s">
        <v>740</v>
      </c>
      <c r="E74" s="194">
        <v>30</v>
      </c>
      <c r="F74" s="227" t="s">
        <v>725</v>
      </c>
      <c r="G74" s="193"/>
      <c r="H74" s="193"/>
      <c r="I74" s="193"/>
      <c r="J74" s="193"/>
      <c r="K74" s="193"/>
      <c r="L74" s="193"/>
      <c r="M74" s="193"/>
      <c r="N74" s="193"/>
      <c r="O74" s="193"/>
    </row>
    <row r="75" spans="1:15">
      <c r="A75" s="237" t="s">
        <v>424</v>
      </c>
      <c r="B75" s="207" t="s">
        <v>180</v>
      </c>
      <c r="C75" s="226" t="s">
        <v>739</v>
      </c>
      <c r="D75" s="226" t="s">
        <v>739</v>
      </c>
      <c r="E75" s="221">
        <v>30</v>
      </c>
      <c r="F75" s="207" t="s">
        <v>493</v>
      </c>
      <c r="G75" s="207"/>
      <c r="H75" s="207"/>
      <c r="I75" s="207"/>
      <c r="J75" s="207"/>
      <c r="K75" s="207"/>
      <c r="L75" s="207"/>
      <c r="M75" s="207"/>
      <c r="N75" s="207"/>
      <c r="O75" s="207"/>
    </row>
    <row r="76" spans="1:15">
      <c r="A76" s="237" t="s">
        <v>432</v>
      </c>
      <c r="B76" s="207" t="s">
        <v>180</v>
      </c>
      <c r="C76" s="226" t="s">
        <v>739</v>
      </c>
      <c r="D76" s="226" t="s">
        <v>739</v>
      </c>
      <c r="E76" s="221">
        <v>30</v>
      </c>
      <c r="F76" s="227" t="s">
        <v>725</v>
      </c>
      <c r="G76" s="207"/>
      <c r="H76" s="207"/>
      <c r="I76" s="207"/>
      <c r="J76" s="207"/>
      <c r="K76" s="207"/>
      <c r="L76" s="207"/>
      <c r="M76" s="207"/>
      <c r="N76" s="207"/>
      <c r="O76" s="207"/>
    </row>
    <row r="77" spans="1:15">
      <c r="A77" s="193" t="s">
        <v>671</v>
      </c>
      <c r="B77" s="207" t="s">
        <v>180</v>
      </c>
      <c r="C77" s="226" t="s">
        <v>739</v>
      </c>
      <c r="D77" s="226" t="s">
        <v>739</v>
      </c>
      <c r="E77" s="221">
        <v>30</v>
      </c>
      <c r="F77" s="229" t="s">
        <v>592</v>
      </c>
      <c r="G77" s="193"/>
      <c r="H77" s="193"/>
      <c r="I77" s="193"/>
      <c r="J77" s="193"/>
      <c r="K77" s="193"/>
      <c r="L77" s="193"/>
      <c r="M77" s="193"/>
      <c r="N77" s="193"/>
      <c r="O77" s="193"/>
    </row>
    <row r="78" spans="1:15">
      <c r="A78" s="193" t="s">
        <v>715</v>
      </c>
      <c r="B78" s="207" t="s">
        <v>180</v>
      </c>
      <c r="C78" s="226" t="s">
        <v>739</v>
      </c>
      <c r="D78" s="226" t="s">
        <v>739</v>
      </c>
      <c r="E78" s="221">
        <v>30</v>
      </c>
      <c r="F78" s="229" t="s">
        <v>592</v>
      </c>
      <c r="G78" s="193"/>
      <c r="H78" s="193"/>
      <c r="I78" s="193"/>
      <c r="J78" s="193"/>
      <c r="K78" s="193"/>
      <c r="L78" s="193"/>
      <c r="M78" s="193"/>
      <c r="N78" s="193"/>
      <c r="O78" s="193"/>
    </row>
    <row r="79" spans="1:15">
      <c r="A79" s="193" t="s">
        <v>470</v>
      </c>
      <c r="B79" s="207" t="s">
        <v>180</v>
      </c>
      <c r="C79" s="226" t="s">
        <v>739</v>
      </c>
      <c r="D79" s="226" t="s">
        <v>739</v>
      </c>
      <c r="E79" s="221">
        <v>30</v>
      </c>
      <c r="F79" s="229" t="s">
        <v>592</v>
      </c>
      <c r="G79" s="193"/>
      <c r="H79" s="193"/>
      <c r="I79" s="193"/>
      <c r="J79" s="193"/>
      <c r="K79" s="193"/>
      <c r="L79" s="193"/>
      <c r="M79" s="193"/>
      <c r="N79" s="193"/>
      <c r="O79" s="193"/>
    </row>
    <row r="80" spans="1:15">
      <c r="A80" s="193" t="s">
        <v>471</v>
      </c>
      <c r="B80" s="207" t="s">
        <v>180</v>
      </c>
      <c r="C80" s="226" t="s">
        <v>739</v>
      </c>
      <c r="D80" s="226" t="s">
        <v>739</v>
      </c>
      <c r="E80" s="221">
        <v>30</v>
      </c>
      <c r="F80" s="229" t="s">
        <v>592</v>
      </c>
      <c r="G80" s="193"/>
      <c r="H80" s="193"/>
      <c r="I80" s="193"/>
      <c r="J80" s="193"/>
      <c r="K80" s="193"/>
      <c r="L80" s="193"/>
      <c r="M80" s="193"/>
      <c r="N80" s="193"/>
      <c r="O80" s="193"/>
    </row>
    <row r="81" spans="1:15">
      <c r="A81" s="193" t="s">
        <v>748</v>
      </c>
      <c r="B81" s="207" t="s">
        <v>180</v>
      </c>
      <c r="C81" s="226" t="s">
        <v>739</v>
      </c>
      <c r="D81" s="226" t="s">
        <v>739</v>
      </c>
      <c r="E81" s="221">
        <v>30</v>
      </c>
      <c r="F81" s="229" t="s">
        <v>592</v>
      </c>
      <c r="G81" s="193"/>
      <c r="H81" s="193"/>
      <c r="I81" s="193"/>
      <c r="J81" s="193"/>
      <c r="K81" s="193"/>
      <c r="L81" s="193"/>
      <c r="M81" s="193"/>
      <c r="N81" s="193"/>
      <c r="O81" s="193"/>
    </row>
    <row r="82" spans="1:15">
      <c r="A82" s="207" t="s">
        <v>469</v>
      </c>
      <c r="B82" s="207" t="s">
        <v>180</v>
      </c>
      <c r="C82" s="226" t="s">
        <v>739</v>
      </c>
      <c r="D82" s="226" t="s">
        <v>739</v>
      </c>
      <c r="E82" s="221">
        <v>30</v>
      </c>
      <c r="F82" s="229" t="s">
        <v>592</v>
      </c>
      <c r="G82" s="207"/>
      <c r="H82" s="207"/>
      <c r="I82" s="207"/>
      <c r="J82" s="207"/>
      <c r="K82" s="207"/>
      <c r="L82" s="207"/>
      <c r="M82" s="207"/>
      <c r="N82" s="207"/>
      <c r="O82" s="207"/>
    </row>
    <row r="83" spans="1:15">
      <c r="A83" s="193" t="s">
        <v>781</v>
      </c>
      <c r="B83" s="207" t="s">
        <v>180</v>
      </c>
      <c r="C83" s="226" t="s">
        <v>739</v>
      </c>
      <c r="D83" s="226" t="s">
        <v>739</v>
      </c>
      <c r="E83" s="221">
        <v>30</v>
      </c>
      <c r="F83" s="229" t="s">
        <v>592</v>
      </c>
      <c r="G83" s="193"/>
      <c r="H83" s="193"/>
      <c r="I83" s="193"/>
      <c r="J83" s="193"/>
      <c r="K83" s="193"/>
      <c r="L83" s="193"/>
      <c r="M83" s="193"/>
      <c r="N83" s="193"/>
      <c r="O83" s="193"/>
    </row>
    <row r="84" spans="1:15">
      <c r="A84" s="193" t="s">
        <v>782</v>
      </c>
      <c r="B84" s="207" t="s">
        <v>180</v>
      </c>
      <c r="C84" s="226" t="s">
        <v>739</v>
      </c>
      <c r="D84" s="226" t="s">
        <v>739</v>
      </c>
      <c r="E84" s="221">
        <v>30</v>
      </c>
      <c r="F84" s="229" t="s">
        <v>592</v>
      </c>
      <c r="G84" s="193"/>
      <c r="H84" s="193"/>
      <c r="I84" s="193"/>
      <c r="J84" s="193"/>
      <c r="K84" s="193"/>
      <c r="L84" s="193"/>
      <c r="M84" s="193"/>
      <c r="N84" s="193"/>
      <c r="O84" s="193"/>
    </row>
    <row r="85" spans="1:15">
      <c r="A85" s="193" t="s">
        <v>783</v>
      </c>
      <c r="B85" s="207" t="s">
        <v>180</v>
      </c>
      <c r="C85" s="226" t="s">
        <v>739</v>
      </c>
      <c r="D85" s="226" t="s">
        <v>739</v>
      </c>
      <c r="E85" s="221">
        <v>30</v>
      </c>
      <c r="F85" s="229" t="s">
        <v>592</v>
      </c>
      <c r="G85" s="193"/>
      <c r="H85" s="193"/>
      <c r="I85" s="193"/>
      <c r="J85" s="193"/>
      <c r="K85" s="193"/>
      <c r="L85" s="193"/>
      <c r="M85" s="193"/>
      <c r="N85" s="193"/>
      <c r="O85" s="193"/>
    </row>
    <row r="86" spans="1:15">
      <c r="A86" s="193" t="s">
        <v>784</v>
      </c>
      <c r="B86" s="207" t="s">
        <v>180</v>
      </c>
      <c r="C86" s="226" t="s">
        <v>739</v>
      </c>
      <c r="D86" s="226" t="s">
        <v>739</v>
      </c>
      <c r="E86" s="221">
        <v>30</v>
      </c>
      <c r="F86" s="229" t="s">
        <v>592</v>
      </c>
      <c r="G86" s="193"/>
      <c r="H86" s="193"/>
      <c r="I86" s="193"/>
      <c r="J86" s="193"/>
      <c r="K86" s="193"/>
      <c r="L86" s="193"/>
      <c r="M86" s="193"/>
      <c r="N86" s="193"/>
      <c r="O86" s="193"/>
    </row>
    <row r="87" spans="1:15">
      <c r="A87" s="193" t="s">
        <v>785</v>
      </c>
      <c r="B87" s="207" t="s">
        <v>180</v>
      </c>
      <c r="C87" s="226" t="s">
        <v>739</v>
      </c>
      <c r="D87" s="226" t="s">
        <v>739</v>
      </c>
      <c r="E87" s="221">
        <v>30</v>
      </c>
      <c r="F87" s="229" t="s">
        <v>592</v>
      </c>
      <c r="G87" s="193"/>
      <c r="H87" s="193"/>
      <c r="I87" s="193"/>
      <c r="J87" s="193"/>
      <c r="K87" s="193"/>
      <c r="L87" s="193"/>
      <c r="M87" s="193"/>
      <c r="N87" s="193"/>
      <c r="O87" s="193"/>
    </row>
    <row r="88" spans="1:15">
      <c r="A88" s="193" t="s">
        <v>786</v>
      </c>
      <c r="B88" s="207" t="s">
        <v>180</v>
      </c>
      <c r="C88" s="226" t="s">
        <v>739</v>
      </c>
      <c r="D88" s="226" t="s">
        <v>739</v>
      </c>
      <c r="E88" s="221">
        <v>30</v>
      </c>
      <c r="F88" s="229" t="s">
        <v>592</v>
      </c>
      <c r="G88" s="193"/>
      <c r="H88" s="193"/>
      <c r="I88" s="193"/>
      <c r="J88" s="193"/>
      <c r="K88" s="193"/>
      <c r="L88" s="193"/>
      <c r="M88" s="193"/>
      <c r="N88" s="193"/>
      <c r="O88" s="193"/>
    </row>
    <row r="89" spans="1:15">
      <c r="A89" s="193" t="s">
        <v>787</v>
      </c>
      <c r="B89" s="207" t="s">
        <v>180</v>
      </c>
      <c r="C89" s="226" t="s">
        <v>739</v>
      </c>
      <c r="D89" s="226" t="s">
        <v>739</v>
      </c>
      <c r="E89" s="221">
        <v>30</v>
      </c>
      <c r="F89" s="229" t="s">
        <v>592</v>
      </c>
      <c r="G89" s="193"/>
      <c r="H89" s="193"/>
      <c r="I89" s="193"/>
      <c r="J89" s="193"/>
      <c r="K89" s="193"/>
      <c r="L89" s="193"/>
      <c r="M89" s="193"/>
      <c r="N89" s="193"/>
      <c r="O89" s="193"/>
    </row>
    <row r="90" spans="1:15">
      <c r="A90" s="193" t="s">
        <v>788</v>
      </c>
      <c r="B90" s="207" t="s">
        <v>180</v>
      </c>
      <c r="C90" s="226" t="s">
        <v>739</v>
      </c>
      <c r="D90" s="226" t="s">
        <v>739</v>
      </c>
      <c r="E90" s="221">
        <v>30</v>
      </c>
      <c r="F90" s="229" t="s">
        <v>592</v>
      </c>
      <c r="G90" s="193"/>
      <c r="H90" s="193"/>
      <c r="I90" s="193"/>
      <c r="J90" s="193"/>
      <c r="K90" s="193"/>
      <c r="L90" s="193"/>
      <c r="M90" s="193"/>
      <c r="N90" s="193"/>
      <c r="O90" s="193"/>
    </row>
    <row r="91" spans="1:15">
      <c r="A91" s="193" t="s">
        <v>789</v>
      </c>
      <c r="B91" s="207" t="s">
        <v>180</v>
      </c>
      <c r="C91" s="226" t="s">
        <v>739</v>
      </c>
      <c r="D91" s="226" t="s">
        <v>739</v>
      </c>
      <c r="E91" s="221">
        <v>30</v>
      </c>
      <c r="F91" s="229" t="s">
        <v>592</v>
      </c>
      <c r="G91" s="193"/>
      <c r="H91" s="193"/>
      <c r="I91" s="193"/>
      <c r="J91" s="193"/>
      <c r="K91" s="193"/>
      <c r="L91" s="193"/>
      <c r="M91" s="193"/>
      <c r="N91" s="193"/>
      <c r="O91" s="193"/>
    </row>
    <row r="92" spans="1:15">
      <c r="A92" s="193" t="s">
        <v>790</v>
      </c>
      <c r="B92" s="207" t="s">
        <v>180</v>
      </c>
      <c r="C92" s="226" t="s">
        <v>739</v>
      </c>
      <c r="D92" s="226" t="s">
        <v>739</v>
      </c>
      <c r="E92" s="221">
        <v>30</v>
      </c>
      <c r="F92" s="229" t="s">
        <v>592</v>
      </c>
      <c r="G92" s="193"/>
      <c r="H92" s="193"/>
      <c r="I92" s="193"/>
      <c r="J92" s="193"/>
      <c r="K92" s="193"/>
      <c r="L92" s="193"/>
      <c r="M92" s="193"/>
      <c r="N92" s="193"/>
      <c r="O92" s="193"/>
    </row>
    <row r="93" spans="1:15">
      <c r="A93" s="193" t="s">
        <v>791</v>
      </c>
      <c r="B93" s="207" t="s">
        <v>180</v>
      </c>
      <c r="C93" s="226" t="s">
        <v>739</v>
      </c>
      <c r="D93" s="226" t="s">
        <v>739</v>
      </c>
      <c r="E93" s="221">
        <v>30</v>
      </c>
      <c r="F93" s="229" t="s">
        <v>592</v>
      </c>
      <c r="G93" s="193"/>
      <c r="H93" s="193"/>
      <c r="I93" s="193"/>
      <c r="J93" s="193"/>
      <c r="K93" s="193"/>
      <c r="L93" s="193"/>
      <c r="M93" s="193"/>
      <c r="N93" s="193"/>
      <c r="O93" s="193"/>
    </row>
    <row r="94" spans="1:15">
      <c r="A94" s="193" t="s">
        <v>792</v>
      </c>
      <c r="B94" s="207" t="s">
        <v>180</v>
      </c>
      <c r="C94" s="226" t="s">
        <v>739</v>
      </c>
      <c r="D94" s="226" t="s">
        <v>739</v>
      </c>
      <c r="E94" s="221">
        <v>30</v>
      </c>
      <c r="F94" s="229" t="s">
        <v>592</v>
      </c>
      <c r="G94" s="193"/>
      <c r="H94" s="193"/>
      <c r="I94" s="193"/>
      <c r="J94" s="193"/>
      <c r="K94" s="193"/>
      <c r="L94" s="193"/>
      <c r="M94" s="193"/>
      <c r="N94" s="193"/>
      <c r="O94" s="193"/>
    </row>
    <row r="95" spans="1:15">
      <c r="A95" s="193" t="s">
        <v>793</v>
      </c>
      <c r="B95" s="207" t="s">
        <v>180</v>
      </c>
      <c r="C95" s="226" t="s">
        <v>739</v>
      </c>
      <c r="D95" s="226" t="s">
        <v>739</v>
      </c>
      <c r="E95" s="221">
        <v>30</v>
      </c>
      <c r="F95" s="229" t="s">
        <v>592</v>
      </c>
      <c r="G95" s="193"/>
      <c r="H95" s="193"/>
      <c r="I95" s="193"/>
      <c r="J95" s="193"/>
      <c r="K95" s="193"/>
      <c r="L95" s="193"/>
      <c r="M95" s="193"/>
      <c r="N95" s="193"/>
      <c r="O95" s="193"/>
    </row>
    <row r="96" spans="1:15">
      <c r="A96" s="193" t="s">
        <v>794</v>
      </c>
      <c r="B96" s="207" t="s">
        <v>180</v>
      </c>
      <c r="C96" s="226" t="s">
        <v>739</v>
      </c>
      <c r="D96" s="226" t="s">
        <v>739</v>
      </c>
      <c r="E96" s="221">
        <v>30</v>
      </c>
      <c r="F96" s="229" t="s">
        <v>592</v>
      </c>
      <c r="G96" s="193"/>
      <c r="H96" s="193"/>
      <c r="I96" s="193"/>
      <c r="J96" s="193"/>
      <c r="K96" s="193"/>
      <c r="L96" s="193"/>
      <c r="M96" s="193"/>
      <c r="N96" s="193"/>
      <c r="O96" s="193"/>
    </row>
    <row r="97" spans="1:15">
      <c r="A97" s="193" t="s">
        <v>795</v>
      </c>
      <c r="B97" s="207" t="s">
        <v>180</v>
      </c>
      <c r="C97" s="226" t="s">
        <v>739</v>
      </c>
      <c r="D97" s="226" t="s">
        <v>739</v>
      </c>
      <c r="E97" s="221">
        <v>30</v>
      </c>
      <c r="F97" s="229" t="s">
        <v>592</v>
      </c>
      <c r="G97" s="193"/>
      <c r="H97" s="193"/>
      <c r="I97" s="193"/>
      <c r="J97" s="193"/>
      <c r="K97" s="193"/>
      <c r="L97" s="193"/>
      <c r="M97" s="193"/>
      <c r="N97" s="193"/>
      <c r="O97" s="193"/>
    </row>
    <row r="98" spans="1:15">
      <c r="A98" s="193" t="s">
        <v>796</v>
      </c>
      <c r="B98" s="207" t="s">
        <v>180</v>
      </c>
      <c r="C98" s="226" t="s">
        <v>739</v>
      </c>
      <c r="D98" s="226" t="s">
        <v>739</v>
      </c>
      <c r="E98" s="221">
        <v>30</v>
      </c>
      <c r="F98" s="229" t="s">
        <v>592</v>
      </c>
      <c r="G98" s="193"/>
      <c r="H98" s="193"/>
      <c r="I98" s="193"/>
      <c r="J98" s="193"/>
      <c r="K98" s="193"/>
      <c r="L98" s="193"/>
      <c r="M98" s="193"/>
      <c r="N98" s="193"/>
      <c r="O98" s="193"/>
    </row>
    <row r="99" spans="1:15">
      <c r="A99" s="193" t="s">
        <v>797</v>
      </c>
      <c r="B99" s="207" t="s">
        <v>180</v>
      </c>
      <c r="C99" s="226" t="s">
        <v>739</v>
      </c>
      <c r="D99" s="226" t="s">
        <v>739</v>
      </c>
      <c r="E99" s="221">
        <v>30</v>
      </c>
      <c r="F99" s="229" t="s">
        <v>592</v>
      </c>
      <c r="G99" s="193"/>
      <c r="H99" s="193"/>
      <c r="I99" s="193"/>
      <c r="J99" s="193"/>
      <c r="K99" s="193"/>
      <c r="L99" s="193"/>
      <c r="M99" s="193"/>
      <c r="N99" s="193"/>
      <c r="O99" s="193"/>
    </row>
    <row r="100" spans="1:15">
      <c r="A100" s="193" t="s">
        <v>798</v>
      </c>
      <c r="B100" s="207" t="s">
        <v>180</v>
      </c>
      <c r="C100" s="226" t="s">
        <v>739</v>
      </c>
      <c r="D100" s="226" t="s">
        <v>739</v>
      </c>
      <c r="E100" s="221">
        <v>30</v>
      </c>
      <c r="F100" s="229" t="s">
        <v>592</v>
      </c>
      <c r="G100" s="193"/>
      <c r="H100" s="193"/>
      <c r="I100" s="193"/>
      <c r="J100" s="193"/>
      <c r="K100" s="193"/>
      <c r="L100" s="193"/>
      <c r="M100" s="193"/>
      <c r="N100" s="193"/>
      <c r="O100" s="193"/>
    </row>
    <row r="101" spans="1:15">
      <c r="A101" s="193" t="s">
        <v>799</v>
      </c>
      <c r="B101" s="207" t="s">
        <v>180</v>
      </c>
      <c r="C101" s="226" t="s">
        <v>739</v>
      </c>
      <c r="D101" s="226" t="s">
        <v>739</v>
      </c>
      <c r="E101" s="221">
        <v>30</v>
      </c>
      <c r="F101" s="229" t="s">
        <v>592</v>
      </c>
      <c r="G101" s="193"/>
      <c r="H101" s="193"/>
      <c r="I101" s="193"/>
      <c r="J101" s="193"/>
      <c r="K101" s="193"/>
      <c r="L101" s="193"/>
      <c r="M101" s="193"/>
      <c r="N101" s="193"/>
      <c r="O101" s="193"/>
    </row>
    <row r="102" spans="1:15">
      <c r="A102" s="193" t="s">
        <v>800</v>
      </c>
      <c r="B102" s="207" t="s">
        <v>180</v>
      </c>
      <c r="C102" s="226" t="s">
        <v>739</v>
      </c>
      <c r="D102" s="226" t="s">
        <v>739</v>
      </c>
      <c r="E102" s="221">
        <v>30</v>
      </c>
      <c r="F102" s="229" t="s">
        <v>592</v>
      </c>
      <c r="G102" s="193"/>
      <c r="H102" s="193"/>
      <c r="I102" s="193"/>
      <c r="J102" s="193"/>
      <c r="K102" s="193"/>
      <c r="L102" s="193"/>
      <c r="M102" s="193"/>
      <c r="N102" s="193"/>
      <c r="O102" s="193"/>
    </row>
    <row r="103" spans="1:15">
      <c r="A103" s="193" t="s">
        <v>801</v>
      </c>
      <c r="B103" s="207" t="s">
        <v>180</v>
      </c>
      <c r="C103" s="226" t="s">
        <v>739</v>
      </c>
      <c r="D103" s="226" t="s">
        <v>739</v>
      </c>
      <c r="E103" s="221">
        <v>30</v>
      </c>
      <c r="F103" s="229" t="s">
        <v>592</v>
      </c>
      <c r="G103" s="193"/>
      <c r="H103" s="193"/>
      <c r="I103" s="193"/>
      <c r="J103" s="193"/>
      <c r="K103" s="193"/>
      <c r="L103" s="193"/>
      <c r="M103" s="193"/>
      <c r="N103" s="193"/>
      <c r="O103" s="193"/>
    </row>
    <row r="104" spans="1:15">
      <c r="A104" s="193" t="s">
        <v>802</v>
      </c>
      <c r="B104" s="207" t="s">
        <v>180</v>
      </c>
      <c r="C104" s="226" t="s">
        <v>739</v>
      </c>
      <c r="D104" s="226" t="s">
        <v>739</v>
      </c>
      <c r="E104" s="221">
        <v>30</v>
      </c>
      <c r="F104" s="229" t="s">
        <v>592</v>
      </c>
      <c r="G104" s="193"/>
      <c r="H104" s="193"/>
      <c r="I104" s="193"/>
      <c r="J104" s="193"/>
      <c r="K104" s="193"/>
      <c r="L104" s="193"/>
      <c r="M104" s="193"/>
      <c r="N104" s="193"/>
      <c r="O104" s="193"/>
    </row>
    <row r="105" spans="1:15">
      <c r="A105" s="193" t="s">
        <v>803</v>
      </c>
      <c r="B105" s="207" t="s">
        <v>180</v>
      </c>
      <c r="C105" s="226" t="s">
        <v>739</v>
      </c>
      <c r="D105" s="226" t="s">
        <v>739</v>
      </c>
      <c r="E105" s="221">
        <v>30</v>
      </c>
      <c r="F105" s="229" t="s">
        <v>592</v>
      </c>
      <c r="G105" s="193"/>
      <c r="H105" s="193"/>
      <c r="I105" s="193"/>
      <c r="J105" s="193"/>
      <c r="K105" s="193"/>
      <c r="L105" s="193"/>
      <c r="M105" s="193"/>
      <c r="N105" s="193"/>
      <c r="O105" s="193"/>
    </row>
    <row r="106" spans="1:15">
      <c r="A106" s="207" t="s">
        <v>804</v>
      </c>
      <c r="B106" s="207" t="s">
        <v>180</v>
      </c>
      <c r="C106" s="226" t="s">
        <v>739</v>
      </c>
      <c r="D106" s="226" t="s">
        <v>739</v>
      </c>
      <c r="E106" s="221">
        <v>30</v>
      </c>
      <c r="F106" s="229" t="s">
        <v>592</v>
      </c>
      <c r="G106" s="207"/>
      <c r="H106" s="207"/>
      <c r="I106" s="207"/>
      <c r="J106" s="207"/>
      <c r="K106" s="207"/>
      <c r="L106" s="207"/>
      <c r="M106" s="207"/>
      <c r="N106" s="207"/>
      <c r="O106" s="207"/>
    </row>
    <row r="107" spans="1:15">
      <c r="A107" s="193" t="s">
        <v>671</v>
      </c>
      <c r="B107" s="207" t="s">
        <v>180</v>
      </c>
      <c r="C107" s="233" t="s">
        <v>809</v>
      </c>
      <c r="D107" s="233" t="s">
        <v>809</v>
      </c>
      <c r="E107" s="194">
        <v>15</v>
      </c>
      <c r="F107" s="229" t="s">
        <v>592</v>
      </c>
      <c r="G107" s="193"/>
      <c r="H107" s="193"/>
      <c r="I107" s="193"/>
      <c r="J107" s="193"/>
      <c r="K107" s="193"/>
      <c r="L107" s="193"/>
      <c r="M107" s="193"/>
      <c r="N107" s="193"/>
      <c r="O107" s="193"/>
    </row>
    <row r="108" spans="1:15">
      <c r="A108" s="193" t="s">
        <v>715</v>
      </c>
      <c r="B108" s="207" t="s">
        <v>180</v>
      </c>
      <c r="C108" s="233" t="s">
        <v>809</v>
      </c>
      <c r="D108" s="233" t="s">
        <v>809</v>
      </c>
      <c r="E108" s="194">
        <v>15</v>
      </c>
      <c r="F108" s="229" t="s">
        <v>592</v>
      </c>
      <c r="G108" s="193"/>
      <c r="H108" s="193"/>
      <c r="I108" s="193"/>
      <c r="J108" s="193"/>
      <c r="K108" s="193"/>
      <c r="L108" s="193"/>
      <c r="M108" s="193"/>
      <c r="N108" s="193"/>
      <c r="O108" s="193"/>
    </row>
    <row r="109" spans="1:15">
      <c r="A109" s="193" t="s">
        <v>470</v>
      </c>
      <c r="B109" s="207" t="s">
        <v>180</v>
      </c>
      <c r="C109" s="233" t="s">
        <v>809</v>
      </c>
      <c r="D109" s="233" t="s">
        <v>809</v>
      </c>
      <c r="E109" s="194">
        <v>15</v>
      </c>
      <c r="F109" s="229" t="s">
        <v>592</v>
      </c>
      <c r="G109" s="193"/>
      <c r="H109" s="193"/>
      <c r="I109" s="193"/>
      <c r="J109" s="193"/>
      <c r="K109" s="193"/>
      <c r="L109" s="193"/>
      <c r="M109" s="193"/>
      <c r="N109" s="193"/>
      <c r="O109" s="193"/>
    </row>
    <row r="110" spans="1:15">
      <c r="A110" s="193" t="s">
        <v>471</v>
      </c>
      <c r="B110" s="207" t="s">
        <v>180</v>
      </c>
      <c r="C110" s="233" t="s">
        <v>809</v>
      </c>
      <c r="D110" s="233" t="s">
        <v>809</v>
      </c>
      <c r="E110" s="194">
        <v>15</v>
      </c>
      <c r="F110" s="229" t="s">
        <v>592</v>
      </c>
      <c r="G110" s="193"/>
      <c r="H110" s="193"/>
      <c r="I110" s="193"/>
      <c r="J110" s="193"/>
      <c r="K110" s="193"/>
      <c r="L110" s="193"/>
      <c r="M110" s="193"/>
      <c r="N110" s="193"/>
      <c r="O110" s="193"/>
    </row>
    <row r="111" spans="1:15">
      <c r="A111" s="193" t="s">
        <v>748</v>
      </c>
      <c r="B111" s="207" t="s">
        <v>180</v>
      </c>
      <c r="C111" s="233" t="s">
        <v>809</v>
      </c>
      <c r="D111" s="233" t="s">
        <v>809</v>
      </c>
      <c r="E111" s="194">
        <v>15</v>
      </c>
      <c r="F111" s="229" t="s">
        <v>592</v>
      </c>
      <c r="G111" s="193"/>
      <c r="H111" s="193"/>
      <c r="I111" s="193"/>
      <c r="J111" s="193"/>
      <c r="K111" s="193"/>
      <c r="L111" s="193"/>
      <c r="M111" s="193"/>
      <c r="N111" s="193"/>
      <c r="O111" s="193"/>
    </row>
    <row r="112" spans="1:15">
      <c r="A112" s="193" t="s">
        <v>469</v>
      </c>
      <c r="B112" s="207" t="s">
        <v>180</v>
      </c>
      <c r="C112" s="233" t="s">
        <v>809</v>
      </c>
      <c r="D112" s="233" t="s">
        <v>809</v>
      </c>
      <c r="E112" s="194">
        <v>15</v>
      </c>
      <c r="F112" s="229" t="s">
        <v>592</v>
      </c>
      <c r="G112" s="193"/>
      <c r="H112" s="193"/>
      <c r="I112" s="193"/>
      <c r="J112" s="193"/>
      <c r="K112" s="193"/>
      <c r="L112" s="193"/>
      <c r="M112" s="193"/>
      <c r="N112" s="193"/>
      <c r="O112" s="193"/>
    </row>
    <row r="113" spans="1:15">
      <c r="A113" s="207" t="s">
        <v>808</v>
      </c>
      <c r="B113" s="207" t="s">
        <v>180</v>
      </c>
      <c r="C113" s="233" t="s">
        <v>809</v>
      </c>
      <c r="D113" s="233" t="s">
        <v>809</v>
      </c>
      <c r="E113" s="194">
        <v>15</v>
      </c>
      <c r="F113" s="229" t="s">
        <v>592</v>
      </c>
      <c r="G113" s="207"/>
      <c r="H113" s="207"/>
      <c r="I113" s="207"/>
      <c r="J113" s="207"/>
      <c r="K113" s="207"/>
      <c r="L113" s="207"/>
      <c r="M113" s="207"/>
      <c r="N113" s="207"/>
      <c r="O113" s="207"/>
    </row>
    <row r="114" spans="1:15">
      <c r="A114" s="207" t="s">
        <v>424</v>
      </c>
      <c r="B114" s="207" t="s">
        <v>180</v>
      </c>
      <c r="C114" s="234" t="s">
        <v>817</v>
      </c>
      <c r="D114" s="234" t="s">
        <v>817</v>
      </c>
      <c r="E114" s="221">
        <v>30</v>
      </c>
      <c r="F114" s="234" t="s">
        <v>660</v>
      </c>
      <c r="G114" s="193"/>
      <c r="H114" s="193"/>
      <c r="I114" s="193"/>
      <c r="J114" s="193"/>
      <c r="K114" s="193"/>
      <c r="L114" s="193"/>
      <c r="M114" s="193"/>
      <c r="N114" s="193"/>
      <c r="O114" s="193"/>
    </row>
    <row r="115" spans="1:15">
      <c r="A115" s="193" t="s">
        <v>437</v>
      </c>
      <c r="B115" s="207" t="s">
        <v>180</v>
      </c>
      <c r="C115" s="234" t="s">
        <v>817</v>
      </c>
      <c r="D115" s="234" t="s">
        <v>817</v>
      </c>
      <c r="E115" s="221">
        <v>30</v>
      </c>
      <c r="F115" s="234" t="s">
        <v>660</v>
      </c>
      <c r="G115" s="193"/>
      <c r="H115" s="193"/>
      <c r="I115" s="193"/>
      <c r="J115" s="193"/>
      <c r="K115" s="193"/>
      <c r="L115" s="193"/>
      <c r="M115" s="193"/>
      <c r="N115" s="193"/>
      <c r="O115" s="193"/>
    </row>
    <row r="116" spans="1:15">
      <c r="A116" s="238" t="s">
        <v>406</v>
      </c>
      <c r="B116" s="238" t="s">
        <v>180</v>
      </c>
      <c r="C116" s="238" t="s">
        <v>822</v>
      </c>
      <c r="D116" s="238" t="s">
        <v>822</v>
      </c>
      <c r="E116" s="194">
        <v>30</v>
      </c>
      <c r="F116" s="251" t="s">
        <v>725</v>
      </c>
      <c r="G116" s="193"/>
      <c r="H116" s="193"/>
      <c r="I116" s="193"/>
      <c r="J116" s="193"/>
      <c r="K116" s="193"/>
      <c r="L116" s="193"/>
      <c r="M116" s="193"/>
      <c r="N116" s="193"/>
      <c r="O116" s="193"/>
    </row>
    <row r="117" spans="1:15">
      <c r="A117" s="238" t="s">
        <v>469</v>
      </c>
      <c r="B117" s="238" t="s">
        <v>180</v>
      </c>
      <c r="C117" s="238" t="s">
        <v>823</v>
      </c>
      <c r="D117" s="238" t="s">
        <v>823</v>
      </c>
      <c r="E117" s="194">
        <v>30</v>
      </c>
      <c r="F117" s="238" t="s">
        <v>824</v>
      </c>
      <c r="G117" s="193"/>
      <c r="H117" s="193"/>
      <c r="I117" s="193"/>
      <c r="J117" s="193"/>
      <c r="K117" s="193"/>
      <c r="L117" s="193"/>
      <c r="M117" s="193"/>
      <c r="N117" s="193"/>
      <c r="O117" s="193"/>
    </row>
    <row r="118" spans="1:15">
      <c r="A118" s="238" t="s">
        <v>432</v>
      </c>
      <c r="B118" s="238" t="s">
        <v>180</v>
      </c>
      <c r="C118" s="238" t="s">
        <v>827</v>
      </c>
      <c r="D118" s="238" t="s">
        <v>827</v>
      </c>
      <c r="E118" s="194">
        <v>30</v>
      </c>
      <c r="F118" s="238" t="s">
        <v>725</v>
      </c>
      <c r="G118" s="193"/>
      <c r="H118" s="193"/>
      <c r="I118" s="193"/>
      <c r="J118" s="193"/>
      <c r="K118" s="193"/>
      <c r="L118" s="193"/>
      <c r="M118" s="193"/>
      <c r="N118" s="193"/>
      <c r="O118" s="193"/>
    </row>
    <row r="119" spans="1:15">
      <c r="A119" s="238" t="s">
        <v>424</v>
      </c>
      <c r="B119" s="238" t="s">
        <v>180</v>
      </c>
      <c r="C119" s="238" t="s">
        <v>827</v>
      </c>
      <c r="D119" s="238" t="s">
        <v>827</v>
      </c>
      <c r="E119" s="194">
        <v>30</v>
      </c>
      <c r="F119" s="238" t="s">
        <v>725</v>
      </c>
      <c r="G119" s="193"/>
      <c r="H119" s="193"/>
      <c r="I119" s="193"/>
      <c r="J119" s="193"/>
      <c r="K119" s="193"/>
      <c r="L119" s="193"/>
      <c r="M119" s="193"/>
      <c r="N119" s="193"/>
      <c r="O119" s="193"/>
    </row>
    <row r="120" spans="1:15">
      <c r="A120" s="238" t="s">
        <v>415</v>
      </c>
      <c r="B120" s="238" t="s">
        <v>180</v>
      </c>
      <c r="C120" s="238" t="s">
        <v>827</v>
      </c>
      <c r="D120" s="238" t="s">
        <v>827</v>
      </c>
      <c r="E120" s="194">
        <v>30</v>
      </c>
      <c r="F120" s="238" t="s">
        <v>725</v>
      </c>
      <c r="G120" s="193"/>
      <c r="H120" s="193"/>
      <c r="I120" s="193"/>
      <c r="J120" s="193"/>
      <c r="K120" s="193"/>
      <c r="L120" s="193"/>
      <c r="M120" s="193"/>
      <c r="N120" s="193"/>
      <c r="O120" s="193"/>
    </row>
    <row r="121" spans="1:15">
      <c r="A121" s="193" t="s">
        <v>424</v>
      </c>
      <c r="B121" s="193" t="s">
        <v>180</v>
      </c>
      <c r="C121" s="239" t="s">
        <v>835</v>
      </c>
      <c r="D121" s="239" t="s">
        <v>835</v>
      </c>
      <c r="E121" s="194">
        <v>30</v>
      </c>
      <c r="F121" s="238" t="s">
        <v>660</v>
      </c>
      <c r="G121" s="193"/>
      <c r="H121" s="193"/>
      <c r="I121" s="193"/>
      <c r="J121" s="193"/>
      <c r="K121" s="193"/>
      <c r="L121" s="193"/>
      <c r="M121" s="193"/>
      <c r="N121" s="193"/>
      <c r="O121" s="193"/>
    </row>
    <row r="122" spans="1:15">
      <c r="A122" s="238" t="s">
        <v>432</v>
      </c>
      <c r="B122" s="238" t="s">
        <v>180</v>
      </c>
      <c r="C122" s="240" t="s">
        <v>835</v>
      </c>
      <c r="D122" s="240" t="s">
        <v>835</v>
      </c>
      <c r="E122" s="194">
        <v>30</v>
      </c>
      <c r="F122" s="238" t="s">
        <v>660</v>
      </c>
      <c r="G122" s="193"/>
      <c r="H122" s="193"/>
      <c r="I122" s="193"/>
      <c r="J122" s="193"/>
      <c r="K122" s="193"/>
      <c r="L122" s="193"/>
      <c r="M122" s="193"/>
      <c r="N122" s="193"/>
      <c r="O122" s="193"/>
    </row>
    <row r="123" spans="1:15">
      <c r="A123" s="243" t="s">
        <v>469</v>
      </c>
      <c r="B123" s="240" t="s">
        <v>180</v>
      </c>
      <c r="C123" s="240" t="s">
        <v>841</v>
      </c>
      <c r="D123" s="240" t="s">
        <v>841</v>
      </c>
      <c r="E123" s="194">
        <v>30</v>
      </c>
      <c r="F123" s="240" t="s">
        <v>824</v>
      </c>
      <c r="G123" s="193"/>
      <c r="H123" s="193"/>
      <c r="I123" s="193"/>
      <c r="J123" s="193"/>
      <c r="K123" s="193"/>
      <c r="L123" s="193"/>
      <c r="M123" s="193"/>
      <c r="N123" s="193"/>
      <c r="O123" s="193"/>
    </row>
    <row r="124" spans="1:15">
      <c r="A124" s="238" t="s">
        <v>406</v>
      </c>
      <c r="B124" s="238" t="s">
        <v>180</v>
      </c>
      <c r="C124" s="240" t="s">
        <v>841</v>
      </c>
      <c r="D124" s="240" t="s">
        <v>841</v>
      </c>
      <c r="E124" s="194">
        <v>30</v>
      </c>
      <c r="F124" s="242" t="s">
        <v>660</v>
      </c>
      <c r="G124" s="193"/>
      <c r="H124" s="193"/>
      <c r="I124" s="193"/>
      <c r="J124" s="193"/>
      <c r="K124" s="193"/>
      <c r="L124" s="193"/>
      <c r="M124" s="193"/>
      <c r="N124" s="193"/>
      <c r="O124" s="193"/>
    </row>
    <row r="125" spans="1:15">
      <c r="A125" s="243" t="s">
        <v>469</v>
      </c>
      <c r="B125" s="240" t="s">
        <v>180</v>
      </c>
      <c r="C125" s="243" t="s">
        <v>850</v>
      </c>
      <c r="D125" s="243" t="s">
        <v>850</v>
      </c>
      <c r="E125" s="194">
        <v>30</v>
      </c>
      <c r="F125" s="243" t="s">
        <v>824</v>
      </c>
      <c r="G125" s="193"/>
      <c r="H125" s="193"/>
      <c r="I125" s="193"/>
      <c r="J125" s="193"/>
      <c r="K125" s="193"/>
      <c r="L125" s="193"/>
      <c r="M125" s="193"/>
      <c r="N125" s="193"/>
      <c r="O125" s="193"/>
    </row>
    <row r="126" spans="1:15">
      <c r="A126" s="249" t="s">
        <v>440</v>
      </c>
      <c r="B126" s="240" t="s">
        <v>180</v>
      </c>
      <c r="C126" s="248" t="s">
        <v>873</v>
      </c>
      <c r="D126" s="248" t="s">
        <v>873</v>
      </c>
      <c r="E126" s="194">
        <v>30</v>
      </c>
      <c r="F126" s="238" t="s">
        <v>660</v>
      </c>
      <c r="G126" s="193"/>
      <c r="H126" s="193"/>
      <c r="I126" s="193"/>
      <c r="J126" s="193"/>
      <c r="K126" s="193"/>
      <c r="L126" s="193"/>
      <c r="M126" s="193"/>
      <c r="N126" s="193"/>
      <c r="O126" s="193"/>
    </row>
    <row r="127" spans="1:15">
      <c r="A127" s="249" t="s">
        <v>866</v>
      </c>
      <c r="B127" s="240" t="s">
        <v>180</v>
      </c>
      <c r="C127" s="248" t="s">
        <v>873</v>
      </c>
      <c r="D127" s="248" t="s">
        <v>873</v>
      </c>
      <c r="E127" s="194">
        <v>30</v>
      </c>
      <c r="F127" s="238" t="s">
        <v>660</v>
      </c>
      <c r="G127" s="193"/>
      <c r="H127" s="193"/>
      <c r="I127" s="193"/>
      <c r="J127" s="193"/>
      <c r="K127" s="193"/>
      <c r="L127" s="193"/>
      <c r="M127" s="193"/>
      <c r="N127" s="193"/>
      <c r="O127" s="193"/>
    </row>
    <row r="128" spans="1:15">
      <c r="A128" s="249" t="s">
        <v>424</v>
      </c>
      <c r="B128" s="240" t="s">
        <v>180</v>
      </c>
      <c r="C128" s="248" t="s">
        <v>873</v>
      </c>
      <c r="D128" s="248" t="s">
        <v>873</v>
      </c>
      <c r="E128" s="194">
        <v>30</v>
      </c>
      <c r="F128" s="238" t="s">
        <v>660</v>
      </c>
      <c r="G128" s="193"/>
      <c r="H128" s="193"/>
      <c r="I128" s="193"/>
      <c r="J128" s="193"/>
      <c r="K128" s="193"/>
      <c r="L128" s="193"/>
      <c r="M128" s="193"/>
      <c r="N128" s="193"/>
      <c r="O128" s="193"/>
    </row>
    <row r="129" spans="1:15">
      <c r="A129" s="249" t="s">
        <v>437</v>
      </c>
      <c r="B129" s="240" t="s">
        <v>180</v>
      </c>
      <c r="C129" s="248" t="s">
        <v>873</v>
      </c>
      <c r="D129" s="248" t="s">
        <v>873</v>
      </c>
      <c r="E129" s="194">
        <v>30</v>
      </c>
      <c r="F129" s="238" t="s">
        <v>660</v>
      </c>
      <c r="G129" s="193"/>
      <c r="H129" s="193"/>
      <c r="I129" s="193"/>
      <c r="J129" s="193"/>
      <c r="K129" s="193"/>
      <c r="L129" s="193"/>
      <c r="M129" s="193"/>
      <c r="N129" s="193"/>
      <c r="O129" s="193"/>
    </row>
    <row r="130" spans="1:15">
      <c r="A130" s="249" t="s">
        <v>611</v>
      </c>
      <c r="B130" s="240" t="s">
        <v>180</v>
      </c>
      <c r="C130" s="248" t="s">
        <v>873</v>
      </c>
      <c r="D130" s="248" t="s">
        <v>873</v>
      </c>
      <c r="E130" s="194">
        <v>30</v>
      </c>
      <c r="F130" s="238" t="s">
        <v>660</v>
      </c>
      <c r="G130" s="193"/>
      <c r="H130" s="193"/>
      <c r="I130" s="193"/>
      <c r="J130" s="193"/>
      <c r="K130" s="193"/>
      <c r="L130" s="193"/>
      <c r="M130" s="193"/>
      <c r="N130" s="193"/>
      <c r="O130" s="193"/>
    </row>
    <row r="131" spans="1:15">
      <c r="A131" s="249" t="s">
        <v>624</v>
      </c>
      <c r="B131" s="240" t="s">
        <v>180</v>
      </c>
      <c r="C131" s="248" t="s">
        <v>873</v>
      </c>
      <c r="D131" s="248" t="s">
        <v>873</v>
      </c>
      <c r="E131" s="194">
        <v>30</v>
      </c>
      <c r="F131" s="238" t="s">
        <v>660</v>
      </c>
      <c r="G131" s="193"/>
      <c r="H131" s="193"/>
      <c r="I131" s="193"/>
      <c r="J131" s="193"/>
      <c r="K131" s="193"/>
      <c r="L131" s="193"/>
      <c r="M131" s="193"/>
      <c r="N131" s="193"/>
      <c r="O131" s="193"/>
    </row>
    <row r="132" spans="1:15">
      <c r="A132" s="249" t="s">
        <v>432</v>
      </c>
      <c r="B132" s="240" t="s">
        <v>180</v>
      </c>
      <c r="C132" s="248" t="s">
        <v>873</v>
      </c>
      <c r="D132" s="248" t="s">
        <v>873</v>
      </c>
      <c r="E132" s="194">
        <v>30</v>
      </c>
      <c r="F132" s="238" t="s">
        <v>660</v>
      </c>
      <c r="G132" s="193"/>
      <c r="H132" s="193"/>
      <c r="I132" s="193"/>
      <c r="J132" s="193"/>
      <c r="K132" s="193"/>
      <c r="L132" s="193"/>
      <c r="M132" s="193"/>
      <c r="N132" s="193"/>
      <c r="O132" s="193"/>
    </row>
    <row r="133" spans="1:15">
      <c r="A133" s="238" t="s">
        <v>406</v>
      </c>
      <c r="B133" s="238" t="s">
        <v>180</v>
      </c>
      <c r="C133" s="250" t="s">
        <v>873</v>
      </c>
      <c r="D133" s="250" t="s">
        <v>873</v>
      </c>
      <c r="E133" s="194">
        <v>30</v>
      </c>
      <c r="F133" s="242" t="s">
        <v>660</v>
      </c>
      <c r="G133" s="193"/>
      <c r="H133" s="193"/>
      <c r="I133" s="193"/>
      <c r="J133" s="193"/>
      <c r="K133" s="193"/>
      <c r="L133" s="193"/>
      <c r="M133" s="193"/>
      <c r="N133" s="193"/>
      <c r="O133" s="193"/>
    </row>
    <row r="134" spans="1:15">
      <c r="A134" s="238" t="s">
        <v>406</v>
      </c>
      <c r="B134" s="238" t="s">
        <v>180</v>
      </c>
      <c r="C134" s="251" t="s">
        <v>886</v>
      </c>
      <c r="D134" s="251" t="s">
        <v>886</v>
      </c>
      <c r="E134" s="194">
        <v>30</v>
      </c>
      <c r="F134" s="242" t="s">
        <v>725</v>
      </c>
    </row>
    <row r="135" spans="1:15">
      <c r="A135" s="238" t="s">
        <v>406</v>
      </c>
      <c r="B135" s="238" t="s">
        <v>180</v>
      </c>
      <c r="C135" s="257" t="s">
        <v>893</v>
      </c>
      <c r="D135" s="257" t="s">
        <v>893</v>
      </c>
      <c r="E135" s="194">
        <v>30</v>
      </c>
      <c r="F135" s="242" t="s">
        <v>725</v>
      </c>
    </row>
    <row r="136" spans="1:15">
      <c r="A136" s="258" t="s">
        <v>469</v>
      </c>
      <c r="B136" s="240" t="s">
        <v>180</v>
      </c>
      <c r="C136" s="258" t="s">
        <v>901</v>
      </c>
      <c r="D136" s="258" t="s">
        <v>901</v>
      </c>
      <c r="E136" s="194">
        <v>30</v>
      </c>
      <c r="F136" s="258" t="s">
        <v>902</v>
      </c>
      <c r="G136" s="193"/>
      <c r="H136" s="193"/>
      <c r="I136" s="193"/>
      <c r="J136" s="193"/>
      <c r="K136" s="193"/>
      <c r="L136" s="193"/>
      <c r="M136" s="193"/>
      <c r="N136" s="193"/>
      <c r="O136" s="193"/>
    </row>
  </sheetData>
  <mergeCells count="2">
    <mergeCell ref="A1:E1"/>
    <mergeCell ref="F1:O1"/>
  </mergeCells>
  <phoneticPr fontId="135" type="noConversion"/>
  <conditionalFormatting sqref="A4:A15 A75">
    <cfRule type="expression" dxfId="157" priority="18" stopIfTrue="1">
      <formula>AND($M4="Approved",OR($L4=$R$1,$L4=$T$1))</formula>
    </cfRule>
  </conditionalFormatting>
  <conditionalFormatting sqref="A17">
    <cfRule type="expression" dxfId="156" priority="16" stopIfTrue="1">
      <formula>AND($M17="Approved",OR($L17=$R$1,$L17=$T$1))</formula>
    </cfRule>
  </conditionalFormatting>
  <conditionalFormatting sqref="A18:A23">
    <cfRule type="expression" dxfId="155" priority="15" stopIfTrue="1">
      <formula>AND($M18="Approved",OR($L18=$R$1,$L18=$T$1))</formula>
    </cfRule>
  </conditionalFormatting>
  <conditionalFormatting sqref="A24">
    <cfRule type="expression" dxfId="154" priority="14" stopIfTrue="1">
      <formula>AND($M24="Approved",OR($L24=$R$1,$L24=$T$1))</formula>
    </cfRule>
  </conditionalFormatting>
  <conditionalFormatting sqref="A26:A32">
    <cfRule type="expression" dxfId="153" priority="13" stopIfTrue="1">
      <formula>AND($M26="Approved",OR($L26=$R$1,$L26=$T$1))</formula>
    </cfRule>
  </conditionalFormatting>
  <conditionalFormatting sqref="A37:A42">
    <cfRule type="expression" dxfId="152" priority="12" stopIfTrue="1">
      <formula>AND($M37="Approved",OR($L37=$R$1,$L37=$T$1))</formula>
    </cfRule>
  </conditionalFormatting>
  <conditionalFormatting sqref="A43">
    <cfRule type="expression" dxfId="151" priority="11" stopIfTrue="1">
      <formula>AND($M43="Approved",OR($L43=$R$1,$L43=$T$1))</formula>
    </cfRule>
  </conditionalFormatting>
  <conditionalFormatting sqref="A47:A50">
    <cfRule type="expression" dxfId="150" priority="10" stopIfTrue="1">
      <formula>AND($M47="Approved",OR($L47=$R$1,$L47=$T$1))</formula>
    </cfRule>
  </conditionalFormatting>
  <conditionalFormatting sqref="A52:A55">
    <cfRule type="expression" dxfId="149" priority="9" stopIfTrue="1">
      <formula>AND($M52="Approved",OR($L52=$R$1,$L52=$T$1))</formula>
    </cfRule>
  </conditionalFormatting>
  <conditionalFormatting sqref="A72:A74">
    <cfRule type="expression" dxfId="148" priority="8" stopIfTrue="1">
      <formula>AND($M72="Approved",OR($L72=$R$1,$L72=$T$1))</formula>
    </cfRule>
  </conditionalFormatting>
  <conditionalFormatting sqref="A77:A82">
    <cfRule type="expression" dxfId="147" priority="6" stopIfTrue="1">
      <formula>AND($M77="Approved",OR($L77=$R$1,$L77=$T$1))</formula>
    </cfRule>
  </conditionalFormatting>
  <conditionalFormatting sqref="A107:A112">
    <cfRule type="expression" dxfId="146" priority="5" stopIfTrue="1">
      <formula>AND($M107="Approved",OR($L107=$R$1,$L107=$T$1))</formula>
    </cfRule>
  </conditionalFormatting>
  <conditionalFormatting sqref="A114">
    <cfRule type="expression" dxfId="145" priority="4" stopIfTrue="1">
      <formula>AND($M114="Approved",OR($L114=$R$1,$L114=$T$1))</formula>
    </cfRule>
  </conditionalFormatting>
  <conditionalFormatting sqref="A115">
    <cfRule type="expression" dxfId="144" priority="3" stopIfTrue="1">
      <formula>AND($M115="Approved",OR($L115=$R$1,$L115=$T$1))</formula>
    </cfRule>
  </conditionalFormatting>
  <conditionalFormatting sqref="A121">
    <cfRule type="expression" dxfId="143" priority="2" stopIfTrue="1">
      <formula>AND($M121="Approved",OR($L121=$R$1,$L121=$T$1))</formula>
    </cfRule>
  </conditionalFormatting>
  <conditionalFormatting sqref="A126:A132">
    <cfRule type="expression" dxfId="142" priority="1" stopIfTrue="1">
      <formula>AND($M126="Approved",OR($L126=$R$1,$L126=$T$1))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Help!$B$13:$B$15</xm:f>
          </x14:formula1>
          <xm:sqref>B3:B36 B43 B47 B52 B56 B72:B113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eview1">
    <tabColor rgb="FF92D050"/>
    <outlinePr summaryRight="0"/>
    <pageSetUpPr fitToPage="1"/>
  </sheetPr>
  <dimension ref="A1:AT241"/>
  <sheetViews>
    <sheetView tabSelected="1" zoomScale="85" zoomScaleNormal="85" workbookViewId="0">
      <pane xSplit="1" ySplit="4" topLeftCell="B216" activePane="bottomRight" state="frozenSplit"/>
      <selection activeCell="K17" sqref="K17"/>
      <selection pane="topRight" activeCell="K17" sqref="K17"/>
      <selection pane="bottomLeft" activeCell="K17" sqref="K17"/>
      <selection pane="bottomRight" activeCell="K241" sqref="K241"/>
    </sheetView>
  </sheetViews>
  <sheetFormatPr defaultRowHeight="12.75" outlineLevelRow="1" outlineLevelCol="1"/>
  <cols>
    <col min="1" max="1" width="11.5703125" style="46" customWidth="1"/>
    <col min="2" max="2" width="9.5703125" style="43" customWidth="1"/>
    <col min="3" max="3" width="25.42578125" style="43" customWidth="1"/>
    <col min="4" max="4" width="89.28515625" style="44" customWidth="1"/>
    <col min="5" max="5" width="11" style="45" customWidth="1" outlineLevel="1"/>
    <col min="6" max="6" width="26.42578125" style="43" customWidth="1" outlineLevel="1"/>
    <col min="7" max="7" width="33.5703125" style="44" customWidth="1"/>
    <col min="8" max="9" width="11.42578125" style="43" customWidth="1" outlineLevel="1"/>
    <col min="10" max="10" width="18.42578125" style="43" customWidth="1" outlineLevel="1"/>
    <col min="11" max="11" width="12.5703125" style="45" customWidth="1"/>
    <col min="12" max="12" width="13.5703125" style="46" customWidth="1"/>
    <col min="13" max="13" width="13.42578125" style="46" customWidth="1"/>
    <col min="14" max="14" width="12" style="35" bestFit="1" customWidth="1"/>
    <col min="15" max="15" width="20.5703125" style="35" bestFit="1" customWidth="1"/>
    <col min="16" max="16" width="13.42578125" style="35" bestFit="1" customWidth="1"/>
    <col min="17" max="22" width="11.42578125" style="57" customWidth="1"/>
    <col min="23" max="23" width="11.5703125" style="57" bestFit="1" customWidth="1"/>
    <col min="24" max="24" width="15.5703125" bestFit="1" customWidth="1"/>
    <col min="25" max="25" width="15" bestFit="1" customWidth="1"/>
    <col min="26" max="26" width="9.5703125" bestFit="1" customWidth="1"/>
  </cols>
  <sheetData>
    <row r="1" spans="1:46" s="22" customFormat="1" ht="51" hidden="1">
      <c r="A1" s="59"/>
      <c r="B1" s="42"/>
      <c r="C1" s="42"/>
      <c r="D1" s="42" t="s">
        <v>50</v>
      </c>
      <c r="E1" s="59"/>
      <c r="F1" s="59"/>
      <c r="G1" s="42"/>
      <c r="H1" s="42" t="s">
        <v>50</v>
      </c>
      <c r="I1" s="42"/>
      <c r="J1" s="42"/>
      <c r="K1" s="42"/>
      <c r="L1" s="26" t="s">
        <v>65</v>
      </c>
      <c r="M1" s="26" t="s">
        <v>80</v>
      </c>
      <c r="N1" s="26" t="s">
        <v>66</v>
      </c>
      <c r="O1" s="26" t="s">
        <v>67</v>
      </c>
      <c r="P1" s="51"/>
      <c r="Q1" s="26" t="s">
        <v>44</v>
      </c>
      <c r="R1" s="26" t="s">
        <v>20</v>
      </c>
      <c r="S1" s="26" t="s">
        <v>21</v>
      </c>
      <c r="T1" s="26" t="s">
        <v>27</v>
      </c>
      <c r="U1" s="26" t="s">
        <v>19</v>
      </c>
      <c r="V1" s="52"/>
      <c r="W1" s="53"/>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59"/>
      <c r="B2" s="42"/>
      <c r="C2" s="28"/>
      <c r="D2" s="42" t="s">
        <v>45</v>
      </c>
      <c r="E2" s="59"/>
      <c r="F2" s="59"/>
      <c r="G2" s="28"/>
      <c r="H2" s="42" t="s">
        <v>45</v>
      </c>
      <c r="I2" s="42"/>
      <c r="J2" s="28"/>
      <c r="K2" s="28"/>
      <c r="L2" s="49">
        <f>COUNTA(D5:D497)+COUNTIF(L5:L497,"=Open")+COUNTIF(L5:L497,"=To be fixed")-COUNTA(L5:L497)</f>
        <v>0</v>
      </c>
      <c r="M2" s="49">
        <f>COUNTIF(M5:M497,"=Rejected")</f>
        <v>0</v>
      </c>
      <c r="N2" s="49">
        <f>COUNTA(D5:D497)-COUNTIF(M5:M497,"=Approved")</f>
        <v>0</v>
      </c>
      <c r="O2" s="49">
        <f>COUNTIFS(L5:L497,"=Postponed",M5:M497,"=Approved")</f>
        <v>7</v>
      </c>
      <c r="P2" s="54"/>
      <c r="Q2" s="49">
        <f>COUNTIF($L5:$L497,"=" &amp; Q1)</f>
        <v>0</v>
      </c>
      <c r="R2" s="49">
        <f>COUNTIF($L5:$L497,"=" &amp; R1)</f>
        <v>101</v>
      </c>
      <c r="S2" s="49">
        <f>COUNTIF($L5:$L497,"=" &amp; S1)</f>
        <v>7</v>
      </c>
      <c r="T2" s="49">
        <f>COUNTIF($L5:$L497,"=" &amp; T1)</f>
        <v>129</v>
      </c>
      <c r="U2" s="49">
        <f>COUNTIF($L5:$L497,"=" &amp; U1)+COUNTIFS($L5:$L497,"",$D5:$D497,"&lt;&gt;")</f>
        <v>0</v>
      </c>
      <c r="V2" s="54"/>
      <c r="W2" s="55"/>
      <c r="X2" s="49">
        <f>IF(OR(NbOfNotTreatedIssues&gt;0,NbOfRejectedIssues&gt;0),1,0)</f>
        <v>0</v>
      </c>
      <c r="Y2" s="49">
        <f>IF(AND(Issue_to_treat=0,NbOfNotApprovedIssues&gt;0),1,0)</f>
        <v>0</v>
      </c>
      <c r="Z2" s="49">
        <f>IF(AND(Issues_to_approve=0,NbOfNotApprovedAndPostponedIssues&gt;0),1,0)</f>
        <v>1</v>
      </c>
      <c r="AA2" s="49">
        <f>IF(AND(Issue_to_treat=0,Issues_to_approve=0,Issues_postponed=0),1,0)</f>
        <v>0</v>
      </c>
      <c r="AB2" s="30"/>
      <c r="AC2" s="30"/>
      <c r="AD2" s="30"/>
      <c r="AE2" s="30"/>
      <c r="AF2" s="30"/>
      <c r="AH2" s="49">
        <f>COUNTIF($M5:$M497,"=" &amp; AH1)</f>
        <v>237</v>
      </c>
      <c r="AI2" s="49">
        <f>COUNTIF($M5:$M497,"=" &amp; AI1)</f>
        <v>0</v>
      </c>
      <c r="AJ2" s="49">
        <f>COUNTIF($M5:$M497,"=" &amp; AJ1)</f>
        <v>0</v>
      </c>
      <c r="AM2" s="30"/>
      <c r="AN2" s="30"/>
      <c r="AO2" s="30"/>
      <c r="AP2" s="32"/>
      <c r="AQ2" s="32"/>
      <c r="AR2" s="30"/>
      <c r="AS2" s="32"/>
      <c r="AT2" s="32"/>
    </row>
    <row r="3" spans="1:46" s="48" customFormat="1" ht="25.5" customHeight="1" outlineLevel="1">
      <c r="A3" s="362" t="str">
        <f>IF(Issue_to_treat=1,NbOfNotTreatedIssues+NbOfRejectedIssues&amp;" issue(s) to treat",IF(Issues_to_approve=1,NbOfNotApprovedIssues&amp;" issue(s) to approve",IF(Issues_postponed=1,NbOfNotApprovedAndPostponedIssues&amp;" issue(s) postponed","Status OK")))</f>
        <v>7 issue(s) postponed</v>
      </c>
      <c r="B3" s="362"/>
      <c r="C3" s="363"/>
      <c r="D3" s="58" t="s">
        <v>64</v>
      </c>
      <c r="E3" s="361" t="s">
        <v>82</v>
      </c>
      <c r="F3" s="361"/>
      <c r="G3" s="361"/>
      <c r="H3" s="47"/>
      <c r="I3" s="47"/>
      <c r="J3" s="47"/>
      <c r="K3" s="47"/>
      <c r="L3" s="47"/>
      <c r="M3" s="47"/>
      <c r="N3" s="53"/>
      <c r="O3" s="53"/>
      <c r="P3" s="53"/>
      <c r="Q3" s="56"/>
      <c r="R3" s="56"/>
      <c r="S3" s="56"/>
      <c r="T3" s="56"/>
      <c r="U3" s="56"/>
      <c r="V3" s="56"/>
      <c r="W3" s="56"/>
      <c r="X3" s="23"/>
      <c r="Y3" s="23"/>
      <c r="Z3" s="23"/>
      <c r="AA3" s="23"/>
      <c r="AB3" s="23"/>
    </row>
    <row r="4" spans="1:46" s="141" customFormat="1" ht="47.25">
      <c r="A4" s="134" t="s">
        <v>30</v>
      </c>
      <c r="B4" s="134" t="s">
        <v>9</v>
      </c>
      <c r="C4" s="134" t="s">
        <v>32</v>
      </c>
      <c r="D4" s="134" t="s">
        <v>178</v>
      </c>
      <c r="E4" s="134" t="s">
        <v>70</v>
      </c>
      <c r="F4" s="134" t="s">
        <v>31</v>
      </c>
      <c r="G4" s="135" t="s">
        <v>46</v>
      </c>
      <c r="H4" s="136" t="s">
        <v>48</v>
      </c>
      <c r="I4" s="136" t="s">
        <v>106</v>
      </c>
      <c r="J4" s="136" t="s">
        <v>33</v>
      </c>
      <c r="K4" s="137" t="s">
        <v>49</v>
      </c>
      <c r="L4" s="136" t="s">
        <v>47</v>
      </c>
      <c r="M4" s="134" t="s">
        <v>179</v>
      </c>
      <c r="N4" s="138"/>
      <c r="O4" s="138"/>
      <c r="P4" s="138"/>
      <c r="Q4" s="139"/>
      <c r="R4" s="139"/>
      <c r="S4" s="139"/>
      <c r="T4" s="139"/>
      <c r="U4" s="139"/>
      <c r="V4" s="139"/>
      <c r="W4" s="139"/>
      <c r="X4" s="140"/>
      <c r="Y4" s="140"/>
      <c r="Z4" s="140"/>
      <c r="AA4" s="140"/>
      <c r="AB4" s="140"/>
    </row>
    <row r="5" spans="1:46" s="23" customFormat="1" ht="25.5">
      <c r="A5" s="62">
        <v>1</v>
      </c>
      <c r="B5" s="19">
        <v>1.2</v>
      </c>
      <c r="C5" s="184" t="s">
        <v>408</v>
      </c>
      <c r="D5" s="25" t="s">
        <v>410</v>
      </c>
      <c r="E5" s="60">
        <v>44592.376817129632</v>
      </c>
      <c r="F5" s="61" t="s">
        <v>402</v>
      </c>
      <c r="G5" s="16"/>
      <c r="H5" s="16">
        <v>811860</v>
      </c>
      <c r="I5" s="20" t="s">
        <v>26</v>
      </c>
      <c r="J5" s="20" t="s">
        <v>458</v>
      </c>
      <c r="K5" s="21">
        <v>44594.377002314817</v>
      </c>
      <c r="L5" s="20" t="s">
        <v>20</v>
      </c>
      <c r="M5" s="70" t="s">
        <v>28</v>
      </c>
      <c r="N5" s="53"/>
      <c r="O5" s="53"/>
      <c r="P5" s="53"/>
      <c r="Q5" s="56"/>
      <c r="R5" s="56"/>
      <c r="S5" s="56"/>
      <c r="T5" s="56"/>
      <c r="U5" s="56"/>
      <c r="V5" s="56"/>
      <c r="W5" s="56"/>
    </row>
    <row r="6" spans="1:46" s="23" customFormat="1" ht="25.5">
      <c r="A6" s="63">
        <v>2</v>
      </c>
      <c r="B6" s="19">
        <v>1.2</v>
      </c>
      <c r="C6" s="184" t="s">
        <v>408</v>
      </c>
      <c r="D6" s="25" t="s">
        <v>409</v>
      </c>
      <c r="E6" s="60">
        <v>44592.376817129632</v>
      </c>
      <c r="F6" s="61" t="s">
        <v>402</v>
      </c>
      <c r="G6" s="16"/>
      <c r="H6" s="16">
        <v>811860</v>
      </c>
      <c r="I6" s="20" t="s">
        <v>26</v>
      </c>
      <c r="J6" s="70" t="s">
        <v>458</v>
      </c>
      <c r="K6" s="21">
        <v>44595.367442129631</v>
      </c>
      <c r="L6" s="20" t="s">
        <v>20</v>
      </c>
      <c r="M6" s="20" t="s">
        <v>28</v>
      </c>
      <c r="N6" s="53"/>
      <c r="O6" s="53"/>
      <c r="P6" s="53"/>
      <c r="Q6" s="56"/>
      <c r="R6" s="56"/>
      <c r="S6" s="56"/>
      <c r="T6" s="56"/>
      <c r="U6" s="56"/>
      <c r="V6" s="56"/>
      <c r="W6" s="56"/>
    </row>
    <row r="7" spans="1:46" s="23" customFormat="1" ht="25.5">
      <c r="A7" s="63">
        <v>3</v>
      </c>
      <c r="B7" s="19">
        <v>1.2</v>
      </c>
      <c r="C7" s="184" t="s">
        <v>408</v>
      </c>
      <c r="D7" s="25" t="s">
        <v>411</v>
      </c>
      <c r="E7" s="60">
        <v>44592.376817129632</v>
      </c>
      <c r="F7" s="61" t="s">
        <v>402</v>
      </c>
      <c r="G7" s="16"/>
      <c r="H7" s="16">
        <v>811860</v>
      </c>
      <c r="I7" s="20" t="s">
        <v>26</v>
      </c>
      <c r="J7" s="70" t="s">
        <v>458</v>
      </c>
      <c r="K7" s="21">
        <v>44594.377083333333</v>
      </c>
      <c r="L7" s="20" t="s">
        <v>20</v>
      </c>
      <c r="M7" s="20" t="s">
        <v>28</v>
      </c>
      <c r="N7" s="53"/>
      <c r="O7" s="53"/>
      <c r="P7" s="53"/>
      <c r="Q7" s="56"/>
      <c r="R7" s="56"/>
      <c r="S7" s="56"/>
      <c r="T7" s="56"/>
      <c r="U7" s="56"/>
      <c r="V7" s="56"/>
      <c r="W7" s="56"/>
    </row>
    <row r="8" spans="1:46" s="23" customFormat="1" ht="25.5">
      <c r="A8" s="63">
        <v>4</v>
      </c>
      <c r="B8" s="19">
        <v>1.2</v>
      </c>
      <c r="C8" s="184" t="s">
        <v>408</v>
      </c>
      <c r="D8" s="25" t="s">
        <v>412</v>
      </c>
      <c r="E8" s="60">
        <v>44592.376817129632</v>
      </c>
      <c r="F8" s="61" t="s">
        <v>402</v>
      </c>
      <c r="G8" s="16"/>
      <c r="H8" s="16">
        <v>811860</v>
      </c>
      <c r="I8" s="20" t="s">
        <v>26</v>
      </c>
      <c r="J8" s="70" t="s">
        <v>458</v>
      </c>
      <c r="K8" s="21">
        <v>44594.377141203702</v>
      </c>
      <c r="L8" s="20" t="s">
        <v>20</v>
      </c>
      <c r="M8" s="20" t="s">
        <v>28</v>
      </c>
      <c r="N8" s="53"/>
      <c r="O8" s="53"/>
      <c r="P8" s="53"/>
      <c r="Q8" s="56"/>
      <c r="R8" s="56"/>
      <c r="S8" s="56"/>
      <c r="T8" s="56"/>
      <c r="U8" s="56"/>
      <c r="V8" s="56"/>
      <c r="W8" s="56"/>
    </row>
    <row r="9" spans="1:46" s="23" customFormat="1" ht="25.5">
      <c r="A9" s="63">
        <v>5</v>
      </c>
      <c r="B9" s="19">
        <v>1.2</v>
      </c>
      <c r="C9" s="184" t="s">
        <v>408</v>
      </c>
      <c r="D9" s="25" t="s">
        <v>413</v>
      </c>
      <c r="E9" s="60">
        <v>44592.376817129632</v>
      </c>
      <c r="F9" s="61" t="s">
        <v>402</v>
      </c>
      <c r="G9" s="16"/>
      <c r="H9" s="16">
        <v>811860</v>
      </c>
      <c r="I9" s="20" t="s">
        <v>26</v>
      </c>
      <c r="J9" s="70" t="s">
        <v>458</v>
      </c>
      <c r="K9" s="21">
        <v>44595.379340277781</v>
      </c>
      <c r="L9" s="20" t="s">
        <v>20</v>
      </c>
      <c r="M9" s="20" t="s">
        <v>28</v>
      </c>
      <c r="N9" s="53"/>
      <c r="O9" s="53"/>
      <c r="P9" s="53"/>
      <c r="Q9" s="56"/>
      <c r="R9" s="56"/>
      <c r="S9" s="56"/>
      <c r="T9" s="56"/>
      <c r="U9" s="56"/>
      <c r="V9" s="56"/>
      <c r="W9" s="56"/>
    </row>
    <row r="10" spans="1:46" s="23" customFormat="1" ht="25.5">
      <c r="A10" s="63">
        <v>6</v>
      </c>
      <c r="B10" s="19">
        <v>1.2</v>
      </c>
      <c r="C10" s="184" t="s">
        <v>408</v>
      </c>
      <c r="D10" s="25" t="s">
        <v>403</v>
      </c>
      <c r="E10" s="60">
        <v>44592.376817129632</v>
      </c>
      <c r="F10" s="61" t="s">
        <v>402</v>
      </c>
      <c r="G10" s="16"/>
      <c r="H10" s="16">
        <v>811860</v>
      </c>
      <c r="I10" s="20" t="s">
        <v>26</v>
      </c>
      <c r="J10" s="20" t="s">
        <v>458</v>
      </c>
      <c r="K10" s="21">
        <v>44596.341041666667</v>
      </c>
      <c r="L10" s="20" t="s">
        <v>20</v>
      </c>
      <c r="M10" s="20" t="s">
        <v>28</v>
      </c>
      <c r="N10" s="53"/>
      <c r="O10" s="53"/>
      <c r="P10" s="53"/>
      <c r="Q10" s="56"/>
      <c r="R10" s="56"/>
      <c r="S10" s="56"/>
      <c r="T10" s="56"/>
      <c r="U10" s="56"/>
      <c r="V10" s="56"/>
      <c r="W10" s="56"/>
    </row>
    <row r="11" spans="1:46" s="23" customFormat="1" ht="25.5">
      <c r="A11" s="63">
        <v>7</v>
      </c>
      <c r="B11" s="19">
        <v>1.2</v>
      </c>
      <c r="C11" s="184" t="s">
        <v>408</v>
      </c>
      <c r="D11" s="25" t="s">
        <v>404</v>
      </c>
      <c r="E11" s="60">
        <v>44592.376817129632</v>
      </c>
      <c r="F11" s="61" t="s">
        <v>402</v>
      </c>
      <c r="G11" s="16"/>
      <c r="H11" s="16">
        <v>811860</v>
      </c>
      <c r="I11" s="20" t="s">
        <v>26</v>
      </c>
      <c r="J11" s="20" t="s">
        <v>458</v>
      </c>
      <c r="K11" s="185">
        <v>44600.511574074073</v>
      </c>
      <c r="L11" s="20" t="s">
        <v>20</v>
      </c>
      <c r="M11" s="20" t="s">
        <v>28</v>
      </c>
      <c r="N11" s="53"/>
      <c r="O11" s="53"/>
      <c r="P11" s="53"/>
      <c r="Q11" s="56"/>
      <c r="R11" s="56"/>
      <c r="S11" s="56"/>
      <c r="T11" s="56"/>
      <c r="U11" s="56"/>
      <c r="V11" s="56"/>
      <c r="W11" s="56"/>
    </row>
    <row r="12" spans="1:46" s="23" customFormat="1" ht="25.5">
      <c r="A12" s="63">
        <v>8</v>
      </c>
      <c r="B12" s="19">
        <v>1.2</v>
      </c>
      <c r="C12" s="184" t="s">
        <v>408</v>
      </c>
      <c r="D12" s="25" t="s">
        <v>414</v>
      </c>
      <c r="E12" s="60">
        <v>44592.388333333336</v>
      </c>
      <c r="F12" s="61" t="s">
        <v>402</v>
      </c>
      <c r="G12" s="16"/>
      <c r="H12" s="16">
        <v>811860</v>
      </c>
      <c r="I12" s="20" t="s">
        <v>26</v>
      </c>
      <c r="J12" s="20" t="s">
        <v>458</v>
      </c>
      <c r="K12" s="21">
        <v>44596.600983796299</v>
      </c>
      <c r="L12" s="20" t="s">
        <v>20</v>
      </c>
      <c r="M12" s="20" t="s">
        <v>28</v>
      </c>
      <c r="N12" s="53"/>
      <c r="O12" s="53"/>
      <c r="P12" s="53"/>
      <c r="Q12" s="56"/>
      <c r="R12" s="56"/>
      <c r="S12" s="56"/>
      <c r="T12" s="56"/>
      <c r="U12" s="56"/>
      <c r="V12" s="56"/>
      <c r="W12" s="56"/>
    </row>
    <row r="13" spans="1:46" s="23" customFormat="1">
      <c r="A13" s="63">
        <v>9</v>
      </c>
      <c r="B13" s="184" t="s">
        <v>416</v>
      </c>
      <c r="C13" s="184" t="s">
        <v>415</v>
      </c>
      <c r="D13" s="25" t="s">
        <v>417</v>
      </c>
      <c r="E13" s="60">
        <v>44592.52511574074</v>
      </c>
      <c r="F13" s="61" t="s">
        <v>402</v>
      </c>
      <c r="G13" s="16"/>
      <c r="H13" s="16">
        <v>812498</v>
      </c>
      <c r="I13" s="20" t="s">
        <v>26</v>
      </c>
      <c r="J13" s="70" t="s">
        <v>695</v>
      </c>
      <c r="K13" s="185" t="s">
        <v>862</v>
      </c>
      <c r="L13" s="20" t="s">
        <v>20</v>
      </c>
      <c r="M13" s="20" t="s">
        <v>28</v>
      </c>
      <c r="N13" s="53"/>
      <c r="O13" s="53"/>
      <c r="P13" s="53"/>
      <c r="Q13" s="56"/>
      <c r="R13" s="56"/>
      <c r="S13" s="56"/>
      <c r="T13" s="56"/>
      <c r="U13" s="56"/>
      <c r="V13" s="56"/>
      <c r="W13" s="56"/>
    </row>
    <row r="14" spans="1:46" s="23" customFormat="1">
      <c r="A14" s="63">
        <v>10</v>
      </c>
      <c r="B14" s="184" t="s">
        <v>416</v>
      </c>
      <c r="C14" s="184" t="s">
        <v>415</v>
      </c>
      <c r="D14" s="25" t="s">
        <v>418</v>
      </c>
      <c r="E14" s="60">
        <v>44592.526921296296</v>
      </c>
      <c r="F14" s="61" t="s">
        <v>402</v>
      </c>
      <c r="G14" s="16"/>
      <c r="H14" s="16">
        <v>811860</v>
      </c>
      <c r="I14" s="20" t="s">
        <v>26</v>
      </c>
      <c r="J14" s="20" t="s">
        <v>458</v>
      </c>
      <c r="K14" s="21">
        <v>44596.477280092593</v>
      </c>
      <c r="L14" s="20" t="s">
        <v>20</v>
      </c>
      <c r="M14" s="20" t="s">
        <v>28</v>
      </c>
      <c r="N14" s="53"/>
      <c r="O14" s="53"/>
      <c r="P14" s="53"/>
      <c r="Q14" s="56"/>
      <c r="R14" s="56"/>
      <c r="S14" s="56"/>
      <c r="T14" s="56"/>
      <c r="U14" s="56"/>
      <c r="V14" s="56"/>
      <c r="W14" s="56"/>
    </row>
    <row r="15" spans="1:46" s="23" customFormat="1">
      <c r="A15" s="63">
        <v>11</v>
      </c>
      <c r="B15" s="184" t="s">
        <v>416</v>
      </c>
      <c r="C15" s="184" t="s">
        <v>415</v>
      </c>
      <c r="D15" s="25" t="s">
        <v>419</v>
      </c>
      <c r="E15" s="60">
        <v>44592.527233796296</v>
      </c>
      <c r="F15" s="61" t="s">
        <v>402</v>
      </c>
      <c r="G15" s="16"/>
      <c r="H15" s="16">
        <v>811860</v>
      </c>
      <c r="I15" s="20" t="s">
        <v>26</v>
      </c>
      <c r="J15" s="20" t="s">
        <v>458</v>
      </c>
      <c r="K15" s="21">
        <v>44594.663611111115</v>
      </c>
      <c r="L15" s="20" t="s">
        <v>20</v>
      </c>
      <c r="M15" s="20" t="s">
        <v>28</v>
      </c>
      <c r="N15" s="53"/>
      <c r="O15" s="53"/>
      <c r="P15" s="53"/>
      <c r="Q15" s="56"/>
      <c r="R15" s="56"/>
      <c r="S15" s="56"/>
      <c r="T15" s="56"/>
      <c r="U15" s="56"/>
      <c r="V15" s="56"/>
      <c r="W15" s="56"/>
    </row>
    <row r="16" spans="1:46" s="23" customFormat="1">
      <c r="A16" s="63">
        <v>12</v>
      </c>
      <c r="B16" s="184" t="s">
        <v>416</v>
      </c>
      <c r="C16" s="184" t="s">
        <v>415</v>
      </c>
      <c r="D16" s="25" t="s">
        <v>420</v>
      </c>
      <c r="E16" s="60">
        <v>44592.527627314812</v>
      </c>
      <c r="F16" s="61" t="s">
        <v>402</v>
      </c>
      <c r="G16" s="16"/>
      <c r="H16" s="16">
        <v>811860</v>
      </c>
      <c r="I16" s="20" t="s">
        <v>26</v>
      </c>
      <c r="J16" s="20" t="s">
        <v>458</v>
      </c>
      <c r="K16" s="21">
        <v>44596.600856481484</v>
      </c>
      <c r="L16" s="20" t="s">
        <v>20</v>
      </c>
      <c r="M16" s="20" t="s">
        <v>28</v>
      </c>
      <c r="N16" s="53"/>
      <c r="O16" s="53"/>
      <c r="P16" s="53"/>
      <c r="Q16" s="56"/>
      <c r="R16" s="56"/>
      <c r="S16" s="56"/>
      <c r="T16" s="56"/>
      <c r="U16" s="56"/>
      <c r="V16" s="56"/>
      <c r="W16" s="56"/>
    </row>
    <row r="17" spans="1:23" s="23" customFormat="1">
      <c r="A17" s="63">
        <v>13</v>
      </c>
      <c r="B17" s="184" t="s">
        <v>416</v>
      </c>
      <c r="C17" s="184" t="s">
        <v>415</v>
      </c>
      <c r="D17" s="25" t="s">
        <v>421</v>
      </c>
      <c r="E17" s="60">
        <v>44592.528321759259</v>
      </c>
      <c r="F17" s="61" t="s">
        <v>402</v>
      </c>
      <c r="G17" s="16"/>
      <c r="H17" s="16">
        <v>811860</v>
      </c>
      <c r="I17" s="20" t="s">
        <v>26</v>
      </c>
      <c r="J17" s="20" t="s">
        <v>458</v>
      </c>
      <c r="K17" s="21">
        <v>44596.37164351852</v>
      </c>
      <c r="L17" s="20" t="s">
        <v>20</v>
      </c>
      <c r="M17" s="20" t="s">
        <v>28</v>
      </c>
      <c r="N17" s="53"/>
      <c r="O17" s="53"/>
      <c r="P17" s="53"/>
      <c r="Q17" s="56"/>
      <c r="R17" s="56"/>
      <c r="S17" s="56"/>
      <c r="T17" s="56"/>
      <c r="U17" s="56"/>
      <c r="V17" s="56"/>
      <c r="W17" s="56"/>
    </row>
    <row r="18" spans="1:23" s="23" customFormat="1" ht="38.25">
      <c r="A18" s="63">
        <v>14</v>
      </c>
      <c r="B18" s="184" t="s">
        <v>416</v>
      </c>
      <c r="C18" s="184" t="s">
        <v>415</v>
      </c>
      <c r="D18" s="25" t="s">
        <v>422</v>
      </c>
      <c r="E18" s="60">
        <v>44592.528935185182</v>
      </c>
      <c r="F18" s="61" t="s">
        <v>402</v>
      </c>
      <c r="G18" s="16" t="s">
        <v>459</v>
      </c>
      <c r="H18" s="16">
        <v>811860</v>
      </c>
      <c r="I18" s="20" t="s">
        <v>26</v>
      </c>
      <c r="J18" s="20" t="s">
        <v>458</v>
      </c>
      <c r="K18" s="21">
        <v>44596.440613425926</v>
      </c>
      <c r="L18" s="20" t="s">
        <v>20</v>
      </c>
      <c r="M18" s="20" t="s">
        <v>28</v>
      </c>
      <c r="N18" s="53"/>
      <c r="O18" s="53"/>
      <c r="P18" s="53"/>
      <c r="Q18" s="56"/>
      <c r="R18" s="56"/>
      <c r="S18" s="56"/>
      <c r="T18" s="56"/>
      <c r="U18" s="56"/>
      <c r="V18" s="56"/>
      <c r="W18" s="56"/>
    </row>
    <row r="19" spans="1:23" s="23" customFormat="1" ht="25.5">
      <c r="A19" s="63">
        <v>15</v>
      </c>
      <c r="B19" s="184" t="s">
        <v>416</v>
      </c>
      <c r="C19" s="184" t="s">
        <v>415</v>
      </c>
      <c r="D19" s="25" t="s">
        <v>423</v>
      </c>
      <c r="E19" s="60">
        <v>44592.537627314814</v>
      </c>
      <c r="F19" s="61" t="s">
        <v>402</v>
      </c>
      <c r="G19" s="16"/>
      <c r="H19" s="16">
        <v>811860</v>
      </c>
      <c r="I19" s="20" t="s">
        <v>26</v>
      </c>
      <c r="J19" s="20" t="s">
        <v>458</v>
      </c>
      <c r="K19" s="21">
        <v>44596.372164351851</v>
      </c>
      <c r="L19" s="20" t="s">
        <v>20</v>
      </c>
      <c r="M19" s="20" t="s">
        <v>28</v>
      </c>
      <c r="N19" s="53"/>
      <c r="O19" s="53"/>
      <c r="P19" s="53"/>
      <c r="Q19" s="56"/>
      <c r="R19" s="56"/>
      <c r="S19" s="56"/>
      <c r="T19" s="56"/>
      <c r="U19" s="56"/>
      <c r="V19" s="56"/>
      <c r="W19" s="56"/>
    </row>
    <row r="20" spans="1:23" s="23" customFormat="1">
      <c r="A20" s="63">
        <v>16</v>
      </c>
      <c r="B20" s="19" t="s">
        <v>425</v>
      </c>
      <c r="C20" s="19" t="s">
        <v>424</v>
      </c>
      <c r="D20" s="25" t="s">
        <v>426</v>
      </c>
      <c r="E20" s="60">
        <v>44592.544664351852</v>
      </c>
      <c r="F20" s="61" t="s">
        <v>402</v>
      </c>
      <c r="G20" s="16"/>
      <c r="H20" s="16">
        <v>811860</v>
      </c>
      <c r="I20" s="20" t="s">
        <v>26</v>
      </c>
      <c r="J20" s="20" t="s">
        <v>458</v>
      </c>
      <c r="K20" s="21">
        <v>44594.601030092592</v>
      </c>
      <c r="L20" s="20" t="s">
        <v>20</v>
      </c>
      <c r="M20" s="20" t="s">
        <v>28</v>
      </c>
      <c r="N20" s="53"/>
      <c r="O20" s="53"/>
      <c r="P20" s="53"/>
      <c r="Q20" s="56"/>
      <c r="R20" s="56"/>
      <c r="S20" s="56"/>
      <c r="T20" s="56"/>
      <c r="U20" s="56"/>
      <c r="V20" s="56"/>
      <c r="W20" s="56"/>
    </row>
    <row r="21" spans="1:23" s="23" customFormat="1">
      <c r="A21" s="63">
        <v>17</v>
      </c>
      <c r="B21" s="19" t="s">
        <v>425</v>
      </c>
      <c r="C21" s="19" t="s">
        <v>424</v>
      </c>
      <c r="D21" s="16" t="s">
        <v>427</v>
      </c>
      <c r="E21" s="60">
        <v>44592.562881944446</v>
      </c>
      <c r="F21" s="61" t="s">
        <v>402</v>
      </c>
      <c r="G21" s="16"/>
      <c r="H21" s="16">
        <v>811860</v>
      </c>
      <c r="I21" s="20" t="s">
        <v>26</v>
      </c>
      <c r="J21" s="20" t="s">
        <v>458</v>
      </c>
      <c r="K21" s="21">
        <v>44594.582083333335</v>
      </c>
      <c r="L21" s="20" t="s">
        <v>20</v>
      </c>
      <c r="M21" s="20" t="s">
        <v>28</v>
      </c>
      <c r="N21" s="53"/>
      <c r="O21" s="53"/>
      <c r="P21" s="53"/>
      <c r="Q21" s="56"/>
      <c r="R21" s="56"/>
      <c r="S21" s="56"/>
      <c r="T21" s="56"/>
      <c r="U21" s="56"/>
      <c r="V21" s="56"/>
      <c r="W21" s="56"/>
    </row>
    <row r="22" spans="1:23" s="23" customFormat="1">
      <c r="A22" s="63">
        <v>18</v>
      </c>
      <c r="B22" s="19" t="s">
        <v>425</v>
      </c>
      <c r="C22" s="19" t="s">
        <v>424</v>
      </c>
      <c r="D22" s="16" t="s">
        <v>428</v>
      </c>
      <c r="E22" s="60">
        <v>44592.563263888886</v>
      </c>
      <c r="F22" s="61" t="s">
        <v>402</v>
      </c>
      <c r="G22" s="16"/>
      <c r="H22" s="16">
        <v>811860</v>
      </c>
      <c r="I22" s="20" t="s">
        <v>26</v>
      </c>
      <c r="J22" s="20" t="s">
        <v>458</v>
      </c>
      <c r="K22" s="21">
        <v>44596.570416666669</v>
      </c>
      <c r="L22" s="20" t="s">
        <v>20</v>
      </c>
      <c r="M22" s="20" t="s">
        <v>28</v>
      </c>
      <c r="N22" s="53"/>
      <c r="O22" s="53"/>
      <c r="P22" s="53"/>
      <c r="Q22" s="56"/>
      <c r="R22" s="56"/>
      <c r="S22" s="56"/>
      <c r="T22" s="56"/>
      <c r="U22" s="56"/>
      <c r="V22" s="56"/>
      <c r="W22" s="56"/>
    </row>
    <row r="23" spans="1:23" s="23" customFormat="1" ht="114.75">
      <c r="A23" s="63">
        <v>19</v>
      </c>
      <c r="B23" s="19" t="s">
        <v>425</v>
      </c>
      <c r="C23" s="19" t="s">
        <v>424</v>
      </c>
      <c r="D23" s="16" t="s">
        <v>429</v>
      </c>
      <c r="E23" s="60">
        <v>44592.563425925924</v>
      </c>
      <c r="F23" s="61" t="s">
        <v>402</v>
      </c>
      <c r="G23" s="16"/>
      <c r="H23" s="16">
        <v>812498</v>
      </c>
      <c r="I23" s="20" t="s">
        <v>26</v>
      </c>
      <c r="J23" s="70" t="s">
        <v>695</v>
      </c>
      <c r="K23" s="185" t="s">
        <v>862</v>
      </c>
      <c r="L23" s="20" t="s">
        <v>20</v>
      </c>
      <c r="M23" s="20" t="s">
        <v>28</v>
      </c>
      <c r="N23" s="53"/>
      <c r="O23" s="53"/>
      <c r="P23" s="53"/>
      <c r="Q23" s="56"/>
      <c r="R23" s="56"/>
      <c r="S23" s="56"/>
      <c r="T23" s="56"/>
      <c r="U23" s="56"/>
      <c r="V23" s="56"/>
      <c r="W23" s="56"/>
    </row>
    <row r="24" spans="1:23" s="23" customFormat="1" ht="25.5">
      <c r="A24" s="63">
        <v>20</v>
      </c>
      <c r="B24" s="19" t="s">
        <v>425</v>
      </c>
      <c r="C24" s="19" t="s">
        <v>424</v>
      </c>
      <c r="D24" s="16" t="s">
        <v>430</v>
      </c>
      <c r="E24" s="60">
        <v>44592.56454861111</v>
      </c>
      <c r="F24" s="61" t="s">
        <v>402</v>
      </c>
      <c r="G24" s="16"/>
      <c r="H24" s="16">
        <v>811860</v>
      </c>
      <c r="I24" s="20" t="s">
        <v>26</v>
      </c>
      <c r="J24" s="20" t="s">
        <v>458</v>
      </c>
      <c r="K24" s="21">
        <v>44594.58221064815</v>
      </c>
      <c r="L24" s="20" t="s">
        <v>20</v>
      </c>
      <c r="M24" s="20" t="s">
        <v>28</v>
      </c>
      <c r="N24" s="53"/>
      <c r="O24" s="53"/>
      <c r="P24" s="53"/>
      <c r="Q24" s="56"/>
      <c r="R24" s="56"/>
      <c r="S24" s="56"/>
      <c r="T24" s="56"/>
      <c r="U24" s="56"/>
      <c r="V24" s="56"/>
      <c r="W24" s="56"/>
    </row>
    <row r="25" spans="1:23" s="23" customFormat="1">
      <c r="A25" s="63">
        <v>21</v>
      </c>
      <c r="B25" s="19" t="s">
        <v>425</v>
      </c>
      <c r="C25" s="19" t="s">
        <v>424</v>
      </c>
      <c r="D25" s="16" t="s">
        <v>431</v>
      </c>
      <c r="E25" s="60">
        <v>44592.565358796295</v>
      </c>
      <c r="F25" s="61" t="s">
        <v>402</v>
      </c>
      <c r="G25" s="16"/>
      <c r="H25" s="16">
        <v>811860</v>
      </c>
      <c r="I25" s="20" t="s">
        <v>26</v>
      </c>
      <c r="J25" s="20" t="s">
        <v>458</v>
      </c>
      <c r="K25" s="21">
        <v>44596.602430555555</v>
      </c>
      <c r="L25" s="20" t="s">
        <v>20</v>
      </c>
      <c r="M25" s="20" t="s">
        <v>28</v>
      </c>
      <c r="N25" s="53"/>
      <c r="O25" s="53"/>
      <c r="P25" s="53"/>
      <c r="Q25" s="56"/>
      <c r="R25" s="56"/>
      <c r="S25" s="56"/>
      <c r="T25" s="56"/>
      <c r="U25" s="56"/>
      <c r="V25" s="56"/>
      <c r="W25" s="56"/>
    </row>
    <row r="26" spans="1:23" s="23" customFormat="1">
      <c r="A26" s="63">
        <v>22</v>
      </c>
      <c r="B26" t="s">
        <v>433</v>
      </c>
      <c r="C26" s="19" t="s">
        <v>432</v>
      </c>
      <c r="D26" s="16" t="s">
        <v>434</v>
      </c>
      <c r="E26" s="60">
        <v>44592.573900462965</v>
      </c>
      <c r="F26" s="61" t="s">
        <v>402</v>
      </c>
      <c r="G26" s="16"/>
      <c r="H26" s="16">
        <v>812498</v>
      </c>
      <c r="I26" s="20" t="s">
        <v>26</v>
      </c>
      <c r="J26" s="20" t="s">
        <v>458</v>
      </c>
      <c r="K26" s="21" t="s">
        <v>463</v>
      </c>
      <c r="L26" s="20" t="s">
        <v>20</v>
      </c>
      <c r="M26" s="20" t="s">
        <v>28</v>
      </c>
      <c r="N26" s="53"/>
      <c r="O26" s="53"/>
      <c r="P26" s="53"/>
      <c r="Q26" s="56"/>
      <c r="R26" s="56"/>
      <c r="S26" s="56"/>
      <c r="T26" s="56"/>
      <c r="U26" s="56"/>
      <c r="V26" s="56"/>
      <c r="W26" s="56"/>
    </row>
    <row r="27" spans="1:23" s="23" customFormat="1">
      <c r="A27" s="63">
        <v>23</v>
      </c>
      <c r="B27" s="19" t="s">
        <v>425</v>
      </c>
      <c r="C27" s="19" t="s">
        <v>424</v>
      </c>
      <c r="D27" s="16" t="s">
        <v>435</v>
      </c>
      <c r="E27" s="60">
        <v>44592.577974537038</v>
      </c>
      <c r="F27" s="61" t="s">
        <v>402</v>
      </c>
      <c r="G27" s="16"/>
      <c r="H27" s="16">
        <v>811860</v>
      </c>
      <c r="I27" s="20" t="s">
        <v>26</v>
      </c>
      <c r="J27" s="20" t="s">
        <v>458</v>
      </c>
      <c r="K27" s="21">
        <v>44600.511631944442</v>
      </c>
      <c r="L27" s="20" t="s">
        <v>20</v>
      </c>
      <c r="M27" s="20" t="s">
        <v>28</v>
      </c>
      <c r="N27" s="53"/>
      <c r="O27" s="53"/>
      <c r="P27" s="53"/>
      <c r="Q27" s="56"/>
      <c r="R27" s="56"/>
      <c r="S27" s="56"/>
      <c r="T27" s="56"/>
      <c r="U27" s="56"/>
      <c r="V27" s="56"/>
      <c r="W27" s="56"/>
    </row>
    <row r="28" spans="1:23" s="23" customFormat="1">
      <c r="A28" s="63">
        <v>24</v>
      </c>
      <c r="B28" t="s">
        <v>433</v>
      </c>
      <c r="C28" s="19" t="s">
        <v>432</v>
      </c>
      <c r="D28" s="16" t="s">
        <v>435</v>
      </c>
      <c r="E28" s="60">
        <v>44592.5780787037</v>
      </c>
      <c r="F28" s="61" t="s">
        <v>402</v>
      </c>
      <c r="G28" s="16"/>
      <c r="H28" s="16">
        <v>811860</v>
      </c>
      <c r="I28" s="20" t="s">
        <v>26</v>
      </c>
      <c r="J28" s="20" t="s">
        <v>458</v>
      </c>
      <c r="K28" s="21">
        <v>44600.511666666665</v>
      </c>
      <c r="L28" s="20" t="s">
        <v>20</v>
      </c>
      <c r="M28" s="20" t="s">
        <v>28</v>
      </c>
      <c r="N28" s="53"/>
      <c r="O28" s="53"/>
      <c r="P28" s="53"/>
      <c r="Q28" s="56"/>
      <c r="R28" s="56"/>
      <c r="S28" s="56"/>
      <c r="T28" s="56"/>
      <c r="U28" s="56"/>
      <c r="V28" s="56"/>
      <c r="W28" s="56"/>
    </row>
    <row r="29" spans="1:23" s="23" customFormat="1">
      <c r="A29" s="63">
        <v>25</v>
      </c>
      <c r="B29" t="s">
        <v>433</v>
      </c>
      <c r="C29" s="19" t="s">
        <v>432</v>
      </c>
      <c r="D29" s="16" t="s">
        <v>436</v>
      </c>
      <c r="E29" s="60">
        <v>44592.578530092593</v>
      </c>
      <c r="F29" s="61" t="s">
        <v>402</v>
      </c>
      <c r="G29" s="16"/>
      <c r="H29" s="16">
        <v>811860</v>
      </c>
      <c r="I29" s="20" t="s">
        <v>26</v>
      </c>
      <c r="J29" s="20" t="s">
        <v>458</v>
      </c>
      <c r="K29" s="21">
        <v>44594.587129629632</v>
      </c>
      <c r="L29" s="20" t="s">
        <v>20</v>
      </c>
      <c r="M29" s="20" t="s">
        <v>28</v>
      </c>
      <c r="N29" s="53"/>
      <c r="O29" s="53"/>
      <c r="P29" s="53"/>
      <c r="Q29" s="56"/>
      <c r="R29" s="56"/>
      <c r="S29" s="56"/>
      <c r="T29" s="56"/>
      <c r="U29" s="56"/>
      <c r="V29" s="56"/>
      <c r="W29" s="56"/>
    </row>
    <row r="30" spans="1:23" s="23" customFormat="1">
      <c r="A30" s="63">
        <v>26</v>
      </c>
      <c r="B30" t="s">
        <v>438</v>
      </c>
      <c r="C30" s="19" t="s">
        <v>437</v>
      </c>
      <c r="D30" s="16" t="s">
        <v>442</v>
      </c>
      <c r="E30" s="60">
        <v>44592.579826388886</v>
      </c>
      <c r="F30" s="61" t="s">
        <v>402</v>
      </c>
      <c r="G30" s="16"/>
      <c r="H30" s="16">
        <v>811860</v>
      </c>
      <c r="I30" s="20" t="s">
        <v>26</v>
      </c>
      <c r="J30" s="20" t="s">
        <v>458</v>
      </c>
      <c r="K30" s="21">
        <v>44596.550740740742</v>
      </c>
      <c r="L30" s="20" t="s">
        <v>20</v>
      </c>
      <c r="M30" s="20" t="s">
        <v>28</v>
      </c>
      <c r="N30" s="53"/>
      <c r="O30" s="53"/>
      <c r="P30" s="53"/>
      <c r="Q30" s="56"/>
      <c r="R30" s="56"/>
      <c r="S30" s="56"/>
      <c r="T30" s="56"/>
      <c r="U30" s="56"/>
      <c r="V30" s="56"/>
      <c r="W30" s="56"/>
    </row>
    <row r="31" spans="1:23" s="23" customFormat="1" ht="25.5">
      <c r="A31" s="63">
        <v>27</v>
      </c>
      <c r="B31" t="s">
        <v>438</v>
      </c>
      <c r="C31" s="19" t="s">
        <v>437</v>
      </c>
      <c r="D31" s="16" t="s">
        <v>439</v>
      </c>
      <c r="E31" s="60">
        <v>44592.581354166665</v>
      </c>
      <c r="F31" s="61" t="s">
        <v>402</v>
      </c>
      <c r="G31" s="16"/>
      <c r="H31" s="16">
        <v>811860</v>
      </c>
      <c r="I31" s="20" t="s">
        <v>26</v>
      </c>
      <c r="J31" s="20" t="s">
        <v>458</v>
      </c>
      <c r="K31" s="21">
        <v>44594.582361111112</v>
      </c>
      <c r="L31" s="20" t="s">
        <v>20</v>
      </c>
      <c r="M31" s="20" t="s">
        <v>28</v>
      </c>
      <c r="N31" s="53"/>
      <c r="O31" s="53"/>
      <c r="P31" s="53"/>
      <c r="Q31" s="56"/>
      <c r="R31" s="56"/>
      <c r="S31" s="56"/>
      <c r="T31" s="56"/>
      <c r="U31" s="56"/>
      <c r="V31" s="56"/>
      <c r="W31" s="56"/>
    </row>
    <row r="32" spans="1:23" s="23" customFormat="1" ht="25.5">
      <c r="A32" s="63">
        <v>28</v>
      </c>
      <c r="B32" s="19" t="s">
        <v>441</v>
      </c>
      <c r="C32" s="19" t="s">
        <v>440</v>
      </c>
      <c r="D32" s="16" t="s">
        <v>443</v>
      </c>
      <c r="E32" s="60">
        <v>44592.583541666667</v>
      </c>
      <c r="F32" s="61" t="s">
        <v>402</v>
      </c>
      <c r="G32" s="16"/>
      <c r="H32" s="16">
        <v>811860</v>
      </c>
      <c r="I32" s="20" t="s">
        <v>26</v>
      </c>
      <c r="J32" s="70" t="s">
        <v>458</v>
      </c>
      <c r="K32" s="21">
        <v>44596.551157407404</v>
      </c>
      <c r="L32" s="20" t="s">
        <v>20</v>
      </c>
      <c r="M32" s="20" t="s">
        <v>28</v>
      </c>
      <c r="N32" s="53"/>
      <c r="O32" s="53"/>
      <c r="P32" s="53"/>
      <c r="Q32" s="56"/>
      <c r="R32" s="56"/>
      <c r="S32" s="56"/>
      <c r="T32" s="56"/>
      <c r="U32" s="56"/>
      <c r="V32" s="56"/>
      <c r="W32" s="56"/>
    </row>
    <row r="33" spans="1:23" s="23" customFormat="1" ht="25.5">
      <c r="A33" s="63">
        <v>29</v>
      </c>
      <c r="B33" s="19" t="s">
        <v>441</v>
      </c>
      <c r="C33" s="19" t="s">
        <v>440</v>
      </c>
      <c r="D33" s="16" t="s">
        <v>444</v>
      </c>
      <c r="E33" s="60">
        <v>44592.584050925929</v>
      </c>
      <c r="F33" s="61" t="s">
        <v>402</v>
      </c>
      <c r="G33" s="25" t="s">
        <v>861</v>
      </c>
      <c r="H33" s="16">
        <v>812498</v>
      </c>
      <c r="I33" s="20" t="s">
        <v>26</v>
      </c>
      <c r="J33" s="70" t="s">
        <v>695</v>
      </c>
      <c r="K33" s="185" t="s">
        <v>862</v>
      </c>
      <c r="L33" s="20" t="s">
        <v>27</v>
      </c>
      <c r="M33" s="20" t="s">
        <v>28</v>
      </c>
      <c r="N33" s="53"/>
      <c r="O33" s="53"/>
      <c r="P33" s="53"/>
      <c r="Q33" s="56"/>
      <c r="R33" s="56"/>
      <c r="S33" s="56"/>
      <c r="T33" s="56"/>
      <c r="U33" s="56"/>
      <c r="V33" s="56"/>
      <c r="W33" s="56"/>
    </row>
    <row r="34" spans="1:23" s="23" customFormat="1" ht="25.5">
      <c r="A34" s="63">
        <v>30</v>
      </c>
      <c r="B34" t="s">
        <v>446</v>
      </c>
      <c r="C34" s="19" t="s">
        <v>445</v>
      </c>
      <c r="D34" s="16" t="s">
        <v>447</v>
      </c>
      <c r="E34" s="60">
        <v>44592.585347222222</v>
      </c>
      <c r="F34" s="61" t="s">
        <v>402</v>
      </c>
      <c r="G34" s="25" t="s">
        <v>861</v>
      </c>
      <c r="H34" s="16">
        <v>812498</v>
      </c>
      <c r="I34" s="20" t="s">
        <v>26</v>
      </c>
      <c r="J34" s="70" t="s">
        <v>695</v>
      </c>
      <c r="K34" s="185" t="s">
        <v>862</v>
      </c>
      <c r="L34" s="20" t="s">
        <v>27</v>
      </c>
      <c r="M34" s="20" t="s">
        <v>28</v>
      </c>
      <c r="N34" s="53"/>
      <c r="O34" s="53"/>
      <c r="P34" s="53"/>
      <c r="Q34" s="56"/>
      <c r="R34" s="56"/>
      <c r="S34" s="56"/>
      <c r="T34" s="56"/>
      <c r="U34" s="56"/>
      <c r="V34" s="56"/>
      <c r="W34" s="56"/>
    </row>
    <row r="35" spans="1:23" s="23" customFormat="1" ht="25.5">
      <c r="A35" s="63">
        <v>31</v>
      </c>
      <c r="B35" s="19" t="s">
        <v>438</v>
      </c>
      <c r="C35" s="19" t="s">
        <v>448</v>
      </c>
      <c r="D35" s="25" t="s">
        <v>449</v>
      </c>
      <c r="E35" s="60">
        <v>44592.586423611108</v>
      </c>
      <c r="F35" s="61" t="s">
        <v>402</v>
      </c>
      <c r="G35" s="25" t="s">
        <v>861</v>
      </c>
      <c r="H35" s="16">
        <v>812498</v>
      </c>
      <c r="I35" s="20" t="s">
        <v>26</v>
      </c>
      <c r="J35" s="70" t="s">
        <v>695</v>
      </c>
      <c r="K35" s="185" t="s">
        <v>862</v>
      </c>
      <c r="L35" s="20" t="s">
        <v>27</v>
      </c>
      <c r="M35" s="20" t="s">
        <v>28</v>
      </c>
      <c r="N35" s="53"/>
      <c r="O35" s="53"/>
      <c r="P35" s="53"/>
      <c r="Q35" s="56"/>
      <c r="R35" s="56"/>
      <c r="S35" s="56"/>
      <c r="T35" s="56"/>
      <c r="U35" s="56"/>
      <c r="V35" s="56"/>
      <c r="W35" s="56"/>
    </row>
    <row r="36" spans="1:23" s="23" customFormat="1">
      <c r="A36" s="63">
        <v>32</v>
      </c>
      <c r="B36" s="19" t="s">
        <v>425</v>
      </c>
      <c r="C36" s="19" t="s">
        <v>424</v>
      </c>
      <c r="D36" s="16" t="s">
        <v>452</v>
      </c>
      <c r="E36" s="60">
        <v>44592.588564814818</v>
      </c>
      <c r="F36" s="61" t="s">
        <v>402</v>
      </c>
      <c r="G36" s="16"/>
      <c r="H36" s="16">
        <v>811860</v>
      </c>
      <c r="I36" s="20" t="s">
        <v>26</v>
      </c>
      <c r="J36" s="20" t="s">
        <v>458</v>
      </c>
      <c r="K36" s="21">
        <v>44600.511736111112</v>
      </c>
      <c r="L36" s="20" t="s">
        <v>20</v>
      </c>
      <c r="M36" s="20" t="s">
        <v>28</v>
      </c>
      <c r="N36" s="53"/>
      <c r="O36" s="53"/>
      <c r="P36" s="53"/>
      <c r="Q36" s="56"/>
      <c r="R36" s="56"/>
      <c r="S36" s="56"/>
      <c r="T36" s="56"/>
      <c r="U36" s="56"/>
      <c r="V36" s="56"/>
      <c r="W36" s="56"/>
    </row>
    <row r="37" spans="1:23" s="23" customFormat="1">
      <c r="A37" s="63">
        <v>33</v>
      </c>
      <c r="B37" t="s">
        <v>433</v>
      </c>
      <c r="C37" s="19" t="s">
        <v>432</v>
      </c>
      <c r="D37" s="16" t="s">
        <v>452</v>
      </c>
      <c r="E37" s="60">
        <v>44593</v>
      </c>
      <c r="F37" s="61" t="s">
        <v>402</v>
      </c>
      <c r="G37" s="16"/>
      <c r="H37" s="16">
        <v>811860</v>
      </c>
      <c r="I37" s="20" t="s">
        <v>26</v>
      </c>
      <c r="J37" s="20" t="s">
        <v>458</v>
      </c>
      <c r="K37" s="21">
        <v>44600.511793981481</v>
      </c>
      <c r="L37" s="20" t="s">
        <v>20</v>
      </c>
      <c r="M37" s="20" t="s">
        <v>28</v>
      </c>
      <c r="N37" s="53"/>
      <c r="O37" s="53"/>
      <c r="P37" s="53"/>
      <c r="Q37" s="56"/>
      <c r="R37" s="56"/>
      <c r="S37" s="56"/>
      <c r="T37" s="56"/>
      <c r="U37" s="56"/>
      <c r="V37" s="56"/>
      <c r="W37" s="56"/>
    </row>
    <row r="38" spans="1:23" s="23" customFormat="1">
      <c r="A38" s="63">
        <v>34</v>
      </c>
      <c r="B38" t="s">
        <v>438</v>
      </c>
      <c r="C38" s="19" t="s">
        <v>437</v>
      </c>
      <c r="D38" s="16" t="s">
        <v>452</v>
      </c>
      <c r="E38" s="60">
        <v>44594</v>
      </c>
      <c r="F38" s="61" t="s">
        <v>402</v>
      </c>
      <c r="G38" s="16"/>
      <c r="H38" s="16">
        <v>811860</v>
      </c>
      <c r="I38" s="20" t="s">
        <v>26</v>
      </c>
      <c r="J38" s="20" t="s">
        <v>458</v>
      </c>
      <c r="K38" s="21">
        <v>44600.511817129627</v>
      </c>
      <c r="L38" s="20" t="s">
        <v>20</v>
      </c>
      <c r="M38" s="20" t="s">
        <v>28</v>
      </c>
      <c r="N38" s="53"/>
      <c r="O38" s="53"/>
      <c r="P38" s="53"/>
      <c r="Q38" s="56"/>
      <c r="R38" s="56"/>
      <c r="S38" s="56"/>
      <c r="T38" s="56"/>
      <c r="U38" s="56"/>
      <c r="V38" s="56"/>
      <c r="W38" s="56"/>
    </row>
    <row r="39" spans="1:23" s="23" customFormat="1" ht="25.5">
      <c r="A39" s="63">
        <v>35</v>
      </c>
      <c r="B39" s="19" t="s">
        <v>441</v>
      </c>
      <c r="C39" s="19" t="s">
        <v>440</v>
      </c>
      <c r="D39" s="16" t="s">
        <v>452</v>
      </c>
      <c r="E39" s="60">
        <v>44595</v>
      </c>
      <c r="F39" s="61" t="s">
        <v>402</v>
      </c>
      <c r="G39" s="16"/>
      <c r="H39" s="16">
        <v>811860</v>
      </c>
      <c r="I39" s="20" t="s">
        <v>26</v>
      </c>
      <c r="J39" s="20" t="s">
        <v>458</v>
      </c>
      <c r="K39" s="21">
        <v>44600.511840277781</v>
      </c>
      <c r="L39" s="20" t="s">
        <v>20</v>
      </c>
      <c r="M39" s="20" t="s">
        <v>28</v>
      </c>
      <c r="N39" s="53"/>
      <c r="O39" s="53"/>
      <c r="P39" s="53"/>
      <c r="Q39" s="56"/>
      <c r="R39" s="56"/>
      <c r="S39" s="56"/>
      <c r="T39" s="56"/>
      <c r="U39" s="56"/>
      <c r="V39" s="56"/>
      <c r="W39" s="56"/>
    </row>
    <row r="40" spans="1:23" s="23" customFormat="1">
      <c r="A40" s="63">
        <v>36</v>
      </c>
      <c r="B40" s="19" t="s">
        <v>425</v>
      </c>
      <c r="C40" s="19" t="s">
        <v>424</v>
      </c>
      <c r="D40" s="16" t="s">
        <v>452</v>
      </c>
      <c r="E40" s="60">
        <v>44596</v>
      </c>
      <c r="F40" s="61" t="s">
        <v>402</v>
      </c>
      <c r="G40" s="16"/>
      <c r="H40" s="16">
        <v>811860</v>
      </c>
      <c r="I40" s="20" t="s">
        <v>26</v>
      </c>
      <c r="J40" s="20" t="s">
        <v>458</v>
      </c>
      <c r="K40" s="21">
        <v>44600.511863425927</v>
      </c>
      <c r="L40" s="20" t="s">
        <v>20</v>
      </c>
      <c r="M40" s="20" t="s">
        <v>28</v>
      </c>
      <c r="N40" s="53"/>
      <c r="O40" s="53"/>
      <c r="P40" s="53"/>
      <c r="Q40" s="56"/>
      <c r="R40" s="56"/>
      <c r="S40" s="56"/>
      <c r="T40" s="56"/>
      <c r="U40" s="56"/>
      <c r="V40" s="56"/>
      <c r="W40" s="56"/>
    </row>
    <row r="41" spans="1:23" s="23" customFormat="1" ht="25.5">
      <c r="A41" s="63">
        <v>37</v>
      </c>
      <c r="B41" t="s">
        <v>446</v>
      </c>
      <c r="C41" s="184" t="s">
        <v>445</v>
      </c>
      <c r="D41" s="16" t="s">
        <v>452</v>
      </c>
      <c r="E41" s="60">
        <v>44597</v>
      </c>
      <c r="F41" s="61" t="s">
        <v>402</v>
      </c>
      <c r="G41" s="16"/>
      <c r="H41" s="16">
        <v>811860</v>
      </c>
      <c r="I41" s="20" t="s">
        <v>26</v>
      </c>
      <c r="J41" s="20" t="s">
        <v>458</v>
      </c>
      <c r="K41" s="21">
        <v>44600.511886574073</v>
      </c>
      <c r="L41" s="20" t="s">
        <v>20</v>
      </c>
      <c r="M41" s="20" t="s">
        <v>28</v>
      </c>
      <c r="N41" s="53"/>
      <c r="O41" s="53"/>
      <c r="P41" s="53"/>
      <c r="Q41" s="56"/>
      <c r="R41" s="56"/>
      <c r="S41" s="56"/>
      <c r="T41" s="56"/>
      <c r="U41" s="56"/>
      <c r="V41" s="56"/>
      <c r="W41" s="56"/>
    </row>
    <row r="42" spans="1:23" s="23" customFormat="1">
      <c r="A42" s="63">
        <v>38</v>
      </c>
      <c r="B42" s="19">
        <v>1.1000000000000001</v>
      </c>
      <c r="C42" s="187" t="s">
        <v>469</v>
      </c>
      <c r="D42" s="25" t="s">
        <v>483</v>
      </c>
      <c r="E42" s="188">
        <v>44617</v>
      </c>
      <c r="F42" s="49" t="s">
        <v>482</v>
      </c>
      <c r="G42" s="25" t="s">
        <v>503</v>
      </c>
      <c r="H42" s="20">
        <v>812609</v>
      </c>
      <c r="I42" s="20" t="s">
        <v>26</v>
      </c>
      <c r="J42" s="61" t="s">
        <v>496</v>
      </c>
      <c r="K42" s="60">
        <v>44649.657500000001</v>
      </c>
      <c r="L42" s="20" t="s">
        <v>20</v>
      </c>
      <c r="M42" s="20" t="s">
        <v>28</v>
      </c>
      <c r="N42" s="53"/>
      <c r="O42" s="53"/>
      <c r="P42" s="53"/>
      <c r="Q42" s="56"/>
      <c r="R42" s="56"/>
      <c r="S42" s="56"/>
      <c r="T42" s="56"/>
      <c r="U42" s="56"/>
      <c r="V42" s="56"/>
      <c r="W42" s="56"/>
    </row>
    <row r="43" spans="1:23" s="23" customFormat="1">
      <c r="A43" s="63">
        <v>39</v>
      </c>
      <c r="B43" s="19">
        <v>1.1000000000000001</v>
      </c>
      <c r="C43" s="187" t="s">
        <v>469</v>
      </c>
      <c r="D43" s="25" t="s">
        <v>484</v>
      </c>
      <c r="E43" s="60">
        <v>44617.622731481482</v>
      </c>
      <c r="F43" s="61" t="s">
        <v>482</v>
      </c>
      <c r="G43" s="25" t="s">
        <v>503</v>
      </c>
      <c r="H43" s="20">
        <v>812610</v>
      </c>
      <c r="I43" s="20" t="s">
        <v>26</v>
      </c>
      <c r="J43" s="61" t="s">
        <v>496</v>
      </c>
      <c r="K43" s="60">
        <v>44650</v>
      </c>
      <c r="L43" s="20" t="s">
        <v>20</v>
      </c>
      <c r="M43" s="20" t="s">
        <v>28</v>
      </c>
      <c r="N43" s="53"/>
      <c r="O43" s="53"/>
      <c r="P43" s="53"/>
      <c r="Q43" s="56"/>
      <c r="R43" s="56"/>
      <c r="S43" s="56"/>
      <c r="T43" s="56"/>
      <c r="U43" s="56"/>
      <c r="V43" s="56"/>
      <c r="W43" s="56"/>
    </row>
    <row r="44" spans="1:23" s="23" customFormat="1">
      <c r="A44" s="63">
        <v>40</v>
      </c>
      <c r="B44" s="19">
        <v>1.1000000000000001</v>
      </c>
      <c r="C44" s="187" t="s">
        <v>469</v>
      </c>
      <c r="D44" s="25" t="s">
        <v>485</v>
      </c>
      <c r="E44" s="60">
        <v>44617.623599537037</v>
      </c>
      <c r="F44" s="61" t="s">
        <v>482</v>
      </c>
      <c r="G44" s="25" t="s">
        <v>503</v>
      </c>
      <c r="H44" s="20">
        <v>812611</v>
      </c>
      <c r="I44" s="20" t="s">
        <v>26</v>
      </c>
      <c r="J44" s="61" t="s">
        <v>496</v>
      </c>
      <c r="K44" s="60">
        <v>44651</v>
      </c>
      <c r="L44" s="20" t="s">
        <v>20</v>
      </c>
      <c r="M44" s="20" t="s">
        <v>28</v>
      </c>
      <c r="N44" s="53"/>
      <c r="O44" s="53"/>
      <c r="P44" s="53"/>
      <c r="Q44" s="56"/>
      <c r="R44" s="56"/>
      <c r="S44" s="56"/>
      <c r="T44" s="56"/>
      <c r="U44" s="56"/>
      <c r="V44" s="56"/>
      <c r="W44" s="56"/>
    </row>
    <row r="45" spans="1:23" s="23" customFormat="1" ht="25.5">
      <c r="A45" s="63">
        <v>41</v>
      </c>
      <c r="B45" s="19">
        <v>1.1000000000000001</v>
      </c>
      <c r="C45" s="187" t="s">
        <v>470</v>
      </c>
      <c r="D45" s="25" t="s">
        <v>486</v>
      </c>
      <c r="E45" s="60">
        <v>44617.623599537037</v>
      </c>
      <c r="F45" s="61" t="s">
        <v>482</v>
      </c>
      <c r="G45" s="25" t="s">
        <v>504</v>
      </c>
      <c r="H45" s="20"/>
      <c r="I45" s="20" t="s">
        <v>26</v>
      </c>
      <c r="J45" s="70" t="s">
        <v>402</v>
      </c>
      <c r="K45" s="21">
        <v>44649.666608796295</v>
      </c>
      <c r="L45" s="20" t="s">
        <v>21</v>
      </c>
      <c r="M45" s="20" t="s">
        <v>28</v>
      </c>
      <c r="N45" s="53"/>
      <c r="O45" s="53"/>
      <c r="P45" s="53"/>
      <c r="Q45" s="56"/>
      <c r="R45" s="56"/>
      <c r="S45" s="56"/>
      <c r="T45" s="56"/>
      <c r="U45" s="56"/>
      <c r="V45" s="56"/>
      <c r="W45" s="56"/>
    </row>
    <row r="46" spans="1:23" s="23" customFormat="1" ht="25.5">
      <c r="A46" s="63">
        <v>42</v>
      </c>
      <c r="B46" s="19">
        <v>1.1000000000000001</v>
      </c>
      <c r="C46" s="184" t="s">
        <v>471</v>
      </c>
      <c r="D46" s="25" t="s">
        <v>487</v>
      </c>
      <c r="E46" s="60">
        <v>44617.623599537037</v>
      </c>
      <c r="F46" s="61" t="s">
        <v>482</v>
      </c>
      <c r="G46" s="25" t="s">
        <v>504</v>
      </c>
      <c r="H46" s="20"/>
      <c r="I46" s="20" t="s">
        <v>26</v>
      </c>
      <c r="J46" s="70" t="s">
        <v>402</v>
      </c>
      <c r="K46" s="21">
        <v>44649.666608796295</v>
      </c>
      <c r="L46" s="20" t="s">
        <v>21</v>
      </c>
      <c r="M46" s="20" t="s">
        <v>28</v>
      </c>
      <c r="N46" s="53"/>
      <c r="O46" s="53"/>
      <c r="P46" s="53"/>
      <c r="Q46" s="56"/>
      <c r="R46" s="56"/>
      <c r="S46" s="56"/>
      <c r="T46" s="56"/>
      <c r="U46" s="56"/>
      <c r="V46" s="56"/>
      <c r="W46" s="56"/>
    </row>
    <row r="47" spans="1:23" s="23" customFormat="1" ht="25.5">
      <c r="A47" s="63">
        <v>43</v>
      </c>
      <c r="B47" s="19">
        <v>1.1000000000000001</v>
      </c>
      <c r="C47" s="184" t="s">
        <v>473</v>
      </c>
      <c r="D47" s="25" t="s">
        <v>488</v>
      </c>
      <c r="E47" s="60">
        <v>44617.623599537037</v>
      </c>
      <c r="F47" s="61" t="s">
        <v>482</v>
      </c>
      <c r="G47" s="25" t="s">
        <v>504</v>
      </c>
      <c r="H47" s="20"/>
      <c r="I47" s="20" t="s">
        <v>26</v>
      </c>
      <c r="J47" s="70" t="s">
        <v>402</v>
      </c>
      <c r="K47" s="21">
        <v>44649.666608796295</v>
      </c>
      <c r="L47" s="20" t="s">
        <v>21</v>
      </c>
      <c r="M47" s="20" t="s">
        <v>28</v>
      </c>
      <c r="N47" s="53"/>
      <c r="O47" s="53"/>
      <c r="P47" s="53"/>
      <c r="Q47" s="56"/>
      <c r="R47" s="56"/>
      <c r="S47" s="56"/>
      <c r="T47" s="56"/>
      <c r="U47" s="56"/>
      <c r="V47" s="56"/>
      <c r="W47" s="56"/>
    </row>
    <row r="48" spans="1:23" s="23" customFormat="1" ht="25.5">
      <c r="A48" s="63">
        <v>44</v>
      </c>
      <c r="B48" s="19">
        <v>1.1000000000000001</v>
      </c>
      <c r="C48" s="184" t="s">
        <v>474</v>
      </c>
      <c r="D48" s="25" t="s">
        <v>489</v>
      </c>
      <c r="E48" s="60">
        <v>44617.626504629632</v>
      </c>
      <c r="F48" s="61" t="s">
        <v>482</v>
      </c>
      <c r="G48" s="25" t="s">
        <v>504</v>
      </c>
      <c r="H48" s="20"/>
      <c r="I48" s="20" t="s">
        <v>26</v>
      </c>
      <c r="J48" s="70" t="s">
        <v>402</v>
      </c>
      <c r="K48" s="21">
        <v>44649.666608796295</v>
      </c>
      <c r="L48" s="20" t="s">
        <v>21</v>
      </c>
      <c r="M48" s="20" t="s">
        <v>28</v>
      </c>
      <c r="N48" s="53"/>
      <c r="O48" s="53"/>
      <c r="P48" s="53"/>
      <c r="Q48" s="56"/>
      <c r="R48" s="56"/>
      <c r="S48" s="56"/>
      <c r="T48" s="56"/>
      <c r="U48" s="56"/>
      <c r="V48" s="56"/>
      <c r="W48" s="56"/>
    </row>
    <row r="49" spans="1:23" s="23" customFormat="1" ht="25.5">
      <c r="A49" s="63">
        <v>45</v>
      </c>
      <c r="B49" s="19">
        <v>1.1000000000000001</v>
      </c>
      <c r="C49" s="184" t="s">
        <v>474</v>
      </c>
      <c r="D49" s="25" t="s">
        <v>490</v>
      </c>
      <c r="E49" s="60">
        <v>44617.627511574072</v>
      </c>
      <c r="F49" s="61" t="s">
        <v>482</v>
      </c>
      <c r="G49" s="25" t="s">
        <v>504</v>
      </c>
      <c r="H49" s="20"/>
      <c r="I49" s="20" t="s">
        <v>26</v>
      </c>
      <c r="J49" s="70" t="s">
        <v>402</v>
      </c>
      <c r="K49" s="21">
        <v>44649.666608796295</v>
      </c>
      <c r="L49" s="20" t="s">
        <v>21</v>
      </c>
      <c r="M49" s="20" t="s">
        <v>28</v>
      </c>
      <c r="N49" s="53"/>
      <c r="O49" s="53"/>
      <c r="P49" s="53"/>
      <c r="Q49" s="56"/>
      <c r="R49" s="56"/>
      <c r="S49" s="56"/>
      <c r="T49" s="56"/>
      <c r="U49" s="56"/>
      <c r="V49" s="56"/>
      <c r="W49" s="56"/>
    </row>
    <row r="50" spans="1:23" s="23" customFormat="1" ht="25.5">
      <c r="A50" s="63">
        <v>46</v>
      </c>
      <c r="B50" s="19" t="s">
        <v>495</v>
      </c>
      <c r="C50" s="184" t="s">
        <v>408</v>
      </c>
      <c r="D50" s="25" t="s">
        <v>497</v>
      </c>
      <c r="E50" s="60">
        <v>44635.652905092589</v>
      </c>
      <c r="F50" s="61" t="s">
        <v>496</v>
      </c>
      <c r="G50" s="25" t="s">
        <v>500</v>
      </c>
      <c r="H50" s="20">
        <v>812609</v>
      </c>
      <c r="I50" s="20" t="s">
        <v>26</v>
      </c>
      <c r="J50" s="70" t="s">
        <v>402</v>
      </c>
      <c r="K50" s="21">
        <v>44637.644791666666</v>
      </c>
      <c r="L50" s="20" t="s">
        <v>20</v>
      </c>
      <c r="M50" s="20" t="s">
        <v>28</v>
      </c>
      <c r="N50" s="53"/>
      <c r="O50" s="53"/>
      <c r="P50" s="53"/>
      <c r="Q50" s="56"/>
      <c r="R50" s="56"/>
      <c r="S50" s="56"/>
      <c r="T50" s="56"/>
      <c r="U50" s="56"/>
      <c r="V50" s="56"/>
      <c r="W50" s="56"/>
    </row>
    <row r="51" spans="1:23" s="23" customFormat="1">
      <c r="A51" s="63">
        <v>47</v>
      </c>
      <c r="B51" s="189" t="s">
        <v>498</v>
      </c>
      <c r="C51" s="19" t="s">
        <v>432</v>
      </c>
      <c r="D51" s="25" t="s">
        <v>499</v>
      </c>
      <c r="E51" s="60">
        <v>44635.652905092589</v>
      </c>
      <c r="F51" s="61" t="s">
        <v>496</v>
      </c>
      <c r="G51" s="16" t="s">
        <v>501</v>
      </c>
      <c r="H51" s="20">
        <v>812609</v>
      </c>
      <c r="I51" s="20" t="s">
        <v>26</v>
      </c>
      <c r="J51" s="70" t="s">
        <v>402</v>
      </c>
      <c r="K51" s="21">
        <v>44637.704039351855</v>
      </c>
      <c r="L51" s="20" t="s">
        <v>20</v>
      </c>
      <c r="M51" s="20" t="s">
        <v>28</v>
      </c>
      <c r="N51" s="53"/>
      <c r="O51" s="53"/>
      <c r="P51" s="53"/>
      <c r="Q51" s="56"/>
      <c r="R51" s="56"/>
      <c r="S51" s="56"/>
      <c r="T51" s="56"/>
      <c r="U51" s="56"/>
      <c r="V51" s="56"/>
      <c r="W51" s="56"/>
    </row>
    <row r="52" spans="1:23" s="23" customFormat="1">
      <c r="A52" s="63">
        <v>48</v>
      </c>
      <c r="B52" s="19">
        <v>1.4</v>
      </c>
      <c r="C52" s="187" t="s">
        <v>469</v>
      </c>
      <c r="D52" s="25" t="s">
        <v>502</v>
      </c>
      <c r="E52" s="60">
        <v>44655.657500000001</v>
      </c>
      <c r="F52" s="61" t="s">
        <v>402</v>
      </c>
      <c r="G52" s="16"/>
      <c r="H52" s="20"/>
      <c r="I52" s="20" t="s">
        <v>26</v>
      </c>
      <c r="J52" s="20" t="s">
        <v>402</v>
      </c>
      <c r="K52" s="60">
        <v>44655.657500000001</v>
      </c>
      <c r="L52" s="20" t="s">
        <v>27</v>
      </c>
      <c r="M52" s="20" t="s">
        <v>28</v>
      </c>
      <c r="N52" s="53"/>
      <c r="O52" s="53"/>
      <c r="P52" s="53"/>
      <c r="Q52" s="56"/>
      <c r="R52" s="56"/>
      <c r="S52" s="56"/>
      <c r="T52" s="56"/>
      <c r="U52" s="56"/>
      <c r="V52" s="56"/>
      <c r="W52" s="56"/>
    </row>
    <row r="53" spans="1:23" s="23" customFormat="1">
      <c r="A53" s="63">
        <v>49</v>
      </c>
      <c r="B53" s="19">
        <v>1.2</v>
      </c>
      <c r="C53" s="187" t="s">
        <v>470</v>
      </c>
      <c r="D53" s="25" t="s">
        <v>502</v>
      </c>
      <c r="E53" s="60">
        <v>44655.657500000001</v>
      </c>
      <c r="F53" s="61" t="s">
        <v>402</v>
      </c>
      <c r="G53" s="16"/>
      <c r="H53" s="20"/>
      <c r="I53" s="20" t="s">
        <v>26</v>
      </c>
      <c r="J53" s="20" t="s">
        <v>402</v>
      </c>
      <c r="K53" s="60">
        <v>44655.657500000001</v>
      </c>
      <c r="L53" s="20" t="s">
        <v>27</v>
      </c>
      <c r="M53" s="20" t="s">
        <v>28</v>
      </c>
      <c r="N53" s="53"/>
      <c r="O53" s="53"/>
      <c r="P53" s="53"/>
      <c r="Q53" s="56"/>
      <c r="R53" s="56"/>
      <c r="S53" s="56"/>
      <c r="T53" s="56"/>
      <c r="U53" s="56"/>
      <c r="V53" s="56"/>
      <c r="W53" s="56"/>
    </row>
    <row r="54" spans="1:23" s="23" customFormat="1" ht="25.5">
      <c r="A54" s="63">
        <v>50</v>
      </c>
      <c r="B54" s="19">
        <v>1.2</v>
      </c>
      <c r="C54" s="184" t="s">
        <v>471</v>
      </c>
      <c r="D54" s="25" t="s">
        <v>502</v>
      </c>
      <c r="E54" s="60">
        <v>44655.657500000001</v>
      </c>
      <c r="F54" s="61" t="s">
        <v>402</v>
      </c>
      <c r="G54" s="16"/>
      <c r="H54" s="20"/>
      <c r="I54" s="20" t="s">
        <v>26</v>
      </c>
      <c r="J54" s="20" t="s">
        <v>402</v>
      </c>
      <c r="K54" s="60">
        <v>44655.657500000001</v>
      </c>
      <c r="L54" s="20" t="s">
        <v>27</v>
      </c>
      <c r="M54" s="20" t="s">
        <v>28</v>
      </c>
      <c r="N54" s="53"/>
      <c r="O54" s="53"/>
      <c r="P54" s="53"/>
      <c r="Q54" s="56"/>
      <c r="R54" s="56"/>
      <c r="S54" s="56"/>
      <c r="T54" s="56"/>
      <c r="U54" s="56"/>
      <c r="V54" s="56"/>
      <c r="W54" s="56"/>
    </row>
    <row r="55" spans="1:23" s="23" customFormat="1" ht="25.5">
      <c r="A55" s="63">
        <v>51</v>
      </c>
      <c r="B55" s="19">
        <v>1.2</v>
      </c>
      <c r="C55" s="184" t="s">
        <v>472</v>
      </c>
      <c r="D55" s="25" t="s">
        <v>502</v>
      </c>
      <c r="E55" s="60">
        <v>44655.657500000001</v>
      </c>
      <c r="F55" s="61" t="s">
        <v>402</v>
      </c>
      <c r="G55" s="16"/>
      <c r="H55" s="20"/>
      <c r="I55" s="20" t="s">
        <v>26</v>
      </c>
      <c r="J55" s="20" t="s">
        <v>402</v>
      </c>
      <c r="K55" s="60">
        <v>44655.657500000001</v>
      </c>
      <c r="L55" s="20" t="s">
        <v>27</v>
      </c>
      <c r="M55" s="20" t="s">
        <v>28</v>
      </c>
      <c r="N55" s="53"/>
      <c r="O55" s="53"/>
      <c r="P55" s="53"/>
      <c r="Q55" s="56"/>
      <c r="R55" s="56"/>
      <c r="S55" s="56"/>
      <c r="T55" s="56"/>
      <c r="U55" s="56"/>
      <c r="V55" s="56"/>
      <c r="W55" s="56"/>
    </row>
    <row r="56" spans="1:23" s="23" customFormat="1">
      <c r="A56" s="63">
        <v>52</v>
      </c>
      <c r="B56" s="19">
        <v>1.3</v>
      </c>
      <c r="C56" s="184" t="s">
        <v>473</v>
      </c>
      <c r="D56" s="25" t="s">
        <v>502</v>
      </c>
      <c r="E56" s="60">
        <v>44655.657500000001</v>
      </c>
      <c r="F56" s="61" t="s">
        <v>402</v>
      </c>
      <c r="G56" s="16"/>
      <c r="H56" s="20"/>
      <c r="I56" s="20" t="s">
        <v>26</v>
      </c>
      <c r="J56" s="20" t="s">
        <v>402</v>
      </c>
      <c r="K56" s="60">
        <v>44655.657500000001</v>
      </c>
      <c r="L56" s="20" t="s">
        <v>27</v>
      </c>
      <c r="M56" s="20" t="s">
        <v>28</v>
      </c>
      <c r="N56" s="53"/>
      <c r="O56" s="53"/>
      <c r="P56" s="53"/>
      <c r="Q56" s="56"/>
      <c r="R56" s="56"/>
      <c r="S56" s="56"/>
      <c r="T56" s="56"/>
      <c r="U56" s="56"/>
      <c r="V56" s="56"/>
      <c r="W56" s="56"/>
    </row>
    <row r="57" spans="1:23" s="23" customFormat="1" ht="25.5">
      <c r="A57" s="63">
        <v>53</v>
      </c>
      <c r="B57" s="19">
        <v>1.3</v>
      </c>
      <c r="C57" s="184" t="s">
        <v>474</v>
      </c>
      <c r="D57" s="25" t="s">
        <v>502</v>
      </c>
      <c r="E57" s="60">
        <v>44655.657500000001</v>
      </c>
      <c r="F57" s="61" t="s">
        <v>402</v>
      </c>
      <c r="G57" s="16"/>
      <c r="H57" s="20"/>
      <c r="I57" s="20" t="s">
        <v>26</v>
      </c>
      <c r="J57" s="20" t="s">
        <v>402</v>
      </c>
      <c r="K57" s="60">
        <v>44655.657500000001</v>
      </c>
      <c r="L57" s="20" t="s">
        <v>27</v>
      </c>
      <c r="M57" s="20" t="s">
        <v>28</v>
      </c>
      <c r="N57" s="53"/>
      <c r="O57" s="53"/>
      <c r="P57" s="53"/>
      <c r="Q57" s="56"/>
      <c r="R57" s="56"/>
      <c r="S57" s="56"/>
      <c r="T57" s="56"/>
      <c r="U57" s="56"/>
      <c r="V57" s="56"/>
      <c r="W57" s="56"/>
    </row>
    <row r="58" spans="1:23" s="23" customFormat="1" ht="25.5">
      <c r="A58" s="63">
        <v>54</v>
      </c>
      <c r="B58" s="19">
        <v>1.4</v>
      </c>
      <c r="C58" s="184" t="s">
        <v>513</v>
      </c>
      <c r="D58" s="191" t="s">
        <v>516</v>
      </c>
      <c r="E58" s="60">
        <v>44659.60732638889</v>
      </c>
      <c r="F58" s="61" t="s">
        <v>496</v>
      </c>
      <c r="G58" s="25" t="s">
        <v>541</v>
      </c>
      <c r="H58" s="20"/>
      <c r="I58" s="20" t="s">
        <v>26</v>
      </c>
      <c r="J58" s="70" t="s">
        <v>535</v>
      </c>
      <c r="K58" s="21">
        <v>44663.492118055554</v>
      </c>
      <c r="L58" s="20" t="s">
        <v>20</v>
      </c>
      <c r="M58" s="20" t="s">
        <v>28</v>
      </c>
      <c r="N58" s="53"/>
      <c r="O58" s="53"/>
      <c r="P58" s="53"/>
      <c r="Q58" s="56"/>
      <c r="R58" s="56"/>
      <c r="S58" s="56"/>
      <c r="T58" s="56"/>
      <c r="U58" s="56"/>
      <c r="V58" s="56"/>
      <c r="W58" s="56"/>
    </row>
    <row r="59" spans="1:23" s="23" customFormat="1" ht="25.5">
      <c r="A59" s="63">
        <v>55</v>
      </c>
      <c r="B59" s="19">
        <v>1.4</v>
      </c>
      <c r="C59" s="184" t="s">
        <v>513</v>
      </c>
      <c r="D59" s="25" t="s">
        <v>517</v>
      </c>
      <c r="E59" s="60">
        <v>44659.608993055554</v>
      </c>
      <c r="F59" s="61" t="s">
        <v>496</v>
      </c>
      <c r="G59" s="25" t="s">
        <v>538</v>
      </c>
      <c r="H59" s="20"/>
      <c r="I59" s="20" t="s">
        <v>26</v>
      </c>
      <c r="J59" s="70" t="s">
        <v>535</v>
      </c>
      <c r="K59" s="21">
        <v>44662.654675925929</v>
      </c>
      <c r="L59" s="20" t="s">
        <v>20</v>
      </c>
      <c r="M59" s="20" t="s">
        <v>28</v>
      </c>
      <c r="N59" s="53"/>
      <c r="O59" s="53"/>
      <c r="P59" s="53"/>
      <c r="Q59" s="56"/>
      <c r="R59" s="56"/>
      <c r="S59" s="56"/>
      <c r="T59" s="56"/>
      <c r="U59" s="56"/>
      <c r="V59" s="56"/>
      <c r="W59" s="56"/>
    </row>
    <row r="60" spans="1:23" s="23" customFormat="1" ht="25.5">
      <c r="A60" s="63">
        <v>56</v>
      </c>
      <c r="B60" s="19">
        <v>1.4</v>
      </c>
      <c r="C60" s="184" t="s">
        <v>513</v>
      </c>
      <c r="D60" s="25" t="s">
        <v>518</v>
      </c>
      <c r="E60" s="60">
        <v>44659.612384259257</v>
      </c>
      <c r="F60" s="61" t="s">
        <v>496</v>
      </c>
      <c r="G60" s="25" t="s">
        <v>537</v>
      </c>
      <c r="H60" s="20"/>
      <c r="I60" s="20" t="s">
        <v>26</v>
      </c>
      <c r="J60" s="70" t="s">
        <v>535</v>
      </c>
      <c r="K60" s="21">
        <v>44662.654629629629</v>
      </c>
      <c r="L60" s="20" t="s">
        <v>20</v>
      </c>
      <c r="M60" s="20" t="s">
        <v>28</v>
      </c>
      <c r="N60" s="53"/>
      <c r="O60" s="53"/>
      <c r="P60" s="53"/>
      <c r="Q60" s="56"/>
      <c r="R60" s="56"/>
      <c r="S60" s="56"/>
      <c r="T60" s="56"/>
      <c r="U60" s="56"/>
      <c r="V60" s="56"/>
      <c r="W60" s="56"/>
    </row>
    <row r="61" spans="1:23" s="23" customFormat="1" ht="25.5">
      <c r="A61" s="63">
        <v>57</v>
      </c>
      <c r="B61" s="19">
        <v>1.4</v>
      </c>
      <c r="C61" s="184" t="s">
        <v>513</v>
      </c>
      <c r="D61" s="16" t="s">
        <v>519</v>
      </c>
      <c r="E61" s="60">
        <v>44659.616249999999</v>
      </c>
      <c r="F61" s="61" t="s">
        <v>496</v>
      </c>
      <c r="G61" s="16" t="s">
        <v>540</v>
      </c>
      <c r="H61" s="20">
        <v>812886</v>
      </c>
      <c r="I61" s="20" t="s">
        <v>26</v>
      </c>
      <c r="J61" s="70" t="s">
        <v>535</v>
      </c>
      <c r="K61" s="21" t="s">
        <v>539</v>
      </c>
      <c r="L61" s="20" t="s">
        <v>21</v>
      </c>
      <c r="M61" s="20" t="s">
        <v>28</v>
      </c>
      <c r="N61" s="53"/>
      <c r="O61" s="53"/>
      <c r="P61" s="53"/>
      <c r="Q61" s="56"/>
      <c r="R61" s="56"/>
      <c r="S61" s="56"/>
      <c r="T61" s="56"/>
      <c r="U61" s="56"/>
      <c r="V61" s="56"/>
      <c r="W61" s="56"/>
    </row>
    <row r="62" spans="1:23" s="23" customFormat="1" ht="25.5">
      <c r="A62" s="63">
        <v>58</v>
      </c>
      <c r="B62" s="184" t="s">
        <v>521</v>
      </c>
      <c r="C62" s="184" t="s">
        <v>520</v>
      </c>
      <c r="D62" s="25" t="s">
        <v>522</v>
      </c>
      <c r="E62" s="60">
        <v>44659.748668981483</v>
      </c>
      <c r="F62" s="61" t="s">
        <v>402</v>
      </c>
      <c r="G62" s="25" t="s">
        <v>536</v>
      </c>
      <c r="H62" s="20"/>
      <c r="I62" s="20" t="s">
        <v>26</v>
      </c>
      <c r="J62" s="20" t="s">
        <v>535</v>
      </c>
      <c r="K62" s="21">
        <v>44662.653020833335</v>
      </c>
      <c r="L62" s="20" t="s">
        <v>20</v>
      </c>
      <c r="M62" s="20" t="s">
        <v>28</v>
      </c>
      <c r="N62" s="53"/>
      <c r="O62" s="53"/>
      <c r="P62" s="53"/>
      <c r="Q62" s="56"/>
      <c r="R62" s="56"/>
      <c r="S62" s="56"/>
      <c r="T62" s="56"/>
      <c r="U62" s="56"/>
      <c r="V62" s="56"/>
      <c r="W62" s="56"/>
    </row>
    <row r="63" spans="1:23" s="23" customFormat="1">
      <c r="A63" s="63">
        <v>59</v>
      </c>
      <c r="B63" s="19" t="s">
        <v>525</v>
      </c>
      <c r="C63" s="184" t="s">
        <v>448</v>
      </c>
      <c r="D63" s="16" t="s">
        <v>502</v>
      </c>
      <c r="E63" s="60">
        <v>44662.561388888891</v>
      </c>
      <c r="F63" s="61" t="s">
        <v>402</v>
      </c>
      <c r="G63" s="16"/>
      <c r="H63" s="20"/>
      <c r="I63" s="20" t="s">
        <v>26</v>
      </c>
      <c r="J63" s="20" t="s">
        <v>402</v>
      </c>
      <c r="K63" s="21">
        <v>44662.56144675926</v>
      </c>
      <c r="L63" s="20" t="s">
        <v>27</v>
      </c>
      <c r="M63" s="20" t="s">
        <v>28</v>
      </c>
      <c r="N63" s="53"/>
      <c r="O63" s="53"/>
      <c r="P63" s="53"/>
      <c r="Q63" s="56"/>
      <c r="R63" s="56"/>
      <c r="S63" s="56"/>
      <c r="T63" s="56"/>
      <c r="U63" s="56"/>
      <c r="V63" s="56"/>
      <c r="W63" s="56"/>
    </row>
    <row r="64" spans="1:23" s="23" customFormat="1">
      <c r="A64" s="63">
        <v>60</v>
      </c>
      <c r="B64" s="19" t="s">
        <v>526</v>
      </c>
      <c r="C64" s="19" t="s">
        <v>432</v>
      </c>
      <c r="D64" s="16" t="s">
        <v>502</v>
      </c>
      <c r="E64" s="60">
        <v>44662.561909722222</v>
      </c>
      <c r="F64" s="61" t="s">
        <v>402</v>
      </c>
      <c r="G64" s="16"/>
      <c r="H64" s="20"/>
      <c r="I64" s="20" t="s">
        <v>26</v>
      </c>
      <c r="J64" s="20" t="s">
        <v>402</v>
      </c>
      <c r="K64" s="21">
        <v>44662.561979166669</v>
      </c>
      <c r="L64" s="20" t="s">
        <v>27</v>
      </c>
      <c r="M64" s="20" t="s">
        <v>28</v>
      </c>
      <c r="N64" s="53"/>
      <c r="O64" s="53"/>
      <c r="P64" s="53"/>
      <c r="Q64" s="56"/>
      <c r="R64" s="56"/>
      <c r="S64" s="56"/>
      <c r="T64" s="56"/>
      <c r="U64" s="56"/>
      <c r="V64" s="56"/>
      <c r="W64" s="56"/>
    </row>
    <row r="65" spans="1:23" s="23" customFormat="1">
      <c r="A65" s="63">
        <v>61</v>
      </c>
      <c r="B65" s="19" t="s">
        <v>525</v>
      </c>
      <c r="C65" s="19" t="s">
        <v>437</v>
      </c>
      <c r="D65" s="16" t="s">
        <v>502</v>
      </c>
      <c r="E65" s="60">
        <v>44662.575127314813</v>
      </c>
      <c r="F65" s="61" t="s">
        <v>402</v>
      </c>
      <c r="G65" s="16"/>
      <c r="H65" s="20"/>
      <c r="I65" s="20" t="s">
        <v>26</v>
      </c>
      <c r="J65" s="20" t="s">
        <v>402</v>
      </c>
      <c r="K65" s="21">
        <v>44662</v>
      </c>
      <c r="L65" s="20" t="s">
        <v>27</v>
      </c>
      <c r="M65" s="20" t="s">
        <v>28</v>
      </c>
      <c r="N65" s="53"/>
      <c r="O65" s="53"/>
      <c r="P65" s="53"/>
      <c r="Q65" s="56"/>
      <c r="R65" s="56"/>
      <c r="S65" s="56"/>
      <c r="T65" s="56"/>
      <c r="U65" s="56"/>
      <c r="V65" s="56"/>
      <c r="W65" s="56"/>
    </row>
    <row r="66" spans="1:23" s="23" customFormat="1" ht="25.5">
      <c r="A66" s="63">
        <v>62</v>
      </c>
      <c r="B66" s="19" t="s">
        <v>527</v>
      </c>
      <c r="C66" s="19" t="s">
        <v>440</v>
      </c>
      <c r="D66" s="16" t="s">
        <v>502</v>
      </c>
      <c r="E66" s="60">
        <v>44662.575335648151</v>
      </c>
      <c r="F66" s="61" t="s">
        <v>402</v>
      </c>
      <c r="G66" s="16"/>
      <c r="H66" s="20"/>
      <c r="I66" s="20" t="s">
        <v>26</v>
      </c>
      <c r="J66" s="20" t="s">
        <v>402</v>
      </c>
      <c r="K66" s="21">
        <v>44662</v>
      </c>
      <c r="L66" s="20" t="s">
        <v>27</v>
      </c>
      <c r="M66" s="20" t="s">
        <v>28</v>
      </c>
      <c r="N66" s="53"/>
      <c r="O66" s="53"/>
      <c r="P66" s="53"/>
      <c r="Q66" s="56"/>
      <c r="R66" s="56"/>
      <c r="S66" s="56"/>
      <c r="T66" s="56"/>
      <c r="U66" s="56"/>
      <c r="V66" s="56"/>
      <c r="W66" s="56"/>
    </row>
    <row r="67" spans="1:23" s="23" customFormat="1">
      <c r="A67" s="63">
        <v>63</v>
      </c>
      <c r="B67" s="19" t="s">
        <v>528</v>
      </c>
      <c r="C67" s="19" t="s">
        <v>424</v>
      </c>
      <c r="D67" s="16" t="s">
        <v>502</v>
      </c>
      <c r="E67" s="60">
        <v>44662.575497685182</v>
      </c>
      <c r="F67" s="61" t="s">
        <v>402</v>
      </c>
      <c r="G67" s="16"/>
      <c r="H67" s="20"/>
      <c r="I67" s="20" t="s">
        <v>26</v>
      </c>
      <c r="J67" s="20" t="s">
        <v>402</v>
      </c>
      <c r="K67" s="21">
        <v>44662</v>
      </c>
      <c r="L67" s="20" t="s">
        <v>27</v>
      </c>
      <c r="M67" s="20" t="s">
        <v>28</v>
      </c>
      <c r="N67" s="53"/>
      <c r="O67" s="53"/>
      <c r="P67" s="53"/>
      <c r="Q67" s="56"/>
      <c r="R67" s="56"/>
      <c r="S67" s="56"/>
      <c r="T67" s="56"/>
      <c r="U67" s="56"/>
      <c r="V67" s="56"/>
      <c r="W67" s="56"/>
    </row>
    <row r="68" spans="1:23" s="23" customFormat="1" ht="25.5">
      <c r="A68" s="63">
        <v>64</v>
      </c>
      <c r="B68" s="19" t="s">
        <v>529</v>
      </c>
      <c r="C68" s="184" t="s">
        <v>445</v>
      </c>
      <c r="D68" s="16" t="s">
        <v>502</v>
      </c>
      <c r="E68" s="60">
        <v>44662.575937499998</v>
      </c>
      <c r="F68" s="61" t="s">
        <v>402</v>
      </c>
      <c r="G68" s="16"/>
      <c r="H68" s="20"/>
      <c r="I68" s="20" t="s">
        <v>26</v>
      </c>
      <c r="J68" s="20" t="s">
        <v>402</v>
      </c>
      <c r="K68" s="21">
        <v>44662</v>
      </c>
      <c r="L68" s="20" t="s">
        <v>27</v>
      </c>
      <c r="M68" s="20" t="s">
        <v>28</v>
      </c>
      <c r="N68" s="53"/>
      <c r="O68" s="53"/>
      <c r="P68" s="53"/>
      <c r="Q68" s="56"/>
      <c r="R68" s="56"/>
      <c r="S68" s="56"/>
      <c r="T68" s="56"/>
      <c r="U68" s="56"/>
      <c r="V68" s="56"/>
      <c r="W68" s="56"/>
    </row>
    <row r="69" spans="1:23" s="23" customFormat="1" ht="25.5">
      <c r="A69" s="63">
        <v>65</v>
      </c>
      <c r="B69" s="19">
        <v>1.5</v>
      </c>
      <c r="C69" s="184" t="s">
        <v>513</v>
      </c>
      <c r="D69" s="16" t="s">
        <v>502</v>
      </c>
      <c r="E69" s="60">
        <v>44663.628935185188</v>
      </c>
      <c r="F69" s="61" t="s">
        <v>496</v>
      </c>
      <c r="G69" s="16"/>
      <c r="H69" s="20"/>
      <c r="I69" s="20" t="s">
        <v>26</v>
      </c>
      <c r="J69" s="20" t="s">
        <v>496</v>
      </c>
      <c r="K69" s="21">
        <v>44663.629004629627</v>
      </c>
      <c r="L69" s="20" t="s">
        <v>27</v>
      </c>
      <c r="M69" s="20" t="s">
        <v>28</v>
      </c>
      <c r="N69" s="53"/>
      <c r="O69" s="53"/>
      <c r="P69" s="53"/>
      <c r="Q69" s="56"/>
      <c r="R69" s="56"/>
      <c r="S69" s="56"/>
      <c r="T69" s="56"/>
      <c r="U69" s="56"/>
      <c r="V69" s="56"/>
      <c r="W69" s="56"/>
    </row>
    <row r="70" spans="1:23" s="23" customFormat="1" ht="25.5">
      <c r="A70" s="63">
        <v>66</v>
      </c>
      <c r="B70" s="184" t="s">
        <v>542</v>
      </c>
      <c r="C70" s="184" t="s">
        <v>520</v>
      </c>
      <c r="D70" s="25" t="s">
        <v>502</v>
      </c>
      <c r="E70" s="60">
        <v>44664.398425925923</v>
      </c>
      <c r="F70" s="61" t="s">
        <v>402</v>
      </c>
      <c r="G70" s="16"/>
      <c r="H70" s="20"/>
      <c r="I70" s="20" t="s">
        <v>26</v>
      </c>
      <c r="J70" s="20" t="s">
        <v>402</v>
      </c>
      <c r="K70" s="21">
        <v>44664.398472222223</v>
      </c>
      <c r="L70" s="20" t="s">
        <v>27</v>
      </c>
      <c r="M70" s="20" t="s">
        <v>28</v>
      </c>
      <c r="N70" s="53"/>
      <c r="O70" s="53"/>
      <c r="P70" s="53"/>
      <c r="Q70" s="56"/>
      <c r="R70" s="56"/>
      <c r="S70" s="56"/>
      <c r="T70" s="56"/>
      <c r="U70" s="56"/>
      <c r="V70" s="56"/>
      <c r="W70" s="56"/>
    </row>
    <row r="71" spans="1:23" s="23" customFormat="1">
      <c r="A71" s="63">
        <v>67</v>
      </c>
      <c r="B71" s="184" t="s">
        <v>543</v>
      </c>
      <c r="C71" s="184" t="s">
        <v>415</v>
      </c>
      <c r="D71" s="25" t="s">
        <v>502</v>
      </c>
      <c r="E71" s="60">
        <v>44664.406655092593</v>
      </c>
      <c r="F71" s="61" t="s">
        <v>402</v>
      </c>
      <c r="G71" s="16"/>
      <c r="H71" s="20"/>
      <c r="I71" s="20" t="s">
        <v>26</v>
      </c>
      <c r="J71" s="20" t="s">
        <v>402</v>
      </c>
      <c r="K71" s="21">
        <v>44664.406724537039</v>
      </c>
      <c r="L71" s="20" t="s">
        <v>27</v>
      </c>
      <c r="M71" s="20" t="s">
        <v>28</v>
      </c>
      <c r="N71" s="53"/>
      <c r="O71" s="53"/>
      <c r="P71" s="53"/>
      <c r="Q71" s="56"/>
      <c r="R71" s="56"/>
      <c r="S71" s="56"/>
      <c r="T71" s="56"/>
      <c r="U71" s="56"/>
      <c r="V71" s="56"/>
      <c r="W71" s="56"/>
    </row>
    <row r="72" spans="1:23" s="23" customFormat="1" ht="25.5">
      <c r="A72" s="63">
        <v>68</v>
      </c>
      <c r="B72" s="184" t="s">
        <v>547</v>
      </c>
      <c r="C72" s="184" t="s">
        <v>520</v>
      </c>
      <c r="D72" s="16" t="s">
        <v>548</v>
      </c>
      <c r="E72" s="60">
        <v>44728.446331018517</v>
      </c>
      <c r="F72" s="61" t="s">
        <v>496</v>
      </c>
      <c r="G72" s="25" t="s">
        <v>563</v>
      </c>
      <c r="H72" s="20"/>
      <c r="I72" s="20" t="s">
        <v>26</v>
      </c>
      <c r="J72" s="20" t="s">
        <v>535</v>
      </c>
      <c r="K72" s="21">
        <v>44729.701956018522</v>
      </c>
      <c r="L72" s="20" t="s">
        <v>20</v>
      </c>
      <c r="M72" s="20" t="s">
        <v>28</v>
      </c>
      <c r="N72" s="53"/>
      <c r="O72" s="53"/>
      <c r="P72" s="53"/>
      <c r="Q72" s="56"/>
      <c r="R72" s="56"/>
      <c r="S72" s="56"/>
      <c r="T72" s="56"/>
      <c r="U72" s="56"/>
      <c r="V72" s="56"/>
      <c r="W72" s="56"/>
    </row>
    <row r="73" spans="1:23" s="23" customFormat="1" ht="25.5">
      <c r="A73" s="63">
        <v>69</v>
      </c>
      <c r="B73" s="184" t="s">
        <v>547</v>
      </c>
      <c r="C73" s="184" t="s">
        <v>520</v>
      </c>
      <c r="D73" s="25" t="s">
        <v>562</v>
      </c>
      <c r="E73" s="60">
        <v>44728.452256944445</v>
      </c>
      <c r="F73" s="61" t="s">
        <v>496</v>
      </c>
      <c r="G73" s="25" t="s">
        <v>563</v>
      </c>
      <c r="H73" s="20"/>
      <c r="I73" s="20" t="s">
        <v>26</v>
      </c>
      <c r="J73" s="20" t="s">
        <v>535</v>
      </c>
      <c r="K73" s="21">
        <v>44729.701979166668</v>
      </c>
      <c r="L73" s="20" t="s">
        <v>20</v>
      </c>
      <c r="M73" s="20" t="s">
        <v>28</v>
      </c>
      <c r="N73" s="53"/>
      <c r="O73" s="53"/>
      <c r="P73" s="53"/>
      <c r="Q73" s="56"/>
      <c r="R73" s="56"/>
      <c r="S73" s="56"/>
      <c r="T73" s="56"/>
      <c r="U73" s="56"/>
      <c r="V73" s="56"/>
      <c r="W73" s="56"/>
    </row>
    <row r="74" spans="1:23" s="23" customFormat="1" ht="25.5">
      <c r="A74" s="63">
        <v>70</v>
      </c>
      <c r="B74" s="184" t="s">
        <v>547</v>
      </c>
      <c r="C74" s="184" t="s">
        <v>520</v>
      </c>
      <c r="D74" s="16" t="s">
        <v>549</v>
      </c>
      <c r="E74" s="60">
        <v>44728.486377314817</v>
      </c>
      <c r="F74" s="61" t="s">
        <v>496</v>
      </c>
      <c r="G74" s="25" t="s">
        <v>563</v>
      </c>
      <c r="H74" s="20"/>
      <c r="I74" s="20" t="s">
        <v>26</v>
      </c>
      <c r="J74" s="20" t="s">
        <v>535</v>
      </c>
      <c r="K74" s="21">
        <v>44729.702002314814</v>
      </c>
      <c r="L74" s="20" t="s">
        <v>20</v>
      </c>
      <c r="M74" s="20" t="s">
        <v>28</v>
      </c>
      <c r="N74" s="53"/>
      <c r="O74" s="53"/>
      <c r="P74" s="53"/>
      <c r="Q74" s="56"/>
      <c r="R74" s="56"/>
      <c r="S74" s="56"/>
      <c r="T74" s="56"/>
      <c r="U74" s="56"/>
      <c r="V74" s="56"/>
      <c r="W74" s="56"/>
    </row>
    <row r="75" spans="1:23" s="23" customFormat="1" ht="25.5">
      <c r="A75" s="63">
        <v>71</v>
      </c>
      <c r="B75" s="184" t="s">
        <v>547</v>
      </c>
      <c r="C75" s="184" t="s">
        <v>520</v>
      </c>
      <c r="D75" s="16" t="s">
        <v>550</v>
      </c>
      <c r="E75" s="60">
        <v>44728.486435185187</v>
      </c>
      <c r="F75" s="61" t="s">
        <v>496</v>
      </c>
      <c r="G75" s="25" t="s">
        <v>563</v>
      </c>
      <c r="H75" s="20"/>
      <c r="I75" s="20" t="s">
        <v>26</v>
      </c>
      <c r="J75" s="20" t="s">
        <v>535</v>
      </c>
      <c r="K75" s="21">
        <v>44729.702025462961</v>
      </c>
      <c r="L75" s="20" t="s">
        <v>20</v>
      </c>
      <c r="M75" s="20" t="s">
        <v>28</v>
      </c>
      <c r="N75" s="53"/>
      <c r="O75" s="53"/>
      <c r="P75" s="53"/>
      <c r="Q75" s="56"/>
      <c r="R75" s="56"/>
      <c r="S75" s="56"/>
      <c r="T75" s="56"/>
      <c r="U75" s="56"/>
      <c r="V75" s="56"/>
      <c r="W75" s="56"/>
    </row>
    <row r="76" spans="1:23" s="23" customFormat="1" ht="25.5">
      <c r="A76" s="63">
        <v>72</v>
      </c>
      <c r="B76" s="184" t="s">
        <v>547</v>
      </c>
      <c r="C76" s="184" t="s">
        <v>520</v>
      </c>
      <c r="D76" s="16" t="s">
        <v>551</v>
      </c>
      <c r="E76" s="60">
        <v>44728.487384259257</v>
      </c>
      <c r="F76" s="61" t="s">
        <v>496</v>
      </c>
      <c r="G76" s="25" t="s">
        <v>563</v>
      </c>
      <c r="H76" s="20"/>
      <c r="I76" s="20" t="s">
        <v>26</v>
      </c>
      <c r="J76" s="20" t="s">
        <v>535</v>
      </c>
      <c r="K76" s="21">
        <v>44729.702048611114</v>
      </c>
      <c r="L76" s="20" t="s">
        <v>20</v>
      </c>
      <c r="M76" s="20" t="s">
        <v>28</v>
      </c>
      <c r="N76" s="53"/>
      <c r="O76" s="53"/>
      <c r="P76" s="53"/>
      <c r="Q76" s="56"/>
      <c r="R76" s="56"/>
      <c r="S76" s="56"/>
      <c r="T76" s="56"/>
      <c r="U76" s="56"/>
      <c r="V76" s="56"/>
      <c r="W76" s="56"/>
    </row>
    <row r="77" spans="1:23" s="23" customFormat="1" ht="25.5">
      <c r="A77" s="63">
        <v>73</v>
      </c>
      <c r="B77" s="184" t="s">
        <v>547</v>
      </c>
      <c r="C77" s="184" t="s">
        <v>520</v>
      </c>
      <c r="D77" s="16" t="s">
        <v>552</v>
      </c>
      <c r="E77" s="60">
        <v>44728.508553240739</v>
      </c>
      <c r="F77" s="61" t="s">
        <v>496</v>
      </c>
      <c r="G77" s="25" t="s">
        <v>564</v>
      </c>
      <c r="H77" s="20"/>
      <c r="I77" s="20" t="s">
        <v>26</v>
      </c>
      <c r="J77" s="20" t="s">
        <v>535</v>
      </c>
      <c r="K77" s="21">
        <v>44729.70212962963</v>
      </c>
      <c r="L77" s="20" t="s">
        <v>20</v>
      </c>
      <c r="M77" s="20" t="s">
        <v>28</v>
      </c>
      <c r="N77" s="53"/>
      <c r="O77" s="53"/>
      <c r="P77" s="53"/>
      <c r="Q77" s="56"/>
      <c r="R77" s="56"/>
      <c r="S77" s="56"/>
      <c r="T77" s="56"/>
      <c r="U77" s="56"/>
      <c r="V77" s="56"/>
      <c r="W77" s="56"/>
    </row>
    <row r="78" spans="1:23" s="23" customFormat="1" ht="25.5">
      <c r="A78" s="63">
        <v>74</v>
      </c>
      <c r="B78" s="184" t="s">
        <v>547</v>
      </c>
      <c r="C78" s="184" t="s">
        <v>520</v>
      </c>
      <c r="D78" s="16" t="s">
        <v>553</v>
      </c>
      <c r="E78" s="60">
        <v>44728.510381944441</v>
      </c>
      <c r="F78" s="61" t="s">
        <v>496</v>
      </c>
      <c r="G78" s="25" t="s">
        <v>563</v>
      </c>
      <c r="H78" s="20"/>
      <c r="I78" s="20" t="s">
        <v>26</v>
      </c>
      <c r="J78" s="20" t="s">
        <v>535</v>
      </c>
      <c r="K78" s="21">
        <v>44729.702152777776</v>
      </c>
      <c r="L78" s="20" t="s">
        <v>20</v>
      </c>
      <c r="M78" s="20" t="s">
        <v>28</v>
      </c>
      <c r="N78" s="53"/>
      <c r="O78" s="53"/>
      <c r="P78" s="53"/>
      <c r="Q78" s="56"/>
      <c r="R78" s="56"/>
      <c r="S78" s="56"/>
      <c r="T78" s="56"/>
      <c r="U78" s="56"/>
      <c r="V78" s="56"/>
      <c r="W78" s="56"/>
    </row>
    <row r="79" spans="1:23" s="23" customFormat="1" ht="25.5">
      <c r="A79" s="63">
        <v>75</v>
      </c>
      <c r="B79" s="184" t="s">
        <v>547</v>
      </c>
      <c r="C79" s="184" t="s">
        <v>520</v>
      </c>
      <c r="D79" s="16" t="s">
        <v>554</v>
      </c>
      <c r="E79" s="60">
        <v>44728.513506944444</v>
      </c>
      <c r="F79" s="61" t="s">
        <v>496</v>
      </c>
      <c r="G79" s="25" t="s">
        <v>563</v>
      </c>
      <c r="H79" s="20"/>
      <c r="I79" s="20" t="s">
        <v>26</v>
      </c>
      <c r="J79" s="20" t="s">
        <v>535</v>
      </c>
      <c r="K79" s="21">
        <v>44729.702175925922</v>
      </c>
      <c r="L79" s="20" t="s">
        <v>20</v>
      </c>
      <c r="M79" s="20" t="s">
        <v>28</v>
      </c>
      <c r="N79" s="53"/>
      <c r="O79" s="53"/>
      <c r="P79" s="53"/>
      <c r="Q79" s="56"/>
      <c r="R79" s="56"/>
      <c r="S79" s="56"/>
      <c r="T79" s="56"/>
      <c r="U79" s="56"/>
      <c r="V79" s="56"/>
      <c r="W79" s="56"/>
    </row>
    <row r="80" spans="1:23" s="23" customFormat="1" ht="25.5">
      <c r="A80" s="63">
        <v>76</v>
      </c>
      <c r="B80" s="184" t="s">
        <v>547</v>
      </c>
      <c r="C80" s="184" t="s">
        <v>520</v>
      </c>
      <c r="D80" s="16" t="s">
        <v>555</v>
      </c>
      <c r="E80" s="60">
        <v>44728.515231481484</v>
      </c>
      <c r="F80" s="61" t="s">
        <v>496</v>
      </c>
      <c r="G80" s="25" t="s">
        <v>563</v>
      </c>
      <c r="H80" s="20"/>
      <c r="I80" s="20" t="s">
        <v>26</v>
      </c>
      <c r="J80" s="20" t="s">
        <v>535</v>
      </c>
      <c r="K80" s="21">
        <v>44729.702187499999</v>
      </c>
      <c r="L80" s="20" t="s">
        <v>20</v>
      </c>
      <c r="M80" s="20" t="s">
        <v>28</v>
      </c>
      <c r="N80" s="53"/>
      <c r="O80" s="53"/>
      <c r="P80" s="53"/>
      <c r="Q80" s="56"/>
      <c r="R80" s="56"/>
      <c r="S80" s="56"/>
      <c r="T80" s="56"/>
      <c r="U80" s="56"/>
      <c r="V80" s="56"/>
      <c r="W80" s="56"/>
    </row>
    <row r="81" spans="1:23" s="23" customFormat="1" ht="25.5">
      <c r="A81" s="63">
        <v>77</v>
      </c>
      <c r="B81" s="184" t="s">
        <v>547</v>
      </c>
      <c r="C81" s="184" t="s">
        <v>520</v>
      </c>
      <c r="D81" s="16" t="s">
        <v>556</v>
      </c>
      <c r="E81" s="60">
        <v>44728.519479166665</v>
      </c>
      <c r="F81" s="61" t="s">
        <v>496</v>
      </c>
      <c r="G81" s="25" t="s">
        <v>565</v>
      </c>
      <c r="H81" s="20"/>
      <c r="I81" s="20" t="s">
        <v>26</v>
      </c>
      <c r="J81" s="20" t="s">
        <v>535</v>
      </c>
      <c r="K81" s="21">
        <v>44729</v>
      </c>
      <c r="L81" s="20" t="s">
        <v>20</v>
      </c>
      <c r="M81" s="20" t="s">
        <v>28</v>
      </c>
      <c r="N81" s="53"/>
      <c r="O81" s="53"/>
      <c r="P81" s="53"/>
      <c r="Q81" s="56"/>
      <c r="R81" s="56"/>
      <c r="S81" s="56"/>
      <c r="T81" s="56"/>
      <c r="U81" s="56"/>
      <c r="V81" s="56"/>
      <c r="W81" s="56"/>
    </row>
    <row r="82" spans="1:23" s="23" customFormat="1" ht="25.5">
      <c r="A82" s="63">
        <v>78</v>
      </c>
      <c r="B82" s="184" t="s">
        <v>547</v>
      </c>
      <c r="C82" s="184" t="s">
        <v>520</v>
      </c>
      <c r="D82" s="16" t="s">
        <v>561</v>
      </c>
      <c r="E82" s="60">
        <v>44728.591319444444</v>
      </c>
      <c r="F82" s="61" t="s">
        <v>496</v>
      </c>
      <c r="G82" s="25" t="s">
        <v>563</v>
      </c>
      <c r="H82" s="20"/>
      <c r="I82" s="20" t="s">
        <v>26</v>
      </c>
      <c r="J82" s="20" t="s">
        <v>535</v>
      </c>
      <c r="K82" s="21">
        <v>44729</v>
      </c>
      <c r="L82" s="20" t="s">
        <v>20</v>
      </c>
      <c r="M82" s="20" t="s">
        <v>28</v>
      </c>
      <c r="N82" s="53"/>
      <c r="O82" s="53"/>
      <c r="P82" s="53"/>
      <c r="Q82" s="56"/>
      <c r="R82" s="56"/>
      <c r="S82" s="56"/>
      <c r="T82" s="56"/>
      <c r="U82" s="56"/>
      <c r="V82" s="56"/>
      <c r="W82" s="56"/>
    </row>
    <row r="83" spans="1:23" s="23" customFormat="1" ht="25.5">
      <c r="A83" s="63">
        <v>79</v>
      </c>
      <c r="B83" s="184" t="s">
        <v>547</v>
      </c>
      <c r="C83" s="184" t="s">
        <v>520</v>
      </c>
      <c r="D83" s="16" t="s">
        <v>559</v>
      </c>
      <c r="E83" s="60">
        <v>44728.592719907407</v>
      </c>
      <c r="F83" s="61" t="s">
        <v>496</v>
      </c>
      <c r="G83" s="25" t="s">
        <v>563</v>
      </c>
      <c r="H83" s="20"/>
      <c r="I83" s="20" t="s">
        <v>26</v>
      </c>
      <c r="J83" s="20" t="s">
        <v>535</v>
      </c>
      <c r="K83" s="21">
        <v>44729</v>
      </c>
      <c r="L83" s="20" t="s">
        <v>20</v>
      </c>
      <c r="M83" s="20" t="s">
        <v>28</v>
      </c>
      <c r="N83" s="53"/>
      <c r="O83" s="53"/>
      <c r="P83" s="53"/>
      <c r="Q83" s="56"/>
      <c r="R83" s="56"/>
      <c r="S83" s="56"/>
      <c r="T83" s="56"/>
      <c r="U83" s="56"/>
      <c r="V83" s="56"/>
      <c r="W83" s="56"/>
    </row>
    <row r="84" spans="1:23" s="23" customFormat="1" ht="25.5">
      <c r="A84" s="63">
        <v>80</v>
      </c>
      <c r="B84" s="184" t="s">
        <v>547</v>
      </c>
      <c r="C84" s="184" t="s">
        <v>520</v>
      </c>
      <c r="D84" s="16" t="s">
        <v>560</v>
      </c>
      <c r="E84" s="60">
        <v>44728.59443287037</v>
      </c>
      <c r="F84" s="61" t="s">
        <v>496</v>
      </c>
      <c r="G84" s="25" t="s">
        <v>566</v>
      </c>
      <c r="H84" s="20"/>
      <c r="I84" s="20" t="s">
        <v>26</v>
      </c>
      <c r="J84" s="20" t="s">
        <v>535</v>
      </c>
      <c r="K84" s="21">
        <v>44729</v>
      </c>
      <c r="L84" s="20" t="s">
        <v>20</v>
      </c>
      <c r="M84" s="20" t="s">
        <v>28</v>
      </c>
      <c r="N84" s="53"/>
      <c r="O84" s="53"/>
      <c r="P84" s="53"/>
      <c r="Q84" s="56"/>
      <c r="R84" s="56"/>
      <c r="S84" s="56"/>
      <c r="T84" s="56"/>
      <c r="U84" s="56"/>
      <c r="V84" s="56"/>
      <c r="W84" s="56"/>
    </row>
    <row r="85" spans="1:23" s="23" customFormat="1" ht="25.5">
      <c r="A85" s="63">
        <v>81</v>
      </c>
      <c r="B85" s="184" t="s">
        <v>570</v>
      </c>
      <c r="C85" s="184" t="s">
        <v>520</v>
      </c>
      <c r="D85" s="25" t="s">
        <v>567</v>
      </c>
      <c r="E85" s="188" t="s">
        <v>568</v>
      </c>
      <c r="F85" s="61" t="s">
        <v>496</v>
      </c>
      <c r="G85" s="16"/>
      <c r="H85" s="20"/>
      <c r="I85" s="20" t="s">
        <v>26</v>
      </c>
      <c r="J85" s="61" t="s">
        <v>496</v>
      </c>
      <c r="K85" s="188" t="s">
        <v>568</v>
      </c>
      <c r="L85" s="20" t="s">
        <v>27</v>
      </c>
      <c r="M85" s="20" t="s">
        <v>28</v>
      </c>
      <c r="N85" s="53"/>
      <c r="O85" s="53"/>
      <c r="P85" s="53"/>
      <c r="Q85" s="56"/>
      <c r="R85" s="56"/>
      <c r="S85" s="56"/>
      <c r="T85" s="56"/>
      <c r="U85" s="56"/>
      <c r="V85" s="56"/>
      <c r="W85" s="56"/>
    </row>
    <row r="86" spans="1:23" s="23" customFormat="1" ht="25.5">
      <c r="A86" s="63">
        <v>82</v>
      </c>
      <c r="B86" s="184" t="s">
        <v>573</v>
      </c>
      <c r="C86" s="184" t="s">
        <v>520</v>
      </c>
      <c r="D86" s="25" t="s">
        <v>567</v>
      </c>
      <c r="E86" s="60">
        <v>44734.493518518517</v>
      </c>
      <c r="F86" s="61" t="s">
        <v>496</v>
      </c>
      <c r="G86" s="16"/>
      <c r="H86" s="20"/>
      <c r="I86" s="20" t="s">
        <v>26</v>
      </c>
      <c r="J86" s="20" t="s">
        <v>496</v>
      </c>
      <c r="K86" s="21">
        <v>44734.493611111109</v>
      </c>
      <c r="L86" s="20" t="s">
        <v>27</v>
      </c>
      <c r="M86" s="20" t="s">
        <v>28</v>
      </c>
      <c r="N86" s="53"/>
      <c r="O86" s="53"/>
      <c r="P86" s="53"/>
      <c r="Q86" s="56"/>
      <c r="R86" s="56"/>
      <c r="S86" s="56"/>
      <c r="T86" s="56"/>
      <c r="U86" s="56"/>
      <c r="V86" s="56"/>
      <c r="W86" s="56"/>
    </row>
    <row r="87" spans="1:23" s="23" customFormat="1" ht="15">
      <c r="A87" s="63">
        <v>83</v>
      </c>
      <c r="B87" s="19">
        <v>1.6</v>
      </c>
      <c r="C87" s="201" t="s">
        <v>469</v>
      </c>
      <c r="D87" s="25" t="s">
        <v>567</v>
      </c>
      <c r="E87" s="60">
        <v>44735</v>
      </c>
      <c r="F87" s="61" t="s">
        <v>496</v>
      </c>
      <c r="G87" s="16"/>
      <c r="H87" s="20"/>
      <c r="I87" s="20" t="s">
        <v>26</v>
      </c>
      <c r="J87" s="70" t="s">
        <v>535</v>
      </c>
      <c r="K87" s="21">
        <v>44735</v>
      </c>
      <c r="L87" s="20" t="s">
        <v>27</v>
      </c>
      <c r="M87" s="20" t="s">
        <v>28</v>
      </c>
      <c r="N87" s="53"/>
      <c r="O87" s="53"/>
      <c r="P87" s="53"/>
      <c r="Q87" s="56"/>
      <c r="R87" s="56"/>
      <c r="S87" s="56"/>
      <c r="T87" s="56"/>
      <c r="U87" s="56"/>
      <c r="V87" s="56"/>
      <c r="W87" s="56"/>
    </row>
    <row r="88" spans="1:23" s="23" customFormat="1" ht="15">
      <c r="A88" s="63">
        <v>84</v>
      </c>
      <c r="B88" s="19">
        <v>1.3</v>
      </c>
      <c r="C88" s="201" t="s">
        <v>470</v>
      </c>
      <c r="D88" s="25" t="s">
        <v>567</v>
      </c>
      <c r="E88" s="60">
        <v>44735</v>
      </c>
      <c r="F88" s="61" t="s">
        <v>496</v>
      </c>
      <c r="G88" s="16"/>
      <c r="H88" s="20"/>
      <c r="I88" s="20" t="s">
        <v>26</v>
      </c>
      <c r="J88" s="70" t="s">
        <v>535</v>
      </c>
      <c r="K88" s="21">
        <v>44735</v>
      </c>
      <c r="L88" s="20" t="s">
        <v>27</v>
      </c>
      <c r="M88" s="20" t="s">
        <v>28</v>
      </c>
      <c r="N88" s="53"/>
      <c r="O88" s="53"/>
      <c r="P88" s="53"/>
      <c r="Q88" s="56"/>
      <c r="R88" s="56"/>
      <c r="S88" s="56"/>
      <c r="T88" s="56"/>
      <c r="U88" s="56"/>
      <c r="V88" s="56"/>
      <c r="W88" s="56"/>
    </row>
    <row r="89" spans="1:23" s="23" customFormat="1" ht="15">
      <c r="A89" s="63">
        <v>85</v>
      </c>
      <c r="B89" s="19">
        <v>1.3</v>
      </c>
      <c r="C89" s="201" t="s">
        <v>471</v>
      </c>
      <c r="D89" s="25" t="s">
        <v>567</v>
      </c>
      <c r="E89" s="60">
        <v>44735</v>
      </c>
      <c r="F89" s="61" t="s">
        <v>496</v>
      </c>
      <c r="G89" s="16"/>
      <c r="H89" s="20"/>
      <c r="I89" s="20" t="s">
        <v>26</v>
      </c>
      <c r="J89" s="70" t="s">
        <v>535</v>
      </c>
      <c r="K89" s="21">
        <v>44735</v>
      </c>
      <c r="L89" s="20" t="s">
        <v>27</v>
      </c>
      <c r="M89" s="20" t="s">
        <v>28</v>
      </c>
      <c r="N89" s="53"/>
      <c r="O89" s="53"/>
      <c r="P89" s="53"/>
      <c r="Q89" s="56"/>
      <c r="R89" s="56"/>
      <c r="S89" s="56"/>
      <c r="T89" s="56"/>
      <c r="U89" s="56"/>
      <c r="V89" s="56"/>
      <c r="W89" s="56"/>
    </row>
    <row r="90" spans="1:23" s="23" customFormat="1" ht="15">
      <c r="A90" s="63">
        <v>86</v>
      </c>
      <c r="B90" s="19">
        <v>1.3</v>
      </c>
      <c r="C90" s="201" t="s">
        <v>472</v>
      </c>
      <c r="D90" s="25" t="s">
        <v>567</v>
      </c>
      <c r="E90" s="60">
        <v>44735</v>
      </c>
      <c r="F90" s="61" t="s">
        <v>496</v>
      </c>
      <c r="G90" s="16"/>
      <c r="H90" s="20"/>
      <c r="I90" s="20" t="s">
        <v>26</v>
      </c>
      <c r="J90" s="70" t="s">
        <v>535</v>
      </c>
      <c r="K90" s="21">
        <v>44735</v>
      </c>
      <c r="L90" s="20" t="s">
        <v>27</v>
      </c>
      <c r="M90" s="20" t="s">
        <v>28</v>
      </c>
      <c r="N90" s="53"/>
      <c r="O90" s="53"/>
      <c r="P90" s="53"/>
      <c r="Q90" s="56"/>
      <c r="R90" s="56"/>
      <c r="S90" s="56"/>
      <c r="T90" s="56"/>
      <c r="U90" s="56"/>
      <c r="V90" s="56"/>
      <c r="W90" s="56"/>
    </row>
    <row r="91" spans="1:23" s="23" customFormat="1" ht="15">
      <c r="A91" s="63">
        <v>87</v>
      </c>
      <c r="B91" s="19">
        <v>1.4</v>
      </c>
      <c r="C91" s="201" t="s">
        <v>473</v>
      </c>
      <c r="D91" s="25" t="s">
        <v>567</v>
      </c>
      <c r="E91" s="60">
        <v>44735</v>
      </c>
      <c r="F91" s="61" t="s">
        <v>496</v>
      </c>
      <c r="G91" s="16"/>
      <c r="H91" s="20"/>
      <c r="I91" s="20" t="s">
        <v>26</v>
      </c>
      <c r="J91" s="70" t="s">
        <v>535</v>
      </c>
      <c r="K91" s="21">
        <v>44735</v>
      </c>
      <c r="L91" s="20" t="s">
        <v>27</v>
      </c>
      <c r="M91" s="20" t="s">
        <v>28</v>
      </c>
      <c r="N91" s="53"/>
      <c r="O91" s="53"/>
      <c r="P91" s="53"/>
      <c r="Q91" s="56"/>
      <c r="R91" s="56"/>
      <c r="S91" s="56"/>
      <c r="T91" s="56"/>
      <c r="U91" s="56"/>
      <c r="V91" s="56"/>
      <c r="W91" s="56"/>
    </row>
    <row r="92" spans="1:23" s="23" customFormat="1" ht="15">
      <c r="A92" s="63">
        <v>88</v>
      </c>
      <c r="B92" s="19">
        <v>1.4</v>
      </c>
      <c r="C92" s="201" t="s">
        <v>474</v>
      </c>
      <c r="D92" s="25" t="s">
        <v>567</v>
      </c>
      <c r="E92" s="60">
        <v>44735</v>
      </c>
      <c r="F92" s="61" t="s">
        <v>496</v>
      </c>
      <c r="G92" s="16"/>
      <c r="H92" s="20"/>
      <c r="I92" s="20" t="s">
        <v>26</v>
      </c>
      <c r="J92" s="70" t="s">
        <v>535</v>
      </c>
      <c r="K92" s="21">
        <v>44735</v>
      </c>
      <c r="L92" s="20" t="s">
        <v>27</v>
      </c>
      <c r="M92" s="20" t="s">
        <v>28</v>
      </c>
      <c r="N92" s="53"/>
      <c r="O92" s="53"/>
      <c r="P92" s="53"/>
      <c r="Q92" s="56"/>
      <c r="R92" s="56"/>
      <c r="S92" s="56"/>
      <c r="T92" s="56"/>
      <c r="U92" s="56"/>
      <c r="V92" s="56"/>
      <c r="W92" s="56"/>
    </row>
    <row r="93" spans="1:23" s="23" customFormat="1" ht="25.5">
      <c r="A93" s="63">
        <v>89</v>
      </c>
      <c r="B93" s="19">
        <v>1.8</v>
      </c>
      <c r="C93" s="184" t="s">
        <v>513</v>
      </c>
      <c r="D93" s="25" t="s">
        <v>567</v>
      </c>
      <c r="E93" s="60">
        <v>44740</v>
      </c>
      <c r="F93" s="49" t="s">
        <v>482</v>
      </c>
      <c r="G93" s="16"/>
      <c r="H93" s="20"/>
      <c r="I93" s="20" t="s">
        <v>26</v>
      </c>
      <c r="J93" s="70" t="s">
        <v>535</v>
      </c>
      <c r="K93" s="21">
        <v>44740</v>
      </c>
      <c r="L93" s="20" t="s">
        <v>27</v>
      </c>
      <c r="M93" s="20" t="s">
        <v>28</v>
      </c>
      <c r="N93" s="53"/>
      <c r="O93" s="53"/>
      <c r="P93" s="53"/>
      <c r="Q93" s="56"/>
      <c r="R93" s="56"/>
      <c r="S93" s="56"/>
      <c r="T93" s="56"/>
      <c r="U93" s="56"/>
      <c r="V93" s="56"/>
      <c r="W93" s="56"/>
    </row>
    <row r="94" spans="1:23" ht="38.25">
      <c r="A94" s="63">
        <v>90</v>
      </c>
      <c r="B94" s="19">
        <v>1.9</v>
      </c>
      <c r="C94" s="19" t="s">
        <v>593</v>
      </c>
      <c r="D94" s="16" t="s">
        <v>567</v>
      </c>
      <c r="E94" s="60">
        <v>44812.335821759261</v>
      </c>
      <c r="F94" s="61" t="s">
        <v>595</v>
      </c>
      <c r="G94" s="16"/>
      <c r="H94" s="20"/>
      <c r="I94" s="20" t="s">
        <v>26</v>
      </c>
      <c r="J94" s="20" t="s">
        <v>595</v>
      </c>
      <c r="K94" s="21">
        <v>44812.335925925923</v>
      </c>
      <c r="L94" s="20" t="s">
        <v>27</v>
      </c>
      <c r="M94" s="20" t="s">
        <v>28</v>
      </c>
      <c r="N94" s="53"/>
      <c r="O94" s="53"/>
      <c r="P94" s="53"/>
    </row>
    <row r="95" spans="1:23">
      <c r="A95" s="63">
        <v>91</v>
      </c>
      <c r="B95" s="19">
        <v>1.5</v>
      </c>
      <c r="C95" s="184" t="s">
        <v>469</v>
      </c>
      <c r="D95" s="25" t="s">
        <v>567</v>
      </c>
      <c r="E95" s="60">
        <v>44904</v>
      </c>
      <c r="F95" s="49" t="s">
        <v>599</v>
      </c>
      <c r="G95" s="16"/>
      <c r="H95" s="20"/>
      <c r="I95" s="20"/>
      <c r="J95" s="70" t="s">
        <v>599</v>
      </c>
      <c r="K95" s="21">
        <v>44904</v>
      </c>
      <c r="L95" s="70" t="s">
        <v>27</v>
      </c>
      <c r="M95" s="70" t="s">
        <v>28</v>
      </c>
      <c r="N95" s="53"/>
      <c r="O95" s="53"/>
      <c r="P95" s="53"/>
    </row>
    <row r="96" spans="1:23">
      <c r="A96" s="63">
        <v>92</v>
      </c>
      <c r="B96" s="202" t="s">
        <v>601</v>
      </c>
      <c r="C96" s="51" t="s">
        <v>432</v>
      </c>
      <c r="D96" s="203" t="s">
        <v>603</v>
      </c>
      <c r="E96" s="188" t="s">
        <v>604</v>
      </c>
      <c r="F96" s="188" t="s">
        <v>602</v>
      </c>
      <c r="G96" s="16"/>
      <c r="H96" s="20"/>
      <c r="I96" s="20" t="s">
        <v>26</v>
      </c>
      <c r="J96" s="70" t="s">
        <v>602</v>
      </c>
      <c r="K96" s="185" t="s">
        <v>604</v>
      </c>
      <c r="L96" s="20" t="s">
        <v>27</v>
      </c>
      <c r="M96" s="20" t="s">
        <v>28</v>
      </c>
      <c r="N96" s="53"/>
      <c r="O96" s="53"/>
      <c r="P96" s="53"/>
    </row>
    <row r="97" spans="1:16">
      <c r="A97" s="63">
        <v>93</v>
      </c>
      <c r="B97" s="202" t="s">
        <v>605</v>
      </c>
      <c r="C97" s="202" t="s">
        <v>448</v>
      </c>
      <c r="D97" s="203" t="s">
        <v>610</v>
      </c>
      <c r="E97" s="188" t="s">
        <v>604</v>
      </c>
      <c r="F97" s="188" t="s">
        <v>602</v>
      </c>
      <c r="G97" s="204"/>
      <c r="H97" s="20">
        <v>814600</v>
      </c>
      <c r="I97" s="205" t="s">
        <v>26</v>
      </c>
      <c r="J97" s="48" t="s">
        <v>695</v>
      </c>
      <c r="K97" s="206">
        <v>45209.629108796296</v>
      </c>
      <c r="L97" s="20" t="s">
        <v>20</v>
      </c>
      <c r="M97" s="20" t="s">
        <v>28</v>
      </c>
      <c r="N97" s="53"/>
      <c r="O97" s="53"/>
      <c r="P97" s="53"/>
    </row>
    <row r="98" spans="1:16">
      <c r="A98" s="63">
        <v>94</v>
      </c>
      <c r="B98" s="202" t="s">
        <v>605</v>
      </c>
      <c r="C98" s="51" t="s">
        <v>437</v>
      </c>
      <c r="D98" s="203" t="s">
        <v>606</v>
      </c>
      <c r="E98" s="188" t="s">
        <v>604</v>
      </c>
      <c r="F98" s="188" t="s">
        <v>602</v>
      </c>
      <c r="G98" s="204"/>
      <c r="H98" s="20">
        <v>814600</v>
      </c>
      <c r="I98" s="205" t="s">
        <v>26</v>
      </c>
      <c r="J98" s="48" t="s">
        <v>695</v>
      </c>
      <c r="K98" s="206">
        <v>45211.421574074076</v>
      </c>
      <c r="L98" s="20" t="s">
        <v>27</v>
      </c>
      <c r="M98" s="20" t="s">
        <v>28</v>
      </c>
      <c r="N98" s="53"/>
      <c r="O98" s="53"/>
      <c r="P98" s="53"/>
    </row>
    <row r="99" spans="1:16" ht="25.5">
      <c r="A99" s="63">
        <v>95</v>
      </c>
      <c r="B99" s="202" t="s">
        <v>607</v>
      </c>
      <c r="C99" s="51" t="s">
        <v>440</v>
      </c>
      <c r="D99" s="203" t="s">
        <v>603</v>
      </c>
      <c r="E99" s="188" t="s">
        <v>604</v>
      </c>
      <c r="F99" s="188" t="s">
        <v>602</v>
      </c>
      <c r="G99" s="204"/>
      <c r="H99" s="205"/>
      <c r="I99" s="205" t="s">
        <v>26</v>
      </c>
      <c r="J99" s="48" t="s">
        <v>602</v>
      </c>
      <c r="K99" s="206" t="s">
        <v>604</v>
      </c>
      <c r="L99" s="20" t="s">
        <v>27</v>
      </c>
      <c r="M99" s="20" t="s">
        <v>28</v>
      </c>
      <c r="N99" s="53"/>
      <c r="O99" s="53"/>
      <c r="P99" s="53"/>
    </row>
    <row r="100" spans="1:16" ht="25.5">
      <c r="A100" s="63">
        <v>96</v>
      </c>
      <c r="B100" s="202" t="s">
        <v>521</v>
      </c>
      <c r="C100" s="202" t="s">
        <v>445</v>
      </c>
      <c r="D100" s="203" t="s">
        <v>603</v>
      </c>
      <c r="E100" s="188" t="s">
        <v>604</v>
      </c>
      <c r="F100" s="188" t="s">
        <v>602</v>
      </c>
      <c r="G100" s="204"/>
      <c r="H100" s="205"/>
      <c r="I100" s="205" t="s">
        <v>26</v>
      </c>
      <c r="J100" s="48" t="s">
        <v>602</v>
      </c>
      <c r="K100" s="206" t="s">
        <v>604</v>
      </c>
      <c r="L100" s="20" t="s">
        <v>27</v>
      </c>
      <c r="M100" s="20" t="s">
        <v>28</v>
      </c>
      <c r="N100" s="53"/>
      <c r="O100" s="53"/>
      <c r="P100" s="53"/>
    </row>
    <row r="101" spans="1:16">
      <c r="A101" s="63">
        <v>97</v>
      </c>
      <c r="B101" s="184" t="s">
        <v>608</v>
      </c>
      <c r="C101" s="19" t="s">
        <v>424</v>
      </c>
      <c r="D101" s="25" t="s">
        <v>609</v>
      </c>
      <c r="E101" s="188" t="s">
        <v>604</v>
      </c>
      <c r="F101" s="188" t="s">
        <v>602</v>
      </c>
      <c r="G101" s="16"/>
      <c r="H101" s="20">
        <v>814600</v>
      </c>
      <c r="I101" s="205" t="s">
        <v>26</v>
      </c>
      <c r="J101" s="48" t="s">
        <v>695</v>
      </c>
      <c r="K101" s="206">
        <v>45209.616331018522</v>
      </c>
      <c r="L101" s="20" t="s">
        <v>27</v>
      </c>
      <c r="M101" s="20" t="s">
        <v>28</v>
      </c>
      <c r="N101" s="53"/>
      <c r="O101" s="53"/>
      <c r="P101" s="53"/>
    </row>
    <row r="102" spans="1:16" ht="63.75">
      <c r="A102" s="63">
        <v>98</v>
      </c>
      <c r="B102" s="19">
        <v>1.4</v>
      </c>
      <c r="C102" s="184" t="s">
        <v>611</v>
      </c>
      <c r="D102" s="25" t="s">
        <v>612</v>
      </c>
      <c r="E102" s="60">
        <v>44875.576620370368</v>
      </c>
      <c r="F102" s="61" t="s">
        <v>402</v>
      </c>
      <c r="G102" s="16" t="s">
        <v>637</v>
      </c>
      <c r="H102" s="20"/>
      <c r="I102" s="205" t="s">
        <v>26</v>
      </c>
      <c r="J102" s="20" t="s">
        <v>496</v>
      </c>
      <c r="K102" s="21">
        <v>44876.523564814815</v>
      </c>
      <c r="L102" s="20" t="s">
        <v>20</v>
      </c>
      <c r="M102" s="20" t="s">
        <v>28</v>
      </c>
      <c r="N102" s="53"/>
      <c r="O102" s="53"/>
      <c r="P102" s="53"/>
    </row>
    <row r="103" spans="1:16">
      <c r="A103" s="63">
        <v>99</v>
      </c>
      <c r="B103" s="19">
        <v>1.4</v>
      </c>
      <c r="C103" s="184" t="s">
        <v>611</v>
      </c>
      <c r="D103" s="16" t="s">
        <v>613</v>
      </c>
      <c r="E103" s="60">
        <v>44875.604189814818</v>
      </c>
      <c r="F103" s="61" t="s">
        <v>402</v>
      </c>
      <c r="G103" s="16" t="s">
        <v>635</v>
      </c>
      <c r="H103" s="20"/>
      <c r="I103" s="205" t="s">
        <v>26</v>
      </c>
      <c r="J103" s="20" t="s">
        <v>496</v>
      </c>
      <c r="K103" s="21">
        <v>44876.520891203705</v>
      </c>
      <c r="L103" s="20" t="s">
        <v>20</v>
      </c>
      <c r="M103" s="20" t="s">
        <v>28</v>
      </c>
      <c r="N103" s="53"/>
      <c r="O103" s="53"/>
      <c r="P103" s="53"/>
    </row>
    <row r="104" spans="1:16">
      <c r="A104" s="63">
        <v>100</v>
      </c>
      <c r="B104" s="19">
        <v>1.4</v>
      </c>
      <c r="C104" s="184" t="s">
        <v>611</v>
      </c>
      <c r="D104" s="16" t="s">
        <v>614</v>
      </c>
      <c r="E104" s="60">
        <v>44875.60496527778</v>
      </c>
      <c r="F104" s="61" t="s">
        <v>402</v>
      </c>
      <c r="G104" s="16" t="s">
        <v>634</v>
      </c>
      <c r="H104" s="20"/>
      <c r="I104" s="205" t="s">
        <v>26</v>
      </c>
      <c r="J104" s="20" t="s">
        <v>496</v>
      </c>
      <c r="K104" s="21">
        <v>44876.518703703703</v>
      </c>
      <c r="L104" s="20" t="s">
        <v>20</v>
      </c>
      <c r="M104" s="20" t="s">
        <v>28</v>
      </c>
      <c r="N104" s="53"/>
      <c r="O104" s="53"/>
      <c r="P104" s="53"/>
    </row>
    <row r="105" spans="1:16" ht="51">
      <c r="A105" s="63">
        <v>101</v>
      </c>
      <c r="B105" s="19">
        <v>1.4</v>
      </c>
      <c r="C105" s="184" t="s">
        <v>611</v>
      </c>
      <c r="D105" s="16" t="s">
        <v>615</v>
      </c>
      <c r="E105" s="60">
        <v>44875.626238425924</v>
      </c>
      <c r="F105" s="61" t="s">
        <v>402</v>
      </c>
      <c r="G105" s="16" t="s">
        <v>640</v>
      </c>
      <c r="H105" s="20"/>
      <c r="I105" s="205" t="s">
        <v>26</v>
      </c>
      <c r="J105" s="20" t="s">
        <v>496</v>
      </c>
      <c r="K105" s="21">
        <v>44876.590960648151</v>
      </c>
      <c r="L105" s="20" t="s">
        <v>20</v>
      </c>
      <c r="M105" s="20" t="s">
        <v>28</v>
      </c>
      <c r="N105" s="53"/>
      <c r="O105" s="53"/>
      <c r="P105" s="53"/>
    </row>
    <row r="106" spans="1:16">
      <c r="A106" s="63">
        <v>102</v>
      </c>
      <c r="B106" s="19">
        <v>1.4</v>
      </c>
      <c r="C106" s="184" t="s">
        <v>611</v>
      </c>
      <c r="D106" s="25" t="s">
        <v>616</v>
      </c>
      <c r="E106" s="60">
        <v>44875.658819444441</v>
      </c>
      <c r="F106" s="61" t="s">
        <v>402</v>
      </c>
      <c r="G106" s="16" t="s">
        <v>639</v>
      </c>
      <c r="H106" s="20"/>
      <c r="I106" s="20" t="s">
        <v>26</v>
      </c>
      <c r="J106" s="20" t="s">
        <v>496</v>
      </c>
      <c r="K106" s="21">
        <v>44876.574432870373</v>
      </c>
      <c r="L106" s="20" t="s">
        <v>27</v>
      </c>
      <c r="M106" s="20" t="s">
        <v>28</v>
      </c>
    </row>
    <row r="107" spans="1:16" ht="114.75">
      <c r="A107" s="63">
        <v>103</v>
      </c>
      <c r="B107" s="19">
        <v>1.4</v>
      </c>
      <c r="C107" s="184" t="s">
        <v>611</v>
      </c>
      <c r="D107" s="25" t="s">
        <v>617</v>
      </c>
      <c r="E107" s="60">
        <v>44875.669710648152</v>
      </c>
      <c r="F107" s="61" t="s">
        <v>402</v>
      </c>
      <c r="G107" s="16" t="s">
        <v>640</v>
      </c>
      <c r="H107" s="20"/>
      <c r="I107" s="205" t="s">
        <v>26</v>
      </c>
      <c r="J107" s="20" t="s">
        <v>496</v>
      </c>
      <c r="K107" s="21">
        <v>44876.590995370374</v>
      </c>
      <c r="L107" s="20" t="s">
        <v>20</v>
      </c>
      <c r="M107" s="20" t="s">
        <v>28</v>
      </c>
    </row>
    <row r="108" spans="1:16">
      <c r="A108" s="63">
        <v>104</v>
      </c>
      <c r="B108" s="19">
        <v>1.4</v>
      </c>
      <c r="C108" s="184" t="s">
        <v>611</v>
      </c>
      <c r="D108" s="25" t="s">
        <v>619</v>
      </c>
      <c r="E108" s="60">
        <v>44875.687615740739</v>
      </c>
      <c r="F108" s="61" t="s">
        <v>402</v>
      </c>
      <c r="G108" s="16" t="s">
        <v>636</v>
      </c>
      <c r="H108" s="20"/>
      <c r="I108" s="205" t="s">
        <v>26</v>
      </c>
      <c r="J108" s="20" t="s">
        <v>496</v>
      </c>
      <c r="K108" s="21">
        <v>44876.521261574075</v>
      </c>
      <c r="L108" s="20" t="s">
        <v>20</v>
      </c>
      <c r="M108" s="20" t="s">
        <v>28</v>
      </c>
    </row>
    <row r="109" spans="1:16">
      <c r="A109" s="63">
        <v>105</v>
      </c>
      <c r="B109" s="184" t="s">
        <v>622</v>
      </c>
      <c r="C109" s="209" t="s">
        <v>432</v>
      </c>
      <c r="D109" s="184" t="s">
        <v>623</v>
      </c>
      <c r="E109" s="60">
        <v>44875.701006944444</v>
      </c>
      <c r="F109" s="61" t="s">
        <v>402</v>
      </c>
      <c r="G109" s="16" t="s">
        <v>638</v>
      </c>
      <c r="H109" s="20"/>
      <c r="I109" s="205" t="s">
        <v>26</v>
      </c>
      <c r="J109" s="20" t="s">
        <v>496</v>
      </c>
      <c r="K109" s="21">
        <v>44876.523923611108</v>
      </c>
      <c r="L109" s="20" t="s">
        <v>20</v>
      </c>
      <c r="M109" s="20" t="s">
        <v>28</v>
      </c>
    </row>
    <row r="110" spans="1:16">
      <c r="A110" s="63">
        <v>106</v>
      </c>
      <c r="B110" s="184" t="s">
        <v>625</v>
      </c>
      <c r="C110" s="184" t="s">
        <v>624</v>
      </c>
      <c r="D110" s="25" t="s">
        <v>502</v>
      </c>
      <c r="E110" s="60">
        <v>44875.706192129626</v>
      </c>
      <c r="F110" s="61" t="s">
        <v>402</v>
      </c>
      <c r="G110" s="16"/>
      <c r="H110" s="20"/>
      <c r="I110" s="205" t="s">
        <v>26</v>
      </c>
      <c r="J110" s="20" t="s">
        <v>496</v>
      </c>
      <c r="K110" s="21">
        <v>44876.57476851852</v>
      </c>
      <c r="L110" s="20" t="s">
        <v>27</v>
      </c>
      <c r="M110" s="20" t="s">
        <v>28</v>
      </c>
    </row>
    <row r="111" spans="1:16" ht="25.5">
      <c r="A111" s="63">
        <v>107</v>
      </c>
      <c r="B111" s="184" t="s">
        <v>626</v>
      </c>
      <c r="C111" s="184" t="s">
        <v>440</v>
      </c>
      <c r="D111" s="25" t="s">
        <v>628</v>
      </c>
      <c r="E111" s="60">
        <v>44875.70621527778</v>
      </c>
      <c r="F111" s="61" t="s">
        <v>402</v>
      </c>
      <c r="G111" s="16" t="s">
        <v>641</v>
      </c>
      <c r="H111" s="20"/>
      <c r="I111" s="205" t="s">
        <v>26</v>
      </c>
      <c r="J111" s="20" t="s">
        <v>496</v>
      </c>
      <c r="K111" s="21">
        <v>44876.59752314815</v>
      </c>
      <c r="L111" s="20" t="s">
        <v>20</v>
      </c>
      <c r="M111" s="20" t="s">
        <v>28</v>
      </c>
    </row>
    <row r="112" spans="1:16">
      <c r="A112" s="63">
        <v>108</v>
      </c>
      <c r="B112" s="210" t="s">
        <v>627</v>
      </c>
      <c r="C112" s="209" t="s">
        <v>424</v>
      </c>
      <c r="D112" s="25" t="s">
        <v>502</v>
      </c>
      <c r="E112" s="60">
        <v>44875.706250000003</v>
      </c>
      <c r="F112" s="61" t="s">
        <v>402</v>
      </c>
      <c r="G112" s="16" t="s">
        <v>641</v>
      </c>
      <c r="H112" s="20"/>
      <c r="I112" s="205" t="s">
        <v>26</v>
      </c>
      <c r="J112" s="20" t="s">
        <v>496</v>
      </c>
      <c r="K112" s="21">
        <v>44876.597557870373</v>
      </c>
      <c r="L112" s="20" t="s">
        <v>20</v>
      </c>
      <c r="M112" s="20" t="s">
        <v>28</v>
      </c>
    </row>
    <row r="113" spans="1:13">
      <c r="A113" s="63">
        <v>109</v>
      </c>
      <c r="B113" s="184" t="s">
        <v>643</v>
      </c>
      <c r="C113" s="184" t="s">
        <v>629</v>
      </c>
      <c r="D113" s="25" t="s">
        <v>502</v>
      </c>
      <c r="E113" s="60">
        <v>44875.706921296296</v>
      </c>
      <c r="F113" s="61" t="s">
        <v>402</v>
      </c>
      <c r="G113" s="16" t="s">
        <v>641</v>
      </c>
      <c r="H113" s="20"/>
      <c r="I113" s="205" t="s">
        <v>26</v>
      </c>
      <c r="J113" s="20" t="s">
        <v>496</v>
      </c>
      <c r="K113" s="21">
        <v>44876.597581018519</v>
      </c>
      <c r="L113" s="20" t="s">
        <v>20</v>
      </c>
      <c r="M113" s="20" t="s">
        <v>28</v>
      </c>
    </row>
    <row r="114" spans="1:13">
      <c r="A114" s="63">
        <v>110</v>
      </c>
      <c r="B114" s="184" t="s">
        <v>433</v>
      </c>
      <c r="C114" s="184" t="s">
        <v>624</v>
      </c>
      <c r="D114" s="25" t="s">
        <v>502</v>
      </c>
      <c r="E114" s="60">
        <v>44883.495370370372</v>
      </c>
      <c r="F114" s="61" t="s">
        <v>402</v>
      </c>
      <c r="G114" s="16"/>
      <c r="H114" s="20"/>
      <c r="I114" s="20" t="s">
        <v>26</v>
      </c>
      <c r="J114" s="20" t="s">
        <v>402</v>
      </c>
      <c r="K114" s="21">
        <v>44883.495555555557</v>
      </c>
      <c r="L114" s="20" t="s">
        <v>27</v>
      </c>
      <c r="M114" s="20" t="s">
        <v>28</v>
      </c>
    </row>
    <row r="115" spans="1:13">
      <c r="A115" s="63">
        <v>111</v>
      </c>
      <c r="B115" s="19">
        <v>1.5</v>
      </c>
      <c r="C115" s="184" t="s">
        <v>611</v>
      </c>
      <c r="D115" s="25" t="s">
        <v>644</v>
      </c>
      <c r="E115" s="60">
        <v>44883.511111111111</v>
      </c>
      <c r="F115" s="61" t="s">
        <v>402</v>
      </c>
      <c r="G115" s="16"/>
      <c r="H115" s="20"/>
      <c r="I115" s="20" t="s">
        <v>26</v>
      </c>
      <c r="J115" s="20" t="s">
        <v>402</v>
      </c>
      <c r="K115" s="21">
        <v>44883.511180555557</v>
      </c>
      <c r="L115" s="20" t="s">
        <v>27</v>
      </c>
      <c r="M115" s="20" t="s">
        <v>28</v>
      </c>
    </row>
    <row r="116" spans="1:13">
      <c r="A116" s="63">
        <v>112</v>
      </c>
      <c r="B116" s="184" t="s">
        <v>646</v>
      </c>
      <c r="C116" s="209" t="s">
        <v>432</v>
      </c>
      <c r="D116" s="25" t="s">
        <v>502</v>
      </c>
      <c r="E116" s="60">
        <v>44883.535879629628</v>
      </c>
      <c r="F116" s="61" t="s">
        <v>402</v>
      </c>
      <c r="G116" s="16"/>
      <c r="H116" s="20"/>
      <c r="I116" s="20" t="s">
        <v>26</v>
      </c>
      <c r="J116" s="20" t="s">
        <v>402</v>
      </c>
      <c r="K116" s="21">
        <v>44883.535960648151</v>
      </c>
      <c r="L116" s="20" t="s">
        <v>27</v>
      </c>
      <c r="M116" s="20" t="s">
        <v>28</v>
      </c>
    </row>
    <row r="117" spans="1:13" ht="25.5">
      <c r="A117" s="63">
        <v>113</v>
      </c>
      <c r="B117" s="19" t="s">
        <v>650</v>
      </c>
      <c r="C117" s="184" t="s">
        <v>520</v>
      </c>
      <c r="D117" s="16" t="s">
        <v>651</v>
      </c>
      <c r="E117" s="60">
        <v>44886.667407407411</v>
      </c>
      <c r="F117" s="61" t="s">
        <v>535</v>
      </c>
      <c r="G117" s="25" t="s">
        <v>663</v>
      </c>
      <c r="H117" s="20"/>
      <c r="I117" s="20" t="s">
        <v>26</v>
      </c>
      <c r="J117" s="20" t="s">
        <v>496</v>
      </c>
      <c r="K117" s="21">
        <v>44887.48170138889</v>
      </c>
      <c r="L117" s="20" t="s">
        <v>27</v>
      </c>
      <c r="M117" s="20" t="s">
        <v>28</v>
      </c>
    </row>
    <row r="118" spans="1:13" ht="25.5">
      <c r="A118" s="63">
        <v>114</v>
      </c>
      <c r="B118" s="19" t="s">
        <v>650</v>
      </c>
      <c r="C118" s="184" t="s">
        <v>520</v>
      </c>
      <c r="D118" s="16" t="s">
        <v>652</v>
      </c>
      <c r="E118" s="60">
        <v>44886.674340277779</v>
      </c>
      <c r="F118" s="61" t="s">
        <v>535</v>
      </c>
      <c r="G118" s="25" t="s">
        <v>662</v>
      </c>
      <c r="H118" s="20"/>
      <c r="I118" s="20" t="s">
        <v>26</v>
      </c>
      <c r="J118" s="20" t="s">
        <v>496</v>
      </c>
      <c r="K118" s="21">
        <v>44887.470289351855</v>
      </c>
      <c r="L118" s="20" t="s">
        <v>20</v>
      </c>
      <c r="M118" s="20" t="s">
        <v>28</v>
      </c>
    </row>
    <row r="119" spans="1:13" ht="25.5">
      <c r="A119" s="63">
        <v>115</v>
      </c>
      <c r="B119" s="19" t="s">
        <v>650</v>
      </c>
      <c r="C119" s="184" t="s">
        <v>520</v>
      </c>
      <c r="D119" s="16" t="s">
        <v>653</v>
      </c>
      <c r="E119" s="60">
        <v>44886.687303240738</v>
      </c>
      <c r="F119" s="61" t="s">
        <v>535</v>
      </c>
      <c r="G119" s="25" t="s">
        <v>661</v>
      </c>
      <c r="H119" s="20"/>
      <c r="I119" s="20" t="s">
        <v>26</v>
      </c>
      <c r="J119" s="20" t="s">
        <v>496</v>
      </c>
      <c r="K119" s="21">
        <v>44887.44427083333</v>
      </c>
      <c r="L119" s="20" t="s">
        <v>20</v>
      </c>
      <c r="M119" s="20" t="s">
        <v>28</v>
      </c>
    </row>
    <row r="120" spans="1:13" ht="25.5">
      <c r="A120" s="63">
        <v>116</v>
      </c>
      <c r="B120" s="19" t="s">
        <v>650</v>
      </c>
      <c r="C120" s="184" t="s">
        <v>520</v>
      </c>
      <c r="D120" s="16" t="s">
        <v>654</v>
      </c>
      <c r="E120" s="60">
        <v>44886.703981481478</v>
      </c>
      <c r="F120" s="61" t="s">
        <v>535</v>
      </c>
      <c r="G120" s="25" t="s">
        <v>662</v>
      </c>
      <c r="H120" s="20"/>
      <c r="I120" s="20" t="s">
        <v>26</v>
      </c>
      <c r="J120" s="20" t="s">
        <v>496</v>
      </c>
      <c r="K120" s="21">
        <v>44887.477835648147</v>
      </c>
      <c r="L120" s="20" t="s">
        <v>20</v>
      </c>
      <c r="M120" s="20" t="s">
        <v>28</v>
      </c>
    </row>
    <row r="121" spans="1:13" ht="25.5">
      <c r="A121" s="63">
        <v>117</v>
      </c>
      <c r="B121" s="19" t="s">
        <v>650</v>
      </c>
      <c r="C121" s="184" t="s">
        <v>520</v>
      </c>
      <c r="D121" s="16" t="s">
        <v>655</v>
      </c>
      <c r="E121" s="60">
        <v>44886.70921296296</v>
      </c>
      <c r="F121" s="61" t="s">
        <v>535</v>
      </c>
      <c r="G121" s="25" t="s">
        <v>662</v>
      </c>
      <c r="H121" s="20"/>
      <c r="I121" s="20" t="s">
        <v>26</v>
      </c>
      <c r="J121" s="20" t="s">
        <v>496</v>
      </c>
      <c r="K121" s="21">
        <v>44887.471701388888</v>
      </c>
      <c r="L121" s="20" t="s">
        <v>20</v>
      </c>
      <c r="M121" s="20" t="s">
        <v>28</v>
      </c>
    </row>
    <row r="122" spans="1:13" ht="25.5">
      <c r="A122" s="63">
        <v>118</v>
      </c>
      <c r="B122" s="19" t="s">
        <v>650</v>
      </c>
      <c r="C122" s="184" t="s">
        <v>520</v>
      </c>
      <c r="D122" s="16" t="s">
        <v>656</v>
      </c>
      <c r="E122" s="60">
        <v>44886.709791666668</v>
      </c>
      <c r="F122" s="61" t="s">
        <v>535</v>
      </c>
      <c r="G122" s="25" t="s">
        <v>664</v>
      </c>
      <c r="H122" s="20"/>
      <c r="I122" s="20" t="s">
        <v>26</v>
      </c>
      <c r="J122" s="20" t="s">
        <v>496</v>
      </c>
      <c r="K122" s="21">
        <v>44887.482094907406</v>
      </c>
      <c r="L122" s="20" t="s">
        <v>20</v>
      </c>
      <c r="M122" s="20" t="s">
        <v>28</v>
      </c>
    </row>
    <row r="123" spans="1:13" ht="25.5">
      <c r="A123" s="63">
        <v>119</v>
      </c>
      <c r="B123" s="19" t="s">
        <v>650</v>
      </c>
      <c r="C123" s="184" t="s">
        <v>520</v>
      </c>
      <c r="D123" s="16" t="s">
        <v>657</v>
      </c>
      <c r="E123" s="60">
        <v>44886.712407407409</v>
      </c>
      <c r="F123" s="61" t="s">
        <v>535</v>
      </c>
      <c r="G123" s="25" t="s">
        <v>665</v>
      </c>
      <c r="H123" s="20"/>
      <c r="I123" s="20" t="s">
        <v>26</v>
      </c>
      <c r="J123" s="20" t="s">
        <v>496</v>
      </c>
      <c r="K123" s="21">
        <v>44887.482118055559</v>
      </c>
      <c r="L123" s="20" t="s">
        <v>27</v>
      </c>
      <c r="M123" s="20" t="s">
        <v>28</v>
      </c>
    </row>
    <row r="124" spans="1:13">
      <c r="A124" s="63">
        <v>120</v>
      </c>
      <c r="B124" s="19">
        <v>1.5</v>
      </c>
      <c r="C124" s="184" t="s">
        <v>470</v>
      </c>
      <c r="D124" s="25" t="s">
        <v>502</v>
      </c>
      <c r="E124" s="60">
        <v>44904.55740740741</v>
      </c>
      <c r="F124" s="61" t="s">
        <v>595</v>
      </c>
      <c r="G124" s="16"/>
      <c r="H124" s="20"/>
      <c r="I124" s="20" t="s">
        <v>26</v>
      </c>
      <c r="J124" s="70" t="s">
        <v>666</v>
      </c>
      <c r="K124" s="21">
        <v>44904.557476851849</v>
      </c>
      <c r="L124" s="20" t="s">
        <v>27</v>
      </c>
      <c r="M124" s="20" t="s">
        <v>28</v>
      </c>
    </row>
    <row r="125" spans="1:13" ht="25.5">
      <c r="A125" s="63">
        <v>121</v>
      </c>
      <c r="B125" s="19">
        <v>1.5</v>
      </c>
      <c r="C125" s="184" t="s">
        <v>471</v>
      </c>
      <c r="D125" s="25" t="s">
        <v>502</v>
      </c>
      <c r="E125" s="60">
        <v>44904.558831018519</v>
      </c>
      <c r="F125" s="61" t="s">
        <v>595</v>
      </c>
      <c r="G125" s="16"/>
      <c r="H125" s="20"/>
      <c r="I125" s="20" t="s">
        <v>26</v>
      </c>
      <c r="J125" s="70" t="s">
        <v>666</v>
      </c>
      <c r="K125" s="21">
        <v>44904.558900462966</v>
      </c>
      <c r="L125" s="20" t="s">
        <v>27</v>
      </c>
      <c r="M125" s="20" t="s">
        <v>28</v>
      </c>
    </row>
    <row r="126" spans="1:13" ht="25.5">
      <c r="A126" s="63">
        <v>122</v>
      </c>
      <c r="B126" s="19">
        <v>1.5</v>
      </c>
      <c r="C126" s="184" t="s">
        <v>472</v>
      </c>
      <c r="D126" s="25" t="s">
        <v>502</v>
      </c>
      <c r="E126" s="60">
        <v>44904.560115740744</v>
      </c>
      <c r="F126" s="61" t="s">
        <v>595</v>
      </c>
      <c r="G126" s="16"/>
      <c r="H126" s="20"/>
      <c r="I126" s="20" t="s">
        <v>26</v>
      </c>
      <c r="J126" s="70" t="s">
        <v>666</v>
      </c>
      <c r="K126" s="21">
        <v>44904.560219907406</v>
      </c>
      <c r="L126" s="20" t="s">
        <v>27</v>
      </c>
      <c r="M126" s="20" t="s">
        <v>28</v>
      </c>
    </row>
    <row r="127" spans="1:13">
      <c r="A127" s="63">
        <v>123</v>
      </c>
      <c r="B127" s="19">
        <v>1.6</v>
      </c>
      <c r="C127" s="184" t="s">
        <v>671</v>
      </c>
      <c r="D127" s="25" t="s">
        <v>502</v>
      </c>
      <c r="E127" s="60">
        <v>44904.561296296299</v>
      </c>
      <c r="F127" s="61" t="s">
        <v>595</v>
      </c>
      <c r="G127" s="16"/>
      <c r="H127" s="20"/>
      <c r="I127" s="20" t="s">
        <v>26</v>
      </c>
      <c r="J127" s="70" t="s">
        <v>666</v>
      </c>
      <c r="K127" s="21">
        <v>44904.561342592591</v>
      </c>
      <c r="L127" s="20" t="s">
        <v>27</v>
      </c>
      <c r="M127" s="20" t="s">
        <v>28</v>
      </c>
    </row>
    <row r="128" spans="1:13" ht="25.5">
      <c r="A128" s="63">
        <v>124</v>
      </c>
      <c r="B128" s="19">
        <v>1.6</v>
      </c>
      <c r="C128" s="184" t="s">
        <v>474</v>
      </c>
      <c r="D128" s="25" t="s">
        <v>502</v>
      </c>
      <c r="E128" s="60">
        <v>44904.562372685185</v>
      </c>
      <c r="F128" s="61" t="s">
        <v>595</v>
      </c>
      <c r="G128" s="16"/>
      <c r="H128" s="20"/>
      <c r="I128" s="20" t="s">
        <v>26</v>
      </c>
      <c r="J128" s="70" t="s">
        <v>666</v>
      </c>
      <c r="K128" s="21">
        <v>44904.562418981484</v>
      </c>
      <c r="L128" s="20" t="s">
        <v>27</v>
      </c>
      <c r="M128" s="20" t="s">
        <v>28</v>
      </c>
    </row>
    <row r="129" spans="1:13">
      <c r="A129" s="63">
        <v>125</v>
      </c>
      <c r="B129" s="19">
        <v>1.7</v>
      </c>
      <c r="C129" s="184" t="s">
        <v>469</v>
      </c>
      <c r="D129" s="25" t="s">
        <v>502</v>
      </c>
      <c r="E129" s="60">
        <v>44904.563576388886</v>
      </c>
      <c r="F129" s="61" t="s">
        <v>595</v>
      </c>
      <c r="G129" s="16"/>
      <c r="H129" s="20"/>
      <c r="I129" s="20" t="s">
        <v>26</v>
      </c>
      <c r="J129" s="70" t="s">
        <v>666</v>
      </c>
      <c r="K129" s="21">
        <v>44904.563622685186</v>
      </c>
      <c r="L129" s="20" t="s">
        <v>27</v>
      </c>
      <c r="M129" s="20" t="s">
        <v>28</v>
      </c>
    </row>
    <row r="130" spans="1:13">
      <c r="A130" s="63">
        <v>126</v>
      </c>
      <c r="B130" s="19">
        <v>1.1000000000000001</v>
      </c>
      <c r="C130" s="184" t="s">
        <v>675</v>
      </c>
      <c r="D130" s="25" t="s">
        <v>502</v>
      </c>
      <c r="E130" s="60">
        <v>44907.459988425922</v>
      </c>
      <c r="F130" s="61" t="s">
        <v>595</v>
      </c>
      <c r="G130" s="16"/>
      <c r="H130" s="20"/>
      <c r="I130" s="20" t="s">
        <v>26</v>
      </c>
      <c r="J130" s="70" t="s">
        <v>599</v>
      </c>
      <c r="K130" s="21">
        <v>44907.460081018522</v>
      </c>
      <c r="L130" s="20" t="s">
        <v>27</v>
      </c>
      <c r="M130" s="20" t="s">
        <v>28</v>
      </c>
    </row>
    <row r="131" spans="1:13" ht="25.5">
      <c r="A131" s="63">
        <v>127</v>
      </c>
      <c r="B131" s="19">
        <v>1.1000000000000001</v>
      </c>
      <c r="C131" s="184" t="s">
        <v>678</v>
      </c>
      <c r="D131" s="25" t="s">
        <v>502</v>
      </c>
      <c r="E131" s="60">
        <v>44953.668402777781</v>
      </c>
      <c r="F131" s="61" t="s">
        <v>595</v>
      </c>
      <c r="G131" s="16"/>
      <c r="H131" s="20"/>
      <c r="I131" s="20" t="s">
        <v>26</v>
      </c>
      <c r="J131" s="70" t="s">
        <v>599</v>
      </c>
      <c r="K131" s="21">
        <v>44953.668506944443</v>
      </c>
      <c r="L131" s="20" t="s">
        <v>27</v>
      </c>
      <c r="M131" s="20" t="s">
        <v>28</v>
      </c>
    </row>
    <row r="132" spans="1:13" ht="25.5">
      <c r="A132" s="63">
        <v>128</v>
      </c>
      <c r="B132" s="19">
        <v>1.1000000000000001</v>
      </c>
      <c r="C132" s="184" t="s">
        <v>679</v>
      </c>
      <c r="D132" s="25" t="s">
        <v>502</v>
      </c>
      <c r="E132" s="60">
        <v>44953.668437499997</v>
      </c>
      <c r="F132" s="61" t="s">
        <v>595</v>
      </c>
      <c r="G132" s="16"/>
      <c r="H132" s="20"/>
      <c r="I132" s="20" t="s">
        <v>26</v>
      </c>
      <c r="J132" s="70" t="s">
        <v>599</v>
      </c>
      <c r="K132" s="21">
        <v>44953.668530092589</v>
      </c>
      <c r="L132" s="20" t="s">
        <v>27</v>
      </c>
      <c r="M132" s="20" t="s">
        <v>28</v>
      </c>
    </row>
    <row r="133" spans="1:13">
      <c r="A133" s="63">
        <v>129</v>
      </c>
      <c r="B133" s="184" t="s">
        <v>683</v>
      </c>
      <c r="C133" s="184" t="s">
        <v>629</v>
      </c>
      <c r="D133" s="25" t="s">
        <v>684</v>
      </c>
      <c r="E133" s="60">
        <v>44971</v>
      </c>
      <c r="F133" s="49" t="s">
        <v>602</v>
      </c>
      <c r="G133" s="16"/>
      <c r="H133" s="20">
        <v>816244</v>
      </c>
      <c r="I133" s="20" t="s">
        <v>26</v>
      </c>
      <c r="J133" s="70" t="s">
        <v>695</v>
      </c>
      <c r="K133" s="185" t="s">
        <v>862</v>
      </c>
      <c r="L133" s="20" t="s">
        <v>20</v>
      </c>
      <c r="M133" s="20" t="s">
        <v>28</v>
      </c>
    </row>
    <row r="134" spans="1:13">
      <c r="A134" s="63">
        <v>130</v>
      </c>
      <c r="B134" s="184" t="s">
        <v>686</v>
      </c>
      <c r="C134" s="216" t="s">
        <v>432</v>
      </c>
      <c r="D134" s="25" t="s">
        <v>502</v>
      </c>
      <c r="E134" s="60">
        <v>44972</v>
      </c>
      <c r="F134" s="49" t="s">
        <v>602</v>
      </c>
      <c r="G134" s="16"/>
      <c r="H134" s="20"/>
      <c r="I134" s="20" t="s">
        <v>26</v>
      </c>
      <c r="J134" s="70" t="s">
        <v>602</v>
      </c>
      <c r="K134" s="21">
        <v>44972</v>
      </c>
      <c r="L134" s="20" t="s">
        <v>27</v>
      </c>
      <c r="M134" s="20" t="s">
        <v>28</v>
      </c>
    </row>
    <row r="135" spans="1:13" ht="25.5">
      <c r="A135" s="63">
        <v>131</v>
      </c>
      <c r="B135" s="184" t="s">
        <v>688</v>
      </c>
      <c r="C135" s="184" t="s">
        <v>520</v>
      </c>
      <c r="D135" s="25" t="s">
        <v>689</v>
      </c>
      <c r="E135" s="60">
        <v>44971</v>
      </c>
      <c r="F135" s="49" t="s">
        <v>695</v>
      </c>
      <c r="G135" s="25" t="s">
        <v>20</v>
      </c>
      <c r="H135" s="20"/>
      <c r="I135" s="20" t="s">
        <v>26</v>
      </c>
      <c r="J135" s="20" t="s">
        <v>496</v>
      </c>
      <c r="K135" s="21">
        <v>44972.656122685185</v>
      </c>
      <c r="L135" s="20" t="s">
        <v>20</v>
      </c>
      <c r="M135" s="20" t="s">
        <v>28</v>
      </c>
    </row>
    <row r="136" spans="1:13" ht="63.75">
      <c r="A136" s="63">
        <v>132</v>
      </c>
      <c r="B136" s="184" t="s">
        <v>688</v>
      </c>
      <c r="C136" s="184" t="s">
        <v>520</v>
      </c>
      <c r="D136" s="25" t="s">
        <v>690</v>
      </c>
      <c r="E136" s="60">
        <v>44971</v>
      </c>
      <c r="F136" s="49" t="s">
        <v>695</v>
      </c>
      <c r="G136" s="25" t="s">
        <v>20</v>
      </c>
      <c r="H136" s="20"/>
      <c r="I136" s="20" t="s">
        <v>26</v>
      </c>
      <c r="J136" s="20" t="s">
        <v>496</v>
      </c>
      <c r="K136" s="21">
        <v>44972.673148148147</v>
      </c>
      <c r="L136" s="20" t="s">
        <v>20</v>
      </c>
      <c r="M136" s="20" t="s">
        <v>28</v>
      </c>
    </row>
    <row r="137" spans="1:13" ht="25.5">
      <c r="A137" s="63">
        <v>133</v>
      </c>
      <c r="B137" s="184" t="s">
        <v>688</v>
      </c>
      <c r="C137" s="184" t="s">
        <v>520</v>
      </c>
      <c r="D137" s="25" t="s">
        <v>691</v>
      </c>
      <c r="E137" s="60">
        <v>44971</v>
      </c>
      <c r="F137" s="49" t="s">
        <v>695</v>
      </c>
      <c r="G137" s="25" t="s">
        <v>20</v>
      </c>
      <c r="H137" s="20"/>
      <c r="I137" s="20" t="s">
        <v>26</v>
      </c>
      <c r="J137" s="20" t="s">
        <v>496</v>
      </c>
      <c r="K137" s="21">
        <v>44972.656064814815</v>
      </c>
      <c r="L137" s="20" t="s">
        <v>20</v>
      </c>
      <c r="M137" s="20" t="s">
        <v>28</v>
      </c>
    </row>
    <row r="138" spans="1:13" ht="25.5">
      <c r="A138" s="63">
        <v>134</v>
      </c>
      <c r="B138" s="184" t="s">
        <v>688</v>
      </c>
      <c r="C138" s="184" t="s">
        <v>520</v>
      </c>
      <c r="D138" s="25" t="s">
        <v>692</v>
      </c>
      <c r="E138" s="60">
        <v>44972</v>
      </c>
      <c r="F138" s="49" t="s">
        <v>695</v>
      </c>
      <c r="G138" s="25" t="s">
        <v>20</v>
      </c>
      <c r="H138" s="20"/>
      <c r="I138" s="20" t="s">
        <v>26</v>
      </c>
      <c r="J138" s="20" t="s">
        <v>496</v>
      </c>
      <c r="K138" s="21">
        <v>44972.669803240744</v>
      </c>
      <c r="L138" s="20" t="s">
        <v>20</v>
      </c>
      <c r="M138" s="20" t="s">
        <v>28</v>
      </c>
    </row>
    <row r="139" spans="1:13" ht="38.25">
      <c r="A139" s="63">
        <v>135</v>
      </c>
      <c r="B139" s="184" t="s">
        <v>688</v>
      </c>
      <c r="C139" s="19" t="s">
        <v>520</v>
      </c>
      <c r="D139" s="25" t="s">
        <v>693</v>
      </c>
      <c r="E139" s="60">
        <v>44972</v>
      </c>
      <c r="F139" s="49" t="s">
        <v>695</v>
      </c>
      <c r="G139" s="25" t="s">
        <v>20</v>
      </c>
      <c r="H139" s="20"/>
      <c r="I139" s="20" t="s">
        <v>26</v>
      </c>
      <c r="J139" s="20" t="s">
        <v>496</v>
      </c>
      <c r="K139" s="21">
        <v>44972.672835648147</v>
      </c>
      <c r="L139" s="20" t="s">
        <v>20</v>
      </c>
      <c r="M139" s="20" t="s">
        <v>28</v>
      </c>
    </row>
    <row r="140" spans="1:13" ht="25.5">
      <c r="A140" s="63">
        <v>136</v>
      </c>
      <c r="B140" s="184" t="s">
        <v>688</v>
      </c>
      <c r="C140" s="19" t="s">
        <v>520</v>
      </c>
      <c r="D140" s="25" t="s">
        <v>694</v>
      </c>
      <c r="E140" s="60">
        <v>44972</v>
      </c>
      <c r="F140" s="49" t="s">
        <v>695</v>
      </c>
      <c r="G140" s="25" t="s">
        <v>20</v>
      </c>
      <c r="H140" s="20"/>
      <c r="I140" s="20" t="s">
        <v>26</v>
      </c>
      <c r="J140" s="20" t="s">
        <v>496</v>
      </c>
      <c r="K140" s="21">
        <v>44972.672858796293</v>
      </c>
      <c r="L140" s="20" t="s">
        <v>20</v>
      </c>
      <c r="M140" s="20" t="s">
        <v>28</v>
      </c>
    </row>
    <row r="141" spans="1:13">
      <c r="A141" s="63">
        <v>137</v>
      </c>
      <c r="B141" s="184" t="s">
        <v>710</v>
      </c>
      <c r="C141" s="19" t="s">
        <v>611</v>
      </c>
      <c r="D141" s="16" t="s">
        <v>697</v>
      </c>
      <c r="E141" s="60">
        <v>44973.520613425928</v>
      </c>
      <c r="F141" s="61" t="s">
        <v>402</v>
      </c>
      <c r="G141" s="16"/>
      <c r="H141" s="20">
        <v>816244</v>
      </c>
      <c r="I141" s="20" t="s">
        <v>26</v>
      </c>
      <c r="J141" s="20" t="s">
        <v>402</v>
      </c>
      <c r="K141" s="21">
        <v>44973.533368055556</v>
      </c>
      <c r="L141" s="20" t="s">
        <v>27</v>
      </c>
      <c r="M141" s="20" t="s">
        <v>28</v>
      </c>
    </row>
    <row r="142" spans="1:13">
      <c r="A142" s="63">
        <v>138</v>
      </c>
      <c r="B142" s="184" t="s">
        <v>710</v>
      </c>
      <c r="C142" s="19" t="s">
        <v>611</v>
      </c>
      <c r="D142" s="16" t="s">
        <v>698</v>
      </c>
      <c r="E142" s="60">
        <v>44973.521053240744</v>
      </c>
      <c r="F142" s="61" t="s">
        <v>402</v>
      </c>
      <c r="G142" s="16"/>
      <c r="H142" s="20">
        <v>816244</v>
      </c>
      <c r="I142" s="20" t="s">
        <v>26</v>
      </c>
      <c r="J142" s="20" t="s">
        <v>402</v>
      </c>
      <c r="K142" s="21">
        <v>44973.533368055556</v>
      </c>
      <c r="L142" s="20" t="s">
        <v>27</v>
      </c>
      <c r="M142" s="20" t="s">
        <v>28</v>
      </c>
    </row>
    <row r="143" spans="1:13">
      <c r="A143" s="63">
        <v>139</v>
      </c>
      <c r="B143" s="184" t="s">
        <v>710</v>
      </c>
      <c r="C143" s="19" t="s">
        <v>611</v>
      </c>
      <c r="D143" s="16" t="s">
        <v>699</v>
      </c>
      <c r="E143" s="60">
        <v>44973.521377314813</v>
      </c>
      <c r="F143" s="61" t="s">
        <v>402</v>
      </c>
      <c r="G143" s="16"/>
      <c r="H143" s="20">
        <v>816244</v>
      </c>
      <c r="I143" s="20" t="s">
        <v>26</v>
      </c>
      <c r="J143" s="20" t="s">
        <v>402</v>
      </c>
      <c r="K143" s="21">
        <v>44973.533368055556</v>
      </c>
      <c r="L143" s="20" t="s">
        <v>27</v>
      </c>
      <c r="M143" s="20" t="s">
        <v>28</v>
      </c>
    </row>
    <row r="144" spans="1:13" ht="51">
      <c r="A144" s="63">
        <v>140</v>
      </c>
      <c r="B144" s="184" t="s">
        <v>710</v>
      </c>
      <c r="C144" s="19" t="s">
        <v>611</v>
      </c>
      <c r="D144" s="16" t="s">
        <v>700</v>
      </c>
      <c r="E144" s="60">
        <v>44973.522013888891</v>
      </c>
      <c r="F144" s="61" t="s">
        <v>402</v>
      </c>
      <c r="G144" s="16"/>
      <c r="H144" s="20">
        <v>816244</v>
      </c>
      <c r="I144" s="20" t="s">
        <v>26</v>
      </c>
      <c r="J144" s="70" t="s">
        <v>695</v>
      </c>
      <c r="K144" s="185" t="s">
        <v>862</v>
      </c>
      <c r="L144" s="20" t="s">
        <v>20</v>
      </c>
      <c r="M144" s="20" t="s">
        <v>28</v>
      </c>
    </row>
    <row r="145" spans="1:13" ht="25.5">
      <c r="A145" s="63">
        <v>141</v>
      </c>
      <c r="B145" s="184" t="s">
        <v>710</v>
      </c>
      <c r="C145" s="19" t="s">
        <v>611</v>
      </c>
      <c r="D145" s="44" t="s">
        <v>701</v>
      </c>
      <c r="E145" s="60">
        <v>44973.523298611108</v>
      </c>
      <c r="F145" s="61" t="s">
        <v>402</v>
      </c>
      <c r="G145" s="16"/>
      <c r="H145" s="20">
        <v>816244</v>
      </c>
      <c r="I145" s="20" t="s">
        <v>26</v>
      </c>
      <c r="J145" s="70" t="s">
        <v>695</v>
      </c>
      <c r="K145" s="185" t="s">
        <v>862</v>
      </c>
      <c r="L145" s="20" t="s">
        <v>20</v>
      </c>
      <c r="M145" s="20" t="s">
        <v>28</v>
      </c>
    </row>
    <row r="146" spans="1:13" ht="38.25">
      <c r="A146" s="63">
        <v>142</v>
      </c>
      <c r="B146" s="184" t="s">
        <v>710</v>
      </c>
      <c r="C146" s="19" t="s">
        <v>611</v>
      </c>
      <c r="D146" s="25" t="s">
        <v>702</v>
      </c>
      <c r="E146" s="60">
        <v>44973.524409722224</v>
      </c>
      <c r="F146" s="61" t="s">
        <v>402</v>
      </c>
      <c r="G146" s="16"/>
      <c r="H146" s="20">
        <v>816244</v>
      </c>
      <c r="I146" s="20" t="s">
        <v>26</v>
      </c>
      <c r="J146" s="20" t="s">
        <v>402</v>
      </c>
      <c r="K146" s="21">
        <v>44973</v>
      </c>
      <c r="L146" s="20" t="s">
        <v>27</v>
      </c>
      <c r="M146" s="20" t="s">
        <v>28</v>
      </c>
    </row>
    <row r="147" spans="1:13" ht="25.5">
      <c r="A147" s="63">
        <v>143</v>
      </c>
      <c r="B147" s="184" t="s">
        <v>710</v>
      </c>
      <c r="C147" s="19" t="s">
        <v>611</v>
      </c>
      <c r="D147" s="16" t="s">
        <v>703</v>
      </c>
      <c r="E147" s="60">
        <v>44973.524780092594</v>
      </c>
      <c r="F147" s="61" t="s">
        <v>402</v>
      </c>
      <c r="G147" s="16"/>
      <c r="H147" s="20">
        <v>816244</v>
      </c>
      <c r="I147" s="20" t="s">
        <v>26</v>
      </c>
      <c r="J147" s="70" t="s">
        <v>695</v>
      </c>
      <c r="K147" s="185" t="s">
        <v>862</v>
      </c>
      <c r="L147" s="20" t="s">
        <v>20</v>
      </c>
      <c r="M147" s="20" t="s">
        <v>28</v>
      </c>
    </row>
    <row r="148" spans="1:13">
      <c r="A148" s="63">
        <v>144</v>
      </c>
      <c r="B148" s="184" t="s">
        <v>710</v>
      </c>
      <c r="C148" s="19" t="s">
        <v>611</v>
      </c>
      <c r="D148" s="16" t="s">
        <v>704</v>
      </c>
      <c r="E148" s="60">
        <v>44973.525578703702</v>
      </c>
      <c r="F148" s="61" t="s">
        <v>402</v>
      </c>
      <c r="G148" s="16"/>
      <c r="H148" s="20">
        <v>816244</v>
      </c>
      <c r="I148" s="20" t="s">
        <v>26</v>
      </c>
      <c r="J148" s="70" t="s">
        <v>695</v>
      </c>
      <c r="K148" s="185" t="s">
        <v>862</v>
      </c>
      <c r="L148" s="20" t="s">
        <v>20</v>
      </c>
      <c r="M148" s="20" t="s">
        <v>28</v>
      </c>
    </row>
    <row r="149" spans="1:13" ht="38.25">
      <c r="A149" s="63">
        <v>145</v>
      </c>
      <c r="B149" s="184" t="s">
        <v>710</v>
      </c>
      <c r="C149" s="19" t="s">
        <v>611</v>
      </c>
      <c r="D149" s="16" t="s">
        <v>705</v>
      </c>
      <c r="E149" s="60">
        <v>44973.526921296296</v>
      </c>
      <c r="F149" s="61" t="s">
        <v>402</v>
      </c>
      <c r="G149" s="16"/>
      <c r="H149" s="20">
        <v>816244</v>
      </c>
      <c r="I149" s="20" t="s">
        <v>26</v>
      </c>
      <c r="J149" s="70" t="s">
        <v>695</v>
      </c>
      <c r="K149" s="185" t="s">
        <v>862</v>
      </c>
      <c r="L149" s="20" t="s">
        <v>20</v>
      </c>
      <c r="M149" s="20" t="s">
        <v>28</v>
      </c>
    </row>
    <row r="150" spans="1:13" ht="25.5">
      <c r="A150" s="63">
        <v>146</v>
      </c>
      <c r="B150" s="184" t="s">
        <v>710</v>
      </c>
      <c r="C150" s="19" t="s">
        <v>611</v>
      </c>
      <c r="D150" s="16" t="s">
        <v>706</v>
      </c>
      <c r="E150" s="60">
        <v>44973.527581018519</v>
      </c>
      <c r="F150" s="61" t="s">
        <v>402</v>
      </c>
      <c r="G150" s="16"/>
      <c r="H150" s="20">
        <v>816244</v>
      </c>
      <c r="I150" s="20" t="s">
        <v>26</v>
      </c>
      <c r="J150" s="20" t="s">
        <v>402</v>
      </c>
      <c r="K150" s="21">
        <v>44973</v>
      </c>
      <c r="L150" s="20" t="s">
        <v>21</v>
      </c>
      <c r="M150" s="20" t="s">
        <v>28</v>
      </c>
    </row>
    <row r="151" spans="1:13" ht="25.5">
      <c r="A151" s="63">
        <v>147</v>
      </c>
      <c r="B151" s="184" t="s">
        <v>710</v>
      </c>
      <c r="C151" s="184" t="s">
        <v>611</v>
      </c>
      <c r="D151" s="16" t="s">
        <v>707</v>
      </c>
      <c r="E151" s="60">
        <v>44973.527800925927</v>
      </c>
      <c r="F151" s="61" t="s">
        <v>402</v>
      </c>
      <c r="G151" s="16"/>
      <c r="H151" s="20">
        <v>816244</v>
      </c>
      <c r="I151" s="20" t="s">
        <v>26</v>
      </c>
      <c r="J151" s="70" t="s">
        <v>695</v>
      </c>
      <c r="K151" s="185" t="s">
        <v>862</v>
      </c>
      <c r="L151" s="20" t="s">
        <v>20</v>
      </c>
      <c r="M151" s="20" t="s">
        <v>28</v>
      </c>
    </row>
    <row r="152" spans="1:13">
      <c r="A152" s="63">
        <v>148</v>
      </c>
      <c r="B152" s="184" t="s">
        <v>710</v>
      </c>
      <c r="C152" s="19" t="s">
        <v>611</v>
      </c>
      <c r="D152" s="16" t="s">
        <v>708</v>
      </c>
      <c r="E152" s="60">
        <v>44973.528564814813</v>
      </c>
      <c r="F152" s="61" t="s">
        <v>402</v>
      </c>
      <c r="G152" s="16"/>
      <c r="H152" s="20">
        <v>816244</v>
      </c>
      <c r="I152" s="20" t="s">
        <v>26</v>
      </c>
      <c r="J152" s="20" t="s">
        <v>402</v>
      </c>
      <c r="K152" s="21">
        <v>44973</v>
      </c>
      <c r="L152" s="20" t="s">
        <v>20</v>
      </c>
      <c r="M152" s="20" t="s">
        <v>28</v>
      </c>
    </row>
    <row r="153" spans="1:13">
      <c r="A153" s="63">
        <v>149</v>
      </c>
      <c r="B153" s="19">
        <v>1.8</v>
      </c>
      <c r="C153" s="19" t="s">
        <v>469</v>
      </c>
      <c r="D153" s="16" t="s">
        <v>502</v>
      </c>
      <c r="E153" s="60">
        <v>44973</v>
      </c>
      <c r="F153" s="61" t="s">
        <v>712</v>
      </c>
      <c r="G153" s="16"/>
      <c r="H153" s="20"/>
      <c r="I153" s="20" t="s">
        <v>26</v>
      </c>
      <c r="J153" s="20"/>
      <c r="K153" s="21"/>
      <c r="L153" s="20" t="s">
        <v>27</v>
      </c>
      <c r="M153" s="20" t="s">
        <v>28</v>
      </c>
    </row>
    <row r="154" spans="1:13">
      <c r="A154" s="63">
        <v>150</v>
      </c>
      <c r="B154" s="19">
        <v>1.6</v>
      </c>
      <c r="C154" s="19" t="s">
        <v>470</v>
      </c>
      <c r="D154" s="16" t="s">
        <v>502</v>
      </c>
      <c r="E154" s="60">
        <v>44973</v>
      </c>
      <c r="F154" s="61" t="s">
        <v>712</v>
      </c>
      <c r="G154" s="16"/>
      <c r="H154" s="20"/>
      <c r="I154" s="20" t="s">
        <v>26</v>
      </c>
      <c r="J154" s="20"/>
      <c r="K154" s="21"/>
      <c r="L154" s="20" t="s">
        <v>27</v>
      </c>
      <c r="M154" s="20" t="s">
        <v>28</v>
      </c>
    </row>
    <row r="155" spans="1:13" ht="25.5">
      <c r="A155" s="63">
        <v>151</v>
      </c>
      <c r="B155" s="19">
        <v>1.6</v>
      </c>
      <c r="C155" s="19" t="s">
        <v>471</v>
      </c>
      <c r="D155" s="16" t="s">
        <v>502</v>
      </c>
      <c r="E155" s="60">
        <v>44973</v>
      </c>
      <c r="F155" s="61" t="s">
        <v>712</v>
      </c>
      <c r="G155" s="16"/>
      <c r="H155" s="20"/>
      <c r="I155" s="20" t="s">
        <v>26</v>
      </c>
      <c r="J155" s="20"/>
      <c r="K155" s="21"/>
      <c r="L155" s="20" t="s">
        <v>27</v>
      </c>
      <c r="M155" s="20" t="s">
        <v>28</v>
      </c>
    </row>
    <row r="156" spans="1:13" ht="25.5">
      <c r="A156" s="63">
        <v>152</v>
      </c>
      <c r="B156" s="19">
        <v>1.6</v>
      </c>
      <c r="C156" s="19" t="s">
        <v>472</v>
      </c>
      <c r="D156" s="16" t="s">
        <v>502</v>
      </c>
      <c r="E156" s="60">
        <v>44973</v>
      </c>
      <c r="F156" s="61" t="s">
        <v>712</v>
      </c>
      <c r="G156" s="16"/>
      <c r="H156" s="20"/>
      <c r="I156" s="20" t="s">
        <v>26</v>
      </c>
      <c r="J156" s="20"/>
      <c r="K156" s="21"/>
      <c r="L156" s="20" t="s">
        <v>27</v>
      </c>
      <c r="M156" s="20" t="s">
        <v>28</v>
      </c>
    </row>
    <row r="157" spans="1:13">
      <c r="A157" s="63">
        <v>153</v>
      </c>
      <c r="B157" s="19">
        <v>1.7</v>
      </c>
      <c r="C157" s="19" t="s">
        <v>671</v>
      </c>
      <c r="D157" s="16" t="s">
        <v>713</v>
      </c>
      <c r="E157" s="60">
        <v>44973</v>
      </c>
      <c r="F157" s="61" t="s">
        <v>712</v>
      </c>
      <c r="G157" s="25" t="s">
        <v>747</v>
      </c>
      <c r="H157" s="20"/>
      <c r="I157" s="20" t="s">
        <v>26</v>
      </c>
      <c r="J157" s="70" t="s">
        <v>666</v>
      </c>
      <c r="K157" s="60">
        <v>44993.481539351851</v>
      </c>
      <c r="L157" s="20" t="s">
        <v>27</v>
      </c>
      <c r="M157" s="20" t="s">
        <v>28</v>
      </c>
    </row>
    <row r="158" spans="1:13">
      <c r="A158" s="63">
        <v>154</v>
      </c>
      <c r="B158" s="19">
        <v>1.7</v>
      </c>
      <c r="C158" s="19" t="s">
        <v>671</v>
      </c>
      <c r="D158" s="16" t="s">
        <v>714</v>
      </c>
      <c r="E158" s="60">
        <v>44973</v>
      </c>
      <c r="F158" s="61" t="s">
        <v>712</v>
      </c>
      <c r="G158" s="25" t="s">
        <v>747</v>
      </c>
      <c r="H158" s="20"/>
      <c r="I158" s="20" t="s">
        <v>26</v>
      </c>
      <c r="J158" s="70" t="s">
        <v>666</v>
      </c>
      <c r="K158" s="60">
        <v>44993.481539351851</v>
      </c>
      <c r="L158" s="20" t="s">
        <v>27</v>
      </c>
      <c r="M158" s="20" t="s">
        <v>28</v>
      </c>
    </row>
    <row r="159" spans="1:13">
      <c r="A159" s="63">
        <v>155</v>
      </c>
      <c r="B159" s="19">
        <v>1.7</v>
      </c>
      <c r="C159" s="19" t="s">
        <v>715</v>
      </c>
      <c r="D159" s="16" t="s">
        <v>713</v>
      </c>
      <c r="E159" s="60">
        <v>44973</v>
      </c>
      <c r="F159" s="61" t="s">
        <v>712</v>
      </c>
      <c r="G159" s="25" t="s">
        <v>747</v>
      </c>
      <c r="H159" s="20"/>
      <c r="I159" s="20" t="s">
        <v>26</v>
      </c>
      <c r="J159" s="70" t="s">
        <v>666</v>
      </c>
      <c r="K159" s="60">
        <v>44993.481539351851</v>
      </c>
      <c r="L159" s="20" t="s">
        <v>27</v>
      </c>
      <c r="M159" s="20" t="s">
        <v>28</v>
      </c>
    </row>
    <row r="160" spans="1:13">
      <c r="A160" s="63">
        <v>156</v>
      </c>
      <c r="B160" s="19">
        <v>1.7</v>
      </c>
      <c r="C160" s="19" t="s">
        <v>715</v>
      </c>
      <c r="D160" s="16" t="s">
        <v>714</v>
      </c>
      <c r="E160" s="60">
        <v>44973</v>
      </c>
      <c r="F160" s="61" t="s">
        <v>712</v>
      </c>
      <c r="G160" s="25" t="s">
        <v>747</v>
      </c>
      <c r="H160" s="20"/>
      <c r="I160" s="20" t="s">
        <v>26</v>
      </c>
      <c r="J160" s="70" t="s">
        <v>666</v>
      </c>
      <c r="K160" s="60">
        <v>44993.481539351851</v>
      </c>
      <c r="L160" s="20" t="s">
        <v>27</v>
      </c>
      <c r="M160" s="20" t="s">
        <v>28</v>
      </c>
    </row>
    <row r="161" spans="1:13" ht="25.5">
      <c r="A161" s="63">
        <v>157</v>
      </c>
      <c r="B161" s="184" t="s">
        <v>722</v>
      </c>
      <c r="C161" s="184" t="s">
        <v>406</v>
      </c>
      <c r="D161" s="16" t="s">
        <v>502</v>
      </c>
      <c r="E161" s="60">
        <v>44978.511990740742</v>
      </c>
      <c r="F161" s="61" t="s">
        <v>695</v>
      </c>
      <c r="G161" s="16"/>
      <c r="H161" s="20"/>
      <c r="I161" s="20"/>
      <c r="J161" s="20"/>
      <c r="K161" s="21">
        <v>44978.512199074074</v>
      </c>
      <c r="L161" s="20" t="s">
        <v>27</v>
      </c>
      <c r="M161" s="20" t="s">
        <v>28</v>
      </c>
    </row>
    <row r="162" spans="1:13">
      <c r="A162" s="63">
        <v>158</v>
      </c>
      <c r="B162" s="184" t="s">
        <v>728</v>
      </c>
      <c r="C162" s="19" t="s">
        <v>424</v>
      </c>
      <c r="D162" s="25" t="s">
        <v>729</v>
      </c>
      <c r="E162" s="60">
        <v>44979.422129629631</v>
      </c>
      <c r="F162" s="61" t="s">
        <v>496</v>
      </c>
      <c r="G162" s="16"/>
      <c r="H162" s="20">
        <v>816244</v>
      </c>
      <c r="I162" s="20"/>
      <c r="J162" s="20" t="s">
        <v>496</v>
      </c>
      <c r="K162" s="21">
        <v>45008</v>
      </c>
      <c r="L162" s="20" t="s">
        <v>20</v>
      </c>
      <c r="M162" s="20" t="s">
        <v>28</v>
      </c>
    </row>
    <row r="163" spans="1:13">
      <c r="A163" s="63">
        <v>159</v>
      </c>
      <c r="B163" s="184" t="s">
        <v>728</v>
      </c>
      <c r="C163" s="19" t="s">
        <v>424</v>
      </c>
      <c r="D163" s="25" t="s">
        <v>730</v>
      </c>
      <c r="E163" s="60">
        <v>44979.42328703704</v>
      </c>
      <c r="F163" s="61" t="s">
        <v>496</v>
      </c>
      <c r="G163" s="16"/>
      <c r="H163" s="20">
        <v>816244</v>
      </c>
      <c r="I163" s="20"/>
      <c r="J163" s="20" t="s">
        <v>496</v>
      </c>
      <c r="K163" s="21">
        <v>45008</v>
      </c>
      <c r="L163" s="20" t="s">
        <v>20</v>
      </c>
      <c r="M163" s="20" t="s">
        <v>28</v>
      </c>
    </row>
    <row r="164" spans="1:13">
      <c r="A164" s="63">
        <v>160</v>
      </c>
      <c r="B164" s="184" t="s">
        <v>728</v>
      </c>
      <c r="C164" s="19" t="s">
        <v>424</v>
      </c>
      <c r="D164" s="25" t="s">
        <v>731</v>
      </c>
      <c r="E164" s="60">
        <v>44979.424444444441</v>
      </c>
      <c r="F164" s="61" t="s">
        <v>496</v>
      </c>
      <c r="G164" s="16"/>
      <c r="H164" s="20">
        <v>816244</v>
      </c>
      <c r="I164" s="20"/>
      <c r="J164" s="70" t="s">
        <v>695</v>
      </c>
      <c r="K164" s="185" t="s">
        <v>862</v>
      </c>
      <c r="L164" s="20" t="s">
        <v>20</v>
      </c>
      <c r="M164" s="20" t="s">
        <v>28</v>
      </c>
    </row>
    <row r="165" spans="1:13" ht="51">
      <c r="A165" s="63">
        <v>161</v>
      </c>
      <c r="B165" s="184" t="s">
        <v>728</v>
      </c>
      <c r="C165" s="184" t="s">
        <v>424</v>
      </c>
      <c r="D165" s="16" t="s">
        <v>732</v>
      </c>
      <c r="E165" s="60">
        <v>44979.440474537034</v>
      </c>
      <c r="F165" s="61" t="s">
        <v>496</v>
      </c>
      <c r="G165" s="16"/>
      <c r="H165" s="20">
        <v>816244</v>
      </c>
      <c r="I165" s="20"/>
      <c r="J165" s="20" t="s">
        <v>496</v>
      </c>
      <c r="K165" s="21">
        <v>45008</v>
      </c>
      <c r="L165" s="20" t="s">
        <v>20</v>
      </c>
      <c r="M165" s="20" t="s">
        <v>28</v>
      </c>
    </row>
    <row r="166" spans="1:13" ht="25.5">
      <c r="A166" s="63">
        <v>162</v>
      </c>
      <c r="B166" s="184">
        <v>1.1200000000000001</v>
      </c>
      <c r="C166" s="184" t="s">
        <v>611</v>
      </c>
      <c r="D166" s="25" t="s">
        <v>736</v>
      </c>
      <c r="E166" s="60">
        <v>44992.530219907407</v>
      </c>
      <c r="F166" s="49" t="s">
        <v>695</v>
      </c>
      <c r="G166" s="16"/>
      <c r="H166" s="20">
        <v>816244</v>
      </c>
      <c r="I166" s="20"/>
      <c r="J166" s="20" t="s">
        <v>496</v>
      </c>
      <c r="K166" s="21">
        <v>45008</v>
      </c>
      <c r="L166" s="20" t="s">
        <v>20</v>
      </c>
      <c r="M166" s="20" t="s">
        <v>28</v>
      </c>
    </row>
    <row r="167" spans="1:13" ht="25.5">
      <c r="A167" s="63">
        <v>163</v>
      </c>
      <c r="B167" s="184" t="s">
        <v>741</v>
      </c>
      <c r="C167" s="184" t="s">
        <v>406</v>
      </c>
      <c r="D167" s="25" t="s">
        <v>738</v>
      </c>
      <c r="E167" s="60">
        <v>44992.541192129633</v>
      </c>
      <c r="F167" s="61" t="s">
        <v>695</v>
      </c>
      <c r="G167" s="16"/>
      <c r="H167" s="20"/>
      <c r="I167" s="20"/>
      <c r="J167" s="20" t="s">
        <v>496</v>
      </c>
      <c r="K167" s="21">
        <v>44993.461840277778</v>
      </c>
      <c r="L167" s="20" t="s">
        <v>20</v>
      </c>
      <c r="M167" s="20" t="s">
        <v>28</v>
      </c>
    </row>
    <row r="168" spans="1:13">
      <c r="A168" s="63">
        <v>164</v>
      </c>
      <c r="B168" s="184" t="s">
        <v>743</v>
      </c>
      <c r="C168" s="184" t="s">
        <v>424</v>
      </c>
      <c r="D168" s="16" t="s">
        <v>502</v>
      </c>
      <c r="E168" s="60">
        <v>44993.461226851854</v>
      </c>
      <c r="F168" s="61" t="s">
        <v>496</v>
      </c>
      <c r="G168" s="16"/>
      <c r="H168" s="20"/>
      <c r="I168" s="20"/>
      <c r="J168" s="20" t="s">
        <v>496</v>
      </c>
      <c r="K168" s="21">
        <v>44993.461840277778</v>
      </c>
      <c r="L168" s="20" t="s">
        <v>27</v>
      </c>
      <c r="M168" s="20" t="s">
        <v>28</v>
      </c>
    </row>
    <row r="169" spans="1:13">
      <c r="A169" s="63">
        <v>166</v>
      </c>
      <c r="B169" s="184" t="s">
        <v>745</v>
      </c>
      <c r="C169" s="184" t="s">
        <v>432</v>
      </c>
      <c r="D169" s="25" t="s">
        <v>502</v>
      </c>
      <c r="E169" s="60">
        <v>44993.481539351851</v>
      </c>
      <c r="F169" s="61" t="s">
        <v>695</v>
      </c>
      <c r="G169" s="16"/>
      <c r="H169" s="20"/>
      <c r="I169" s="20"/>
      <c r="J169" s="70" t="s">
        <v>402</v>
      </c>
      <c r="K169" s="21">
        <v>44993.483124999999</v>
      </c>
      <c r="L169" s="20" t="s">
        <v>27</v>
      </c>
      <c r="M169" s="20" t="s">
        <v>28</v>
      </c>
    </row>
    <row r="170" spans="1:13">
      <c r="A170" s="63">
        <v>167</v>
      </c>
      <c r="B170" s="19">
        <v>1.8</v>
      </c>
      <c r="C170" s="184" t="s">
        <v>671</v>
      </c>
      <c r="D170" s="25" t="s">
        <v>502</v>
      </c>
      <c r="E170" s="60">
        <v>44993.481539351851</v>
      </c>
      <c r="F170" s="49" t="s">
        <v>595</v>
      </c>
      <c r="G170" s="16"/>
      <c r="H170" s="20"/>
      <c r="I170" s="70" t="s">
        <v>26</v>
      </c>
      <c r="J170" s="70" t="s">
        <v>749</v>
      </c>
      <c r="K170" s="21">
        <v>44993.483124999999</v>
      </c>
      <c r="L170" s="20" t="s">
        <v>27</v>
      </c>
      <c r="M170" s="20" t="s">
        <v>28</v>
      </c>
    </row>
    <row r="171" spans="1:13">
      <c r="A171" s="63">
        <v>168</v>
      </c>
      <c r="B171" s="19">
        <v>1.8</v>
      </c>
      <c r="C171" s="19" t="s">
        <v>715</v>
      </c>
      <c r="D171" s="25" t="s">
        <v>502</v>
      </c>
      <c r="E171" s="60">
        <v>44993.481539351851</v>
      </c>
      <c r="F171" s="49" t="s">
        <v>595</v>
      </c>
      <c r="G171" s="16"/>
      <c r="H171" s="20"/>
      <c r="I171" s="70" t="s">
        <v>26</v>
      </c>
      <c r="J171" s="70" t="s">
        <v>749</v>
      </c>
      <c r="K171" s="21">
        <v>44993.483124999999</v>
      </c>
      <c r="L171" s="20" t="s">
        <v>27</v>
      </c>
      <c r="M171" s="20" t="s">
        <v>28</v>
      </c>
    </row>
    <row r="172" spans="1:13">
      <c r="A172" s="63">
        <v>169</v>
      </c>
      <c r="B172" s="19">
        <v>1.7</v>
      </c>
      <c r="C172" s="184" t="s">
        <v>470</v>
      </c>
      <c r="D172" s="25" t="s">
        <v>502</v>
      </c>
      <c r="E172" s="60">
        <v>44993.481539351851</v>
      </c>
      <c r="F172" s="49" t="s">
        <v>595</v>
      </c>
      <c r="G172" s="16"/>
      <c r="H172" s="20"/>
      <c r="I172" s="70" t="s">
        <v>26</v>
      </c>
      <c r="J172" s="70" t="s">
        <v>749</v>
      </c>
      <c r="K172" s="21">
        <v>44993.483124999999</v>
      </c>
      <c r="L172" s="20" t="s">
        <v>27</v>
      </c>
      <c r="M172" s="20" t="s">
        <v>28</v>
      </c>
    </row>
    <row r="173" spans="1:13" ht="25.5">
      <c r="A173" s="63">
        <v>170</v>
      </c>
      <c r="B173" s="19">
        <v>1.7</v>
      </c>
      <c r="C173" s="184" t="s">
        <v>471</v>
      </c>
      <c r="D173" s="25" t="s">
        <v>502</v>
      </c>
      <c r="E173" s="60">
        <v>44993.481539351851</v>
      </c>
      <c r="F173" s="49" t="s">
        <v>595</v>
      </c>
      <c r="G173" s="16"/>
      <c r="H173" s="20"/>
      <c r="I173" s="70" t="s">
        <v>26</v>
      </c>
      <c r="J173" s="70" t="s">
        <v>749</v>
      </c>
      <c r="K173" s="21">
        <v>44993.483124999999</v>
      </c>
      <c r="L173" s="20" t="s">
        <v>27</v>
      </c>
      <c r="M173" s="20" t="s">
        <v>28</v>
      </c>
    </row>
    <row r="174" spans="1:13" ht="25.5">
      <c r="A174" s="63">
        <v>171</v>
      </c>
      <c r="B174" s="19">
        <v>1.7</v>
      </c>
      <c r="C174" s="184" t="s">
        <v>748</v>
      </c>
      <c r="D174" s="25" t="s">
        <v>502</v>
      </c>
      <c r="E174" s="60">
        <v>44993.481539351851</v>
      </c>
      <c r="F174" s="49" t="s">
        <v>595</v>
      </c>
      <c r="G174" s="16"/>
      <c r="H174" s="20"/>
      <c r="I174" s="70" t="s">
        <v>26</v>
      </c>
      <c r="J174" s="70" t="s">
        <v>749</v>
      </c>
      <c r="K174" s="21">
        <v>44993.483124999999</v>
      </c>
      <c r="L174" s="20" t="s">
        <v>27</v>
      </c>
      <c r="M174" s="20" t="s">
        <v>28</v>
      </c>
    </row>
    <row r="175" spans="1:13">
      <c r="A175" s="63">
        <v>172</v>
      </c>
      <c r="B175" s="19">
        <v>1.9</v>
      </c>
      <c r="C175" s="184" t="s">
        <v>469</v>
      </c>
      <c r="D175" s="25" t="s">
        <v>502</v>
      </c>
      <c r="E175" s="60">
        <v>44993.481539351851</v>
      </c>
      <c r="F175" s="49" t="s">
        <v>595</v>
      </c>
      <c r="G175" s="16"/>
      <c r="H175" s="20"/>
      <c r="I175" s="70" t="s">
        <v>26</v>
      </c>
      <c r="J175" s="70" t="s">
        <v>749</v>
      </c>
      <c r="K175" s="21">
        <v>44993.483124999999</v>
      </c>
      <c r="L175" s="20" t="s">
        <v>27</v>
      </c>
      <c r="M175" s="20" t="s">
        <v>28</v>
      </c>
    </row>
    <row r="176" spans="1:13">
      <c r="A176" s="63">
        <v>173</v>
      </c>
      <c r="B176" s="19">
        <v>1.2</v>
      </c>
      <c r="C176" s="230" t="s">
        <v>678</v>
      </c>
      <c r="D176" s="25" t="s">
        <v>502</v>
      </c>
      <c r="E176" s="60">
        <v>44993.858981481484</v>
      </c>
      <c r="F176" s="61" t="s">
        <v>595</v>
      </c>
      <c r="G176" s="16"/>
      <c r="H176" s="20"/>
      <c r="I176" s="70" t="s">
        <v>26</v>
      </c>
      <c r="J176" s="70" t="s">
        <v>599</v>
      </c>
      <c r="K176" s="21">
        <v>44993.483124999999</v>
      </c>
      <c r="L176" s="20" t="s">
        <v>27</v>
      </c>
      <c r="M176" s="20" t="s">
        <v>28</v>
      </c>
    </row>
    <row r="177" spans="1:13">
      <c r="A177" s="63">
        <v>174</v>
      </c>
      <c r="B177" s="19">
        <v>1.1000000000000001</v>
      </c>
      <c r="C177" s="230" t="s">
        <v>756</v>
      </c>
      <c r="D177" s="25" t="s">
        <v>502</v>
      </c>
      <c r="E177" s="60">
        <v>44993.85900462963</v>
      </c>
      <c r="F177" s="61" t="s">
        <v>595</v>
      </c>
      <c r="G177" s="16"/>
      <c r="H177" s="20"/>
      <c r="I177" s="70" t="s">
        <v>26</v>
      </c>
      <c r="J177" s="70" t="s">
        <v>599</v>
      </c>
      <c r="K177" s="21">
        <v>44993.483124999999</v>
      </c>
      <c r="L177" s="20" t="s">
        <v>27</v>
      </c>
      <c r="M177" s="20" t="s">
        <v>28</v>
      </c>
    </row>
    <row r="178" spans="1:13">
      <c r="A178" s="63">
        <v>175</v>
      </c>
      <c r="B178" s="19">
        <v>1.1000000000000001</v>
      </c>
      <c r="C178" s="230" t="s">
        <v>757</v>
      </c>
      <c r="D178" s="25" t="s">
        <v>502</v>
      </c>
      <c r="E178" s="60">
        <v>44993.859016203707</v>
      </c>
      <c r="F178" s="61" t="s">
        <v>595</v>
      </c>
      <c r="G178" s="16"/>
      <c r="H178" s="20"/>
      <c r="I178" s="70" t="s">
        <v>26</v>
      </c>
      <c r="J178" s="70" t="s">
        <v>599</v>
      </c>
      <c r="K178" s="21">
        <v>44993.483124999999</v>
      </c>
      <c r="L178" s="20" t="s">
        <v>27</v>
      </c>
      <c r="M178" s="20" t="s">
        <v>28</v>
      </c>
    </row>
    <row r="179" spans="1:13">
      <c r="A179" s="63">
        <v>176</v>
      </c>
      <c r="B179" s="19">
        <v>1.1000000000000001</v>
      </c>
      <c r="C179" s="230" t="s">
        <v>758</v>
      </c>
      <c r="D179" s="25" t="s">
        <v>502</v>
      </c>
      <c r="E179" s="60">
        <v>44993.856354166666</v>
      </c>
      <c r="F179" s="61" t="s">
        <v>595</v>
      </c>
      <c r="G179" s="16"/>
      <c r="H179" s="20"/>
      <c r="I179" s="70" t="s">
        <v>26</v>
      </c>
      <c r="J179" s="70" t="s">
        <v>599</v>
      </c>
      <c r="K179" s="21">
        <v>44993.483124999999</v>
      </c>
      <c r="L179" s="20" t="s">
        <v>27</v>
      </c>
      <c r="M179" s="20" t="s">
        <v>28</v>
      </c>
    </row>
    <row r="180" spans="1:13">
      <c r="A180" s="63">
        <v>177</v>
      </c>
      <c r="B180" s="19">
        <v>1.1000000000000001</v>
      </c>
      <c r="C180" s="230" t="s">
        <v>759</v>
      </c>
      <c r="D180" s="25" t="s">
        <v>502</v>
      </c>
      <c r="E180" s="60">
        <v>44993.859074074076</v>
      </c>
      <c r="F180" s="61" t="s">
        <v>595</v>
      </c>
      <c r="G180" s="16"/>
      <c r="H180" s="20"/>
      <c r="I180" s="70" t="s">
        <v>26</v>
      </c>
      <c r="J180" s="70" t="s">
        <v>599</v>
      </c>
      <c r="K180" s="21">
        <v>44993.483124999999</v>
      </c>
      <c r="L180" s="20" t="s">
        <v>27</v>
      </c>
      <c r="M180" s="20" t="s">
        <v>28</v>
      </c>
    </row>
    <row r="181" spans="1:13">
      <c r="A181" s="63">
        <v>178</v>
      </c>
      <c r="B181" s="19">
        <v>1.1000000000000001</v>
      </c>
      <c r="C181" s="230" t="s">
        <v>760</v>
      </c>
      <c r="D181" s="25" t="s">
        <v>502</v>
      </c>
      <c r="E181" s="60">
        <v>44993.859097222223</v>
      </c>
      <c r="F181" s="61" t="s">
        <v>595</v>
      </c>
      <c r="G181" s="16"/>
      <c r="H181" s="20"/>
      <c r="I181" s="70" t="s">
        <v>26</v>
      </c>
      <c r="J181" s="70" t="s">
        <v>599</v>
      </c>
      <c r="K181" s="21">
        <v>44993.483124999999</v>
      </c>
      <c r="L181" s="20" t="s">
        <v>27</v>
      </c>
      <c r="M181" s="20" t="s">
        <v>28</v>
      </c>
    </row>
    <row r="182" spans="1:13">
      <c r="A182" s="63">
        <v>179</v>
      </c>
      <c r="B182" s="19">
        <v>1.1000000000000001</v>
      </c>
      <c r="C182" s="230" t="s">
        <v>761</v>
      </c>
      <c r="D182" s="25" t="s">
        <v>502</v>
      </c>
      <c r="E182" s="60">
        <v>44993.859120370369</v>
      </c>
      <c r="F182" s="61" t="s">
        <v>595</v>
      </c>
      <c r="G182" s="16"/>
      <c r="H182" s="20"/>
      <c r="I182" s="70" t="s">
        <v>26</v>
      </c>
      <c r="J182" s="70" t="s">
        <v>599</v>
      </c>
      <c r="K182" s="21">
        <v>44993.483124999999</v>
      </c>
      <c r="L182" s="20" t="s">
        <v>27</v>
      </c>
      <c r="M182" s="20" t="s">
        <v>28</v>
      </c>
    </row>
    <row r="183" spans="1:13">
      <c r="A183" s="63">
        <v>180</v>
      </c>
      <c r="B183" s="19">
        <v>1.1000000000000001</v>
      </c>
      <c r="C183" s="230" t="s">
        <v>762</v>
      </c>
      <c r="D183" s="25" t="s">
        <v>502</v>
      </c>
      <c r="E183" s="60">
        <v>44993.859131944446</v>
      </c>
      <c r="F183" s="61" t="s">
        <v>595</v>
      </c>
      <c r="G183" s="16"/>
      <c r="H183" s="20"/>
      <c r="I183" s="70" t="s">
        <v>26</v>
      </c>
      <c r="J183" s="70" t="s">
        <v>599</v>
      </c>
      <c r="K183" s="21">
        <v>44993.483124999999</v>
      </c>
      <c r="L183" s="20" t="s">
        <v>27</v>
      </c>
      <c r="M183" s="20" t="s">
        <v>28</v>
      </c>
    </row>
    <row r="184" spans="1:13">
      <c r="A184" s="63">
        <v>181</v>
      </c>
      <c r="B184" s="19">
        <v>1.1000000000000001</v>
      </c>
      <c r="C184" s="230" t="s">
        <v>763</v>
      </c>
      <c r="D184" s="25" t="s">
        <v>779</v>
      </c>
      <c r="E184" s="60">
        <v>44993.856678240743</v>
      </c>
      <c r="F184" s="61" t="s">
        <v>595</v>
      </c>
      <c r="G184" s="25" t="s">
        <v>806</v>
      </c>
      <c r="H184" s="20"/>
      <c r="I184" s="70" t="s">
        <v>26</v>
      </c>
      <c r="J184" s="70" t="s">
        <v>599</v>
      </c>
      <c r="K184" s="21">
        <v>44993.483124999999</v>
      </c>
      <c r="L184" s="20" t="s">
        <v>20</v>
      </c>
      <c r="M184" s="20" t="s">
        <v>28</v>
      </c>
    </row>
    <row r="185" spans="1:13">
      <c r="A185" s="63">
        <v>182</v>
      </c>
      <c r="B185" s="19">
        <v>1.1000000000000001</v>
      </c>
      <c r="C185" s="230" t="s">
        <v>764</v>
      </c>
      <c r="D185" s="25" t="s">
        <v>502</v>
      </c>
      <c r="E185" s="60">
        <v>44993.859143518515</v>
      </c>
      <c r="F185" s="61" t="s">
        <v>595</v>
      </c>
      <c r="G185" s="16"/>
      <c r="H185" s="20"/>
      <c r="I185" s="70" t="s">
        <v>26</v>
      </c>
      <c r="J185" s="70" t="s">
        <v>599</v>
      </c>
      <c r="K185" s="21">
        <v>44993.483124999999</v>
      </c>
      <c r="L185" s="20" t="s">
        <v>27</v>
      </c>
      <c r="M185" s="20" t="s">
        <v>28</v>
      </c>
    </row>
    <row r="186" spans="1:13">
      <c r="A186" s="63">
        <v>183</v>
      </c>
      <c r="B186" s="19">
        <v>1.1000000000000001</v>
      </c>
      <c r="C186" s="230" t="s">
        <v>765</v>
      </c>
      <c r="D186" s="25" t="s">
        <v>502</v>
      </c>
      <c r="E186" s="60">
        <v>44993.859166666669</v>
      </c>
      <c r="F186" s="61" t="s">
        <v>595</v>
      </c>
      <c r="G186" s="16"/>
      <c r="H186" s="20"/>
      <c r="I186" s="70" t="s">
        <v>26</v>
      </c>
      <c r="J186" s="70" t="s">
        <v>599</v>
      </c>
      <c r="K186" s="21">
        <v>44993.483124999999</v>
      </c>
      <c r="L186" s="20" t="s">
        <v>27</v>
      </c>
      <c r="M186" s="20" t="s">
        <v>28</v>
      </c>
    </row>
    <row r="187" spans="1:13">
      <c r="A187" s="63">
        <v>184</v>
      </c>
      <c r="B187" s="19">
        <v>1.1000000000000001</v>
      </c>
      <c r="C187" s="230" t="s">
        <v>766</v>
      </c>
      <c r="D187" s="25" t="s">
        <v>502</v>
      </c>
      <c r="E187" s="60">
        <v>44993.859178240738</v>
      </c>
      <c r="F187" s="61" t="s">
        <v>595</v>
      </c>
      <c r="G187" s="16"/>
      <c r="H187" s="20"/>
      <c r="I187" s="70" t="s">
        <v>26</v>
      </c>
      <c r="J187" s="70" t="s">
        <v>599</v>
      </c>
      <c r="K187" s="21">
        <v>44993.483124999999</v>
      </c>
      <c r="L187" s="20" t="s">
        <v>27</v>
      </c>
      <c r="M187" s="20" t="s">
        <v>28</v>
      </c>
    </row>
    <row r="188" spans="1:13">
      <c r="A188" s="63">
        <v>185</v>
      </c>
      <c r="B188" s="19">
        <v>1.1000000000000001</v>
      </c>
      <c r="C188" s="230" t="s">
        <v>767</v>
      </c>
      <c r="D188" s="25" t="s">
        <v>502</v>
      </c>
      <c r="E188" s="60">
        <v>44993.859212962961</v>
      </c>
      <c r="F188" s="61" t="s">
        <v>595</v>
      </c>
      <c r="G188" s="16"/>
      <c r="H188" s="20"/>
      <c r="I188" s="70" t="s">
        <v>26</v>
      </c>
      <c r="J188" s="70" t="s">
        <v>599</v>
      </c>
      <c r="K188" s="21">
        <v>44993.483124999999</v>
      </c>
      <c r="L188" s="20" t="s">
        <v>27</v>
      </c>
      <c r="M188" s="20" t="s">
        <v>28</v>
      </c>
    </row>
    <row r="189" spans="1:13">
      <c r="A189" s="63">
        <v>186</v>
      </c>
      <c r="B189" s="19">
        <v>1.1000000000000001</v>
      </c>
      <c r="C189" s="230" t="s">
        <v>768</v>
      </c>
      <c r="D189" s="25" t="s">
        <v>502</v>
      </c>
      <c r="E189" s="60">
        <v>44993.859189814815</v>
      </c>
      <c r="F189" s="61" t="s">
        <v>595</v>
      </c>
      <c r="G189" s="16"/>
      <c r="H189" s="20"/>
      <c r="I189" s="70" t="s">
        <v>26</v>
      </c>
      <c r="J189" s="70" t="s">
        <v>599</v>
      </c>
      <c r="K189" s="21">
        <v>44993.483124999999</v>
      </c>
      <c r="L189" s="20" t="s">
        <v>27</v>
      </c>
      <c r="M189" s="20" t="s">
        <v>28</v>
      </c>
    </row>
    <row r="190" spans="1:13">
      <c r="A190" s="63">
        <v>187</v>
      </c>
      <c r="B190" s="19">
        <v>1.1000000000000001</v>
      </c>
      <c r="C190" s="230" t="s">
        <v>769</v>
      </c>
      <c r="D190" s="25" t="s">
        <v>502</v>
      </c>
      <c r="E190" s="60">
        <v>44993.859224537038</v>
      </c>
      <c r="F190" s="61" t="s">
        <v>595</v>
      </c>
      <c r="G190" s="16"/>
      <c r="H190" s="20"/>
      <c r="I190" s="70" t="s">
        <v>26</v>
      </c>
      <c r="J190" s="70" t="s">
        <v>599</v>
      </c>
      <c r="K190" s="21">
        <v>44993.483124999999</v>
      </c>
      <c r="L190" s="20" t="s">
        <v>27</v>
      </c>
      <c r="M190" s="20" t="s">
        <v>28</v>
      </c>
    </row>
    <row r="191" spans="1:13">
      <c r="A191" s="63">
        <v>188</v>
      </c>
      <c r="B191" s="19">
        <v>1.1000000000000001</v>
      </c>
      <c r="C191" s="230" t="s">
        <v>770</v>
      </c>
      <c r="D191" s="25" t="s">
        <v>502</v>
      </c>
      <c r="E191" s="60">
        <v>44993.859259259261</v>
      </c>
      <c r="F191" s="61" t="s">
        <v>595</v>
      </c>
      <c r="G191" s="16"/>
      <c r="H191" s="20"/>
      <c r="I191" s="70" t="s">
        <v>26</v>
      </c>
      <c r="J191" s="70" t="s">
        <v>599</v>
      </c>
      <c r="K191" s="21">
        <v>44993.483124999999</v>
      </c>
      <c r="L191" s="20" t="s">
        <v>27</v>
      </c>
      <c r="M191" s="20" t="s">
        <v>28</v>
      </c>
    </row>
    <row r="192" spans="1:13">
      <c r="A192" s="63">
        <v>189</v>
      </c>
      <c r="B192" s="19">
        <v>1.1000000000000001</v>
      </c>
      <c r="C192" s="230" t="s">
        <v>771</v>
      </c>
      <c r="D192" s="25" t="s">
        <v>502</v>
      </c>
      <c r="E192" s="60">
        <v>44993.859270833331</v>
      </c>
      <c r="F192" s="61" t="s">
        <v>595</v>
      </c>
      <c r="G192" s="16"/>
      <c r="H192" s="20"/>
      <c r="I192" s="70" t="s">
        <v>26</v>
      </c>
      <c r="J192" s="70" t="s">
        <v>599</v>
      </c>
      <c r="K192" s="21">
        <v>44993.483124999999</v>
      </c>
      <c r="L192" s="20" t="s">
        <v>27</v>
      </c>
      <c r="M192" s="20" t="s">
        <v>28</v>
      </c>
    </row>
    <row r="193" spans="1:13">
      <c r="A193" s="63">
        <v>190</v>
      </c>
      <c r="B193" s="19">
        <v>1.1000000000000001</v>
      </c>
      <c r="C193" s="230" t="s">
        <v>772</v>
      </c>
      <c r="D193" s="25" t="s">
        <v>502</v>
      </c>
      <c r="E193" s="60">
        <v>44993.859282407408</v>
      </c>
      <c r="F193" s="61" t="s">
        <v>595</v>
      </c>
      <c r="G193" s="16"/>
      <c r="H193" s="20"/>
      <c r="I193" s="70" t="s">
        <v>26</v>
      </c>
      <c r="J193" s="70" t="s">
        <v>599</v>
      </c>
      <c r="K193" s="21">
        <v>44993.483124999999</v>
      </c>
      <c r="L193" s="20" t="s">
        <v>27</v>
      </c>
      <c r="M193" s="20" t="s">
        <v>28</v>
      </c>
    </row>
    <row r="194" spans="1:13">
      <c r="A194" s="63">
        <v>191</v>
      </c>
      <c r="B194" s="19">
        <v>1.1000000000000001</v>
      </c>
      <c r="C194" s="230" t="s">
        <v>773</v>
      </c>
      <c r="D194" s="25" t="s">
        <v>502</v>
      </c>
      <c r="E194" s="60">
        <v>44993.859317129631</v>
      </c>
      <c r="F194" s="61" t="s">
        <v>595</v>
      </c>
      <c r="G194" s="16"/>
      <c r="H194" s="20"/>
      <c r="I194" s="70" t="s">
        <v>26</v>
      </c>
      <c r="J194" s="70" t="s">
        <v>599</v>
      </c>
      <c r="K194" s="21">
        <v>44993.483124999999</v>
      </c>
      <c r="L194" s="20" t="s">
        <v>27</v>
      </c>
      <c r="M194" s="20" t="s">
        <v>28</v>
      </c>
    </row>
    <row r="195" spans="1:13">
      <c r="A195" s="63">
        <v>192</v>
      </c>
      <c r="B195" s="19">
        <v>1.1000000000000001</v>
      </c>
      <c r="C195" s="230" t="s">
        <v>774</v>
      </c>
      <c r="D195" s="16" t="s">
        <v>502</v>
      </c>
      <c r="E195" s="60">
        <v>44993.859293981484</v>
      </c>
      <c r="F195" s="61" t="s">
        <v>595</v>
      </c>
      <c r="G195" s="16"/>
      <c r="H195" s="20"/>
      <c r="I195" s="70" t="s">
        <v>26</v>
      </c>
      <c r="J195" s="70" t="s">
        <v>599</v>
      </c>
      <c r="K195" s="21">
        <v>44993.483124999999</v>
      </c>
      <c r="L195" s="20" t="s">
        <v>27</v>
      </c>
      <c r="M195" s="20" t="s">
        <v>28</v>
      </c>
    </row>
    <row r="196" spans="1:13">
      <c r="A196" s="63">
        <v>193</v>
      </c>
      <c r="B196" s="19">
        <v>1.1000000000000001</v>
      </c>
      <c r="C196" s="230" t="s">
        <v>775</v>
      </c>
      <c r="D196" s="16" t="s">
        <v>502</v>
      </c>
      <c r="E196" s="60">
        <v>44993.859224537038</v>
      </c>
      <c r="F196" s="61" t="s">
        <v>595</v>
      </c>
      <c r="G196" s="16"/>
      <c r="H196" s="20"/>
      <c r="I196" s="70" t="s">
        <v>26</v>
      </c>
      <c r="J196" s="70" t="s">
        <v>599</v>
      </c>
      <c r="K196" s="21">
        <v>44993.483124999999</v>
      </c>
      <c r="L196" s="20" t="s">
        <v>27</v>
      </c>
      <c r="M196" s="20" t="s">
        <v>28</v>
      </c>
    </row>
    <row r="197" spans="1:13">
      <c r="A197" s="63">
        <v>194</v>
      </c>
      <c r="B197" s="19">
        <v>1.1000000000000001</v>
      </c>
      <c r="C197" s="230" t="s">
        <v>776</v>
      </c>
      <c r="D197" s="25" t="s">
        <v>780</v>
      </c>
      <c r="E197" s="60">
        <v>44993.858773148146</v>
      </c>
      <c r="F197" s="61" t="s">
        <v>595</v>
      </c>
      <c r="G197" s="25" t="s">
        <v>807</v>
      </c>
      <c r="H197" s="20"/>
      <c r="I197" s="70" t="s">
        <v>26</v>
      </c>
      <c r="J197" s="70" t="s">
        <v>599</v>
      </c>
      <c r="K197" s="21">
        <v>44993.483124999999</v>
      </c>
      <c r="L197" s="20" t="s">
        <v>20</v>
      </c>
      <c r="M197" s="20" t="s">
        <v>28</v>
      </c>
    </row>
    <row r="198" spans="1:13">
      <c r="A198" s="63">
        <v>195</v>
      </c>
      <c r="B198" s="19">
        <v>1.1000000000000001</v>
      </c>
      <c r="C198" s="230" t="s">
        <v>777</v>
      </c>
      <c r="D198" s="25" t="s">
        <v>502</v>
      </c>
      <c r="E198" s="60">
        <v>44993.8593287037</v>
      </c>
      <c r="F198" s="61" t="s">
        <v>595</v>
      </c>
      <c r="G198" s="16"/>
      <c r="H198" s="20"/>
      <c r="I198" s="70" t="s">
        <v>26</v>
      </c>
      <c r="J198" s="70" t="s">
        <v>599</v>
      </c>
      <c r="K198" s="21">
        <v>44993.483124999999</v>
      </c>
      <c r="L198" s="20" t="s">
        <v>27</v>
      </c>
      <c r="M198" s="20" t="s">
        <v>28</v>
      </c>
    </row>
    <row r="199" spans="1:13">
      <c r="A199" s="63">
        <v>196</v>
      </c>
      <c r="B199" s="19">
        <v>1.1000000000000001</v>
      </c>
      <c r="C199" s="230" t="s">
        <v>778</v>
      </c>
      <c r="D199" s="16" t="s">
        <v>502</v>
      </c>
      <c r="E199" s="60">
        <v>44993.8593287037</v>
      </c>
      <c r="F199" s="61" t="s">
        <v>595</v>
      </c>
      <c r="G199" s="16"/>
      <c r="H199" s="20"/>
      <c r="I199" s="70" t="s">
        <v>26</v>
      </c>
      <c r="J199" s="70" t="s">
        <v>599</v>
      </c>
      <c r="K199" s="21">
        <v>44993.483124999999</v>
      </c>
      <c r="L199" s="20" t="s">
        <v>27</v>
      </c>
      <c r="M199" s="20" t="s">
        <v>28</v>
      </c>
    </row>
    <row r="200" spans="1:13">
      <c r="A200" s="63">
        <v>197</v>
      </c>
      <c r="B200" s="19">
        <v>1.9</v>
      </c>
      <c r="C200" s="184" t="s">
        <v>671</v>
      </c>
      <c r="D200" s="25" t="s">
        <v>502</v>
      </c>
      <c r="E200" s="60">
        <v>45043.422465277778</v>
      </c>
      <c r="F200" s="61" t="s">
        <v>595</v>
      </c>
      <c r="G200" s="16"/>
      <c r="H200" s="20"/>
      <c r="I200" s="70" t="s">
        <v>26</v>
      </c>
      <c r="J200" s="20" t="s">
        <v>749</v>
      </c>
      <c r="K200" s="21">
        <v>45043.422997685186</v>
      </c>
      <c r="L200" s="20" t="s">
        <v>27</v>
      </c>
      <c r="M200" s="20" t="s">
        <v>28</v>
      </c>
    </row>
    <row r="201" spans="1:13">
      <c r="A201" s="63">
        <v>198</v>
      </c>
      <c r="B201" s="19">
        <v>1.9</v>
      </c>
      <c r="C201" s="19" t="s">
        <v>715</v>
      </c>
      <c r="D201" s="25" t="s">
        <v>502</v>
      </c>
      <c r="E201" s="60">
        <v>45043.422534722224</v>
      </c>
      <c r="F201" s="61" t="s">
        <v>595</v>
      </c>
      <c r="G201" s="16"/>
      <c r="H201" s="20"/>
      <c r="I201" s="70" t="s">
        <v>26</v>
      </c>
      <c r="J201" s="20" t="s">
        <v>749</v>
      </c>
      <c r="K201" s="21">
        <v>45043.423020833332</v>
      </c>
      <c r="L201" s="20" t="s">
        <v>27</v>
      </c>
      <c r="M201" s="20" t="s">
        <v>28</v>
      </c>
    </row>
    <row r="202" spans="1:13">
      <c r="A202" s="63">
        <v>199</v>
      </c>
      <c r="B202" s="19">
        <v>1.8</v>
      </c>
      <c r="C202" s="184" t="s">
        <v>470</v>
      </c>
      <c r="D202" s="25" t="s">
        <v>502</v>
      </c>
      <c r="E202" s="60">
        <v>45043.422581018516</v>
      </c>
      <c r="F202" s="61" t="s">
        <v>595</v>
      </c>
      <c r="G202" s="16"/>
      <c r="H202" s="20"/>
      <c r="I202" s="70" t="s">
        <v>26</v>
      </c>
      <c r="J202" s="20" t="s">
        <v>749</v>
      </c>
      <c r="K202" s="21">
        <v>45043.423043981478</v>
      </c>
      <c r="L202" s="20" t="s">
        <v>27</v>
      </c>
      <c r="M202" s="20" t="s">
        <v>28</v>
      </c>
    </row>
    <row r="203" spans="1:13" ht="25.5">
      <c r="A203" s="63">
        <v>200</v>
      </c>
      <c r="B203" s="19">
        <v>1.8</v>
      </c>
      <c r="C203" s="184" t="s">
        <v>471</v>
      </c>
      <c r="D203" s="25" t="s">
        <v>502</v>
      </c>
      <c r="E203" s="60">
        <v>45043.422627314816</v>
      </c>
      <c r="F203" s="61" t="s">
        <v>595</v>
      </c>
      <c r="G203" s="16"/>
      <c r="H203" s="16"/>
      <c r="I203" s="19" t="s">
        <v>26</v>
      </c>
      <c r="J203" s="20" t="s">
        <v>749</v>
      </c>
      <c r="K203" s="21">
        <v>45043.423067129632</v>
      </c>
      <c r="L203" s="20" t="s">
        <v>27</v>
      </c>
      <c r="M203" s="20" t="s">
        <v>28</v>
      </c>
    </row>
    <row r="204" spans="1:13" ht="25.5">
      <c r="A204" s="63">
        <v>201</v>
      </c>
      <c r="B204" s="19">
        <v>1.8</v>
      </c>
      <c r="C204" s="184" t="s">
        <v>748</v>
      </c>
      <c r="D204" s="25" t="s">
        <v>502</v>
      </c>
      <c r="E204" s="60">
        <v>45043.422696759262</v>
      </c>
      <c r="F204" s="61" t="s">
        <v>595</v>
      </c>
      <c r="G204" s="16"/>
      <c r="H204" s="16"/>
      <c r="I204" s="19" t="s">
        <v>26</v>
      </c>
      <c r="J204" s="20" t="s">
        <v>749</v>
      </c>
      <c r="K204" s="21">
        <v>45043.423067129632</v>
      </c>
      <c r="L204" s="20" t="s">
        <v>27</v>
      </c>
      <c r="M204" s="20" t="s">
        <v>28</v>
      </c>
    </row>
    <row r="205" spans="1:13">
      <c r="A205" s="63">
        <v>202</v>
      </c>
      <c r="B205" s="232">
        <v>1.1000000000000001</v>
      </c>
      <c r="C205" s="184" t="s">
        <v>469</v>
      </c>
      <c r="D205" s="25" t="s">
        <v>502</v>
      </c>
      <c r="E205" s="60">
        <v>45043.422731481478</v>
      </c>
      <c r="F205" s="61" t="s">
        <v>595</v>
      </c>
      <c r="G205" s="16"/>
      <c r="H205" s="16"/>
      <c r="I205" s="19" t="s">
        <v>26</v>
      </c>
      <c r="J205" s="20" t="s">
        <v>749</v>
      </c>
      <c r="K205" s="21">
        <v>45043.423067129632</v>
      </c>
      <c r="L205" s="20" t="s">
        <v>27</v>
      </c>
      <c r="M205" s="20" t="s">
        <v>28</v>
      </c>
    </row>
    <row r="206" spans="1:13">
      <c r="A206" s="63">
        <v>203</v>
      </c>
      <c r="B206" s="184">
        <v>1.1000000000000001</v>
      </c>
      <c r="C206" s="184" t="s">
        <v>808</v>
      </c>
      <c r="D206" s="25" t="s">
        <v>502</v>
      </c>
      <c r="E206" s="60">
        <v>45043.422812500001</v>
      </c>
      <c r="F206" s="61" t="s">
        <v>595</v>
      </c>
      <c r="G206" s="16"/>
      <c r="H206" s="16"/>
      <c r="I206" s="19" t="s">
        <v>26</v>
      </c>
      <c r="J206" s="20" t="s">
        <v>749</v>
      </c>
      <c r="K206" s="21">
        <v>45043.423067129632</v>
      </c>
      <c r="L206" s="20" t="s">
        <v>27</v>
      </c>
      <c r="M206" s="20" t="s">
        <v>28</v>
      </c>
    </row>
    <row r="207" spans="1:13" ht="25.5">
      <c r="A207" s="63">
        <v>204</v>
      </c>
      <c r="B207" s="184" t="s">
        <v>820</v>
      </c>
      <c r="C207" s="184" t="s">
        <v>406</v>
      </c>
      <c r="D207" s="25" t="s">
        <v>502</v>
      </c>
      <c r="E207" s="60">
        <v>45054.667118055557</v>
      </c>
      <c r="F207" s="61" t="s">
        <v>695</v>
      </c>
      <c r="G207" s="16"/>
      <c r="H207" s="16"/>
      <c r="I207" s="19" t="s">
        <v>26</v>
      </c>
      <c r="J207" s="20" t="s">
        <v>402</v>
      </c>
      <c r="K207" s="21">
        <v>45054.667280092595</v>
      </c>
      <c r="L207" s="20" t="s">
        <v>27</v>
      </c>
      <c r="M207" s="20" t="s">
        <v>28</v>
      </c>
    </row>
    <row r="208" spans="1:13">
      <c r="A208" s="63">
        <v>205</v>
      </c>
      <c r="B208" s="184">
        <v>1.1100000000000001</v>
      </c>
      <c r="C208" s="184" t="s">
        <v>469</v>
      </c>
      <c r="D208" s="25" t="s">
        <v>502</v>
      </c>
      <c r="E208" s="60">
        <v>45069.596979166665</v>
      </c>
      <c r="F208" s="61" t="s">
        <v>595</v>
      </c>
      <c r="G208" s="16"/>
      <c r="H208" s="16"/>
      <c r="I208" s="19" t="s">
        <v>26</v>
      </c>
      <c r="J208" s="20" t="s">
        <v>825</v>
      </c>
      <c r="K208" s="21">
        <v>45069.59710648148</v>
      </c>
      <c r="L208" s="236" t="s">
        <v>27</v>
      </c>
      <c r="M208" s="20" t="s">
        <v>28</v>
      </c>
    </row>
    <row r="209" spans="1:13">
      <c r="A209" s="63">
        <v>206</v>
      </c>
      <c r="B209" s="184" t="s">
        <v>828</v>
      </c>
      <c r="C209" s="184" t="s">
        <v>432</v>
      </c>
      <c r="D209" s="25" t="s">
        <v>829</v>
      </c>
      <c r="E209" s="60">
        <v>45090.487858796296</v>
      </c>
      <c r="F209" s="61" t="s">
        <v>695</v>
      </c>
      <c r="G209" s="16" t="s">
        <v>839</v>
      </c>
      <c r="H209" s="16"/>
      <c r="I209" s="19" t="s">
        <v>26</v>
      </c>
      <c r="J209" s="20" t="s">
        <v>402</v>
      </c>
      <c r="K209" s="21">
        <v>44942</v>
      </c>
      <c r="L209" s="20" t="s">
        <v>20</v>
      </c>
      <c r="M209" s="20" t="s">
        <v>28</v>
      </c>
    </row>
    <row r="210" spans="1:13">
      <c r="A210" s="63">
        <v>207</v>
      </c>
      <c r="B210" s="184" t="s">
        <v>830</v>
      </c>
      <c r="C210" s="184" t="s">
        <v>424</v>
      </c>
      <c r="D210" s="25" t="s">
        <v>829</v>
      </c>
      <c r="E210" s="60">
        <v>45090.489872685182</v>
      </c>
      <c r="F210" s="61" t="s">
        <v>695</v>
      </c>
      <c r="G210" s="16" t="s">
        <v>839</v>
      </c>
      <c r="H210" s="16"/>
      <c r="I210" s="19" t="s">
        <v>26</v>
      </c>
      <c r="J210" s="20" t="s">
        <v>402</v>
      </c>
      <c r="K210" s="21">
        <v>44942</v>
      </c>
      <c r="L210" s="46" t="s">
        <v>20</v>
      </c>
      <c r="M210" s="20" t="s">
        <v>28</v>
      </c>
    </row>
    <row r="211" spans="1:13">
      <c r="A211" s="63">
        <v>208</v>
      </c>
      <c r="B211" s="184" t="s">
        <v>831</v>
      </c>
      <c r="C211" s="184" t="s">
        <v>415</v>
      </c>
      <c r="D211" s="25" t="s">
        <v>502</v>
      </c>
      <c r="E211" s="60">
        <v>45090.492754629631</v>
      </c>
      <c r="F211" s="61" t="s">
        <v>695</v>
      </c>
      <c r="G211" s="16"/>
      <c r="H211" s="16"/>
      <c r="I211" s="19" t="s">
        <v>26</v>
      </c>
      <c r="J211" s="20" t="s">
        <v>402</v>
      </c>
      <c r="K211" s="21">
        <v>45090</v>
      </c>
      <c r="L211" s="236" t="s">
        <v>27</v>
      </c>
      <c r="M211" s="20" t="s">
        <v>28</v>
      </c>
    </row>
    <row r="212" spans="1:13">
      <c r="A212" s="63">
        <v>209</v>
      </c>
      <c r="B212" s="184" t="s">
        <v>834</v>
      </c>
      <c r="C212" s="184" t="s">
        <v>432</v>
      </c>
      <c r="D212" s="25" t="s">
        <v>502</v>
      </c>
      <c r="E212" s="60">
        <v>45093.390486111108</v>
      </c>
      <c r="F212" s="61" t="s">
        <v>535</v>
      </c>
      <c r="G212" s="16"/>
      <c r="H212" s="16"/>
      <c r="I212" s="19" t="s">
        <v>26</v>
      </c>
      <c r="J212" s="20" t="s">
        <v>535</v>
      </c>
      <c r="K212" s="21">
        <v>45093.39707175926</v>
      </c>
      <c r="L212" s="20" t="s">
        <v>27</v>
      </c>
      <c r="M212" s="20" t="s">
        <v>28</v>
      </c>
    </row>
    <row r="213" spans="1:13">
      <c r="A213" s="63">
        <v>210</v>
      </c>
      <c r="B213" s="184" t="s">
        <v>838</v>
      </c>
      <c r="C213" s="184" t="s">
        <v>424</v>
      </c>
      <c r="D213" s="25" t="s">
        <v>502</v>
      </c>
      <c r="E213" s="60">
        <v>45093.409953703704</v>
      </c>
      <c r="F213" s="61" t="s">
        <v>535</v>
      </c>
      <c r="G213" s="16"/>
      <c r="H213" s="16"/>
      <c r="I213" s="19" t="s">
        <v>26</v>
      </c>
      <c r="J213" s="20" t="s">
        <v>535</v>
      </c>
      <c r="K213" s="21">
        <v>45093.410034722219</v>
      </c>
      <c r="L213" s="20" t="s">
        <v>27</v>
      </c>
      <c r="M213" s="20" t="s">
        <v>28</v>
      </c>
    </row>
    <row r="214" spans="1:13">
      <c r="A214" s="46">
        <v>211</v>
      </c>
      <c r="B214" s="43">
        <v>1.1299999999999999</v>
      </c>
      <c r="C214" s="184" t="s">
        <v>611</v>
      </c>
      <c r="D214" s="44" t="s">
        <v>502</v>
      </c>
      <c r="E214" s="45">
        <v>45093.528784722221</v>
      </c>
      <c r="F214" s="43" t="s">
        <v>402</v>
      </c>
      <c r="I214" s="19" t="s">
        <v>26</v>
      </c>
      <c r="J214" s="43" t="s">
        <v>402</v>
      </c>
      <c r="K214" s="45">
        <v>45093.529178240744</v>
      </c>
      <c r="L214" s="20" t="s">
        <v>27</v>
      </c>
      <c r="M214" s="20" t="s">
        <v>28</v>
      </c>
    </row>
    <row r="215" spans="1:13">
      <c r="A215" s="46">
        <v>212</v>
      </c>
      <c r="B215" s="43">
        <v>1.1200000000000001</v>
      </c>
      <c r="C215" s="209" t="s">
        <v>469</v>
      </c>
      <c r="D215" s="241" t="s">
        <v>502</v>
      </c>
      <c r="E215" s="45">
        <v>45099.447048611109</v>
      </c>
      <c r="F215" s="43" t="s">
        <v>595</v>
      </c>
      <c r="J215" s="209" t="s">
        <v>842</v>
      </c>
      <c r="K215" s="45">
        <v>45099.447569444441</v>
      </c>
      <c r="L215" s="20" t="s">
        <v>27</v>
      </c>
      <c r="M215" s="20" t="s">
        <v>28</v>
      </c>
    </row>
    <row r="216" spans="1:13" ht="25.5">
      <c r="A216" s="46">
        <v>213</v>
      </c>
      <c r="B216" s="184" t="s">
        <v>844</v>
      </c>
      <c r="C216" s="184" t="s">
        <v>406</v>
      </c>
      <c r="D216" s="241" t="s">
        <v>502</v>
      </c>
      <c r="E216" s="45">
        <v>45099.5624537037</v>
      </c>
      <c r="F216" s="43" t="s">
        <v>535</v>
      </c>
      <c r="J216" s="43" t="s">
        <v>535</v>
      </c>
      <c r="K216" s="45">
        <v>45099.562962962962</v>
      </c>
      <c r="L216" s="20" t="s">
        <v>27</v>
      </c>
      <c r="M216" s="20" t="s">
        <v>28</v>
      </c>
    </row>
    <row r="217" spans="1:13" ht="25.5">
      <c r="A217" s="63">
        <v>214</v>
      </c>
      <c r="B217" s="184" t="s">
        <v>846</v>
      </c>
      <c r="C217" s="184" t="s">
        <v>406</v>
      </c>
      <c r="D217" s="25" t="s">
        <v>502</v>
      </c>
      <c r="E217" s="60">
        <v>45169.591886574075</v>
      </c>
      <c r="F217" s="61" t="s">
        <v>402</v>
      </c>
      <c r="G217" s="16"/>
      <c r="H217" s="20"/>
      <c r="I217" s="20" t="s">
        <v>26</v>
      </c>
      <c r="J217" s="20" t="s">
        <v>402</v>
      </c>
      <c r="K217" s="21">
        <v>45169.587696759256</v>
      </c>
      <c r="L217" s="20" t="s">
        <v>27</v>
      </c>
      <c r="M217" s="20" t="s">
        <v>28</v>
      </c>
    </row>
    <row r="218" spans="1:13">
      <c r="A218" s="46">
        <v>215</v>
      </c>
      <c r="B218" s="184" t="s">
        <v>847</v>
      </c>
      <c r="C218" s="184" t="s">
        <v>432</v>
      </c>
      <c r="D218" s="25" t="s">
        <v>502</v>
      </c>
      <c r="E218" s="60">
        <v>45169.591886574075</v>
      </c>
      <c r="F218" s="61" t="s">
        <v>402</v>
      </c>
      <c r="G218" s="16"/>
      <c r="H218" s="20"/>
      <c r="I218" s="20" t="s">
        <v>26</v>
      </c>
      <c r="J218" s="20" t="s">
        <v>402</v>
      </c>
      <c r="K218" s="21">
        <v>45169.592037037037</v>
      </c>
      <c r="L218" s="20" t="s">
        <v>27</v>
      </c>
      <c r="M218" s="20" t="s">
        <v>28</v>
      </c>
    </row>
    <row r="219" spans="1:13">
      <c r="A219" s="63">
        <v>216</v>
      </c>
      <c r="B219" s="184">
        <v>1.1299999999999999</v>
      </c>
      <c r="C219" s="184" t="s">
        <v>469</v>
      </c>
      <c r="D219" s="25" t="s">
        <v>502</v>
      </c>
      <c r="E219" s="60">
        <v>45179.4690162037</v>
      </c>
      <c r="F219" s="61" t="s">
        <v>595</v>
      </c>
      <c r="G219" s="16"/>
      <c r="H219" s="20"/>
      <c r="I219" s="20"/>
      <c r="J219" s="20" t="s">
        <v>842</v>
      </c>
      <c r="K219" s="21">
        <v>45179.469224537039</v>
      </c>
      <c r="L219" s="20" t="s">
        <v>27</v>
      </c>
      <c r="M219" s="20" t="s">
        <v>28</v>
      </c>
    </row>
    <row r="220" spans="1:13">
      <c r="A220" s="46">
        <v>217</v>
      </c>
      <c r="B220" s="184" t="s">
        <v>852</v>
      </c>
      <c r="C220" s="184" t="s">
        <v>432</v>
      </c>
      <c r="D220" s="25" t="s">
        <v>502</v>
      </c>
      <c r="E220" s="60">
        <v>45194.616261574076</v>
      </c>
      <c r="F220" s="61" t="s">
        <v>853</v>
      </c>
      <c r="G220" s="16"/>
      <c r="H220" s="20"/>
      <c r="I220" s="20" t="s">
        <v>26</v>
      </c>
      <c r="J220" s="20" t="s">
        <v>853</v>
      </c>
      <c r="K220" s="21">
        <v>45194.616319444445</v>
      </c>
      <c r="L220" s="20" t="s">
        <v>27</v>
      </c>
      <c r="M220" s="20" t="s">
        <v>28</v>
      </c>
    </row>
    <row r="221" spans="1:13" ht="25.5">
      <c r="A221" s="63">
        <v>218</v>
      </c>
      <c r="B221" s="184" t="s">
        <v>855</v>
      </c>
      <c r="C221" s="184" t="s">
        <v>406</v>
      </c>
      <c r="D221" s="25" t="s">
        <v>502</v>
      </c>
      <c r="E221" s="60">
        <v>45205.543680555558</v>
      </c>
      <c r="F221" s="61" t="s">
        <v>402</v>
      </c>
      <c r="G221" s="16"/>
      <c r="H221" s="20"/>
      <c r="I221" s="20" t="s">
        <v>26</v>
      </c>
      <c r="J221" s="20" t="s">
        <v>402</v>
      </c>
      <c r="K221" s="21">
        <v>45205.543773148151</v>
      </c>
      <c r="L221" s="20" t="s">
        <v>27</v>
      </c>
      <c r="M221" s="20" t="s">
        <v>28</v>
      </c>
    </row>
    <row r="222" spans="1:13">
      <c r="A222" s="46">
        <v>219</v>
      </c>
      <c r="B222" s="244" t="s">
        <v>683</v>
      </c>
      <c r="C222" s="245" t="s">
        <v>448</v>
      </c>
      <c r="D222" s="25" t="s">
        <v>502</v>
      </c>
      <c r="E222" s="60">
        <v>45205.545104166667</v>
      </c>
      <c r="F222" s="61" t="s">
        <v>402</v>
      </c>
      <c r="G222" s="16"/>
      <c r="H222" s="20"/>
      <c r="I222" s="20" t="s">
        <v>26</v>
      </c>
      <c r="J222" s="20" t="s">
        <v>402</v>
      </c>
      <c r="K222" s="21">
        <v>45205.545740740738</v>
      </c>
      <c r="L222" s="20" t="s">
        <v>27</v>
      </c>
      <c r="M222" s="20" t="s">
        <v>28</v>
      </c>
    </row>
    <row r="223" spans="1:13">
      <c r="A223" s="63">
        <v>220</v>
      </c>
      <c r="B223" s="244" t="s">
        <v>856</v>
      </c>
      <c r="C223" s="184" t="s">
        <v>424</v>
      </c>
      <c r="D223" s="25" t="s">
        <v>502</v>
      </c>
      <c r="E223" s="60">
        <v>45205.545659722222</v>
      </c>
      <c r="F223" s="49" t="s">
        <v>853</v>
      </c>
      <c r="G223" s="16"/>
      <c r="H223" s="20"/>
      <c r="I223" s="20" t="s">
        <v>26</v>
      </c>
      <c r="J223" s="70" t="s">
        <v>853</v>
      </c>
      <c r="K223" s="21">
        <v>45205.545775462961</v>
      </c>
      <c r="L223" s="20" t="s">
        <v>27</v>
      </c>
      <c r="M223" s="20" t="s">
        <v>28</v>
      </c>
    </row>
    <row r="224" spans="1:13">
      <c r="A224" s="46">
        <v>221</v>
      </c>
      <c r="B224" s="184" t="s">
        <v>857</v>
      </c>
      <c r="C224" s="245" t="s">
        <v>437</v>
      </c>
      <c r="D224" s="25" t="s">
        <v>502</v>
      </c>
      <c r="E224" s="60">
        <v>45205.546851851854</v>
      </c>
      <c r="F224" s="61" t="s">
        <v>402</v>
      </c>
      <c r="G224" s="16"/>
      <c r="H224" s="20"/>
      <c r="I224" s="20" t="s">
        <v>26</v>
      </c>
      <c r="J224" s="20" t="s">
        <v>402</v>
      </c>
      <c r="K224" s="21">
        <v>45205.546909722223</v>
      </c>
      <c r="L224" s="20" t="s">
        <v>27</v>
      </c>
      <c r="M224" s="20" t="s">
        <v>28</v>
      </c>
    </row>
    <row r="225" spans="1:13">
      <c r="A225" s="63">
        <v>222</v>
      </c>
      <c r="B225" s="184" t="s">
        <v>863</v>
      </c>
      <c r="C225" s="184" t="s">
        <v>448</v>
      </c>
      <c r="D225" s="25" t="s">
        <v>502</v>
      </c>
      <c r="E225" s="60">
        <v>45225.342557870368</v>
      </c>
      <c r="F225" s="61" t="s">
        <v>535</v>
      </c>
      <c r="G225" s="16"/>
      <c r="H225" s="20"/>
      <c r="I225" s="20"/>
      <c r="J225" s="70" t="s">
        <v>695</v>
      </c>
      <c r="K225" s="21">
        <v>45225.343159722222</v>
      </c>
      <c r="L225" s="20" t="s">
        <v>27</v>
      </c>
      <c r="M225" s="20" t="s">
        <v>28</v>
      </c>
    </row>
    <row r="226" spans="1:13" ht="25.5">
      <c r="A226" s="46">
        <v>223</v>
      </c>
      <c r="B226" s="184" t="s">
        <v>864</v>
      </c>
      <c r="C226" s="184" t="s">
        <v>440</v>
      </c>
      <c r="D226" s="25" t="s">
        <v>502</v>
      </c>
      <c r="E226" s="60">
        <v>45225.342650462961</v>
      </c>
      <c r="F226" s="61" t="s">
        <v>535</v>
      </c>
      <c r="G226" s="16"/>
      <c r="H226" s="20"/>
      <c r="I226" s="20"/>
      <c r="J226" s="70" t="s">
        <v>695</v>
      </c>
      <c r="K226" s="21">
        <v>45225.343217592592</v>
      </c>
      <c r="L226" s="20" t="s">
        <v>27</v>
      </c>
      <c r="M226" s="20" t="s">
        <v>28</v>
      </c>
    </row>
    <row r="227" spans="1:13" ht="25.5">
      <c r="A227" s="63">
        <v>224</v>
      </c>
      <c r="B227" s="184" t="s">
        <v>865</v>
      </c>
      <c r="C227" s="184" t="s">
        <v>866</v>
      </c>
      <c r="D227" s="25" t="s">
        <v>870</v>
      </c>
      <c r="E227" s="60">
        <v>45225.34270833333</v>
      </c>
      <c r="F227" s="61" t="s">
        <v>535</v>
      </c>
      <c r="G227" s="16"/>
      <c r="H227" s="20"/>
      <c r="I227" s="20"/>
      <c r="J227" s="70" t="s">
        <v>695</v>
      </c>
      <c r="K227" s="21">
        <v>45225.343958333331</v>
      </c>
      <c r="L227" s="20" t="s">
        <v>20</v>
      </c>
      <c r="M227" s="20" t="s">
        <v>28</v>
      </c>
    </row>
    <row r="228" spans="1:13">
      <c r="A228" s="46">
        <v>225</v>
      </c>
      <c r="B228" s="184" t="s">
        <v>867</v>
      </c>
      <c r="C228" s="184" t="s">
        <v>424</v>
      </c>
      <c r="D228" s="25" t="s">
        <v>502</v>
      </c>
      <c r="E228" s="60">
        <v>45225.34275462963</v>
      </c>
      <c r="F228" s="61" t="s">
        <v>535</v>
      </c>
      <c r="G228" s="16"/>
      <c r="H228" s="20"/>
      <c r="I228" s="20"/>
      <c r="J228" s="70" t="s">
        <v>695</v>
      </c>
      <c r="K228" s="21">
        <v>45225.344004629631</v>
      </c>
      <c r="L228" s="20" t="s">
        <v>27</v>
      </c>
      <c r="M228" s="20" t="s">
        <v>28</v>
      </c>
    </row>
    <row r="229" spans="1:13">
      <c r="A229" s="63">
        <v>226</v>
      </c>
      <c r="B229" s="184" t="s">
        <v>868</v>
      </c>
      <c r="C229" s="184" t="s">
        <v>437</v>
      </c>
      <c r="D229" s="25" t="s">
        <v>502</v>
      </c>
      <c r="E229" s="60">
        <v>45225.342824074076</v>
      </c>
      <c r="F229" s="61" t="s">
        <v>535</v>
      </c>
      <c r="G229" s="16"/>
      <c r="H229" s="20"/>
      <c r="I229" s="20"/>
      <c r="J229" s="70" t="s">
        <v>695</v>
      </c>
      <c r="K229" s="21">
        <v>45225.344050925924</v>
      </c>
      <c r="L229" s="20" t="s">
        <v>27</v>
      </c>
      <c r="M229" s="20" t="s">
        <v>28</v>
      </c>
    </row>
    <row r="230" spans="1:13">
      <c r="A230" s="46">
        <v>227</v>
      </c>
      <c r="B230" s="184">
        <v>1.1399999999999999</v>
      </c>
      <c r="C230" s="184" t="s">
        <v>611</v>
      </c>
      <c r="D230" s="25" t="s">
        <v>871</v>
      </c>
      <c r="E230" s="60">
        <v>45225.342870370368</v>
      </c>
      <c r="F230" s="61" t="s">
        <v>535</v>
      </c>
      <c r="G230" s="16"/>
      <c r="H230" s="20"/>
      <c r="I230" s="20"/>
      <c r="J230" s="70" t="s">
        <v>695</v>
      </c>
      <c r="K230" s="21">
        <v>45225.344097222223</v>
      </c>
      <c r="L230" s="20" t="s">
        <v>20</v>
      </c>
      <c r="M230" s="20" t="s">
        <v>28</v>
      </c>
    </row>
    <row r="231" spans="1:13">
      <c r="A231" s="63">
        <v>228</v>
      </c>
      <c r="B231" s="184" t="s">
        <v>498</v>
      </c>
      <c r="C231" s="184" t="s">
        <v>624</v>
      </c>
      <c r="D231" s="25" t="s">
        <v>872</v>
      </c>
      <c r="E231" s="60">
        <v>45225.342905092592</v>
      </c>
      <c r="F231" s="61" t="s">
        <v>535</v>
      </c>
      <c r="G231" s="16"/>
      <c r="H231" s="20"/>
      <c r="I231" s="20"/>
      <c r="J231" s="70" t="s">
        <v>695</v>
      </c>
      <c r="K231" s="21">
        <v>45225.344143518516</v>
      </c>
      <c r="L231" s="20" t="s">
        <v>20</v>
      </c>
      <c r="M231" s="20" t="s">
        <v>28</v>
      </c>
    </row>
    <row r="232" spans="1:13">
      <c r="A232" s="46">
        <v>229</v>
      </c>
      <c r="B232" s="184" t="s">
        <v>869</v>
      </c>
      <c r="C232" s="184" t="s">
        <v>432</v>
      </c>
      <c r="D232" s="25" t="s">
        <v>502</v>
      </c>
      <c r="E232" s="60">
        <v>45225.342951388891</v>
      </c>
      <c r="F232" s="61" t="s">
        <v>535</v>
      </c>
      <c r="G232" s="16"/>
      <c r="H232" s="20"/>
      <c r="I232" s="20"/>
      <c r="J232" s="70" t="s">
        <v>695</v>
      </c>
      <c r="K232" s="21">
        <v>45225.344178240739</v>
      </c>
      <c r="L232" s="20" t="s">
        <v>27</v>
      </c>
      <c r="M232" s="20" t="s">
        <v>28</v>
      </c>
    </row>
    <row r="233" spans="1:13" ht="25.5">
      <c r="A233" s="63">
        <v>230</v>
      </c>
      <c r="B233" s="184" t="s">
        <v>882</v>
      </c>
      <c r="C233" s="184" t="s">
        <v>883</v>
      </c>
      <c r="D233" s="25" t="s">
        <v>502</v>
      </c>
      <c r="E233" s="60">
        <v>45225.404178240744</v>
      </c>
      <c r="F233" s="61" t="s">
        <v>535</v>
      </c>
      <c r="G233" s="16"/>
      <c r="H233" s="20"/>
      <c r="I233" s="20"/>
      <c r="J233" s="70" t="s">
        <v>695</v>
      </c>
      <c r="K233" s="21">
        <v>45225.393495370372</v>
      </c>
      <c r="L233" s="20" t="s">
        <v>27</v>
      </c>
      <c r="M233" s="20" t="s">
        <v>28</v>
      </c>
    </row>
    <row r="234" spans="1:13">
      <c r="A234" s="46">
        <v>231</v>
      </c>
      <c r="B234" s="184" t="s">
        <v>884</v>
      </c>
      <c r="C234" s="184" t="s">
        <v>424</v>
      </c>
      <c r="D234" s="25" t="s">
        <v>502</v>
      </c>
      <c r="E234" s="60">
        <v>45230.405243055553</v>
      </c>
      <c r="F234" s="61" t="s">
        <v>535</v>
      </c>
      <c r="G234" s="16"/>
      <c r="H234" s="20"/>
      <c r="I234" s="20"/>
      <c r="J234" s="20" t="s">
        <v>535</v>
      </c>
      <c r="K234" s="21">
        <v>45230.405300925922</v>
      </c>
      <c r="L234" s="20" t="s">
        <v>27</v>
      </c>
      <c r="M234" s="20" t="s">
        <v>28</v>
      </c>
    </row>
    <row r="235" spans="1:13" ht="25.5">
      <c r="A235" s="63">
        <v>232</v>
      </c>
      <c r="B235" s="184" t="s">
        <v>885</v>
      </c>
      <c r="C235" s="184" t="s">
        <v>883</v>
      </c>
      <c r="D235" s="25" t="s">
        <v>887</v>
      </c>
      <c r="E235" s="60">
        <v>45314.674097222225</v>
      </c>
      <c r="F235" s="61" t="s">
        <v>695</v>
      </c>
      <c r="G235" s="16" t="s">
        <v>891</v>
      </c>
      <c r="H235" s="20"/>
      <c r="I235" s="20"/>
      <c r="J235" s="20" t="s">
        <v>535</v>
      </c>
      <c r="K235" s="21">
        <v>45320.579027777778</v>
      </c>
      <c r="L235" s="20" t="s">
        <v>27</v>
      </c>
      <c r="M235" s="20" t="s">
        <v>28</v>
      </c>
    </row>
    <row r="236" spans="1:13" ht="25.5">
      <c r="A236" s="252">
        <v>233</v>
      </c>
      <c r="B236" s="184" t="s">
        <v>885</v>
      </c>
      <c r="C236" s="184" t="s">
        <v>883</v>
      </c>
      <c r="D236" s="253" t="s">
        <v>888</v>
      </c>
      <c r="E236" s="254">
        <v>45314.675416666665</v>
      </c>
      <c r="F236" s="255" t="s">
        <v>695</v>
      </c>
      <c r="G236" s="256" t="s">
        <v>892</v>
      </c>
      <c r="H236" s="255"/>
      <c r="I236" s="255"/>
      <c r="J236" s="20" t="s">
        <v>535</v>
      </c>
      <c r="K236" s="254">
        <v>45320.579270833332</v>
      </c>
      <c r="L236" s="20" t="s">
        <v>20</v>
      </c>
      <c r="M236" s="20" t="s">
        <v>28</v>
      </c>
    </row>
    <row r="237" spans="1:13" ht="25.5">
      <c r="A237" s="252">
        <v>234</v>
      </c>
      <c r="B237" s="184" t="s">
        <v>885</v>
      </c>
      <c r="C237" s="184" t="s">
        <v>883</v>
      </c>
      <c r="D237" s="253" t="s">
        <v>889</v>
      </c>
      <c r="E237" s="254">
        <v>45314.681574074071</v>
      </c>
      <c r="F237" s="255" t="s">
        <v>695</v>
      </c>
      <c r="G237" s="256" t="s">
        <v>892</v>
      </c>
      <c r="H237" s="255"/>
      <c r="I237" s="255"/>
      <c r="J237" s="20" t="s">
        <v>535</v>
      </c>
      <c r="K237" s="254">
        <v>45320.579305555555</v>
      </c>
      <c r="L237" s="20" t="s">
        <v>20</v>
      </c>
      <c r="M237" s="20" t="s">
        <v>28</v>
      </c>
    </row>
    <row r="238" spans="1:13" ht="25.5">
      <c r="A238" s="252">
        <v>234</v>
      </c>
      <c r="B238" s="184" t="s">
        <v>894</v>
      </c>
      <c r="C238" s="184" t="s">
        <v>883</v>
      </c>
      <c r="D238" s="241" t="s">
        <v>502</v>
      </c>
      <c r="E238" s="45">
        <v>45321.393148148149</v>
      </c>
      <c r="F238" s="43" t="s">
        <v>695</v>
      </c>
      <c r="J238" s="20" t="s">
        <v>535</v>
      </c>
      <c r="K238" s="45">
        <v>45321.393263888887</v>
      </c>
      <c r="L238" s="20" t="s">
        <v>27</v>
      </c>
      <c r="M238" s="20" t="s">
        <v>28</v>
      </c>
    </row>
    <row r="239" spans="1:13">
      <c r="A239" s="46">
        <v>235</v>
      </c>
      <c r="B239" s="209" t="s">
        <v>897</v>
      </c>
      <c r="C239" s="209" t="s">
        <v>432</v>
      </c>
      <c r="D239" s="241" t="s">
        <v>502</v>
      </c>
      <c r="E239" s="45">
        <v>45334.487569444442</v>
      </c>
      <c r="F239" s="43" t="s">
        <v>898</v>
      </c>
      <c r="J239" s="20" t="s">
        <v>535</v>
      </c>
      <c r="K239" s="45">
        <v>45334.487847222219</v>
      </c>
      <c r="L239" s="20" t="s">
        <v>27</v>
      </c>
      <c r="M239" s="20" t="s">
        <v>28</v>
      </c>
    </row>
    <row r="240" spans="1:13">
      <c r="A240" s="46">
        <v>236</v>
      </c>
      <c r="B240" s="43">
        <v>1.6</v>
      </c>
      <c r="C240" s="209" t="s">
        <v>900</v>
      </c>
      <c r="D240" s="241" t="s">
        <v>502</v>
      </c>
      <c r="E240" s="45">
        <v>45334.490300925929</v>
      </c>
      <c r="F240" s="43" t="s">
        <v>898</v>
      </c>
      <c r="J240" s="20" t="s">
        <v>535</v>
      </c>
      <c r="K240" s="45">
        <v>45334.487847222219</v>
      </c>
      <c r="L240" s="20" t="s">
        <v>27</v>
      </c>
      <c r="M240" s="20" t="s">
        <v>28</v>
      </c>
    </row>
    <row r="241" spans="1:13">
      <c r="A241" s="46">
        <v>237</v>
      </c>
      <c r="B241" s="184">
        <v>1.1399999999999999</v>
      </c>
      <c r="C241" s="184" t="s">
        <v>469</v>
      </c>
      <c r="D241" s="25" t="s">
        <v>502</v>
      </c>
      <c r="E241" s="60">
        <v>45350</v>
      </c>
      <c r="F241" s="49" t="s">
        <v>825</v>
      </c>
      <c r="G241" s="16"/>
      <c r="H241" s="20"/>
      <c r="I241" s="20"/>
      <c r="J241" s="70" t="s">
        <v>749</v>
      </c>
      <c r="K241" s="60">
        <v>45350</v>
      </c>
      <c r="L241" s="20" t="s">
        <v>27</v>
      </c>
      <c r="M241" s="20" t="s">
        <v>28</v>
      </c>
    </row>
  </sheetData>
  <autoFilter ref="A4:M236" xr:uid="{00000000-0009-0000-0000-000005000000}"/>
  <dataConsolidate/>
  <mergeCells count="2">
    <mergeCell ref="E3:G3"/>
    <mergeCell ref="A3:C3"/>
  </mergeCells>
  <phoneticPr fontId="55" type="noConversion"/>
  <conditionalFormatting sqref="P1:P2 L208 L242:L65533 L210:L211">
    <cfRule type="cellIs" dxfId="123" priority="128" stopIfTrue="1" operator="equal">
      <formula>"Fixed"</formula>
    </cfRule>
    <cfRule type="cellIs" dxfId="122" priority="129" stopIfTrue="1" operator="equal">
      <formula>"Open"</formula>
    </cfRule>
  </conditionalFormatting>
  <conditionalFormatting sqref="L4">
    <cfRule type="cellIs" dxfId="121" priority="130" stopIfTrue="1" operator="equal">
      <formula>"Open"</formula>
    </cfRule>
    <cfRule type="cellIs" dxfId="120" priority="131" stopIfTrue="1" operator="equal">
      <formula>"Fixed"</formula>
    </cfRule>
  </conditionalFormatting>
  <conditionalFormatting sqref="L102:L169 L176 L184 L197 L200:L207 L209 L5:L99">
    <cfRule type="expression" dxfId="119" priority="132" stopIfTrue="1">
      <formula>AND($M5="Approved",$L5="Fixed")</formula>
    </cfRule>
    <cfRule type="cellIs" dxfId="118" priority="133" stopIfTrue="1" operator="equal">
      <formula>"Fixed"</formula>
    </cfRule>
    <cfRule type="cellIs" dxfId="117" priority="134" stopIfTrue="1" operator="equal">
      <formula>"Open"</formula>
    </cfRule>
  </conditionalFormatting>
  <conditionalFormatting sqref="M5:M99 M176 M184 M197 M101:M169">
    <cfRule type="expression" dxfId="116" priority="135" stopIfTrue="1">
      <formula>OR(M5="Fixed",M5="Approved")</formula>
    </cfRule>
    <cfRule type="cellIs" dxfId="115" priority="136" stopIfTrue="1" operator="equal">
      <formula>"Rejected"</formula>
    </cfRule>
  </conditionalFormatting>
  <conditionalFormatting sqref="A3">
    <cfRule type="expression" dxfId="114" priority="122" stopIfTrue="1">
      <formula>$X$2=1</formula>
    </cfRule>
    <cfRule type="expression" dxfId="113" priority="123" stopIfTrue="1">
      <formula>$Y$2=1</formula>
    </cfRule>
    <cfRule type="expression" dxfId="112" priority="125" stopIfTrue="1">
      <formula>$AA$2=1</formula>
    </cfRule>
  </conditionalFormatting>
  <conditionalFormatting sqref="A3:C3">
    <cfRule type="expression" dxfId="111" priority="124" stopIfTrue="1">
      <formula>$Z$2=1</formula>
    </cfRule>
  </conditionalFormatting>
  <conditionalFormatting sqref="A26 C26:G26 A27:G27 A28:A31 C28:G31 A32:G33 A34 C34:F34 A36:G36 A37:A38 C37:C38 A39:C40 A41 C41 D37:G41 A5:G25 A35:F35 A42:B45 A50:C50 E50:H50 A51:A52 A53:B53 D42:K44 A46:H49 D51:K51 A54:H57 A58:C58 E58:H58 A59:K62 A63:B68 D63:K68 D52:H53 J52:K58 I59:I65 D45:H45 J45:K50 A69:K86 A87:B92 D87:K92 A93:K95 A96:B101 D100:H101 D96:K99 A109:B109 D109:H109 A112:B112 D112:H112 A106:K106 A110:H111 A102:H105 J102:K105 A107:H108 A113:H113 J107:K113 G111:G113 A114:K115 D116:K116 A116:B116 A117:K123 D134:H134 A134:B134 A135:A140 E135:H140 E145:G145 A141:H141 D142:H142 D146:G152 D143:G144 H143:H152 A124:H133 A142:C152 A162:A166 D162:K166 A168 D168:K168 A167:K167 A153:K161 A169:K199 K201:K203 J201:J202 J200:K200 D200:I202 D203:G203 A200:A213 G213 E203:G212 G34:G35 I5:K41 I124:K152">
    <cfRule type="expression" dxfId="110" priority="306" stopIfTrue="1">
      <formula>AND($M5="Approved",OR($L5=$R$1,$L5=$T$1))</formula>
    </cfRule>
  </conditionalFormatting>
  <conditionalFormatting sqref="H5:H10">
    <cfRule type="expression" dxfId="109" priority="121" stopIfTrue="1">
      <formula>AND($M5="Approved",OR($L5=$R$1,$L5=$T$1))</formula>
    </cfRule>
  </conditionalFormatting>
  <conditionalFormatting sqref="H11">
    <cfRule type="expression" dxfId="108" priority="120" stopIfTrue="1">
      <formula>AND($M11="Approved",OR($L11=$R$1,$L11=$T$1))</formula>
    </cfRule>
  </conditionalFormatting>
  <conditionalFormatting sqref="H12:H41">
    <cfRule type="expression" dxfId="107" priority="119" stopIfTrue="1">
      <formula>AND($M12="Approved",OR($L12=$R$1,$L12=$T$1))</formula>
    </cfRule>
  </conditionalFormatting>
  <conditionalFormatting sqref="C42">
    <cfRule type="expression" dxfId="106" priority="118" stopIfTrue="1">
      <formula>AND($M42="Approved",OR($L42=$R$1,$L42=$T$1))</formula>
    </cfRule>
  </conditionalFormatting>
  <conditionalFormatting sqref="C43">
    <cfRule type="expression" dxfId="105" priority="117" stopIfTrue="1">
      <formula>AND($M43="Approved",OR($L43=$R$1,$L43=$T$1))</formula>
    </cfRule>
  </conditionalFormatting>
  <conditionalFormatting sqref="C44">
    <cfRule type="expression" dxfId="104" priority="116" stopIfTrue="1">
      <formula>AND($M44="Approved",OR($L44=$R$1,$L44=$T$1))</formula>
    </cfRule>
  </conditionalFormatting>
  <conditionalFormatting sqref="C45">
    <cfRule type="expression" dxfId="103" priority="115" stopIfTrue="1">
      <formula>AND($M45="Approved",OR($L45=$R$1,$L45=$T$1))</formula>
    </cfRule>
  </conditionalFormatting>
  <conditionalFormatting sqref="D50">
    <cfRule type="expression" dxfId="102" priority="114" stopIfTrue="1">
      <formula>AND($M50="Approved",OR($L50=$R$1,$L50=$T$1))</formula>
    </cfRule>
  </conditionalFormatting>
  <conditionalFormatting sqref="C51">
    <cfRule type="expression" dxfId="101" priority="113" stopIfTrue="1">
      <formula>AND($M51="Approved",OR($L51=$R$1,$L51=$T$1))</formula>
    </cfRule>
  </conditionalFormatting>
  <conditionalFormatting sqref="B52">
    <cfRule type="expression" dxfId="100" priority="112" stopIfTrue="1">
      <formula>AND($M52="Approved",OR($L52=$R$1,$L52=$T$1))</formula>
    </cfRule>
  </conditionalFormatting>
  <conditionalFormatting sqref="C52">
    <cfRule type="expression" dxfId="99" priority="111" stopIfTrue="1">
      <formula>AND($M52="Approved",OR($L52=$R$1,$L52=$T$1))</formula>
    </cfRule>
  </conditionalFormatting>
  <conditionalFormatting sqref="C53">
    <cfRule type="expression" dxfId="98" priority="110" stopIfTrue="1">
      <formula>AND($M53="Approved",OR($L53=$R$1,$L53=$T$1))</formula>
    </cfRule>
  </conditionalFormatting>
  <conditionalFormatting sqref="C63:C68">
    <cfRule type="expression" dxfId="97" priority="109" stopIfTrue="1">
      <formula>AND($M63="Approved",OR($L63=$R$1,$L63=$T$1))</formula>
    </cfRule>
  </conditionalFormatting>
  <conditionalFormatting sqref="I52:I58">
    <cfRule type="expression" dxfId="96" priority="108" stopIfTrue="1">
      <formula>AND($M52="Approved",OR($L52=$R$1,$L52=$T$1))</formula>
    </cfRule>
  </conditionalFormatting>
  <conditionalFormatting sqref="I45:I50">
    <cfRule type="expression" dxfId="95" priority="107" stopIfTrue="1">
      <formula>AND($M45="Approved",OR($L45=$R$1,$L45=$T$1))</formula>
    </cfRule>
  </conditionalFormatting>
  <conditionalFormatting sqref="C87:C92">
    <cfRule type="expression" dxfId="94" priority="104" stopIfTrue="1">
      <formula>AND($M87="Approved",OR($L87=$R$1,$L87=$T$1))</formula>
    </cfRule>
  </conditionalFormatting>
  <conditionalFormatting sqref="C96">
    <cfRule type="expression" dxfId="93" priority="103" stopIfTrue="1">
      <formula>AND($M96="Approved",OR($L96=$R$1,$L96=$T$1))</formula>
    </cfRule>
  </conditionalFormatting>
  <conditionalFormatting sqref="C97">
    <cfRule type="expression" dxfId="92" priority="102" stopIfTrue="1">
      <formula>AND($M97="Approved",OR($L97=$R$1,$L97=$T$1))</formula>
    </cfRule>
  </conditionalFormatting>
  <conditionalFormatting sqref="C98">
    <cfRule type="expression" dxfId="91" priority="101" stopIfTrue="1">
      <formula>AND($M98="Approved",OR($L98=$R$1,$L98=$T$1))</formula>
    </cfRule>
  </conditionalFormatting>
  <conditionalFormatting sqref="C99">
    <cfRule type="expression" dxfId="90" priority="100" stopIfTrue="1">
      <formula>AND($M99="Approved",OR($L99=$R$1,$L99=$T$1))</formula>
    </cfRule>
  </conditionalFormatting>
  <conditionalFormatting sqref="C100">
    <cfRule type="expression" dxfId="89" priority="99" stopIfTrue="1">
      <formula>AND($M100="Approved",OR($L100=$R$1,$L100=$T$1))</formula>
    </cfRule>
  </conditionalFormatting>
  <conditionalFormatting sqref="L100">
    <cfRule type="expression" dxfId="88" priority="93" stopIfTrue="1">
      <formula>AND($M100="Approved",$L100="Fixed")</formula>
    </cfRule>
    <cfRule type="cellIs" dxfId="87" priority="94" stopIfTrue="1" operator="equal">
      <formula>"Fixed"</formula>
    </cfRule>
    <cfRule type="cellIs" dxfId="86" priority="95" stopIfTrue="1" operator="equal">
      <formula>"Open"</formula>
    </cfRule>
  </conditionalFormatting>
  <conditionalFormatting sqref="M100">
    <cfRule type="expression" dxfId="85" priority="96" stopIfTrue="1">
      <formula>OR(M100="Fixed",M100="Approved")</formula>
    </cfRule>
    <cfRule type="cellIs" dxfId="84" priority="97" stopIfTrue="1" operator="equal">
      <formula>"Rejected"</formula>
    </cfRule>
  </conditionalFormatting>
  <conditionalFormatting sqref="I100:K100">
    <cfRule type="expression" dxfId="83" priority="98" stopIfTrue="1">
      <formula>AND($M100="Approved",OR($L100=$R$1,$L100=$T$1))</formula>
    </cfRule>
  </conditionalFormatting>
  <conditionalFormatting sqref="C101">
    <cfRule type="expression" dxfId="82" priority="92" stopIfTrue="1">
      <formula>AND($M101="Approved",OR($L101=$R$1,$L101=$T$1))</formula>
    </cfRule>
  </conditionalFormatting>
  <conditionalFormatting sqref="L101">
    <cfRule type="expression" dxfId="81" priority="88" stopIfTrue="1">
      <formula>AND($M101="Approved",$L101="Fixed")</formula>
    </cfRule>
    <cfRule type="cellIs" dxfId="80" priority="89" stopIfTrue="1" operator="equal">
      <formula>"Fixed"</formula>
    </cfRule>
    <cfRule type="cellIs" dxfId="79" priority="90" stopIfTrue="1" operator="equal">
      <formula>"Open"</formula>
    </cfRule>
  </conditionalFormatting>
  <conditionalFormatting sqref="I101:K101">
    <cfRule type="expression" dxfId="78" priority="91" stopIfTrue="1">
      <formula>AND($M101="Approved",OR($L101=$R$1,$L101=$T$1))</formula>
    </cfRule>
  </conditionalFormatting>
  <conditionalFormatting sqref="I104">
    <cfRule type="expression" dxfId="77" priority="87" stopIfTrue="1">
      <formula>AND($M104="Approved",OR($L104=$R$1,$L104=$T$1))</formula>
    </cfRule>
  </conditionalFormatting>
  <conditionalFormatting sqref="I103">
    <cfRule type="expression" dxfId="76" priority="86" stopIfTrue="1">
      <formula>AND($M103="Approved",OR($L103=$R$1,$L103=$T$1))</formula>
    </cfRule>
  </conditionalFormatting>
  <conditionalFormatting sqref="I108">
    <cfRule type="expression" dxfId="75" priority="85" stopIfTrue="1">
      <formula>AND($M108="Approved",OR($L108=$R$1,$L108=$T$1))</formula>
    </cfRule>
  </conditionalFormatting>
  <conditionalFormatting sqref="I102">
    <cfRule type="expression" dxfId="74" priority="84" stopIfTrue="1">
      <formula>AND($M102="Approved",OR($L102=$R$1,$L102=$T$1))</formula>
    </cfRule>
  </conditionalFormatting>
  <conditionalFormatting sqref="I109">
    <cfRule type="expression" dxfId="73" priority="83" stopIfTrue="1">
      <formula>AND($M109="Approved",OR($L109=$R$1,$L109=$T$1))</formula>
    </cfRule>
  </conditionalFormatting>
  <conditionalFormatting sqref="I110">
    <cfRule type="expression" dxfId="72" priority="82" stopIfTrue="1">
      <formula>AND($M110="Approved",OR($L110=$R$1,$L110=$T$1))</formula>
    </cfRule>
  </conditionalFormatting>
  <conditionalFormatting sqref="I105">
    <cfRule type="expression" dxfId="71" priority="81" stopIfTrue="1">
      <formula>AND($M105="Approved",OR($L105=$R$1,$L105=$T$1))</formula>
    </cfRule>
  </conditionalFormatting>
  <conditionalFormatting sqref="I107">
    <cfRule type="expression" dxfId="70" priority="80" stopIfTrue="1">
      <formula>AND($M107="Approved",OR($L107=$R$1,$L107=$T$1))</formula>
    </cfRule>
  </conditionalFormatting>
  <conditionalFormatting sqref="I111:I113">
    <cfRule type="expression" dxfId="69" priority="79" stopIfTrue="1">
      <formula>AND($M111="Approved",OR($L111=$R$1,$L111=$T$1))</formula>
    </cfRule>
  </conditionalFormatting>
  <conditionalFormatting sqref="B135:D140">
    <cfRule type="expression" dxfId="68" priority="78" stopIfTrue="1">
      <formula>AND($M135="Approved",OR($L135=$R$1,$L135=$T$1))</formula>
    </cfRule>
  </conditionalFormatting>
  <conditionalFormatting sqref="B162">
    <cfRule type="expression" dxfId="67" priority="77" stopIfTrue="1">
      <formula>AND($M162="Approved",OR($L162=$R$1,$L162=$T$1))</formula>
    </cfRule>
  </conditionalFormatting>
  <conditionalFormatting sqref="C162">
    <cfRule type="expression" dxfId="66" priority="76" stopIfTrue="1">
      <formula>AND($M162="Approved",OR($L162=$R$1,$L162=$T$1))</formula>
    </cfRule>
  </conditionalFormatting>
  <conditionalFormatting sqref="B163">
    <cfRule type="expression" dxfId="65" priority="75" stopIfTrue="1">
      <formula>AND($M163="Approved",OR($L163=$R$1,$L163=$T$1))</formula>
    </cfRule>
  </conditionalFormatting>
  <conditionalFormatting sqref="C163">
    <cfRule type="expression" dxfId="64" priority="74" stopIfTrue="1">
      <formula>AND($M163="Approved",OR($L163=$R$1,$L163=$T$1))</formula>
    </cfRule>
  </conditionalFormatting>
  <conditionalFormatting sqref="B164">
    <cfRule type="expression" dxfId="63" priority="73" stopIfTrue="1">
      <formula>AND($M164="Approved",OR($L164=$R$1,$L164=$T$1))</formula>
    </cfRule>
  </conditionalFormatting>
  <conditionalFormatting sqref="C164">
    <cfRule type="expression" dxfId="62" priority="72" stopIfTrue="1">
      <formula>AND($M164="Approved",OR($L164=$R$1,$L164=$T$1))</formula>
    </cfRule>
  </conditionalFormatting>
  <conditionalFormatting sqref="B165">
    <cfRule type="expression" dxfId="61" priority="71" stopIfTrue="1">
      <formula>AND($M165="Approved",OR($L165=$R$1,$L165=$T$1))</formula>
    </cfRule>
  </conditionalFormatting>
  <conditionalFormatting sqref="C165">
    <cfRule type="expression" dxfId="60" priority="70" stopIfTrue="1">
      <formula>AND($M165="Approved",OR($L165=$R$1,$L165=$T$1))</formula>
    </cfRule>
  </conditionalFormatting>
  <conditionalFormatting sqref="B166">
    <cfRule type="expression" dxfId="59" priority="69" stopIfTrue="1">
      <formula>AND($M166="Approved",OR($L166=$R$1,$L166=$T$1))</formula>
    </cfRule>
  </conditionalFormatting>
  <conditionalFormatting sqref="C166">
    <cfRule type="expression" dxfId="58" priority="68" stopIfTrue="1">
      <formula>AND($M166="Approved",OR($L166=$R$1,$L166=$T$1))</formula>
    </cfRule>
  </conditionalFormatting>
  <conditionalFormatting sqref="B168">
    <cfRule type="expression" dxfId="57" priority="67" stopIfTrue="1">
      <formula>AND($M168="Approved",OR($L168=$R$1,$L168=$T$1))</formula>
    </cfRule>
  </conditionalFormatting>
  <conditionalFormatting sqref="C168">
    <cfRule type="expression" dxfId="56" priority="66" stopIfTrue="1">
      <formula>AND($M168="Approved",OR($L168=$R$1,$L168=$T$1))</formula>
    </cfRule>
  </conditionalFormatting>
  <conditionalFormatting sqref="L170:L175">
    <cfRule type="expression" dxfId="55" priority="61" stopIfTrue="1">
      <formula>AND($M170="Approved",$L170="Fixed")</formula>
    </cfRule>
    <cfRule type="cellIs" dxfId="54" priority="62" stopIfTrue="1" operator="equal">
      <formula>"Fixed"</formula>
    </cfRule>
    <cfRule type="cellIs" dxfId="53" priority="63" stopIfTrue="1" operator="equal">
      <formula>"Open"</formula>
    </cfRule>
  </conditionalFormatting>
  <conditionalFormatting sqref="M170:M175">
    <cfRule type="expression" dxfId="52" priority="64" stopIfTrue="1">
      <formula>OR(M170="Fixed",M170="Approved")</formula>
    </cfRule>
    <cfRule type="cellIs" dxfId="51" priority="65" stopIfTrue="1" operator="equal">
      <formula>"Rejected"</formula>
    </cfRule>
  </conditionalFormatting>
  <conditionalFormatting sqref="L177:L183">
    <cfRule type="expression" dxfId="50" priority="56" stopIfTrue="1">
      <formula>AND($M177="Approved",$L177="Fixed")</formula>
    </cfRule>
    <cfRule type="cellIs" dxfId="49" priority="57" stopIfTrue="1" operator="equal">
      <formula>"Fixed"</formula>
    </cfRule>
    <cfRule type="cellIs" dxfId="48" priority="58" stopIfTrue="1" operator="equal">
      <formula>"Open"</formula>
    </cfRule>
  </conditionalFormatting>
  <conditionalFormatting sqref="M177:M183">
    <cfRule type="expression" dxfId="47" priority="59" stopIfTrue="1">
      <formula>OR(M177="Fixed",M177="Approved")</formula>
    </cfRule>
    <cfRule type="cellIs" dxfId="46" priority="60" stopIfTrue="1" operator="equal">
      <formula>"Rejected"</formula>
    </cfRule>
  </conditionalFormatting>
  <conditionalFormatting sqref="L185:L196">
    <cfRule type="expression" dxfId="45" priority="51" stopIfTrue="1">
      <formula>AND($M185="Approved",$L185="Fixed")</formula>
    </cfRule>
    <cfRule type="cellIs" dxfId="44" priority="52" stopIfTrue="1" operator="equal">
      <formula>"Fixed"</formula>
    </cfRule>
    <cfRule type="cellIs" dxfId="43" priority="53" stopIfTrue="1" operator="equal">
      <formula>"Open"</formula>
    </cfRule>
  </conditionalFormatting>
  <conditionalFormatting sqref="M185:M196">
    <cfRule type="expression" dxfId="42" priority="54" stopIfTrue="1">
      <formula>OR(M185="Fixed",M185="Approved")</formula>
    </cfRule>
    <cfRule type="cellIs" dxfId="41" priority="55" stopIfTrue="1" operator="equal">
      <formula>"Rejected"</formula>
    </cfRule>
  </conditionalFormatting>
  <conditionalFormatting sqref="L198:L199">
    <cfRule type="expression" dxfId="40" priority="46" stopIfTrue="1">
      <formula>AND($M198="Approved",$L198="Fixed")</formula>
    </cfRule>
    <cfRule type="cellIs" dxfId="39" priority="47" stopIfTrue="1" operator="equal">
      <formula>"Fixed"</formula>
    </cfRule>
    <cfRule type="cellIs" dxfId="38" priority="48" stopIfTrue="1" operator="equal">
      <formula>"Open"</formula>
    </cfRule>
  </conditionalFormatting>
  <conditionalFormatting sqref="M198:M212">
    <cfRule type="expression" dxfId="37" priority="49" stopIfTrue="1">
      <formula>OR(M198="Fixed",M198="Approved")</formula>
    </cfRule>
    <cfRule type="cellIs" dxfId="36" priority="50" stopIfTrue="1" operator="equal">
      <formula>"Rejected"</formula>
    </cfRule>
  </conditionalFormatting>
  <conditionalFormatting sqref="B200:C205">
    <cfRule type="expression" dxfId="35" priority="45" stopIfTrue="1">
      <formula>AND($M200="Approved",OR($L200=$R$1,$L200=$T$1))</formula>
    </cfRule>
  </conditionalFormatting>
  <conditionalFormatting sqref="K204">
    <cfRule type="expression" dxfId="34" priority="44" stopIfTrue="1">
      <formula>AND($M204="Approved",OR($L204=$R$1,$L204=$T$1))</formula>
    </cfRule>
  </conditionalFormatting>
  <conditionalFormatting sqref="D204:D213">
    <cfRule type="expression" dxfId="33" priority="43" stopIfTrue="1">
      <formula>AND($M204="Approved",OR($L204=$R$1,$L204=$T$1))</formula>
    </cfRule>
  </conditionalFormatting>
  <conditionalFormatting sqref="H203:H213">
    <cfRule type="expression" dxfId="32" priority="42" stopIfTrue="1">
      <formula>AND($M203="Approved",OR($L203=$R$1,$L203=$T$1))</formula>
    </cfRule>
  </conditionalFormatting>
  <conditionalFormatting sqref="I203:I214">
    <cfRule type="expression" dxfId="31" priority="41" stopIfTrue="1">
      <formula>AND($M203="Approved",OR($L203=$R$1,$L203=$T$1))</formula>
    </cfRule>
  </conditionalFormatting>
  <conditionalFormatting sqref="J203:J212">
    <cfRule type="expression" dxfId="30" priority="40" stopIfTrue="1">
      <formula>AND($M203="Approved",OR($L203=$R$1,$L203=$T$1))</formula>
    </cfRule>
  </conditionalFormatting>
  <conditionalFormatting sqref="K205:K212">
    <cfRule type="expression" dxfId="29" priority="39" stopIfTrue="1">
      <formula>AND($M205="Approved",OR($L205=$R$1,$L205=$T$1))</formula>
    </cfRule>
  </conditionalFormatting>
  <conditionalFormatting sqref="M213:M214">
    <cfRule type="expression" dxfId="28" priority="29" stopIfTrue="1">
      <formula>OR(M213="Fixed",M213="Approved")</formula>
    </cfRule>
    <cfRule type="cellIs" dxfId="27" priority="30" stopIfTrue="1" operator="equal">
      <formula>"Rejected"</formula>
    </cfRule>
  </conditionalFormatting>
  <conditionalFormatting sqref="K213">
    <cfRule type="expression" dxfId="26" priority="28" stopIfTrue="1">
      <formula>AND($M213="Approved",OR($L213=$R$1,$L213=$T$1))</formula>
    </cfRule>
  </conditionalFormatting>
  <conditionalFormatting sqref="J213">
    <cfRule type="expression" dxfId="25" priority="27" stopIfTrue="1">
      <formula>AND($M213="Approved",OR($L213=$R$1,$L213=$T$1))</formula>
    </cfRule>
  </conditionalFormatting>
  <conditionalFormatting sqref="F213">
    <cfRule type="expression" dxfId="24" priority="26" stopIfTrue="1">
      <formula>AND($M213="Approved",OR($L213=$R$1,$L213=$T$1))</formula>
    </cfRule>
  </conditionalFormatting>
  <conditionalFormatting sqref="E213">
    <cfRule type="expression" dxfId="23" priority="25" stopIfTrue="1">
      <formula>AND($M213="Approved",OR($L213=$R$1,$L213=$T$1))</formula>
    </cfRule>
  </conditionalFormatting>
  <conditionalFormatting sqref="C206:C213">
    <cfRule type="expression" dxfId="22" priority="24" stopIfTrue="1">
      <formula>AND($M206="Approved",OR($L206=$R$1,$L206=$T$1))</formula>
    </cfRule>
  </conditionalFormatting>
  <conditionalFormatting sqref="B206:B213">
    <cfRule type="expression" dxfId="21" priority="23" stopIfTrue="1">
      <formula>AND($M206="Approved",OR($L206=$R$1,$L206=$T$1))</formula>
    </cfRule>
  </conditionalFormatting>
  <conditionalFormatting sqref="C214">
    <cfRule type="expression" dxfId="20" priority="21" stopIfTrue="1">
      <formula>AND($M214="Approved",OR($L214=$R$1,$L214=$T$1))</formula>
    </cfRule>
  </conditionalFormatting>
  <conditionalFormatting sqref="C216">
    <cfRule type="expression" dxfId="19" priority="20" stopIfTrue="1">
      <formula>AND($M216="Approved",OR($L216=$R$1,$L216=$T$1))</formula>
    </cfRule>
  </conditionalFormatting>
  <conditionalFormatting sqref="B216">
    <cfRule type="expression" dxfId="18" priority="19" stopIfTrue="1">
      <formula>AND($M216="Approved",OR($L216=$R$1,$L216=$T$1))</formula>
    </cfRule>
  </conditionalFormatting>
  <conditionalFormatting sqref="M216">
    <cfRule type="expression" dxfId="17" priority="17" stopIfTrue="1">
      <formula>OR(M216="Fixed",M216="Approved")</formula>
    </cfRule>
    <cfRule type="cellIs" dxfId="16" priority="18" stopIfTrue="1" operator="equal">
      <formula>"Rejected"</formula>
    </cfRule>
  </conditionalFormatting>
  <conditionalFormatting sqref="M215">
    <cfRule type="expression" dxfId="15" priority="15" stopIfTrue="1">
      <formula>OR(M215="Fixed",M215="Approved")</formula>
    </cfRule>
    <cfRule type="cellIs" dxfId="14" priority="16" stopIfTrue="1" operator="equal">
      <formula>"Rejected"</formula>
    </cfRule>
  </conditionalFormatting>
  <conditionalFormatting sqref="M217:M241">
    <cfRule type="expression" dxfId="13" priority="12" stopIfTrue="1">
      <formula>OR(M217="Fixed",M217="Approved")</formula>
    </cfRule>
    <cfRule type="cellIs" dxfId="12" priority="13" stopIfTrue="1" operator="equal">
      <formula>"Rejected"</formula>
    </cfRule>
  </conditionalFormatting>
  <conditionalFormatting sqref="B219:K220 A217:B217 A219 A225 A227 A229 A231 A233 B218 D217:K218 B222:H222 D221:K221 A221:B221 A223:B223 D223:H223 I222:K223 B224:K234 A235:I235 K235 B236:C238 J235:J240">
    <cfRule type="expression" dxfId="11" priority="14" stopIfTrue="1">
      <formula>AND($M217="Approved",OR($L217=$R$1,$L217=$T$1))</formula>
    </cfRule>
  </conditionalFormatting>
  <conditionalFormatting sqref="C217">
    <cfRule type="expression" dxfId="10" priority="8" stopIfTrue="1">
      <formula>AND($M217="Approved",OR($L217=$R$1,$L217=$T$1))</formula>
    </cfRule>
  </conditionalFormatting>
  <conditionalFormatting sqref="C218">
    <cfRule type="expression" dxfId="9" priority="7" stopIfTrue="1">
      <formula>AND($M218="Approved",OR($L218=$R$1,$L218=$T$1))</formula>
    </cfRule>
  </conditionalFormatting>
  <conditionalFormatting sqref="C221">
    <cfRule type="expression" dxfId="8" priority="6" stopIfTrue="1">
      <formula>AND($M221="Approved",OR($L221=$R$1,$L221=$T$1))</formula>
    </cfRule>
  </conditionalFormatting>
  <conditionalFormatting sqref="C223">
    <cfRule type="expression" dxfId="7" priority="5" stopIfTrue="1">
      <formula>AND($M223="Approved",OR($L223=$R$1,$L223=$T$1))</formula>
    </cfRule>
  </conditionalFormatting>
  <conditionalFormatting sqref="L212:L241">
    <cfRule type="expression" dxfId="6" priority="2" stopIfTrue="1">
      <formula>AND($M212="Approved",$L212="Fixed")</formula>
    </cfRule>
    <cfRule type="cellIs" dxfId="5" priority="3" stopIfTrue="1" operator="equal">
      <formula>"Fixed"</formula>
    </cfRule>
    <cfRule type="cellIs" dxfId="4" priority="4" stopIfTrue="1" operator="equal">
      <formula>"Open"</formula>
    </cfRule>
  </conditionalFormatting>
  <conditionalFormatting sqref="B241:K241">
    <cfRule type="expression" dxfId="0" priority="1" stopIfTrue="1">
      <formula>AND($M241="Approved",OR($L241=$R$1,$L241=$T$1))</formula>
    </cfRule>
  </conditionalFormatting>
  <dataValidations count="3">
    <dataValidation type="list" allowBlank="1" showInputMessage="1" showErrorMessage="1" sqref="L209 L212:L214 L217:L241 L5:L207" xr:uid="{00000000-0002-0000-0500-000000000000}">
      <formula1>$Q$1:$U$1</formula1>
    </dataValidation>
    <dataValidation type="list" allowBlank="1" showInputMessage="1" showErrorMessage="1" sqref="M211:M241 M5:M207" xr:uid="{00000000-0002-0000-0500-000001000000}">
      <formula1>$AH$1:$AI$1</formula1>
    </dataValidation>
    <dataValidation type="list" allowBlank="1" showInputMessage="1" showErrorMessage="1" sqref="I5:I214 I217:I235 I241" xr:uid="{00000000-0002-0000-0500-000002000000}">
      <formula1>"Low,medium,high"</formula1>
    </dataValidation>
  </dataValidations>
  <pageMargins left="0.75" right="0.75" top="1" bottom="1" header="0.4921259845" footer="0.4921259845"/>
  <pageSetup paperSize="9" scale="20"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5">
    <tabColor theme="7"/>
    <pageSetUpPr fitToPage="1"/>
  </sheetPr>
  <dimension ref="A2:Z33"/>
  <sheetViews>
    <sheetView zoomScale="90" zoomScaleNormal="90" workbookViewId="0">
      <pane xSplit="1" ySplit="3" topLeftCell="B18" activePane="bottomRight" state="frozen"/>
      <selection pane="topRight" activeCell="B1" sqref="B1"/>
      <selection pane="bottomLeft" activeCell="A4" sqref="A4"/>
      <selection pane="bottomRight" activeCell="U3" sqref="U3"/>
    </sheetView>
  </sheetViews>
  <sheetFormatPr defaultColWidth="9.42578125" defaultRowHeight="12.75"/>
  <cols>
    <col min="1" max="1" width="11" style="150" bestFit="1" customWidth="1"/>
    <col min="2" max="2" width="61" style="148" customWidth="1"/>
    <col min="3" max="6" width="4.42578125" style="147" bestFit="1" customWidth="1"/>
    <col min="7" max="11" width="4.5703125" style="147" customWidth="1"/>
    <col min="12" max="15" width="4.42578125" style="147" bestFit="1" customWidth="1"/>
    <col min="16" max="22" width="4.42578125" style="147" customWidth="1"/>
    <col min="23" max="23" width="30.5703125" style="147" customWidth="1"/>
    <col min="24" max="25" width="27.5703125" style="147" customWidth="1"/>
    <col min="26" max="16384" width="9.42578125" style="147"/>
  </cols>
  <sheetData>
    <row r="2" spans="1:26" ht="173.25">
      <c r="A2" s="163" t="s">
        <v>227</v>
      </c>
      <c r="B2" s="164" t="s">
        <v>261</v>
      </c>
      <c r="C2" s="165" t="s">
        <v>399</v>
      </c>
      <c r="D2" s="165" t="s">
        <v>460</v>
      </c>
      <c r="E2" s="165" t="s">
        <v>461</v>
      </c>
      <c r="F2" s="165" t="s">
        <v>494</v>
      </c>
      <c r="G2" s="165" t="s">
        <v>523</v>
      </c>
      <c r="H2" s="165" t="s">
        <v>544</v>
      </c>
      <c r="I2" s="165" t="s">
        <v>557</v>
      </c>
      <c r="J2" s="165" t="s">
        <v>571</v>
      </c>
      <c r="K2" s="165" t="s">
        <v>574</v>
      </c>
      <c r="L2" s="165" t="s">
        <v>658</v>
      </c>
      <c r="M2" s="165" t="s">
        <v>696</v>
      </c>
      <c r="N2" s="165" t="s">
        <v>723</v>
      </c>
      <c r="O2" s="165" t="s">
        <v>742</v>
      </c>
      <c r="P2" s="165" t="s">
        <v>821</v>
      </c>
      <c r="Q2" s="165" t="s">
        <v>845</v>
      </c>
      <c r="R2" s="165" t="s">
        <v>848</v>
      </c>
      <c r="S2" s="165" t="s">
        <v>854</v>
      </c>
      <c r="T2" s="165" t="s">
        <v>881</v>
      </c>
      <c r="U2" s="165" t="s">
        <v>890</v>
      </c>
      <c r="V2" s="165" t="s">
        <v>895</v>
      </c>
      <c r="W2" s="186" t="s">
        <v>242</v>
      </c>
      <c r="X2" s="364" t="s">
        <v>187</v>
      </c>
      <c r="Y2" s="365"/>
    </row>
    <row r="3" spans="1:26" ht="37.5">
      <c r="A3" s="167"/>
      <c r="B3" s="168"/>
      <c r="C3" s="168">
        <f t="shared" ref="C3" si="0">COUNTIF(C5:C33,"Yes")</f>
        <v>0</v>
      </c>
      <c r="D3" s="168">
        <f t="shared" ref="D3:P3" si="1">COUNTIF(D5:D33,"Yes")</f>
        <v>7</v>
      </c>
      <c r="E3" s="168">
        <f t="shared" ref="E3" si="2">COUNTIF(E5:E33,"Yes")</f>
        <v>15</v>
      </c>
      <c r="F3" s="168">
        <f t="shared" si="1"/>
        <v>15</v>
      </c>
      <c r="G3" s="168">
        <f t="shared" si="1"/>
        <v>15</v>
      </c>
      <c r="H3" s="168">
        <f t="shared" ref="H3:K3" si="3">COUNTIF(H5:H33,"Yes")</f>
        <v>15</v>
      </c>
      <c r="I3" s="168">
        <f t="shared" ref="I3:J3" si="4">COUNTIF(I5:I33,"Yes")</f>
        <v>12</v>
      </c>
      <c r="J3" s="168">
        <f t="shared" si="4"/>
        <v>15</v>
      </c>
      <c r="K3" s="168">
        <f t="shared" si="3"/>
        <v>15</v>
      </c>
      <c r="L3" s="168">
        <f t="shared" si="1"/>
        <v>14</v>
      </c>
      <c r="M3" s="168">
        <f t="shared" si="1"/>
        <v>14</v>
      </c>
      <c r="N3" s="168">
        <f t="shared" si="1"/>
        <v>15</v>
      </c>
      <c r="O3" s="168">
        <f t="shared" si="1"/>
        <v>14</v>
      </c>
      <c r="P3" s="168">
        <f t="shared" si="1"/>
        <v>15</v>
      </c>
      <c r="Q3" s="168">
        <f t="shared" ref="Q3:R3" si="5">COUNTIF(Q5:Q33,"Yes")</f>
        <v>15</v>
      </c>
      <c r="R3" s="168">
        <f t="shared" si="5"/>
        <v>15</v>
      </c>
      <c r="S3" s="168">
        <f t="shared" ref="S3:T3" si="6">COUNTIF(S5:S33,"Yes")</f>
        <v>15</v>
      </c>
      <c r="T3" s="168">
        <f t="shared" si="6"/>
        <v>15</v>
      </c>
      <c r="U3" s="168"/>
      <c r="V3" s="168"/>
      <c r="W3" s="155"/>
      <c r="X3" s="179" t="s">
        <v>233</v>
      </c>
      <c r="Y3" s="179" t="s">
        <v>234</v>
      </c>
      <c r="Z3" s="156"/>
    </row>
    <row r="4" spans="1:26" ht="36">
      <c r="A4" s="169"/>
      <c r="B4" s="170" t="s">
        <v>246</v>
      </c>
      <c r="C4" s="171"/>
      <c r="D4" s="171"/>
      <c r="E4" s="171"/>
      <c r="F4" s="171"/>
      <c r="G4" s="171"/>
      <c r="H4" s="171"/>
      <c r="I4" s="171"/>
      <c r="J4" s="171"/>
      <c r="K4" s="171"/>
      <c r="L4" s="171"/>
      <c r="M4" s="171"/>
      <c r="N4" s="171"/>
      <c r="O4" s="171"/>
      <c r="P4" s="171"/>
      <c r="Q4" s="171"/>
      <c r="R4" s="171"/>
      <c r="S4" s="171"/>
      <c r="T4" s="171"/>
      <c r="U4" s="171"/>
      <c r="V4" s="171"/>
      <c r="W4" s="171"/>
      <c r="X4" s="171"/>
      <c r="Y4" s="172"/>
      <c r="Z4" s="86"/>
    </row>
    <row r="5" spans="1:26" ht="15">
      <c r="A5" s="151"/>
      <c r="B5" s="173" t="s">
        <v>245</v>
      </c>
      <c r="C5" s="152"/>
      <c r="D5" s="152"/>
      <c r="E5" s="152"/>
      <c r="F5" s="152"/>
      <c r="G5" s="152"/>
      <c r="H5" s="152"/>
      <c r="I5" s="152"/>
      <c r="J5" s="152"/>
      <c r="K5" s="152"/>
      <c r="L5" s="152"/>
      <c r="M5" s="152"/>
      <c r="N5" s="152"/>
      <c r="O5" s="152"/>
      <c r="P5" s="152"/>
      <c r="Q5" s="152"/>
      <c r="R5" s="152"/>
      <c r="S5" s="152"/>
      <c r="T5" s="152"/>
      <c r="U5" s="152"/>
      <c r="V5" s="152"/>
      <c r="W5" s="152"/>
      <c r="X5" s="152"/>
      <c r="Y5" s="153"/>
    </row>
    <row r="6" spans="1:26" ht="38.25">
      <c r="A6" s="157" t="s">
        <v>244</v>
      </c>
      <c r="B6" s="176" t="s">
        <v>260</v>
      </c>
      <c r="C6" s="149"/>
      <c r="D6" s="149"/>
      <c r="E6" s="149"/>
      <c r="F6" s="149"/>
      <c r="G6" s="149"/>
      <c r="H6" s="149"/>
      <c r="I6" s="149"/>
      <c r="J6" s="149"/>
      <c r="K6" s="149"/>
      <c r="L6" s="149"/>
      <c r="M6" s="149"/>
      <c r="N6" s="149"/>
      <c r="O6" s="149"/>
      <c r="P6" s="149"/>
      <c r="Q6" s="149"/>
      <c r="R6" s="149"/>
      <c r="S6" s="149"/>
      <c r="T6" s="149"/>
      <c r="U6" s="149"/>
      <c r="V6" s="149"/>
      <c r="W6" s="149"/>
      <c r="X6" s="154"/>
      <c r="Y6" s="154"/>
    </row>
    <row r="7" spans="1:26" ht="15">
      <c r="A7" s="151"/>
      <c r="B7" s="173" t="s">
        <v>317</v>
      </c>
      <c r="C7" s="152"/>
      <c r="D7" s="152"/>
      <c r="E7" s="152"/>
      <c r="F7" s="152"/>
      <c r="G7" s="152"/>
      <c r="H7" s="152"/>
      <c r="I7" s="152"/>
      <c r="J7" s="152"/>
      <c r="K7" s="152"/>
      <c r="L7" s="152"/>
      <c r="M7" s="152"/>
      <c r="N7" s="152"/>
      <c r="O7" s="152"/>
      <c r="P7" s="152"/>
      <c r="Q7" s="152"/>
      <c r="R7" s="152"/>
      <c r="S7" s="152"/>
      <c r="T7" s="152"/>
      <c r="U7" s="152"/>
      <c r="V7" s="152"/>
      <c r="W7" s="152"/>
      <c r="X7" s="152"/>
      <c r="Y7" s="153"/>
    </row>
    <row r="8" spans="1:26" ht="38.25">
      <c r="A8" s="157" t="s">
        <v>318</v>
      </c>
      <c r="B8" s="176" t="s">
        <v>319</v>
      </c>
      <c r="C8" s="149"/>
      <c r="D8" s="149" t="s">
        <v>226</v>
      </c>
      <c r="E8" s="149" t="s">
        <v>226</v>
      </c>
      <c r="F8" s="149" t="s">
        <v>226</v>
      </c>
      <c r="G8" s="149" t="s">
        <v>226</v>
      </c>
      <c r="H8" s="149" t="s">
        <v>226</v>
      </c>
      <c r="I8" s="149" t="s">
        <v>23</v>
      </c>
      <c r="J8" s="149" t="s">
        <v>226</v>
      </c>
      <c r="K8" s="149" t="s">
        <v>226</v>
      </c>
      <c r="L8" s="149" t="s">
        <v>226</v>
      </c>
      <c r="M8" s="149" t="s">
        <v>226</v>
      </c>
      <c r="N8" s="149" t="s">
        <v>226</v>
      </c>
      <c r="O8" s="149" t="s">
        <v>226</v>
      </c>
      <c r="P8" s="149" t="s">
        <v>226</v>
      </c>
      <c r="Q8" s="149" t="s">
        <v>226</v>
      </c>
      <c r="R8" s="149" t="s">
        <v>226</v>
      </c>
      <c r="S8" s="149" t="s">
        <v>226</v>
      </c>
      <c r="T8" s="149" t="s">
        <v>226</v>
      </c>
      <c r="U8" s="149" t="s">
        <v>226</v>
      </c>
      <c r="V8" s="149" t="s">
        <v>226</v>
      </c>
      <c r="W8" s="149"/>
      <c r="X8" s="154"/>
      <c r="Y8" s="154"/>
    </row>
    <row r="9" spans="1:26" ht="25.5">
      <c r="A9" s="157" t="s">
        <v>320</v>
      </c>
      <c r="B9" s="176" t="s">
        <v>321</v>
      </c>
      <c r="C9" s="149"/>
      <c r="D9" s="149" t="s">
        <v>226</v>
      </c>
      <c r="E9" s="149" t="s">
        <v>226</v>
      </c>
      <c r="F9" s="149" t="s">
        <v>226</v>
      </c>
      <c r="G9" s="149" t="s">
        <v>226</v>
      </c>
      <c r="H9" s="149" t="s">
        <v>226</v>
      </c>
      <c r="I9" s="149" t="s">
        <v>226</v>
      </c>
      <c r="J9" s="149" t="s">
        <v>226</v>
      </c>
      <c r="K9" s="149" t="s">
        <v>226</v>
      </c>
      <c r="L9" s="149" t="s">
        <v>226</v>
      </c>
      <c r="M9" s="149" t="s">
        <v>226</v>
      </c>
      <c r="N9" s="149" t="s">
        <v>226</v>
      </c>
      <c r="O9" s="149" t="s">
        <v>226</v>
      </c>
      <c r="P9" s="149" t="s">
        <v>226</v>
      </c>
      <c r="Q9" s="149" t="s">
        <v>226</v>
      </c>
      <c r="R9" s="149" t="s">
        <v>226</v>
      </c>
      <c r="S9" s="149" t="s">
        <v>226</v>
      </c>
      <c r="T9" s="149" t="s">
        <v>226</v>
      </c>
      <c r="U9" s="149" t="s">
        <v>226</v>
      </c>
      <c r="V9" s="149" t="s">
        <v>226</v>
      </c>
      <c r="W9" s="149"/>
      <c r="X9" s="154"/>
      <c r="Y9" s="154"/>
    </row>
    <row r="10" spans="1:26" ht="38.25">
      <c r="A10" s="157" t="s">
        <v>322</v>
      </c>
      <c r="B10" s="176" t="s">
        <v>323</v>
      </c>
      <c r="C10" s="149"/>
      <c r="D10" s="149" t="s">
        <v>23</v>
      </c>
      <c r="E10" s="149" t="s">
        <v>226</v>
      </c>
      <c r="F10" s="149" t="s">
        <v>226</v>
      </c>
      <c r="G10" s="149" t="s">
        <v>226</v>
      </c>
      <c r="H10" s="149" t="s">
        <v>226</v>
      </c>
      <c r="I10" s="149" t="s">
        <v>226</v>
      </c>
      <c r="J10" s="149" t="s">
        <v>226</v>
      </c>
      <c r="K10" s="149" t="s">
        <v>226</v>
      </c>
      <c r="L10" s="149" t="s">
        <v>23</v>
      </c>
      <c r="M10" s="149" t="s">
        <v>23</v>
      </c>
      <c r="N10" s="149" t="s">
        <v>226</v>
      </c>
      <c r="O10" s="149" t="s">
        <v>226</v>
      </c>
      <c r="P10" s="149" t="s">
        <v>226</v>
      </c>
      <c r="Q10" s="149" t="s">
        <v>226</v>
      </c>
      <c r="R10" s="149" t="s">
        <v>226</v>
      </c>
      <c r="S10" s="149" t="s">
        <v>226</v>
      </c>
      <c r="T10" s="149" t="s">
        <v>226</v>
      </c>
      <c r="U10" s="149" t="s">
        <v>226</v>
      </c>
      <c r="V10" s="149" t="s">
        <v>226</v>
      </c>
      <c r="W10" s="149"/>
      <c r="X10" s="154"/>
      <c r="Y10" s="154"/>
    </row>
    <row r="11" spans="1:26" ht="25.5">
      <c r="A11" s="157" t="s">
        <v>324</v>
      </c>
      <c r="B11" s="176" t="s">
        <v>325</v>
      </c>
      <c r="C11" s="149"/>
      <c r="D11" s="149" t="s">
        <v>23</v>
      </c>
      <c r="E11" s="149" t="s">
        <v>226</v>
      </c>
      <c r="F11" s="149" t="s">
        <v>226</v>
      </c>
      <c r="G11" s="149" t="s">
        <v>226</v>
      </c>
      <c r="H11" s="149" t="s">
        <v>226</v>
      </c>
      <c r="I11" s="149" t="s">
        <v>226</v>
      </c>
      <c r="J11" s="149" t="s">
        <v>226</v>
      </c>
      <c r="K11" s="149" t="s">
        <v>226</v>
      </c>
      <c r="L11" s="149" t="s">
        <v>226</v>
      </c>
      <c r="M11" s="149" t="s">
        <v>226</v>
      </c>
      <c r="N11" s="149" t="s">
        <v>226</v>
      </c>
      <c r="O11" s="149" t="s">
        <v>226</v>
      </c>
      <c r="P11" s="149" t="s">
        <v>226</v>
      </c>
      <c r="Q11" s="149" t="s">
        <v>226</v>
      </c>
      <c r="R11" s="149" t="s">
        <v>226</v>
      </c>
      <c r="S11" s="149" t="s">
        <v>226</v>
      </c>
      <c r="T11" s="149" t="s">
        <v>226</v>
      </c>
      <c r="U11" s="149" t="s">
        <v>226</v>
      </c>
      <c r="V11" s="149" t="s">
        <v>226</v>
      </c>
      <c r="W11" s="149"/>
      <c r="X11" s="154"/>
      <c r="Y11" s="154"/>
    </row>
    <row r="12" spans="1:26" ht="51">
      <c r="A12" s="157" t="s">
        <v>326</v>
      </c>
      <c r="B12" s="176" t="s">
        <v>327</v>
      </c>
      <c r="C12" s="149"/>
      <c r="D12" s="149" t="s">
        <v>11</v>
      </c>
      <c r="E12" s="149" t="s">
        <v>11</v>
      </c>
      <c r="F12" s="149" t="s">
        <v>11</v>
      </c>
      <c r="G12" s="149" t="s">
        <v>11</v>
      </c>
      <c r="H12" s="149" t="s">
        <v>11</v>
      </c>
      <c r="I12" s="149" t="s">
        <v>11</v>
      </c>
      <c r="J12" s="149" t="s">
        <v>11</v>
      </c>
      <c r="K12" s="149" t="s">
        <v>11</v>
      </c>
      <c r="L12" s="149" t="s">
        <v>11</v>
      </c>
      <c r="M12" s="149" t="s">
        <v>11</v>
      </c>
      <c r="N12" s="149" t="s">
        <v>11</v>
      </c>
      <c r="O12" s="149" t="s">
        <v>11</v>
      </c>
      <c r="P12" s="149" t="s">
        <v>11</v>
      </c>
      <c r="Q12" s="149" t="s">
        <v>11</v>
      </c>
      <c r="R12" s="149" t="s">
        <v>11</v>
      </c>
      <c r="S12" s="149" t="s">
        <v>11</v>
      </c>
      <c r="T12" s="149" t="s">
        <v>11</v>
      </c>
      <c r="U12" s="149" t="s">
        <v>11</v>
      </c>
      <c r="V12" s="149" t="s">
        <v>11</v>
      </c>
      <c r="W12" s="149"/>
      <c r="X12" s="154"/>
      <c r="Y12" s="154"/>
    </row>
    <row r="13" spans="1:26" ht="25.5">
      <c r="A13" s="157" t="s">
        <v>328</v>
      </c>
      <c r="B13" s="176" t="s">
        <v>329</v>
      </c>
      <c r="C13" s="149"/>
      <c r="D13" s="149" t="s">
        <v>23</v>
      </c>
      <c r="E13" s="149" t="s">
        <v>226</v>
      </c>
      <c r="F13" s="149" t="s">
        <v>226</v>
      </c>
      <c r="G13" s="149" t="s">
        <v>226</v>
      </c>
      <c r="H13" s="149" t="s">
        <v>226</v>
      </c>
      <c r="I13" s="149" t="s">
        <v>23</v>
      </c>
      <c r="J13" s="149" t="s">
        <v>226</v>
      </c>
      <c r="K13" s="149" t="s">
        <v>226</v>
      </c>
      <c r="L13" s="149" t="s">
        <v>226</v>
      </c>
      <c r="M13" s="149" t="s">
        <v>226</v>
      </c>
      <c r="N13" s="149" t="s">
        <v>226</v>
      </c>
      <c r="O13" s="149" t="s">
        <v>23</v>
      </c>
      <c r="P13" s="149" t="s">
        <v>226</v>
      </c>
      <c r="Q13" s="149" t="s">
        <v>226</v>
      </c>
      <c r="R13" s="149" t="s">
        <v>226</v>
      </c>
      <c r="S13" s="149" t="s">
        <v>226</v>
      </c>
      <c r="T13" s="149" t="s">
        <v>226</v>
      </c>
      <c r="U13" s="149" t="s">
        <v>226</v>
      </c>
      <c r="V13" s="149" t="s">
        <v>226</v>
      </c>
      <c r="W13" s="149"/>
      <c r="X13" s="154"/>
      <c r="Y13" s="154"/>
    </row>
    <row r="14" spans="1:26" ht="25.5">
      <c r="A14" s="157" t="s">
        <v>330</v>
      </c>
      <c r="B14" s="176" t="s">
        <v>331</v>
      </c>
      <c r="C14" s="149"/>
      <c r="D14" s="149" t="s">
        <v>226</v>
      </c>
      <c r="E14" s="149" t="s">
        <v>226</v>
      </c>
      <c r="F14" s="149" t="s">
        <v>226</v>
      </c>
      <c r="G14" s="149" t="s">
        <v>226</v>
      </c>
      <c r="H14" s="149" t="s">
        <v>226</v>
      </c>
      <c r="I14" s="149" t="s">
        <v>226</v>
      </c>
      <c r="J14" s="149" t="s">
        <v>226</v>
      </c>
      <c r="K14" s="149" t="s">
        <v>226</v>
      </c>
      <c r="L14" s="149" t="s">
        <v>226</v>
      </c>
      <c r="M14" s="149" t="s">
        <v>226</v>
      </c>
      <c r="N14" s="149" t="s">
        <v>226</v>
      </c>
      <c r="O14" s="149" t="s">
        <v>226</v>
      </c>
      <c r="P14" s="149" t="s">
        <v>226</v>
      </c>
      <c r="Q14" s="149" t="s">
        <v>226</v>
      </c>
      <c r="R14" s="149" t="s">
        <v>226</v>
      </c>
      <c r="S14" s="149" t="s">
        <v>226</v>
      </c>
      <c r="T14" s="149" t="s">
        <v>226</v>
      </c>
      <c r="U14" s="149" t="s">
        <v>226</v>
      </c>
      <c r="V14" s="149" t="s">
        <v>226</v>
      </c>
      <c r="W14" s="149"/>
      <c r="X14" s="154"/>
      <c r="Y14" s="154"/>
    </row>
    <row r="15" spans="1:26" ht="38.25">
      <c r="A15" s="157" t="s">
        <v>332</v>
      </c>
      <c r="B15" s="176" t="s">
        <v>333</v>
      </c>
      <c r="C15" s="149"/>
      <c r="D15" s="149" t="s">
        <v>23</v>
      </c>
      <c r="E15" s="149" t="s">
        <v>226</v>
      </c>
      <c r="F15" s="149" t="s">
        <v>226</v>
      </c>
      <c r="G15" s="149" t="s">
        <v>226</v>
      </c>
      <c r="H15" s="149" t="s">
        <v>226</v>
      </c>
      <c r="I15" s="149" t="s">
        <v>226</v>
      </c>
      <c r="J15" s="149" t="s">
        <v>226</v>
      </c>
      <c r="K15" s="149" t="s">
        <v>226</v>
      </c>
      <c r="L15" s="149" t="s">
        <v>226</v>
      </c>
      <c r="M15" s="149" t="s">
        <v>226</v>
      </c>
      <c r="N15" s="149" t="s">
        <v>226</v>
      </c>
      <c r="O15" s="149" t="s">
        <v>226</v>
      </c>
      <c r="P15" s="149" t="s">
        <v>226</v>
      </c>
      <c r="Q15" s="149" t="s">
        <v>226</v>
      </c>
      <c r="R15" s="149" t="s">
        <v>226</v>
      </c>
      <c r="S15" s="149" t="s">
        <v>226</v>
      </c>
      <c r="T15" s="149" t="s">
        <v>226</v>
      </c>
      <c r="U15" s="149" t="s">
        <v>23</v>
      </c>
      <c r="V15" s="149" t="s">
        <v>23</v>
      </c>
      <c r="W15" s="149"/>
      <c r="X15" s="154"/>
      <c r="Y15" s="154"/>
    </row>
    <row r="16" spans="1:26" ht="25.5">
      <c r="A16" s="157" t="s">
        <v>334</v>
      </c>
      <c r="B16" s="176" t="s">
        <v>335</v>
      </c>
      <c r="C16" s="149"/>
      <c r="D16" s="149" t="s">
        <v>23</v>
      </c>
      <c r="E16" s="149" t="s">
        <v>226</v>
      </c>
      <c r="F16" s="149" t="s">
        <v>226</v>
      </c>
      <c r="G16" s="149" t="s">
        <v>226</v>
      </c>
      <c r="H16" s="149" t="s">
        <v>226</v>
      </c>
      <c r="I16" s="149" t="s">
        <v>226</v>
      </c>
      <c r="J16" s="149" t="s">
        <v>226</v>
      </c>
      <c r="K16" s="149" t="s">
        <v>226</v>
      </c>
      <c r="L16" s="149" t="s">
        <v>226</v>
      </c>
      <c r="M16" s="149" t="s">
        <v>226</v>
      </c>
      <c r="N16" s="149" t="s">
        <v>226</v>
      </c>
      <c r="O16" s="149" t="s">
        <v>226</v>
      </c>
      <c r="P16" s="149" t="s">
        <v>226</v>
      </c>
      <c r="Q16" s="149" t="s">
        <v>226</v>
      </c>
      <c r="R16" s="149" t="s">
        <v>226</v>
      </c>
      <c r="S16" s="149" t="s">
        <v>226</v>
      </c>
      <c r="T16" s="149" t="s">
        <v>226</v>
      </c>
      <c r="U16" s="149" t="s">
        <v>226</v>
      </c>
      <c r="V16" s="149" t="s">
        <v>226</v>
      </c>
      <c r="W16" s="149"/>
      <c r="X16" s="154"/>
      <c r="Y16" s="154"/>
    </row>
    <row r="17" spans="1:25" ht="38.25">
      <c r="A17" s="157" t="s">
        <v>336</v>
      </c>
      <c r="B17" s="176" t="s">
        <v>337</v>
      </c>
      <c r="C17" s="149"/>
      <c r="D17" s="149" t="s">
        <v>11</v>
      </c>
      <c r="E17" s="149" t="s">
        <v>11</v>
      </c>
      <c r="F17" s="149" t="s">
        <v>11</v>
      </c>
      <c r="G17" s="149" t="s">
        <v>11</v>
      </c>
      <c r="H17" s="149" t="s">
        <v>11</v>
      </c>
      <c r="I17" s="149" t="s">
        <v>11</v>
      </c>
      <c r="J17" s="149" t="s">
        <v>11</v>
      </c>
      <c r="K17" s="149" t="s">
        <v>11</v>
      </c>
      <c r="L17" s="149" t="s">
        <v>11</v>
      </c>
      <c r="M17" s="149" t="s">
        <v>11</v>
      </c>
      <c r="N17" s="149" t="s">
        <v>11</v>
      </c>
      <c r="O17" s="149" t="s">
        <v>11</v>
      </c>
      <c r="P17" s="149" t="s">
        <v>11</v>
      </c>
      <c r="Q17" s="149" t="s">
        <v>11</v>
      </c>
      <c r="R17" s="149" t="s">
        <v>11</v>
      </c>
      <c r="S17" s="149" t="s">
        <v>11</v>
      </c>
      <c r="T17" s="149" t="s">
        <v>11</v>
      </c>
      <c r="U17" s="149" t="s">
        <v>11</v>
      </c>
      <c r="V17" s="149" t="s">
        <v>11</v>
      </c>
      <c r="W17" s="149"/>
      <c r="X17" s="154"/>
      <c r="Y17" s="154"/>
    </row>
    <row r="18" spans="1:25" ht="38.25">
      <c r="A18" s="157" t="s">
        <v>338</v>
      </c>
      <c r="B18" s="176" t="s">
        <v>339</v>
      </c>
      <c r="C18" s="149"/>
      <c r="D18" s="149" t="s">
        <v>226</v>
      </c>
      <c r="E18" s="149" t="s">
        <v>226</v>
      </c>
      <c r="F18" s="149" t="s">
        <v>226</v>
      </c>
      <c r="G18" s="149" t="s">
        <v>226</v>
      </c>
      <c r="H18" s="149" t="s">
        <v>226</v>
      </c>
      <c r="I18" s="149" t="s">
        <v>226</v>
      </c>
      <c r="J18" s="149" t="s">
        <v>226</v>
      </c>
      <c r="K18" s="149" t="s">
        <v>226</v>
      </c>
      <c r="L18" s="149" t="s">
        <v>226</v>
      </c>
      <c r="M18" s="149" t="s">
        <v>226</v>
      </c>
      <c r="N18" s="149" t="s">
        <v>226</v>
      </c>
      <c r="O18" s="149" t="s">
        <v>226</v>
      </c>
      <c r="P18" s="149" t="s">
        <v>226</v>
      </c>
      <c r="Q18" s="149" t="s">
        <v>226</v>
      </c>
      <c r="R18" s="149" t="s">
        <v>226</v>
      </c>
      <c r="S18" s="149" t="s">
        <v>226</v>
      </c>
      <c r="T18" s="149" t="s">
        <v>226</v>
      </c>
      <c r="U18" s="149" t="s">
        <v>226</v>
      </c>
      <c r="V18" s="149" t="s">
        <v>226</v>
      </c>
      <c r="W18" s="149"/>
      <c r="X18" s="154"/>
      <c r="Y18" s="154"/>
    </row>
    <row r="19" spans="1:25" ht="25.5">
      <c r="A19" s="157" t="s">
        <v>340</v>
      </c>
      <c r="B19" s="176" t="s">
        <v>341</v>
      </c>
      <c r="C19" s="149"/>
      <c r="D19" s="149" t="s">
        <v>11</v>
      </c>
      <c r="E19" s="149" t="s">
        <v>11</v>
      </c>
      <c r="F19" s="149" t="s">
        <v>11</v>
      </c>
      <c r="G19" s="149" t="s">
        <v>11</v>
      </c>
      <c r="H19" s="149" t="s">
        <v>11</v>
      </c>
      <c r="I19" s="149" t="s">
        <v>11</v>
      </c>
      <c r="J19" s="149" t="s">
        <v>11</v>
      </c>
      <c r="K19" s="149" t="s">
        <v>11</v>
      </c>
      <c r="L19" s="149" t="s">
        <v>11</v>
      </c>
      <c r="M19" s="149" t="s">
        <v>11</v>
      </c>
      <c r="N19" s="149" t="s">
        <v>11</v>
      </c>
      <c r="O19" s="149" t="s">
        <v>11</v>
      </c>
      <c r="P19" s="149" t="s">
        <v>11</v>
      </c>
      <c r="Q19" s="149" t="s">
        <v>11</v>
      </c>
      <c r="R19" s="149" t="s">
        <v>11</v>
      </c>
      <c r="S19" s="149" t="s">
        <v>11</v>
      </c>
      <c r="T19" s="149" t="s">
        <v>11</v>
      </c>
      <c r="U19" s="149" t="s">
        <v>11</v>
      </c>
      <c r="V19" s="149" t="s">
        <v>11</v>
      </c>
      <c r="W19" s="149"/>
      <c r="X19" s="154"/>
      <c r="Y19" s="154"/>
    </row>
    <row r="20" spans="1:25" ht="25.5">
      <c r="A20" s="157" t="s">
        <v>342</v>
      </c>
      <c r="B20" s="176" t="s">
        <v>343</v>
      </c>
      <c r="C20" s="149"/>
      <c r="D20" s="149" t="s">
        <v>11</v>
      </c>
      <c r="E20" s="149" t="s">
        <v>11</v>
      </c>
      <c r="F20" s="149" t="s">
        <v>11</v>
      </c>
      <c r="G20" s="149" t="s">
        <v>11</v>
      </c>
      <c r="H20" s="149" t="s">
        <v>11</v>
      </c>
      <c r="I20" s="149" t="s">
        <v>11</v>
      </c>
      <c r="J20" s="149" t="s">
        <v>11</v>
      </c>
      <c r="K20" s="149" t="s">
        <v>11</v>
      </c>
      <c r="L20" s="149" t="s">
        <v>11</v>
      </c>
      <c r="M20" s="149" t="s">
        <v>11</v>
      </c>
      <c r="N20" s="149" t="s">
        <v>11</v>
      </c>
      <c r="O20" s="149" t="s">
        <v>11</v>
      </c>
      <c r="P20" s="149" t="s">
        <v>11</v>
      </c>
      <c r="Q20" s="149" t="s">
        <v>11</v>
      </c>
      <c r="R20" s="149" t="s">
        <v>11</v>
      </c>
      <c r="S20" s="149" t="s">
        <v>11</v>
      </c>
      <c r="T20" s="149" t="s">
        <v>11</v>
      </c>
      <c r="U20" s="149" t="s">
        <v>11</v>
      </c>
      <c r="V20" s="149" t="s">
        <v>11</v>
      </c>
      <c r="W20" s="149"/>
      <c r="X20" s="154"/>
      <c r="Y20" s="154"/>
    </row>
    <row r="21" spans="1:25" ht="38.25">
      <c r="A21" s="157" t="s">
        <v>344</v>
      </c>
      <c r="B21" s="176" t="s">
        <v>345</v>
      </c>
      <c r="C21" s="149"/>
      <c r="D21" s="149" t="s">
        <v>11</v>
      </c>
      <c r="E21" s="149" t="s">
        <v>11</v>
      </c>
      <c r="F21" s="149" t="s">
        <v>11</v>
      </c>
      <c r="G21" s="149" t="s">
        <v>11</v>
      </c>
      <c r="H21" s="149" t="s">
        <v>11</v>
      </c>
      <c r="I21" s="149" t="s">
        <v>11</v>
      </c>
      <c r="J21" s="149" t="s">
        <v>11</v>
      </c>
      <c r="K21" s="149" t="s">
        <v>11</v>
      </c>
      <c r="L21" s="149" t="s">
        <v>11</v>
      </c>
      <c r="M21" s="149" t="s">
        <v>11</v>
      </c>
      <c r="N21" s="149" t="s">
        <v>11</v>
      </c>
      <c r="O21" s="149" t="s">
        <v>11</v>
      </c>
      <c r="P21" s="149" t="s">
        <v>11</v>
      </c>
      <c r="Q21" s="149" t="s">
        <v>11</v>
      </c>
      <c r="R21" s="149" t="s">
        <v>11</v>
      </c>
      <c r="S21" s="149" t="s">
        <v>11</v>
      </c>
      <c r="T21" s="149" t="s">
        <v>11</v>
      </c>
      <c r="U21" s="149" t="s">
        <v>11</v>
      </c>
      <c r="V21" s="149" t="s">
        <v>11</v>
      </c>
      <c r="W21" s="149"/>
      <c r="X21" s="154"/>
      <c r="Y21" s="154"/>
    </row>
    <row r="22" spans="1:25" ht="38.25">
      <c r="A22" s="157" t="s">
        <v>346</v>
      </c>
      <c r="B22" s="176" t="s">
        <v>347</v>
      </c>
      <c r="C22" s="149"/>
      <c r="D22" s="149" t="s">
        <v>11</v>
      </c>
      <c r="E22" s="149" t="s">
        <v>11</v>
      </c>
      <c r="F22" s="149" t="s">
        <v>11</v>
      </c>
      <c r="G22" s="149" t="s">
        <v>11</v>
      </c>
      <c r="H22" s="149" t="s">
        <v>11</v>
      </c>
      <c r="I22" s="149" t="s">
        <v>11</v>
      </c>
      <c r="J22" s="149" t="s">
        <v>11</v>
      </c>
      <c r="K22" s="149" t="s">
        <v>11</v>
      </c>
      <c r="L22" s="149" t="s">
        <v>11</v>
      </c>
      <c r="M22" s="149" t="s">
        <v>11</v>
      </c>
      <c r="N22" s="149" t="s">
        <v>11</v>
      </c>
      <c r="O22" s="149" t="s">
        <v>11</v>
      </c>
      <c r="P22" s="149" t="s">
        <v>11</v>
      </c>
      <c r="Q22" s="149" t="s">
        <v>11</v>
      </c>
      <c r="R22" s="149" t="s">
        <v>11</v>
      </c>
      <c r="S22" s="149" t="s">
        <v>11</v>
      </c>
      <c r="T22" s="149" t="s">
        <v>11</v>
      </c>
      <c r="U22" s="149" t="s">
        <v>11</v>
      </c>
      <c r="V22" s="149" t="s">
        <v>11</v>
      </c>
      <c r="W22" s="149"/>
      <c r="X22" s="154"/>
      <c r="Y22" s="154"/>
    </row>
    <row r="23" spans="1:25" ht="15">
      <c r="A23" s="151"/>
      <c r="B23" s="173" t="s">
        <v>230</v>
      </c>
      <c r="C23" s="152"/>
      <c r="D23" s="152"/>
      <c r="E23" s="152"/>
      <c r="F23" s="152"/>
      <c r="G23" s="152"/>
      <c r="H23" s="152"/>
      <c r="I23" s="152"/>
      <c r="J23" s="152"/>
      <c r="K23" s="152"/>
      <c r="L23" s="152"/>
      <c r="M23" s="152"/>
      <c r="N23" s="152"/>
      <c r="O23" s="152"/>
      <c r="P23" s="152"/>
      <c r="Q23" s="152"/>
      <c r="R23" s="152"/>
      <c r="S23" s="152"/>
      <c r="T23" s="152"/>
      <c r="U23" s="152"/>
      <c r="V23" s="152"/>
      <c r="W23" s="152"/>
      <c r="X23" s="152"/>
      <c r="Y23" s="153"/>
    </row>
    <row r="24" spans="1:25" ht="38.25">
      <c r="A24" s="157" t="s">
        <v>235</v>
      </c>
      <c r="B24" s="176" t="s">
        <v>220</v>
      </c>
      <c r="C24" s="149"/>
      <c r="D24" s="149" t="s">
        <v>23</v>
      </c>
      <c r="E24" s="149" t="s">
        <v>226</v>
      </c>
      <c r="F24" s="149" t="s">
        <v>226</v>
      </c>
      <c r="G24" s="149" t="s">
        <v>226</v>
      </c>
      <c r="H24" s="149" t="s">
        <v>226</v>
      </c>
      <c r="I24" s="149" t="s">
        <v>23</v>
      </c>
      <c r="J24" s="149" t="s">
        <v>226</v>
      </c>
      <c r="K24" s="149" t="s">
        <v>226</v>
      </c>
      <c r="L24" s="149" t="s">
        <v>226</v>
      </c>
      <c r="M24" s="149" t="s">
        <v>226</v>
      </c>
      <c r="N24" s="149" t="s">
        <v>226</v>
      </c>
      <c r="O24" s="149" t="s">
        <v>226</v>
      </c>
      <c r="P24" s="149" t="s">
        <v>226</v>
      </c>
      <c r="Q24" s="149" t="s">
        <v>226</v>
      </c>
      <c r="R24" s="149" t="s">
        <v>226</v>
      </c>
      <c r="S24" s="149" t="s">
        <v>226</v>
      </c>
      <c r="T24" s="149" t="s">
        <v>226</v>
      </c>
      <c r="U24" s="149" t="s">
        <v>226</v>
      </c>
      <c r="V24" s="149" t="s">
        <v>226</v>
      </c>
      <c r="W24" s="149"/>
      <c r="X24" s="154"/>
      <c r="Y24" s="154"/>
    </row>
    <row r="25" spans="1:25" ht="25.5">
      <c r="A25" s="157" t="s">
        <v>236</v>
      </c>
      <c r="B25" s="176" t="s">
        <v>221</v>
      </c>
      <c r="C25" s="149"/>
      <c r="D25" s="149" t="s">
        <v>226</v>
      </c>
      <c r="E25" s="149" t="s">
        <v>226</v>
      </c>
      <c r="F25" s="149" t="s">
        <v>226</v>
      </c>
      <c r="G25" s="149" t="s">
        <v>226</v>
      </c>
      <c r="H25" s="149" t="s">
        <v>226</v>
      </c>
      <c r="I25" s="149" t="s">
        <v>226</v>
      </c>
      <c r="J25" s="149" t="s">
        <v>226</v>
      </c>
      <c r="K25" s="149" t="s">
        <v>226</v>
      </c>
      <c r="L25" s="149" t="s">
        <v>226</v>
      </c>
      <c r="M25" s="149" t="s">
        <v>226</v>
      </c>
      <c r="N25" s="149" t="s">
        <v>226</v>
      </c>
      <c r="O25" s="149" t="s">
        <v>226</v>
      </c>
      <c r="P25" s="149" t="s">
        <v>226</v>
      </c>
      <c r="Q25" s="149" t="s">
        <v>226</v>
      </c>
      <c r="R25" s="149" t="s">
        <v>226</v>
      </c>
      <c r="S25" s="149" t="s">
        <v>226</v>
      </c>
      <c r="T25" s="149" t="s">
        <v>226</v>
      </c>
      <c r="U25" s="149" t="s">
        <v>226</v>
      </c>
      <c r="V25" s="149" t="s">
        <v>226</v>
      </c>
      <c r="W25" s="149"/>
      <c r="X25" s="154"/>
      <c r="Y25" s="154"/>
    </row>
    <row r="26" spans="1:25" ht="38.25">
      <c r="A26" s="157" t="s">
        <v>237</v>
      </c>
      <c r="B26" s="176" t="s">
        <v>222</v>
      </c>
      <c r="C26" s="149"/>
      <c r="D26" s="149" t="s">
        <v>23</v>
      </c>
      <c r="E26" s="149" t="s">
        <v>226</v>
      </c>
      <c r="F26" s="149" t="s">
        <v>226</v>
      </c>
      <c r="G26" s="149" t="s">
        <v>226</v>
      </c>
      <c r="H26" s="149" t="s">
        <v>226</v>
      </c>
      <c r="I26" s="149" t="s">
        <v>226</v>
      </c>
      <c r="J26" s="149" t="s">
        <v>226</v>
      </c>
      <c r="K26" s="149" t="s">
        <v>226</v>
      </c>
      <c r="L26" s="149" t="s">
        <v>226</v>
      </c>
      <c r="M26" s="149" t="s">
        <v>226</v>
      </c>
      <c r="N26" s="149" t="s">
        <v>226</v>
      </c>
      <c r="O26" s="149" t="s">
        <v>226</v>
      </c>
      <c r="P26" s="149" t="s">
        <v>226</v>
      </c>
      <c r="Q26" s="149" t="s">
        <v>226</v>
      </c>
      <c r="R26" s="149" t="s">
        <v>226</v>
      </c>
      <c r="S26" s="149" t="s">
        <v>226</v>
      </c>
      <c r="T26" s="149" t="s">
        <v>226</v>
      </c>
      <c r="U26" s="149" t="s">
        <v>226</v>
      </c>
      <c r="V26" s="149" t="s">
        <v>226</v>
      </c>
      <c r="W26" s="149"/>
      <c r="X26" s="154"/>
      <c r="Y26" s="154"/>
    </row>
    <row r="27" spans="1:25" ht="38.25">
      <c r="A27" s="157" t="s">
        <v>238</v>
      </c>
      <c r="B27" s="176" t="s">
        <v>223</v>
      </c>
      <c r="C27" s="149"/>
      <c r="D27" s="149" t="s">
        <v>23</v>
      </c>
      <c r="E27" s="149" t="s">
        <v>226</v>
      </c>
      <c r="F27" s="149" t="s">
        <v>226</v>
      </c>
      <c r="G27" s="149" t="s">
        <v>226</v>
      </c>
      <c r="H27" s="149" t="s">
        <v>226</v>
      </c>
      <c r="I27" s="149" t="s">
        <v>226</v>
      </c>
      <c r="J27" s="149" t="s">
        <v>226</v>
      </c>
      <c r="K27" s="149" t="s">
        <v>226</v>
      </c>
      <c r="L27" s="149" t="s">
        <v>226</v>
      </c>
      <c r="M27" s="149" t="s">
        <v>226</v>
      </c>
      <c r="N27" s="149" t="s">
        <v>226</v>
      </c>
      <c r="O27" s="149" t="s">
        <v>226</v>
      </c>
      <c r="P27" s="149" t="s">
        <v>226</v>
      </c>
      <c r="Q27" s="149" t="s">
        <v>226</v>
      </c>
      <c r="R27" s="149" t="s">
        <v>226</v>
      </c>
      <c r="S27" s="149" t="s">
        <v>226</v>
      </c>
      <c r="T27" s="149" t="s">
        <v>226</v>
      </c>
      <c r="U27" s="149" t="s">
        <v>226</v>
      </c>
      <c r="V27" s="149" t="s">
        <v>226</v>
      </c>
      <c r="W27" s="149"/>
      <c r="X27" s="154"/>
      <c r="Y27" s="154"/>
    </row>
    <row r="28" spans="1:25" ht="15">
      <c r="A28" s="151"/>
      <c r="B28" s="173" t="s">
        <v>231</v>
      </c>
      <c r="C28" s="152"/>
      <c r="D28" s="152"/>
      <c r="E28" s="152"/>
      <c r="F28" s="152"/>
      <c r="G28" s="152"/>
      <c r="H28" s="152"/>
      <c r="I28" s="152"/>
      <c r="J28" s="152"/>
      <c r="K28" s="152"/>
      <c r="L28" s="152"/>
      <c r="M28" s="152"/>
      <c r="N28" s="152"/>
      <c r="O28" s="152"/>
      <c r="P28" s="152"/>
      <c r="Q28" s="152"/>
      <c r="R28" s="152"/>
      <c r="S28" s="152"/>
      <c r="T28" s="152"/>
      <c r="U28" s="152"/>
      <c r="V28" s="152"/>
      <c r="W28" s="152"/>
      <c r="X28" s="152"/>
      <c r="Y28" s="153"/>
    </row>
    <row r="29" spans="1:25" ht="38.25">
      <c r="A29" s="157" t="s">
        <v>239</v>
      </c>
      <c r="B29" s="176" t="s">
        <v>224</v>
      </c>
      <c r="C29" s="149"/>
      <c r="D29" s="149" t="s">
        <v>226</v>
      </c>
      <c r="E29" s="149" t="s">
        <v>226</v>
      </c>
      <c r="F29" s="149" t="s">
        <v>226</v>
      </c>
      <c r="G29" s="149" t="s">
        <v>226</v>
      </c>
      <c r="H29" s="149" t="s">
        <v>226</v>
      </c>
      <c r="I29" s="149" t="s">
        <v>226</v>
      </c>
      <c r="J29" s="149" t="s">
        <v>226</v>
      </c>
      <c r="K29" s="149" t="s">
        <v>226</v>
      </c>
      <c r="L29" s="149" t="s">
        <v>226</v>
      </c>
      <c r="M29" s="149" t="s">
        <v>226</v>
      </c>
      <c r="N29" s="149" t="s">
        <v>226</v>
      </c>
      <c r="O29" s="149" t="s">
        <v>226</v>
      </c>
      <c r="P29" s="149" t="s">
        <v>226</v>
      </c>
      <c r="Q29" s="149" t="s">
        <v>226</v>
      </c>
      <c r="R29" s="149" t="s">
        <v>226</v>
      </c>
      <c r="S29" s="149" t="s">
        <v>226</v>
      </c>
      <c r="T29" s="149" t="s">
        <v>226</v>
      </c>
      <c r="U29" s="149" t="s">
        <v>226</v>
      </c>
      <c r="V29" s="149" t="s">
        <v>226</v>
      </c>
      <c r="W29" s="149"/>
      <c r="X29" s="154"/>
      <c r="Y29" s="154"/>
    </row>
    <row r="30" spans="1:25" ht="38.25">
      <c r="A30" s="157" t="s">
        <v>240</v>
      </c>
      <c r="B30" s="176" t="s">
        <v>225</v>
      </c>
      <c r="C30" s="149"/>
      <c r="D30" s="149" t="s">
        <v>226</v>
      </c>
      <c r="E30" s="149" t="s">
        <v>226</v>
      </c>
      <c r="F30" s="149" t="s">
        <v>226</v>
      </c>
      <c r="G30" s="149" t="s">
        <v>226</v>
      </c>
      <c r="H30" s="149" t="s">
        <v>226</v>
      </c>
      <c r="I30" s="149" t="s">
        <v>226</v>
      </c>
      <c r="J30" s="149" t="s">
        <v>226</v>
      </c>
      <c r="K30" s="149" t="s">
        <v>226</v>
      </c>
      <c r="L30" s="149" t="s">
        <v>226</v>
      </c>
      <c r="M30" s="149" t="s">
        <v>226</v>
      </c>
      <c r="N30" s="149" t="s">
        <v>226</v>
      </c>
      <c r="O30" s="149" t="s">
        <v>226</v>
      </c>
      <c r="P30" s="149" t="s">
        <v>226</v>
      </c>
      <c r="Q30" s="149" t="s">
        <v>226</v>
      </c>
      <c r="R30" s="149" t="s">
        <v>226</v>
      </c>
      <c r="S30" s="149" t="s">
        <v>226</v>
      </c>
      <c r="T30" s="149" t="s">
        <v>226</v>
      </c>
      <c r="U30" s="149" t="s">
        <v>226</v>
      </c>
      <c r="V30" s="149" t="s">
        <v>226</v>
      </c>
      <c r="W30" s="149"/>
      <c r="X30" s="154"/>
      <c r="Y30" s="154"/>
    </row>
    <row r="31" spans="1:25" ht="15">
      <c r="A31" s="151"/>
      <c r="B31" s="173" t="s">
        <v>217</v>
      </c>
      <c r="C31" s="152"/>
      <c r="D31" s="152"/>
      <c r="E31" s="152"/>
      <c r="F31" s="152"/>
      <c r="G31" s="152"/>
      <c r="H31" s="152"/>
      <c r="I31" s="152"/>
      <c r="J31" s="152"/>
      <c r="K31" s="152"/>
      <c r="L31" s="152"/>
      <c r="M31" s="152"/>
      <c r="N31" s="152"/>
      <c r="O31" s="152"/>
      <c r="P31" s="152"/>
      <c r="Q31" s="152"/>
      <c r="R31" s="152"/>
      <c r="S31" s="152"/>
      <c r="T31" s="152"/>
      <c r="U31" s="152"/>
      <c r="V31" s="152"/>
      <c r="W31" s="152"/>
      <c r="X31" s="152"/>
      <c r="Y31" s="153"/>
    </row>
    <row r="32" spans="1:25" ht="51">
      <c r="A32" s="157" t="s">
        <v>218</v>
      </c>
      <c r="B32" s="176" t="s">
        <v>219</v>
      </c>
      <c r="C32" s="149"/>
      <c r="D32" s="149" t="s">
        <v>11</v>
      </c>
      <c r="E32" s="149" t="s">
        <v>11</v>
      </c>
      <c r="F32" s="149" t="s">
        <v>11</v>
      </c>
      <c r="G32" s="149" t="s">
        <v>11</v>
      </c>
      <c r="H32" s="149" t="s">
        <v>11</v>
      </c>
      <c r="I32" s="149" t="s">
        <v>11</v>
      </c>
      <c r="J32" s="149" t="s">
        <v>11</v>
      </c>
      <c r="K32" s="149" t="s">
        <v>11</v>
      </c>
      <c r="L32" s="149" t="s">
        <v>11</v>
      </c>
      <c r="M32" s="149" t="s">
        <v>11</v>
      </c>
      <c r="N32" s="149" t="s">
        <v>11</v>
      </c>
      <c r="O32" s="149" t="s">
        <v>11</v>
      </c>
      <c r="P32" s="149" t="s">
        <v>11</v>
      </c>
      <c r="Q32" s="149" t="s">
        <v>11</v>
      </c>
      <c r="R32" s="149" t="s">
        <v>11</v>
      </c>
      <c r="S32" s="149" t="s">
        <v>11</v>
      </c>
      <c r="T32" s="149" t="s">
        <v>11</v>
      </c>
      <c r="U32" s="149" t="s">
        <v>11</v>
      </c>
      <c r="V32" s="149" t="s">
        <v>11</v>
      </c>
      <c r="W32" s="149"/>
      <c r="X32" s="154"/>
      <c r="Y32" s="154"/>
    </row>
    <row r="33" spans="1:25" ht="18">
      <c r="A33" s="177"/>
      <c r="B33" s="178" t="s">
        <v>241</v>
      </c>
      <c r="C33" s="177"/>
      <c r="D33" s="177"/>
      <c r="E33" s="177"/>
      <c r="F33" s="177"/>
      <c r="G33" s="177"/>
      <c r="H33" s="177"/>
      <c r="I33" s="177"/>
      <c r="J33" s="177"/>
      <c r="K33" s="177"/>
      <c r="L33" s="177"/>
      <c r="M33" s="177"/>
      <c r="N33" s="177"/>
      <c r="O33" s="177"/>
      <c r="P33" s="177"/>
      <c r="Q33" s="177"/>
      <c r="R33" s="177"/>
      <c r="S33" s="177"/>
      <c r="T33" s="177"/>
      <c r="U33" s="177"/>
      <c r="V33" s="177"/>
      <c r="W33" s="177"/>
      <c r="X33" s="177"/>
      <c r="Y33" s="177"/>
    </row>
  </sheetData>
  <mergeCells count="1">
    <mergeCell ref="X2:Y2"/>
  </mergeCells>
  <dataValidations count="1">
    <dataValidation type="list" allowBlank="1" showInputMessage="1" showErrorMessage="1" sqref="C32:V32 C6:V6 C24:V27 C8:V22 C29:V30" xr:uid="{00000000-0002-0000-0600-00000000000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45">
    <tabColor theme="7"/>
    <pageSetUpPr fitToPage="1"/>
  </sheetPr>
  <dimension ref="A2:BO33"/>
  <sheetViews>
    <sheetView zoomScale="60" zoomScaleNormal="60" workbookViewId="0">
      <pane xSplit="1" ySplit="3" topLeftCell="B4" activePane="bottomRight" state="frozen"/>
      <selection pane="topRight" activeCell="B1" sqref="B1"/>
      <selection pane="bottomLeft" activeCell="A4" sqref="A4"/>
      <selection pane="bottomRight" activeCell="BG2" sqref="BG2"/>
    </sheetView>
  </sheetViews>
  <sheetFormatPr defaultColWidth="9.42578125" defaultRowHeight="12.75"/>
  <cols>
    <col min="1" max="1" width="11" style="150" bestFit="1" customWidth="1"/>
    <col min="2" max="2" width="61" style="148" customWidth="1"/>
    <col min="3" max="36" width="4.42578125" style="147" bestFit="1" customWidth="1"/>
    <col min="37" max="39" width="4.42578125" style="147" customWidth="1"/>
    <col min="40" max="58" width="4.7109375" style="147" customWidth="1"/>
    <col min="59" max="59" width="6.7109375" style="147" customWidth="1"/>
    <col min="60" max="60" width="30.5703125" style="147" customWidth="1"/>
    <col min="61" max="62" width="27.5703125" style="147" customWidth="1"/>
    <col min="63" max="66" width="9.42578125" style="147"/>
    <col min="67" max="67" width="23.5703125" style="147" customWidth="1"/>
    <col min="68" max="16384" width="9.42578125" style="147"/>
  </cols>
  <sheetData>
    <row r="2" spans="1:67" ht="157.5" customHeight="1">
      <c r="A2" s="163" t="s">
        <v>227</v>
      </c>
      <c r="B2" s="164" t="s">
        <v>262</v>
      </c>
      <c r="C2" s="165" t="s">
        <v>399</v>
      </c>
      <c r="D2" s="165" t="s">
        <v>450</v>
      </c>
      <c r="E2" s="165" t="s">
        <v>451</v>
      </c>
      <c r="F2" s="165" t="s">
        <v>453</v>
      </c>
      <c r="G2" s="165" t="s">
        <v>454</v>
      </c>
      <c r="H2" s="165" t="s">
        <v>455</v>
      </c>
      <c r="I2" s="165" t="s">
        <v>456</v>
      </c>
      <c r="J2" s="165" t="s">
        <v>457</v>
      </c>
      <c r="K2" s="165" t="s">
        <v>462</v>
      </c>
      <c r="L2" s="165" t="s">
        <v>464</v>
      </c>
      <c r="M2" s="165" t="s">
        <v>465</v>
      </c>
      <c r="N2" s="165" t="s">
        <v>466</v>
      </c>
      <c r="O2" s="165" t="s">
        <v>467</v>
      </c>
      <c r="P2" s="165" t="s">
        <v>468</v>
      </c>
      <c r="Q2" s="165" t="s">
        <v>457</v>
      </c>
      <c r="R2" s="165" t="s">
        <v>530</v>
      </c>
      <c r="S2" s="165" t="s">
        <v>531</v>
      </c>
      <c r="T2" s="165" t="s">
        <v>532</v>
      </c>
      <c r="U2" s="165" t="s">
        <v>533</v>
      </c>
      <c r="V2" s="165" t="s">
        <v>648</v>
      </c>
      <c r="W2" s="165" t="s">
        <v>462</v>
      </c>
      <c r="X2" s="165" t="s">
        <v>534</v>
      </c>
      <c r="Y2" s="165" t="s">
        <v>618</v>
      </c>
      <c r="Z2" s="165" t="s">
        <v>630</v>
      </c>
      <c r="AA2" s="165" t="s">
        <v>631</v>
      </c>
      <c r="AB2" s="165" t="s">
        <v>632</v>
      </c>
      <c r="AC2" s="165" t="s">
        <v>633</v>
      </c>
      <c r="AD2" s="165" t="s">
        <v>649</v>
      </c>
      <c r="AE2" s="165" t="s">
        <v>642</v>
      </c>
      <c r="AF2" s="165" t="s">
        <v>645</v>
      </c>
      <c r="AG2" s="165" t="s">
        <v>685</v>
      </c>
      <c r="AH2" s="165" t="s">
        <v>687</v>
      </c>
      <c r="AI2" s="165" t="s">
        <v>711</v>
      </c>
      <c r="AJ2" s="165" t="s">
        <v>733</v>
      </c>
      <c r="AK2" s="165" t="s">
        <v>735</v>
      </c>
      <c r="AL2" s="165" t="s">
        <v>744</v>
      </c>
      <c r="AM2" s="165" t="s">
        <v>746</v>
      </c>
      <c r="AN2" s="165" t="s">
        <v>818</v>
      </c>
      <c r="AO2" s="165" t="s">
        <v>819</v>
      </c>
      <c r="AP2" s="165" t="s">
        <v>832</v>
      </c>
      <c r="AQ2" s="165" t="s">
        <v>833</v>
      </c>
      <c r="AR2" s="165" t="s">
        <v>836</v>
      </c>
      <c r="AS2" s="165" t="s">
        <v>837</v>
      </c>
      <c r="AT2" s="165" t="s">
        <v>840</v>
      </c>
      <c r="AU2" s="165" t="s">
        <v>849</v>
      </c>
      <c r="AV2" s="165" t="s">
        <v>858</v>
      </c>
      <c r="AW2" s="165" t="s">
        <v>859</v>
      </c>
      <c r="AX2" s="165" t="s">
        <v>860</v>
      </c>
      <c r="AY2" s="165" t="s">
        <v>874</v>
      </c>
      <c r="AZ2" s="165" t="s">
        <v>875</v>
      </c>
      <c r="BA2" s="165" t="s">
        <v>876</v>
      </c>
      <c r="BB2" s="165" t="s">
        <v>877</v>
      </c>
      <c r="BC2" s="165" t="s">
        <v>878</v>
      </c>
      <c r="BD2" s="165" t="s">
        <v>879</v>
      </c>
      <c r="BE2" s="165" t="s">
        <v>880</v>
      </c>
      <c r="BF2" s="165" t="s">
        <v>896</v>
      </c>
      <c r="BG2" s="165" t="s">
        <v>899</v>
      </c>
      <c r="BH2" s="186" t="s">
        <v>242</v>
      </c>
      <c r="BI2" s="364" t="s">
        <v>187</v>
      </c>
      <c r="BJ2" s="365"/>
    </row>
    <row r="3" spans="1:67" ht="37.5">
      <c r="A3" s="167"/>
      <c r="B3" s="168"/>
      <c r="C3" s="168">
        <f t="shared" ref="C3:Q3" si="0">COUNTIF(C5:C32,"Yes")</f>
        <v>0</v>
      </c>
      <c r="D3" s="168">
        <f t="shared" si="0"/>
        <v>3</v>
      </c>
      <c r="E3" s="168">
        <f t="shared" si="0"/>
        <v>7</v>
      </c>
      <c r="F3" s="168">
        <f t="shared" si="0"/>
        <v>7</v>
      </c>
      <c r="G3" s="168">
        <f t="shared" si="0"/>
        <v>7</v>
      </c>
      <c r="H3" s="168">
        <f t="shared" si="0"/>
        <v>7</v>
      </c>
      <c r="I3" s="168">
        <f t="shared" si="0"/>
        <v>7</v>
      </c>
      <c r="J3" s="168">
        <f t="shared" si="0"/>
        <v>7</v>
      </c>
      <c r="K3" s="168">
        <f t="shared" si="0"/>
        <v>8</v>
      </c>
      <c r="L3" s="168">
        <f t="shared" si="0"/>
        <v>11</v>
      </c>
      <c r="M3" s="168">
        <f t="shared" si="0"/>
        <v>11</v>
      </c>
      <c r="N3" s="168">
        <f t="shared" si="0"/>
        <v>11</v>
      </c>
      <c r="O3" s="168">
        <f t="shared" si="0"/>
        <v>11</v>
      </c>
      <c r="P3" s="168">
        <f t="shared" si="0"/>
        <v>11</v>
      </c>
      <c r="Q3" s="168">
        <f t="shared" si="0"/>
        <v>11</v>
      </c>
      <c r="R3" s="168">
        <f t="shared" ref="R3:X3" si="1">COUNTIF(R5:R32,"Yes")</f>
        <v>11</v>
      </c>
      <c r="S3" s="168">
        <f t="shared" si="1"/>
        <v>11</v>
      </c>
      <c r="T3" s="168">
        <f t="shared" si="1"/>
        <v>11</v>
      </c>
      <c r="U3" s="168">
        <f t="shared" si="1"/>
        <v>11</v>
      </c>
      <c r="V3" s="168">
        <f t="shared" si="1"/>
        <v>11</v>
      </c>
      <c r="W3" s="168">
        <f t="shared" si="1"/>
        <v>8</v>
      </c>
      <c r="X3" s="168">
        <f t="shared" si="1"/>
        <v>11</v>
      </c>
      <c r="Y3" s="168">
        <f t="shared" ref="Y3:Z3" si="2">COUNTIF(Y5:Y32,"Yes")</f>
        <v>8</v>
      </c>
      <c r="Z3" s="168">
        <f t="shared" si="2"/>
        <v>9</v>
      </c>
      <c r="AA3" s="168">
        <f t="shared" ref="AA3" si="3">COUNTIF(AA5:AA32,"Yes")</f>
        <v>11</v>
      </c>
      <c r="AB3" s="168">
        <f t="shared" ref="AB3:AD3" si="4">COUNTIF(AB5:AB32,"Yes")</f>
        <v>14</v>
      </c>
      <c r="AC3" s="168">
        <f t="shared" ref="AC3" si="5">COUNTIF(AC5:AC32,"Yes")</f>
        <v>14</v>
      </c>
      <c r="AD3" s="168">
        <f t="shared" si="4"/>
        <v>14</v>
      </c>
      <c r="AE3" s="168">
        <f t="shared" ref="AE3" si="6">COUNTIF(AE5:AE32,"Yes")</f>
        <v>12</v>
      </c>
      <c r="AF3" s="168">
        <f t="shared" ref="AF3:AS3" si="7">COUNTIF(AF5:AF32,"Yes")</f>
        <v>14</v>
      </c>
      <c r="AG3" s="168">
        <f t="shared" si="7"/>
        <v>14</v>
      </c>
      <c r="AH3" s="168">
        <f t="shared" si="7"/>
        <v>14</v>
      </c>
      <c r="AI3" s="168">
        <f t="shared" si="7"/>
        <v>10</v>
      </c>
      <c r="AJ3" s="168">
        <f t="shared" si="7"/>
        <v>12</v>
      </c>
      <c r="AK3" s="168">
        <f t="shared" si="7"/>
        <v>12</v>
      </c>
      <c r="AL3" s="168">
        <f t="shared" si="7"/>
        <v>14</v>
      </c>
      <c r="AM3" s="168">
        <f t="shared" si="7"/>
        <v>14</v>
      </c>
      <c r="AN3" s="168">
        <f t="shared" si="7"/>
        <v>14</v>
      </c>
      <c r="AO3" s="168">
        <f t="shared" si="7"/>
        <v>14</v>
      </c>
      <c r="AP3" s="168">
        <f t="shared" si="7"/>
        <v>13</v>
      </c>
      <c r="AQ3" s="168">
        <f t="shared" si="7"/>
        <v>14</v>
      </c>
      <c r="AR3" s="168">
        <f t="shared" si="7"/>
        <v>13</v>
      </c>
      <c r="AS3" s="168">
        <f t="shared" si="7"/>
        <v>14</v>
      </c>
      <c r="AT3" s="168">
        <f t="shared" ref="AT3:AU3" si="8">COUNTIF(AT5:AT32,"Yes")</f>
        <v>14</v>
      </c>
      <c r="AU3" s="168">
        <f t="shared" si="8"/>
        <v>14</v>
      </c>
      <c r="AV3" s="168">
        <f t="shared" ref="AV3:AW3" si="9">COUNTIF(AV5:AV32,"Yes")</f>
        <v>14</v>
      </c>
      <c r="AW3" s="168">
        <f t="shared" si="9"/>
        <v>14</v>
      </c>
      <c r="AX3" s="168">
        <f t="shared" ref="AX3:BC3" si="10">COUNTIF(AX5:AX32,"Yes")</f>
        <v>14</v>
      </c>
      <c r="AY3" s="168">
        <f t="shared" si="10"/>
        <v>14</v>
      </c>
      <c r="AZ3" s="168">
        <f t="shared" si="10"/>
        <v>13</v>
      </c>
      <c r="BA3" s="168">
        <f t="shared" si="10"/>
        <v>14</v>
      </c>
      <c r="BB3" s="168">
        <f t="shared" si="10"/>
        <v>14</v>
      </c>
      <c r="BC3" s="168">
        <f t="shared" si="10"/>
        <v>13</v>
      </c>
      <c r="BD3" s="168">
        <f t="shared" ref="BD3:BG3" si="11">COUNTIF(BD5:BD32,"Yes")</f>
        <v>14</v>
      </c>
      <c r="BE3" s="168">
        <f t="shared" si="11"/>
        <v>13</v>
      </c>
      <c r="BF3" s="168">
        <f t="shared" si="11"/>
        <v>14</v>
      </c>
      <c r="BG3" s="168">
        <f t="shared" si="11"/>
        <v>14</v>
      </c>
      <c r="BH3" s="155"/>
      <c r="BI3" s="179" t="s">
        <v>233</v>
      </c>
      <c r="BJ3" s="179" t="s">
        <v>234</v>
      </c>
      <c r="BK3" s="156"/>
    </row>
    <row r="4" spans="1:67" ht="36">
      <c r="A4" s="169"/>
      <c r="B4" s="170" t="s">
        <v>246</v>
      </c>
      <c r="C4" s="171"/>
      <c r="D4" s="171"/>
      <c r="E4" s="171"/>
      <c r="F4" s="171"/>
      <c r="G4" s="171"/>
      <c r="H4" s="171"/>
      <c r="I4" s="171"/>
      <c r="J4" s="171"/>
      <c r="K4" s="171"/>
      <c r="L4" s="171"/>
      <c r="M4" s="171"/>
      <c r="N4" s="171"/>
      <c r="O4" s="171"/>
      <c r="P4" s="171"/>
      <c r="Q4" s="171"/>
      <c r="R4" s="171"/>
      <c r="S4" s="171"/>
      <c r="T4" s="171"/>
      <c r="U4" s="171"/>
      <c r="V4" s="171"/>
      <c r="W4" s="171"/>
      <c r="X4" s="171"/>
      <c r="Y4" s="171"/>
      <c r="Z4" s="171"/>
      <c r="AA4" s="171"/>
      <c r="AB4" s="171"/>
      <c r="AC4" s="171"/>
      <c r="AD4" s="171"/>
      <c r="AE4" s="171"/>
      <c r="AF4" s="171"/>
      <c r="AG4" s="171"/>
      <c r="AH4" s="171"/>
      <c r="AI4" s="171"/>
      <c r="AJ4" s="171"/>
      <c r="AK4" s="171"/>
      <c r="AL4" s="171"/>
      <c r="AM4" s="171"/>
      <c r="AN4" s="171"/>
      <c r="AO4" s="171"/>
      <c r="AP4" s="171"/>
      <c r="AQ4" s="171"/>
      <c r="AR4" s="171"/>
      <c r="AS4" s="171"/>
      <c r="AT4" s="171"/>
      <c r="AU4" s="171"/>
      <c r="AV4" s="171"/>
      <c r="AW4" s="171"/>
      <c r="AX4" s="171"/>
      <c r="AY4" s="171"/>
      <c r="AZ4" s="171"/>
      <c r="BA4" s="171"/>
      <c r="BB4" s="171"/>
      <c r="BC4" s="171"/>
      <c r="BD4" s="171"/>
      <c r="BE4" s="171"/>
      <c r="BF4" s="171"/>
      <c r="BG4" s="171"/>
      <c r="BH4" s="171"/>
      <c r="BI4" s="171"/>
      <c r="BJ4" s="172"/>
      <c r="BK4" s="86"/>
    </row>
    <row r="5" spans="1:67" ht="15">
      <c r="A5" s="151"/>
      <c r="B5" s="173" t="s">
        <v>229</v>
      </c>
      <c r="C5" s="152"/>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3"/>
    </row>
    <row r="6" spans="1:67" ht="38.25">
      <c r="A6" s="157" t="s">
        <v>263</v>
      </c>
      <c r="B6" s="176" t="s">
        <v>264</v>
      </c>
      <c r="C6" s="149"/>
      <c r="D6" s="149" t="s">
        <v>11</v>
      </c>
      <c r="E6" s="149" t="s">
        <v>23</v>
      </c>
      <c r="F6" s="149" t="s">
        <v>23</v>
      </c>
      <c r="G6" s="149" t="s">
        <v>23</v>
      </c>
      <c r="H6" s="149" t="s">
        <v>23</v>
      </c>
      <c r="I6" s="149" t="s">
        <v>23</v>
      </c>
      <c r="J6" s="149" t="s">
        <v>23</v>
      </c>
      <c r="K6" s="149" t="s">
        <v>11</v>
      </c>
      <c r="L6" s="149" t="s">
        <v>226</v>
      </c>
      <c r="M6" s="149" t="s">
        <v>226</v>
      </c>
      <c r="N6" s="149" t="s">
        <v>226</v>
      </c>
      <c r="O6" s="149" t="s">
        <v>226</v>
      </c>
      <c r="P6" s="149" t="s">
        <v>226</v>
      </c>
      <c r="Q6" s="149" t="s">
        <v>226</v>
      </c>
      <c r="R6" s="149" t="s">
        <v>226</v>
      </c>
      <c r="S6" s="149" t="s">
        <v>226</v>
      </c>
      <c r="T6" s="149" t="s">
        <v>226</v>
      </c>
      <c r="U6" s="149" t="s">
        <v>226</v>
      </c>
      <c r="V6" s="149" t="s">
        <v>226</v>
      </c>
      <c r="W6" s="149" t="s">
        <v>11</v>
      </c>
      <c r="X6" s="149" t="s">
        <v>226</v>
      </c>
      <c r="Y6" s="149" t="s">
        <v>23</v>
      </c>
      <c r="Z6" s="149" t="s">
        <v>23</v>
      </c>
      <c r="AA6" s="149" t="s">
        <v>11</v>
      </c>
      <c r="AB6" s="149" t="s">
        <v>226</v>
      </c>
      <c r="AC6" s="149" t="s">
        <v>226</v>
      </c>
      <c r="AD6" s="149" t="s">
        <v>226</v>
      </c>
      <c r="AE6" s="149" t="s">
        <v>226</v>
      </c>
      <c r="AF6" s="149" t="s">
        <v>226</v>
      </c>
      <c r="AG6" s="149" t="s">
        <v>226</v>
      </c>
      <c r="AH6" s="149" t="s">
        <v>226</v>
      </c>
      <c r="AI6" s="149" t="s">
        <v>23</v>
      </c>
      <c r="AJ6" s="149" t="s">
        <v>226</v>
      </c>
      <c r="AK6" s="149" t="s">
        <v>226</v>
      </c>
      <c r="AL6" s="149" t="s">
        <v>226</v>
      </c>
      <c r="AM6" s="149" t="s">
        <v>226</v>
      </c>
      <c r="AN6" s="149" t="s">
        <v>226</v>
      </c>
      <c r="AO6" s="149" t="s">
        <v>226</v>
      </c>
      <c r="AP6" s="149" t="s">
        <v>23</v>
      </c>
      <c r="AQ6" s="149" t="s">
        <v>226</v>
      </c>
      <c r="AR6" s="149" t="s">
        <v>23</v>
      </c>
      <c r="AS6" s="149" t="s">
        <v>226</v>
      </c>
      <c r="AT6" s="149" t="s">
        <v>226</v>
      </c>
      <c r="AU6" s="149" t="s">
        <v>226</v>
      </c>
      <c r="AV6" s="149" t="s">
        <v>226</v>
      </c>
      <c r="AW6" s="149" t="s">
        <v>226</v>
      </c>
      <c r="AX6" s="149" t="s">
        <v>226</v>
      </c>
      <c r="AY6" s="149" t="s">
        <v>226</v>
      </c>
      <c r="AZ6" s="149" t="s">
        <v>226</v>
      </c>
      <c r="BA6" s="149" t="s">
        <v>226</v>
      </c>
      <c r="BB6" s="149" t="s">
        <v>226</v>
      </c>
      <c r="BC6" s="149" t="s">
        <v>226</v>
      </c>
      <c r="BD6" s="149" t="s">
        <v>226</v>
      </c>
      <c r="BE6" s="149" t="s">
        <v>226</v>
      </c>
      <c r="BF6" s="149" t="s">
        <v>226</v>
      </c>
      <c r="BG6" s="149" t="s">
        <v>226</v>
      </c>
      <c r="BI6" s="154"/>
      <c r="BJ6" s="154"/>
      <c r="BN6" s="247" t="s">
        <v>683</v>
      </c>
      <c r="BO6" s="246" t="s">
        <v>448</v>
      </c>
    </row>
    <row r="7" spans="1:67" ht="38.25">
      <c r="A7" s="157" t="s">
        <v>265</v>
      </c>
      <c r="B7" s="176" t="s">
        <v>266</v>
      </c>
      <c r="C7" s="149"/>
      <c r="D7" s="149" t="s">
        <v>23</v>
      </c>
      <c r="E7" s="149" t="s">
        <v>226</v>
      </c>
      <c r="F7" s="149" t="s">
        <v>226</v>
      </c>
      <c r="G7" s="149" t="s">
        <v>226</v>
      </c>
      <c r="H7" s="149" t="s">
        <v>226</v>
      </c>
      <c r="I7" s="149" t="s">
        <v>226</v>
      </c>
      <c r="J7" s="149" t="s">
        <v>226</v>
      </c>
      <c r="K7" s="149" t="s">
        <v>226</v>
      </c>
      <c r="L7" s="149" t="s">
        <v>226</v>
      </c>
      <c r="M7" s="149" t="s">
        <v>226</v>
      </c>
      <c r="N7" s="149" t="s">
        <v>226</v>
      </c>
      <c r="O7" s="149" t="s">
        <v>226</v>
      </c>
      <c r="P7" s="149" t="s">
        <v>226</v>
      </c>
      <c r="Q7" s="149" t="s">
        <v>226</v>
      </c>
      <c r="R7" s="149" t="s">
        <v>226</v>
      </c>
      <c r="S7" s="149" t="s">
        <v>226</v>
      </c>
      <c r="T7" s="149" t="s">
        <v>226</v>
      </c>
      <c r="U7" s="149" t="s">
        <v>226</v>
      </c>
      <c r="V7" s="149" t="s">
        <v>226</v>
      </c>
      <c r="W7" s="149" t="s">
        <v>226</v>
      </c>
      <c r="X7" s="149" t="s">
        <v>226</v>
      </c>
      <c r="Y7" s="149" t="s">
        <v>23</v>
      </c>
      <c r="Z7" s="149" t="s">
        <v>23</v>
      </c>
      <c r="AA7" s="149" t="s">
        <v>226</v>
      </c>
      <c r="AB7" s="149" t="s">
        <v>226</v>
      </c>
      <c r="AC7" s="149" t="s">
        <v>226</v>
      </c>
      <c r="AD7" s="149" t="s">
        <v>226</v>
      </c>
      <c r="AE7" s="149" t="s">
        <v>226</v>
      </c>
      <c r="AF7" s="149" t="s">
        <v>226</v>
      </c>
      <c r="AG7" s="149" t="s">
        <v>226</v>
      </c>
      <c r="AH7" s="149" t="s">
        <v>226</v>
      </c>
      <c r="AI7" s="149" t="s">
        <v>226</v>
      </c>
      <c r="AJ7" s="149" t="s">
        <v>226</v>
      </c>
      <c r="AK7" s="149" t="s">
        <v>226</v>
      </c>
      <c r="AL7" s="149" t="s">
        <v>226</v>
      </c>
      <c r="AM7" s="149" t="s">
        <v>226</v>
      </c>
      <c r="AN7" s="149" t="s">
        <v>226</v>
      </c>
      <c r="AO7" s="149" t="s">
        <v>226</v>
      </c>
      <c r="AP7" s="149" t="s">
        <v>226</v>
      </c>
      <c r="AQ7" s="149" t="s">
        <v>226</v>
      </c>
      <c r="AR7" s="149" t="s">
        <v>226</v>
      </c>
      <c r="AS7" s="149" t="s">
        <v>226</v>
      </c>
      <c r="AT7" s="149" t="s">
        <v>226</v>
      </c>
      <c r="AU7" s="149" t="s">
        <v>226</v>
      </c>
      <c r="AV7" s="149" t="s">
        <v>226</v>
      </c>
      <c r="AW7" s="149" t="s">
        <v>226</v>
      </c>
      <c r="AX7" s="149" t="s">
        <v>226</v>
      </c>
      <c r="AY7" s="149" t="s">
        <v>226</v>
      </c>
      <c r="AZ7" s="149" t="s">
        <v>226</v>
      </c>
      <c r="BA7" s="149" t="s">
        <v>226</v>
      </c>
      <c r="BB7" s="149" t="s">
        <v>226</v>
      </c>
      <c r="BC7" s="149" t="s">
        <v>226</v>
      </c>
      <c r="BD7" s="149" t="s">
        <v>226</v>
      </c>
      <c r="BE7" s="149" t="s">
        <v>226</v>
      </c>
      <c r="BF7" s="149" t="s">
        <v>226</v>
      </c>
      <c r="BG7" s="149" t="s">
        <v>226</v>
      </c>
      <c r="BH7" s="149"/>
      <c r="BI7" s="154"/>
      <c r="BJ7" s="154"/>
      <c r="BN7" s="247" t="s">
        <v>856</v>
      </c>
      <c r="BO7" s="184" t="s">
        <v>424</v>
      </c>
    </row>
    <row r="8" spans="1:67" ht="15">
      <c r="A8" s="151"/>
      <c r="B8" s="173" t="s">
        <v>317</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3"/>
      <c r="BN8" s="184" t="s">
        <v>857</v>
      </c>
      <c r="BO8" s="246" t="s">
        <v>437</v>
      </c>
    </row>
    <row r="9" spans="1:67" ht="25.5">
      <c r="A9" s="157" t="s">
        <v>348</v>
      </c>
      <c r="B9" s="176" t="s">
        <v>349</v>
      </c>
      <c r="C9" s="149"/>
      <c r="D9" s="149" t="s">
        <v>23</v>
      </c>
      <c r="E9" s="149" t="s">
        <v>23</v>
      </c>
      <c r="F9" s="149" t="s">
        <v>23</v>
      </c>
      <c r="G9" s="149" t="s">
        <v>23</v>
      </c>
      <c r="H9" s="149" t="s">
        <v>23</v>
      </c>
      <c r="I9" s="149" t="s">
        <v>23</v>
      </c>
      <c r="J9" s="149" t="s">
        <v>23</v>
      </c>
      <c r="K9" s="149" t="s">
        <v>226</v>
      </c>
      <c r="L9" s="149" t="s">
        <v>226</v>
      </c>
      <c r="M9" s="149" t="s">
        <v>226</v>
      </c>
      <c r="N9" s="149" t="s">
        <v>226</v>
      </c>
      <c r="O9" s="149" t="s">
        <v>226</v>
      </c>
      <c r="P9" s="149" t="s">
        <v>226</v>
      </c>
      <c r="Q9" s="149" t="s">
        <v>226</v>
      </c>
      <c r="R9" s="149" t="s">
        <v>226</v>
      </c>
      <c r="S9" s="149" t="s">
        <v>226</v>
      </c>
      <c r="T9" s="149" t="s">
        <v>226</v>
      </c>
      <c r="U9" s="149" t="s">
        <v>226</v>
      </c>
      <c r="V9" s="149" t="s">
        <v>226</v>
      </c>
      <c r="W9" s="149" t="s">
        <v>226</v>
      </c>
      <c r="X9" s="149" t="s">
        <v>226</v>
      </c>
      <c r="Y9" s="149" t="s">
        <v>23</v>
      </c>
      <c r="Z9" s="149" t="s">
        <v>226</v>
      </c>
      <c r="AA9" s="149" t="s">
        <v>226</v>
      </c>
      <c r="AB9" s="149" t="s">
        <v>226</v>
      </c>
      <c r="AC9" s="149" t="s">
        <v>226</v>
      </c>
      <c r="AD9" s="149" t="s">
        <v>226</v>
      </c>
      <c r="AE9" s="149" t="s">
        <v>226</v>
      </c>
      <c r="AF9" s="149" t="s">
        <v>226</v>
      </c>
      <c r="AG9" s="149" t="s">
        <v>226</v>
      </c>
      <c r="AH9" s="149" t="s">
        <v>226</v>
      </c>
      <c r="AI9" s="149" t="s">
        <v>23</v>
      </c>
      <c r="AJ9" s="149" t="s">
        <v>23</v>
      </c>
      <c r="AK9" s="149" t="s">
        <v>23</v>
      </c>
      <c r="AL9" s="149" t="s">
        <v>226</v>
      </c>
      <c r="AM9" s="149" t="s">
        <v>226</v>
      </c>
      <c r="AN9" s="149" t="s">
        <v>226</v>
      </c>
      <c r="AO9" s="149" t="s">
        <v>226</v>
      </c>
      <c r="AP9" s="149" t="s">
        <v>226</v>
      </c>
      <c r="AQ9" s="149" t="s">
        <v>226</v>
      </c>
      <c r="AR9" s="149" t="s">
        <v>226</v>
      </c>
      <c r="AS9" s="149" t="s">
        <v>226</v>
      </c>
      <c r="AT9" s="149" t="s">
        <v>226</v>
      </c>
      <c r="AU9" s="149" t="s">
        <v>226</v>
      </c>
      <c r="AV9" s="149" t="s">
        <v>226</v>
      </c>
      <c r="AW9" s="149" t="s">
        <v>226</v>
      </c>
      <c r="AX9" s="149" t="s">
        <v>226</v>
      </c>
      <c r="AY9" s="149" t="s">
        <v>226</v>
      </c>
      <c r="AZ9" s="149" t="s">
        <v>226</v>
      </c>
      <c r="BA9" s="149" t="s">
        <v>226</v>
      </c>
      <c r="BB9" s="149" t="s">
        <v>226</v>
      </c>
      <c r="BC9" s="149" t="s">
        <v>226</v>
      </c>
      <c r="BD9" s="149" t="s">
        <v>226</v>
      </c>
      <c r="BE9" s="149" t="s">
        <v>226</v>
      </c>
      <c r="BF9" s="149" t="s">
        <v>226</v>
      </c>
      <c r="BG9" s="149" t="s">
        <v>226</v>
      </c>
      <c r="BH9" s="149"/>
      <c r="BI9" s="154"/>
      <c r="BJ9" s="154"/>
    </row>
    <row r="10" spans="1:67" ht="38.25">
      <c r="A10" s="157" t="s">
        <v>350</v>
      </c>
      <c r="B10" s="176" t="s">
        <v>351</v>
      </c>
      <c r="C10" s="149"/>
      <c r="D10" s="149" t="s">
        <v>23</v>
      </c>
      <c r="E10" s="149" t="s">
        <v>226</v>
      </c>
      <c r="F10" s="149" t="s">
        <v>226</v>
      </c>
      <c r="G10" s="149" t="s">
        <v>226</v>
      </c>
      <c r="H10" s="149" t="s">
        <v>226</v>
      </c>
      <c r="I10" s="149" t="s">
        <v>226</v>
      </c>
      <c r="J10" s="149" t="s">
        <v>226</v>
      </c>
      <c r="K10" s="149" t="s">
        <v>226</v>
      </c>
      <c r="L10" s="149" t="s">
        <v>226</v>
      </c>
      <c r="M10" s="149" t="s">
        <v>226</v>
      </c>
      <c r="N10" s="149" t="s">
        <v>226</v>
      </c>
      <c r="O10" s="149" t="s">
        <v>226</v>
      </c>
      <c r="P10" s="149" t="s">
        <v>226</v>
      </c>
      <c r="Q10" s="149" t="s">
        <v>226</v>
      </c>
      <c r="R10" s="149" t="s">
        <v>226</v>
      </c>
      <c r="S10" s="149" t="s">
        <v>226</v>
      </c>
      <c r="T10" s="149" t="s">
        <v>226</v>
      </c>
      <c r="U10" s="149" t="s">
        <v>226</v>
      </c>
      <c r="V10" s="149" t="s">
        <v>226</v>
      </c>
      <c r="W10" s="149" t="s">
        <v>226</v>
      </c>
      <c r="X10" s="149" t="s">
        <v>226</v>
      </c>
      <c r="Y10" s="149" t="s">
        <v>23</v>
      </c>
      <c r="Z10" s="149" t="s">
        <v>23</v>
      </c>
      <c r="AA10" s="149" t="s">
        <v>226</v>
      </c>
      <c r="AB10" s="149" t="s">
        <v>226</v>
      </c>
      <c r="AC10" s="149" t="s">
        <v>226</v>
      </c>
      <c r="AD10" s="149" t="s">
        <v>226</v>
      </c>
      <c r="AE10" s="149" t="s">
        <v>226</v>
      </c>
      <c r="AF10" s="149" t="s">
        <v>226</v>
      </c>
      <c r="AG10" s="149" t="s">
        <v>226</v>
      </c>
      <c r="AH10" s="149" t="s">
        <v>226</v>
      </c>
      <c r="AI10" s="149" t="s">
        <v>23</v>
      </c>
      <c r="AJ10" s="149" t="s">
        <v>226</v>
      </c>
      <c r="AK10" s="149" t="s">
        <v>23</v>
      </c>
      <c r="AL10" s="149" t="s">
        <v>226</v>
      </c>
      <c r="AM10" s="149" t="s">
        <v>226</v>
      </c>
      <c r="AN10" s="149" t="s">
        <v>226</v>
      </c>
      <c r="AO10" s="149" t="s">
        <v>226</v>
      </c>
      <c r="AP10" s="149" t="s">
        <v>226</v>
      </c>
      <c r="AQ10" s="149" t="s">
        <v>226</v>
      </c>
      <c r="AR10" s="149" t="s">
        <v>226</v>
      </c>
      <c r="AS10" s="149" t="s">
        <v>226</v>
      </c>
      <c r="AT10" s="149" t="s">
        <v>226</v>
      </c>
      <c r="AU10" s="149" t="s">
        <v>226</v>
      </c>
      <c r="AV10" s="149" t="s">
        <v>226</v>
      </c>
      <c r="AW10" s="149" t="s">
        <v>226</v>
      </c>
      <c r="AX10" s="149" t="s">
        <v>226</v>
      </c>
      <c r="AY10" s="149" t="s">
        <v>226</v>
      </c>
      <c r="AZ10" s="149" t="s">
        <v>226</v>
      </c>
      <c r="BA10" s="149" t="s">
        <v>226</v>
      </c>
      <c r="BB10" s="149" t="s">
        <v>226</v>
      </c>
      <c r="BC10" s="149" t="s">
        <v>226</v>
      </c>
      <c r="BD10" s="149" t="s">
        <v>226</v>
      </c>
      <c r="BE10" s="149" t="s">
        <v>226</v>
      </c>
      <c r="BF10" s="149" t="s">
        <v>226</v>
      </c>
      <c r="BG10" s="149" t="s">
        <v>226</v>
      </c>
      <c r="BH10" s="149"/>
      <c r="BI10" s="184"/>
      <c r="BJ10" s="209"/>
    </row>
    <row r="11" spans="1:67" ht="25.5">
      <c r="A11" s="157" t="s">
        <v>352</v>
      </c>
      <c r="B11" s="176" t="s">
        <v>353</v>
      </c>
      <c r="C11" s="149"/>
      <c r="D11" s="149" t="s">
        <v>226</v>
      </c>
      <c r="E11" s="149" t="s">
        <v>226</v>
      </c>
      <c r="F11" s="149" t="s">
        <v>226</v>
      </c>
      <c r="G11" s="149" t="s">
        <v>226</v>
      </c>
      <c r="H11" s="149" t="s">
        <v>226</v>
      </c>
      <c r="I11" s="149" t="s">
        <v>226</v>
      </c>
      <c r="J11" s="149" t="s">
        <v>226</v>
      </c>
      <c r="K11" s="149" t="s">
        <v>226</v>
      </c>
      <c r="L11" s="149" t="s">
        <v>226</v>
      </c>
      <c r="M11" s="149" t="s">
        <v>226</v>
      </c>
      <c r="N11" s="149" t="s">
        <v>226</v>
      </c>
      <c r="O11" s="149" t="s">
        <v>226</v>
      </c>
      <c r="P11" s="149" t="s">
        <v>226</v>
      </c>
      <c r="Q11" s="149" t="s">
        <v>226</v>
      </c>
      <c r="R11" s="149" t="s">
        <v>226</v>
      </c>
      <c r="S11" s="149" t="s">
        <v>226</v>
      </c>
      <c r="T11" s="149" t="s">
        <v>226</v>
      </c>
      <c r="U11" s="149" t="s">
        <v>226</v>
      </c>
      <c r="V11" s="149" t="s">
        <v>226</v>
      </c>
      <c r="W11" s="149" t="s">
        <v>226</v>
      </c>
      <c r="X11" s="149" t="s">
        <v>226</v>
      </c>
      <c r="Y11" s="149" t="s">
        <v>226</v>
      </c>
      <c r="Z11" s="149" t="s">
        <v>226</v>
      </c>
      <c r="AA11" s="149" t="s">
        <v>226</v>
      </c>
      <c r="AB11" s="149" t="s">
        <v>226</v>
      </c>
      <c r="AC11" s="149" t="s">
        <v>226</v>
      </c>
      <c r="AD11" s="149" t="s">
        <v>226</v>
      </c>
      <c r="AE11" s="149" t="s">
        <v>226</v>
      </c>
      <c r="AF11" s="149" t="s">
        <v>226</v>
      </c>
      <c r="AG11" s="149" t="s">
        <v>226</v>
      </c>
      <c r="AH11" s="149" t="s">
        <v>226</v>
      </c>
      <c r="AI11" s="149" t="s">
        <v>226</v>
      </c>
      <c r="AJ11" s="149" t="s">
        <v>226</v>
      </c>
      <c r="AK11" s="149" t="s">
        <v>226</v>
      </c>
      <c r="AL11" s="149" t="s">
        <v>226</v>
      </c>
      <c r="AM11" s="149" t="s">
        <v>226</v>
      </c>
      <c r="AN11" s="149" t="s">
        <v>226</v>
      </c>
      <c r="AO11" s="149" t="s">
        <v>226</v>
      </c>
      <c r="AP11" s="149" t="s">
        <v>226</v>
      </c>
      <c r="AQ11" s="149" t="s">
        <v>226</v>
      </c>
      <c r="AR11" s="149" t="s">
        <v>226</v>
      </c>
      <c r="AS11" s="149" t="s">
        <v>226</v>
      </c>
      <c r="AT11" s="149" t="s">
        <v>226</v>
      </c>
      <c r="AU11" s="149" t="s">
        <v>226</v>
      </c>
      <c r="AV11" s="149" t="s">
        <v>226</v>
      </c>
      <c r="AW11" s="149" t="s">
        <v>226</v>
      </c>
      <c r="AX11" s="149" t="s">
        <v>226</v>
      </c>
      <c r="AY11" s="149" t="s">
        <v>226</v>
      </c>
      <c r="AZ11" s="149" t="s">
        <v>226</v>
      </c>
      <c r="BA11" s="149" t="s">
        <v>226</v>
      </c>
      <c r="BB11" s="149" t="s">
        <v>226</v>
      </c>
      <c r="BC11" s="149" t="s">
        <v>226</v>
      </c>
      <c r="BD11" s="149" t="s">
        <v>226</v>
      </c>
      <c r="BE11" s="149" t="s">
        <v>226</v>
      </c>
      <c r="BF11" s="149" t="s">
        <v>226</v>
      </c>
      <c r="BG11" s="149" t="s">
        <v>226</v>
      </c>
      <c r="BH11" s="149"/>
      <c r="BI11" s="184"/>
      <c r="BJ11" s="184"/>
    </row>
    <row r="12" spans="1:67" ht="25.5">
      <c r="A12" s="157" t="s">
        <v>354</v>
      </c>
      <c r="B12" s="176" t="s">
        <v>355</v>
      </c>
      <c r="C12" s="149"/>
      <c r="D12" s="149" t="s">
        <v>23</v>
      </c>
      <c r="E12" s="149" t="s">
        <v>23</v>
      </c>
      <c r="F12" s="149" t="s">
        <v>23</v>
      </c>
      <c r="G12" s="149" t="s">
        <v>23</v>
      </c>
      <c r="H12" s="149" t="s">
        <v>23</v>
      </c>
      <c r="I12" s="149" t="s">
        <v>23</v>
      </c>
      <c r="J12" s="149" t="s">
        <v>23</v>
      </c>
      <c r="K12" s="149" t="s">
        <v>226</v>
      </c>
      <c r="L12" s="149" t="s">
        <v>226</v>
      </c>
      <c r="M12" s="149" t="s">
        <v>226</v>
      </c>
      <c r="N12" s="149" t="s">
        <v>226</v>
      </c>
      <c r="O12" s="149" t="s">
        <v>226</v>
      </c>
      <c r="P12" s="149" t="s">
        <v>226</v>
      </c>
      <c r="Q12" s="149" t="s">
        <v>226</v>
      </c>
      <c r="R12" s="149" t="s">
        <v>226</v>
      </c>
      <c r="S12" s="149" t="s">
        <v>226</v>
      </c>
      <c r="T12" s="149" t="s">
        <v>226</v>
      </c>
      <c r="U12" s="149" t="s">
        <v>226</v>
      </c>
      <c r="V12" s="149" t="s">
        <v>226</v>
      </c>
      <c r="W12" s="149" t="s">
        <v>226</v>
      </c>
      <c r="X12" s="149" t="s">
        <v>226</v>
      </c>
      <c r="Y12" s="149" t="s">
        <v>226</v>
      </c>
      <c r="Z12" s="149" t="s">
        <v>226</v>
      </c>
      <c r="AA12" s="149" t="s">
        <v>226</v>
      </c>
      <c r="AB12" s="149" t="s">
        <v>226</v>
      </c>
      <c r="AC12" s="149" t="s">
        <v>226</v>
      </c>
      <c r="AD12" s="149" t="s">
        <v>226</v>
      </c>
      <c r="AE12" s="149" t="s">
        <v>226</v>
      </c>
      <c r="AF12" s="149" t="s">
        <v>226</v>
      </c>
      <c r="AG12" s="149" t="s">
        <v>226</v>
      </c>
      <c r="AH12" s="149" t="s">
        <v>226</v>
      </c>
      <c r="AI12" s="149" t="s">
        <v>23</v>
      </c>
      <c r="AJ12" s="149" t="s">
        <v>226</v>
      </c>
      <c r="AK12" s="149" t="s">
        <v>226</v>
      </c>
      <c r="AL12" s="149" t="s">
        <v>226</v>
      </c>
      <c r="AM12" s="149" t="s">
        <v>226</v>
      </c>
      <c r="AN12" s="149" t="s">
        <v>226</v>
      </c>
      <c r="AO12" s="149" t="s">
        <v>226</v>
      </c>
      <c r="AP12" s="149" t="s">
        <v>226</v>
      </c>
      <c r="AQ12" s="149" t="s">
        <v>226</v>
      </c>
      <c r="AR12" s="149" t="s">
        <v>226</v>
      </c>
      <c r="AS12" s="149" t="s">
        <v>226</v>
      </c>
      <c r="AT12" s="149" t="s">
        <v>226</v>
      </c>
      <c r="AU12" s="149" t="s">
        <v>226</v>
      </c>
      <c r="AV12" s="149" t="s">
        <v>226</v>
      </c>
      <c r="AW12" s="149" t="s">
        <v>226</v>
      </c>
      <c r="AX12" s="149" t="s">
        <v>226</v>
      </c>
      <c r="AY12" s="149" t="s">
        <v>226</v>
      </c>
      <c r="AZ12" s="149" t="s">
        <v>23</v>
      </c>
      <c r="BA12" s="149" t="s">
        <v>226</v>
      </c>
      <c r="BB12" s="149" t="s">
        <v>226</v>
      </c>
      <c r="BC12" s="149" t="s">
        <v>23</v>
      </c>
      <c r="BD12" s="149" t="s">
        <v>226</v>
      </c>
      <c r="BE12" s="149" t="s">
        <v>23</v>
      </c>
      <c r="BF12" s="149" t="s">
        <v>226</v>
      </c>
      <c r="BG12" s="149" t="s">
        <v>226</v>
      </c>
      <c r="BH12" s="149"/>
      <c r="BI12" s="184"/>
      <c r="BJ12" s="184"/>
    </row>
    <row r="13" spans="1:67" ht="25.5">
      <c r="A13" s="157" t="s">
        <v>356</v>
      </c>
      <c r="B13" s="176" t="s">
        <v>357</v>
      </c>
      <c r="C13" s="149"/>
      <c r="D13" s="149" t="s">
        <v>11</v>
      </c>
      <c r="E13" s="149" t="s">
        <v>11</v>
      </c>
      <c r="F13" s="149" t="s">
        <v>11</v>
      </c>
      <c r="G13" s="149" t="s">
        <v>11</v>
      </c>
      <c r="H13" s="149" t="s">
        <v>11</v>
      </c>
      <c r="I13" s="149" t="s">
        <v>11</v>
      </c>
      <c r="J13" s="149" t="s">
        <v>11</v>
      </c>
      <c r="K13" s="149" t="s">
        <v>11</v>
      </c>
      <c r="L13" s="149" t="s">
        <v>11</v>
      </c>
      <c r="M13" s="149" t="s">
        <v>11</v>
      </c>
      <c r="N13" s="149" t="s">
        <v>11</v>
      </c>
      <c r="O13" s="149" t="s">
        <v>11</v>
      </c>
      <c r="P13" s="149" t="s">
        <v>11</v>
      </c>
      <c r="Q13" s="149" t="s">
        <v>11</v>
      </c>
      <c r="R13" s="149" t="s">
        <v>11</v>
      </c>
      <c r="S13" s="149" t="s">
        <v>11</v>
      </c>
      <c r="T13" s="149" t="s">
        <v>11</v>
      </c>
      <c r="U13" s="149" t="s">
        <v>11</v>
      </c>
      <c r="V13" s="149" t="s">
        <v>11</v>
      </c>
      <c r="W13" s="149" t="s">
        <v>11</v>
      </c>
      <c r="X13" s="149" t="s">
        <v>11</v>
      </c>
      <c r="Y13" s="149" t="s">
        <v>11</v>
      </c>
      <c r="Z13" s="149" t="s">
        <v>11</v>
      </c>
      <c r="AA13" s="149" t="s">
        <v>11</v>
      </c>
      <c r="AB13" s="149" t="s">
        <v>11</v>
      </c>
      <c r="AC13" s="149" t="s">
        <v>11</v>
      </c>
      <c r="AD13" s="149" t="s">
        <v>11</v>
      </c>
      <c r="AE13" s="149" t="s">
        <v>11</v>
      </c>
      <c r="AF13" s="149" t="s">
        <v>11</v>
      </c>
      <c r="AG13" s="149" t="s">
        <v>11</v>
      </c>
      <c r="AH13" s="149" t="s">
        <v>11</v>
      </c>
      <c r="AI13" s="149" t="s">
        <v>11</v>
      </c>
      <c r="AJ13" s="149" t="s">
        <v>11</v>
      </c>
      <c r="AK13" s="149" t="s">
        <v>11</v>
      </c>
      <c r="AL13" s="149" t="s">
        <v>11</v>
      </c>
      <c r="AM13" s="149" t="s">
        <v>11</v>
      </c>
      <c r="AN13" s="149" t="s">
        <v>11</v>
      </c>
      <c r="AO13" s="149" t="s">
        <v>11</v>
      </c>
      <c r="AP13" s="149" t="s">
        <v>11</v>
      </c>
      <c r="AQ13" s="149" t="s">
        <v>11</v>
      </c>
      <c r="AR13" s="149" t="s">
        <v>11</v>
      </c>
      <c r="AS13" s="149" t="s">
        <v>11</v>
      </c>
      <c r="AT13" s="149" t="s">
        <v>11</v>
      </c>
      <c r="AU13" s="149" t="s">
        <v>11</v>
      </c>
      <c r="AV13" s="149" t="s">
        <v>11</v>
      </c>
      <c r="AW13" s="149" t="s">
        <v>11</v>
      </c>
      <c r="AX13" s="149" t="s">
        <v>11</v>
      </c>
      <c r="AY13" s="149" t="s">
        <v>11</v>
      </c>
      <c r="AZ13" s="149" t="s">
        <v>11</v>
      </c>
      <c r="BA13" s="149" t="s">
        <v>11</v>
      </c>
      <c r="BB13" s="149" t="s">
        <v>11</v>
      </c>
      <c r="BC13" s="149" t="s">
        <v>11</v>
      </c>
      <c r="BD13" s="149" t="s">
        <v>11</v>
      </c>
      <c r="BE13" s="149" t="s">
        <v>11</v>
      </c>
      <c r="BF13" s="149" t="s">
        <v>11</v>
      </c>
      <c r="BG13" s="149" t="s">
        <v>11</v>
      </c>
      <c r="BH13" s="149"/>
      <c r="BI13" s="210"/>
      <c r="BJ13" s="209"/>
    </row>
    <row r="14" spans="1:67" ht="51">
      <c r="A14" s="157" t="s">
        <v>358</v>
      </c>
      <c r="B14" s="176" t="s">
        <v>359</v>
      </c>
      <c r="C14" s="149"/>
      <c r="D14" s="149" t="s">
        <v>226</v>
      </c>
      <c r="E14" s="149" t="s">
        <v>226</v>
      </c>
      <c r="F14" s="149" t="s">
        <v>226</v>
      </c>
      <c r="G14" s="149" t="s">
        <v>226</v>
      </c>
      <c r="H14" s="149" t="s">
        <v>226</v>
      </c>
      <c r="I14" s="149" t="s">
        <v>226</v>
      </c>
      <c r="J14" s="149" t="s">
        <v>226</v>
      </c>
      <c r="K14" s="149" t="s">
        <v>226</v>
      </c>
      <c r="L14" s="149" t="s">
        <v>226</v>
      </c>
      <c r="M14" s="149" t="s">
        <v>226</v>
      </c>
      <c r="N14" s="149" t="s">
        <v>226</v>
      </c>
      <c r="O14" s="149" t="s">
        <v>226</v>
      </c>
      <c r="P14" s="149" t="s">
        <v>226</v>
      </c>
      <c r="Q14" s="149" t="s">
        <v>226</v>
      </c>
      <c r="R14" s="149" t="s">
        <v>226</v>
      </c>
      <c r="S14" s="149" t="s">
        <v>226</v>
      </c>
      <c r="T14" s="149" t="s">
        <v>226</v>
      </c>
      <c r="U14" s="149" t="s">
        <v>226</v>
      </c>
      <c r="V14" s="149" t="s">
        <v>226</v>
      </c>
      <c r="W14" s="149" t="s">
        <v>226</v>
      </c>
      <c r="X14" s="149" t="s">
        <v>226</v>
      </c>
      <c r="Y14" s="149" t="s">
        <v>226</v>
      </c>
      <c r="Z14" s="149" t="s">
        <v>226</v>
      </c>
      <c r="AA14" s="149" t="s">
        <v>226</v>
      </c>
      <c r="AB14" s="149" t="s">
        <v>226</v>
      </c>
      <c r="AC14" s="149" t="s">
        <v>226</v>
      </c>
      <c r="AD14" s="149" t="s">
        <v>226</v>
      </c>
      <c r="AE14" s="149" t="s">
        <v>226</v>
      </c>
      <c r="AF14" s="149" t="s">
        <v>226</v>
      </c>
      <c r="AG14" s="149" t="s">
        <v>226</v>
      </c>
      <c r="AH14" s="149" t="s">
        <v>226</v>
      </c>
      <c r="AI14" s="149" t="s">
        <v>226</v>
      </c>
      <c r="AJ14" s="149" t="s">
        <v>226</v>
      </c>
      <c r="AK14" s="149" t="s">
        <v>226</v>
      </c>
      <c r="AL14" s="149" t="s">
        <v>226</v>
      </c>
      <c r="AM14" s="149" t="s">
        <v>226</v>
      </c>
      <c r="AN14" s="149" t="s">
        <v>226</v>
      </c>
      <c r="AO14" s="149" t="s">
        <v>226</v>
      </c>
      <c r="AP14" s="149" t="s">
        <v>226</v>
      </c>
      <c r="AQ14" s="149" t="s">
        <v>226</v>
      </c>
      <c r="AR14" s="149" t="s">
        <v>226</v>
      </c>
      <c r="AS14" s="149" t="s">
        <v>226</v>
      </c>
      <c r="AT14" s="149" t="s">
        <v>226</v>
      </c>
      <c r="AU14" s="149" t="s">
        <v>226</v>
      </c>
      <c r="AV14" s="149" t="s">
        <v>226</v>
      </c>
      <c r="AW14" s="149" t="s">
        <v>226</v>
      </c>
      <c r="AX14" s="149" t="s">
        <v>226</v>
      </c>
      <c r="AY14" s="149" t="s">
        <v>226</v>
      </c>
      <c r="AZ14" s="149" t="s">
        <v>226</v>
      </c>
      <c r="BA14" s="149" t="s">
        <v>226</v>
      </c>
      <c r="BB14" s="149" t="s">
        <v>226</v>
      </c>
      <c r="BC14" s="149" t="s">
        <v>226</v>
      </c>
      <c r="BD14" s="149" t="s">
        <v>226</v>
      </c>
      <c r="BE14" s="149" t="s">
        <v>226</v>
      </c>
      <c r="BF14" s="149" t="s">
        <v>226</v>
      </c>
      <c r="BG14" s="149" t="s">
        <v>226</v>
      </c>
      <c r="BH14" s="149"/>
      <c r="BI14" s="184"/>
      <c r="BJ14" s="184"/>
    </row>
    <row r="15" spans="1:67" ht="38.25">
      <c r="A15" s="157" t="s">
        <v>360</v>
      </c>
      <c r="B15" s="176" t="s">
        <v>361</v>
      </c>
      <c r="C15" s="149"/>
      <c r="D15" s="149" t="s">
        <v>11</v>
      </c>
      <c r="E15" s="149" t="s">
        <v>226</v>
      </c>
      <c r="F15" s="149" t="s">
        <v>226</v>
      </c>
      <c r="G15" s="149" t="s">
        <v>226</v>
      </c>
      <c r="H15" s="149" t="s">
        <v>226</v>
      </c>
      <c r="I15" s="149" t="s">
        <v>226</v>
      </c>
      <c r="J15" s="149" t="s">
        <v>226</v>
      </c>
      <c r="K15" s="149" t="s">
        <v>11</v>
      </c>
      <c r="L15" s="149" t="s">
        <v>226</v>
      </c>
      <c r="M15" s="149" t="s">
        <v>226</v>
      </c>
      <c r="N15" s="149" t="s">
        <v>226</v>
      </c>
      <c r="O15" s="149" t="s">
        <v>226</v>
      </c>
      <c r="P15" s="149" t="s">
        <v>226</v>
      </c>
      <c r="Q15" s="149" t="s">
        <v>226</v>
      </c>
      <c r="R15" s="149" t="s">
        <v>226</v>
      </c>
      <c r="S15" s="149" t="s">
        <v>226</v>
      </c>
      <c r="T15" s="149" t="s">
        <v>226</v>
      </c>
      <c r="U15" s="149" t="s">
        <v>226</v>
      </c>
      <c r="V15" s="149" t="s">
        <v>226</v>
      </c>
      <c r="W15" s="149" t="s">
        <v>11</v>
      </c>
      <c r="X15" s="149" t="s">
        <v>226</v>
      </c>
      <c r="Y15" s="149" t="s">
        <v>226</v>
      </c>
      <c r="Z15" s="149" t="s">
        <v>226</v>
      </c>
      <c r="AA15" s="149" t="s">
        <v>226</v>
      </c>
      <c r="AB15" s="149" t="s">
        <v>226</v>
      </c>
      <c r="AC15" s="149" t="s">
        <v>226</v>
      </c>
      <c r="AD15" s="149" t="s">
        <v>226</v>
      </c>
      <c r="AE15" s="149" t="s">
        <v>226</v>
      </c>
      <c r="AF15" s="149" t="s">
        <v>226</v>
      </c>
      <c r="AG15" s="149" t="s">
        <v>226</v>
      </c>
      <c r="AH15" s="149" t="s">
        <v>226</v>
      </c>
      <c r="AI15" s="149" t="s">
        <v>226</v>
      </c>
      <c r="AJ15" s="149" t="s">
        <v>226</v>
      </c>
      <c r="AK15" s="149" t="s">
        <v>226</v>
      </c>
      <c r="AL15" s="149" t="s">
        <v>226</v>
      </c>
      <c r="AM15" s="149" t="s">
        <v>226</v>
      </c>
      <c r="AN15" s="149" t="s">
        <v>226</v>
      </c>
      <c r="AO15" s="149" t="s">
        <v>226</v>
      </c>
      <c r="AP15" s="149" t="s">
        <v>226</v>
      </c>
      <c r="AQ15" s="149" t="s">
        <v>226</v>
      </c>
      <c r="AR15" s="149" t="s">
        <v>226</v>
      </c>
      <c r="AS15" s="149" t="s">
        <v>226</v>
      </c>
      <c r="AT15" s="149" t="s">
        <v>226</v>
      </c>
      <c r="AU15" s="149" t="s">
        <v>226</v>
      </c>
      <c r="AV15" s="149" t="s">
        <v>226</v>
      </c>
      <c r="AW15" s="149" t="s">
        <v>226</v>
      </c>
      <c r="AX15" s="149" t="s">
        <v>226</v>
      </c>
      <c r="AY15" s="149" t="s">
        <v>226</v>
      </c>
      <c r="AZ15" s="149" t="s">
        <v>226</v>
      </c>
      <c r="BA15" s="149" t="s">
        <v>226</v>
      </c>
      <c r="BB15" s="149" t="s">
        <v>226</v>
      </c>
      <c r="BC15" s="149" t="s">
        <v>226</v>
      </c>
      <c r="BD15" s="149" t="s">
        <v>226</v>
      </c>
      <c r="BE15" s="149" t="s">
        <v>226</v>
      </c>
      <c r="BF15" s="149" t="s">
        <v>226</v>
      </c>
      <c r="BG15" s="149" t="s">
        <v>226</v>
      </c>
      <c r="BH15" s="149"/>
      <c r="BI15" s="154"/>
      <c r="BJ15" s="154"/>
    </row>
    <row r="16" spans="1:67" ht="51">
      <c r="A16" s="157" t="s">
        <v>362</v>
      </c>
      <c r="B16" s="176" t="s">
        <v>363</v>
      </c>
      <c r="C16" s="149"/>
      <c r="D16" s="149" t="s">
        <v>11</v>
      </c>
      <c r="E16" s="149" t="s">
        <v>11</v>
      </c>
      <c r="F16" s="149" t="s">
        <v>11</v>
      </c>
      <c r="G16" s="149" t="s">
        <v>11</v>
      </c>
      <c r="H16" s="149" t="s">
        <v>11</v>
      </c>
      <c r="I16" s="149" t="s">
        <v>11</v>
      </c>
      <c r="J16" s="149" t="s">
        <v>11</v>
      </c>
      <c r="K16" s="149" t="s">
        <v>11</v>
      </c>
      <c r="L16" s="149" t="s">
        <v>11</v>
      </c>
      <c r="M16" s="149" t="s">
        <v>11</v>
      </c>
      <c r="N16" s="149" t="s">
        <v>11</v>
      </c>
      <c r="O16" s="149" t="s">
        <v>11</v>
      </c>
      <c r="P16" s="149" t="s">
        <v>11</v>
      </c>
      <c r="Q16" s="149" t="s">
        <v>11</v>
      </c>
      <c r="R16" s="149" t="s">
        <v>11</v>
      </c>
      <c r="S16" s="149" t="s">
        <v>11</v>
      </c>
      <c r="T16" s="149" t="s">
        <v>11</v>
      </c>
      <c r="U16" s="149" t="s">
        <v>11</v>
      </c>
      <c r="V16" s="149" t="s">
        <v>11</v>
      </c>
      <c r="W16" s="149" t="s">
        <v>11</v>
      </c>
      <c r="X16" s="149" t="s">
        <v>11</v>
      </c>
      <c r="Y16" s="149" t="s">
        <v>11</v>
      </c>
      <c r="Z16" s="149" t="s">
        <v>11</v>
      </c>
      <c r="AA16" s="149" t="s">
        <v>11</v>
      </c>
      <c r="AB16" s="149" t="s">
        <v>11</v>
      </c>
      <c r="AC16" s="149" t="s">
        <v>11</v>
      </c>
      <c r="AD16" s="149" t="s">
        <v>11</v>
      </c>
      <c r="AE16" s="149" t="s">
        <v>11</v>
      </c>
      <c r="AF16" s="149" t="s">
        <v>11</v>
      </c>
      <c r="AG16" s="149" t="s">
        <v>11</v>
      </c>
      <c r="AH16" s="149" t="s">
        <v>11</v>
      </c>
      <c r="AI16" s="149" t="s">
        <v>11</v>
      </c>
      <c r="AJ16" s="149" t="s">
        <v>11</v>
      </c>
      <c r="AK16" s="149" t="s">
        <v>11</v>
      </c>
      <c r="AL16" s="149" t="s">
        <v>11</v>
      </c>
      <c r="AM16" s="149" t="s">
        <v>11</v>
      </c>
      <c r="AN16" s="149" t="s">
        <v>11</v>
      </c>
      <c r="AO16" s="149" t="s">
        <v>11</v>
      </c>
      <c r="AP16" s="149" t="s">
        <v>11</v>
      </c>
      <c r="AQ16" s="149" t="s">
        <v>11</v>
      </c>
      <c r="AR16" s="149" t="s">
        <v>11</v>
      </c>
      <c r="AS16" s="149" t="s">
        <v>11</v>
      </c>
      <c r="AT16" s="149" t="s">
        <v>11</v>
      </c>
      <c r="AU16" s="149" t="s">
        <v>11</v>
      </c>
      <c r="AV16" s="149" t="s">
        <v>11</v>
      </c>
      <c r="AW16" s="149" t="s">
        <v>11</v>
      </c>
      <c r="AX16" s="149" t="s">
        <v>11</v>
      </c>
      <c r="AY16" s="149" t="s">
        <v>11</v>
      </c>
      <c r="AZ16" s="149" t="s">
        <v>11</v>
      </c>
      <c r="BA16" s="149" t="s">
        <v>11</v>
      </c>
      <c r="BB16" s="149" t="s">
        <v>11</v>
      </c>
      <c r="BC16" s="149" t="s">
        <v>11</v>
      </c>
      <c r="BD16" s="149" t="s">
        <v>11</v>
      </c>
      <c r="BE16" s="149" t="s">
        <v>11</v>
      </c>
      <c r="BF16" s="149" t="s">
        <v>11</v>
      </c>
      <c r="BG16" s="149" t="s">
        <v>11</v>
      </c>
      <c r="BH16" s="149"/>
      <c r="BI16" s="154"/>
      <c r="BJ16" s="154"/>
    </row>
    <row r="17" spans="1:62" ht="38.25">
      <c r="A17" s="157" t="s">
        <v>364</v>
      </c>
      <c r="B17" s="176" t="s">
        <v>365</v>
      </c>
      <c r="C17" s="149"/>
      <c r="D17" s="149" t="s">
        <v>11</v>
      </c>
      <c r="E17" s="149" t="s">
        <v>11</v>
      </c>
      <c r="F17" s="149" t="s">
        <v>11</v>
      </c>
      <c r="G17" s="149" t="s">
        <v>11</v>
      </c>
      <c r="H17" s="149" t="s">
        <v>11</v>
      </c>
      <c r="I17" s="149" t="s">
        <v>11</v>
      </c>
      <c r="J17" s="149" t="s">
        <v>11</v>
      </c>
      <c r="K17" s="149" t="s">
        <v>11</v>
      </c>
      <c r="L17" s="149" t="s">
        <v>11</v>
      </c>
      <c r="M17" s="149" t="s">
        <v>11</v>
      </c>
      <c r="N17" s="149" t="s">
        <v>11</v>
      </c>
      <c r="O17" s="149" t="s">
        <v>11</v>
      </c>
      <c r="P17" s="149" t="s">
        <v>11</v>
      </c>
      <c r="Q17" s="149" t="s">
        <v>11</v>
      </c>
      <c r="R17" s="149" t="s">
        <v>11</v>
      </c>
      <c r="S17" s="149" t="s">
        <v>11</v>
      </c>
      <c r="T17" s="149" t="s">
        <v>11</v>
      </c>
      <c r="U17" s="149" t="s">
        <v>11</v>
      </c>
      <c r="V17" s="149" t="s">
        <v>11</v>
      </c>
      <c r="W17" s="149" t="s">
        <v>11</v>
      </c>
      <c r="X17" s="149" t="s">
        <v>11</v>
      </c>
      <c r="Y17" s="149" t="s">
        <v>11</v>
      </c>
      <c r="Z17" s="149" t="s">
        <v>11</v>
      </c>
      <c r="AA17" s="149" t="s">
        <v>11</v>
      </c>
      <c r="AB17" s="149" t="s">
        <v>11</v>
      </c>
      <c r="AC17" s="149" t="s">
        <v>11</v>
      </c>
      <c r="AD17" s="149" t="s">
        <v>11</v>
      </c>
      <c r="AE17" s="149" t="s">
        <v>11</v>
      </c>
      <c r="AF17" s="149" t="s">
        <v>11</v>
      </c>
      <c r="AG17" s="149" t="s">
        <v>11</v>
      </c>
      <c r="AH17" s="149" t="s">
        <v>11</v>
      </c>
      <c r="AI17" s="149" t="s">
        <v>11</v>
      </c>
      <c r="AJ17" s="149" t="s">
        <v>11</v>
      </c>
      <c r="AK17" s="149" t="s">
        <v>11</v>
      </c>
      <c r="AL17" s="149" t="s">
        <v>11</v>
      </c>
      <c r="AM17" s="149" t="s">
        <v>11</v>
      </c>
      <c r="AN17" s="149" t="s">
        <v>11</v>
      </c>
      <c r="AO17" s="149" t="s">
        <v>11</v>
      </c>
      <c r="AP17" s="149" t="s">
        <v>11</v>
      </c>
      <c r="AQ17" s="149" t="s">
        <v>11</v>
      </c>
      <c r="AR17" s="149" t="s">
        <v>11</v>
      </c>
      <c r="AS17" s="149" t="s">
        <v>11</v>
      </c>
      <c r="AT17" s="149" t="s">
        <v>11</v>
      </c>
      <c r="AU17" s="149" t="s">
        <v>11</v>
      </c>
      <c r="AV17" s="149" t="s">
        <v>11</v>
      </c>
      <c r="AW17" s="149" t="s">
        <v>11</v>
      </c>
      <c r="AX17" s="149" t="s">
        <v>11</v>
      </c>
      <c r="AY17" s="149" t="s">
        <v>11</v>
      </c>
      <c r="AZ17" s="149" t="s">
        <v>11</v>
      </c>
      <c r="BA17" s="149" t="s">
        <v>11</v>
      </c>
      <c r="BB17" s="149" t="s">
        <v>11</v>
      </c>
      <c r="BC17" s="149" t="s">
        <v>11</v>
      </c>
      <c r="BD17" s="149" t="s">
        <v>11</v>
      </c>
      <c r="BE17" s="149" t="s">
        <v>11</v>
      </c>
      <c r="BF17" s="149" t="s">
        <v>11</v>
      </c>
      <c r="BG17" s="149" t="s">
        <v>11</v>
      </c>
      <c r="BH17" s="149"/>
      <c r="BI17" s="154"/>
      <c r="BJ17" s="154"/>
    </row>
    <row r="18" spans="1:62" ht="25.5">
      <c r="A18" s="157" t="s">
        <v>366</v>
      </c>
      <c r="B18" s="176" t="s">
        <v>367</v>
      </c>
      <c r="C18" s="149"/>
      <c r="D18" s="149" t="s">
        <v>11</v>
      </c>
      <c r="E18" s="149" t="s">
        <v>226</v>
      </c>
      <c r="F18" s="149" t="s">
        <v>226</v>
      </c>
      <c r="G18" s="149" t="s">
        <v>226</v>
      </c>
      <c r="H18" s="149" t="s">
        <v>226</v>
      </c>
      <c r="I18" s="149" t="s">
        <v>226</v>
      </c>
      <c r="J18" s="149" t="s">
        <v>226</v>
      </c>
      <c r="K18" s="149" t="s">
        <v>11</v>
      </c>
      <c r="L18" s="149" t="s">
        <v>226</v>
      </c>
      <c r="M18" s="149" t="s">
        <v>226</v>
      </c>
      <c r="N18" s="149" t="s">
        <v>226</v>
      </c>
      <c r="O18" s="149" t="s">
        <v>226</v>
      </c>
      <c r="P18" s="149" t="s">
        <v>226</v>
      </c>
      <c r="Q18" s="149" t="s">
        <v>226</v>
      </c>
      <c r="R18" s="149" t="s">
        <v>226</v>
      </c>
      <c r="S18" s="149" t="s">
        <v>226</v>
      </c>
      <c r="T18" s="149" t="s">
        <v>226</v>
      </c>
      <c r="U18" s="149" t="s">
        <v>226</v>
      </c>
      <c r="V18" s="149" t="s">
        <v>226</v>
      </c>
      <c r="W18" s="149" t="s">
        <v>11</v>
      </c>
      <c r="X18" s="149" t="s">
        <v>226</v>
      </c>
      <c r="Y18" s="149" t="s">
        <v>226</v>
      </c>
      <c r="Z18" s="149" t="s">
        <v>226</v>
      </c>
      <c r="AA18" s="149" t="s">
        <v>226</v>
      </c>
      <c r="AB18" s="149" t="s">
        <v>226</v>
      </c>
      <c r="AC18" s="149" t="s">
        <v>226</v>
      </c>
      <c r="AD18" s="149" t="s">
        <v>226</v>
      </c>
      <c r="AE18" s="149" t="s">
        <v>226</v>
      </c>
      <c r="AF18" s="149" t="s">
        <v>226</v>
      </c>
      <c r="AG18" s="149" t="s">
        <v>226</v>
      </c>
      <c r="AH18" s="149" t="s">
        <v>226</v>
      </c>
      <c r="AI18" s="149" t="s">
        <v>226</v>
      </c>
      <c r="AJ18" s="149" t="s">
        <v>226</v>
      </c>
      <c r="AK18" s="149" t="s">
        <v>226</v>
      </c>
      <c r="AL18" s="149" t="s">
        <v>226</v>
      </c>
      <c r="AM18" s="149" t="s">
        <v>226</v>
      </c>
      <c r="AN18" s="149" t="s">
        <v>226</v>
      </c>
      <c r="AO18" s="149" t="s">
        <v>226</v>
      </c>
      <c r="AP18" s="149" t="s">
        <v>226</v>
      </c>
      <c r="AQ18" s="149" t="s">
        <v>226</v>
      </c>
      <c r="AR18" s="149" t="s">
        <v>226</v>
      </c>
      <c r="AS18" s="149" t="s">
        <v>226</v>
      </c>
      <c r="AT18" s="149" t="s">
        <v>226</v>
      </c>
      <c r="AU18" s="149" t="s">
        <v>226</v>
      </c>
      <c r="AV18" s="149" t="s">
        <v>226</v>
      </c>
      <c r="AW18" s="149" t="s">
        <v>226</v>
      </c>
      <c r="AX18" s="149" t="s">
        <v>226</v>
      </c>
      <c r="AY18" s="149" t="s">
        <v>226</v>
      </c>
      <c r="AZ18" s="149" t="s">
        <v>226</v>
      </c>
      <c r="BA18" s="149" t="s">
        <v>226</v>
      </c>
      <c r="BB18" s="149" t="s">
        <v>226</v>
      </c>
      <c r="BC18" s="149" t="s">
        <v>226</v>
      </c>
      <c r="BD18" s="149" t="s">
        <v>226</v>
      </c>
      <c r="BE18" s="149" t="s">
        <v>226</v>
      </c>
      <c r="BF18" s="149" t="s">
        <v>226</v>
      </c>
      <c r="BG18" s="149" t="s">
        <v>226</v>
      </c>
      <c r="BH18" s="149"/>
      <c r="BI18" s="154"/>
      <c r="BJ18" s="154"/>
    </row>
    <row r="19" spans="1:62" ht="38.25">
      <c r="A19" s="157" t="s">
        <v>389</v>
      </c>
      <c r="B19" s="176" t="s">
        <v>390</v>
      </c>
      <c r="C19" s="149"/>
      <c r="D19" s="149" t="s">
        <v>11</v>
      </c>
      <c r="E19" s="149" t="s">
        <v>11</v>
      </c>
      <c r="F19" s="149" t="s">
        <v>11</v>
      </c>
      <c r="G19" s="149" t="s">
        <v>11</v>
      </c>
      <c r="H19" s="149" t="s">
        <v>11</v>
      </c>
      <c r="I19" s="149" t="s">
        <v>11</v>
      </c>
      <c r="J19" s="149" t="s">
        <v>11</v>
      </c>
      <c r="K19" s="149" t="s">
        <v>11</v>
      </c>
      <c r="L19" s="149" t="s">
        <v>11</v>
      </c>
      <c r="M19" s="149" t="s">
        <v>11</v>
      </c>
      <c r="N19" s="149" t="s">
        <v>11</v>
      </c>
      <c r="O19" s="149" t="s">
        <v>11</v>
      </c>
      <c r="P19" s="149" t="s">
        <v>11</v>
      </c>
      <c r="Q19" s="149" t="s">
        <v>11</v>
      </c>
      <c r="R19" s="149" t="s">
        <v>11</v>
      </c>
      <c r="S19" s="149" t="s">
        <v>11</v>
      </c>
      <c r="T19" s="149" t="s">
        <v>11</v>
      </c>
      <c r="U19" s="149" t="s">
        <v>11</v>
      </c>
      <c r="V19" s="149" t="s">
        <v>11</v>
      </c>
      <c r="W19" s="149" t="s">
        <v>11</v>
      </c>
      <c r="X19" s="149" t="s">
        <v>11</v>
      </c>
      <c r="Y19" s="149" t="s">
        <v>11</v>
      </c>
      <c r="Z19" s="149" t="s">
        <v>11</v>
      </c>
      <c r="AA19" s="149" t="s">
        <v>11</v>
      </c>
      <c r="AB19" s="149" t="s">
        <v>11</v>
      </c>
      <c r="AC19" s="149" t="s">
        <v>11</v>
      </c>
      <c r="AD19" s="149" t="s">
        <v>11</v>
      </c>
      <c r="AE19" s="149" t="s">
        <v>11</v>
      </c>
      <c r="AF19" s="149" t="s">
        <v>11</v>
      </c>
      <c r="AG19" s="149" t="s">
        <v>11</v>
      </c>
      <c r="AH19" s="149" t="s">
        <v>11</v>
      </c>
      <c r="AI19" s="149" t="s">
        <v>11</v>
      </c>
      <c r="AJ19" s="149" t="s">
        <v>11</v>
      </c>
      <c r="AK19" s="149" t="s">
        <v>11</v>
      </c>
      <c r="AL19" s="149" t="s">
        <v>11</v>
      </c>
      <c r="AM19" s="149" t="s">
        <v>11</v>
      </c>
      <c r="AN19" s="149" t="s">
        <v>11</v>
      </c>
      <c r="AO19" s="149" t="s">
        <v>11</v>
      </c>
      <c r="AP19" s="149" t="s">
        <v>11</v>
      </c>
      <c r="AQ19" s="149" t="s">
        <v>11</v>
      </c>
      <c r="AR19" s="149" t="s">
        <v>11</v>
      </c>
      <c r="AS19" s="149" t="s">
        <v>11</v>
      </c>
      <c r="AT19" s="149" t="s">
        <v>11</v>
      </c>
      <c r="AU19" s="149" t="s">
        <v>11</v>
      </c>
      <c r="AV19" s="149" t="s">
        <v>11</v>
      </c>
      <c r="AW19" s="149" t="s">
        <v>11</v>
      </c>
      <c r="AX19" s="149" t="s">
        <v>11</v>
      </c>
      <c r="AY19" s="149" t="s">
        <v>11</v>
      </c>
      <c r="AZ19" s="149" t="s">
        <v>11</v>
      </c>
      <c r="BA19" s="149" t="s">
        <v>11</v>
      </c>
      <c r="BB19" s="149" t="s">
        <v>11</v>
      </c>
      <c r="BC19" s="149" t="s">
        <v>11</v>
      </c>
      <c r="BD19" s="149" t="s">
        <v>11</v>
      </c>
      <c r="BE19" s="149" t="s">
        <v>11</v>
      </c>
      <c r="BF19" s="149" t="s">
        <v>11</v>
      </c>
      <c r="BG19" s="149" t="s">
        <v>11</v>
      </c>
      <c r="BH19" s="149"/>
      <c r="BI19" s="154"/>
      <c r="BJ19" s="154"/>
    </row>
    <row r="20" spans="1:62" ht="25.5">
      <c r="A20" s="157" t="s">
        <v>391</v>
      </c>
      <c r="B20" s="176" t="s">
        <v>392</v>
      </c>
      <c r="C20" s="149"/>
      <c r="D20" s="149" t="s">
        <v>11</v>
      </c>
      <c r="E20" s="149" t="s">
        <v>11</v>
      </c>
      <c r="F20" s="149" t="s">
        <v>11</v>
      </c>
      <c r="G20" s="149" t="s">
        <v>11</v>
      </c>
      <c r="H20" s="149" t="s">
        <v>11</v>
      </c>
      <c r="I20" s="149" t="s">
        <v>11</v>
      </c>
      <c r="J20" s="149" t="s">
        <v>11</v>
      </c>
      <c r="K20" s="149" t="s">
        <v>11</v>
      </c>
      <c r="L20" s="149" t="s">
        <v>11</v>
      </c>
      <c r="M20" s="149" t="s">
        <v>11</v>
      </c>
      <c r="N20" s="149" t="s">
        <v>11</v>
      </c>
      <c r="O20" s="149" t="s">
        <v>11</v>
      </c>
      <c r="P20" s="149" t="s">
        <v>11</v>
      </c>
      <c r="Q20" s="149" t="s">
        <v>11</v>
      </c>
      <c r="R20" s="149" t="s">
        <v>11</v>
      </c>
      <c r="S20" s="149" t="s">
        <v>11</v>
      </c>
      <c r="T20" s="149" t="s">
        <v>11</v>
      </c>
      <c r="U20" s="149" t="s">
        <v>11</v>
      </c>
      <c r="V20" s="149" t="s">
        <v>11</v>
      </c>
      <c r="W20" s="149" t="s">
        <v>11</v>
      </c>
      <c r="X20" s="149" t="s">
        <v>11</v>
      </c>
      <c r="Y20" s="149" t="s">
        <v>11</v>
      </c>
      <c r="Z20" s="149" t="s">
        <v>11</v>
      </c>
      <c r="AA20" s="149" t="s">
        <v>11</v>
      </c>
      <c r="AB20" s="149" t="s">
        <v>11</v>
      </c>
      <c r="AC20" s="149" t="s">
        <v>11</v>
      </c>
      <c r="AD20" s="149" t="s">
        <v>11</v>
      </c>
      <c r="AE20" s="149" t="s">
        <v>11</v>
      </c>
      <c r="AF20" s="149" t="s">
        <v>11</v>
      </c>
      <c r="AG20" s="149" t="s">
        <v>11</v>
      </c>
      <c r="AH20" s="149" t="s">
        <v>11</v>
      </c>
      <c r="AI20" s="149" t="s">
        <v>11</v>
      </c>
      <c r="AJ20" s="149" t="s">
        <v>11</v>
      </c>
      <c r="AK20" s="149" t="s">
        <v>11</v>
      </c>
      <c r="AL20" s="149" t="s">
        <v>11</v>
      </c>
      <c r="AM20" s="149" t="s">
        <v>11</v>
      </c>
      <c r="AN20" s="149" t="s">
        <v>11</v>
      </c>
      <c r="AO20" s="149" t="s">
        <v>11</v>
      </c>
      <c r="AP20" s="149" t="s">
        <v>11</v>
      </c>
      <c r="AQ20" s="149" t="s">
        <v>11</v>
      </c>
      <c r="AR20" s="149" t="s">
        <v>11</v>
      </c>
      <c r="AS20" s="149" t="s">
        <v>11</v>
      </c>
      <c r="AT20" s="149" t="s">
        <v>11</v>
      </c>
      <c r="AU20" s="149" t="s">
        <v>11</v>
      </c>
      <c r="AV20" s="149" t="s">
        <v>11</v>
      </c>
      <c r="AW20" s="149" t="s">
        <v>11</v>
      </c>
      <c r="AX20" s="149" t="s">
        <v>11</v>
      </c>
      <c r="AY20" s="149" t="s">
        <v>11</v>
      </c>
      <c r="AZ20" s="149" t="s">
        <v>11</v>
      </c>
      <c r="BA20" s="149" t="s">
        <v>11</v>
      </c>
      <c r="BB20" s="149" t="s">
        <v>11</v>
      </c>
      <c r="BC20" s="149" t="s">
        <v>11</v>
      </c>
      <c r="BD20" s="149" t="s">
        <v>11</v>
      </c>
      <c r="BE20" s="149" t="s">
        <v>11</v>
      </c>
      <c r="BF20" s="149" t="s">
        <v>11</v>
      </c>
      <c r="BG20" s="149" t="s">
        <v>11</v>
      </c>
      <c r="BH20" s="149"/>
      <c r="BI20" s="154"/>
      <c r="BJ20" s="154"/>
    </row>
    <row r="21" spans="1:62" ht="15">
      <c r="A21" s="151"/>
      <c r="B21" s="173" t="s">
        <v>230</v>
      </c>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c r="BJ21" s="153"/>
    </row>
    <row r="22" spans="1:62" ht="38.25">
      <c r="A22" s="157" t="s">
        <v>235</v>
      </c>
      <c r="B22" s="176" t="s">
        <v>220</v>
      </c>
      <c r="C22" s="149"/>
      <c r="D22" s="149" t="s">
        <v>23</v>
      </c>
      <c r="E22" s="149" t="s">
        <v>23</v>
      </c>
      <c r="F22" s="149" t="s">
        <v>23</v>
      </c>
      <c r="G22" s="149" t="s">
        <v>23</v>
      </c>
      <c r="H22" s="149" t="s">
        <v>23</v>
      </c>
      <c r="I22" s="149" t="s">
        <v>23</v>
      </c>
      <c r="J22" s="149" t="s">
        <v>23</v>
      </c>
      <c r="K22" s="149" t="s">
        <v>23</v>
      </c>
      <c r="L22" s="149" t="s">
        <v>23</v>
      </c>
      <c r="M22" s="149" t="s">
        <v>23</v>
      </c>
      <c r="N22" s="149" t="s">
        <v>23</v>
      </c>
      <c r="O22" s="149" t="s">
        <v>23</v>
      </c>
      <c r="P22" s="149" t="s">
        <v>23</v>
      </c>
      <c r="Q22" s="149" t="s">
        <v>23</v>
      </c>
      <c r="R22" s="149" t="s">
        <v>23</v>
      </c>
      <c r="S22" s="149" t="s">
        <v>23</v>
      </c>
      <c r="T22" s="149" t="s">
        <v>23</v>
      </c>
      <c r="U22" s="149" t="s">
        <v>23</v>
      </c>
      <c r="V22" s="149" t="s">
        <v>23</v>
      </c>
      <c r="W22" s="149" t="s">
        <v>226</v>
      </c>
      <c r="X22" s="149" t="s">
        <v>23</v>
      </c>
      <c r="Y22" s="149" t="s">
        <v>23</v>
      </c>
      <c r="Z22" s="149" t="s">
        <v>226</v>
      </c>
      <c r="AA22" s="149" t="s">
        <v>226</v>
      </c>
      <c r="AB22" s="149" t="s">
        <v>226</v>
      </c>
      <c r="AC22" s="149" t="s">
        <v>226</v>
      </c>
      <c r="AD22" s="149" t="s">
        <v>226</v>
      </c>
      <c r="AE22" s="149" t="s">
        <v>226</v>
      </c>
      <c r="AF22" s="149" t="s">
        <v>226</v>
      </c>
      <c r="AG22" s="149" t="s">
        <v>226</v>
      </c>
      <c r="AH22" s="149" t="s">
        <v>226</v>
      </c>
      <c r="AI22" s="149" t="s">
        <v>226</v>
      </c>
      <c r="AJ22" s="149" t="s">
        <v>23</v>
      </c>
      <c r="AK22" s="149" t="s">
        <v>226</v>
      </c>
      <c r="AL22" s="149" t="s">
        <v>226</v>
      </c>
      <c r="AM22" s="149" t="s">
        <v>226</v>
      </c>
      <c r="AN22" s="149" t="s">
        <v>226</v>
      </c>
      <c r="AO22" s="149" t="s">
        <v>226</v>
      </c>
      <c r="AP22" s="149" t="s">
        <v>226</v>
      </c>
      <c r="AQ22" s="149" t="s">
        <v>226</v>
      </c>
      <c r="AR22" s="149" t="s">
        <v>226</v>
      </c>
      <c r="AS22" s="149" t="s">
        <v>226</v>
      </c>
      <c r="AT22" s="149" t="s">
        <v>226</v>
      </c>
      <c r="AU22" s="149" t="s">
        <v>226</v>
      </c>
      <c r="AV22" s="149" t="s">
        <v>226</v>
      </c>
      <c r="AW22" s="149" t="s">
        <v>226</v>
      </c>
      <c r="AX22" s="149" t="s">
        <v>226</v>
      </c>
      <c r="AY22" s="149" t="s">
        <v>226</v>
      </c>
      <c r="AZ22" s="149" t="s">
        <v>226</v>
      </c>
      <c r="BA22" s="149" t="s">
        <v>226</v>
      </c>
      <c r="BB22" s="149" t="s">
        <v>226</v>
      </c>
      <c r="BC22" s="149" t="s">
        <v>226</v>
      </c>
      <c r="BD22" s="149" t="s">
        <v>226</v>
      </c>
      <c r="BE22" s="149" t="s">
        <v>226</v>
      </c>
      <c r="BF22" s="149" t="s">
        <v>226</v>
      </c>
      <c r="BG22" s="149" t="s">
        <v>226</v>
      </c>
      <c r="BH22" s="149"/>
      <c r="BI22" s="154"/>
      <c r="BJ22" s="154"/>
    </row>
    <row r="23" spans="1:62" ht="25.5">
      <c r="A23" s="157" t="s">
        <v>236</v>
      </c>
      <c r="B23" s="176" t="s">
        <v>221</v>
      </c>
      <c r="C23" s="149"/>
      <c r="D23" s="149" t="s">
        <v>11</v>
      </c>
      <c r="E23" s="149" t="s">
        <v>11</v>
      </c>
      <c r="F23" s="149" t="s">
        <v>11</v>
      </c>
      <c r="G23" s="149" t="s">
        <v>11</v>
      </c>
      <c r="H23" s="149" t="s">
        <v>11</v>
      </c>
      <c r="I23" s="149" t="s">
        <v>11</v>
      </c>
      <c r="J23" s="149" t="s">
        <v>11</v>
      </c>
      <c r="K23" s="149" t="s">
        <v>11</v>
      </c>
      <c r="L23" s="149" t="s">
        <v>11</v>
      </c>
      <c r="M23" s="149" t="s">
        <v>11</v>
      </c>
      <c r="N23" s="149" t="s">
        <v>11</v>
      </c>
      <c r="O23" s="149" t="s">
        <v>11</v>
      </c>
      <c r="P23" s="149" t="s">
        <v>11</v>
      </c>
      <c r="Q23" s="149" t="s">
        <v>11</v>
      </c>
      <c r="R23" s="149" t="s">
        <v>11</v>
      </c>
      <c r="S23" s="149" t="s">
        <v>11</v>
      </c>
      <c r="T23" s="149" t="s">
        <v>11</v>
      </c>
      <c r="U23" s="149" t="s">
        <v>11</v>
      </c>
      <c r="V23" s="149" t="s">
        <v>11</v>
      </c>
      <c r="W23" s="149" t="s">
        <v>11</v>
      </c>
      <c r="X23" s="149" t="s">
        <v>11</v>
      </c>
      <c r="Y23" s="149" t="s">
        <v>11</v>
      </c>
      <c r="Z23" s="149" t="s">
        <v>11</v>
      </c>
      <c r="AA23" s="149" t="s">
        <v>11</v>
      </c>
      <c r="AB23" s="149" t="s">
        <v>11</v>
      </c>
      <c r="AC23" s="149" t="s">
        <v>11</v>
      </c>
      <c r="AD23" s="149" t="s">
        <v>11</v>
      </c>
      <c r="AE23" s="149" t="s">
        <v>11</v>
      </c>
      <c r="AF23" s="149" t="s">
        <v>11</v>
      </c>
      <c r="AG23" s="149" t="s">
        <v>11</v>
      </c>
      <c r="AH23" s="149" t="s">
        <v>11</v>
      </c>
      <c r="AI23" s="149" t="s">
        <v>11</v>
      </c>
      <c r="AJ23" s="149" t="s">
        <v>11</v>
      </c>
      <c r="AK23" s="149" t="s">
        <v>11</v>
      </c>
      <c r="AL23" s="149" t="s">
        <v>11</v>
      </c>
      <c r="AM23" s="149" t="s">
        <v>11</v>
      </c>
      <c r="AN23" s="149" t="s">
        <v>11</v>
      </c>
      <c r="AO23" s="149" t="s">
        <v>11</v>
      </c>
      <c r="AP23" s="149" t="s">
        <v>11</v>
      </c>
      <c r="AQ23" s="149" t="s">
        <v>11</v>
      </c>
      <c r="AR23" s="149" t="s">
        <v>11</v>
      </c>
      <c r="AS23" s="149" t="s">
        <v>11</v>
      </c>
      <c r="AT23" s="149" t="s">
        <v>11</v>
      </c>
      <c r="AU23" s="149" t="s">
        <v>11</v>
      </c>
      <c r="AV23" s="149" t="s">
        <v>11</v>
      </c>
      <c r="AW23" s="149" t="s">
        <v>11</v>
      </c>
      <c r="AX23" s="149" t="s">
        <v>11</v>
      </c>
      <c r="AY23" s="149" t="s">
        <v>11</v>
      </c>
      <c r="AZ23" s="149" t="s">
        <v>11</v>
      </c>
      <c r="BA23" s="149" t="s">
        <v>11</v>
      </c>
      <c r="BB23" s="149" t="s">
        <v>11</v>
      </c>
      <c r="BC23" s="149" t="s">
        <v>11</v>
      </c>
      <c r="BD23" s="149" t="s">
        <v>11</v>
      </c>
      <c r="BE23" s="149" t="s">
        <v>11</v>
      </c>
      <c r="BF23" s="149" t="s">
        <v>11</v>
      </c>
      <c r="BG23" s="149" t="s">
        <v>11</v>
      </c>
      <c r="BH23" s="149"/>
      <c r="BI23" s="154"/>
      <c r="BJ23" s="154"/>
    </row>
    <row r="24" spans="1:62" ht="38.25">
      <c r="A24" s="157" t="s">
        <v>237</v>
      </c>
      <c r="B24" s="176" t="s">
        <v>222</v>
      </c>
      <c r="C24" s="149"/>
      <c r="D24" s="149" t="s">
        <v>11</v>
      </c>
      <c r="E24" s="149" t="s">
        <v>11</v>
      </c>
      <c r="F24" s="149" t="s">
        <v>11</v>
      </c>
      <c r="G24" s="149" t="s">
        <v>11</v>
      </c>
      <c r="H24" s="149" t="s">
        <v>11</v>
      </c>
      <c r="I24" s="149" t="s">
        <v>11</v>
      </c>
      <c r="J24" s="149" t="s">
        <v>11</v>
      </c>
      <c r="K24" s="149" t="s">
        <v>11</v>
      </c>
      <c r="L24" s="149" t="s">
        <v>11</v>
      </c>
      <c r="M24" s="149" t="s">
        <v>11</v>
      </c>
      <c r="N24" s="149" t="s">
        <v>11</v>
      </c>
      <c r="O24" s="149" t="s">
        <v>11</v>
      </c>
      <c r="P24" s="149" t="s">
        <v>11</v>
      </c>
      <c r="Q24" s="149" t="s">
        <v>11</v>
      </c>
      <c r="R24" s="149" t="s">
        <v>11</v>
      </c>
      <c r="S24" s="149" t="s">
        <v>11</v>
      </c>
      <c r="T24" s="149" t="s">
        <v>11</v>
      </c>
      <c r="U24" s="149" t="s">
        <v>11</v>
      </c>
      <c r="V24" s="149" t="s">
        <v>11</v>
      </c>
      <c r="W24" s="149" t="s">
        <v>11</v>
      </c>
      <c r="X24" s="149" t="s">
        <v>11</v>
      </c>
      <c r="Y24" s="149" t="s">
        <v>11</v>
      </c>
      <c r="Z24" s="149" t="s">
        <v>11</v>
      </c>
      <c r="AA24" s="149" t="s">
        <v>11</v>
      </c>
      <c r="AB24" s="149" t="s">
        <v>11</v>
      </c>
      <c r="AC24" s="149" t="s">
        <v>11</v>
      </c>
      <c r="AD24" s="149" t="s">
        <v>11</v>
      </c>
      <c r="AE24" s="149" t="s">
        <v>11</v>
      </c>
      <c r="AF24" s="149" t="s">
        <v>11</v>
      </c>
      <c r="AG24" s="149" t="s">
        <v>11</v>
      </c>
      <c r="AH24" s="149" t="s">
        <v>11</v>
      </c>
      <c r="AI24" s="149" t="s">
        <v>11</v>
      </c>
      <c r="AJ24" s="149" t="s">
        <v>11</v>
      </c>
      <c r="AK24" s="149" t="s">
        <v>11</v>
      </c>
      <c r="AL24" s="149" t="s">
        <v>11</v>
      </c>
      <c r="AM24" s="149" t="s">
        <v>11</v>
      </c>
      <c r="AN24" s="149" t="s">
        <v>11</v>
      </c>
      <c r="AO24" s="149" t="s">
        <v>11</v>
      </c>
      <c r="AP24" s="149" t="s">
        <v>11</v>
      </c>
      <c r="AQ24" s="149" t="s">
        <v>11</v>
      </c>
      <c r="AR24" s="149" t="s">
        <v>11</v>
      </c>
      <c r="AS24" s="149" t="s">
        <v>11</v>
      </c>
      <c r="AT24" s="149" t="s">
        <v>11</v>
      </c>
      <c r="AU24" s="149" t="s">
        <v>11</v>
      </c>
      <c r="AV24" s="149" t="s">
        <v>11</v>
      </c>
      <c r="AW24" s="149" t="s">
        <v>11</v>
      </c>
      <c r="AX24" s="149" t="s">
        <v>11</v>
      </c>
      <c r="AY24" s="149" t="s">
        <v>11</v>
      </c>
      <c r="AZ24" s="149" t="s">
        <v>11</v>
      </c>
      <c r="BA24" s="149" t="s">
        <v>11</v>
      </c>
      <c r="BB24" s="149" t="s">
        <v>11</v>
      </c>
      <c r="BC24" s="149" t="s">
        <v>11</v>
      </c>
      <c r="BD24" s="149" t="s">
        <v>11</v>
      </c>
      <c r="BE24" s="149" t="s">
        <v>11</v>
      </c>
      <c r="BF24" s="149" t="s">
        <v>11</v>
      </c>
      <c r="BG24" s="149" t="s">
        <v>11</v>
      </c>
      <c r="BH24" s="149"/>
      <c r="BI24" s="154"/>
      <c r="BJ24" s="154"/>
    </row>
    <row r="25" spans="1:62" ht="38.25">
      <c r="A25" s="157" t="s">
        <v>238</v>
      </c>
      <c r="B25" s="176" t="s">
        <v>223</v>
      </c>
      <c r="C25" s="149"/>
      <c r="D25" s="149" t="s">
        <v>11</v>
      </c>
      <c r="E25" s="149" t="s">
        <v>11</v>
      </c>
      <c r="F25" s="149" t="s">
        <v>11</v>
      </c>
      <c r="G25" s="149" t="s">
        <v>11</v>
      </c>
      <c r="H25" s="149" t="s">
        <v>11</v>
      </c>
      <c r="I25" s="149" t="s">
        <v>11</v>
      </c>
      <c r="J25" s="149" t="s">
        <v>11</v>
      </c>
      <c r="K25" s="149" t="s">
        <v>11</v>
      </c>
      <c r="L25" s="149" t="s">
        <v>11</v>
      </c>
      <c r="M25" s="149" t="s">
        <v>11</v>
      </c>
      <c r="N25" s="149" t="s">
        <v>11</v>
      </c>
      <c r="O25" s="149" t="s">
        <v>11</v>
      </c>
      <c r="P25" s="149" t="s">
        <v>11</v>
      </c>
      <c r="Q25" s="149" t="s">
        <v>11</v>
      </c>
      <c r="R25" s="149" t="s">
        <v>11</v>
      </c>
      <c r="S25" s="149" t="s">
        <v>11</v>
      </c>
      <c r="T25" s="149" t="s">
        <v>11</v>
      </c>
      <c r="U25" s="149" t="s">
        <v>11</v>
      </c>
      <c r="V25" s="149" t="s">
        <v>11</v>
      </c>
      <c r="W25" s="149" t="s">
        <v>11</v>
      </c>
      <c r="X25" s="149" t="s">
        <v>11</v>
      </c>
      <c r="Y25" s="149" t="s">
        <v>11</v>
      </c>
      <c r="Z25" s="149" t="s">
        <v>11</v>
      </c>
      <c r="AA25" s="149" t="s">
        <v>11</v>
      </c>
      <c r="AB25" s="149" t="s">
        <v>11</v>
      </c>
      <c r="AC25" s="149" t="s">
        <v>11</v>
      </c>
      <c r="AD25" s="149" t="s">
        <v>11</v>
      </c>
      <c r="AE25" s="149" t="s">
        <v>11</v>
      </c>
      <c r="AF25" s="149" t="s">
        <v>11</v>
      </c>
      <c r="AG25" s="149" t="s">
        <v>11</v>
      </c>
      <c r="AH25" s="149" t="s">
        <v>11</v>
      </c>
      <c r="AI25" s="149" t="s">
        <v>11</v>
      </c>
      <c r="AJ25" s="149" t="s">
        <v>11</v>
      </c>
      <c r="AK25" s="149" t="s">
        <v>11</v>
      </c>
      <c r="AL25" s="149" t="s">
        <v>11</v>
      </c>
      <c r="AM25" s="149" t="s">
        <v>11</v>
      </c>
      <c r="AN25" s="149" t="s">
        <v>11</v>
      </c>
      <c r="AO25" s="149" t="s">
        <v>11</v>
      </c>
      <c r="AP25" s="149" t="s">
        <v>11</v>
      </c>
      <c r="AQ25" s="149" t="s">
        <v>11</v>
      </c>
      <c r="AR25" s="149" t="s">
        <v>11</v>
      </c>
      <c r="AS25" s="149" t="s">
        <v>11</v>
      </c>
      <c r="AT25" s="149" t="s">
        <v>11</v>
      </c>
      <c r="AU25" s="149" t="s">
        <v>11</v>
      </c>
      <c r="AV25" s="149" t="s">
        <v>11</v>
      </c>
      <c r="AW25" s="149" t="s">
        <v>11</v>
      </c>
      <c r="AX25" s="149" t="s">
        <v>11</v>
      </c>
      <c r="AY25" s="149" t="s">
        <v>11</v>
      </c>
      <c r="AZ25" s="149" t="s">
        <v>11</v>
      </c>
      <c r="BA25" s="149" t="s">
        <v>11</v>
      </c>
      <c r="BB25" s="149" t="s">
        <v>11</v>
      </c>
      <c r="BC25" s="149" t="s">
        <v>11</v>
      </c>
      <c r="BD25" s="149" t="s">
        <v>11</v>
      </c>
      <c r="BE25" s="149" t="s">
        <v>11</v>
      </c>
      <c r="BF25" s="149" t="s">
        <v>11</v>
      </c>
      <c r="BG25" s="149" t="s">
        <v>11</v>
      </c>
      <c r="BH25" s="149"/>
      <c r="BI25" s="154"/>
      <c r="BJ25" s="154"/>
    </row>
    <row r="26" spans="1:62" ht="15">
      <c r="A26" s="151"/>
      <c r="B26" s="173" t="s">
        <v>231</v>
      </c>
      <c r="C26" s="152"/>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2"/>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3"/>
    </row>
    <row r="27" spans="1:62" ht="38.25">
      <c r="A27" s="157" t="s">
        <v>239</v>
      </c>
      <c r="B27" s="176" t="s">
        <v>224</v>
      </c>
      <c r="C27" s="149"/>
      <c r="D27" s="149" t="s">
        <v>226</v>
      </c>
      <c r="E27" s="149" t="s">
        <v>226</v>
      </c>
      <c r="F27" s="149" t="s">
        <v>226</v>
      </c>
      <c r="G27" s="149" t="s">
        <v>226</v>
      </c>
      <c r="H27" s="149" t="s">
        <v>226</v>
      </c>
      <c r="I27" s="149" t="s">
        <v>226</v>
      </c>
      <c r="J27" s="149" t="s">
        <v>226</v>
      </c>
      <c r="K27" s="149" t="s">
        <v>226</v>
      </c>
      <c r="L27" s="149" t="s">
        <v>226</v>
      </c>
      <c r="M27" s="149" t="s">
        <v>226</v>
      </c>
      <c r="N27" s="149" t="s">
        <v>226</v>
      </c>
      <c r="O27" s="149" t="s">
        <v>226</v>
      </c>
      <c r="P27" s="149" t="s">
        <v>226</v>
      </c>
      <c r="Q27" s="149" t="s">
        <v>226</v>
      </c>
      <c r="R27" s="149" t="s">
        <v>226</v>
      </c>
      <c r="S27" s="149" t="s">
        <v>226</v>
      </c>
      <c r="T27" s="149" t="s">
        <v>226</v>
      </c>
      <c r="U27" s="149" t="s">
        <v>226</v>
      </c>
      <c r="V27" s="149" t="s">
        <v>226</v>
      </c>
      <c r="W27" s="149" t="s">
        <v>226</v>
      </c>
      <c r="X27" s="149" t="s">
        <v>226</v>
      </c>
      <c r="Y27" s="149" t="s">
        <v>226</v>
      </c>
      <c r="Z27" s="149" t="s">
        <v>226</v>
      </c>
      <c r="AA27" s="149" t="s">
        <v>226</v>
      </c>
      <c r="AB27" s="149" t="s">
        <v>226</v>
      </c>
      <c r="AC27" s="149" t="s">
        <v>226</v>
      </c>
      <c r="AD27" s="149" t="s">
        <v>226</v>
      </c>
      <c r="AE27" s="149" t="s">
        <v>226</v>
      </c>
      <c r="AF27" s="149" t="s">
        <v>226</v>
      </c>
      <c r="AG27" s="149" t="s">
        <v>226</v>
      </c>
      <c r="AH27" s="149" t="s">
        <v>226</v>
      </c>
      <c r="AI27" s="149" t="s">
        <v>226</v>
      </c>
      <c r="AJ27" s="149" t="s">
        <v>226</v>
      </c>
      <c r="AK27" s="149" t="s">
        <v>226</v>
      </c>
      <c r="AL27" s="149" t="s">
        <v>226</v>
      </c>
      <c r="AM27" s="149" t="s">
        <v>226</v>
      </c>
      <c r="AN27" s="149" t="s">
        <v>226</v>
      </c>
      <c r="AO27" s="149" t="s">
        <v>226</v>
      </c>
      <c r="AP27" s="149" t="s">
        <v>226</v>
      </c>
      <c r="AQ27" s="149" t="s">
        <v>226</v>
      </c>
      <c r="AR27" s="149" t="s">
        <v>226</v>
      </c>
      <c r="AS27" s="149" t="s">
        <v>226</v>
      </c>
      <c r="AT27" s="149" t="s">
        <v>226</v>
      </c>
      <c r="AU27" s="149" t="s">
        <v>226</v>
      </c>
      <c r="AV27" s="149" t="s">
        <v>226</v>
      </c>
      <c r="AW27" s="149" t="s">
        <v>226</v>
      </c>
      <c r="AX27" s="149" t="s">
        <v>226</v>
      </c>
      <c r="AY27" s="149" t="s">
        <v>226</v>
      </c>
      <c r="AZ27" s="149" t="s">
        <v>226</v>
      </c>
      <c r="BA27" s="149" t="s">
        <v>226</v>
      </c>
      <c r="BB27" s="149" t="s">
        <v>226</v>
      </c>
      <c r="BC27" s="149" t="s">
        <v>226</v>
      </c>
      <c r="BD27" s="149" t="s">
        <v>226</v>
      </c>
      <c r="BE27" s="149" t="s">
        <v>226</v>
      </c>
      <c r="BF27" s="149" t="s">
        <v>226</v>
      </c>
      <c r="BG27" s="149" t="s">
        <v>226</v>
      </c>
      <c r="BH27" s="149"/>
      <c r="BI27" s="154"/>
      <c r="BJ27" s="154"/>
    </row>
    <row r="28" spans="1:62" ht="38.25">
      <c r="A28" s="157" t="s">
        <v>240</v>
      </c>
      <c r="B28" s="176" t="s">
        <v>225</v>
      </c>
      <c r="C28" s="149"/>
      <c r="D28" s="149" t="s">
        <v>11</v>
      </c>
      <c r="E28" s="149" t="s">
        <v>11</v>
      </c>
      <c r="F28" s="149" t="s">
        <v>11</v>
      </c>
      <c r="G28" s="149" t="s">
        <v>11</v>
      </c>
      <c r="H28" s="149" t="s">
        <v>11</v>
      </c>
      <c r="I28" s="149" t="s">
        <v>11</v>
      </c>
      <c r="J28" s="149" t="s">
        <v>11</v>
      </c>
      <c r="K28" s="149" t="s">
        <v>226</v>
      </c>
      <c r="L28" s="149" t="s">
        <v>226</v>
      </c>
      <c r="M28" s="149" t="s">
        <v>226</v>
      </c>
      <c r="N28" s="149" t="s">
        <v>226</v>
      </c>
      <c r="O28" s="149" t="s">
        <v>226</v>
      </c>
      <c r="P28" s="149" t="s">
        <v>226</v>
      </c>
      <c r="Q28" s="149" t="s">
        <v>226</v>
      </c>
      <c r="R28" s="149" t="s">
        <v>226</v>
      </c>
      <c r="S28" s="149" t="s">
        <v>226</v>
      </c>
      <c r="T28" s="149" t="s">
        <v>226</v>
      </c>
      <c r="U28" s="149" t="s">
        <v>226</v>
      </c>
      <c r="V28" s="149" t="s">
        <v>226</v>
      </c>
      <c r="W28" s="149" t="s">
        <v>11</v>
      </c>
      <c r="X28" s="149" t="s">
        <v>226</v>
      </c>
      <c r="Y28" s="149" t="s">
        <v>226</v>
      </c>
      <c r="Z28" s="149" t="s">
        <v>226</v>
      </c>
      <c r="AA28" s="149" t="s">
        <v>226</v>
      </c>
      <c r="AB28" s="149" t="s">
        <v>226</v>
      </c>
      <c r="AC28" s="149" t="s">
        <v>226</v>
      </c>
      <c r="AD28" s="149" t="s">
        <v>226</v>
      </c>
      <c r="AE28" s="149" t="s">
        <v>226</v>
      </c>
      <c r="AF28" s="149" t="s">
        <v>226</v>
      </c>
      <c r="AG28" s="149" t="s">
        <v>226</v>
      </c>
      <c r="AH28" s="149" t="s">
        <v>226</v>
      </c>
      <c r="AI28" s="149" t="s">
        <v>226</v>
      </c>
      <c r="AJ28" s="149" t="s">
        <v>226</v>
      </c>
      <c r="AK28" s="149" t="s">
        <v>226</v>
      </c>
      <c r="AL28" s="149" t="s">
        <v>226</v>
      </c>
      <c r="AM28" s="149" t="s">
        <v>226</v>
      </c>
      <c r="AN28" s="149" t="s">
        <v>226</v>
      </c>
      <c r="AO28" s="149" t="s">
        <v>226</v>
      </c>
      <c r="AP28" s="149" t="s">
        <v>226</v>
      </c>
      <c r="AQ28" s="149" t="s">
        <v>226</v>
      </c>
      <c r="AR28" s="149" t="s">
        <v>226</v>
      </c>
      <c r="AS28" s="149" t="s">
        <v>226</v>
      </c>
      <c r="AT28" s="149" t="s">
        <v>226</v>
      </c>
      <c r="AU28" s="149" t="s">
        <v>226</v>
      </c>
      <c r="AV28" s="149" t="s">
        <v>226</v>
      </c>
      <c r="AW28" s="149" t="s">
        <v>226</v>
      </c>
      <c r="AX28" s="149" t="s">
        <v>226</v>
      </c>
      <c r="AY28" s="149" t="s">
        <v>226</v>
      </c>
      <c r="AZ28" s="149" t="s">
        <v>226</v>
      </c>
      <c r="BA28" s="149" t="s">
        <v>226</v>
      </c>
      <c r="BB28" s="149" t="s">
        <v>226</v>
      </c>
      <c r="BC28" s="149" t="s">
        <v>226</v>
      </c>
      <c r="BD28" s="149" t="s">
        <v>226</v>
      </c>
      <c r="BE28" s="149" t="s">
        <v>226</v>
      </c>
      <c r="BF28" s="149" t="s">
        <v>226</v>
      </c>
      <c r="BG28" s="149" t="s">
        <v>226</v>
      </c>
      <c r="BH28" s="149"/>
      <c r="BI28" s="154"/>
      <c r="BJ28" s="154"/>
    </row>
    <row r="29" spans="1:62" ht="15">
      <c r="A29" s="151"/>
      <c r="B29" s="173" t="s">
        <v>217</v>
      </c>
      <c r="C29" s="152"/>
      <c r="D29" s="152"/>
      <c r="E29" s="152"/>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c r="AD29" s="152"/>
      <c r="AE29" s="152"/>
      <c r="AF29" s="152"/>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3"/>
    </row>
    <row r="30" spans="1:62" ht="25.5">
      <c r="A30" s="157" t="s">
        <v>586</v>
      </c>
      <c r="B30" s="176" t="s">
        <v>587</v>
      </c>
      <c r="C30" s="149"/>
      <c r="D30" s="149"/>
      <c r="E30" s="154"/>
      <c r="F30" s="154"/>
      <c r="G30" s="154"/>
      <c r="H30" s="154"/>
      <c r="I30" s="154"/>
      <c r="J30" s="154"/>
      <c r="K30" s="154"/>
      <c r="L30" s="154"/>
      <c r="M30" s="154"/>
      <c r="N30" s="154"/>
      <c r="O30" s="154"/>
      <c r="P30" s="154"/>
      <c r="Q30" s="154"/>
      <c r="R30" s="154"/>
      <c r="S30" s="154"/>
      <c r="T30" s="154"/>
      <c r="U30" s="154"/>
      <c r="V30" s="154"/>
      <c r="W30" s="154"/>
      <c r="X30" s="154"/>
      <c r="Y30" s="149" t="s">
        <v>226</v>
      </c>
      <c r="Z30" s="149" t="s">
        <v>23</v>
      </c>
      <c r="AA30" s="149" t="s">
        <v>11</v>
      </c>
      <c r="AB30" s="149" t="s">
        <v>226</v>
      </c>
      <c r="AC30" s="149" t="s">
        <v>226</v>
      </c>
      <c r="AD30" s="149" t="s">
        <v>226</v>
      </c>
      <c r="AE30" s="149" t="s">
        <v>11</v>
      </c>
      <c r="AF30" s="149" t="s">
        <v>226</v>
      </c>
      <c r="AG30" s="149" t="s">
        <v>226</v>
      </c>
      <c r="AH30" s="149" t="s">
        <v>226</v>
      </c>
      <c r="AI30" s="149" t="s">
        <v>226</v>
      </c>
      <c r="AJ30" s="149" t="s">
        <v>226</v>
      </c>
      <c r="AK30" s="149" t="s">
        <v>226</v>
      </c>
      <c r="AL30" s="149" t="s">
        <v>226</v>
      </c>
      <c r="AM30" s="149" t="s">
        <v>226</v>
      </c>
      <c r="AN30" s="149" t="s">
        <v>226</v>
      </c>
      <c r="AO30" s="149" t="s">
        <v>226</v>
      </c>
      <c r="AP30" s="149" t="s">
        <v>226</v>
      </c>
      <c r="AQ30" s="149" t="s">
        <v>226</v>
      </c>
      <c r="AR30" s="149" t="s">
        <v>226</v>
      </c>
      <c r="AS30" s="149" t="s">
        <v>226</v>
      </c>
      <c r="AT30" s="149" t="s">
        <v>226</v>
      </c>
      <c r="AU30" s="149" t="s">
        <v>226</v>
      </c>
      <c r="AV30" s="149" t="s">
        <v>226</v>
      </c>
      <c r="AW30" s="149" t="s">
        <v>226</v>
      </c>
      <c r="AX30" s="149" t="s">
        <v>226</v>
      </c>
      <c r="AY30" s="149" t="s">
        <v>226</v>
      </c>
      <c r="AZ30" s="149" t="s">
        <v>226</v>
      </c>
      <c r="BA30" s="149" t="s">
        <v>226</v>
      </c>
      <c r="BB30" s="149" t="s">
        <v>226</v>
      </c>
      <c r="BC30" s="149" t="s">
        <v>226</v>
      </c>
      <c r="BD30" s="149" t="s">
        <v>226</v>
      </c>
      <c r="BE30" s="149" t="s">
        <v>226</v>
      </c>
      <c r="BF30" s="149" t="s">
        <v>226</v>
      </c>
      <c r="BG30" s="149" t="s">
        <v>226</v>
      </c>
      <c r="BH30" s="154"/>
      <c r="BI30" s="154"/>
      <c r="BJ30" s="154"/>
    </row>
    <row r="31" spans="1:62" ht="38.25">
      <c r="A31" s="157" t="s">
        <v>588</v>
      </c>
      <c r="B31" s="176" t="s">
        <v>589</v>
      </c>
      <c r="C31" s="149"/>
      <c r="D31" s="149"/>
      <c r="E31" s="154"/>
      <c r="F31" s="154"/>
      <c r="G31" s="154"/>
      <c r="H31" s="154"/>
      <c r="I31" s="154"/>
      <c r="J31" s="154"/>
      <c r="K31" s="154"/>
      <c r="L31" s="154"/>
      <c r="M31" s="154"/>
      <c r="N31" s="154"/>
      <c r="O31" s="154"/>
      <c r="P31" s="154"/>
      <c r="Q31" s="154"/>
      <c r="R31" s="154"/>
      <c r="S31" s="154"/>
      <c r="T31" s="154"/>
      <c r="U31" s="154"/>
      <c r="V31" s="154"/>
      <c r="W31" s="154"/>
      <c r="X31" s="154"/>
      <c r="Y31" s="149" t="s">
        <v>23</v>
      </c>
      <c r="Z31" s="149" t="s">
        <v>23</v>
      </c>
      <c r="AA31" s="149" t="s">
        <v>11</v>
      </c>
      <c r="AB31" s="149" t="s">
        <v>226</v>
      </c>
      <c r="AC31" s="149" t="s">
        <v>226</v>
      </c>
      <c r="AD31" s="149" t="s">
        <v>226</v>
      </c>
      <c r="AE31" s="149" t="s">
        <v>11</v>
      </c>
      <c r="AF31" s="149" t="s">
        <v>226</v>
      </c>
      <c r="AG31" s="149" t="s">
        <v>226</v>
      </c>
      <c r="AH31" s="149" t="s">
        <v>226</v>
      </c>
      <c r="AI31" s="149" t="s">
        <v>226</v>
      </c>
      <c r="AJ31" s="149" t="s">
        <v>226</v>
      </c>
      <c r="AK31" s="149" t="s">
        <v>226</v>
      </c>
      <c r="AL31" s="149" t="s">
        <v>226</v>
      </c>
      <c r="AM31" s="149" t="s">
        <v>226</v>
      </c>
      <c r="AN31" s="149" t="s">
        <v>226</v>
      </c>
      <c r="AO31" s="149" t="s">
        <v>226</v>
      </c>
      <c r="AP31" s="149" t="s">
        <v>226</v>
      </c>
      <c r="AQ31" s="149" t="s">
        <v>226</v>
      </c>
      <c r="AR31" s="149" t="s">
        <v>226</v>
      </c>
      <c r="AS31" s="149" t="s">
        <v>226</v>
      </c>
      <c r="AT31" s="149" t="s">
        <v>226</v>
      </c>
      <c r="AU31" s="149" t="s">
        <v>226</v>
      </c>
      <c r="AV31" s="149" t="s">
        <v>226</v>
      </c>
      <c r="AW31" s="149" t="s">
        <v>226</v>
      </c>
      <c r="AX31" s="149" t="s">
        <v>226</v>
      </c>
      <c r="AY31" s="149" t="s">
        <v>226</v>
      </c>
      <c r="AZ31" s="149" t="s">
        <v>226</v>
      </c>
      <c r="BA31" s="149" t="s">
        <v>226</v>
      </c>
      <c r="BB31" s="149" t="s">
        <v>226</v>
      </c>
      <c r="BC31" s="149" t="s">
        <v>226</v>
      </c>
      <c r="BD31" s="149" t="s">
        <v>226</v>
      </c>
      <c r="BE31" s="149" t="s">
        <v>226</v>
      </c>
      <c r="BF31" s="149" t="s">
        <v>226</v>
      </c>
      <c r="BG31" s="149" t="s">
        <v>226</v>
      </c>
      <c r="BH31" s="154"/>
      <c r="BI31" s="154"/>
      <c r="BJ31" s="154"/>
    </row>
    <row r="32" spans="1:62" ht="18">
      <c r="A32" s="177"/>
      <c r="B32" s="178" t="s">
        <v>241</v>
      </c>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c r="AA32" s="177"/>
      <c r="AB32" s="177"/>
      <c r="AC32" s="177"/>
      <c r="AD32" s="177"/>
      <c r="AE32" s="177"/>
      <c r="AF32" s="177"/>
      <c r="AG32" s="177"/>
      <c r="AH32" s="177"/>
      <c r="AI32" s="177"/>
      <c r="AJ32" s="177"/>
      <c r="AK32" s="177"/>
      <c r="AL32" s="177"/>
      <c r="AM32" s="177"/>
      <c r="AN32" s="177"/>
      <c r="AO32" s="177"/>
      <c r="AP32" s="177"/>
      <c r="AQ32" s="177"/>
      <c r="AR32" s="177"/>
      <c r="AS32" s="177"/>
      <c r="AT32" s="177"/>
      <c r="AU32" s="177"/>
      <c r="AV32" s="177"/>
      <c r="AW32" s="177"/>
      <c r="AX32" s="177"/>
      <c r="AY32" s="177"/>
      <c r="AZ32" s="177"/>
      <c r="BA32" s="177"/>
      <c r="BB32" s="177"/>
      <c r="BC32" s="177"/>
      <c r="BD32" s="177"/>
      <c r="BE32" s="177"/>
      <c r="BF32" s="177"/>
      <c r="BG32" s="177"/>
      <c r="BH32" s="177"/>
      <c r="BI32" s="177"/>
      <c r="BJ32" s="177"/>
    </row>
    <row r="33" spans="1:62" ht="15">
      <c r="A33" s="159"/>
      <c r="B33" s="160" t="s">
        <v>243</v>
      </c>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2"/>
    </row>
  </sheetData>
  <mergeCells count="1">
    <mergeCell ref="BI2:BJ2"/>
  </mergeCells>
  <conditionalFormatting sqref="BI11:BJ12 BI10 BI14:BJ14 BI13">
    <cfRule type="expression" dxfId="3" priority="3" stopIfTrue="1">
      <formula>AND($M10="Approved",OR($L10=$R$1,$L10=$T$1))</formula>
    </cfRule>
  </conditionalFormatting>
  <conditionalFormatting sqref="BN6:BO6 BN8:BO8 BN7">
    <cfRule type="expression" dxfId="2" priority="2" stopIfTrue="1">
      <formula>AND($M6="Approved",OR($L6=$R$1,$L6=$T$1))</formula>
    </cfRule>
  </conditionalFormatting>
  <conditionalFormatting sqref="BO7">
    <cfRule type="expression" dxfId="1" priority="1" stopIfTrue="1">
      <formula>AND($M7="Approved",OR($L7=$R$1,$L7=$T$1))</formula>
    </cfRule>
  </conditionalFormatting>
  <dataValidations count="1">
    <dataValidation type="list" allowBlank="1" showInputMessage="1" showErrorMessage="1" sqref="C30:C31 C22:BG25 Y30:BG31 C6:BG7 C9:BG20 C27:BG28" xr:uid="{00000000-0002-0000-0700-00000000000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6">
    <tabColor theme="7"/>
    <pageSetUpPr fitToPage="1"/>
  </sheetPr>
  <dimension ref="A2:O34"/>
  <sheetViews>
    <sheetView zoomScaleNormal="100" workbookViewId="0">
      <pane xSplit="1" ySplit="3" topLeftCell="B4" activePane="bottomRight" state="frozen"/>
      <selection pane="topRight" activeCell="B1" sqref="B1"/>
      <selection pane="bottomLeft" activeCell="A4" sqref="A4"/>
      <selection pane="bottomRight" activeCell="J2" sqref="J2"/>
    </sheetView>
  </sheetViews>
  <sheetFormatPr defaultColWidth="9.42578125" defaultRowHeight="12.75"/>
  <cols>
    <col min="1" max="1" width="10.5703125" style="150" bestFit="1" customWidth="1"/>
    <col min="2" max="2" width="61" style="148" customWidth="1"/>
    <col min="3" max="11" width="4.42578125" style="147" bestFit="1" customWidth="1"/>
    <col min="12" max="12" width="30.5703125" style="147" customWidth="1"/>
    <col min="13" max="14" width="27.5703125" style="147" customWidth="1"/>
    <col min="15" max="16384" width="9.42578125" style="147"/>
  </cols>
  <sheetData>
    <row r="2" spans="1:15" ht="118.5" customHeight="1">
      <c r="A2" s="163" t="s">
        <v>227</v>
      </c>
      <c r="B2" s="164" t="s">
        <v>267</v>
      </c>
      <c r="C2" s="165" t="s">
        <v>399</v>
      </c>
      <c r="D2" s="165" t="s">
        <v>515</v>
      </c>
      <c r="E2" s="165" t="s">
        <v>584</v>
      </c>
      <c r="F2" s="165" t="s">
        <v>593</v>
      </c>
      <c r="G2" s="165" t="s">
        <v>676</v>
      </c>
      <c r="H2" s="165" t="s">
        <v>680</v>
      </c>
      <c r="I2" s="165" t="s">
        <v>681</v>
      </c>
      <c r="J2" s="231" t="s">
        <v>805</v>
      </c>
      <c r="K2" s="165" t="s">
        <v>399</v>
      </c>
      <c r="L2" s="166" t="s">
        <v>242</v>
      </c>
      <c r="M2" s="364" t="s">
        <v>187</v>
      </c>
      <c r="N2" s="365"/>
    </row>
    <row r="3" spans="1:15" ht="37.5">
      <c r="A3" s="167"/>
      <c r="B3" s="168"/>
      <c r="C3" s="168">
        <f t="shared" ref="C3:K3" si="0">COUNTIF(C5:C34,"Yes")</f>
        <v>0</v>
      </c>
      <c r="D3" s="168">
        <f t="shared" si="0"/>
        <v>15</v>
      </c>
      <c r="E3" s="168">
        <f t="shared" si="0"/>
        <v>16</v>
      </c>
      <c r="F3" s="168">
        <f>COUNTIF(F5:F34,"Yes")</f>
        <v>16</v>
      </c>
      <c r="G3" s="168">
        <f>COUNTIF(G5:G34,"Yes")</f>
        <v>16</v>
      </c>
      <c r="H3" s="168">
        <f>COUNTIF(H5:H34,"Yes")</f>
        <v>16</v>
      </c>
      <c r="I3" s="168">
        <f>COUNTIF(I5:I34,"Yes")</f>
        <v>16</v>
      </c>
      <c r="J3" s="168">
        <f>COUNTIF(J5:J34,"Yes")</f>
        <v>16</v>
      </c>
      <c r="K3" s="168">
        <f t="shared" si="0"/>
        <v>0</v>
      </c>
      <c r="L3" s="155"/>
      <c r="M3" s="179" t="s">
        <v>233</v>
      </c>
      <c r="N3" s="179" t="s">
        <v>234</v>
      </c>
      <c r="O3" s="156"/>
    </row>
    <row r="4" spans="1:15" ht="36">
      <c r="A4" s="169"/>
      <c r="B4" s="170" t="s">
        <v>246</v>
      </c>
      <c r="C4" s="171"/>
      <c r="D4" s="171"/>
      <c r="E4" s="171"/>
      <c r="F4" s="171"/>
      <c r="G4" s="171"/>
      <c r="H4" s="171"/>
      <c r="I4" s="171"/>
      <c r="J4" s="171"/>
      <c r="K4" s="171"/>
      <c r="L4" s="171"/>
      <c r="M4" s="171"/>
      <c r="N4" s="172"/>
      <c r="O4" s="86"/>
    </row>
    <row r="5" spans="1:15" ht="15">
      <c r="A5" s="151"/>
      <c r="B5" s="173" t="s">
        <v>247</v>
      </c>
      <c r="C5" s="152"/>
      <c r="D5" s="152"/>
      <c r="E5" s="152"/>
      <c r="F5" s="152"/>
      <c r="G5" s="152"/>
      <c r="H5" s="152"/>
      <c r="I5" s="152"/>
      <c r="J5" s="152"/>
      <c r="K5" s="152"/>
      <c r="L5" s="152"/>
      <c r="M5" s="152"/>
      <c r="N5" s="153"/>
    </row>
    <row r="6" spans="1:15" ht="25.5">
      <c r="A6" s="157" t="s">
        <v>268</v>
      </c>
      <c r="B6" s="176" t="s">
        <v>249</v>
      </c>
      <c r="C6" s="149"/>
      <c r="D6" s="149" t="s">
        <v>23</v>
      </c>
      <c r="E6" s="149" t="s">
        <v>226</v>
      </c>
      <c r="F6" s="149" t="s">
        <v>226</v>
      </c>
      <c r="G6" s="149" t="s">
        <v>226</v>
      </c>
      <c r="H6" s="149" t="s">
        <v>226</v>
      </c>
      <c r="I6" s="149" t="s">
        <v>226</v>
      </c>
      <c r="J6" s="149" t="s">
        <v>226</v>
      </c>
      <c r="K6" s="149"/>
      <c r="L6" s="149"/>
      <c r="M6" s="154"/>
      <c r="N6" s="154"/>
    </row>
    <row r="7" spans="1:15" ht="38.25">
      <c r="A7" s="157" t="s">
        <v>269</v>
      </c>
      <c r="B7" s="176" t="s">
        <v>290</v>
      </c>
      <c r="C7" s="149"/>
      <c r="D7" s="149" t="s">
        <v>226</v>
      </c>
      <c r="E7" s="149" t="s">
        <v>226</v>
      </c>
      <c r="F7" s="149" t="s">
        <v>226</v>
      </c>
      <c r="G7" s="149" t="s">
        <v>226</v>
      </c>
      <c r="H7" s="149" t="s">
        <v>226</v>
      </c>
      <c r="I7" s="149" t="s">
        <v>226</v>
      </c>
      <c r="J7" s="149" t="s">
        <v>226</v>
      </c>
      <c r="K7" s="149"/>
      <c r="L7" s="149"/>
      <c r="M7" s="158" t="s">
        <v>291</v>
      </c>
      <c r="N7" s="154"/>
    </row>
    <row r="8" spans="1:15" ht="38.25">
      <c r="A8" s="157" t="s">
        <v>253</v>
      </c>
      <c r="B8" s="176" t="s">
        <v>292</v>
      </c>
      <c r="C8" s="149"/>
      <c r="D8" s="149" t="s">
        <v>226</v>
      </c>
      <c r="E8" s="149" t="s">
        <v>226</v>
      </c>
      <c r="F8" s="149" t="s">
        <v>226</v>
      </c>
      <c r="G8" s="149" t="s">
        <v>226</v>
      </c>
      <c r="H8" s="149" t="s">
        <v>226</v>
      </c>
      <c r="I8" s="149" t="s">
        <v>226</v>
      </c>
      <c r="J8" s="149" t="s">
        <v>226</v>
      </c>
      <c r="K8" s="149"/>
      <c r="L8" s="149"/>
      <c r="M8" s="154"/>
      <c r="N8" s="154"/>
    </row>
    <row r="9" spans="1:15" ht="38.25">
      <c r="A9" s="157" t="s">
        <v>254</v>
      </c>
      <c r="B9" s="176" t="s">
        <v>293</v>
      </c>
      <c r="C9" s="149"/>
      <c r="D9" s="149" t="s">
        <v>226</v>
      </c>
      <c r="E9" s="149" t="s">
        <v>226</v>
      </c>
      <c r="F9" s="149" t="s">
        <v>226</v>
      </c>
      <c r="G9" s="149" t="s">
        <v>226</v>
      </c>
      <c r="H9" s="149" t="s">
        <v>226</v>
      </c>
      <c r="I9" s="149" t="s">
        <v>226</v>
      </c>
      <c r="J9" s="149" t="s">
        <v>226</v>
      </c>
      <c r="K9" s="149"/>
      <c r="L9" s="149"/>
      <c r="M9" s="154"/>
      <c r="N9" s="154"/>
    </row>
    <row r="10" spans="1:15" ht="25.5">
      <c r="A10" s="157" t="s">
        <v>294</v>
      </c>
      <c r="B10" s="176" t="s">
        <v>295</v>
      </c>
      <c r="C10" s="149"/>
      <c r="D10" s="149" t="s">
        <v>226</v>
      </c>
      <c r="E10" s="149" t="s">
        <v>226</v>
      </c>
      <c r="F10" s="149" t="s">
        <v>226</v>
      </c>
      <c r="G10" s="149" t="s">
        <v>226</v>
      </c>
      <c r="H10" s="149" t="s">
        <v>226</v>
      </c>
      <c r="I10" s="149" t="s">
        <v>226</v>
      </c>
      <c r="J10" s="149" t="s">
        <v>226</v>
      </c>
      <c r="K10" s="149"/>
      <c r="L10" s="149"/>
      <c r="M10" s="154"/>
      <c r="N10" s="154"/>
    </row>
    <row r="11" spans="1:15" ht="25.5">
      <c r="A11" s="157" t="s">
        <v>270</v>
      </c>
      <c r="B11" s="176" t="s">
        <v>250</v>
      </c>
      <c r="C11" s="149"/>
      <c r="D11" s="149" t="s">
        <v>226</v>
      </c>
      <c r="E11" s="149" t="s">
        <v>226</v>
      </c>
      <c r="F11" s="149" t="s">
        <v>226</v>
      </c>
      <c r="G11" s="149" t="s">
        <v>226</v>
      </c>
      <c r="H11" s="149" t="s">
        <v>226</v>
      </c>
      <c r="I11" s="149" t="s">
        <v>226</v>
      </c>
      <c r="J11" s="149" t="s">
        <v>226</v>
      </c>
      <c r="K11" s="149"/>
      <c r="L11" s="149"/>
      <c r="M11" s="154"/>
      <c r="N11" s="154"/>
    </row>
    <row r="12" spans="1:15" ht="51">
      <c r="A12" s="157" t="s">
        <v>255</v>
      </c>
      <c r="B12" s="176" t="s">
        <v>256</v>
      </c>
      <c r="C12" s="149"/>
      <c r="D12" s="149" t="s">
        <v>226</v>
      </c>
      <c r="E12" s="149" t="s">
        <v>226</v>
      </c>
      <c r="F12" s="149" t="s">
        <v>226</v>
      </c>
      <c r="G12" s="149" t="s">
        <v>226</v>
      </c>
      <c r="H12" s="149" t="s">
        <v>226</v>
      </c>
      <c r="I12" s="149" t="s">
        <v>226</v>
      </c>
      <c r="J12" s="149" t="s">
        <v>226</v>
      </c>
      <c r="K12" s="149"/>
      <c r="L12" s="149"/>
      <c r="M12" s="154"/>
      <c r="N12" s="154"/>
    </row>
    <row r="13" spans="1:15" ht="25.5">
      <c r="A13" s="157" t="s">
        <v>271</v>
      </c>
      <c r="B13" s="176" t="s">
        <v>296</v>
      </c>
      <c r="C13" s="149"/>
      <c r="D13" s="149" t="s">
        <v>226</v>
      </c>
      <c r="E13" s="149" t="s">
        <v>226</v>
      </c>
      <c r="F13" s="149" t="s">
        <v>226</v>
      </c>
      <c r="G13" s="149" t="s">
        <v>226</v>
      </c>
      <c r="H13" s="149" t="s">
        <v>226</v>
      </c>
      <c r="I13" s="149" t="s">
        <v>226</v>
      </c>
      <c r="J13" s="149" t="s">
        <v>226</v>
      </c>
      <c r="K13" s="149"/>
      <c r="L13" s="149"/>
      <c r="M13" s="154"/>
      <c r="N13" s="154"/>
    </row>
    <row r="14" spans="1:15" ht="38.25">
      <c r="A14" s="157" t="s">
        <v>297</v>
      </c>
      <c r="B14" s="176" t="s">
        <v>298</v>
      </c>
      <c r="C14" s="149"/>
      <c r="D14" s="149" t="s">
        <v>11</v>
      </c>
      <c r="E14" s="149" t="s">
        <v>11</v>
      </c>
      <c r="F14" s="149" t="s">
        <v>226</v>
      </c>
      <c r="G14" s="149" t="s">
        <v>226</v>
      </c>
      <c r="H14" s="149" t="s">
        <v>226</v>
      </c>
      <c r="I14" s="149" t="s">
        <v>226</v>
      </c>
      <c r="J14" s="149" t="s">
        <v>226</v>
      </c>
      <c r="K14" s="149"/>
      <c r="L14" s="149"/>
      <c r="M14" s="154"/>
      <c r="N14" s="154"/>
    </row>
    <row r="15" spans="1:15" ht="15">
      <c r="A15" s="151"/>
      <c r="B15" s="173" t="s">
        <v>248</v>
      </c>
      <c r="C15" s="152"/>
      <c r="D15" s="152"/>
      <c r="E15" s="152"/>
      <c r="F15" s="152"/>
      <c r="G15" s="152"/>
      <c r="H15" s="152"/>
      <c r="I15" s="152"/>
      <c r="J15" s="152"/>
      <c r="K15" s="152"/>
      <c r="L15" s="152"/>
      <c r="M15" s="152"/>
      <c r="N15" s="153"/>
    </row>
    <row r="16" spans="1:15" ht="63.75">
      <c r="A16" s="157" t="s">
        <v>272</v>
      </c>
      <c r="B16" s="176" t="s">
        <v>251</v>
      </c>
      <c r="C16" s="149"/>
      <c r="D16" s="149" t="s">
        <v>226</v>
      </c>
      <c r="E16" s="149" t="s">
        <v>226</v>
      </c>
      <c r="F16" s="149" t="s">
        <v>23</v>
      </c>
      <c r="G16" s="149" t="s">
        <v>23</v>
      </c>
      <c r="H16" s="149" t="s">
        <v>23</v>
      </c>
      <c r="I16" s="149" t="s">
        <v>23</v>
      </c>
      <c r="J16" s="149" t="s">
        <v>23</v>
      </c>
      <c r="K16" s="149"/>
      <c r="L16" s="149" t="s">
        <v>594</v>
      </c>
      <c r="M16" s="154"/>
      <c r="N16" s="154"/>
    </row>
    <row r="17" spans="1:14" ht="63.75">
      <c r="A17" s="157" t="s">
        <v>257</v>
      </c>
      <c r="B17" s="176" t="s">
        <v>252</v>
      </c>
      <c r="C17" s="149"/>
      <c r="D17" s="149" t="s">
        <v>226</v>
      </c>
      <c r="E17" s="149" t="s">
        <v>226</v>
      </c>
      <c r="F17" s="149" t="s">
        <v>226</v>
      </c>
      <c r="G17" s="149" t="s">
        <v>226</v>
      </c>
      <c r="H17" s="149" t="s">
        <v>226</v>
      </c>
      <c r="I17" s="149" t="s">
        <v>226</v>
      </c>
      <c r="J17" s="149" t="s">
        <v>226</v>
      </c>
      <c r="K17" s="149"/>
      <c r="L17" s="149"/>
      <c r="M17" s="154"/>
      <c r="N17" s="154"/>
    </row>
    <row r="18" spans="1:14" ht="51">
      <c r="A18" s="157" t="s">
        <v>273</v>
      </c>
      <c r="B18" s="176" t="s">
        <v>274</v>
      </c>
      <c r="C18" s="149"/>
      <c r="D18" s="149" t="s">
        <v>226</v>
      </c>
      <c r="E18" s="149" t="s">
        <v>226</v>
      </c>
      <c r="F18" s="149" t="s">
        <v>226</v>
      </c>
      <c r="G18" s="149" t="s">
        <v>226</v>
      </c>
      <c r="H18" s="149" t="s">
        <v>226</v>
      </c>
      <c r="I18" s="149" t="s">
        <v>226</v>
      </c>
      <c r="J18" s="149" t="s">
        <v>226</v>
      </c>
      <c r="K18" s="149"/>
      <c r="L18" s="149"/>
      <c r="M18" s="154"/>
      <c r="N18" s="154"/>
    </row>
    <row r="19" spans="1:14" ht="25.5">
      <c r="A19" s="157" t="s">
        <v>258</v>
      </c>
      <c r="B19" s="176" t="s">
        <v>259</v>
      </c>
      <c r="C19" s="149"/>
      <c r="D19" s="149" t="s">
        <v>226</v>
      </c>
      <c r="E19" s="149" t="s">
        <v>226</v>
      </c>
      <c r="F19" s="149" t="s">
        <v>226</v>
      </c>
      <c r="G19" s="149" t="s">
        <v>226</v>
      </c>
      <c r="H19" s="149" t="s">
        <v>226</v>
      </c>
      <c r="I19" s="149" t="s">
        <v>226</v>
      </c>
      <c r="J19" s="149" t="s">
        <v>226</v>
      </c>
      <c r="K19" s="149"/>
      <c r="L19" s="149"/>
      <c r="M19" s="154"/>
      <c r="N19" s="154"/>
    </row>
    <row r="20" spans="1:14" ht="15">
      <c r="A20" s="151"/>
      <c r="B20" s="173" t="s">
        <v>317</v>
      </c>
      <c r="C20" s="152"/>
      <c r="D20" s="152"/>
      <c r="E20" s="152"/>
      <c r="F20" s="152"/>
      <c r="G20" s="152"/>
      <c r="H20" s="152"/>
      <c r="I20" s="152"/>
      <c r="J20" s="152"/>
      <c r="K20" s="152"/>
      <c r="L20" s="152"/>
      <c r="M20" s="152"/>
      <c r="N20" s="153"/>
    </row>
    <row r="21" spans="1:14" ht="38.25">
      <c r="A21" s="157" t="s">
        <v>368</v>
      </c>
      <c r="B21" s="176" t="s">
        <v>369</v>
      </c>
      <c r="C21" s="149"/>
      <c r="D21" s="149" t="s">
        <v>11</v>
      </c>
      <c r="E21" s="149" t="s">
        <v>11</v>
      </c>
      <c r="F21" s="149" t="s">
        <v>11</v>
      </c>
      <c r="G21" s="149" t="s">
        <v>11</v>
      </c>
      <c r="H21" s="149" t="s">
        <v>11</v>
      </c>
      <c r="I21" s="149" t="s">
        <v>11</v>
      </c>
      <c r="J21" s="149" t="s">
        <v>11</v>
      </c>
      <c r="K21" s="149"/>
      <c r="L21" s="149"/>
      <c r="M21" s="154"/>
      <c r="N21" s="154"/>
    </row>
    <row r="22" spans="1:14" ht="38.25">
      <c r="A22" s="157" t="s">
        <v>370</v>
      </c>
      <c r="B22" s="176" t="s">
        <v>371</v>
      </c>
      <c r="C22" s="149"/>
      <c r="D22" s="149" t="s">
        <v>11</v>
      </c>
      <c r="E22" s="149" t="s">
        <v>11</v>
      </c>
      <c r="F22" s="149" t="s">
        <v>11</v>
      </c>
      <c r="G22" s="149" t="s">
        <v>11</v>
      </c>
      <c r="H22" s="149" t="s">
        <v>11</v>
      </c>
      <c r="I22" s="149" t="s">
        <v>11</v>
      </c>
      <c r="J22" s="149" t="s">
        <v>11</v>
      </c>
      <c r="K22" s="149"/>
      <c r="L22" s="149"/>
      <c r="M22" s="154"/>
      <c r="N22" s="154"/>
    </row>
    <row r="23" spans="1:14" ht="51">
      <c r="A23" s="157" t="s">
        <v>372</v>
      </c>
      <c r="B23" s="176" t="s">
        <v>373</v>
      </c>
      <c r="C23" s="149"/>
      <c r="D23" s="149" t="s">
        <v>11</v>
      </c>
      <c r="E23" s="149" t="s">
        <v>11</v>
      </c>
      <c r="F23" s="149" t="s">
        <v>11</v>
      </c>
      <c r="G23" s="149" t="s">
        <v>11</v>
      </c>
      <c r="H23" s="149" t="s">
        <v>11</v>
      </c>
      <c r="I23" s="149" t="s">
        <v>11</v>
      </c>
      <c r="J23" s="149" t="s">
        <v>11</v>
      </c>
      <c r="K23" s="149"/>
      <c r="L23" s="149"/>
      <c r="M23" s="154"/>
      <c r="N23" s="154"/>
    </row>
    <row r="24" spans="1:14" ht="15">
      <c r="A24" s="151"/>
      <c r="B24" s="173" t="s">
        <v>230</v>
      </c>
      <c r="C24" s="152"/>
      <c r="D24" s="152"/>
      <c r="E24" s="152"/>
      <c r="F24" s="152"/>
      <c r="G24" s="152"/>
      <c r="H24" s="152"/>
      <c r="I24" s="152"/>
      <c r="J24" s="152"/>
      <c r="K24" s="152"/>
      <c r="L24" s="152"/>
      <c r="M24" s="152"/>
      <c r="N24" s="153"/>
    </row>
    <row r="25" spans="1:14" ht="38.25">
      <c r="A25" s="157" t="s">
        <v>235</v>
      </c>
      <c r="B25" s="176" t="s">
        <v>220</v>
      </c>
      <c r="C25" s="149"/>
      <c r="D25" s="149" t="s">
        <v>226</v>
      </c>
      <c r="E25" s="149" t="s">
        <v>226</v>
      </c>
      <c r="F25" s="149" t="s">
        <v>226</v>
      </c>
      <c r="G25" s="149" t="s">
        <v>226</v>
      </c>
      <c r="H25" s="149" t="s">
        <v>226</v>
      </c>
      <c r="I25" s="149" t="s">
        <v>226</v>
      </c>
      <c r="J25" s="149" t="s">
        <v>226</v>
      </c>
      <c r="K25" s="149"/>
      <c r="L25" s="149"/>
      <c r="M25" s="154"/>
      <c r="N25" s="154"/>
    </row>
    <row r="26" spans="1:14" ht="25.5">
      <c r="A26" s="157" t="s">
        <v>236</v>
      </c>
      <c r="B26" s="176" t="s">
        <v>221</v>
      </c>
      <c r="C26" s="149"/>
      <c r="D26" s="149" t="s">
        <v>226</v>
      </c>
      <c r="E26" s="149" t="s">
        <v>226</v>
      </c>
      <c r="F26" s="149" t="s">
        <v>226</v>
      </c>
      <c r="G26" s="149" t="s">
        <v>226</v>
      </c>
      <c r="H26" s="149" t="s">
        <v>226</v>
      </c>
      <c r="I26" s="149" t="s">
        <v>226</v>
      </c>
      <c r="J26" s="149" t="s">
        <v>226</v>
      </c>
      <c r="K26" s="149"/>
      <c r="L26" s="149"/>
      <c r="M26" s="154"/>
      <c r="N26" s="154"/>
    </row>
    <row r="27" spans="1:14" ht="38.25">
      <c r="A27" s="157" t="s">
        <v>237</v>
      </c>
      <c r="B27" s="176" t="s">
        <v>222</v>
      </c>
      <c r="C27" s="149"/>
      <c r="D27" s="149" t="s">
        <v>226</v>
      </c>
      <c r="E27" s="149" t="s">
        <v>226</v>
      </c>
      <c r="F27" s="149" t="s">
        <v>226</v>
      </c>
      <c r="G27" s="149" t="s">
        <v>226</v>
      </c>
      <c r="H27" s="149" t="s">
        <v>226</v>
      </c>
      <c r="I27" s="149" t="s">
        <v>226</v>
      </c>
      <c r="J27" s="149" t="s">
        <v>226</v>
      </c>
      <c r="K27" s="149"/>
      <c r="L27" s="149"/>
      <c r="M27" s="154"/>
      <c r="N27" s="154"/>
    </row>
    <row r="28" spans="1:14" ht="38.25">
      <c r="A28" s="157" t="s">
        <v>238</v>
      </c>
      <c r="B28" s="176" t="s">
        <v>223</v>
      </c>
      <c r="C28" s="149"/>
      <c r="D28" s="149" t="s">
        <v>226</v>
      </c>
      <c r="E28" s="149" t="s">
        <v>226</v>
      </c>
      <c r="F28" s="149" t="s">
        <v>226</v>
      </c>
      <c r="G28" s="149" t="s">
        <v>226</v>
      </c>
      <c r="H28" s="149" t="s">
        <v>226</v>
      </c>
      <c r="I28" s="149" t="s">
        <v>226</v>
      </c>
      <c r="J28" s="149" t="s">
        <v>226</v>
      </c>
      <c r="K28" s="149"/>
      <c r="L28" s="149"/>
      <c r="M28" s="154"/>
      <c r="N28" s="154"/>
    </row>
    <row r="29" spans="1:14" ht="15">
      <c r="A29" s="151"/>
      <c r="B29" s="173" t="s">
        <v>231</v>
      </c>
      <c r="C29" s="152"/>
      <c r="D29" s="152"/>
      <c r="E29" s="152"/>
      <c r="F29" s="152"/>
      <c r="G29" s="152"/>
      <c r="H29" s="152"/>
      <c r="I29" s="152"/>
      <c r="J29" s="152"/>
      <c r="K29" s="152"/>
      <c r="L29" s="152"/>
      <c r="M29" s="152"/>
      <c r="N29" s="153"/>
    </row>
    <row r="30" spans="1:14" ht="38.25">
      <c r="A30" s="157" t="s">
        <v>239</v>
      </c>
      <c r="B30" s="176" t="s">
        <v>224</v>
      </c>
      <c r="C30" s="149"/>
      <c r="D30" s="149" t="s">
        <v>11</v>
      </c>
      <c r="E30" s="149" t="s">
        <v>11</v>
      </c>
      <c r="F30" s="149" t="s">
        <v>11</v>
      </c>
      <c r="G30" s="149" t="s">
        <v>11</v>
      </c>
      <c r="H30" s="149" t="s">
        <v>11</v>
      </c>
      <c r="I30" s="149" t="s">
        <v>11</v>
      </c>
      <c r="J30" s="149" t="s">
        <v>11</v>
      </c>
      <c r="K30" s="149"/>
      <c r="L30" s="149"/>
      <c r="M30" s="154"/>
      <c r="N30" s="154"/>
    </row>
    <row r="31" spans="1:14" ht="38.25">
      <c r="A31" s="157" t="s">
        <v>240</v>
      </c>
      <c r="B31" s="176" t="s">
        <v>225</v>
      </c>
      <c r="C31" s="149"/>
      <c r="D31" s="149" t="s">
        <v>11</v>
      </c>
      <c r="E31" s="149" t="s">
        <v>11</v>
      </c>
      <c r="F31" s="149" t="s">
        <v>11</v>
      </c>
      <c r="G31" s="149" t="s">
        <v>11</v>
      </c>
      <c r="H31" s="149" t="s">
        <v>11</v>
      </c>
      <c r="I31" s="149" t="s">
        <v>11</v>
      </c>
      <c r="J31" s="149" t="s">
        <v>11</v>
      </c>
      <c r="K31" s="149"/>
      <c r="L31" s="149"/>
      <c r="M31" s="154"/>
      <c r="N31" s="154"/>
    </row>
    <row r="32" spans="1:14" ht="15">
      <c r="A32" s="151"/>
      <c r="B32" s="173" t="s">
        <v>217</v>
      </c>
      <c r="C32" s="152"/>
      <c r="D32" s="152"/>
      <c r="E32" s="152"/>
      <c r="F32" s="152"/>
      <c r="G32" s="152"/>
      <c r="H32" s="152"/>
      <c r="I32" s="152"/>
      <c r="J32" s="152"/>
      <c r="K32" s="152"/>
      <c r="L32" s="152"/>
      <c r="M32" s="152"/>
      <c r="N32" s="153"/>
    </row>
    <row r="33" spans="1:14" ht="51">
      <c r="A33" s="157" t="s">
        <v>218</v>
      </c>
      <c r="B33" s="176" t="s">
        <v>219</v>
      </c>
      <c r="C33" s="149"/>
      <c r="D33" s="149" t="s">
        <v>11</v>
      </c>
      <c r="E33" s="149" t="s">
        <v>11</v>
      </c>
      <c r="F33" s="149" t="s">
        <v>11</v>
      </c>
      <c r="G33" s="149" t="s">
        <v>11</v>
      </c>
      <c r="H33" s="149" t="s">
        <v>11</v>
      </c>
      <c r="I33" s="149" t="s">
        <v>11</v>
      </c>
      <c r="J33" s="149" t="s">
        <v>11</v>
      </c>
      <c r="K33" s="149"/>
      <c r="L33" s="149"/>
      <c r="M33" s="154"/>
      <c r="N33" s="154"/>
    </row>
    <row r="34" spans="1:14" ht="18">
      <c r="A34" s="177"/>
      <c r="B34" s="178" t="s">
        <v>241</v>
      </c>
      <c r="C34" s="177"/>
      <c r="D34" s="177"/>
      <c r="E34" s="177"/>
      <c r="F34" s="177"/>
      <c r="G34" s="177"/>
      <c r="H34" s="177"/>
      <c r="I34" s="177"/>
      <c r="J34" s="177"/>
      <c r="K34" s="177"/>
      <c r="L34" s="177"/>
      <c r="M34" s="177"/>
      <c r="N34" s="177"/>
    </row>
  </sheetData>
  <mergeCells count="1">
    <mergeCell ref="M2:N2"/>
  </mergeCells>
  <dataValidations count="1">
    <dataValidation type="list" allowBlank="1" showInputMessage="1" showErrorMessage="1" sqref="C6:K14 C21:K23 C25:K28 C30:K31 C16:K19 C33:K33" xr:uid="{00000000-0002-0000-0800-00000000000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9">
    <tabColor theme="7"/>
    <pageSetUpPr fitToPage="1"/>
  </sheetPr>
  <dimension ref="A2:BB36"/>
  <sheetViews>
    <sheetView zoomScale="130" zoomScaleNormal="130" workbookViewId="0">
      <pane xSplit="1" ySplit="3" topLeftCell="P4" activePane="bottomRight" state="frozen"/>
      <selection pane="topRight" activeCell="B1" sqref="B1"/>
      <selection pane="bottomLeft" activeCell="A4" sqref="A4"/>
      <selection pane="bottomRight" activeCell="AX5" sqref="AX5"/>
    </sheetView>
  </sheetViews>
  <sheetFormatPr defaultColWidth="9.42578125" defaultRowHeight="12.75"/>
  <cols>
    <col min="1" max="1" width="10.5703125" style="150" bestFit="1" customWidth="1"/>
    <col min="2" max="2" width="61" style="148" customWidth="1"/>
    <col min="3" max="27" width="4.42578125" style="147" bestFit="1" customWidth="1"/>
    <col min="28" max="37" width="4.42578125" style="147" customWidth="1"/>
    <col min="38" max="38" width="4.42578125" style="147" bestFit="1" customWidth="1"/>
    <col min="39" max="43" width="4.42578125" style="147" customWidth="1"/>
    <col min="44" max="49" width="4.42578125" style="147" bestFit="1" customWidth="1"/>
    <col min="50" max="50" width="22.5703125" style="147" customWidth="1"/>
    <col min="51" max="51" width="30.5703125" style="147" customWidth="1"/>
    <col min="52" max="53" width="27.5703125" style="147" customWidth="1"/>
    <col min="54" max="16384" width="9.42578125" style="147"/>
  </cols>
  <sheetData>
    <row r="2" spans="1:54" ht="141">
      <c r="A2" s="163" t="s">
        <v>227</v>
      </c>
      <c r="B2" s="164" t="s">
        <v>275</v>
      </c>
      <c r="C2" s="165" t="s">
        <v>476</v>
      </c>
      <c r="D2" s="165" t="s">
        <v>477</v>
      </c>
      <c r="E2" s="165" t="s">
        <v>478</v>
      </c>
      <c r="F2" s="165" t="s">
        <v>479</v>
      </c>
      <c r="G2" s="165" t="s">
        <v>480</v>
      </c>
      <c r="H2" s="165" t="s">
        <v>481</v>
      </c>
      <c r="I2" s="165" t="s">
        <v>505</v>
      </c>
      <c r="J2" s="165" t="s">
        <v>506</v>
      </c>
      <c r="K2" s="165" t="s">
        <v>507</v>
      </c>
      <c r="L2" s="165" t="s">
        <v>508</v>
      </c>
      <c r="M2" s="165" t="s">
        <v>509</v>
      </c>
      <c r="N2" s="165" t="s">
        <v>510</v>
      </c>
      <c r="O2" s="165" t="s">
        <v>577</v>
      </c>
      <c r="P2" s="165" t="s">
        <v>578</v>
      </c>
      <c r="Q2" s="165" t="s">
        <v>582</v>
      </c>
      <c r="R2" s="165" t="s">
        <v>579</v>
      </c>
      <c r="S2" s="165" t="s">
        <v>580</v>
      </c>
      <c r="T2" s="165" t="s">
        <v>581</v>
      </c>
      <c r="U2" s="165" t="s">
        <v>600</v>
      </c>
      <c r="V2" s="165" t="s">
        <v>668</v>
      </c>
      <c r="W2" s="165" t="s">
        <v>669</v>
      </c>
      <c r="X2" s="165" t="s">
        <v>670</v>
      </c>
      <c r="Y2" s="165" t="s">
        <v>673</v>
      </c>
      <c r="Z2" s="165" t="s">
        <v>674</v>
      </c>
      <c r="AA2" s="165" t="s">
        <v>672</v>
      </c>
      <c r="AB2" s="165" t="s">
        <v>717</v>
      </c>
      <c r="AC2" s="165" t="s">
        <v>718</v>
      </c>
      <c r="AD2" s="165" t="s">
        <v>719</v>
      </c>
      <c r="AE2" s="165" t="s">
        <v>720</v>
      </c>
      <c r="AF2" s="165" t="s">
        <v>721</v>
      </c>
      <c r="AG2" s="165" t="s">
        <v>750</v>
      </c>
      <c r="AH2" s="165" t="s">
        <v>751</v>
      </c>
      <c r="AI2" s="165" t="s">
        <v>752</v>
      </c>
      <c r="AJ2" s="165" t="s">
        <v>753</v>
      </c>
      <c r="AK2" s="165" t="s">
        <v>754</v>
      </c>
      <c r="AL2" s="165" t="s">
        <v>755</v>
      </c>
      <c r="AM2" s="165" t="s">
        <v>816</v>
      </c>
      <c r="AN2" s="165" t="s">
        <v>815</v>
      </c>
      <c r="AO2" s="165" t="s">
        <v>814</v>
      </c>
      <c r="AP2" s="165" t="s">
        <v>813</v>
      </c>
      <c r="AQ2" s="165" t="s">
        <v>812</v>
      </c>
      <c r="AR2" s="165" t="s">
        <v>811</v>
      </c>
      <c r="AS2" s="165" t="s">
        <v>810</v>
      </c>
      <c r="AT2" s="165" t="s">
        <v>826</v>
      </c>
      <c r="AU2" s="165" t="s">
        <v>843</v>
      </c>
      <c r="AV2" s="165" t="s">
        <v>851</v>
      </c>
      <c r="AW2" s="165" t="s">
        <v>903</v>
      </c>
      <c r="AX2" s="165"/>
      <c r="AY2" s="166" t="s">
        <v>242</v>
      </c>
      <c r="AZ2" s="364" t="s">
        <v>187</v>
      </c>
      <c r="BA2" s="365"/>
    </row>
    <row r="3" spans="1:54" ht="37.5">
      <c r="A3" s="167"/>
      <c r="B3" s="168"/>
      <c r="C3" s="168">
        <f t="shared" ref="C3:H3" si="0">COUNTIF(C5:C36,"Yes")</f>
        <v>7</v>
      </c>
      <c r="D3" s="168">
        <f t="shared" si="0"/>
        <v>7</v>
      </c>
      <c r="E3" s="168">
        <f t="shared" si="0"/>
        <v>7</v>
      </c>
      <c r="F3" s="168">
        <f t="shared" si="0"/>
        <v>8</v>
      </c>
      <c r="G3" s="168">
        <f t="shared" si="0"/>
        <v>7</v>
      </c>
      <c r="H3" s="168">
        <f t="shared" si="0"/>
        <v>7</v>
      </c>
      <c r="I3" s="168">
        <f t="shared" ref="I3:N3" si="1">COUNTIF(I5:I36,"Yes")</f>
        <v>9</v>
      </c>
      <c r="J3" s="168">
        <f t="shared" si="1"/>
        <v>8</v>
      </c>
      <c r="K3" s="168">
        <f t="shared" si="1"/>
        <v>8</v>
      </c>
      <c r="L3" s="168">
        <f t="shared" si="1"/>
        <v>9</v>
      </c>
      <c r="M3" s="168">
        <f t="shared" si="1"/>
        <v>8</v>
      </c>
      <c r="N3" s="168">
        <f t="shared" si="1"/>
        <v>8</v>
      </c>
      <c r="O3" s="168">
        <f t="shared" ref="O3:T3" si="2">COUNTIF(O5:O36,"Yes")</f>
        <v>9</v>
      </c>
      <c r="P3" s="168">
        <f t="shared" si="2"/>
        <v>8</v>
      </c>
      <c r="Q3" s="168">
        <f t="shared" si="2"/>
        <v>8</v>
      </c>
      <c r="R3" s="168">
        <f t="shared" si="2"/>
        <v>9</v>
      </c>
      <c r="S3" s="168">
        <f t="shared" si="2"/>
        <v>8</v>
      </c>
      <c r="T3" s="168">
        <f t="shared" si="2"/>
        <v>8</v>
      </c>
      <c r="U3" s="168">
        <f t="shared" ref="U3:AA3" si="3">COUNTIF(U5:U36,"Yes")</f>
        <v>8</v>
      </c>
      <c r="V3" s="168">
        <f t="shared" si="3"/>
        <v>8</v>
      </c>
      <c r="W3" s="168">
        <f t="shared" si="3"/>
        <v>8</v>
      </c>
      <c r="X3" s="168">
        <f t="shared" si="3"/>
        <v>8</v>
      </c>
      <c r="Y3" s="168">
        <f t="shared" si="3"/>
        <v>7</v>
      </c>
      <c r="Z3" s="168">
        <f t="shared" ref="Z3" si="4">COUNTIF(Z5:Z36,"Yes")</f>
        <v>8</v>
      </c>
      <c r="AA3" s="168">
        <f t="shared" si="3"/>
        <v>7</v>
      </c>
      <c r="AB3" s="168">
        <v>8</v>
      </c>
      <c r="AC3" s="168">
        <v>8</v>
      </c>
      <c r="AD3" s="168">
        <v>8</v>
      </c>
      <c r="AE3" s="168">
        <v>8</v>
      </c>
      <c r="AF3" s="168">
        <v>8</v>
      </c>
      <c r="AG3" s="168">
        <v>8</v>
      </c>
      <c r="AH3" s="168">
        <v>8</v>
      </c>
      <c r="AI3" s="168">
        <v>8</v>
      </c>
      <c r="AJ3" s="168">
        <v>8</v>
      </c>
      <c r="AK3" s="168">
        <v>8</v>
      </c>
      <c r="AL3" s="168">
        <f t="shared" ref="AL3" si="5">COUNTIF(AL5:AL36,"Yes")</f>
        <v>7</v>
      </c>
      <c r="AM3" s="168">
        <v>8</v>
      </c>
      <c r="AN3" s="168">
        <v>8</v>
      </c>
      <c r="AO3" s="168">
        <v>8</v>
      </c>
      <c r="AP3" s="168">
        <v>8</v>
      </c>
      <c r="AQ3" s="168">
        <v>8</v>
      </c>
      <c r="AR3" s="168">
        <f t="shared" ref="AR3:AS3" si="6">COUNTIF(AR5:AR36,"Yes")</f>
        <v>7</v>
      </c>
      <c r="AS3" s="168">
        <f t="shared" si="6"/>
        <v>7</v>
      </c>
      <c r="AT3" s="168">
        <f t="shared" ref="AT3:AV3" si="7">COUNTIF(AT5:AT36,"Yes")</f>
        <v>7</v>
      </c>
      <c r="AU3" s="168">
        <f t="shared" ref="AU3" si="8">COUNTIF(AU5:AU36,"Yes")</f>
        <v>7</v>
      </c>
      <c r="AV3" s="168">
        <f t="shared" si="7"/>
        <v>7</v>
      </c>
      <c r="AW3" s="168">
        <f t="shared" ref="AW3" si="9">COUNTIF(AW5:AW36,"Yes")</f>
        <v>7</v>
      </c>
      <c r="AX3" s="168"/>
      <c r="AY3" s="155"/>
      <c r="AZ3" s="179" t="s">
        <v>233</v>
      </c>
      <c r="BA3" s="179" t="s">
        <v>234</v>
      </c>
      <c r="BB3" s="156"/>
    </row>
    <row r="4" spans="1:54" ht="36">
      <c r="A4" s="169"/>
      <c r="B4" s="170" t="s">
        <v>246</v>
      </c>
      <c r="C4" s="171"/>
      <c r="D4" s="171"/>
      <c r="E4" s="171"/>
      <c r="F4" s="171"/>
      <c r="G4" s="171"/>
      <c r="H4" s="171"/>
      <c r="I4" s="171"/>
      <c r="J4" s="171"/>
      <c r="K4" s="171"/>
      <c r="L4" s="171"/>
      <c r="M4" s="171"/>
      <c r="N4" s="171"/>
      <c r="O4" s="171"/>
      <c r="P4" s="171"/>
      <c r="Q4" s="171"/>
      <c r="R4" s="171"/>
      <c r="S4" s="171"/>
      <c r="T4" s="171"/>
      <c r="U4" s="171"/>
      <c r="V4" s="171"/>
      <c r="W4" s="171"/>
      <c r="X4" s="171"/>
      <c r="Y4" s="171"/>
      <c r="Z4" s="171"/>
      <c r="AA4" s="171"/>
      <c r="AB4" s="171"/>
      <c r="AC4" s="171"/>
      <c r="AD4" s="171"/>
      <c r="AE4" s="171"/>
      <c r="AF4" s="171"/>
      <c r="AG4" s="171"/>
      <c r="AH4" s="171"/>
      <c r="AI4" s="171"/>
      <c r="AJ4" s="171"/>
      <c r="AK4" s="171"/>
      <c r="AL4" s="171"/>
      <c r="AM4" s="171"/>
      <c r="AN4" s="171"/>
      <c r="AO4" s="171"/>
      <c r="AP4" s="171"/>
      <c r="AQ4" s="171"/>
      <c r="AR4" s="171"/>
      <c r="AS4" s="171"/>
      <c r="AT4" s="171"/>
      <c r="AU4" s="171"/>
      <c r="AV4" s="171"/>
      <c r="AW4" s="171"/>
      <c r="AX4" s="171"/>
      <c r="AY4" s="171"/>
      <c r="AZ4" s="171"/>
      <c r="BA4" s="172"/>
      <c r="BB4" s="86"/>
    </row>
    <row r="5" spans="1:54" ht="15">
      <c r="A5" s="151"/>
      <c r="B5" s="173" t="s">
        <v>247</v>
      </c>
      <c r="C5" s="152"/>
      <c r="D5" s="152"/>
      <c r="E5" s="152"/>
      <c r="F5" s="15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3"/>
    </row>
    <row r="6" spans="1:54" ht="25.5">
      <c r="A6" s="157" t="s">
        <v>268</v>
      </c>
      <c r="B6" s="176" t="s">
        <v>249</v>
      </c>
      <c r="C6" s="149" t="s">
        <v>226</v>
      </c>
      <c r="D6" s="149" t="s">
        <v>226</v>
      </c>
      <c r="E6" s="149" t="s">
        <v>226</v>
      </c>
      <c r="F6" s="149" t="s">
        <v>226</v>
      </c>
      <c r="G6" s="149" t="s">
        <v>226</v>
      </c>
      <c r="H6" s="149" t="s">
        <v>226</v>
      </c>
      <c r="I6" s="149" t="s">
        <v>226</v>
      </c>
      <c r="J6" s="149" t="s">
        <v>226</v>
      </c>
      <c r="K6" s="149" t="s">
        <v>226</v>
      </c>
      <c r="L6" s="149" t="s">
        <v>226</v>
      </c>
      <c r="M6" s="149" t="s">
        <v>226</v>
      </c>
      <c r="N6" s="149" t="s">
        <v>226</v>
      </c>
      <c r="O6" s="149" t="s">
        <v>226</v>
      </c>
      <c r="P6" s="149" t="s">
        <v>226</v>
      </c>
      <c r="Q6" s="149" t="s">
        <v>226</v>
      </c>
      <c r="R6" s="149" t="s">
        <v>226</v>
      </c>
      <c r="S6" s="149" t="s">
        <v>226</v>
      </c>
      <c r="T6" s="149" t="s">
        <v>226</v>
      </c>
      <c r="U6" s="149" t="s">
        <v>226</v>
      </c>
      <c r="V6" s="149" t="s">
        <v>226</v>
      </c>
      <c r="W6" s="149" t="s">
        <v>226</v>
      </c>
      <c r="X6" s="149" t="s">
        <v>226</v>
      </c>
      <c r="Y6" s="149" t="s">
        <v>226</v>
      </c>
      <c r="Z6" s="149" t="s">
        <v>226</v>
      </c>
      <c r="AA6" s="149" t="s">
        <v>226</v>
      </c>
      <c r="AB6" s="149" t="s">
        <v>226</v>
      </c>
      <c r="AC6" s="149" t="s">
        <v>226</v>
      </c>
      <c r="AD6" s="149" t="s">
        <v>226</v>
      </c>
      <c r="AE6" s="149" t="s">
        <v>226</v>
      </c>
      <c r="AF6" s="149" t="s">
        <v>226</v>
      </c>
      <c r="AG6" s="149" t="s">
        <v>226</v>
      </c>
      <c r="AH6" s="149" t="s">
        <v>226</v>
      </c>
      <c r="AI6" s="149" t="s">
        <v>226</v>
      </c>
      <c r="AJ6" s="149" t="s">
        <v>226</v>
      </c>
      <c r="AK6" s="149" t="s">
        <v>226</v>
      </c>
      <c r="AL6" s="149" t="s">
        <v>226</v>
      </c>
      <c r="AM6" s="149" t="s">
        <v>226</v>
      </c>
      <c r="AN6" s="149" t="s">
        <v>226</v>
      </c>
      <c r="AO6" s="149" t="s">
        <v>226</v>
      </c>
      <c r="AP6" s="149" t="s">
        <v>226</v>
      </c>
      <c r="AQ6" s="149" t="s">
        <v>226</v>
      </c>
      <c r="AR6" s="149" t="s">
        <v>226</v>
      </c>
      <c r="AS6" s="149" t="s">
        <v>226</v>
      </c>
      <c r="AT6" s="149" t="s">
        <v>226</v>
      </c>
      <c r="AU6" s="149" t="s">
        <v>226</v>
      </c>
      <c r="AV6" s="149" t="s">
        <v>226</v>
      </c>
      <c r="AW6" s="149" t="s">
        <v>226</v>
      </c>
      <c r="AX6" s="149"/>
      <c r="AY6" s="149"/>
      <c r="AZ6" s="154"/>
      <c r="BA6" s="154"/>
    </row>
    <row r="7" spans="1:54" ht="38.25">
      <c r="A7" s="157" t="s">
        <v>269</v>
      </c>
      <c r="B7" s="176" t="s">
        <v>290</v>
      </c>
      <c r="C7" s="149" t="s">
        <v>226</v>
      </c>
      <c r="D7" s="149" t="s">
        <v>226</v>
      </c>
      <c r="E7" s="149" t="s">
        <v>226</v>
      </c>
      <c r="F7" s="149" t="s">
        <v>226</v>
      </c>
      <c r="G7" s="149" t="s">
        <v>226</v>
      </c>
      <c r="H7" s="149" t="s">
        <v>226</v>
      </c>
      <c r="I7" s="149" t="s">
        <v>226</v>
      </c>
      <c r="J7" s="149" t="s">
        <v>226</v>
      </c>
      <c r="K7" s="149" t="s">
        <v>226</v>
      </c>
      <c r="L7" s="149" t="s">
        <v>226</v>
      </c>
      <c r="M7" s="149" t="s">
        <v>226</v>
      </c>
      <c r="N7" s="149" t="s">
        <v>226</v>
      </c>
      <c r="O7" s="149" t="s">
        <v>226</v>
      </c>
      <c r="P7" s="149" t="s">
        <v>226</v>
      </c>
      <c r="Q7" s="149" t="s">
        <v>226</v>
      </c>
      <c r="R7" s="149" t="s">
        <v>226</v>
      </c>
      <c r="S7" s="149" t="s">
        <v>226</v>
      </c>
      <c r="T7" s="149" t="s">
        <v>226</v>
      </c>
      <c r="U7" s="149" t="s">
        <v>226</v>
      </c>
      <c r="V7" s="149" t="s">
        <v>226</v>
      </c>
      <c r="W7" s="149" t="s">
        <v>226</v>
      </c>
      <c r="X7" s="149" t="s">
        <v>226</v>
      </c>
      <c r="Y7" s="149" t="s">
        <v>226</v>
      </c>
      <c r="Z7" s="149" t="s">
        <v>226</v>
      </c>
      <c r="AA7" s="149" t="s">
        <v>226</v>
      </c>
      <c r="AB7" s="149" t="s">
        <v>226</v>
      </c>
      <c r="AC7" s="149" t="s">
        <v>226</v>
      </c>
      <c r="AD7" s="149" t="s">
        <v>226</v>
      </c>
      <c r="AE7" s="149" t="s">
        <v>226</v>
      </c>
      <c r="AF7" s="149" t="s">
        <v>226</v>
      </c>
      <c r="AG7" s="149" t="s">
        <v>226</v>
      </c>
      <c r="AH7" s="149" t="s">
        <v>226</v>
      </c>
      <c r="AI7" s="149" t="s">
        <v>226</v>
      </c>
      <c r="AJ7" s="149" t="s">
        <v>226</v>
      </c>
      <c r="AK7" s="149" t="s">
        <v>226</v>
      </c>
      <c r="AL7" s="149" t="s">
        <v>226</v>
      </c>
      <c r="AM7" s="149" t="s">
        <v>226</v>
      </c>
      <c r="AN7" s="149" t="s">
        <v>226</v>
      </c>
      <c r="AO7" s="149" t="s">
        <v>226</v>
      </c>
      <c r="AP7" s="149" t="s">
        <v>226</v>
      </c>
      <c r="AQ7" s="149" t="s">
        <v>226</v>
      </c>
      <c r="AR7" s="149" t="s">
        <v>226</v>
      </c>
      <c r="AS7" s="149" t="s">
        <v>226</v>
      </c>
      <c r="AT7" s="149" t="s">
        <v>226</v>
      </c>
      <c r="AU7" s="149" t="s">
        <v>226</v>
      </c>
      <c r="AV7" s="149" t="s">
        <v>226</v>
      </c>
      <c r="AW7" s="149" t="s">
        <v>226</v>
      </c>
      <c r="AX7" s="149"/>
      <c r="AY7" s="149"/>
      <c r="AZ7" s="158" t="s">
        <v>291</v>
      </c>
      <c r="BA7" s="154"/>
    </row>
    <row r="8" spans="1:54" ht="25.5">
      <c r="A8" s="157" t="s">
        <v>270</v>
      </c>
      <c r="B8" s="176" t="s">
        <v>250</v>
      </c>
      <c r="C8" s="149" t="s">
        <v>226</v>
      </c>
      <c r="D8" s="149" t="s">
        <v>226</v>
      </c>
      <c r="E8" s="149" t="s">
        <v>226</v>
      </c>
      <c r="F8" s="149" t="s">
        <v>226</v>
      </c>
      <c r="G8" s="149" t="s">
        <v>226</v>
      </c>
      <c r="H8" s="149" t="s">
        <v>226</v>
      </c>
      <c r="I8" s="149" t="s">
        <v>226</v>
      </c>
      <c r="J8" s="149" t="s">
        <v>226</v>
      </c>
      <c r="K8" s="149" t="s">
        <v>226</v>
      </c>
      <c r="L8" s="149" t="s">
        <v>226</v>
      </c>
      <c r="M8" s="149" t="s">
        <v>226</v>
      </c>
      <c r="N8" s="149" t="s">
        <v>226</v>
      </c>
      <c r="O8" s="149" t="s">
        <v>226</v>
      </c>
      <c r="P8" s="149" t="s">
        <v>226</v>
      </c>
      <c r="Q8" s="149" t="s">
        <v>226</v>
      </c>
      <c r="R8" s="149" t="s">
        <v>226</v>
      </c>
      <c r="S8" s="149" t="s">
        <v>226</v>
      </c>
      <c r="T8" s="149" t="s">
        <v>226</v>
      </c>
      <c r="U8" s="149" t="s">
        <v>226</v>
      </c>
      <c r="V8" s="149" t="s">
        <v>226</v>
      </c>
      <c r="W8" s="149" t="s">
        <v>226</v>
      </c>
      <c r="X8" s="149" t="s">
        <v>226</v>
      </c>
      <c r="Y8" s="149" t="s">
        <v>226</v>
      </c>
      <c r="Z8" s="149" t="s">
        <v>226</v>
      </c>
      <c r="AA8" s="149" t="s">
        <v>226</v>
      </c>
      <c r="AB8" s="149" t="s">
        <v>226</v>
      </c>
      <c r="AC8" s="149" t="s">
        <v>226</v>
      </c>
      <c r="AD8" s="149" t="s">
        <v>226</v>
      </c>
      <c r="AE8" s="149" t="s">
        <v>226</v>
      </c>
      <c r="AF8" s="149" t="s">
        <v>226</v>
      </c>
      <c r="AG8" s="149" t="s">
        <v>226</v>
      </c>
      <c r="AH8" s="149" t="s">
        <v>226</v>
      </c>
      <c r="AI8" s="149" t="s">
        <v>226</v>
      </c>
      <c r="AJ8" s="149" t="s">
        <v>226</v>
      </c>
      <c r="AK8" s="149" t="s">
        <v>226</v>
      </c>
      <c r="AL8" s="149" t="s">
        <v>226</v>
      </c>
      <c r="AM8" s="149" t="s">
        <v>226</v>
      </c>
      <c r="AN8" s="149" t="s">
        <v>226</v>
      </c>
      <c r="AO8" s="149" t="s">
        <v>226</v>
      </c>
      <c r="AP8" s="149" t="s">
        <v>226</v>
      </c>
      <c r="AQ8" s="149" t="s">
        <v>226</v>
      </c>
      <c r="AR8" s="149" t="s">
        <v>226</v>
      </c>
      <c r="AS8" s="149" t="s">
        <v>226</v>
      </c>
      <c r="AT8" s="149" t="s">
        <v>226</v>
      </c>
      <c r="AU8" s="149" t="s">
        <v>226</v>
      </c>
      <c r="AV8" s="149" t="s">
        <v>226</v>
      </c>
      <c r="AW8" s="149" t="s">
        <v>226</v>
      </c>
      <c r="AX8" s="149"/>
      <c r="AY8" s="149"/>
      <c r="AZ8" s="154"/>
      <c r="BA8" s="154"/>
    </row>
    <row r="9" spans="1:54" ht="25.5">
      <c r="A9" s="157" t="s">
        <v>271</v>
      </c>
      <c r="B9" s="176" t="s">
        <v>296</v>
      </c>
      <c r="C9" s="149" t="s">
        <v>226</v>
      </c>
      <c r="D9" s="149" t="s">
        <v>226</v>
      </c>
      <c r="E9" s="149" t="s">
        <v>226</v>
      </c>
      <c r="F9" s="149" t="s">
        <v>226</v>
      </c>
      <c r="G9" s="149" t="s">
        <v>226</v>
      </c>
      <c r="H9" s="149" t="s">
        <v>226</v>
      </c>
      <c r="I9" s="149" t="s">
        <v>226</v>
      </c>
      <c r="J9" s="149" t="s">
        <v>226</v>
      </c>
      <c r="K9" s="149" t="s">
        <v>226</v>
      </c>
      <c r="L9" s="149" t="s">
        <v>226</v>
      </c>
      <c r="M9" s="149" t="s">
        <v>226</v>
      </c>
      <c r="N9" s="149" t="s">
        <v>226</v>
      </c>
      <c r="O9" s="149" t="s">
        <v>226</v>
      </c>
      <c r="P9" s="149" t="s">
        <v>226</v>
      </c>
      <c r="Q9" s="149" t="s">
        <v>226</v>
      </c>
      <c r="R9" s="149" t="s">
        <v>226</v>
      </c>
      <c r="S9" s="149" t="s">
        <v>226</v>
      </c>
      <c r="T9" s="149" t="s">
        <v>226</v>
      </c>
      <c r="U9" s="149" t="s">
        <v>226</v>
      </c>
      <c r="V9" s="149" t="s">
        <v>226</v>
      </c>
      <c r="W9" s="149" t="s">
        <v>226</v>
      </c>
      <c r="X9" s="149" t="s">
        <v>226</v>
      </c>
      <c r="Y9" s="149" t="s">
        <v>226</v>
      </c>
      <c r="Z9" s="149" t="s">
        <v>226</v>
      </c>
      <c r="AA9" s="149" t="s">
        <v>226</v>
      </c>
      <c r="AB9" s="149" t="s">
        <v>226</v>
      </c>
      <c r="AC9" s="149" t="s">
        <v>226</v>
      </c>
      <c r="AD9" s="149" t="s">
        <v>226</v>
      </c>
      <c r="AE9" s="149" t="s">
        <v>226</v>
      </c>
      <c r="AF9" s="149" t="s">
        <v>226</v>
      </c>
      <c r="AG9" s="149" t="s">
        <v>226</v>
      </c>
      <c r="AH9" s="149" t="s">
        <v>226</v>
      </c>
      <c r="AI9" s="149" t="s">
        <v>226</v>
      </c>
      <c r="AJ9" s="149" t="s">
        <v>226</v>
      </c>
      <c r="AK9" s="149" t="s">
        <v>226</v>
      </c>
      <c r="AL9" s="149" t="s">
        <v>226</v>
      </c>
      <c r="AM9" s="149" t="s">
        <v>226</v>
      </c>
      <c r="AN9" s="149" t="s">
        <v>226</v>
      </c>
      <c r="AO9" s="149" t="s">
        <v>226</v>
      </c>
      <c r="AP9" s="149" t="s">
        <v>226</v>
      </c>
      <c r="AQ9" s="149" t="s">
        <v>226</v>
      </c>
      <c r="AR9" s="149" t="s">
        <v>226</v>
      </c>
      <c r="AS9" s="149" t="s">
        <v>226</v>
      </c>
      <c r="AT9" s="149" t="s">
        <v>226</v>
      </c>
      <c r="AU9" s="149" t="s">
        <v>226</v>
      </c>
      <c r="AV9" s="149" t="s">
        <v>226</v>
      </c>
      <c r="AW9" s="149" t="s">
        <v>226</v>
      </c>
      <c r="AX9" s="149"/>
      <c r="AY9" s="149"/>
      <c r="AZ9" s="154"/>
      <c r="BA9" s="154"/>
    </row>
    <row r="10" spans="1:54" ht="38.25">
      <c r="A10" s="157" t="s">
        <v>297</v>
      </c>
      <c r="B10" s="176" t="s">
        <v>298</v>
      </c>
      <c r="C10" s="149" t="s">
        <v>11</v>
      </c>
      <c r="D10" s="149" t="s">
        <v>11</v>
      </c>
      <c r="E10" s="149" t="s">
        <v>11</v>
      </c>
      <c r="F10" s="149" t="s">
        <v>11</v>
      </c>
      <c r="G10" s="149" t="s">
        <v>11</v>
      </c>
      <c r="H10" s="149" t="s">
        <v>11</v>
      </c>
      <c r="I10" s="149" t="s">
        <v>11</v>
      </c>
      <c r="J10" s="149" t="s">
        <v>11</v>
      </c>
      <c r="K10" s="149" t="s">
        <v>11</v>
      </c>
      <c r="L10" s="149" t="s">
        <v>11</v>
      </c>
      <c r="M10" s="149" t="s">
        <v>11</v>
      </c>
      <c r="N10" s="149" t="s">
        <v>11</v>
      </c>
      <c r="O10" s="149" t="s">
        <v>11</v>
      </c>
      <c r="P10" s="149" t="s">
        <v>11</v>
      </c>
      <c r="Q10" s="149" t="s">
        <v>11</v>
      </c>
      <c r="R10" s="149" t="s">
        <v>11</v>
      </c>
      <c r="S10" s="149" t="s">
        <v>11</v>
      </c>
      <c r="T10" s="149" t="s">
        <v>11</v>
      </c>
      <c r="U10" s="149" t="s">
        <v>11</v>
      </c>
      <c r="V10" s="149" t="s">
        <v>11</v>
      </c>
      <c r="W10" s="149" t="s">
        <v>11</v>
      </c>
      <c r="X10" s="149" t="s">
        <v>11</v>
      </c>
      <c r="Y10" s="149" t="s">
        <v>11</v>
      </c>
      <c r="Z10" s="149" t="s">
        <v>11</v>
      </c>
      <c r="AA10" s="149" t="s">
        <v>11</v>
      </c>
      <c r="AB10" s="149" t="s">
        <v>11</v>
      </c>
      <c r="AC10" s="149" t="s">
        <v>11</v>
      </c>
      <c r="AD10" s="149" t="s">
        <v>11</v>
      </c>
      <c r="AE10" s="149" t="s">
        <v>11</v>
      </c>
      <c r="AF10" s="149" t="s">
        <v>11</v>
      </c>
      <c r="AG10" s="149" t="s">
        <v>11</v>
      </c>
      <c r="AH10" s="149" t="s">
        <v>11</v>
      </c>
      <c r="AI10" s="149" t="s">
        <v>11</v>
      </c>
      <c r="AJ10" s="149" t="s">
        <v>11</v>
      </c>
      <c r="AK10" s="149" t="s">
        <v>11</v>
      </c>
      <c r="AL10" s="149" t="s">
        <v>11</v>
      </c>
      <c r="AM10" s="149" t="s">
        <v>11</v>
      </c>
      <c r="AN10" s="149" t="s">
        <v>11</v>
      </c>
      <c r="AO10" s="149" t="s">
        <v>11</v>
      </c>
      <c r="AP10" s="149" t="s">
        <v>11</v>
      </c>
      <c r="AQ10" s="149" t="s">
        <v>11</v>
      </c>
      <c r="AR10" s="149" t="s">
        <v>11</v>
      </c>
      <c r="AS10" s="149" t="s">
        <v>11</v>
      </c>
      <c r="AT10" s="149" t="s">
        <v>11</v>
      </c>
      <c r="AU10" s="149" t="s">
        <v>11</v>
      </c>
      <c r="AV10" s="149" t="s">
        <v>11</v>
      </c>
      <c r="AW10" s="149" t="s">
        <v>11</v>
      </c>
      <c r="AX10" s="149"/>
      <c r="AY10" s="149"/>
      <c r="AZ10" s="154"/>
      <c r="BA10" s="154"/>
    </row>
    <row r="11" spans="1:54" ht="15">
      <c r="A11" s="151"/>
      <c r="B11" s="173" t="s">
        <v>248</v>
      </c>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3"/>
    </row>
    <row r="12" spans="1:54" ht="63.75">
      <c r="A12" s="157" t="s">
        <v>272</v>
      </c>
      <c r="B12" s="176" t="s">
        <v>251</v>
      </c>
      <c r="C12" s="149" t="s">
        <v>226</v>
      </c>
      <c r="D12" s="149" t="s">
        <v>226</v>
      </c>
      <c r="E12" s="149" t="s">
        <v>226</v>
      </c>
      <c r="F12" s="149" t="s">
        <v>226</v>
      </c>
      <c r="G12" s="149" t="s">
        <v>226</v>
      </c>
      <c r="H12" s="149" t="s">
        <v>226</v>
      </c>
      <c r="I12" s="149" t="s">
        <v>226</v>
      </c>
      <c r="J12" s="149" t="s">
        <v>226</v>
      </c>
      <c r="K12" s="149" t="s">
        <v>226</v>
      </c>
      <c r="L12" s="149" t="s">
        <v>226</v>
      </c>
      <c r="M12" s="149" t="s">
        <v>226</v>
      </c>
      <c r="N12" s="149" t="s">
        <v>226</v>
      </c>
      <c r="O12" s="149" t="s">
        <v>226</v>
      </c>
      <c r="P12" s="149" t="s">
        <v>226</v>
      </c>
      <c r="Q12" s="149" t="s">
        <v>226</v>
      </c>
      <c r="R12" s="149" t="s">
        <v>226</v>
      </c>
      <c r="S12" s="149" t="s">
        <v>226</v>
      </c>
      <c r="T12" s="149" t="s">
        <v>226</v>
      </c>
      <c r="U12" s="149" t="s">
        <v>226</v>
      </c>
      <c r="V12" s="149" t="s">
        <v>226</v>
      </c>
      <c r="W12" s="149" t="s">
        <v>226</v>
      </c>
      <c r="X12" s="149" t="s">
        <v>226</v>
      </c>
      <c r="Y12" s="149" t="s">
        <v>226</v>
      </c>
      <c r="Z12" s="149" t="s">
        <v>226</v>
      </c>
      <c r="AA12" s="149" t="s">
        <v>226</v>
      </c>
      <c r="AB12" s="149" t="s">
        <v>226</v>
      </c>
      <c r="AC12" s="149" t="s">
        <v>226</v>
      </c>
      <c r="AD12" s="149" t="s">
        <v>226</v>
      </c>
      <c r="AE12" s="149" t="s">
        <v>226</v>
      </c>
      <c r="AF12" s="149" t="s">
        <v>226</v>
      </c>
      <c r="AG12" s="149" t="s">
        <v>226</v>
      </c>
      <c r="AH12" s="149" t="s">
        <v>226</v>
      </c>
      <c r="AI12" s="149" t="s">
        <v>226</v>
      </c>
      <c r="AJ12" s="149" t="s">
        <v>226</v>
      </c>
      <c r="AK12" s="149" t="s">
        <v>226</v>
      </c>
      <c r="AL12" s="149" t="s">
        <v>226</v>
      </c>
      <c r="AM12" s="149" t="s">
        <v>226</v>
      </c>
      <c r="AN12" s="149" t="s">
        <v>226</v>
      </c>
      <c r="AO12" s="149" t="s">
        <v>226</v>
      </c>
      <c r="AP12" s="149" t="s">
        <v>226</v>
      </c>
      <c r="AQ12" s="149" t="s">
        <v>226</v>
      </c>
      <c r="AR12" s="149" t="s">
        <v>226</v>
      </c>
      <c r="AS12" s="149" t="s">
        <v>226</v>
      </c>
      <c r="AT12" s="149" t="s">
        <v>226</v>
      </c>
      <c r="AU12" s="149" t="s">
        <v>226</v>
      </c>
      <c r="AV12" s="149" t="s">
        <v>226</v>
      </c>
      <c r="AW12" s="149" t="s">
        <v>226</v>
      </c>
      <c r="AX12" s="149"/>
      <c r="AY12" s="149"/>
      <c r="AZ12" s="154"/>
      <c r="BA12" s="154"/>
    </row>
    <row r="13" spans="1:54" ht="63.75">
      <c r="A13" s="157" t="s">
        <v>257</v>
      </c>
      <c r="B13" s="176" t="s">
        <v>252</v>
      </c>
      <c r="C13" s="149" t="s">
        <v>226</v>
      </c>
      <c r="D13" s="149" t="s">
        <v>226</v>
      </c>
      <c r="E13" s="149" t="s">
        <v>226</v>
      </c>
      <c r="F13" s="149" t="s">
        <v>226</v>
      </c>
      <c r="G13" s="149" t="s">
        <v>226</v>
      </c>
      <c r="H13" s="149" t="s">
        <v>226</v>
      </c>
      <c r="I13" s="149" t="s">
        <v>226</v>
      </c>
      <c r="J13" s="149" t="s">
        <v>226</v>
      </c>
      <c r="K13" s="149" t="s">
        <v>226</v>
      </c>
      <c r="L13" s="149" t="s">
        <v>226</v>
      </c>
      <c r="M13" s="149" t="s">
        <v>226</v>
      </c>
      <c r="N13" s="149" t="s">
        <v>226</v>
      </c>
      <c r="O13" s="149" t="s">
        <v>226</v>
      </c>
      <c r="P13" s="149" t="s">
        <v>226</v>
      </c>
      <c r="Q13" s="149" t="s">
        <v>226</v>
      </c>
      <c r="R13" s="149" t="s">
        <v>226</v>
      </c>
      <c r="S13" s="149" t="s">
        <v>226</v>
      </c>
      <c r="T13" s="149" t="s">
        <v>226</v>
      </c>
      <c r="U13" s="149" t="s">
        <v>226</v>
      </c>
      <c r="V13" s="149" t="s">
        <v>226</v>
      </c>
      <c r="W13" s="149" t="s">
        <v>226</v>
      </c>
      <c r="X13" s="149" t="s">
        <v>226</v>
      </c>
      <c r="Y13" s="149" t="s">
        <v>226</v>
      </c>
      <c r="Z13" s="149" t="s">
        <v>226</v>
      </c>
      <c r="AA13" s="149" t="s">
        <v>226</v>
      </c>
      <c r="AB13" s="149" t="s">
        <v>226</v>
      </c>
      <c r="AC13" s="149" t="s">
        <v>226</v>
      </c>
      <c r="AD13" s="149" t="s">
        <v>226</v>
      </c>
      <c r="AE13" s="149" t="s">
        <v>226</v>
      </c>
      <c r="AF13" s="149" t="s">
        <v>226</v>
      </c>
      <c r="AG13" s="149" t="s">
        <v>226</v>
      </c>
      <c r="AH13" s="149" t="s">
        <v>226</v>
      </c>
      <c r="AI13" s="149" t="s">
        <v>226</v>
      </c>
      <c r="AJ13" s="149" t="s">
        <v>226</v>
      </c>
      <c r="AK13" s="149" t="s">
        <v>226</v>
      </c>
      <c r="AL13" s="149" t="s">
        <v>226</v>
      </c>
      <c r="AM13" s="149" t="s">
        <v>226</v>
      </c>
      <c r="AN13" s="149" t="s">
        <v>226</v>
      </c>
      <c r="AO13" s="149" t="s">
        <v>226</v>
      </c>
      <c r="AP13" s="149" t="s">
        <v>226</v>
      </c>
      <c r="AQ13" s="149" t="s">
        <v>226</v>
      </c>
      <c r="AR13" s="149" t="s">
        <v>226</v>
      </c>
      <c r="AS13" s="149" t="s">
        <v>226</v>
      </c>
      <c r="AT13" s="149" t="s">
        <v>226</v>
      </c>
      <c r="AU13" s="149" t="s">
        <v>226</v>
      </c>
      <c r="AV13" s="149" t="s">
        <v>226</v>
      </c>
      <c r="AW13" s="149" t="s">
        <v>226</v>
      </c>
      <c r="AX13" s="149"/>
      <c r="AY13" s="149"/>
      <c r="AZ13" s="154"/>
      <c r="BA13" s="154"/>
    </row>
    <row r="14" spans="1:54" ht="51">
      <c r="A14" s="157" t="s">
        <v>273</v>
      </c>
      <c r="B14" s="176" t="s">
        <v>274</v>
      </c>
      <c r="C14" s="149" t="s">
        <v>226</v>
      </c>
      <c r="D14" s="149" t="s">
        <v>23</v>
      </c>
      <c r="E14" s="149" t="s">
        <v>23</v>
      </c>
      <c r="F14" s="149" t="s">
        <v>226</v>
      </c>
      <c r="G14" s="149" t="s">
        <v>23</v>
      </c>
      <c r="H14" s="149" t="s">
        <v>23</v>
      </c>
      <c r="I14" s="149" t="s">
        <v>226</v>
      </c>
      <c r="J14" s="149" t="s">
        <v>23</v>
      </c>
      <c r="K14" s="149" t="s">
        <v>23</v>
      </c>
      <c r="L14" s="149" t="s">
        <v>226</v>
      </c>
      <c r="M14" s="149" t="s">
        <v>23</v>
      </c>
      <c r="N14" s="149" t="s">
        <v>23</v>
      </c>
      <c r="O14" s="149" t="s">
        <v>226</v>
      </c>
      <c r="P14" s="149" t="s">
        <v>23</v>
      </c>
      <c r="Q14" s="149" t="s">
        <v>23</v>
      </c>
      <c r="R14" s="149" t="s">
        <v>226</v>
      </c>
      <c r="S14" s="149" t="s">
        <v>23</v>
      </c>
      <c r="T14" s="149" t="s">
        <v>23</v>
      </c>
      <c r="U14" s="149" t="s">
        <v>23</v>
      </c>
      <c r="V14" s="149" t="s">
        <v>23</v>
      </c>
      <c r="W14" s="149" t="s">
        <v>23</v>
      </c>
      <c r="X14" s="149" t="s">
        <v>226</v>
      </c>
      <c r="Y14" s="149" t="s">
        <v>23</v>
      </c>
      <c r="Z14" s="149" t="s">
        <v>23</v>
      </c>
      <c r="AA14" s="149" t="s">
        <v>23</v>
      </c>
      <c r="AB14" s="149" t="s">
        <v>23</v>
      </c>
      <c r="AC14" s="149" t="s">
        <v>23</v>
      </c>
      <c r="AD14" s="149" t="s">
        <v>23</v>
      </c>
      <c r="AE14" s="149" t="s">
        <v>23</v>
      </c>
      <c r="AF14" s="149" t="s">
        <v>23</v>
      </c>
      <c r="AG14" s="149" t="s">
        <v>23</v>
      </c>
      <c r="AH14" s="149" t="s">
        <v>23</v>
      </c>
      <c r="AI14" s="149" t="s">
        <v>23</v>
      </c>
      <c r="AJ14" s="149" t="s">
        <v>23</v>
      </c>
      <c r="AK14" s="149" t="s">
        <v>23</v>
      </c>
      <c r="AL14" s="149" t="s">
        <v>23</v>
      </c>
      <c r="AM14" s="149" t="s">
        <v>23</v>
      </c>
      <c r="AN14" s="149" t="s">
        <v>23</v>
      </c>
      <c r="AO14" s="149" t="s">
        <v>23</v>
      </c>
      <c r="AP14" s="149" t="s">
        <v>23</v>
      </c>
      <c r="AQ14" s="149" t="s">
        <v>23</v>
      </c>
      <c r="AR14" s="149" t="s">
        <v>23</v>
      </c>
      <c r="AS14" s="149" t="s">
        <v>23</v>
      </c>
      <c r="AT14" s="149" t="s">
        <v>23</v>
      </c>
      <c r="AU14" s="149" t="s">
        <v>23</v>
      </c>
      <c r="AV14" s="149" t="s">
        <v>23</v>
      </c>
      <c r="AW14" s="149" t="s">
        <v>23</v>
      </c>
      <c r="AX14" s="149"/>
      <c r="AY14" s="190" t="s">
        <v>511</v>
      </c>
      <c r="AZ14" s="154"/>
      <c r="BA14" s="154"/>
    </row>
    <row r="15" spans="1:54" ht="25.5">
      <c r="A15" s="157" t="s">
        <v>258</v>
      </c>
      <c r="B15" s="176" t="s">
        <v>259</v>
      </c>
      <c r="C15" s="149" t="s">
        <v>23</v>
      </c>
      <c r="D15" s="149" t="s">
        <v>226</v>
      </c>
      <c r="E15" s="149" t="s">
        <v>226</v>
      </c>
      <c r="F15" s="149" t="s">
        <v>226</v>
      </c>
      <c r="G15" s="149" t="s">
        <v>226</v>
      </c>
      <c r="H15" s="149" t="s">
        <v>226</v>
      </c>
      <c r="I15" s="149" t="s">
        <v>11</v>
      </c>
      <c r="J15" s="149" t="s">
        <v>11</v>
      </c>
      <c r="K15" s="149" t="s">
        <v>23</v>
      </c>
      <c r="L15" s="149" t="s">
        <v>11</v>
      </c>
      <c r="M15" s="149" t="s">
        <v>11</v>
      </c>
      <c r="N15" s="149" t="s">
        <v>11</v>
      </c>
      <c r="O15" s="149" t="s">
        <v>11</v>
      </c>
      <c r="P15" s="149" t="s">
        <v>11</v>
      </c>
      <c r="Q15" s="149" t="s">
        <v>23</v>
      </c>
      <c r="R15" s="149" t="s">
        <v>11</v>
      </c>
      <c r="S15" s="149" t="s">
        <v>11</v>
      </c>
      <c r="T15" s="149" t="s">
        <v>11</v>
      </c>
      <c r="U15" s="149" t="s">
        <v>11</v>
      </c>
      <c r="V15" s="149" t="s">
        <v>11</v>
      </c>
      <c r="W15" s="149" t="s">
        <v>23</v>
      </c>
      <c r="X15" s="149" t="s">
        <v>226</v>
      </c>
      <c r="Y15" s="149" t="s">
        <v>226</v>
      </c>
      <c r="Z15" s="149" t="s">
        <v>11</v>
      </c>
      <c r="AA15" s="149" t="s">
        <v>226</v>
      </c>
      <c r="AB15" s="149" t="s">
        <v>226</v>
      </c>
      <c r="AC15" s="149" t="s">
        <v>226</v>
      </c>
      <c r="AD15" s="149" t="s">
        <v>226</v>
      </c>
      <c r="AE15" s="149" t="s">
        <v>226</v>
      </c>
      <c r="AF15" s="149" t="s">
        <v>226</v>
      </c>
      <c r="AG15" s="149" t="s">
        <v>226</v>
      </c>
      <c r="AH15" s="149" t="s">
        <v>226</v>
      </c>
      <c r="AI15" s="149" t="s">
        <v>226</v>
      </c>
      <c r="AJ15" s="149" t="s">
        <v>226</v>
      </c>
      <c r="AK15" s="149" t="s">
        <v>226</v>
      </c>
      <c r="AL15" s="149" t="s">
        <v>226</v>
      </c>
      <c r="AM15" s="149" t="s">
        <v>226</v>
      </c>
      <c r="AN15" s="149" t="s">
        <v>226</v>
      </c>
      <c r="AO15" s="149" t="s">
        <v>226</v>
      </c>
      <c r="AP15" s="149" t="s">
        <v>226</v>
      </c>
      <c r="AQ15" s="149" t="s">
        <v>226</v>
      </c>
      <c r="AR15" s="149" t="s">
        <v>226</v>
      </c>
      <c r="AS15" s="149" t="s">
        <v>226</v>
      </c>
      <c r="AT15" s="149" t="s">
        <v>226</v>
      </c>
      <c r="AU15" s="149" t="s">
        <v>226</v>
      </c>
      <c r="AV15" s="149" t="s">
        <v>226</v>
      </c>
      <c r="AW15" s="149" t="s">
        <v>226</v>
      </c>
      <c r="AX15" s="149"/>
      <c r="AY15" s="149"/>
      <c r="AZ15" s="154"/>
      <c r="BA15" s="154"/>
    </row>
    <row r="16" spans="1:54" ht="15">
      <c r="A16" s="151"/>
      <c r="B16" s="173" t="s">
        <v>276</v>
      </c>
      <c r="C16" s="152"/>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3"/>
    </row>
    <row r="17" spans="1:53" ht="38.25">
      <c r="A17" s="157" t="s">
        <v>374</v>
      </c>
      <c r="B17" s="176" t="s">
        <v>375</v>
      </c>
      <c r="C17" s="149" t="s">
        <v>23</v>
      </c>
      <c r="D17" s="149" t="s">
        <v>23</v>
      </c>
      <c r="E17" s="149" t="s">
        <v>23</v>
      </c>
      <c r="F17" s="149" t="s">
        <v>23</v>
      </c>
      <c r="G17" s="149" t="s">
        <v>23</v>
      </c>
      <c r="H17" s="149" t="s">
        <v>23</v>
      </c>
      <c r="I17" s="149" t="s">
        <v>226</v>
      </c>
      <c r="J17" s="149" t="s">
        <v>226</v>
      </c>
      <c r="K17" s="149" t="s">
        <v>226</v>
      </c>
      <c r="L17" s="149" t="s">
        <v>226</v>
      </c>
      <c r="M17" s="149" t="s">
        <v>226</v>
      </c>
      <c r="N17" s="149" t="s">
        <v>226</v>
      </c>
      <c r="O17" s="149" t="s">
        <v>226</v>
      </c>
      <c r="P17" s="149" t="s">
        <v>226</v>
      </c>
      <c r="Q17" s="149" t="s">
        <v>226</v>
      </c>
      <c r="R17" s="149" t="s">
        <v>226</v>
      </c>
      <c r="S17" s="149" t="s">
        <v>226</v>
      </c>
      <c r="T17" s="149" t="s">
        <v>226</v>
      </c>
      <c r="U17" s="149" t="s">
        <v>226</v>
      </c>
      <c r="V17" s="149" t="s">
        <v>226</v>
      </c>
      <c r="W17" s="149" t="s">
        <v>226</v>
      </c>
      <c r="X17" s="149" t="s">
        <v>23</v>
      </c>
      <c r="Y17" s="149" t="s">
        <v>23</v>
      </c>
      <c r="Z17" s="149" t="s">
        <v>226</v>
      </c>
      <c r="AA17" s="149" t="s">
        <v>23</v>
      </c>
      <c r="AB17" s="149" t="s">
        <v>23</v>
      </c>
      <c r="AC17" s="149" t="s">
        <v>23</v>
      </c>
      <c r="AD17" s="149" t="s">
        <v>23</v>
      </c>
      <c r="AE17" s="149" t="s">
        <v>23</v>
      </c>
      <c r="AF17" s="149" t="s">
        <v>23</v>
      </c>
      <c r="AG17" s="149" t="s">
        <v>23</v>
      </c>
      <c r="AH17" s="149" t="s">
        <v>23</v>
      </c>
      <c r="AI17" s="149" t="s">
        <v>23</v>
      </c>
      <c r="AJ17" s="149" t="s">
        <v>23</v>
      </c>
      <c r="AK17" s="149" t="s">
        <v>23</v>
      </c>
      <c r="AL17" s="149" t="s">
        <v>23</v>
      </c>
      <c r="AM17" s="149" t="s">
        <v>23</v>
      </c>
      <c r="AN17" s="149" t="s">
        <v>23</v>
      </c>
      <c r="AO17" s="149" t="s">
        <v>23</v>
      </c>
      <c r="AP17" s="149" t="s">
        <v>23</v>
      </c>
      <c r="AQ17" s="149" t="s">
        <v>23</v>
      </c>
      <c r="AR17" s="149" t="s">
        <v>23</v>
      </c>
      <c r="AS17" s="149" t="s">
        <v>23</v>
      </c>
      <c r="AT17" s="149" t="s">
        <v>23</v>
      </c>
      <c r="AU17" s="149" t="s">
        <v>23</v>
      </c>
      <c r="AV17" s="149" t="s">
        <v>23</v>
      </c>
      <c r="AW17" s="149" t="s">
        <v>23</v>
      </c>
      <c r="AX17" s="149"/>
      <c r="AY17" s="149"/>
      <c r="AZ17" s="154"/>
      <c r="BA17" s="154"/>
    </row>
    <row r="18" spans="1:53" ht="76.5">
      <c r="A18" s="157" t="s">
        <v>376</v>
      </c>
      <c r="B18" s="176" t="s">
        <v>377</v>
      </c>
      <c r="C18" s="149" t="s">
        <v>23</v>
      </c>
      <c r="D18" s="149" t="s">
        <v>23</v>
      </c>
      <c r="E18" s="149" t="s">
        <v>23</v>
      </c>
      <c r="F18" s="149" t="s">
        <v>23</v>
      </c>
      <c r="G18" s="149" t="s">
        <v>23</v>
      </c>
      <c r="H18" s="149" t="s">
        <v>23</v>
      </c>
      <c r="I18" s="149" t="s">
        <v>226</v>
      </c>
      <c r="J18" s="149" t="s">
        <v>226</v>
      </c>
      <c r="K18" s="149" t="s">
        <v>226</v>
      </c>
      <c r="L18" s="149" t="s">
        <v>226</v>
      </c>
      <c r="M18" s="149" t="s">
        <v>226</v>
      </c>
      <c r="N18" s="149" t="s">
        <v>226</v>
      </c>
      <c r="O18" s="149" t="s">
        <v>226</v>
      </c>
      <c r="P18" s="149" t="s">
        <v>226</v>
      </c>
      <c r="Q18" s="149" t="s">
        <v>226</v>
      </c>
      <c r="R18" s="149" t="s">
        <v>226</v>
      </c>
      <c r="S18" s="149" t="s">
        <v>226</v>
      </c>
      <c r="T18" s="149" t="s">
        <v>226</v>
      </c>
      <c r="U18" s="149" t="s">
        <v>226</v>
      </c>
      <c r="V18" s="149" t="s">
        <v>226</v>
      </c>
      <c r="W18" s="149" t="s">
        <v>226</v>
      </c>
      <c r="X18" s="149" t="s">
        <v>23</v>
      </c>
      <c r="Y18" s="149" t="s">
        <v>23</v>
      </c>
      <c r="Z18" s="149" t="s">
        <v>226</v>
      </c>
      <c r="AA18" s="149" t="s">
        <v>23</v>
      </c>
      <c r="AB18" s="149" t="s">
        <v>23</v>
      </c>
      <c r="AC18" s="149" t="s">
        <v>23</v>
      </c>
      <c r="AD18" s="149" t="s">
        <v>23</v>
      </c>
      <c r="AE18" s="149" t="s">
        <v>23</v>
      </c>
      <c r="AF18" s="149" t="s">
        <v>23</v>
      </c>
      <c r="AG18" s="149" t="s">
        <v>23</v>
      </c>
      <c r="AH18" s="149" t="s">
        <v>23</v>
      </c>
      <c r="AI18" s="149" t="s">
        <v>23</v>
      </c>
      <c r="AJ18" s="149" t="s">
        <v>23</v>
      </c>
      <c r="AK18" s="149" t="s">
        <v>23</v>
      </c>
      <c r="AL18" s="149" t="s">
        <v>23</v>
      </c>
      <c r="AM18" s="149" t="s">
        <v>23</v>
      </c>
      <c r="AN18" s="149" t="s">
        <v>23</v>
      </c>
      <c r="AO18" s="149" t="s">
        <v>23</v>
      </c>
      <c r="AP18" s="149" t="s">
        <v>23</v>
      </c>
      <c r="AQ18" s="149" t="s">
        <v>23</v>
      </c>
      <c r="AR18" s="149" t="s">
        <v>23</v>
      </c>
      <c r="AS18" s="149" t="s">
        <v>23</v>
      </c>
      <c r="AT18" s="149" t="s">
        <v>23</v>
      </c>
      <c r="AU18" s="149" t="s">
        <v>23</v>
      </c>
      <c r="AV18" s="149" t="s">
        <v>23</v>
      </c>
      <c r="AW18" s="149" t="s">
        <v>23</v>
      </c>
      <c r="AX18" s="149"/>
      <c r="AY18" s="149"/>
      <c r="AZ18" s="154"/>
      <c r="BA18" s="154"/>
    </row>
    <row r="19" spans="1:53" ht="15">
      <c r="A19" s="151"/>
      <c r="B19" s="173" t="s">
        <v>317</v>
      </c>
      <c r="C19" s="152"/>
      <c r="D19" s="152"/>
      <c r="E19" s="152"/>
      <c r="F19" s="152"/>
      <c r="G19" s="152"/>
      <c r="H19" s="152"/>
      <c r="I19" s="152"/>
      <c r="J19" s="152"/>
      <c r="K19" s="152"/>
      <c r="L19" s="152"/>
      <c r="M19" s="152"/>
      <c r="N19" s="152"/>
      <c r="O19" s="152"/>
      <c r="P19" s="152"/>
      <c r="Q19" s="152"/>
      <c r="R19" s="152"/>
      <c r="S19" s="152"/>
      <c r="T19" s="152"/>
      <c r="U19" s="152"/>
      <c r="V19" s="152"/>
      <c r="W19" s="152"/>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53"/>
    </row>
    <row r="20" spans="1:53" ht="51">
      <c r="A20" s="157" t="s">
        <v>378</v>
      </c>
      <c r="B20" s="176" t="s">
        <v>373</v>
      </c>
      <c r="C20" s="149" t="s">
        <v>11</v>
      </c>
      <c r="D20" s="149" t="s">
        <v>11</v>
      </c>
      <c r="E20" s="149" t="s">
        <v>11</v>
      </c>
      <c r="F20" s="149" t="s">
        <v>11</v>
      </c>
      <c r="G20" s="149" t="s">
        <v>11</v>
      </c>
      <c r="H20" s="149" t="s">
        <v>11</v>
      </c>
      <c r="I20" s="149" t="s">
        <v>11</v>
      </c>
      <c r="J20" s="149" t="s">
        <v>11</v>
      </c>
      <c r="K20" s="149" t="s">
        <v>11</v>
      </c>
      <c r="L20" s="149" t="s">
        <v>11</v>
      </c>
      <c r="M20" s="149" t="s">
        <v>11</v>
      </c>
      <c r="N20" s="149" t="s">
        <v>11</v>
      </c>
      <c r="O20" s="149" t="s">
        <v>11</v>
      </c>
      <c r="P20" s="149" t="s">
        <v>11</v>
      </c>
      <c r="Q20" s="149" t="s">
        <v>11</v>
      </c>
      <c r="R20" s="149" t="s">
        <v>11</v>
      </c>
      <c r="S20" s="149" t="s">
        <v>11</v>
      </c>
      <c r="T20" s="149" t="s">
        <v>11</v>
      </c>
      <c r="U20" s="149" t="s">
        <v>11</v>
      </c>
      <c r="V20" s="149" t="s">
        <v>11</v>
      </c>
      <c r="W20" s="149" t="s">
        <v>11</v>
      </c>
      <c r="X20" s="149" t="s">
        <v>11</v>
      </c>
      <c r="Y20" s="149" t="s">
        <v>11</v>
      </c>
      <c r="Z20" s="149" t="s">
        <v>11</v>
      </c>
      <c r="AA20" s="149" t="s">
        <v>11</v>
      </c>
      <c r="AB20" s="149" t="s">
        <v>11</v>
      </c>
      <c r="AC20" s="149" t="s">
        <v>11</v>
      </c>
      <c r="AD20" s="149" t="s">
        <v>11</v>
      </c>
      <c r="AE20" s="149" t="s">
        <v>11</v>
      </c>
      <c r="AF20" s="149" t="s">
        <v>11</v>
      </c>
      <c r="AG20" s="149" t="s">
        <v>11</v>
      </c>
      <c r="AH20" s="149" t="s">
        <v>11</v>
      </c>
      <c r="AI20" s="149" t="s">
        <v>11</v>
      </c>
      <c r="AJ20" s="149" t="s">
        <v>11</v>
      </c>
      <c r="AK20" s="149" t="s">
        <v>11</v>
      </c>
      <c r="AL20" s="149" t="s">
        <v>11</v>
      </c>
      <c r="AM20" s="149" t="s">
        <v>11</v>
      </c>
      <c r="AN20" s="149" t="s">
        <v>11</v>
      </c>
      <c r="AO20" s="149" t="s">
        <v>11</v>
      </c>
      <c r="AP20" s="149" t="s">
        <v>11</v>
      </c>
      <c r="AQ20" s="149" t="s">
        <v>11</v>
      </c>
      <c r="AR20" s="149" t="s">
        <v>11</v>
      </c>
      <c r="AS20" s="149" t="s">
        <v>11</v>
      </c>
      <c r="AT20" s="149" t="s">
        <v>11</v>
      </c>
      <c r="AU20" s="149" t="s">
        <v>11</v>
      </c>
      <c r="AV20" s="149" t="s">
        <v>11</v>
      </c>
      <c r="AW20" s="149" t="s">
        <v>11</v>
      </c>
      <c r="AX20" s="149"/>
      <c r="AY20" s="149"/>
      <c r="AZ20" s="154"/>
      <c r="BA20" s="154"/>
    </row>
    <row r="21" spans="1:53" ht="51">
      <c r="A21" s="157" t="s">
        <v>379</v>
      </c>
      <c r="B21" s="176" t="s">
        <v>380</v>
      </c>
      <c r="C21" s="149" t="s">
        <v>11</v>
      </c>
      <c r="D21" s="149" t="s">
        <v>11</v>
      </c>
      <c r="E21" s="149" t="s">
        <v>11</v>
      </c>
      <c r="F21" s="149" t="s">
        <v>11</v>
      </c>
      <c r="G21" s="149" t="s">
        <v>11</v>
      </c>
      <c r="H21" s="149" t="s">
        <v>11</v>
      </c>
      <c r="I21" s="149" t="s">
        <v>11</v>
      </c>
      <c r="J21" s="149" t="s">
        <v>11</v>
      </c>
      <c r="K21" s="149" t="s">
        <v>11</v>
      </c>
      <c r="L21" s="149" t="s">
        <v>11</v>
      </c>
      <c r="M21" s="149" t="s">
        <v>11</v>
      </c>
      <c r="N21" s="149" t="s">
        <v>11</v>
      </c>
      <c r="O21" s="149" t="s">
        <v>11</v>
      </c>
      <c r="P21" s="149" t="s">
        <v>11</v>
      </c>
      <c r="Q21" s="149" t="s">
        <v>11</v>
      </c>
      <c r="R21" s="149" t="s">
        <v>11</v>
      </c>
      <c r="S21" s="149" t="s">
        <v>11</v>
      </c>
      <c r="T21" s="149" t="s">
        <v>11</v>
      </c>
      <c r="U21" s="149" t="s">
        <v>11</v>
      </c>
      <c r="V21" s="149" t="s">
        <v>11</v>
      </c>
      <c r="W21" s="149" t="s">
        <v>11</v>
      </c>
      <c r="X21" s="149" t="s">
        <v>11</v>
      </c>
      <c r="Y21" s="149" t="s">
        <v>11</v>
      </c>
      <c r="Z21" s="149" t="s">
        <v>11</v>
      </c>
      <c r="AA21" s="149" t="s">
        <v>11</v>
      </c>
      <c r="AB21" s="149" t="s">
        <v>11</v>
      </c>
      <c r="AC21" s="149" t="s">
        <v>11</v>
      </c>
      <c r="AD21" s="149" t="s">
        <v>11</v>
      </c>
      <c r="AE21" s="149" t="s">
        <v>11</v>
      </c>
      <c r="AF21" s="149" t="s">
        <v>11</v>
      </c>
      <c r="AG21" s="149" t="s">
        <v>11</v>
      </c>
      <c r="AH21" s="149" t="s">
        <v>11</v>
      </c>
      <c r="AI21" s="149" t="s">
        <v>11</v>
      </c>
      <c r="AJ21" s="149" t="s">
        <v>11</v>
      </c>
      <c r="AK21" s="149" t="s">
        <v>11</v>
      </c>
      <c r="AL21" s="149" t="s">
        <v>11</v>
      </c>
      <c r="AM21" s="149" t="s">
        <v>11</v>
      </c>
      <c r="AN21" s="149" t="s">
        <v>11</v>
      </c>
      <c r="AO21" s="149" t="s">
        <v>11</v>
      </c>
      <c r="AP21" s="149" t="s">
        <v>11</v>
      </c>
      <c r="AQ21" s="149" t="s">
        <v>11</v>
      </c>
      <c r="AR21" s="149" t="s">
        <v>11</v>
      </c>
      <c r="AS21" s="149" t="s">
        <v>11</v>
      </c>
      <c r="AT21" s="149" t="s">
        <v>11</v>
      </c>
      <c r="AU21" s="149" t="s">
        <v>11</v>
      </c>
      <c r="AV21" s="149" t="s">
        <v>11</v>
      </c>
      <c r="AW21" s="149" t="s">
        <v>11</v>
      </c>
      <c r="AX21" s="149"/>
      <c r="AY21" s="149"/>
      <c r="AZ21" s="154"/>
      <c r="BA21" s="154"/>
    </row>
    <row r="22" spans="1:53" ht="51">
      <c r="A22" s="157" t="s">
        <v>381</v>
      </c>
      <c r="B22" s="176" t="s">
        <v>382</v>
      </c>
      <c r="C22" s="149" t="s">
        <v>11</v>
      </c>
      <c r="D22" s="149" t="s">
        <v>11</v>
      </c>
      <c r="E22" s="149" t="s">
        <v>11</v>
      </c>
      <c r="F22" s="149" t="s">
        <v>11</v>
      </c>
      <c r="G22" s="149" t="s">
        <v>11</v>
      </c>
      <c r="H22" s="149" t="s">
        <v>11</v>
      </c>
      <c r="I22" s="149" t="s">
        <v>11</v>
      </c>
      <c r="J22" s="149" t="s">
        <v>11</v>
      </c>
      <c r="K22" s="149" t="s">
        <v>11</v>
      </c>
      <c r="L22" s="149" t="s">
        <v>11</v>
      </c>
      <c r="M22" s="149" t="s">
        <v>11</v>
      </c>
      <c r="N22" s="149" t="s">
        <v>11</v>
      </c>
      <c r="O22" s="149" t="s">
        <v>11</v>
      </c>
      <c r="P22" s="149" t="s">
        <v>11</v>
      </c>
      <c r="Q22" s="149" t="s">
        <v>11</v>
      </c>
      <c r="R22" s="149" t="s">
        <v>11</v>
      </c>
      <c r="S22" s="149" t="s">
        <v>11</v>
      </c>
      <c r="T22" s="149" t="s">
        <v>11</v>
      </c>
      <c r="U22" s="149" t="s">
        <v>11</v>
      </c>
      <c r="V22" s="149" t="s">
        <v>11</v>
      </c>
      <c r="W22" s="149" t="s">
        <v>11</v>
      </c>
      <c r="X22" s="149" t="s">
        <v>11</v>
      </c>
      <c r="Y22" s="149" t="s">
        <v>11</v>
      </c>
      <c r="Z22" s="149" t="s">
        <v>11</v>
      </c>
      <c r="AA22" s="149" t="s">
        <v>11</v>
      </c>
      <c r="AB22" s="149" t="s">
        <v>11</v>
      </c>
      <c r="AC22" s="149" t="s">
        <v>11</v>
      </c>
      <c r="AD22" s="149" t="s">
        <v>11</v>
      </c>
      <c r="AE22" s="149" t="s">
        <v>11</v>
      </c>
      <c r="AF22" s="149" t="s">
        <v>11</v>
      </c>
      <c r="AG22" s="149" t="s">
        <v>11</v>
      </c>
      <c r="AH22" s="149" t="s">
        <v>11</v>
      </c>
      <c r="AI22" s="149" t="s">
        <v>11</v>
      </c>
      <c r="AJ22" s="149" t="s">
        <v>11</v>
      </c>
      <c r="AK22" s="149" t="s">
        <v>11</v>
      </c>
      <c r="AL22" s="149" t="s">
        <v>11</v>
      </c>
      <c r="AM22" s="149" t="s">
        <v>11</v>
      </c>
      <c r="AN22" s="149" t="s">
        <v>11</v>
      </c>
      <c r="AO22" s="149" t="s">
        <v>11</v>
      </c>
      <c r="AP22" s="149" t="s">
        <v>11</v>
      </c>
      <c r="AQ22" s="149" t="s">
        <v>11</v>
      </c>
      <c r="AR22" s="149" t="s">
        <v>11</v>
      </c>
      <c r="AS22" s="149" t="s">
        <v>11</v>
      </c>
      <c r="AT22" s="149" t="s">
        <v>11</v>
      </c>
      <c r="AU22" s="149" t="s">
        <v>11</v>
      </c>
      <c r="AV22" s="149" t="s">
        <v>11</v>
      </c>
      <c r="AW22" s="149" t="s">
        <v>11</v>
      </c>
      <c r="AX22" s="149"/>
      <c r="AY22" s="149"/>
      <c r="AZ22" s="154"/>
      <c r="BA22" s="154"/>
    </row>
    <row r="23" spans="1:53" ht="25.5">
      <c r="A23" s="157" t="s">
        <v>383</v>
      </c>
      <c r="B23" s="176" t="s">
        <v>384</v>
      </c>
      <c r="C23" s="149" t="s">
        <v>11</v>
      </c>
      <c r="D23" s="149" t="s">
        <v>11</v>
      </c>
      <c r="E23" s="149" t="s">
        <v>11</v>
      </c>
      <c r="F23" s="149" t="s">
        <v>11</v>
      </c>
      <c r="G23" s="149" t="s">
        <v>11</v>
      </c>
      <c r="H23" s="149" t="s">
        <v>11</v>
      </c>
      <c r="I23" s="149" t="s">
        <v>11</v>
      </c>
      <c r="J23" s="149" t="s">
        <v>11</v>
      </c>
      <c r="K23" s="149" t="s">
        <v>11</v>
      </c>
      <c r="L23" s="149" t="s">
        <v>11</v>
      </c>
      <c r="M23" s="149" t="s">
        <v>11</v>
      </c>
      <c r="N23" s="149" t="s">
        <v>11</v>
      </c>
      <c r="O23" s="149" t="s">
        <v>11</v>
      </c>
      <c r="P23" s="149" t="s">
        <v>11</v>
      </c>
      <c r="Q23" s="149" t="s">
        <v>11</v>
      </c>
      <c r="R23" s="149" t="s">
        <v>11</v>
      </c>
      <c r="S23" s="149" t="s">
        <v>11</v>
      </c>
      <c r="T23" s="149" t="s">
        <v>11</v>
      </c>
      <c r="U23" s="149" t="s">
        <v>11</v>
      </c>
      <c r="V23" s="149" t="s">
        <v>11</v>
      </c>
      <c r="W23" s="149" t="s">
        <v>11</v>
      </c>
      <c r="X23" s="149" t="s">
        <v>11</v>
      </c>
      <c r="Y23" s="149" t="s">
        <v>11</v>
      </c>
      <c r="Z23" s="149" t="s">
        <v>11</v>
      </c>
      <c r="AA23" s="149" t="s">
        <v>11</v>
      </c>
      <c r="AB23" s="149" t="s">
        <v>11</v>
      </c>
      <c r="AC23" s="149" t="s">
        <v>11</v>
      </c>
      <c r="AD23" s="149" t="s">
        <v>11</v>
      </c>
      <c r="AE23" s="149" t="s">
        <v>11</v>
      </c>
      <c r="AF23" s="149" t="s">
        <v>11</v>
      </c>
      <c r="AG23" s="149" t="s">
        <v>11</v>
      </c>
      <c r="AH23" s="149" t="s">
        <v>11</v>
      </c>
      <c r="AI23" s="149" t="s">
        <v>11</v>
      </c>
      <c r="AJ23" s="149" t="s">
        <v>11</v>
      </c>
      <c r="AK23" s="149" t="s">
        <v>11</v>
      </c>
      <c r="AL23" s="149" t="s">
        <v>11</v>
      </c>
      <c r="AM23" s="149" t="s">
        <v>11</v>
      </c>
      <c r="AN23" s="149" t="s">
        <v>11</v>
      </c>
      <c r="AO23" s="149" t="s">
        <v>11</v>
      </c>
      <c r="AP23" s="149" t="s">
        <v>11</v>
      </c>
      <c r="AQ23" s="149" t="s">
        <v>11</v>
      </c>
      <c r="AR23" s="149" t="s">
        <v>11</v>
      </c>
      <c r="AS23" s="149" t="s">
        <v>11</v>
      </c>
      <c r="AT23" s="149" t="s">
        <v>11</v>
      </c>
      <c r="AU23" s="149" t="s">
        <v>11</v>
      </c>
      <c r="AV23" s="149" t="s">
        <v>11</v>
      </c>
      <c r="AW23" s="149" t="s">
        <v>11</v>
      </c>
      <c r="AX23" s="149"/>
      <c r="AY23" s="149"/>
      <c r="AZ23" s="154"/>
      <c r="BA23" s="154"/>
    </row>
    <row r="24" spans="1:53" ht="51">
      <c r="A24" s="157" t="s">
        <v>385</v>
      </c>
      <c r="B24" s="176" t="s">
        <v>386</v>
      </c>
      <c r="C24" s="149" t="s">
        <v>11</v>
      </c>
      <c r="D24" s="149" t="s">
        <v>11</v>
      </c>
      <c r="E24" s="149" t="s">
        <v>11</v>
      </c>
      <c r="F24" s="149" t="s">
        <v>11</v>
      </c>
      <c r="G24" s="149" t="s">
        <v>11</v>
      </c>
      <c r="H24" s="149" t="s">
        <v>11</v>
      </c>
      <c r="I24" s="149" t="s">
        <v>11</v>
      </c>
      <c r="J24" s="149" t="s">
        <v>11</v>
      </c>
      <c r="K24" s="149" t="s">
        <v>11</v>
      </c>
      <c r="L24" s="149" t="s">
        <v>11</v>
      </c>
      <c r="M24" s="149" t="s">
        <v>11</v>
      </c>
      <c r="N24" s="149" t="s">
        <v>11</v>
      </c>
      <c r="O24" s="149" t="s">
        <v>11</v>
      </c>
      <c r="P24" s="149" t="s">
        <v>11</v>
      </c>
      <c r="Q24" s="149" t="s">
        <v>11</v>
      </c>
      <c r="R24" s="149" t="s">
        <v>11</v>
      </c>
      <c r="S24" s="149" t="s">
        <v>11</v>
      </c>
      <c r="T24" s="149" t="s">
        <v>11</v>
      </c>
      <c r="U24" s="149" t="s">
        <v>11</v>
      </c>
      <c r="V24" s="149" t="s">
        <v>11</v>
      </c>
      <c r="W24" s="149" t="s">
        <v>11</v>
      </c>
      <c r="X24" s="149" t="s">
        <v>11</v>
      </c>
      <c r="Y24" s="149" t="s">
        <v>11</v>
      </c>
      <c r="Z24" s="149" t="s">
        <v>11</v>
      </c>
      <c r="AA24" s="149" t="s">
        <v>11</v>
      </c>
      <c r="AB24" s="149" t="s">
        <v>11</v>
      </c>
      <c r="AC24" s="149" t="s">
        <v>11</v>
      </c>
      <c r="AD24" s="149" t="s">
        <v>11</v>
      </c>
      <c r="AE24" s="149" t="s">
        <v>11</v>
      </c>
      <c r="AF24" s="149" t="s">
        <v>11</v>
      </c>
      <c r="AG24" s="149" t="s">
        <v>11</v>
      </c>
      <c r="AH24" s="149" t="s">
        <v>11</v>
      </c>
      <c r="AI24" s="149" t="s">
        <v>11</v>
      </c>
      <c r="AJ24" s="149" t="s">
        <v>11</v>
      </c>
      <c r="AK24" s="149" t="s">
        <v>11</v>
      </c>
      <c r="AL24" s="149" t="s">
        <v>11</v>
      </c>
      <c r="AM24" s="149" t="s">
        <v>11</v>
      </c>
      <c r="AN24" s="149" t="s">
        <v>11</v>
      </c>
      <c r="AO24" s="149" t="s">
        <v>11</v>
      </c>
      <c r="AP24" s="149" t="s">
        <v>11</v>
      </c>
      <c r="AQ24" s="149" t="s">
        <v>11</v>
      </c>
      <c r="AR24" s="149" t="s">
        <v>11</v>
      </c>
      <c r="AS24" s="149" t="s">
        <v>11</v>
      </c>
      <c r="AT24" s="149" t="s">
        <v>11</v>
      </c>
      <c r="AU24" s="149" t="s">
        <v>11</v>
      </c>
      <c r="AV24" s="149" t="s">
        <v>11</v>
      </c>
      <c r="AW24" s="149" t="s">
        <v>11</v>
      </c>
      <c r="AX24" s="149"/>
      <c r="AY24" s="149"/>
      <c r="AZ24" s="154"/>
      <c r="BA24" s="154"/>
    </row>
    <row r="25" spans="1:53" ht="25.5">
      <c r="A25" s="157" t="s">
        <v>387</v>
      </c>
      <c r="B25" s="176" t="s">
        <v>388</v>
      </c>
      <c r="C25" s="149" t="s">
        <v>11</v>
      </c>
      <c r="D25" s="149" t="s">
        <v>11</v>
      </c>
      <c r="E25" s="149" t="s">
        <v>11</v>
      </c>
      <c r="F25" s="149" t="s">
        <v>11</v>
      </c>
      <c r="G25" s="149" t="s">
        <v>11</v>
      </c>
      <c r="H25" s="149" t="s">
        <v>11</v>
      </c>
      <c r="I25" s="149" t="s">
        <v>11</v>
      </c>
      <c r="J25" s="149" t="s">
        <v>11</v>
      </c>
      <c r="K25" s="149" t="s">
        <v>11</v>
      </c>
      <c r="L25" s="149" t="s">
        <v>11</v>
      </c>
      <c r="M25" s="149" t="s">
        <v>11</v>
      </c>
      <c r="N25" s="149" t="s">
        <v>11</v>
      </c>
      <c r="O25" s="149" t="s">
        <v>11</v>
      </c>
      <c r="P25" s="149" t="s">
        <v>11</v>
      </c>
      <c r="Q25" s="149" t="s">
        <v>11</v>
      </c>
      <c r="R25" s="149" t="s">
        <v>11</v>
      </c>
      <c r="S25" s="149" t="s">
        <v>11</v>
      </c>
      <c r="T25" s="149" t="s">
        <v>11</v>
      </c>
      <c r="U25" s="149" t="s">
        <v>11</v>
      </c>
      <c r="V25" s="149" t="s">
        <v>11</v>
      </c>
      <c r="W25" s="149" t="s">
        <v>11</v>
      </c>
      <c r="X25" s="149" t="s">
        <v>11</v>
      </c>
      <c r="Y25" s="149" t="s">
        <v>11</v>
      </c>
      <c r="Z25" s="149" t="s">
        <v>11</v>
      </c>
      <c r="AA25" s="149" t="s">
        <v>11</v>
      </c>
      <c r="AB25" s="149" t="s">
        <v>11</v>
      </c>
      <c r="AC25" s="149" t="s">
        <v>11</v>
      </c>
      <c r="AD25" s="149" t="s">
        <v>11</v>
      </c>
      <c r="AE25" s="149" t="s">
        <v>11</v>
      </c>
      <c r="AF25" s="149" t="s">
        <v>11</v>
      </c>
      <c r="AG25" s="149" t="s">
        <v>11</v>
      </c>
      <c r="AH25" s="149" t="s">
        <v>11</v>
      </c>
      <c r="AI25" s="149" t="s">
        <v>11</v>
      </c>
      <c r="AJ25" s="149" t="s">
        <v>11</v>
      </c>
      <c r="AK25" s="149" t="s">
        <v>11</v>
      </c>
      <c r="AL25" s="149" t="s">
        <v>11</v>
      </c>
      <c r="AM25" s="149" t="s">
        <v>11</v>
      </c>
      <c r="AN25" s="149" t="s">
        <v>11</v>
      </c>
      <c r="AO25" s="149" t="s">
        <v>11</v>
      </c>
      <c r="AP25" s="149" t="s">
        <v>11</v>
      </c>
      <c r="AQ25" s="149" t="s">
        <v>11</v>
      </c>
      <c r="AR25" s="149" t="s">
        <v>11</v>
      </c>
      <c r="AS25" s="149" t="s">
        <v>11</v>
      </c>
      <c r="AT25" s="149" t="s">
        <v>11</v>
      </c>
      <c r="AU25" s="149" t="s">
        <v>11</v>
      </c>
      <c r="AV25" s="149" t="s">
        <v>11</v>
      </c>
      <c r="AW25" s="149" t="s">
        <v>11</v>
      </c>
      <c r="AX25" s="149"/>
      <c r="AY25" s="149"/>
      <c r="AZ25" s="154"/>
      <c r="BA25" s="154"/>
    </row>
    <row r="26" spans="1:53" ht="15">
      <c r="A26" s="151"/>
      <c r="B26" s="173" t="s">
        <v>230</v>
      </c>
      <c r="C26" s="152"/>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2"/>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3"/>
    </row>
    <row r="27" spans="1:53" ht="38.25">
      <c r="A27" s="157" t="s">
        <v>235</v>
      </c>
      <c r="B27" s="176" t="s">
        <v>220</v>
      </c>
      <c r="C27" s="149" t="s">
        <v>11</v>
      </c>
      <c r="D27" s="149" t="s">
        <v>11</v>
      </c>
      <c r="E27" s="149" t="s">
        <v>11</v>
      </c>
      <c r="F27" s="149" t="s">
        <v>11</v>
      </c>
      <c r="G27" s="149" t="s">
        <v>11</v>
      </c>
      <c r="H27" s="149" t="s">
        <v>11</v>
      </c>
      <c r="I27" s="149" t="s">
        <v>11</v>
      </c>
      <c r="J27" s="149" t="s">
        <v>11</v>
      </c>
      <c r="K27" s="149" t="s">
        <v>11</v>
      </c>
      <c r="L27" s="149" t="s">
        <v>11</v>
      </c>
      <c r="M27" s="149" t="s">
        <v>11</v>
      </c>
      <c r="N27" s="149" t="s">
        <v>11</v>
      </c>
      <c r="O27" s="149" t="s">
        <v>11</v>
      </c>
      <c r="P27" s="149" t="s">
        <v>11</v>
      </c>
      <c r="Q27" s="149" t="s">
        <v>11</v>
      </c>
      <c r="R27" s="149" t="s">
        <v>11</v>
      </c>
      <c r="S27" s="149" t="s">
        <v>11</v>
      </c>
      <c r="T27" s="149" t="s">
        <v>11</v>
      </c>
      <c r="U27" s="149" t="s">
        <v>11</v>
      </c>
      <c r="V27" s="149" t="s">
        <v>11</v>
      </c>
      <c r="W27" s="149" t="s">
        <v>11</v>
      </c>
      <c r="X27" s="149" t="s">
        <v>11</v>
      </c>
      <c r="Y27" s="149" t="s">
        <v>11</v>
      </c>
      <c r="Z27" s="149" t="s">
        <v>11</v>
      </c>
      <c r="AA27" s="149" t="s">
        <v>11</v>
      </c>
      <c r="AB27" s="149" t="s">
        <v>11</v>
      </c>
      <c r="AC27" s="149" t="s">
        <v>11</v>
      </c>
      <c r="AD27" s="149" t="s">
        <v>11</v>
      </c>
      <c r="AE27" s="149" t="s">
        <v>11</v>
      </c>
      <c r="AF27" s="149" t="s">
        <v>11</v>
      </c>
      <c r="AG27" s="149" t="s">
        <v>11</v>
      </c>
      <c r="AH27" s="149" t="s">
        <v>11</v>
      </c>
      <c r="AI27" s="149" t="s">
        <v>11</v>
      </c>
      <c r="AJ27" s="149" t="s">
        <v>11</v>
      </c>
      <c r="AK27" s="149" t="s">
        <v>11</v>
      </c>
      <c r="AL27" s="149" t="s">
        <v>11</v>
      </c>
      <c r="AM27" s="149" t="s">
        <v>11</v>
      </c>
      <c r="AN27" s="149" t="s">
        <v>11</v>
      </c>
      <c r="AO27" s="149" t="s">
        <v>11</v>
      </c>
      <c r="AP27" s="149" t="s">
        <v>11</v>
      </c>
      <c r="AQ27" s="149" t="s">
        <v>11</v>
      </c>
      <c r="AR27" s="149" t="s">
        <v>11</v>
      </c>
      <c r="AS27" s="149" t="s">
        <v>11</v>
      </c>
      <c r="AT27" s="149" t="s">
        <v>11</v>
      </c>
      <c r="AU27" s="149" t="s">
        <v>11</v>
      </c>
      <c r="AV27" s="149" t="s">
        <v>11</v>
      </c>
      <c r="AW27" s="149" t="s">
        <v>11</v>
      </c>
      <c r="AX27" s="149"/>
      <c r="AY27" s="149"/>
      <c r="AZ27" s="154"/>
      <c r="BA27" s="154"/>
    </row>
    <row r="28" spans="1:53" ht="25.5">
      <c r="A28" s="157" t="s">
        <v>236</v>
      </c>
      <c r="B28" s="176" t="s">
        <v>221</v>
      </c>
      <c r="C28" s="149" t="s">
        <v>11</v>
      </c>
      <c r="D28" s="149" t="s">
        <v>11</v>
      </c>
      <c r="E28" s="149" t="s">
        <v>11</v>
      </c>
      <c r="F28" s="149" t="s">
        <v>11</v>
      </c>
      <c r="G28" s="149" t="s">
        <v>11</v>
      </c>
      <c r="H28" s="149" t="s">
        <v>11</v>
      </c>
      <c r="I28" s="149" t="s">
        <v>11</v>
      </c>
      <c r="J28" s="149" t="s">
        <v>11</v>
      </c>
      <c r="K28" s="149" t="s">
        <v>11</v>
      </c>
      <c r="L28" s="149" t="s">
        <v>11</v>
      </c>
      <c r="M28" s="149" t="s">
        <v>11</v>
      </c>
      <c r="N28" s="149" t="s">
        <v>11</v>
      </c>
      <c r="O28" s="149" t="s">
        <v>11</v>
      </c>
      <c r="P28" s="149" t="s">
        <v>11</v>
      </c>
      <c r="Q28" s="149" t="s">
        <v>11</v>
      </c>
      <c r="R28" s="149" t="s">
        <v>11</v>
      </c>
      <c r="S28" s="149" t="s">
        <v>11</v>
      </c>
      <c r="T28" s="149" t="s">
        <v>11</v>
      </c>
      <c r="U28" s="149" t="s">
        <v>11</v>
      </c>
      <c r="V28" s="149" t="s">
        <v>11</v>
      </c>
      <c r="W28" s="149" t="s">
        <v>11</v>
      </c>
      <c r="X28" s="149" t="s">
        <v>11</v>
      </c>
      <c r="Y28" s="149" t="s">
        <v>11</v>
      </c>
      <c r="Z28" s="149" t="s">
        <v>11</v>
      </c>
      <c r="AA28" s="149" t="s">
        <v>11</v>
      </c>
      <c r="AB28" s="149" t="s">
        <v>11</v>
      </c>
      <c r="AC28" s="149" t="s">
        <v>11</v>
      </c>
      <c r="AD28" s="149" t="s">
        <v>11</v>
      </c>
      <c r="AE28" s="149" t="s">
        <v>11</v>
      </c>
      <c r="AF28" s="149" t="s">
        <v>11</v>
      </c>
      <c r="AG28" s="149" t="s">
        <v>11</v>
      </c>
      <c r="AH28" s="149" t="s">
        <v>11</v>
      </c>
      <c r="AI28" s="149" t="s">
        <v>11</v>
      </c>
      <c r="AJ28" s="149" t="s">
        <v>11</v>
      </c>
      <c r="AK28" s="149" t="s">
        <v>11</v>
      </c>
      <c r="AL28" s="149" t="s">
        <v>11</v>
      </c>
      <c r="AM28" s="149" t="s">
        <v>11</v>
      </c>
      <c r="AN28" s="149" t="s">
        <v>11</v>
      </c>
      <c r="AO28" s="149" t="s">
        <v>11</v>
      </c>
      <c r="AP28" s="149" t="s">
        <v>11</v>
      </c>
      <c r="AQ28" s="149" t="s">
        <v>11</v>
      </c>
      <c r="AR28" s="149" t="s">
        <v>11</v>
      </c>
      <c r="AS28" s="149" t="s">
        <v>11</v>
      </c>
      <c r="AT28" s="149" t="s">
        <v>11</v>
      </c>
      <c r="AU28" s="149" t="s">
        <v>11</v>
      </c>
      <c r="AV28" s="149" t="s">
        <v>11</v>
      </c>
      <c r="AW28" s="149" t="s">
        <v>11</v>
      </c>
      <c r="AX28" s="149"/>
      <c r="AY28" s="149"/>
      <c r="AZ28" s="154"/>
      <c r="BA28" s="154"/>
    </row>
    <row r="29" spans="1:53" ht="38.25">
      <c r="A29" s="157" t="s">
        <v>237</v>
      </c>
      <c r="B29" s="176" t="s">
        <v>222</v>
      </c>
      <c r="C29" s="149" t="s">
        <v>11</v>
      </c>
      <c r="D29" s="149" t="s">
        <v>11</v>
      </c>
      <c r="E29" s="149" t="s">
        <v>11</v>
      </c>
      <c r="F29" s="149" t="s">
        <v>11</v>
      </c>
      <c r="G29" s="149" t="s">
        <v>11</v>
      </c>
      <c r="H29" s="149" t="s">
        <v>11</v>
      </c>
      <c r="I29" s="149" t="s">
        <v>11</v>
      </c>
      <c r="J29" s="149" t="s">
        <v>11</v>
      </c>
      <c r="K29" s="149" t="s">
        <v>11</v>
      </c>
      <c r="L29" s="149" t="s">
        <v>11</v>
      </c>
      <c r="M29" s="149" t="s">
        <v>11</v>
      </c>
      <c r="N29" s="149" t="s">
        <v>11</v>
      </c>
      <c r="O29" s="149" t="s">
        <v>11</v>
      </c>
      <c r="P29" s="149" t="s">
        <v>11</v>
      </c>
      <c r="Q29" s="149" t="s">
        <v>11</v>
      </c>
      <c r="R29" s="149" t="s">
        <v>11</v>
      </c>
      <c r="S29" s="149" t="s">
        <v>11</v>
      </c>
      <c r="T29" s="149" t="s">
        <v>11</v>
      </c>
      <c r="U29" s="149" t="s">
        <v>11</v>
      </c>
      <c r="V29" s="149" t="s">
        <v>11</v>
      </c>
      <c r="W29" s="149" t="s">
        <v>11</v>
      </c>
      <c r="X29" s="149" t="s">
        <v>11</v>
      </c>
      <c r="Y29" s="149" t="s">
        <v>11</v>
      </c>
      <c r="Z29" s="149" t="s">
        <v>11</v>
      </c>
      <c r="AA29" s="149" t="s">
        <v>11</v>
      </c>
      <c r="AB29" s="149" t="s">
        <v>11</v>
      </c>
      <c r="AC29" s="149" t="s">
        <v>11</v>
      </c>
      <c r="AD29" s="149" t="s">
        <v>11</v>
      </c>
      <c r="AE29" s="149" t="s">
        <v>11</v>
      </c>
      <c r="AF29" s="149" t="s">
        <v>11</v>
      </c>
      <c r="AG29" s="149" t="s">
        <v>11</v>
      </c>
      <c r="AH29" s="149" t="s">
        <v>11</v>
      </c>
      <c r="AI29" s="149" t="s">
        <v>11</v>
      </c>
      <c r="AJ29" s="149" t="s">
        <v>11</v>
      </c>
      <c r="AK29" s="149" t="s">
        <v>11</v>
      </c>
      <c r="AL29" s="149" t="s">
        <v>11</v>
      </c>
      <c r="AM29" s="149" t="s">
        <v>11</v>
      </c>
      <c r="AN29" s="149" t="s">
        <v>11</v>
      </c>
      <c r="AO29" s="149" t="s">
        <v>11</v>
      </c>
      <c r="AP29" s="149" t="s">
        <v>11</v>
      </c>
      <c r="AQ29" s="149" t="s">
        <v>11</v>
      </c>
      <c r="AR29" s="149" t="s">
        <v>11</v>
      </c>
      <c r="AS29" s="149" t="s">
        <v>11</v>
      </c>
      <c r="AT29" s="149" t="s">
        <v>11</v>
      </c>
      <c r="AU29" s="149" t="s">
        <v>11</v>
      </c>
      <c r="AV29" s="149" t="s">
        <v>11</v>
      </c>
      <c r="AW29" s="149" t="s">
        <v>11</v>
      </c>
      <c r="AX29" s="149"/>
      <c r="AY29" s="149"/>
      <c r="AZ29" s="154"/>
      <c r="BA29" s="154"/>
    </row>
    <row r="30" spans="1:53" ht="38.25">
      <c r="A30" s="157" t="s">
        <v>238</v>
      </c>
      <c r="B30" s="176" t="s">
        <v>223</v>
      </c>
      <c r="C30" s="149" t="s">
        <v>11</v>
      </c>
      <c r="D30" s="149" t="s">
        <v>11</v>
      </c>
      <c r="E30" s="149" t="s">
        <v>11</v>
      </c>
      <c r="F30" s="149" t="s">
        <v>11</v>
      </c>
      <c r="G30" s="149" t="s">
        <v>11</v>
      </c>
      <c r="H30" s="149" t="s">
        <v>11</v>
      </c>
      <c r="I30" s="149" t="s">
        <v>11</v>
      </c>
      <c r="J30" s="149" t="s">
        <v>11</v>
      </c>
      <c r="K30" s="149" t="s">
        <v>11</v>
      </c>
      <c r="L30" s="149" t="s">
        <v>11</v>
      </c>
      <c r="M30" s="149" t="s">
        <v>11</v>
      </c>
      <c r="N30" s="149" t="s">
        <v>11</v>
      </c>
      <c r="O30" s="149" t="s">
        <v>11</v>
      </c>
      <c r="P30" s="149" t="s">
        <v>11</v>
      </c>
      <c r="Q30" s="149" t="s">
        <v>11</v>
      </c>
      <c r="R30" s="149" t="s">
        <v>11</v>
      </c>
      <c r="S30" s="149" t="s">
        <v>11</v>
      </c>
      <c r="T30" s="149" t="s">
        <v>11</v>
      </c>
      <c r="U30" s="149" t="s">
        <v>11</v>
      </c>
      <c r="V30" s="149" t="s">
        <v>11</v>
      </c>
      <c r="W30" s="149" t="s">
        <v>11</v>
      </c>
      <c r="X30" s="149" t="s">
        <v>11</v>
      </c>
      <c r="Y30" s="149" t="s">
        <v>11</v>
      </c>
      <c r="Z30" s="149" t="s">
        <v>11</v>
      </c>
      <c r="AA30" s="149" t="s">
        <v>11</v>
      </c>
      <c r="AB30" s="149" t="s">
        <v>11</v>
      </c>
      <c r="AC30" s="149" t="s">
        <v>11</v>
      </c>
      <c r="AD30" s="149" t="s">
        <v>11</v>
      </c>
      <c r="AE30" s="149" t="s">
        <v>11</v>
      </c>
      <c r="AF30" s="149" t="s">
        <v>11</v>
      </c>
      <c r="AG30" s="149" t="s">
        <v>11</v>
      </c>
      <c r="AH30" s="149" t="s">
        <v>11</v>
      </c>
      <c r="AI30" s="149" t="s">
        <v>11</v>
      </c>
      <c r="AJ30" s="149" t="s">
        <v>11</v>
      </c>
      <c r="AK30" s="149" t="s">
        <v>11</v>
      </c>
      <c r="AL30" s="149" t="s">
        <v>11</v>
      </c>
      <c r="AM30" s="149" t="s">
        <v>11</v>
      </c>
      <c r="AN30" s="149" t="s">
        <v>11</v>
      </c>
      <c r="AO30" s="149" t="s">
        <v>11</v>
      </c>
      <c r="AP30" s="149" t="s">
        <v>11</v>
      </c>
      <c r="AQ30" s="149" t="s">
        <v>11</v>
      </c>
      <c r="AR30" s="149" t="s">
        <v>11</v>
      </c>
      <c r="AS30" s="149" t="s">
        <v>11</v>
      </c>
      <c r="AT30" s="149" t="s">
        <v>11</v>
      </c>
      <c r="AU30" s="149" t="s">
        <v>11</v>
      </c>
      <c r="AV30" s="149" t="s">
        <v>11</v>
      </c>
      <c r="AW30" s="149" t="s">
        <v>11</v>
      </c>
      <c r="AX30" s="149"/>
      <c r="AY30" s="149"/>
      <c r="AZ30" s="154"/>
      <c r="BA30" s="154"/>
    </row>
    <row r="31" spans="1:53" ht="15">
      <c r="A31" s="151"/>
      <c r="B31" s="173" t="s">
        <v>231</v>
      </c>
      <c r="C31" s="152"/>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52"/>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3"/>
    </row>
    <row r="32" spans="1:53" ht="38.25">
      <c r="A32" s="157" t="s">
        <v>239</v>
      </c>
      <c r="B32" s="176" t="s">
        <v>224</v>
      </c>
      <c r="C32" s="149" t="s">
        <v>11</v>
      </c>
      <c r="D32" s="149" t="s">
        <v>11</v>
      </c>
      <c r="E32" s="149" t="s">
        <v>11</v>
      </c>
      <c r="F32" s="149" t="s">
        <v>11</v>
      </c>
      <c r="G32" s="149" t="s">
        <v>11</v>
      </c>
      <c r="H32" s="149" t="s">
        <v>11</v>
      </c>
      <c r="I32" s="149" t="s">
        <v>11</v>
      </c>
      <c r="J32" s="149" t="s">
        <v>11</v>
      </c>
      <c r="K32" s="149" t="s">
        <v>11</v>
      </c>
      <c r="L32" s="149" t="s">
        <v>11</v>
      </c>
      <c r="M32" s="149" t="s">
        <v>11</v>
      </c>
      <c r="N32" s="149" t="s">
        <v>11</v>
      </c>
      <c r="O32" s="149" t="s">
        <v>11</v>
      </c>
      <c r="P32" s="149" t="s">
        <v>11</v>
      </c>
      <c r="Q32" s="149" t="s">
        <v>11</v>
      </c>
      <c r="R32" s="149" t="s">
        <v>11</v>
      </c>
      <c r="S32" s="149" t="s">
        <v>11</v>
      </c>
      <c r="T32" s="149" t="s">
        <v>11</v>
      </c>
      <c r="U32" s="149" t="s">
        <v>11</v>
      </c>
      <c r="V32" s="149" t="s">
        <v>11</v>
      </c>
      <c r="W32" s="149" t="s">
        <v>11</v>
      </c>
      <c r="X32" s="149" t="s">
        <v>11</v>
      </c>
      <c r="Y32" s="149" t="s">
        <v>11</v>
      </c>
      <c r="Z32" s="149" t="s">
        <v>11</v>
      </c>
      <c r="AA32" s="149" t="s">
        <v>11</v>
      </c>
      <c r="AB32" s="149" t="s">
        <v>11</v>
      </c>
      <c r="AC32" s="149" t="s">
        <v>11</v>
      </c>
      <c r="AD32" s="149" t="s">
        <v>11</v>
      </c>
      <c r="AE32" s="149" t="s">
        <v>11</v>
      </c>
      <c r="AF32" s="149" t="s">
        <v>11</v>
      </c>
      <c r="AG32" s="149" t="s">
        <v>11</v>
      </c>
      <c r="AH32" s="149" t="s">
        <v>11</v>
      </c>
      <c r="AI32" s="149" t="s">
        <v>11</v>
      </c>
      <c r="AJ32" s="149" t="s">
        <v>11</v>
      </c>
      <c r="AK32" s="149" t="s">
        <v>11</v>
      </c>
      <c r="AL32" s="149" t="s">
        <v>11</v>
      </c>
      <c r="AM32" s="149" t="s">
        <v>11</v>
      </c>
      <c r="AN32" s="149" t="s">
        <v>11</v>
      </c>
      <c r="AO32" s="149" t="s">
        <v>11</v>
      </c>
      <c r="AP32" s="149" t="s">
        <v>11</v>
      </c>
      <c r="AQ32" s="149" t="s">
        <v>11</v>
      </c>
      <c r="AR32" s="149" t="s">
        <v>11</v>
      </c>
      <c r="AS32" s="149" t="s">
        <v>11</v>
      </c>
      <c r="AT32" s="149" t="s">
        <v>11</v>
      </c>
      <c r="AU32" s="149" t="s">
        <v>11</v>
      </c>
      <c r="AV32" s="149" t="s">
        <v>11</v>
      </c>
      <c r="AW32" s="149" t="s">
        <v>11</v>
      </c>
      <c r="AX32" s="149"/>
      <c r="AY32" s="149"/>
      <c r="AZ32" s="154"/>
      <c r="BA32" s="154"/>
    </row>
    <row r="33" spans="1:53" ht="38.25">
      <c r="A33" s="157" t="s">
        <v>240</v>
      </c>
      <c r="B33" s="176" t="s">
        <v>225</v>
      </c>
      <c r="C33" s="149" t="s">
        <v>11</v>
      </c>
      <c r="D33" s="149" t="s">
        <v>11</v>
      </c>
      <c r="E33" s="149" t="s">
        <v>11</v>
      </c>
      <c r="F33" s="149" t="s">
        <v>11</v>
      </c>
      <c r="G33" s="149" t="s">
        <v>11</v>
      </c>
      <c r="H33" s="149" t="s">
        <v>11</v>
      </c>
      <c r="I33" s="149" t="s">
        <v>11</v>
      </c>
      <c r="J33" s="149" t="s">
        <v>11</v>
      </c>
      <c r="K33" s="149" t="s">
        <v>11</v>
      </c>
      <c r="L33" s="149" t="s">
        <v>11</v>
      </c>
      <c r="M33" s="149" t="s">
        <v>11</v>
      </c>
      <c r="N33" s="149" t="s">
        <v>11</v>
      </c>
      <c r="O33" s="149" t="s">
        <v>11</v>
      </c>
      <c r="P33" s="149" t="s">
        <v>11</v>
      </c>
      <c r="Q33" s="149" t="s">
        <v>11</v>
      </c>
      <c r="R33" s="149" t="s">
        <v>11</v>
      </c>
      <c r="S33" s="149" t="s">
        <v>11</v>
      </c>
      <c r="T33" s="149" t="s">
        <v>11</v>
      </c>
      <c r="U33" s="149" t="s">
        <v>11</v>
      </c>
      <c r="V33" s="149" t="s">
        <v>11</v>
      </c>
      <c r="W33" s="149" t="s">
        <v>11</v>
      </c>
      <c r="X33" s="149" t="s">
        <v>11</v>
      </c>
      <c r="Y33" s="149" t="s">
        <v>11</v>
      </c>
      <c r="Z33" s="149" t="s">
        <v>11</v>
      </c>
      <c r="AA33" s="149" t="s">
        <v>11</v>
      </c>
      <c r="AB33" s="149" t="s">
        <v>11</v>
      </c>
      <c r="AC33" s="149" t="s">
        <v>11</v>
      </c>
      <c r="AD33" s="149" t="s">
        <v>11</v>
      </c>
      <c r="AE33" s="149" t="s">
        <v>11</v>
      </c>
      <c r="AF33" s="149" t="s">
        <v>11</v>
      </c>
      <c r="AG33" s="149" t="s">
        <v>11</v>
      </c>
      <c r="AH33" s="149" t="s">
        <v>11</v>
      </c>
      <c r="AI33" s="149" t="s">
        <v>11</v>
      </c>
      <c r="AJ33" s="149" t="s">
        <v>11</v>
      </c>
      <c r="AK33" s="149" t="s">
        <v>11</v>
      </c>
      <c r="AL33" s="149" t="s">
        <v>11</v>
      </c>
      <c r="AM33" s="149" t="s">
        <v>11</v>
      </c>
      <c r="AN33" s="149" t="s">
        <v>11</v>
      </c>
      <c r="AO33" s="149" t="s">
        <v>11</v>
      </c>
      <c r="AP33" s="149" t="s">
        <v>11</v>
      </c>
      <c r="AQ33" s="149" t="s">
        <v>11</v>
      </c>
      <c r="AR33" s="149" t="s">
        <v>11</v>
      </c>
      <c r="AS33" s="149" t="s">
        <v>11</v>
      </c>
      <c r="AT33" s="149" t="s">
        <v>11</v>
      </c>
      <c r="AU33" s="149" t="s">
        <v>11</v>
      </c>
      <c r="AV33" s="149" t="s">
        <v>11</v>
      </c>
      <c r="AW33" s="149" t="s">
        <v>11</v>
      </c>
      <c r="AX33" s="149"/>
      <c r="AY33" s="149"/>
      <c r="AZ33" s="154"/>
      <c r="BA33" s="154"/>
    </row>
    <row r="34" spans="1:53" ht="15">
      <c r="A34" s="151"/>
      <c r="B34" s="173" t="s">
        <v>217</v>
      </c>
      <c r="C34" s="152"/>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52"/>
      <c r="AB34" s="152"/>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3"/>
    </row>
    <row r="35" spans="1:53" ht="51">
      <c r="A35" s="157" t="s">
        <v>218</v>
      </c>
      <c r="B35" s="176" t="s">
        <v>219</v>
      </c>
      <c r="C35" s="149" t="s">
        <v>11</v>
      </c>
      <c r="D35" s="149" t="s">
        <v>11</v>
      </c>
      <c r="E35" s="149" t="s">
        <v>11</v>
      </c>
      <c r="F35" s="149" t="s">
        <v>11</v>
      </c>
      <c r="G35" s="149" t="s">
        <v>11</v>
      </c>
      <c r="H35" s="149" t="s">
        <v>11</v>
      </c>
      <c r="I35" s="149" t="s">
        <v>11</v>
      </c>
      <c r="J35" s="149" t="s">
        <v>11</v>
      </c>
      <c r="K35" s="149" t="s">
        <v>11</v>
      </c>
      <c r="L35" s="149" t="s">
        <v>11</v>
      </c>
      <c r="M35" s="149" t="s">
        <v>11</v>
      </c>
      <c r="N35" s="149" t="s">
        <v>11</v>
      </c>
      <c r="O35" s="149" t="s">
        <v>11</v>
      </c>
      <c r="P35" s="149" t="s">
        <v>11</v>
      </c>
      <c r="Q35" s="149" t="s">
        <v>11</v>
      </c>
      <c r="R35" s="149" t="s">
        <v>11</v>
      </c>
      <c r="S35" s="149" t="s">
        <v>11</v>
      </c>
      <c r="T35" s="149" t="s">
        <v>11</v>
      </c>
      <c r="U35" s="149" t="s">
        <v>11</v>
      </c>
      <c r="V35" s="149" t="s">
        <v>11</v>
      </c>
      <c r="W35" s="149" t="s">
        <v>11</v>
      </c>
      <c r="X35" s="149" t="s">
        <v>11</v>
      </c>
      <c r="Y35" s="149" t="s">
        <v>11</v>
      </c>
      <c r="Z35" s="149" t="s">
        <v>11</v>
      </c>
      <c r="AA35" s="149" t="s">
        <v>11</v>
      </c>
      <c r="AB35" s="149" t="s">
        <v>11</v>
      </c>
      <c r="AC35" s="149" t="s">
        <v>11</v>
      </c>
      <c r="AD35" s="149" t="s">
        <v>11</v>
      </c>
      <c r="AE35" s="149" t="s">
        <v>11</v>
      </c>
      <c r="AF35" s="149" t="s">
        <v>11</v>
      </c>
      <c r="AG35" s="149" t="s">
        <v>11</v>
      </c>
      <c r="AH35" s="149" t="s">
        <v>11</v>
      </c>
      <c r="AI35" s="149" t="s">
        <v>11</v>
      </c>
      <c r="AJ35" s="149" t="s">
        <v>11</v>
      </c>
      <c r="AK35" s="149" t="s">
        <v>11</v>
      </c>
      <c r="AL35" s="149" t="s">
        <v>11</v>
      </c>
      <c r="AM35" s="149" t="s">
        <v>11</v>
      </c>
      <c r="AN35" s="149" t="s">
        <v>11</v>
      </c>
      <c r="AO35" s="149" t="s">
        <v>11</v>
      </c>
      <c r="AP35" s="149" t="s">
        <v>11</v>
      </c>
      <c r="AQ35" s="149" t="s">
        <v>11</v>
      </c>
      <c r="AR35" s="149" t="s">
        <v>11</v>
      </c>
      <c r="AS35" s="149" t="s">
        <v>11</v>
      </c>
      <c r="AT35" s="149" t="s">
        <v>11</v>
      </c>
      <c r="AU35" s="149" t="s">
        <v>11</v>
      </c>
      <c r="AV35" s="149" t="s">
        <v>11</v>
      </c>
      <c r="AW35" s="149" t="s">
        <v>11</v>
      </c>
      <c r="AX35" s="149"/>
      <c r="AY35" s="149"/>
      <c r="AZ35" s="154"/>
      <c r="BA35" s="154"/>
    </row>
    <row r="36" spans="1:53" ht="18">
      <c r="A36" s="177"/>
      <c r="B36" s="178" t="s">
        <v>241</v>
      </c>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7"/>
      <c r="AC36" s="177"/>
      <c r="AD36" s="177"/>
      <c r="AE36" s="177"/>
      <c r="AF36" s="177"/>
      <c r="AG36" s="177"/>
      <c r="AH36" s="177"/>
      <c r="AI36" s="177"/>
      <c r="AJ36" s="177"/>
      <c r="AK36" s="177"/>
      <c r="AL36" s="177"/>
      <c r="AM36" s="177"/>
      <c r="AN36" s="177"/>
      <c r="AO36" s="177"/>
      <c r="AP36" s="177"/>
      <c r="AQ36" s="177"/>
      <c r="AR36" s="177"/>
      <c r="AS36" s="177"/>
      <c r="AT36" s="177"/>
      <c r="AU36" s="177"/>
      <c r="AV36" s="177"/>
      <c r="AW36" s="177"/>
      <c r="AX36" s="177"/>
      <c r="AY36" s="177"/>
      <c r="AZ36" s="177"/>
      <c r="BA36" s="177"/>
    </row>
  </sheetData>
  <mergeCells count="1">
    <mergeCell ref="AZ2:BA2"/>
  </mergeCells>
  <dataValidations count="1">
    <dataValidation type="list" allowBlank="1" showInputMessage="1" showErrorMessage="1" sqref="C17:AX18 C32:AX33 C6:AX10 C12:AX15 C35:AX35 C27:AX30 C20:AX25" xr:uid="{00000000-0002-0000-0900-00000000000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78</vt:i4>
      </vt:variant>
    </vt:vector>
  </HeadingPairs>
  <TitlesOfParts>
    <vt:vector size="88"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Review!_Toc97800087</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Victor Popina</cp:lastModifiedBy>
  <dcterms:created xsi:type="dcterms:W3CDTF">1996-10-21T11:03:58Z</dcterms:created>
  <dcterms:modified xsi:type="dcterms:W3CDTF">2024-03-05T07:27:23Z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