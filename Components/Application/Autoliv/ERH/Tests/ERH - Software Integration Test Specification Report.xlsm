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_Sandbox\DAI_MMA\View_Development\Components\Application\Autoliv\ERH\Tests\"/>
    </mc:Choice>
  </mc:AlternateContent>
  <xr:revisionPtr revIDLastSave="0" documentId="13_ncr:1_{AD23C3BE-7225-430C-9713-FB1DEFED3C71}" xr6:coauthVersionLast="47" xr6:coauthVersionMax="47" xr10:uidLastSave="{00000000-0000-0000-0000-000000000000}"/>
  <bookViews>
    <workbookView xWindow="57480" yWindow="-120" windowWidth="29040" windowHeight="15840" tabRatio="921" activeTab="3" xr2:uid="{00000000-000D-0000-FFFF-FFFF00000000}"/>
  </bookViews>
  <sheets>
    <sheet name="FrontPage" sheetId="4" r:id="rId1"/>
    <sheet name="General info" sheetId="11" r:id="rId2"/>
    <sheet name="Guide (help)" sheetId="18" r:id="rId3"/>
    <sheet name="Tests Synthesis" sheetId="13" r:id="rId4"/>
    <sheet name="SW_IT_ERH_0001" sheetId="14" r:id="rId5"/>
    <sheet name="SW_IT_ERH_0002" sheetId="22" r:id="rId6"/>
    <sheet name="SW_IT_ERH_0003" sheetId="24" r:id="rId7"/>
    <sheet name="SW_IT_ERH_0004" sheetId="25" r:id="rId8"/>
    <sheet name="SW_IT_ERH_0005" sheetId="26" r:id="rId9"/>
    <sheet name="SW_IT_ERH_0006" sheetId="27" r:id="rId10"/>
    <sheet name="Metrics" sheetId="16" r:id="rId11"/>
  </sheets>
  <externalReferences>
    <externalReference r:id="rId12"/>
  </externalReferences>
  <definedNames>
    <definedName name="FileName">FrontPage!$AD$3</definedName>
    <definedName name="MXActual_state_Released">FrontPage!$AB$5</definedName>
    <definedName name="MXAuthority">FrontPage!$A$5</definedName>
    <definedName name="MXCurrent.Localized">FrontPage!$W$5</definedName>
    <definedName name="MXName">FrontPage!$A$7</definedName>
    <definedName name="MXPolicy" localSheetId="2">FrontPage!#REF!</definedName>
    <definedName name="MXPolicy">FrontPage!#REF!</definedName>
    <definedName name="MXRevision">FrontPage!$AB$7</definedName>
    <definedName name="MXTitle">FrontPage!$E$7</definedName>
    <definedName name="MXType.Localized" localSheetId="2">FrontPage!#REF!</definedName>
    <definedName name="MXType.Localized">FrontPage!#REF!</definedName>
    <definedName name="MXVersion">FrontPage!$AE$7</definedName>
    <definedName name="PLMDocAuthor">FrontPage!$F$10</definedName>
    <definedName name="_xlnm.Print_Titles" localSheetId="1">'General info'!$1:$10</definedName>
    <definedName name="_xlnm.Print_Titles" localSheetId="2">'Guide (help)'!$1:$1</definedName>
    <definedName name="TemplateRef">FrontPage!$W$7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3" i="4" l="1"/>
  <c r="AB5" i="11"/>
  <c r="F5" i="16"/>
  <c r="K47" i="13"/>
  <c r="F47" i="13"/>
  <c r="E47" i="13"/>
  <c r="D47" i="13"/>
  <c r="K46" i="13"/>
  <c r="F46" i="13"/>
  <c r="E46" i="13"/>
  <c r="D46" i="13"/>
  <c r="K45" i="13"/>
  <c r="F45" i="13"/>
  <c r="E45" i="13"/>
  <c r="D45" i="13"/>
  <c r="K44" i="13"/>
  <c r="F44" i="13"/>
  <c r="E44" i="13"/>
  <c r="D44" i="13"/>
  <c r="K43" i="13"/>
  <c r="F43" i="13"/>
  <c r="E43" i="13"/>
  <c r="D43" i="13"/>
  <c r="K42" i="13"/>
  <c r="F42" i="13"/>
  <c r="E42" i="13"/>
  <c r="D42" i="13"/>
  <c r="K41" i="13"/>
  <c r="F41" i="13"/>
  <c r="E41" i="13"/>
  <c r="D41" i="13"/>
  <c r="K40" i="13"/>
  <c r="F40" i="13"/>
  <c r="E40" i="13"/>
  <c r="D40" i="13"/>
  <c r="K39" i="13"/>
  <c r="F39" i="13"/>
  <c r="E39" i="13"/>
  <c r="D39" i="13"/>
  <c r="K38" i="13"/>
  <c r="F38" i="13"/>
  <c r="E38" i="13"/>
  <c r="D38" i="13"/>
  <c r="K37" i="13"/>
  <c r="F37" i="13"/>
  <c r="E37" i="13"/>
  <c r="D37" i="13"/>
  <c r="K36" i="13"/>
  <c r="F36" i="13"/>
  <c r="E36" i="13"/>
  <c r="D36" i="13"/>
  <c r="K35" i="13"/>
  <c r="F35" i="13"/>
  <c r="E35" i="13"/>
  <c r="D35" i="13"/>
  <c r="K34" i="13"/>
  <c r="F34" i="13"/>
  <c r="E34" i="13"/>
  <c r="D34" i="13"/>
  <c r="K33" i="13"/>
  <c r="F33" i="13"/>
  <c r="E33" i="13"/>
  <c r="D33" i="13"/>
  <c r="K32" i="13"/>
  <c r="F32" i="13"/>
  <c r="E32" i="13"/>
  <c r="D32" i="13"/>
  <c r="K31" i="13"/>
  <c r="F31" i="13"/>
  <c r="E31" i="13"/>
  <c r="D31" i="13"/>
  <c r="K30" i="13"/>
  <c r="F30" i="13"/>
  <c r="E30" i="13"/>
  <c r="D30" i="13"/>
  <c r="K29" i="13"/>
  <c r="F29" i="13"/>
  <c r="E29" i="13"/>
  <c r="D29" i="13"/>
  <c r="K28" i="13"/>
  <c r="F28" i="13"/>
  <c r="E28" i="13"/>
  <c r="D28" i="13"/>
  <c r="K27" i="13"/>
  <c r="F27" i="13"/>
  <c r="E27" i="13"/>
  <c r="D27" i="13"/>
  <c r="K26" i="13"/>
  <c r="F26" i="13"/>
  <c r="E26" i="13"/>
  <c r="D26" i="13"/>
  <c r="K25" i="13"/>
  <c r="F25" i="13"/>
  <c r="E25" i="13"/>
  <c r="D25" i="13"/>
  <c r="AD3" i="4"/>
  <c r="AD3" i="11" s="1"/>
  <c r="W7" i="4"/>
  <c r="F4" i="13"/>
  <c r="F6" i="13"/>
  <c r="E6" i="13"/>
  <c r="E8" i="13"/>
  <c r="K8" i="13"/>
  <c r="D3" i="13"/>
  <c r="D7" i="13"/>
  <c r="F8" i="13"/>
  <c r="E5" i="13"/>
  <c r="D5" i="13"/>
  <c r="F7" i="13"/>
  <c r="E4" i="13"/>
  <c r="D4" i="13"/>
  <c r="E3" i="13"/>
  <c r="K3" i="13"/>
  <c r="K4" i="13"/>
  <c r="F3" i="13"/>
  <c r="K6" i="13"/>
  <c r="E7" i="13"/>
  <c r="K7" i="13"/>
  <c r="D8" i="13"/>
  <c r="F5" i="13"/>
  <c r="K5" i="13"/>
  <c r="D6" i="13"/>
  <c r="W7" i="11" l="1"/>
  <c r="A7" i="11"/>
  <c r="W5" i="11"/>
  <c r="E7" i="11"/>
  <c r="C5" i="16"/>
  <c r="C3" i="16"/>
  <c r="C4" i="16"/>
  <c r="C2" i="16"/>
  <c r="C6" i="16" l="1"/>
  <c r="F4" i="16" s="1"/>
  <c r="F2" i="16" l="1"/>
  <c r="F3"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W7" authorId="0" shapeId="0" xr:uid="{8FDCBE47-0A32-4674-AD09-A4D2A4C92CB3}">
      <text>
        <r>
          <rPr>
            <sz val="9"/>
            <color indexed="81"/>
            <rFont val="Tahoma"/>
            <family val="2"/>
          </rPr>
          <t>Template from process AEM_PROCESS_1.17.00 Last change : AEM_PROCESS_1.05.00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Francine Chambin</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4" authorId="0" shapeId="0" xr:uid="{00000000-0006-0000-0100-000003000000}">
      <text>
        <r>
          <rPr>
            <sz val="8"/>
            <color indexed="81"/>
            <rFont val="Tahoma"/>
            <family val="2"/>
          </rPr>
          <t>The document version is given by PTC. Please copy/paste it here.</t>
        </r>
        <r>
          <rPr>
            <sz val="8"/>
            <color indexed="81"/>
            <rFont val="Tahoma"/>
            <family val="2"/>
          </rPr>
          <t xml:space="preserve">
</t>
        </r>
      </text>
    </comment>
    <comment ref="E24" authorId="0" shapeId="0" xr:uid="{00000000-0006-0000-0100-000004000000}">
      <text>
        <r>
          <rPr>
            <sz val="8"/>
            <color indexed="81"/>
            <rFont val="Tahoma"/>
            <family val="2"/>
          </rPr>
          <t>Date when the Revision is released</t>
        </r>
      </text>
    </comment>
    <comment ref="I24" authorId="0" shapeId="0" xr:uid="{00000000-0006-0000-0100-000005000000}">
      <text>
        <r>
          <rPr>
            <sz val="8"/>
            <color indexed="81"/>
            <rFont val="Tahoma"/>
            <family val="2"/>
          </rPr>
          <t>Author of the document. Authors if several.</t>
        </r>
      </text>
    </comment>
    <comment ref="R24" authorId="0" shapeId="0" xr:uid="{00000000-0006-0000-0100-000006000000}">
      <text>
        <r>
          <rPr>
            <sz val="8"/>
            <color indexed="81"/>
            <rFont val="Tahoma"/>
            <family val="2"/>
          </rPr>
          <t>Description or comment on the version. E.g. updated after meeting etc.</t>
        </r>
      </text>
    </comment>
    <comment ref="N35" authorId="1" shapeId="0" xr:uid="{00000000-0006-0000-0100-000007000000}">
      <text>
        <r>
          <rPr>
            <sz val="9"/>
            <color indexed="81"/>
            <rFont val="Tahoma"/>
            <family val="2"/>
          </rPr>
          <t>The referenced documents correspond to the customer or standard documents to be applied for the integration.</t>
        </r>
      </text>
    </comment>
    <comment ref="B36" authorId="0" shapeId="0" xr:uid="{00000000-0006-0000-0100-000008000000}">
      <text>
        <r>
          <rPr>
            <sz val="8"/>
            <color indexed="81"/>
            <rFont val="Tahoma"/>
            <family val="2"/>
          </rPr>
          <t>ID of possible reference documents. Any ID can be used, suggestion is [Int1], [Int2] etc. for internal references and [Ext1], [Ext2] etc. for external references</t>
        </r>
      </text>
    </comment>
    <comment ref="E36" authorId="0" shapeId="0" xr:uid="{00000000-0006-0000-0100-000009000000}">
      <text>
        <r>
          <rPr>
            <sz val="8"/>
            <color indexed="81"/>
            <rFont val="Tahoma"/>
            <family val="2"/>
          </rPr>
          <t>Title of reference documents.</t>
        </r>
      </text>
    </comment>
    <comment ref="Y36" authorId="0" shapeId="0" xr:uid="{00000000-0006-0000-0100-00000A000000}">
      <text>
        <r>
          <rPr>
            <sz val="8"/>
            <color indexed="81"/>
            <rFont val="Tahoma"/>
            <family val="2"/>
          </rPr>
          <t>Reference number, e.g. E123456 and revision of the reference.</t>
        </r>
      </text>
    </comment>
    <comment ref="N41" authorId="1" shapeId="0" xr:uid="{00000000-0006-0000-0100-00000B000000}">
      <text>
        <r>
          <rPr>
            <sz val="9"/>
            <color indexed="81"/>
            <rFont val="Tahoma"/>
            <family val="2"/>
          </rPr>
          <t>The applicable documents are the architecture design document and other internal documents necessary to establish this test specification.</t>
        </r>
      </text>
    </comment>
    <comment ref="B42" authorId="0" shapeId="0" xr:uid="{00000000-0006-0000-0100-00000C000000}">
      <text>
        <r>
          <rPr>
            <sz val="8"/>
            <color indexed="81"/>
            <rFont val="Tahoma"/>
            <family val="2"/>
          </rPr>
          <t>ID of possible reference documents. Any ID can be used, suggestion is [Int1], [Int2] etc. for internal references and [Ext1], [Ext2] etc. for external references</t>
        </r>
      </text>
    </comment>
    <comment ref="E42" authorId="0" shapeId="0" xr:uid="{00000000-0006-0000-0100-00000D000000}">
      <text>
        <r>
          <rPr>
            <sz val="8"/>
            <color indexed="81"/>
            <rFont val="Tahoma"/>
            <family val="2"/>
          </rPr>
          <t>Title of reference documents.</t>
        </r>
      </text>
    </comment>
    <comment ref="Y42" authorId="0" shapeId="0" xr:uid="{00000000-0006-0000-0100-00000E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Francine Chambin</author>
    <author>Crina Baciu</author>
  </authors>
  <commentList>
    <comment ref="C2" authorId="0" shapeId="0" xr:uid="{00000000-0006-0000-0300-000001000000}">
      <text>
        <r>
          <rPr>
            <b/>
            <sz val="9"/>
            <color indexed="81"/>
            <rFont val="Tahoma"/>
            <family val="2"/>
          </rPr>
          <t xml:space="preserve">To be filled manually.
</t>
        </r>
        <r>
          <rPr>
            <sz val="9"/>
            <color indexed="81"/>
            <rFont val="Tahoma"/>
            <family val="2"/>
          </rPr>
          <t>Write the name of the Test case sheet (SW_IT_xxx).
It is interesting to add an hyperlink to go directly in the test case sheet.</t>
        </r>
      </text>
    </comment>
    <comment ref="D2" authorId="0" shapeId="0" xr:uid="{00000000-0006-0000-0300-000002000000}">
      <text>
        <r>
          <rPr>
            <b/>
            <sz val="9"/>
            <color indexed="81"/>
            <rFont val="Tahoma"/>
            <family val="2"/>
          </rPr>
          <t>Automatically filled (extracted from SW_IT_xxx sheet)</t>
        </r>
        <r>
          <rPr>
            <sz val="8"/>
            <color indexed="81"/>
            <rFont val="Tahoma"/>
            <family val="2"/>
            <charset val="238"/>
          </rPr>
          <t xml:space="preserve">
</t>
        </r>
        <r>
          <rPr>
            <sz val="9"/>
            <color indexed="81"/>
            <rFont val="Tahoma"/>
            <family val="2"/>
          </rPr>
          <t>Depending on the format of the SW Architecture: DOORS ID / key ID / chapter number, etc.</t>
        </r>
      </text>
    </comment>
    <comment ref="E2" authorId="0" shapeId="0" xr:uid="{00000000-0006-0000-0300-000003000000}">
      <text>
        <r>
          <rPr>
            <b/>
            <sz val="9"/>
            <color indexed="81"/>
            <rFont val="Tahoma"/>
            <family val="2"/>
          </rPr>
          <t>Test Classification automatically filled (extracted from SW_IT_xxx sheet)
See General Info</t>
        </r>
      </text>
    </comment>
    <comment ref="F2" authorId="1" shapeId="0" xr:uid="{00000000-0006-0000-0300-000004000000}">
      <text>
        <r>
          <rPr>
            <b/>
            <sz val="9"/>
            <color indexed="81"/>
            <rFont val="Tahoma"/>
            <family val="2"/>
          </rPr>
          <t>Automatically filled
(extracted from SW_IT_xxx sheet)</t>
        </r>
      </text>
    </comment>
    <comment ref="G2" authorId="1" shapeId="0" xr:uid="{00000000-0006-0000-0300-000005000000}">
      <text>
        <r>
          <rPr>
            <b/>
            <sz val="9"/>
            <color indexed="81"/>
            <rFont val="Tahoma"/>
            <family val="2"/>
          </rPr>
          <t xml:space="preserve">To be filled manually. Use the dropdown list. </t>
        </r>
        <r>
          <rPr>
            <sz val="9"/>
            <color indexed="81"/>
            <rFont val="Tahoma"/>
            <family val="2"/>
          </rPr>
          <t xml:space="preserve">
A cross"X" means that this test case has been identified during the impact analysis as necessary for controlling that the changes to the software do not introduce regressions.
</t>
        </r>
      </text>
    </comment>
    <comment ref="H2" authorId="1" shapeId="0" xr:uid="{00000000-0006-0000-0300-000006000000}">
      <text>
        <r>
          <rPr>
            <b/>
            <sz val="9"/>
            <color indexed="81"/>
            <rFont val="Tahoma"/>
            <family val="2"/>
          </rPr>
          <t xml:space="preserve">Priority number : 
To be filled manually. 
</t>
        </r>
        <r>
          <rPr>
            <sz val="9"/>
            <color indexed="81"/>
            <rFont val="Tahoma"/>
            <family val="2"/>
          </rPr>
          <t>Use the dropdown list</t>
        </r>
        <r>
          <rPr>
            <sz val="9"/>
            <color indexed="81"/>
            <rFont val="Tahoma"/>
            <family val="2"/>
          </rPr>
          <t xml:space="preserve">
1 : High priority
2 : Medium priority
3 : Low priority
</t>
        </r>
      </text>
    </comment>
    <comment ref="I2" authorId="1" shapeId="0" xr:uid="{00000000-0006-0000-0300-000007000000}">
      <text>
        <r>
          <rPr>
            <b/>
            <sz val="9"/>
            <color indexed="81"/>
            <rFont val="Tahoma"/>
            <family val="2"/>
          </rPr>
          <t xml:space="preserve">To be filled manually 
</t>
        </r>
        <r>
          <rPr>
            <sz val="9"/>
            <color indexed="81"/>
            <rFont val="Tahoma"/>
            <family val="2"/>
          </rPr>
          <t xml:space="preserve">Write the date of the test execution
</t>
        </r>
      </text>
    </comment>
    <comment ref="J2" authorId="1" shapeId="0" xr:uid="{00000000-0006-0000-0300-000008000000}">
      <text>
        <r>
          <rPr>
            <b/>
            <sz val="9"/>
            <color indexed="81"/>
            <rFont val="Tahoma"/>
            <family val="2"/>
          </rPr>
          <t xml:space="preserve">To be filled manually </t>
        </r>
        <r>
          <rPr>
            <sz val="9"/>
            <color indexed="81"/>
            <rFont val="Tahoma"/>
            <family val="2"/>
          </rPr>
          <t xml:space="preserve">
Write the PTC checkpoint name of SW release or,
PTC version if the integration test is done before a PTC checkpoint.
Nota: Normally the integrator shall always have a PTC checkpoint name in order to keep a trace of what has been tested.</t>
        </r>
      </text>
    </comment>
    <comment ref="K2" authorId="1" shapeId="0" xr:uid="{00000000-0006-0000-0300-000009000000}">
      <text>
        <r>
          <rPr>
            <b/>
            <sz val="9"/>
            <color indexed="81"/>
            <rFont val="Tahoma"/>
            <family val="2"/>
          </rPr>
          <t>Test Status automatically filled (extracted from SW_IT_xxx sheet)</t>
        </r>
        <r>
          <rPr>
            <sz val="9"/>
            <color indexed="81"/>
            <rFont val="Tahoma"/>
            <family val="2"/>
          </rPr>
          <t xml:space="preserve">
Ok :  test is passed
Nok : test is failed
not run : test is not performed
NA :  test is not applicable (an explanation must be given).</t>
        </r>
      </text>
    </comment>
    <comment ref="L2" authorId="1" shapeId="0" xr:uid="{00000000-0006-0000-0300-00000A000000}">
      <text>
        <r>
          <rPr>
            <b/>
            <sz val="9"/>
            <color indexed="81"/>
            <rFont val="Tahoma"/>
            <family val="2"/>
          </rPr>
          <t xml:space="preserve">To be filled manually </t>
        </r>
        <r>
          <rPr>
            <sz val="9"/>
            <color indexed="81"/>
            <rFont val="Tahoma"/>
            <family val="2"/>
          </rPr>
          <t xml:space="preserve">
Write initials of the tester. </t>
        </r>
      </text>
    </comment>
    <comment ref="M2" authorId="2" shapeId="0" xr:uid="{00000000-0006-0000-0300-00000B000000}">
      <text>
        <r>
          <rPr>
            <b/>
            <sz val="9"/>
            <color indexed="81"/>
            <rFont val="Tahoma"/>
            <family val="2"/>
          </rPr>
          <t>CR/WI manually filled</t>
        </r>
        <r>
          <rPr>
            <sz val="9"/>
            <color indexed="81"/>
            <rFont val="Tahoma"/>
            <family val="2"/>
          </rPr>
          <t xml:space="preserve"> with
Change Request / Working Issue  number. </t>
        </r>
        <r>
          <rPr>
            <b/>
            <sz val="9"/>
            <color indexed="81"/>
            <rFont val="Tahoma"/>
            <family val="2"/>
          </rPr>
          <t>Mandatory when "Test Status" is Nok.</t>
        </r>
      </text>
    </comment>
    <comment ref="N2" authorId="2" shapeId="0" xr:uid="{7362CDD6-AA91-4A30-8EBB-D2D695BF8678}">
      <text>
        <r>
          <rPr>
            <b/>
            <sz val="9"/>
            <color indexed="81"/>
            <rFont val="Tahoma"/>
            <family val="2"/>
          </rPr>
          <t>Comment manually filled</t>
        </r>
        <r>
          <rPr>
            <sz val="9"/>
            <color indexed="81"/>
            <rFont val="Tahoma"/>
            <family val="2"/>
          </rPr>
          <t xml:space="preserve"> 
</t>
        </r>
        <r>
          <rPr>
            <b/>
            <sz val="9"/>
            <color indexed="81"/>
            <rFont val="Tahoma"/>
            <family val="2"/>
          </rPr>
          <t>Free text must be added when "Test Status" is NA.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00000000-0006-0000-0400-000001000000}">
      <text>
        <r>
          <rPr>
            <b/>
            <sz val="9"/>
            <color indexed="81"/>
            <rFont val="Tahoma"/>
            <family val="2"/>
          </rPr>
          <t xml:space="preserve">See Guide (help)
</t>
        </r>
        <r>
          <rPr>
            <sz val="9"/>
            <color indexed="81"/>
            <rFont val="Tahoma"/>
            <family val="2"/>
          </rPr>
          <t xml:space="preserve">
</t>
        </r>
      </text>
    </comment>
    <comment ref="A3" authorId="0" shapeId="0" xr:uid="{00000000-0006-0000-0400-000002000000}">
      <text>
        <r>
          <rPr>
            <b/>
            <sz val="9"/>
            <color indexed="81"/>
            <rFont val="Tahoma"/>
            <family val="2"/>
          </rPr>
          <t xml:space="preserve">See Guide (help)
</t>
        </r>
        <r>
          <rPr>
            <sz val="9"/>
            <color indexed="81"/>
            <rFont val="Tahoma"/>
            <family val="2"/>
          </rPr>
          <t xml:space="preserve">
</t>
        </r>
      </text>
    </comment>
    <comment ref="A5" authorId="0" shapeId="0" xr:uid="{00000000-0006-0000-0400-000003000000}">
      <text>
        <r>
          <rPr>
            <sz val="9"/>
            <color indexed="81"/>
            <rFont val="Tahoma"/>
            <family val="2"/>
          </rPr>
          <t>Definition is in the "General info" tab.
Use the dropdown list.</t>
        </r>
      </text>
    </comment>
    <comment ref="A9" authorId="0" shapeId="0" xr:uid="{00000000-0006-0000-0400-000004000000}">
      <text>
        <r>
          <rPr>
            <b/>
            <sz val="9"/>
            <color indexed="81"/>
            <rFont val="Tahoma"/>
            <family val="2"/>
          </rPr>
          <t>See Guide (help)</t>
        </r>
        <r>
          <rPr>
            <sz val="9"/>
            <color indexed="81"/>
            <rFont val="Tahoma"/>
            <family val="2"/>
          </rPr>
          <t xml:space="preserve">
</t>
        </r>
      </text>
    </comment>
    <comment ref="A11" authorId="0" shapeId="0" xr:uid="{00000000-0006-0000-0400-000005000000}">
      <text>
        <r>
          <rPr>
            <b/>
            <sz val="9"/>
            <color indexed="81"/>
            <rFont val="Tahoma"/>
            <family val="2"/>
          </rPr>
          <t xml:space="preserve">Describe the test environment and setup.
</t>
        </r>
        <r>
          <rPr>
            <sz val="9"/>
            <color indexed="81"/>
            <rFont val="Tahoma"/>
            <family val="2"/>
          </rPr>
          <t xml:space="preserve">
</t>
        </r>
      </text>
    </comment>
    <comment ref="A16" authorId="0" shapeId="0" xr:uid="{00000000-0006-0000-0400-000006000000}">
      <text>
        <r>
          <rPr>
            <b/>
            <sz val="9"/>
            <color indexed="81"/>
            <rFont val="Tahoma"/>
            <family val="2"/>
          </rPr>
          <t>Give the initial state before beginning the test.</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4CC2C27A-709D-4849-A78C-1EC3B4399999}">
      <text>
        <r>
          <rPr>
            <b/>
            <sz val="9"/>
            <color indexed="81"/>
            <rFont val="Tahoma"/>
            <family val="2"/>
          </rPr>
          <t xml:space="preserve">See Guide (help)
</t>
        </r>
        <r>
          <rPr>
            <sz val="9"/>
            <color indexed="81"/>
            <rFont val="Tahoma"/>
            <family val="2"/>
          </rPr>
          <t xml:space="preserve">
</t>
        </r>
      </text>
    </comment>
    <comment ref="A3" authorId="0" shapeId="0" xr:uid="{66CA5F7C-992C-4BD8-ABAF-8C059644C7CB}">
      <text>
        <r>
          <rPr>
            <b/>
            <sz val="9"/>
            <color indexed="81"/>
            <rFont val="Tahoma"/>
            <family val="2"/>
          </rPr>
          <t xml:space="preserve">See Guide (help)
</t>
        </r>
        <r>
          <rPr>
            <sz val="9"/>
            <color indexed="81"/>
            <rFont val="Tahoma"/>
            <family val="2"/>
          </rPr>
          <t xml:space="preserve">
</t>
        </r>
      </text>
    </comment>
    <comment ref="A5" authorId="0" shapeId="0" xr:uid="{0759E5CC-EA7B-4CF0-827F-65639556AF3F}">
      <text>
        <r>
          <rPr>
            <sz val="9"/>
            <color indexed="81"/>
            <rFont val="Tahoma"/>
            <family val="2"/>
          </rPr>
          <t>Definition is in the "General info" tab.
Use the dropdown list.</t>
        </r>
      </text>
    </comment>
    <comment ref="A9" authorId="0" shapeId="0" xr:uid="{BC4A15CD-4296-4AE0-B2A9-66595BC1FDA2}">
      <text>
        <r>
          <rPr>
            <b/>
            <sz val="9"/>
            <color indexed="81"/>
            <rFont val="Tahoma"/>
            <family val="2"/>
          </rPr>
          <t>See Guide (help)</t>
        </r>
        <r>
          <rPr>
            <sz val="9"/>
            <color indexed="81"/>
            <rFont val="Tahoma"/>
            <family val="2"/>
          </rPr>
          <t xml:space="preserve">
</t>
        </r>
      </text>
    </comment>
    <comment ref="A11" authorId="0" shapeId="0" xr:uid="{778C7603-9042-49B6-AAD7-9900EF6D8241}">
      <text>
        <r>
          <rPr>
            <b/>
            <sz val="9"/>
            <color indexed="81"/>
            <rFont val="Tahoma"/>
            <family val="2"/>
          </rPr>
          <t xml:space="preserve">Describe the test environment and setup.
</t>
        </r>
        <r>
          <rPr>
            <sz val="9"/>
            <color indexed="81"/>
            <rFont val="Tahoma"/>
            <family val="2"/>
          </rPr>
          <t xml:space="preserve">
</t>
        </r>
      </text>
    </comment>
    <comment ref="A16" authorId="0" shapeId="0" xr:uid="{31ADEBF0-AAD4-4DBE-A48E-CCCE9949DA3B}">
      <text>
        <r>
          <rPr>
            <b/>
            <sz val="9"/>
            <color indexed="81"/>
            <rFont val="Tahoma"/>
            <family val="2"/>
          </rPr>
          <t>Give the initial state before beginning the test.</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72FF02B3-A56D-43BC-A446-426084C4B6F8}">
      <text>
        <r>
          <rPr>
            <b/>
            <sz val="9"/>
            <color indexed="81"/>
            <rFont val="Tahoma"/>
            <family val="2"/>
          </rPr>
          <t xml:space="preserve">See Guide (help)
</t>
        </r>
        <r>
          <rPr>
            <sz val="9"/>
            <color indexed="81"/>
            <rFont val="Tahoma"/>
            <family val="2"/>
          </rPr>
          <t xml:space="preserve">
</t>
        </r>
      </text>
    </comment>
    <comment ref="A3" authorId="0" shapeId="0" xr:uid="{C18C15C4-8FAF-45EE-A31E-524909256CDE}">
      <text>
        <r>
          <rPr>
            <b/>
            <sz val="9"/>
            <color indexed="81"/>
            <rFont val="Tahoma"/>
            <family val="2"/>
          </rPr>
          <t xml:space="preserve">See Guide (help)
</t>
        </r>
        <r>
          <rPr>
            <sz val="9"/>
            <color indexed="81"/>
            <rFont val="Tahoma"/>
            <family val="2"/>
          </rPr>
          <t xml:space="preserve">
</t>
        </r>
      </text>
    </comment>
    <comment ref="A5" authorId="0" shapeId="0" xr:uid="{AF9E3565-89CF-4148-8148-1169B41F2F2B}">
      <text>
        <r>
          <rPr>
            <sz val="9"/>
            <color indexed="81"/>
            <rFont val="Tahoma"/>
            <family val="2"/>
          </rPr>
          <t>Definition is in the "General info" tab.
Use the dropdown list.</t>
        </r>
      </text>
    </comment>
    <comment ref="A9" authorId="0" shapeId="0" xr:uid="{DADA4153-EA9F-4E01-BB93-9FD455A9B830}">
      <text>
        <r>
          <rPr>
            <b/>
            <sz val="9"/>
            <color indexed="81"/>
            <rFont val="Tahoma"/>
            <family val="2"/>
          </rPr>
          <t>See Guide (help)</t>
        </r>
        <r>
          <rPr>
            <sz val="9"/>
            <color indexed="81"/>
            <rFont val="Tahoma"/>
            <family val="2"/>
          </rPr>
          <t xml:space="preserve">
</t>
        </r>
      </text>
    </comment>
    <comment ref="A11" authorId="0" shapeId="0" xr:uid="{127DEBCE-49EB-46EB-A1E1-FD7AD7157F75}">
      <text>
        <r>
          <rPr>
            <b/>
            <sz val="9"/>
            <color indexed="81"/>
            <rFont val="Tahoma"/>
            <family val="2"/>
          </rPr>
          <t xml:space="preserve">Describe the test environment and setup.
</t>
        </r>
        <r>
          <rPr>
            <sz val="9"/>
            <color indexed="81"/>
            <rFont val="Tahoma"/>
            <family val="2"/>
          </rPr>
          <t xml:space="preserve">
</t>
        </r>
      </text>
    </comment>
    <comment ref="A16" authorId="0" shapeId="0" xr:uid="{33AA7B48-5AC9-4F33-B482-4153B2E4D669}">
      <text>
        <r>
          <rPr>
            <b/>
            <sz val="9"/>
            <color indexed="81"/>
            <rFont val="Tahoma"/>
            <family val="2"/>
          </rPr>
          <t>Give the initial state before beginning the test.</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47000D4E-6D1B-478A-B176-906540F744A4}">
      <text>
        <r>
          <rPr>
            <b/>
            <sz val="9"/>
            <color indexed="81"/>
            <rFont val="Tahoma"/>
            <family val="2"/>
          </rPr>
          <t xml:space="preserve">See Guide (help)
</t>
        </r>
        <r>
          <rPr>
            <sz val="9"/>
            <color indexed="81"/>
            <rFont val="Tahoma"/>
            <family val="2"/>
          </rPr>
          <t xml:space="preserve">
</t>
        </r>
      </text>
    </comment>
    <comment ref="A3" authorId="0" shapeId="0" xr:uid="{172A4397-88B6-4218-B980-C49AEFC26F96}">
      <text>
        <r>
          <rPr>
            <b/>
            <sz val="9"/>
            <color indexed="81"/>
            <rFont val="Tahoma"/>
            <family val="2"/>
          </rPr>
          <t xml:space="preserve">See Guide (help)
</t>
        </r>
        <r>
          <rPr>
            <sz val="9"/>
            <color indexed="81"/>
            <rFont val="Tahoma"/>
            <family val="2"/>
          </rPr>
          <t xml:space="preserve">
</t>
        </r>
      </text>
    </comment>
    <comment ref="A5" authorId="0" shapeId="0" xr:uid="{776582A8-4765-4454-9DB2-344FB65E60A4}">
      <text>
        <r>
          <rPr>
            <sz val="9"/>
            <color indexed="81"/>
            <rFont val="Tahoma"/>
            <family val="2"/>
          </rPr>
          <t>Definition is in the "General info" tab.
Use the dropdown list.</t>
        </r>
      </text>
    </comment>
    <comment ref="A9" authorId="0" shapeId="0" xr:uid="{755BAD8B-9EA3-4B41-B528-D97FD8042F0A}">
      <text>
        <r>
          <rPr>
            <b/>
            <sz val="9"/>
            <color indexed="81"/>
            <rFont val="Tahoma"/>
            <family val="2"/>
          </rPr>
          <t>See Guide (help)</t>
        </r>
        <r>
          <rPr>
            <sz val="9"/>
            <color indexed="81"/>
            <rFont val="Tahoma"/>
            <family val="2"/>
          </rPr>
          <t xml:space="preserve">
</t>
        </r>
      </text>
    </comment>
    <comment ref="A11" authorId="0" shapeId="0" xr:uid="{07114A48-EF4A-4B4A-A4C1-F0693957A7DE}">
      <text>
        <r>
          <rPr>
            <b/>
            <sz val="9"/>
            <color indexed="81"/>
            <rFont val="Tahoma"/>
            <family val="2"/>
          </rPr>
          <t xml:space="preserve">Describe the test environment and setup.
</t>
        </r>
        <r>
          <rPr>
            <sz val="9"/>
            <color indexed="81"/>
            <rFont val="Tahoma"/>
            <family val="2"/>
          </rPr>
          <t xml:space="preserve">
</t>
        </r>
      </text>
    </comment>
    <comment ref="A16" authorId="0" shapeId="0" xr:uid="{BCF5FD74-8E0D-4B12-8DC5-8FD24F535699}">
      <text>
        <r>
          <rPr>
            <b/>
            <sz val="9"/>
            <color indexed="81"/>
            <rFont val="Tahoma"/>
            <family val="2"/>
          </rPr>
          <t>Give the initial state before beginning the test.</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C5D99227-3A68-46DA-8066-E0B05CA67CF2}">
      <text>
        <r>
          <rPr>
            <b/>
            <sz val="9"/>
            <color indexed="81"/>
            <rFont val="Tahoma"/>
            <family val="2"/>
          </rPr>
          <t xml:space="preserve">See Guide (help)
</t>
        </r>
        <r>
          <rPr>
            <sz val="9"/>
            <color indexed="81"/>
            <rFont val="Tahoma"/>
            <family val="2"/>
          </rPr>
          <t xml:space="preserve">
</t>
        </r>
      </text>
    </comment>
    <comment ref="A3" authorId="0" shapeId="0" xr:uid="{7FA57CAF-B48F-4262-8955-14876AFBF7F1}">
      <text>
        <r>
          <rPr>
            <b/>
            <sz val="9"/>
            <color indexed="81"/>
            <rFont val="Tahoma"/>
            <family val="2"/>
          </rPr>
          <t xml:space="preserve">See Guide (help)
</t>
        </r>
        <r>
          <rPr>
            <sz val="9"/>
            <color indexed="81"/>
            <rFont val="Tahoma"/>
            <family val="2"/>
          </rPr>
          <t xml:space="preserve">
</t>
        </r>
      </text>
    </comment>
    <comment ref="A5" authorId="0" shapeId="0" xr:uid="{DC941BB3-4EF9-4B1E-9AD6-78B575D564BE}">
      <text>
        <r>
          <rPr>
            <sz val="9"/>
            <color indexed="81"/>
            <rFont val="Tahoma"/>
            <family val="2"/>
          </rPr>
          <t>Definition is in the "General info" tab.
Use the dropdown list.</t>
        </r>
      </text>
    </comment>
    <comment ref="A9" authorId="0" shapeId="0" xr:uid="{BC879B68-BC28-4FDD-A36F-3B4DB7D267AA}">
      <text>
        <r>
          <rPr>
            <b/>
            <sz val="9"/>
            <color indexed="81"/>
            <rFont val="Tahoma"/>
            <family val="2"/>
          </rPr>
          <t>See Guide (help)</t>
        </r>
        <r>
          <rPr>
            <sz val="9"/>
            <color indexed="81"/>
            <rFont val="Tahoma"/>
            <family val="2"/>
          </rPr>
          <t xml:space="preserve">
</t>
        </r>
      </text>
    </comment>
    <comment ref="A11" authorId="0" shapeId="0" xr:uid="{7297F0DC-16BD-4034-8DCD-2211E0F83961}">
      <text>
        <r>
          <rPr>
            <b/>
            <sz val="9"/>
            <color indexed="81"/>
            <rFont val="Tahoma"/>
            <family val="2"/>
          </rPr>
          <t xml:space="preserve">Describe the test environment and setup.
</t>
        </r>
        <r>
          <rPr>
            <sz val="9"/>
            <color indexed="81"/>
            <rFont val="Tahoma"/>
            <family val="2"/>
          </rPr>
          <t xml:space="preserve">
</t>
        </r>
      </text>
    </comment>
    <comment ref="A16" authorId="0" shapeId="0" xr:uid="{85DB7DBA-2FFE-43EF-AC9F-7350013137C2}">
      <text>
        <r>
          <rPr>
            <b/>
            <sz val="9"/>
            <color indexed="81"/>
            <rFont val="Tahoma"/>
            <family val="2"/>
          </rPr>
          <t>Give the initial state before beginning the test.</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25C51971-D64E-4EAA-B00E-26B19364E007}">
      <text>
        <r>
          <rPr>
            <b/>
            <sz val="9"/>
            <color indexed="81"/>
            <rFont val="Tahoma"/>
            <family val="2"/>
          </rPr>
          <t xml:space="preserve">See Guide (help)
</t>
        </r>
        <r>
          <rPr>
            <sz val="9"/>
            <color indexed="81"/>
            <rFont val="Tahoma"/>
            <family val="2"/>
          </rPr>
          <t xml:space="preserve">
</t>
        </r>
      </text>
    </comment>
    <comment ref="A3" authorId="0" shapeId="0" xr:uid="{A02ADA2E-C80D-4577-ABEB-739D07A58EC1}">
      <text>
        <r>
          <rPr>
            <b/>
            <sz val="9"/>
            <color indexed="81"/>
            <rFont val="Tahoma"/>
            <family val="2"/>
          </rPr>
          <t xml:space="preserve">See Guide (help)
</t>
        </r>
        <r>
          <rPr>
            <sz val="9"/>
            <color indexed="81"/>
            <rFont val="Tahoma"/>
            <family val="2"/>
          </rPr>
          <t xml:space="preserve">
</t>
        </r>
      </text>
    </comment>
    <comment ref="A5" authorId="0" shapeId="0" xr:uid="{F93FF00D-91B2-45A4-8A67-CA91C662BB5D}">
      <text>
        <r>
          <rPr>
            <sz val="9"/>
            <color indexed="81"/>
            <rFont val="Tahoma"/>
            <family val="2"/>
          </rPr>
          <t>Definition is in the "General info" tab.
Use the dropdown list.</t>
        </r>
      </text>
    </comment>
    <comment ref="A9" authorId="0" shapeId="0" xr:uid="{0AAF48FF-C206-4766-AFBF-22A56B9ADD37}">
      <text>
        <r>
          <rPr>
            <b/>
            <sz val="9"/>
            <color indexed="81"/>
            <rFont val="Tahoma"/>
            <family val="2"/>
          </rPr>
          <t>See Guide (help)</t>
        </r>
        <r>
          <rPr>
            <sz val="9"/>
            <color indexed="81"/>
            <rFont val="Tahoma"/>
            <family val="2"/>
          </rPr>
          <t xml:space="preserve">
</t>
        </r>
      </text>
    </comment>
    <comment ref="A11" authorId="0" shapeId="0" xr:uid="{EA0C9077-68D8-4701-95BA-F5BCDB094EA3}">
      <text>
        <r>
          <rPr>
            <b/>
            <sz val="9"/>
            <color indexed="81"/>
            <rFont val="Tahoma"/>
            <family val="2"/>
          </rPr>
          <t xml:space="preserve">Describe the test environment and setup.
</t>
        </r>
        <r>
          <rPr>
            <sz val="9"/>
            <color indexed="81"/>
            <rFont val="Tahoma"/>
            <family val="2"/>
          </rPr>
          <t xml:space="preserve">
</t>
        </r>
      </text>
    </comment>
    <comment ref="A16" authorId="0" shapeId="0" xr:uid="{672B0320-71D1-4665-8B01-E1AC4D534243}">
      <text>
        <r>
          <rPr>
            <b/>
            <sz val="9"/>
            <color indexed="81"/>
            <rFont val="Tahoma"/>
            <family val="2"/>
          </rPr>
          <t>Give the initial state before beginning the test.</t>
        </r>
        <r>
          <rPr>
            <sz val="9"/>
            <color indexed="81"/>
            <rFont val="Tahoma"/>
            <family val="2"/>
          </rPr>
          <t xml:space="preserve">
</t>
        </r>
      </text>
    </comment>
  </commentList>
</comments>
</file>

<file path=xl/sharedStrings.xml><?xml version="1.0" encoding="utf-8"?>
<sst xmlns="http://schemas.openxmlformats.org/spreadsheetml/2006/main" count="466" uniqueCount="210">
  <si>
    <t>Project Number &amp; Name</t>
  </si>
  <si>
    <t>Document state</t>
  </si>
  <si>
    <t>Document id</t>
  </si>
  <si>
    <t>Document title</t>
  </si>
  <si>
    <t>Version</t>
  </si>
  <si>
    <t>Description/comment</t>
  </si>
  <si>
    <t>Tab</t>
  </si>
  <si>
    <t>ID</t>
  </si>
  <si>
    <t>Title</t>
  </si>
  <si>
    <t>Reference &amp; revision</t>
  </si>
  <si>
    <t>Date</t>
  </si>
  <si>
    <t>Author(s)</t>
  </si>
  <si>
    <t>Description/Comment</t>
  </si>
  <si>
    <t>TAB - General Information</t>
  </si>
  <si>
    <t>Template</t>
  </si>
  <si>
    <t>1. General Information</t>
  </si>
  <si>
    <t>1.1. Table of content</t>
  </si>
  <si>
    <t>1.3. Purpose and Scope</t>
  </si>
  <si>
    <t>1.4. References</t>
  </si>
  <si>
    <t>Date of release</t>
  </si>
  <si>
    <t>Author</t>
  </si>
  <si>
    <t>Review</t>
  </si>
  <si>
    <t>Approval</t>
  </si>
  <si>
    <t>Distribution</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</si>
  <si>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</si>
  <si>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</si>
  <si>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</si>
  <si>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</si>
  <si>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</si>
  <si>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</si>
  <si>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</si>
  <si>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</si>
  <si>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</si>
  <si>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FrontPage</t>
  </si>
  <si>
    <t>General info</t>
  </si>
  <si>
    <t>The front page contains information about the document.
Note : the blue cells are automatically filled by PLM and/or formula</t>
  </si>
  <si>
    <t>No.</t>
  </si>
  <si>
    <t>Test case ID</t>
  </si>
  <si>
    <t>Test case title</t>
  </si>
  <si>
    <t>SW Integration tester</t>
  </si>
  <si>
    <t>Test case title:</t>
  </si>
  <si>
    <t>Purpose of test:</t>
  </si>
  <si>
    <t>Test Status:</t>
  </si>
  <si>
    <t>Precondition:</t>
  </si>
  <si>
    <t>SW_IT_xxx</t>
  </si>
  <si>
    <t>Reference to design element ID:</t>
  </si>
  <si>
    <t>Result</t>
  </si>
  <si>
    <t>Test Case Description</t>
  </si>
  <si>
    <t>Expected result</t>
  </si>
  <si>
    <t>Step 1</t>
  </si>
  <si>
    <t>Step 2</t>
  </si>
  <si>
    <t>Step 3</t>
  </si>
  <si>
    <t>Step 4</t>
  </si>
  <si>
    <t>Step 5</t>
  </si>
  <si>
    <t>Step 6</t>
  </si>
  <si>
    <t>Step 7</t>
  </si>
  <si>
    <t>Test Status</t>
  </si>
  <si>
    <t>Actual result</t>
  </si>
  <si>
    <t>no. of tests passed</t>
  </si>
  <si>
    <t>percentage of tests passed</t>
  </si>
  <si>
    <t>no. of test failed</t>
  </si>
  <si>
    <t>percentage of tests failed</t>
  </si>
  <si>
    <t>no. of tests not run</t>
  </si>
  <si>
    <t>percentage  tests not run</t>
  </si>
  <si>
    <t xml:space="preserve">no. of Tests </t>
  </si>
  <si>
    <t>Reference to design element ID</t>
  </si>
  <si>
    <t>PTC label</t>
  </si>
  <si>
    <t>Priority</t>
  </si>
  <si>
    <t>Issue number 
(PTC IM)</t>
  </si>
  <si>
    <t>Nominal test</t>
  </si>
  <si>
    <t>(extracted from SW00OTH001_Dictionary_Acronyms_Roles.xls)
A nominal test consists of applying entry values sequences to the software that should cause all the behaviors expected in the design documents.</t>
  </si>
  <si>
    <t>Robustness Test</t>
  </si>
  <si>
    <t>Endurance Test</t>
  </si>
  <si>
    <t>Qualification Test</t>
  </si>
  <si>
    <t>(extracted from SW00OTH001_Dictionary_Acronyms_Roles.xls)
A qualification test aims at precisely checking (and reporting) a behaviour or a metric (for instance to measure a timing or a memory consumption).</t>
  </si>
  <si>
    <t>(extracted from SW00OTH001_Dictionary_Acronyms_Roles.xls)
An endurance test is done in order to check the repetiveness and the repeatability of the results.</t>
  </si>
  <si>
    <t>(extracted from SW00OTH001_Dictionary_Acronyms_Roles.xls)
A robustness test consist to inject faults and limits values to the software in order to check that the behaviour is coherent to the designs documents.</t>
  </si>
  <si>
    <t>Put here all information which can help the user to use and understand how to use this file:</t>
  </si>
  <si>
    <t xml:space="preserve">If the “Status” is OK , nothing to do in the following columns. </t>
  </si>
  <si>
    <t>If the “Status” is NOK, there are 2 possibilities:</t>
  </si>
  <si>
    <t xml:space="preserve">   a) Correction of the dysfunction, fill the column “To be Fixed” with “YES”.</t>
  </si>
  <si>
    <t xml:space="preserve">   b) No correction of the dysfunction, fill the columns “To be Fixed” with “NO” and “CR/WI number” with the number of the Change Request or Working Issue </t>
  </si>
  <si>
    <t xml:space="preserve">   (mandatory if “To be Fixed” is NO)</t>
  </si>
  <si>
    <t>5) Correction part</t>
  </si>
  <si>
    <t>If the “Status” is OK, nothing to do in the following columns.</t>
  </si>
  <si>
    <t>If the “Status” is NOK and, “To be Fixed” is “NO”, nothing to do in the following columns.</t>
  </si>
  <si>
    <t>If the “Status” is NOK and,  “To be Fixed” is “YES”, fill the columns:</t>
  </si>
  <si>
    <t xml:space="preserve">   “MKS label” with a new MKS checkpoint name,</t>
  </si>
  <si>
    <t xml:space="preserve">   “Who” with the initials of the person who performs the test.</t>
  </si>
  <si>
    <t xml:space="preserve">   “Done” with a “X” when the test is successful</t>
  </si>
  <si>
    <t xml:space="preserve">6) “Final Status” is automatically filled thanks to a macro. </t>
  </si>
  <si>
    <t xml:space="preserve">   If “Status” is OK then “Final Status” is Test OK. </t>
  </si>
  <si>
    <t xml:space="preserve">   If “Status” is NOK and “To be Fixed” is “NO”, then “Final Status” is Test NOK </t>
  </si>
  <si>
    <t xml:space="preserve">   If “Status” is NOK and “To be Fixed” is “YES” and “Done” with “X”, then “Final Status” is Fixed</t>
  </si>
  <si>
    <t>AAUT TAB</t>
  </si>
  <si>
    <t>Change the name "AAUT" of the tab by the Unit name</t>
  </si>
  <si>
    <t>Test Title : give the Test title in order to do the link with the AAU design document.</t>
  </si>
  <si>
    <t xml:space="preserve">Test Case ID : this cell </t>
  </si>
  <si>
    <t>Purpose : give the test gloal</t>
  </si>
  <si>
    <t>Requirement : Link with design requirement or the SW requirement</t>
  </si>
  <si>
    <t>Classification: Give the test type such as Nominal test, or Robustness test, or Endurance test</t>
  </si>
  <si>
    <t xml:space="preserve">Setup: Describe the test environment </t>
  </si>
  <si>
    <t>Test Preconditions : Give the intial test set up</t>
  </si>
  <si>
    <t xml:space="preserve">Add Files or Add Informations : if you want to add any comments or files  </t>
  </si>
  <si>
    <t xml:space="preserve">Test Case Description : Describe each step  of the test cas in the table </t>
  </si>
  <si>
    <t>If you want a new test case click on create a new test case  button.</t>
  </si>
  <si>
    <t>Test Classification</t>
  </si>
  <si>
    <t>Test Classification:</t>
  </si>
  <si>
    <t>(see the "Guide (help)" tab)</t>
  </si>
  <si>
    <t>Environment/setup:</t>
  </si>
  <si>
    <t>The integration tests are classified into 4 types: nominal, robustness, endurance and qualification tests.</t>
  </si>
  <si>
    <t>Guide (help)</t>
  </si>
  <si>
    <t>Tests Synthesis</t>
  </si>
  <si>
    <t>Metrics</t>
  </si>
  <si>
    <t>no. of tests not applicable</t>
  </si>
  <si>
    <t>percentage  tests not applicable</t>
  </si>
  <si>
    <t>This sheet contains history, reference, purpose, scope, definition and guide</t>
  </si>
  <si>
    <t>This sheet gives some metrics regarding the number of tests failed, passed, not run....</t>
  </si>
  <si>
    <t>This sheet gives a synthesis of all Software Integration tests cases and results.</t>
  </si>
  <si>
    <t>This sheet gives the frame of a Software Integration tests cases.</t>
  </si>
  <si>
    <r>
      <rPr>
        <b/>
        <u/>
        <sz val="10"/>
        <rFont val="Arial"/>
        <family val="2"/>
      </rPr>
      <t>1) Creation Software Integration Test Specification</t>
    </r>
    <r>
      <rPr>
        <sz val="10"/>
        <rFont val="Arial"/>
        <family val="2"/>
      </rPr>
      <t xml:space="preserve">
Use this template and rename it as Software Integration Test Specification.
</t>
    </r>
    <r>
      <rPr>
        <b/>
        <u/>
        <sz val="10"/>
        <rFont val="Arial"/>
        <family val="2"/>
      </rPr>
      <t>2) Creation Software Integration Test Report</t>
    </r>
    <r>
      <rPr>
        <sz val="10"/>
        <rFont val="Arial"/>
        <family val="2"/>
      </rPr>
      <t xml:space="preserve">
Once you are ready to perform all the tests described in the Specification, duplicate the Software Integration Test </t>
    </r>
    <r>
      <rPr>
        <u/>
        <sz val="10"/>
        <rFont val="Arial"/>
        <family val="2"/>
      </rPr>
      <t>Specification</t>
    </r>
    <r>
      <rPr>
        <sz val="10"/>
        <rFont val="Arial"/>
        <family val="2"/>
      </rPr>
      <t xml:space="preserve"> and rename it Software Integration Test </t>
    </r>
    <r>
      <rPr>
        <u/>
        <sz val="10"/>
        <rFont val="Arial"/>
        <family val="2"/>
      </rPr>
      <t>Report</t>
    </r>
    <r>
      <rPr>
        <sz val="10"/>
        <rFont val="Arial"/>
        <family val="2"/>
      </rPr>
      <t xml:space="preserve">. You fill the report with your results (that means you must fill the actual result and result in front of the steps of Test Description and then the Test Status. Please, use the dropdown list.)
</t>
    </r>
    <r>
      <rPr>
        <b/>
        <u/>
        <sz val="10"/>
        <rFont val="Arial"/>
        <family val="2"/>
      </rPr>
      <t>3) Creation of the SW integration test cases:</t>
    </r>
    <r>
      <rPr>
        <sz val="10"/>
        <rFont val="Arial"/>
        <family val="2"/>
      </rPr>
      <t xml:space="preserve">
    . Duplicate the sheet "SW_IT_xxx"
    . Rename xxx of the sheet name"SW_IT_xxx" with a number (then you have Test Case ID)
    . Fill the content of the sheet:
           - Test case title: (free text)
           - Reference to design element ID: (free text depending on the format of the SW Architecture.
           The recommendation for reference would be to have a format like SW_ARCH_ddddd with d=digit) 
           - Test Classification: select thanks to the dropdown list the type (see General info sheet)
           - Purpose of test: (free text)
           - Test Status: once all results in front of the steps in the Test Description are filled and
           thanks to the dropdown list select the status 
                        Ok :  test is passed (all results in Test Description are Ok)
                        Nok : test is failed (at least one of the results in Test Description is Nok)
                        not run : test is not performed
                        NA :  test is not applicable (An explanation must be given in Comment column of Tests 
                                Synthesis sheet. This case is possible only if a test case is written but the functionality
                                is not planned to be tested.) 
           - Environment/setup:  (free text) Describe the test environment
           - Precondition : (free text) Give the initial state before beginning the test.
           - Test Case Description : Describe each step of the test case in the table.
    . Duplicate the sheet "SW_IT_xxx" and fill the content as many times as needed by test case.
</t>
    </r>
    <r>
      <rPr>
        <b/>
        <u/>
        <sz val="10"/>
        <rFont val="Arial"/>
        <family val="2"/>
      </rPr>
      <t xml:space="preserve">4) Update Tests Synthesis sheet: 
</t>
    </r>
    <r>
      <rPr>
        <sz val="10"/>
        <rFont val="Arial"/>
        <family val="2"/>
      </rPr>
      <t xml:space="preserve">    . In “Test Case Id column” , write the test id given by Test case excel sheet name (SW_IT_xxx).
    ==&gt; All cells in white are Automatically fulfilled (extracted from SW_IT_xxx sheet).
    . All cells in light orange shall be Manually filled (see guide included in the comment)
</t>
    </r>
  </si>
  <si>
    <t xml:space="preserve">The purpose of this document is established thanks to the Software Architecture design document and defined all Software Integration test cases necessary to control if the SW release XX is correctly implemented as planned in the Software Integration Test Plan. All Software Integration tests specification and report will be stored.
</t>
  </si>
  <si>
    <t>This sheet helps to fill the differents fields and sheets of the template.</t>
  </si>
  <si>
    <t>254888 DAIMLER MER W174W178 EL SB ECU</t>
  </si>
  <si>
    <t>Initial revision</t>
  </si>
  <si>
    <t>NA</t>
  </si>
  <si>
    <t xml:space="preserve">See Project Master Document for the roles and Project Members List for the name of people </t>
  </si>
  <si>
    <t>DAIMLER MER ECU or Mock-up board
Power supply connected
CAN case connected
CANoe for DAIMLER MER configuration
ic5000 debuger
WinIdea</t>
  </si>
  <si>
    <t>Ok</t>
  </si>
  <si>
    <t>Nominal</t>
  </si>
  <si>
    <t>Latest PTC SW flashed with application
Power On CANoe simulation and the power supply
Run the software</t>
  </si>
  <si>
    <t>ERH - Software Integration Test Specification Report.xls</t>
  </si>
  <si>
    <t>Vlad Chioveanu</t>
  </si>
  <si>
    <t>Applied from SW R3.0 release</t>
  </si>
  <si>
    <t>06.09.2022</t>
  </si>
  <si>
    <t>1.0</t>
  </si>
  <si>
    <t>Vlad Chiovenau</t>
  </si>
  <si>
    <t>SW_IT_ERH_0001</t>
  </si>
  <si>
    <t>SW_IT_ERH_0002</t>
  </si>
  <si>
    <t>SW_IT_ERH_0003</t>
  </si>
  <si>
    <t>SW_IT_ERH_0004</t>
  </si>
  <si>
    <t>V. Chioveanu</t>
  </si>
  <si>
    <t>AEC properties</t>
  </si>
  <si>
    <t>Open AEC_Configurtor.jar and check all properties for each AEC</t>
  </si>
  <si>
    <t>Properties corespondes to ERH architecture document</t>
  </si>
  <si>
    <t>ARCH_SW_ERH_0001, ARCH_SW_ERH_0004, ARCH_SW_ERH_0006, ARCH_SW_ERH_0008, ARCH_SW_ERH_0010, ARCH_SW_ERH_0012, ARCH_SW_ERH_0014, ARCH_SW_ERH_0016, ARCH_SW_ERH_0018, ARCH_SW_ERH_0019, ARCH_SW_ERH_0020, ARCH_SW_ERH_0021, ARCH_SW_ERH_0022, ARCH_SW_ERH_0023, ARCH_SW_ERH_0024, ARCH_SW_ERH_0025, ARCH_SW_ERH_0026, ARCH_SW_ERH_0027, ARCH_SW_ERH_0028, ARCH_SW_ERH_0029, ARCH_SW_ERH_0030, ARCH_SW_ERH_0031</t>
  </si>
  <si>
    <t>Check all AEC's properties to corespond to architecture document</t>
  </si>
  <si>
    <t xml:space="preserve">Initialization of AEC </t>
  </si>
  <si>
    <t>Testing the initializarion of AEC's</t>
  </si>
  <si>
    <t>R3.0 flashed with application
Power On CANoe simulation and the power supply
Run the software</t>
  </si>
  <si>
    <t>In ERH_Init funtion set a BP before allocation loop erh_au8GroupCounter[u8Index] = KU8_ZERO;</t>
  </si>
  <si>
    <t>BP Set</t>
  </si>
  <si>
    <t>Reset the debugger</t>
  </si>
  <si>
    <t>Debugger reset</t>
  </si>
  <si>
    <t>Modify erh_au8GroupCounter[u8Index] values to any other values than 0x00</t>
  </si>
  <si>
    <t>Set a BP after allocation loop erh_au8GroupCounter[u8Index] = KU8_ZERO; and run the debugger.</t>
  </si>
  <si>
    <t>Check all erh_au8GroupCounter[u8Index] = KU8_ZERO;</t>
  </si>
  <si>
    <t>All 0x00</t>
  </si>
  <si>
    <t>Modified</t>
  </si>
  <si>
    <t>Reseting the AEC's</t>
  </si>
  <si>
    <t>Testing the reset AEC funcionality</t>
  </si>
  <si>
    <t>In ERH_ResetAllAECStatus funtion set a BP before allocation loop erh_au8GroupCounter[u8Index] = KU8_ZERO;</t>
  </si>
  <si>
    <t>R3.0 SW flashed with application
Power On CANoe simulation and the power supply
Run the software</t>
  </si>
  <si>
    <t>Send on diag Clear all AEC: 14 FF FF FF</t>
  </si>
  <si>
    <t>Positive response</t>
  </si>
  <si>
    <t>Reset All AEC group update</t>
  </si>
  <si>
    <t>Testing the AEC group update</t>
  </si>
  <si>
    <t>ARCH_SW_ERH_0063, ARCH_SW_ERH_0070, ARCH_SW_ERH_0071, ARCH_SW_ERH_0072</t>
  </si>
  <si>
    <t>Set a BP at erh_CheckAecId function call. Step in</t>
  </si>
  <si>
    <t>erh_CheckAecId is reached</t>
  </si>
  <si>
    <t xml:space="preserve">Step over untill ERH_ResetAllAECStatus reached </t>
  </si>
  <si>
    <t>ERH_ResetAllAECStatus reached</t>
  </si>
  <si>
    <t>Set a BP after allocation loop erh_UpdateGroup function call and run.</t>
  </si>
  <si>
    <t xml:space="preserve">Step In </t>
  </si>
  <si>
    <t xml:space="preserve">erh_UpdateGroup reached </t>
  </si>
  <si>
    <t>erh_UpdateGroup reched</t>
  </si>
  <si>
    <t>Set a bp at NVP_BLOCK_ID_AEC_STATUS_RamBlockData.NVP_au8AECStatus[u8OutputIndex]</t>
  </si>
  <si>
    <t>Step 8</t>
  </si>
  <si>
    <t>Step 9</t>
  </si>
  <si>
    <t>Step 10</t>
  </si>
  <si>
    <t>Step Over</t>
  </si>
  <si>
    <t>NVP values modified</t>
  </si>
  <si>
    <t>Remove BP.Run the debuger</t>
  </si>
  <si>
    <t xml:space="preserve">Set a BP at the DisableAllInterrupt call. </t>
  </si>
  <si>
    <t xml:space="preserve">BP Reached </t>
  </si>
  <si>
    <t>Step in</t>
  </si>
  <si>
    <t>SuspendAllInterrupts reached</t>
  </si>
  <si>
    <t>ResumeAllInterrupts reached</t>
  </si>
  <si>
    <t>Set a BP at the EnableAllInterrupt call. Run</t>
  </si>
  <si>
    <t>ARCH_SW_ERH_0073, ARCH_SW_ERH_0074, ARCH_SW_ERH_0075, ARCH_SW_ERH_0076, ARCH_SW_ERH_0084, ARCH_SW_ERH_0085</t>
  </si>
  <si>
    <t>ARCH_SW_ERH_0080, ARCH_SW_ERH_0083</t>
  </si>
  <si>
    <t>Set All AEC group update</t>
  </si>
  <si>
    <t>Testing the capability of setting the AEC group update</t>
  </si>
  <si>
    <t>In ERH_runSetAecEvent funtion set a BP at the erh_ManageAECCommand line.</t>
  </si>
  <si>
    <t>ARCH_SW_ERH_0050, ARCH_SW_ERH_0060, ARCH_SW_ERH_0100</t>
  </si>
  <si>
    <t>ARCH_SW_ERH_0064</t>
  </si>
  <si>
    <t>Testing the capability of getting the AEC status</t>
  </si>
  <si>
    <t xml:space="preserve">Get AEC status </t>
  </si>
  <si>
    <t>Set a BP in ERH_runGetAecStatus</t>
  </si>
  <si>
    <t>BP set</t>
  </si>
  <si>
    <t>Send Read data by ID request: 22 FE 00</t>
  </si>
  <si>
    <t>ERH_runGetAecStatus reached</t>
  </si>
  <si>
    <t>Modify one of erh_au8AecStatus values</t>
  </si>
  <si>
    <t>Step over until DIA_runDidFE00_AECStatusRead reaced and read Data</t>
  </si>
  <si>
    <t>Modified value is present</t>
  </si>
  <si>
    <t>SW_IT_ERH_0005</t>
  </si>
  <si>
    <t>SW_IT_ERH_0006</t>
  </si>
  <si>
    <r>
      <t xml:space="preserve">Comment
</t>
    </r>
    <r>
      <rPr>
        <i/>
        <sz val="11"/>
        <rFont val="Calibri"/>
        <family val="2"/>
      </rPr>
      <t>(aplicable only if test not executed)</t>
    </r>
  </si>
  <si>
    <t>X</t>
  </si>
  <si>
    <t>Test for Regression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</si>
</sst>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0.0"/>
  </numFmts>
  <fonts count="45" x14ac:knownFonts="1">
    <font>
      <sz val="10"/>
      <name val="Arial"/>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color indexed="81"/>
      <name val="Tahoma"/>
      <family val="2"/>
      <charset val="238"/>
    </font>
    <font>
      <sz val="9"/>
      <color indexed="81"/>
      <name val="Tahoma"/>
      <family val="2"/>
    </font>
    <font>
      <b/>
      <sz val="9"/>
      <color indexed="81"/>
      <name val="Tahoma"/>
      <family val="2"/>
    </font>
    <font>
      <sz val="10"/>
      <name val="Arial"/>
      <family val="2"/>
      <charset val="238"/>
    </font>
    <font>
      <u/>
      <sz val="10"/>
      <name val="Arial"/>
      <family val="2"/>
    </font>
    <font>
      <b/>
      <u/>
      <sz val="10"/>
      <name val="Arial"/>
      <family val="2"/>
    </font>
    <font>
      <u/>
      <sz val="10"/>
      <color theme="10"/>
      <name val="Arial"/>
      <family val="2"/>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sz val="11"/>
      <name val="Calibri"/>
      <family val="2"/>
      <charset val="238"/>
      <scheme val="minor"/>
    </font>
    <font>
      <sz val="11"/>
      <color theme="1"/>
      <name val="Calibri"/>
      <family val="2"/>
      <charset val="238"/>
      <scheme val="minor"/>
    </font>
    <font>
      <i/>
      <sz val="11"/>
      <color theme="1"/>
      <name val="Calibri"/>
      <family val="2"/>
      <charset val="238"/>
      <scheme val="minor"/>
    </font>
    <font>
      <i/>
      <sz val="10"/>
      <color theme="1"/>
      <name val="Arial"/>
      <family val="2"/>
    </font>
    <font>
      <sz val="11"/>
      <color rgb="FF000000"/>
      <name val="Calibri"/>
      <family val="2"/>
    </font>
    <font>
      <i/>
      <sz val="11"/>
      <name val="Calibri"/>
      <family val="2"/>
      <charset val="238"/>
      <scheme val="minor"/>
    </font>
    <font>
      <i/>
      <sz val="10"/>
      <color theme="3" tint="-0.499984740745262"/>
      <name val="Arial"/>
      <family val="2"/>
    </font>
    <font>
      <i/>
      <sz val="11"/>
      <color theme="1"/>
      <name val="Calibri"/>
      <family val="2"/>
      <scheme val="minor"/>
    </font>
    <font>
      <b/>
      <sz val="10"/>
      <color theme="0"/>
      <name val="Arial"/>
      <family val="2"/>
    </font>
    <font>
      <b/>
      <i/>
      <sz val="10"/>
      <color rgb="FF000080"/>
      <name val="Arial"/>
      <family val="2"/>
    </font>
    <font>
      <b/>
      <sz val="8"/>
      <color theme="0"/>
      <name val="Arial"/>
      <family val="2"/>
    </font>
    <font>
      <sz val="10"/>
      <color rgb="FF000080"/>
      <name val="Arial"/>
      <family val="2"/>
    </font>
    <font>
      <sz val="8"/>
      <name val="Arial"/>
      <family val="2"/>
    </font>
    <font>
      <sz val="8"/>
      <name val="Arial"/>
    </font>
    <font>
      <sz val="11"/>
      <name val="Calibri"/>
      <family val="2"/>
      <charset val="238"/>
    </font>
    <font>
      <i/>
      <sz val="11"/>
      <name val="Calibri"/>
      <family val="2"/>
    </font>
  </fonts>
  <fills count="11">
    <fill>
      <patternFill patternType="none"/>
    </fill>
    <fill>
      <patternFill patternType="gray125"/>
    </fill>
    <fill>
      <patternFill patternType="solid">
        <fgColor indexed="18"/>
        <bgColor indexed="64"/>
      </patternFill>
    </fill>
    <fill>
      <patternFill patternType="solid">
        <fgColor indexed="65"/>
        <bgColor indexed="10"/>
      </patternFill>
    </fill>
    <fill>
      <patternFill patternType="solid">
        <fgColor theme="3"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rgb="FF000080"/>
        <bgColor indexed="64"/>
      </patternFill>
    </fill>
    <fill>
      <patternFill patternType="solid">
        <fgColor theme="4" tint="0.59999389629810485"/>
        <bgColor indexed="64"/>
      </patternFill>
    </fill>
    <fill>
      <patternFill patternType="solid">
        <fgColor theme="0" tint="-0.499984740745262"/>
        <bgColor indexed="64"/>
      </patternFill>
    </fill>
    <fill>
      <patternFill patternType="solid">
        <fgColor rgb="FFC5D9F1"/>
        <bgColor rgb="FF000000"/>
      </patternFill>
    </fill>
  </fills>
  <borders count="45">
    <border>
      <left/>
      <right/>
      <top/>
      <bottom/>
      <diagonal/>
    </border>
    <border>
      <left/>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bottom style="thin">
        <color rgb="FF000080"/>
      </bottom>
      <diagonal/>
    </border>
    <border>
      <left style="thin">
        <color indexed="64"/>
      </left>
      <right style="thin">
        <color indexed="64"/>
      </right>
      <top style="medium">
        <color indexed="64"/>
      </top>
      <bottom/>
      <diagonal/>
    </border>
  </borders>
  <cellStyleXfs count="3">
    <xf numFmtId="0" fontId="0" fillId="0" borderId="0"/>
    <xf numFmtId="0" fontId="23" fillId="0" borderId="0" applyNumberFormat="0" applyFill="0" applyBorder="0" applyAlignment="0" applyProtection="0"/>
    <xf numFmtId="0" fontId="1" fillId="0" borderId="0"/>
  </cellStyleXfs>
  <cellXfs count="230">
    <xf numFmtId="0" fontId="0" fillId="0" borderId="0" xfId="0"/>
    <xf numFmtId="0" fontId="0" fillId="0" borderId="0" xfId="0" applyAlignment="1" applyProtection="1">
      <alignment vertical="center"/>
    </xf>
    <xf numFmtId="0" fontId="5" fillId="0" borderId="0" xfId="0" applyFont="1" applyFill="1" applyAlignment="1" applyProtection="1">
      <alignment vertical="center" wrapText="1"/>
    </xf>
    <xf numFmtId="164" fontId="5" fillId="0" borderId="0" xfId="0" applyNumberFormat="1" applyFont="1" applyFill="1" applyBorder="1" applyAlignment="1" applyProtection="1">
      <alignment horizontal="center" vertical="center" wrapText="1"/>
    </xf>
    <xf numFmtId="20" fontId="5" fillId="0" borderId="0" xfId="0" applyNumberFormat="1" applyFont="1" applyFill="1" applyBorder="1" applyAlignment="1" applyProtection="1">
      <alignment vertical="center" wrapText="1"/>
    </xf>
    <xf numFmtId="0" fontId="5" fillId="0" borderId="0" xfId="0" applyFont="1" applyFill="1" applyBorder="1" applyAlignment="1" applyProtection="1">
      <alignment horizontal="left" vertical="center" wrapText="1"/>
    </xf>
    <xf numFmtId="0" fontId="1" fillId="0" borderId="0" xfId="0" applyFont="1" applyFill="1" applyAlignment="1" applyProtection="1">
      <alignment vertical="center"/>
    </xf>
    <xf numFmtId="0" fontId="0" fillId="0" borderId="0" xfId="0" applyBorder="1" applyAlignment="1" applyProtection="1">
      <alignment vertical="center"/>
    </xf>
    <xf numFmtId="0" fontId="1" fillId="0" borderId="0" xfId="0" applyFont="1" applyFill="1" applyBorder="1" applyAlignment="1" applyProtection="1">
      <alignment vertical="center"/>
    </xf>
    <xf numFmtId="0" fontId="24" fillId="0" borderId="0" xfId="0" applyFont="1" applyFill="1" applyBorder="1" applyAlignment="1" applyProtection="1">
      <alignment horizontal="right" vertical="center"/>
    </xf>
    <xf numFmtId="0" fontId="6" fillId="0" borderId="0" xfId="0" applyFont="1" applyBorder="1" applyAlignment="1" applyProtection="1">
      <alignment horizontal="left" vertical="center" wrapText="1"/>
    </xf>
    <xf numFmtId="0" fontId="4" fillId="0" borderId="0" xfId="0" applyFont="1" applyFill="1" applyBorder="1" applyAlignment="1" applyProtection="1">
      <alignment vertical="center" shrinkToFit="1"/>
    </xf>
    <xf numFmtId="0" fontId="4" fillId="0" borderId="0" xfId="0" applyFont="1" applyBorder="1" applyAlignment="1" applyProtection="1">
      <alignment vertical="center" shrinkToFit="1"/>
    </xf>
    <xf numFmtId="0" fontId="4" fillId="0" borderId="0" xfId="0" applyFont="1" applyFill="1" applyAlignment="1" applyProtection="1">
      <alignment vertical="center" shrinkToFit="1"/>
    </xf>
    <xf numFmtId="0" fontId="4" fillId="0" borderId="0" xfId="0" applyFont="1" applyAlignment="1" applyProtection="1">
      <alignment vertical="center" shrinkToFit="1"/>
    </xf>
    <xf numFmtId="0" fontId="1" fillId="0" borderId="0" xfId="0" applyFont="1" applyFill="1" applyAlignment="1" applyProtection="1">
      <alignment vertical="center"/>
      <protection locked="0"/>
    </xf>
    <xf numFmtId="0" fontId="0" fillId="0" borderId="0" xfId="0" applyAlignment="1" applyProtection="1">
      <alignment vertical="center"/>
      <protection locked="0"/>
    </xf>
    <xf numFmtId="0" fontId="4" fillId="0" borderId="0" xfId="0" applyFont="1" applyFill="1" applyAlignment="1" applyProtection="1">
      <alignment vertical="center"/>
      <protection locked="0"/>
    </xf>
    <xf numFmtId="0" fontId="4" fillId="0" borderId="0" xfId="0" applyFont="1" applyAlignment="1" applyProtection="1">
      <alignment vertical="center"/>
      <protection locked="0"/>
    </xf>
    <xf numFmtId="0" fontId="25" fillId="0" borderId="43" xfId="0" applyFont="1" applyBorder="1" applyAlignment="1" applyProtection="1">
      <alignment vertical="center"/>
      <protection locked="0"/>
    </xf>
    <xf numFmtId="0" fontId="0" fillId="0" borderId="43" xfId="0" applyBorder="1" applyAlignment="1" applyProtection="1">
      <alignment vertical="center"/>
      <protection locked="0"/>
    </xf>
    <xf numFmtId="0" fontId="12" fillId="0" borderId="0" xfId="0" applyFont="1" applyAlignment="1" applyProtection="1">
      <alignment horizontal="left" vertical="center"/>
      <protection locked="0"/>
    </xf>
    <xf numFmtId="0" fontId="7" fillId="0" borderId="0" xfId="0" applyFont="1" applyAlignment="1" applyProtection="1">
      <alignment horizontal="left" vertical="center"/>
      <protection locked="0"/>
    </xf>
    <xf numFmtId="0" fontId="4" fillId="0" borderId="0" xfId="0" applyFont="1" applyAlignment="1" applyProtection="1">
      <alignment horizontal="left" vertical="center"/>
      <protection locked="0"/>
    </xf>
    <xf numFmtId="0" fontId="9" fillId="0" borderId="0" xfId="0" applyFont="1" applyAlignment="1" applyProtection="1">
      <alignment vertical="center"/>
      <protection locked="0"/>
    </xf>
    <xf numFmtId="0" fontId="2" fillId="0" borderId="0" xfId="0" applyFont="1" applyAlignment="1" applyProtection="1">
      <alignment vertical="center"/>
      <protection locked="0"/>
    </xf>
    <xf numFmtId="49" fontId="16" fillId="0" borderId="0" xfId="0" applyNumberFormat="1" applyFont="1" applyFill="1" applyBorder="1" applyAlignment="1" applyProtection="1">
      <alignment horizontal="left" vertical="center"/>
      <protection locked="0"/>
    </xf>
    <xf numFmtId="49" fontId="4" fillId="0" borderId="0" xfId="0" applyNumberFormat="1" applyFont="1" applyFill="1" applyBorder="1" applyAlignment="1">
      <alignment horizontal="center" vertical="center" wrapText="1"/>
    </xf>
    <xf numFmtId="49" fontId="4" fillId="0" borderId="0" xfId="0" applyNumberFormat="1" applyFont="1" applyFill="1" applyBorder="1" applyAlignment="1" applyProtection="1">
      <alignment horizontal="left" vertical="center" wrapText="1"/>
      <protection locked="0"/>
    </xf>
    <xf numFmtId="49" fontId="4" fillId="0" borderId="0" xfId="0" applyNumberFormat="1" applyFont="1" applyFill="1" applyBorder="1" applyAlignment="1">
      <alignment horizontal="left" vertical="center" wrapText="1"/>
    </xf>
    <xf numFmtId="49" fontId="14"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5" fillId="0" borderId="0" xfId="0" applyFont="1" applyAlignment="1" applyProtection="1">
      <alignment horizontal="left" vertical="center"/>
      <protection locked="0"/>
    </xf>
    <xf numFmtId="0" fontId="0" fillId="0" borderId="0" xfId="0" applyBorder="1" applyAlignment="1">
      <alignment horizontal="left" vertical="center" wrapText="1"/>
    </xf>
    <xf numFmtId="0" fontId="25" fillId="0" borderId="1" xfId="0" applyFont="1" applyBorder="1" applyAlignment="1" applyProtection="1">
      <alignment vertical="center"/>
      <protection locked="0"/>
    </xf>
    <xf numFmtId="49" fontId="4" fillId="0" borderId="1" xfId="0" applyNumberFormat="1" applyFont="1" applyFill="1" applyBorder="1" applyAlignment="1" applyProtection="1">
      <alignment horizontal="left" vertical="center" wrapText="1"/>
      <protection locked="0"/>
    </xf>
    <xf numFmtId="0" fontId="0" fillId="0" borderId="1" xfId="0" applyBorder="1" applyAlignment="1">
      <alignment horizontal="left" vertical="center" wrapText="1"/>
    </xf>
    <xf numFmtId="0" fontId="25" fillId="0" borderId="0" xfId="0" applyFont="1" applyBorder="1" applyAlignment="1" applyProtection="1">
      <alignment vertical="center"/>
      <protection locked="0"/>
    </xf>
    <xf numFmtId="49" fontId="4"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4"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4" fillId="0" borderId="0" xfId="0" applyFont="1" applyFill="1" applyAlignment="1" applyProtection="1">
      <alignment vertical="center"/>
    </xf>
    <xf numFmtId="0" fontId="4" fillId="0" borderId="0" xfId="0" applyFont="1" applyAlignment="1" applyProtection="1">
      <alignment vertical="center"/>
    </xf>
    <xf numFmtId="0" fontId="11" fillId="0" borderId="0" xfId="0" applyFont="1" applyBorder="1" applyAlignment="1" applyProtection="1">
      <alignment horizontal="left" vertical="center" shrinkToFit="1"/>
    </xf>
    <xf numFmtId="0" fontId="2" fillId="0" borderId="0" xfId="0" applyFont="1" applyBorder="1" applyAlignment="1" applyProtection="1">
      <alignment horizontal="left" vertical="center" shrinkToFit="1"/>
    </xf>
    <xf numFmtId="0" fontId="4" fillId="0" borderId="0" xfId="0" applyFont="1" applyFill="1" applyAlignment="1" applyProtection="1">
      <alignment vertical="center" shrinkToFit="1"/>
      <protection locked="0"/>
    </xf>
    <xf numFmtId="0" fontId="4" fillId="0" borderId="0" xfId="0" applyFont="1" applyAlignment="1" applyProtection="1">
      <alignment vertical="center" shrinkToFit="1"/>
      <protection locked="0"/>
    </xf>
    <xf numFmtId="0" fontId="26" fillId="0" borderId="2" xfId="0" applyFont="1" applyFill="1" applyBorder="1" applyAlignment="1" applyProtection="1">
      <alignment horizontal="left" vertical="center" wrapText="1" shrinkToFit="1"/>
      <protection locked="0"/>
    </xf>
    <xf numFmtId="0" fontId="27" fillId="0" borderId="0" xfId="0" applyFont="1" applyFill="1" applyBorder="1" applyAlignment="1" applyProtection="1">
      <alignment horizontal="left" vertical="center" shrinkToFit="1"/>
      <protection locked="0"/>
    </xf>
    <xf numFmtId="0" fontId="26" fillId="0" borderId="0" xfId="0" applyFont="1" applyFill="1" applyBorder="1" applyAlignment="1" applyProtection="1">
      <alignment horizontal="left" vertical="center" wrapText="1" shrinkToFit="1"/>
      <protection locked="0"/>
    </xf>
    <xf numFmtId="0" fontId="27" fillId="0" borderId="3" xfId="0" applyFont="1" applyFill="1" applyBorder="1" applyAlignment="1" applyProtection="1">
      <alignment horizontal="left" vertical="center" shrinkToFit="1"/>
      <protection locked="0"/>
    </xf>
    <xf numFmtId="0" fontId="1" fillId="0" borderId="0" xfId="0" applyFont="1" applyFill="1" applyAlignment="1" applyProtection="1">
      <alignment vertical="center" shrinkToFit="1"/>
      <protection locked="0"/>
    </xf>
    <xf numFmtId="0" fontId="0" fillId="0" borderId="0" xfId="0" applyAlignment="1" applyProtection="1">
      <alignment vertical="center" shrinkToFit="1"/>
      <protection locked="0"/>
    </xf>
    <xf numFmtId="0" fontId="0" fillId="0" borderId="0" xfId="0" applyFill="1" applyAlignment="1" applyProtection="1">
      <alignment vertical="center"/>
      <protection locked="0"/>
    </xf>
    <xf numFmtId="0" fontId="10" fillId="0" borderId="0" xfId="0" applyFont="1" applyFill="1" applyAlignment="1" applyProtection="1">
      <alignment horizontal="center" vertical="center"/>
      <protection locked="0"/>
    </xf>
    <xf numFmtId="0" fontId="28" fillId="0" borderId="0" xfId="0" quotePrefix="1" applyFont="1" applyFill="1" applyBorder="1" applyAlignment="1" applyProtection="1">
      <alignment horizontal="right" vertical="center"/>
    </xf>
    <xf numFmtId="0" fontId="29" fillId="4" borderId="4" xfId="0" applyFont="1" applyFill="1" applyBorder="1" applyAlignment="1">
      <alignment horizontal="center" vertical="center" wrapText="1"/>
    </xf>
    <xf numFmtId="0" fontId="29" fillId="4" borderId="5" xfId="0" applyFont="1" applyFill="1" applyBorder="1" applyAlignment="1">
      <alignment horizontal="center" vertical="center" wrapText="1"/>
    </xf>
    <xf numFmtId="0" fontId="30" fillId="4" borderId="5" xfId="0" applyFont="1" applyFill="1" applyBorder="1" applyAlignment="1">
      <alignment horizontal="center" vertical="center" wrapText="1"/>
    </xf>
    <xf numFmtId="0" fontId="29" fillId="4" borderId="6" xfId="0" applyFont="1" applyFill="1" applyBorder="1" applyAlignment="1">
      <alignment horizontal="center" vertical="center" wrapText="1"/>
    </xf>
    <xf numFmtId="0" fontId="29" fillId="0" borderId="8" xfId="0" applyFont="1" applyBorder="1" applyAlignment="1">
      <alignment vertical="top"/>
    </xf>
    <xf numFmtId="0" fontId="29" fillId="0" borderId="9" xfId="0" applyFont="1" applyBorder="1" applyAlignment="1">
      <alignment vertical="top"/>
    </xf>
    <xf numFmtId="0" fontId="29" fillId="0" borderId="10" xfId="0" applyFont="1" applyBorder="1" applyAlignment="1">
      <alignment vertical="top"/>
    </xf>
    <xf numFmtId="0" fontId="31" fillId="0" borderId="11" xfId="0" applyFont="1" applyBorder="1" applyAlignment="1">
      <alignment vertical="top"/>
    </xf>
    <xf numFmtId="14" fontId="31" fillId="0" borderId="11" xfId="0" applyNumberFormat="1" applyFont="1" applyBorder="1" applyAlignment="1">
      <alignment horizontal="center" vertical="center" wrapText="1"/>
    </xf>
    <xf numFmtId="0" fontId="31" fillId="0" borderId="11" xfId="0" applyFont="1" applyBorder="1" applyAlignment="1">
      <alignment horizontal="center" vertical="center" wrapText="1"/>
    </xf>
    <xf numFmtId="0" fontId="31" fillId="0" borderId="12" xfId="0" applyFont="1" applyBorder="1" applyAlignment="1">
      <alignment vertical="top" wrapText="1"/>
    </xf>
    <xf numFmtId="0" fontId="29" fillId="0" borderId="13" xfId="0" applyFont="1" applyBorder="1" applyAlignment="1">
      <alignment vertical="top"/>
    </xf>
    <xf numFmtId="0" fontId="29" fillId="0" borderId="14" xfId="0" applyFont="1" applyBorder="1" applyAlignment="1">
      <alignment vertical="top"/>
    </xf>
    <xf numFmtId="0" fontId="1" fillId="5" borderId="0" xfId="0" applyFont="1" applyFill="1" applyBorder="1" applyAlignment="1">
      <alignment wrapText="1"/>
    </xf>
    <xf numFmtId="0" fontId="1" fillId="5" borderId="0" xfId="0" applyFont="1" applyFill="1" applyBorder="1"/>
    <xf numFmtId="0" fontId="1" fillId="5" borderId="0" xfId="0" applyFont="1" applyFill="1"/>
    <xf numFmtId="0" fontId="1" fillId="5" borderId="0" xfId="0" applyFont="1" applyFill="1" applyBorder="1" applyAlignment="1">
      <alignment horizontal="center"/>
    </xf>
    <xf numFmtId="0" fontId="1" fillId="5" borderId="2" xfId="0" applyFont="1" applyFill="1" applyBorder="1" applyAlignment="1">
      <alignment wrapText="1"/>
    </xf>
    <xf numFmtId="0" fontId="32" fillId="5" borderId="7" xfId="0" applyFont="1" applyFill="1" applyBorder="1" applyAlignment="1">
      <alignment vertical="top"/>
    </xf>
    <xf numFmtId="0" fontId="32" fillId="5" borderId="0" xfId="0" applyFont="1" applyFill="1" applyBorder="1" applyAlignment="1">
      <alignment vertical="top" wrapText="1"/>
    </xf>
    <xf numFmtId="0" fontId="33" fillId="0" borderId="0" xfId="0" applyFont="1" applyFill="1" applyBorder="1"/>
    <xf numFmtId="0" fontId="33" fillId="0" borderId="10" xfId="0" applyFont="1" applyFill="1" applyBorder="1"/>
    <xf numFmtId="0" fontId="20" fillId="0" borderId="10" xfId="0" applyFont="1" applyFill="1" applyBorder="1"/>
    <xf numFmtId="10" fontId="33" fillId="0" borderId="10" xfId="0" applyNumberFormat="1" applyFont="1" applyFill="1" applyBorder="1"/>
    <xf numFmtId="0" fontId="29" fillId="0" borderId="15" xfId="0" applyFont="1" applyBorder="1" applyAlignment="1">
      <alignment vertical="top"/>
    </xf>
    <xf numFmtId="0" fontId="34" fillId="0" borderId="8" xfId="0" applyFont="1" applyBorder="1" applyAlignment="1">
      <alignment vertical="top"/>
    </xf>
    <xf numFmtId="0" fontId="9" fillId="0" borderId="0" xfId="0" applyFont="1"/>
    <xf numFmtId="0" fontId="31" fillId="6" borderId="11" xfId="0" applyFont="1" applyFill="1" applyBorder="1" applyAlignment="1">
      <alignment horizontal="center" vertical="center"/>
    </xf>
    <xf numFmtId="0" fontId="31" fillId="6" borderId="11" xfId="0" applyFont="1" applyFill="1" applyBorder="1" applyAlignment="1">
      <alignment vertical="top"/>
    </xf>
    <xf numFmtId="14" fontId="31" fillId="6" borderId="11" xfId="0" applyNumberFormat="1" applyFont="1" applyFill="1" applyBorder="1" applyAlignment="1">
      <alignment horizontal="center" vertical="center" wrapText="1"/>
    </xf>
    <xf numFmtId="0" fontId="31" fillId="6" borderId="11" xfId="0" applyFont="1" applyFill="1" applyBorder="1" applyAlignment="1">
      <alignment horizontal="center" vertical="center" wrapText="1"/>
    </xf>
    <xf numFmtId="0" fontId="34" fillId="6" borderId="15" xfId="0" applyFont="1" applyFill="1" applyBorder="1" applyAlignment="1">
      <alignment vertical="top"/>
    </xf>
    <xf numFmtId="0" fontId="31" fillId="6" borderId="12" xfId="0" applyFont="1" applyFill="1" applyBorder="1" applyAlignment="1">
      <alignment vertical="top" wrapText="1"/>
    </xf>
    <xf numFmtId="49" fontId="1" fillId="0" borderId="0" xfId="0" applyNumberFormat="1" applyFont="1" applyFill="1" applyBorder="1" applyAlignment="1" applyProtection="1">
      <alignment horizontal="left" vertical="center"/>
      <protection locked="0"/>
    </xf>
    <xf numFmtId="0" fontId="34" fillId="6" borderId="16" xfId="0" applyFont="1" applyFill="1" applyBorder="1" applyAlignment="1">
      <alignment vertical="top"/>
    </xf>
    <xf numFmtId="0" fontId="29" fillId="0" borderId="16" xfId="0" applyFont="1" applyBorder="1" applyAlignment="1">
      <alignment vertical="top"/>
    </xf>
    <xf numFmtId="0" fontId="35" fillId="0" borderId="10" xfId="0" applyFont="1" applyBorder="1" applyAlignment="1">
      <alignment horizontal="center" vertical="center"/>
    </xf>
    <xf numFmtId="0" fontId="0" fillId="5" borderId="0" xfId="0" applyFill="1"/>
    <xf numFmtId="0" fontId="35" fillId="5" borderId="0" xfId="0" applyFont="1" applyFill="1" applyBorder="1" applyAlignment="1">
      <alignment horizontal="center" vertical="center"/>
    </xf>
    <xf numFmtId="0" fontId="35" fillId="5" borderId="17" xfId="0" applyFont="1" applyFill="1" applyBorder="1" applyAlignment="1">
      <alignment horizontal="center" vertical="center"/>
    </xf>
    <xf numFmtId="0" fontId="35" fillId="5" borderId="18" xfId="0" applyFont="1" applyFill="1" applyBorder="1" applyAlignment="1">
      <alignment horizontal="center" vertical="center"/>
    </xf>
    <xf numFmtId="0" fontId="0" fillId="5" borderId="0" xfId="0" applyFill="1" applyAlignment="1">
      <alignment wrapText="1"/>
    </xf>
    <xf numFmtId="0" fontId="37" fillId="7" borderId="4" xfId="0" applyFont="1" applyFill="1" applyBorder="1" applyAlignment="1">
      <alignment wrapText="1"/>
    </xf>
    <xf numFmtId="0" fontId="37" fillId="7" borderId="19" xfId="0" applyFont="1" applyFill="1" applyBorder="1" applyAlignment="1">
      <alignment vertical="center" wrapText="1"/>
    </xf>
    <xf numFmtId="0" fontId="37" fillId="7" borderId="20" xfId="0" applyFont="1" applyFill="1" applyBorder="1" applyAlignment="1">
      <alignment horizontal="center" wrapText="1"/>
    </xf>
    <xf numFmtId="0" fontId="1" fillId="8" borderId="9" xfId="2" applyFont="1" applyFill="1" applyBorder="1" applyAlignment="1">
      <alignment wrapText="1"/>
    </xf>
    <xf numFmtId="0" fontId="1" fillId="8" borderId="13" xfId="2" applyFont="1" applyFill="1" applyBorder="1" applyAlignment="1">
      <alignment wrapText="1"/>
    </xf>
    <xf numFmtId="0" fontId="35" fillId="5" borderId="7" xfId="0" applyFont="1" applyFill="1" applyBorder="1" applyAlignment="1">
      <alignment horizontal="left" vertical="center"/>
    </xf>
    <xf numFmtId="0" fontId="23" fillId="0" borderId="10" xfId="1" applyBorder="1" applyAlignment="1">
      <alignment vertical="top"/>
    </xf>
    <xf numFmtId="0" fontId="36" fillId="0" borderId="11" xfId="0" applyFont="1" applyBorder="1" applyAlignment="1">
      <alignment vertical="top"/>
    </xf>
    <xf numFmtId="0" fontId="35" fillId="0" borderId="44" xfId="0" applyFont="1" applyBorder="1" applyAlignment="1">
      <alignment horizontal="center" vertical="center"/>
    </xf>
    <xf numFmtId="0" fontId="43" fillId="10" borderId="7" xfId="0" applyFont="1" applyFill="1" applyBorder="1" applyAlignment="1">
      <alignment horizontal="center" vertical="center" wrapText="1"/>
    </xf>
    <xf numFmtId="0" fontId="6" fillId="0" borderId="22" xfId="0" applyFont="1" applyBorder="1" applyAlignment="1" applyProtection="1">
      <alignment horizontal="left" vertical="center" wrapText="1"/>
    </xf>
    <xf numFmtId="0" fontId="6" fillId="0" borderId="23" xfId="0" applyFont="1" applyBorder="1" applyAlignment="1" applyProtection="1">
      <alignment horizontal="left" vertical="center" wrapText="1"/>
    </xf>
    <xf numFmtId="0" fontId="6" fillId="0" borderId="24" xfId="0" applyFont="1" applyBorder="1" applyAlignment="1" applyProtection="1">
      <alignment horizontal="left" vertical="center" wrapText="1"/>
    </xf>
    <xf numFmtId="0" fontId="38" fillId="0" borderId="15" xfId="0" applyFont="1" applyBorder="1" applyAlignment="1" applyProtection="1">
      <alignment horizontal="left" vertical="center" shrinkToFit="1"/>
    </xf>
    <xf numFmtId="0" fontId="38" fillId="0" borderId="1" xfId="0" applyFont="1" applyBorder="1" applyAlignment="1" applyProtection="1">
      <alignment horizontal="left" vertical="center" shrinkToFit="1"/>
    </xf>
    <xf numFmtId="0" fontId="38" fillId="0" borderId="21" xfId="0" applyFont="1" applyBorder="1" applyAlignment="1" applyProtection="1">
      <alignment horizontal="left" vertical="center" shrinkToFit="1"/>
    </xf>
    <xf numFmtId="0" fontId="1" fillId="0" borderId="15" xfId="0" applyFont="1" applyFill="1" applyBorder="1" applyAlignment="1" applyProtection="1">
      <alignment horizontal="left" vertical="top" wrapText="1" shrinkToFit="1"/>
      <protection locked="0"/>
    </xf>
    <xf numFmtId="0" fontId="2" fillId="0" borderId="1" xfId="0" applyFont="1" applyFill="1" applyBorder="1" applyAlignment="1" applyProtection="1">
      <alignment horizontal="left" vertical="top" shrinkToFit="1"/>
      <protection locked="0"/>
    </xf>
    <xf numFmtId="0" fontId="2" fillId="0" borderId="21" xfId="0" applyFont="1" applyFill="1" applyBorder="1" applyAlignment="1" applyProtection="1">
      <alignment horizontal="left" vertical="top" shrinkToFit="1"/>
      <protection locked="0"/>
    </xf>
    <xf numFmtId="0" fontId="10" fillId="0" borderId="0" xfId="0" applyFont="1" applyFill="1" applyAlignment="1" applyProtection="1">
      <alignment horizontal="center" vertical="center" wrapText="1"/>
      <protection locked="0"/>
    </xf>
    <xf numFmtId="0" fontId="0" fillId="0" borderId="0" xfId="0" applyAlignment="1">
      <alignment vertical="center" wrapText="1"/>
    </xf>
    <xf numFmtId="0" fontId="1" fillId="0" borderId="25" xfId="0" applyFont="1" applyFill="1" applyBorder="1" applyAlignment="1" applyProtection="1">
      <alignment horizontal="left" vertical="top" wrapText="1" shrinkToFit="1"/>
      <protection locked="0"/>
    </xf>
    <xf numFmtId="0" fontId="2" fillId="0" borderId="26" xfId="0" applyFont="1" applyFill="1" applyBorder="1" applyAlignment="1" applyProtection="1">
      <alignment horizontal="left" vertical="top" shrinkToFit="1"/>
      <protection locked="0"/>
    </xf>
    <xf numFmtId="0" fontId="2" fillId="0" borderId="16" xfId="0" applyFont="1" applyFill="1" applyBorder="1" applyAlignment="1" applyProtection="1">
      <alignment horizontal="left" vertical="top" shrinkToFit="1"/>
      <protection locked="0"/>
    </xf>
    <xf numFmtId="0" fontId="39" fillId="9" borderId="2" xfId="0" applyFont="1" applyFill="1" applyBorder="1" applyAlignment="1" applyProtection="1">
      <alignment horizontal="center" vertical="center" shrinkToFit="1"/>
      <protection locked="0"/>
    </xf>
    <xf numFmtId="0" fontId="39" fillId="9" borderId="0" xfId="0" applyFont="1" applyFill="1" applyBorder="1" applyAlignment="1" applyProtection="1">
      <alignment horizontal="center" vertical="center" shrinkToFit="1"/>
      <protection locked="0"/>
    </xf>
    <xf numFmtId="0" fontId="39" fillId="9" borderId="3" xfId="0" applyFont="1" applyFill="1" applyBorder="1" applyAlignment="1" applyProtection="1">
      <alignment horizontal="center" vertical="center" shrinkToFit="1"/>
      <protection locked="0"/>
    </xf>
    <xf numFmtId="0" fontId="1" fillId="0" borderId="22" xfId="0" applyFont="1" applyFill="1" applyBorder="1" applyAlignment="1" applyProtection="1">
      <alignment horizontal="left" vertical="top"/>
      <protection locked="0"/>
    </xf>
    <xf numFmtId="0" fontId="4" fillId="0" borderId="23" xfId="0" applyFont="1" applyFill="1" applyBorder="1" applyAlignment="1" applyProtection="1">
      <alignment horizontal="left" vertical="top"/>
      <protection locked="0"/>
    </xf>
    <xf numFmtId="0" fontId="4" fillId="0" borderId="24" xfId="0" applyFont="1" applyFill="1" applyBorder="1" applyAlignment="1" applyProtection="1">
      <alignment horizontal="left" vertical="top"/>
      <protection locked="0"/>
    </xf>
    <xf numFmtId="0" fontId="39" fillId="9" borderId="23" xfId="0" applyFont="1" applyFill="1" applyBorder="1" applyAlignment="1" applyProtection="1">
      <alignment horizontal="center" vertical="center" wrapText="1"/>
      <protection locked="0"/>
    </xf>
    <xf numFmtId="0" fontId="39" fillId="9" borderId="0" xfId="0" applyFont="1" applyFill="1" applyBorder="1" applyAlignment="1" applyProtection="1">
      <alignment horizontal="center" vertical="center" wrapText="1"/>
      <protection locked="0"/>
    </xf>
    <xf numFmtId="0" fontId="4" fillId="0" borderId="15" xfId="0" applyFont="1" applyFill="1" applyBorder="1" applyAlignment="1" applyProtection="1">
      <alignment horizontal="left" vertical="top"/>
      <protection locked="0"/>
    </xf>
    <xf numFmtId="0" fontId="4" fillId="0" borderId="1" xfId="0" applyFont="1" applyFill="1" applyBorder="1" applyAlignment="1" applyProtection="1">
      <alignment horizontal="left" vertical="top"/>
      <protection locked="0"/>
    </xf>
    <xf numFmtId="0" fontId="4" fillId="0" borderId="21" xfId="0" applyFont="1" applyFill="1" applyBorder="1" applyAlignment="1" applyProtection="1">
      <alignment horizontal="left" vertical="top"/>
      <protection locked="0"/>
    </xf>
    <xf numFmtId="0" fontId="40" fillId="0" borderId="1" xfId="0" applyFont="1" applyFill="1" applyBorder="1" applyAlignment="1" applyProtection="1">
      <alignment horizontal="left" vertical="top" wrapText="1" shrinkToFit="1"/>
      <protection locked="0"/>
    </xf>
    <xf numFmtId="0" fontId="40" fillId="0" borderId="21" xfId="0" applyFont="1" applyFill="1" applyBorder="1" applyAlignment="1" applyProtection="1">
      <alignment horizontal="left" vertical="top" wrapText="1" shrinkToFit="1"/>
      <protection locked="0"/>
    </xf>
    <xf numFmtId="0" fontId="39" fillId="9" borderId="22" xfId="0" applyFont="1" applyFill="1" applyBorder="1" applyAlignment="1" applyProtection="1">
      <alignment horizontal="center" vertical="center" shrinkToFit="1"/>
      <protection locked="0"/>
    </xf>
    <xf numFmtId="0" fontId="39" fillId="9" borderId="23" xfId="0" applyFont="1" applyFill="1" applyBorder="1" applyAlignment="1" applyProtection="1">
      <alignment horizontal="center" vertical="center" shrinkToFit="1"/>
      <protection locked="0"/>
    </xf>
    <xf numFmtId="0" fontId="39" fillId="9" borderId="24" xfId="0" applyFont="1" applyFill="1" applyBorder="1" applyAlignment="1" applyProtection="1">
      <alignment horizontal="center" vertical="center" shrinkToFit="1"/>
      <protection locked="0"/>
    </xf>
    <xf numFmtId="0" fontId="6" fillId="0" borderId="22" xfId="0" applyFont="1" applyBorder="1" applyAlignment="1" applyProtection="1">
      <alignment horizontal="left" vertical="center" shrinkToFit="1"/>
    </xf>
    <xf numFmtId="0" fontId="6" fillId="0" borderId="23" xfId="0" applyFont="1" applyBorder="1" applyAlignment="1" applyProtection="1">
      <alignment horizontal="left" vertical="center" shrinkToFit="1"/>
    </xf>
    <xf numFmtId="0" fontId="6" fillId="0" borderId="24" xfId="0" applyFont="1" applyBorder="1" applyAlignment="1" applyProtection="1">
      <alignment horizontal="left" vertical="center" shrinkToFit="1"/>
    </xf>
    <xf numFmtId="0" fontId="4" fillId="0" borderId="15" xfId="0" applyFont="1" applyFill="1" applyBorder="1" applyAlignment="1" applyProtection="1">
      <alignment horizontal="right" vertical="top" wrapText="1" shrinkToFit="1"/>
      <protection locked="0"/>
    </xf>
    <xf numFmtId="0" fontId="4" fillId="0" borderId="1" xfId="0" applyFont="1" applyFill="1" applyBorder="1" applyAlignment="1" applyProtection="1">
      <alignment horizontal="right" vertical="top" wrapText="1" shrinkToFit="1"/>
      <protection locked="0"/>
    </xf>
    <xf numFmtId="0" fontId="1" fillId="0" borderId="1" xfId="0" applyFont="1" applyFill="1" applyBorder="1" applyAlignment="1" applyProtection="1">
      <alignment horizontal="left" vertical="top" wrapText="1" shrinkToFit="1"/>
      <protection locked="0"/>
    </xf>
    <xf numFmtId="165" fontId="38" fillId="0" borderId="15" xfId="0" applyNumberFormat="1" applyFont="1" applyBorder="1" applyAlignment="1" applyProtection="1">
      <alignment horizontal="left" vertical="center" shrinkToFit="1"/>
    </xf>
    <xf numFmtId="165" fontId="38" fillId="0" borderId="1" xfId="0" applyNumberFormat="1" applyFont="1" applyBorder="1" applyAlignment="1" applyProtection="1">
      <alignment horizontal="left" vertical="center" shrinkToFit="1"/>
    </xf>
    <xf numFmtId="165" fontId="38" fillId="0" borderId="21" xfId="0" applyNumberFormat="1" applyFont="1" applyBorder="1" applyAlignment="1" applyProtection="1">
      <alignment horizontal="left" vertical="center" shrinkToFit="1"/>
    </xf>
    <xf numFmtId="0" fontId="6" fillId="0" borderId="22" xfId="0" applyFont="1" applyFill="1" applyBorder="1" applyAlignment="1" applyProtection="1">
      <alignment horizontal="left" vertical="center" shrinkToFit="1"/>
    </xf>
    <xf numFmtId="0" fontId="6" fillId="0" borderId="23" xfId="0" applyFont="1" applyFill="1" applyBorder="1" applyAlignment="1" applyProtection="1">
      <alignment horizontal="left" vertical="center" shrinkToFit="1"/>
    </xf>
    <xf numFmtId="0" fontId="6" fillId="0" borderId="24" xfId="0" applyFont="1" applyFill="1" applyBorder="1" applyAlignment="1" applyProtection="1">
      <alignment horizontal="left" vertical="center" shrinkToFit="1"/>
    </xf>
    <xf numFmtId="0" fontId="8" fillId="2" borderId="10" xfId="0" applyFont="1" applyFill="1" applyBorder="1" applyAlignment="1" applyProtection="1">
      <alignment horizontal="center" vertical="center" wrapText="1"/>
      <protection locked="0"/>
    </xf>
    <xf numFmtId="0" fontId="0" fillId="0" borderId="10" xfId="0" applyBorder="1" applyAlignment="1">
      <alignment horizontal="center" vertical="center" wrapText="1"/>
    </xf>
    <xf numFmtId="49" fontId="4" fillId="0" borderId="10" xfId="0" applyNumberFormat="1" applyFont="1" applyFill="1" applyBorder="1" applyAlignment="1" applyProtection="1">
      <alignment horizontal="left" vertical="center" wrapText="1"/>
      <protection locked="0"/>
    </xf>
    <xf numFmtId="0" fontId="0" fillId="0" borderId="10" xfId="0" applyBorder="1" applyAlignment="1">
      <alignment horizontal="left" vertical="center" wrapText="1"/>
    </xf>
    <xf numFmtId="0" fontId="6" fillId="3" borderId="22" xfId="0" applyFont="1" applyFill="1" applyBorder="1" applyAlignment="1" applyProtection="1">
      <alignment horizontal="left" vertical="center" wrapText="1"/>
    </xf>
    <xf numFmtId="0" fontId="6" fillId="3" borderId="23" xfId="0" applyFont="1" applyFill="1" applyBorder="1" applyAlignment="1" applyProtection="1">
      <alignment horizontal="left" vertical="center" wrapText="1"/>
    </xf>
    <xf numFmtId="0" fontId="6" fillId="3" borderId="24" xfId="0" applyFont="1" applyFill="1" applyBorder="1" applyAlignment="1" applyProtection="1">
      <alignment horizontal="left" vertical="center" wrapText="1"/>
    </xf>
    <xf numFmtId="165" fontId="38" fillId="3" borderId="15" xfId="0" applyNumberFormat="1" applyFont="1" applyFill="1" applyBorder="1" applyAlignment="1" applyProtection="1">
      <alignment horizontal="left" vertical="center" shrinkToFit="1"/>
    </xf>
    <xf numFmtId="165" fontId="38" fillId="3" borderId="1" xfId="0" applyNumberFormat="1" applyFont="1" applyFill="1" applyBorder="1" applyAlignment="1" applyProtection="1">
      <alignment horizontal="left" vertical="center" shrinkToFit="1"/>
    </xf>
    <xf numFmtId="165" fontId="38" fillId="3" borderId="21" xfId="0" applyNumberFormat="1" applyFont="1" applyFill="1" applyBorder="1" applyAlignment="1" applyProtection="1">
      <alignment horizontal="left" vertical="center" shrinkToFit="1"/>
    </xf>
    <xf numFmtId="0" fontId="6" fillId="3" borderId="22" xfId="0" applyFont="1" applyFill="1" applyBorder="1" applyAlignment="1" applyProtection="1">
      <alignment horizontal="left" vertical="center" shrinkToFit="1"/>
    </xf>
    <xf numFmtId="0" fontId="6" fillId="3" borderId="23" xfId="0" applyFont="1" applyFill="1" applyBorder="1" applyAlignment="1" applyProtection="1">
      <alignment horizontal="left" vertical="center" shrinkToFit="1"/>
    </xf>
    <xf numFmtId="0" fontId="6" fillId="3" borderId="24" xfId="0" applyFont="1" applyFill="1" applyBorder="1" applyAlignment="1" applyProtection="1">
      <alignment horizontal="left" vertical="center" shrinkToFit="1"/>
    </xf>
    <xf numFmtId="0" fontId="38" fillId="3" borderId="15" xfId="0" applyFont="1" applyFill="1" applyBorder="1" applyAlignment="1" applyProtection="1">
      <alignment horizontal="left" vertical="center" shrinkToFit="1"/>
    </xf>
    <xf numFmtId="0" fontId="38" fillId="3" borderId="1" xfId="0" applyFont="1" applyFill="1" applyBorder="1" applyAlignment="1" applyProtection="1">
      <alignment horizontal="left" vertical="center" shrinkToFit="1"/>
    </xf>
    <xf numFmtId="0" fontId="38" fillId="3" borderId="21" xfId="0" applyFont="1" applyFill="1" applyBorder="1" applyAlignment="1" applyProtection="1">
      <alignment horizontal="left" vertical="center" shrinkToFit="1"/>
    </xf>
    <xf numFmtId="0" fontId="0" fillId="2" borderId="10" xfId="0" applyFill="1" applyBorder="1" applyAlignment="1" applyProtection="1">
      <alignment horizontal="center" vertical="center" wrapText="1"/>
      <protection locked="0"/>
    </xf>
    <xf numFmtId="49" fontId="1" fillId="0" borderId="10" xfId="0" applyNumberFormat="1" applyFont="1" applyFill="1" applyBorder="1" applyAlignment="1" applyProtection="1">
      <alignment horizontal="center" vertical="center" wrapText="1"/>
      <protection locked="0"/>
    </xf>
    <xf numFmtId="49" fontId="4" fillId="0" borderId="10" xfId="0" applyNumberFormat="1" applyFont="1" applyFill="1" applyBorder="1" applyAlignment="1" applyProtection="1">
      <alignment horizontal="center" vertical="center" wrapText="1"/>
      <protection locked="0"/>
    </xf>
    <xf numFmtId="49" fontId="1" fillId="0" borderId="10" xfId="0" applyNumberFormat="1" applyFont="1" applyFill="1" applyBorder="1" applyAlignment="1" applyProtection="1">
      <alignment horizontal="left" vertical="center" wrapText="1"/>
      <protection locked="0"/>
    </xf>
    <xf numFmtId="0" fontId="11" fillId="3" borderId="15" xfId="0" applyFont="1" applyFill="1" applyBorder="1" applyAlignment="1" applyProtection="1">
      <alignment horizontal="left" vertical="center" shrinkToFit="1"/>
    </xf>
    <xf numFmtId="0" fontId="11" fillId="3" borderId="1" xfId="0" applyFont="1" applyFill="1" applyBorder="1" applyAlignment="1" applyProtection="1">
      <alignment horizontal="left" vertical="center" shrinkToFit="1"/>
    </xf>
    <xf numFmtId="0" fontId="11" fillId="3" borderId="21" xfId="0" applyFont="1" applyFill="1" applyBorder="1" applyAlignment="1" applyProtection="1">
      <alignment horizontal="left" vertical="center" shrinkToFit="1"/>
    </xf>
    <xf numFmtId="49" fontId="4" fillId="0" borderId="10" xfId="0" applyNumberFormat="1" applyFont="1" applyFill="1" applyBorder="1" applyAlignment="1">
      <alignment horizontal="left" vertical="center" wrapText="1"/>
    </xf>
    <xf numFmtId="49" fontId="4" fillId="0" borderId="10" xfId="0" applyNumberFormat="1" applyFont="1" applyFill="1" applyBorder="1" applyAlignment="1">
      <alignment horizontal="center" vertical="center" wrapText="1"/>
    </xf>
    <xf numFmtId="49" fontId="4" fillId="0" borderId="10" xfId="0" applyNumberFormat="1" applyFont="1" applyFill="1" applyBorder="1" applyAlignment="1" applyProtection="1">
      <alignment vertical="center" wrapText="1"/>
      <protection locked="0"/>
    </xf>
    <xf numFmtId="49" fontId="5" fillId="0" borderId="0" xfId="0" applyNumberFormat="1" applyFont="1" applyFill="1" applyAlignment="1" applyProtection="1">
      <alignment horizontal="left" vertical="top" wrapText="1"/>
      <protection locked="0"/>
    </xf>
    <xf numFmtId="49" fontId="1" fillId="0" borderId="25" xfId="0" applyNumberFormat="1" applyFont="1" applyFill="1" applyBorder="1" applyAlignment="1" applyProtection="1">
      <alignment horizontal="left" vertical="center" wrapText="1"/>
      <protection locked="0"/>
    </xf>
    <xf numFmtId="49" fontId="4" fillId="0" borderId="26" xfId="0" applyNumberFormat="1" applyFont="1" applyFill="1" applyBorder="1" applyAlignment="1" applyProtection="1">
      <alignment horizontal="left" vertical="center" wrapText="1"/>
      <protection locked="0"/>
    </xf>
    <xf numFmtId="49" fontId="4" fillId="0" borderId="16" xfId="0" applyNumberFormat="1" applyFont="1" applyFill="1" applyBorder="1" applyAlignment="1" applyProtection="1">
      <alignment horizontal="left" vertical="center" wrapText="1"/>
      <protection locked="0"/>
    </xf>
    <xf numFmtId="0" fontId="37" fillId="7" borderId="10" xfId="0" applyFont="1" applyFill="1" applyBorder="1" applyAlignment="1">
      <alignment horizontal="center" vertical="center" wrapText="1"/>
    </xf>
    <xf numFmtId="0" fontId="0" fillId="0" borderId="25" xfId="0" applyBorder="1" applyAlignment="1">
      <alignment horizontal="left" vertical="center" wrapText="1"/>
    </xf>
    <xf numFmtId="0" fontId="0" fillId="0" borderId="26" xfId="0" applyBorder="1" applyAlignment="1">
      <alignment horizontal="left" vertical="center" wrapText="1"/>
    </xf>
    <xf numFmtId="0" fontId="0" fillId="0" borderId="16" xfId="0" applyBorder="1" applyAlignment="1">
      <alignment horizontal="left" vertical="center" wrapText="1"/>
    </xf>
    <xf numFmtId="0" fontId="1" fillId="0" borderId="25" xfId="0" applyFont="1" applyBorder="1" applyAlignment="1">
      <alignment horizontal="left" vertical="center" wrapText="1"/>
    </xf>
    <xf numFmtId="49" fontId="1" fillId="0" borderId="0" xfId="0" applyNumberFormat="1" applyFont="1" applyFill="1" applyBorder="1" applyAlignment="1" applyProtection="1">
      <alignment horizontal="left" vertical="top" wrapText="1"/>
      <protection locked="0"/>
    </xf>
    <xf numFmtId="0" fontId="1" fillId="5" borderId="10" xfId="2" applyFont="1" applyFill="1" applyBorder="1" applyAlignment="1">
      <alignment horizontal="left" vertical="top" wrapText="1" shrinkToFit="1"/>
    </xf>
    <xf numFmtId="49" fontId="1" fillId="5" borderId="25" xfId="2" applyNumberFormat="1" applyFill="1" applyBorder="1" applyAlignment="1">
      <alignment horizontal="left" vertical="center" wrapText="1" shrinkToFit="1"/>
    </xf>
    <xf numFmtId="49" fontId="1" fillId="5" borderId="26" xfId="2" applyNumberFormat="1" applyFill="1" applyBorder="1" applyAlignment="1">
      <alignment horizontal="left" vertical="center" wrapText="1" shrinkToFit="1"/>
    </xf>
    <xf numFmtId="49" fontId="1" fillId="5" borderId="16" xfId="2" applyNumberFormat="1" applyFill="1" applyBorder="1" applyAlignment="1">
      <alignment horizontal="left" vertical="center" wrapText="1" shrinkToFit="1"/>
    </xf>
    <xf numFmtId="0" fontId="37" fillId="7" borderId="34" xfId="0" applyFont="1" applyFill="1" applyBorder="1" applyAlignment="1">
      <alignment horizontal="left" vertical="center" wrapText="1"/>
    </xf>
    <xf numFmtId="0" fontId="37" fillId="7" borderId="36" xfId="0" applyFont="1" applyFill="1" applyBorder="1" applyAlignment="1">
      <alignment horizontal="left" vertical="center" wrapText="1"/>
    </xf>
    <xf numFmtId="0" fontId="37" fillId="7" borderId="29" xfId="0" applyFont="1" applyFill="1" applyBorder="1" applyAlignment="1">
      <alignment horizontal="center" wrapText="1"/>
    </xf>
    <xf numFmtId="0" fontId="37" fillId="7" borderId="30" xfId="0" applyFont="1" applyFill="1" applyBorder="1" applyAlignment="1">
      <alignment horizontal="center" wrapText="1"/>
    </xf>
    <xf numFmtId="0" fontId="37" fillId="7" borderId="31" xfId="0" applyFont="1" applyFill="1" applyBorder="1" applyAlignment="1">
      <alignment horizontal="center" wrapText="1"/>
    </xf>
    <xf numFmtId="0" fontId="1" fillId="5" borderId="32" xfId="0" applyFont="1" applyFill="1" applyBorder="1" applyAlignment="1">
      <alignment horizontal="left" vertical="top" wrapText="1" shrinkToFit="1"/>
    </xf>
    <xf numFmtId="0" fontId="1" fillId="5" borderId="33" xfId="0" applyFont="1" applyFill="1" applyBorder="1" applyAlignment="1">
      <alignment horizontal="left" vertical="top" wrapText="1" shrinkToFit="1"/>
    </xf>
    <xf numFmtId="0" fontId="1" fillId="5" borderId="34" xfId="0" applyFont="1" applyFill="1" applyBorder="1" applyAlignment="1">
      <alignment horizontal="left" vertical="top" wrapText="1" shrinkToFit="1"/>
    </xf>
    <xf numFmtId="0" fontId="1" fillId="5" borderId="35" xfId="0" applyFont="1" applyFill="1" applyBorder="1" applyAlignment="1">
      <alignment horizontal="left" vertical="top" wrapText="1" shrinkToFit="1"/>
    </xf>
    <xf numFmtId="0" fontId="1" fillId="5" borderId="0" xfId="0" applyFont="1" applyFill="1" applyBorder="1" applyAlignment="1">
      <alignment horizontal="left" vertical="top" wrapText="1" shrinkToFit="1"/>
    </xf>
    <xf numFmtId="0" fontId="1" fillId="5" borderId="36" xfId="0" applyFont="1" applyFill="1" applyBorder="1" applyAlignment="1">
      <alignment horizontal="left" vertical="top" wrapText="1" shrinkToFit="1"/>
    </xf>
    <xf numFmtId="0" fontId="1" fillId="5" borderId="37" xfId="0" applyFont="1" applyFill="1" applyBorder="1" applyAlignment="1">
      <alignment horizontal="left" vertical="top" wrapText="1" shrinkToFit="1"/>
    </xf>
    <xf numFmtId="0" fontId="1" fillId="5" borderId="38" xfId="0" applyFont="1" applyFill="1" applyBorder="1" applyAlignment="1">
      <alignment horizontal="left" vertical="top" wrapText="1" shrinkToFit="1"/>
    </xf>
    <xf numFmtId="0" fontId="1" fillId="5" borderId="39" xfId="0" applyFont="1" applyFill="1" applyBorder="1" applyAlignment="1">
      <alignment horizontal="left" vertical="top" wrapText="1" shrinkToFit="1"/>
    </xf>
    <xf numFmtId="0" fontId="1" fillId="5" borderId="10" xfId="2" applyFill="1" applyBorder="1" applyAlignment="1">
      <alignment horizontal="left" vertical="top" wrapText="1" shrinkToFit="1"/>
    </xf>
    <xf numFmtId="0" fontId="9" fillId="5" borderId="6" xfId="0" applyFont="1" applyFill="1" applyBorder="1" applyAlignment="1">
      <alignment horizontal="left"/>
    </xf>
    <xf numFmtId="0" fontId="1" fillId="5" borderId="27" xfId="0" applyFont="1" applyFill="1" applyBorder="1" applyAlignment="1">
      <alignment horizontal="left"/>
    </xf>
    <xf numFmtId="0" fontId="1" fillId="5" borderId="28" xfId="0" applyFont="1" applyFill="1" applyBorder="1" applyAlignment="1">
      <alignment horizontal="left"/>
    </xf>
    <xf numFmtId="0" fontId="1" fillId="5" borderId="6" xfId="0" applyFont="1" applyFill="1" applyBorder="1" applyAlignment="1">
      <alignment horizontal="left" vertical="top" wrapText="1"/>
    </xf>
    <xf numFmtId="0" fontId="1" fillId="5" borderId="27" xfId="0" applyFont="1" applyFill="1" applyBorder="1" applyAlignment="1">
      <alignment horizontal="left" vertical="top"/>
    </xf>
    <xf numFmtId="0" fontId="1" fillId="5" borderId="28" xfId="0" applyFont="1" applyFill="1" applyBorder="1" applyAlignment="1">
      <alignment horizontal="left" vertical="top"/>
    </xf>
    <xf numFmtId="0" fontId="1" fillId="5" borderId="6" xfId="0" applyFont="1" applyFill="1" applyBorder="1" applyAlignment="1">
      <alignment horizontal="left" vertical="top"/>
    </xf>
    <xf numFmtId="0" fontId="1" fillId="5" borderId="25" xfId="2" applyFont="1" applyFill="1" applyBorder="1" applyAlignment="1">
      <alignment horizontal="left" vertical="top" wrapText="1" shrinkToFit="1"/>
    </xf>
    <xf numFmtId="0" fontId="1" fillId="5" borderId="26" xfId="2" applyFont="1" applyFill="1" applyBorder="1" applyAlignment="1">
      <alignment horizontal="left" vertical="top" wrapText="1" shrinkToFit="1"/>
    </xf>
    <xf numFmtId="0" fontId="1" fillId="5" borderId="16" xfId="2" applyFont="1" applyFill="1" applyBorder="1" applyAlignment="1">
      <alignment horizontal="left" vertical="top" wrapText="1" shrinkToFit="1"/>
    </xf>
    <xf numFmtId="0" fontId="1" fillId="5" borderId="40" xfId="2" applyFont="1" applyFill="1" applyBorder="1" applyAlignment="1">
      <alignment horizontal="left" vertical="top" wrapText="1" shrinkToFit="1"/>
    </xf>
    <xf numFmtId="0" fontId="1" fillId="5" borderId="41" xfId="2" applyFont="1" applyFill="1" applyBorder="1" applyAlignment="1">
      <alignment horizontal="left" vertical="top" wrapText="1" shrinkToFit="1"/>
    </xf>
    <xf numFmtId="0" fontId="1" fillId="5" borderId="42" xfId="2" applyFont="1" applyFill="1" applyBorder="1" applyAlignment="1">
      <alignment horizontal="left" vertical="top" wrapText="1" shrinkToFit="1"/>
    </xf>
    <xf numFmtId="0" fontId="1" fillId="5" borderId="14" xfId="2" applyFont="1" applyFill="1" applyBorder="1" applyAlignment="1">
      <alignment horizontal="left" vertical="top" wrapText="1" shrinkToFit="1"/>
    </xf>
    <xf numFmtId="49" fontId="1" fillId="5" borderId="25" xfId="2" applyNumberFormat="1" applyFill="1" applyBorder="1" applyAlignment="1">
      <alignment horizontal="left" vertical="top" wrapText="1" shrinkToFit="1"/>
    </xf>
    <xf numFmtId="49" fontId="1" fillId="5" borderId="26" xfId="2" applyNumberFormat="1" applyFill="1" applyBorder="1" applyAlignment="1">
      <alignment horizontal="left" vertical="top" wrapText="1" shrinkToFit="1"/>
    </xf>
    <xf numFmtId="49" fontId="1" fillId="5" borderId="16" xfId="2" applyNumberFormat="1" applyFill="1" applyBorder="1" applyAlignment="1">
      <alignment horizontal="left" vertical="top" wrapText="1" shrinkToFit="1"/>
    </xf>
    <xf numFmtId="0" fontId="1" fillId="5" borderId="25" xfId="2" applyFill="1" applyBorder="1" applyAlignment="1">
      <alignment horizontal="left" vertical="top" wrapText="1" shrinkToFit="1"/>
    </xf>
    <xf numFmtId="0" fontId="1" fillId="5" borderId="26" xfId="2" applyFill="1" applyBorder="1" applyAlignment="1">
      <alignment horizontal="left" vertical="top" wrapText="1" shrinkToFit="1"/>
    </xf>
    <xf numFmtId="0" fontId="1" fillId="5" borderId="16" xfId="2" applyFill="1" applyBorder="1" applyAlignment="1">
      <alignment horizontal="left" vertical="top" wrapText="1" shrinkToFit="1"/>
    </xf>
    <xf numFmtId="0" fontId="9" fillId="5" borderId="27" xfId="0" applyFont="1" applyFill="1" applyBorder="1" applyAlignment="1">
      <alignment horizontal="left"/>
    </xf>
    <xf numFmtId="0" fontId="9" fillId="5" borderId="28" xfId="0" applyFont="1" applyFill="1" applyBorder="1" applyAlignment="1">
      <alignment horizontal="left"/>
    </xf>
  </cellXfs>
  <cellStyles count="3">
    <cellStyle name="Hyperlink" xfId="1" builtinId="8"/>
    <cellStyle name="Normal" xfId="0" builtinId="0"/>
    <cellStyle name="Normal 2" xfId="2" xr:uid="{00000000-0005-0000-0000-000002000000}"/>
  </cellStyles>
  <dxfs count="136">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SW integration test progress</a:t>
            </a:r>
          </a:p>
        </c:rich>
      </c:tx>
      <c:overlay val="0"/>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0-5374-434A-AFE8-DF808D2D2BD5}"/>
              </c:ext>
            </c:extLst>
          </c:dPt>
          <c:dPt>
            <c:idx val="1"/>
            <c:bubble3D val="0"/>
            <c:extLst>
              <c:ext xmlns:c16="http://schemas.microsoft.com/office/drawing/2014/chart" uri="{C3380CC4-5D6E-409C-BE32-E72D297353CC}">
                <c16:uniqueId val="{00000001-5374-434A-AFE8-DF808D2D2BD5}"/>
              </c:ext>
            </c:extLst>
          </c:dPt>
          <c:dPt>
            <c:idx val="2"/>
            <c:bubble3D val="0"/>
            <c:spPr>
              <a:solidFill>
                <a:schemeClr val="bg1">
                  <a:lumMod val="75000"/>
                </a:schemeClr>
              </a:solidFill>
            </c:spPr>
            <c:extLst>
              <c:ext xmlns:c16="http://schemas.microsoft.com/office/drawing/2014/chart" uri="{C3380CC4-5D6E-409C-BE32-E72D297353CC}">
                <c16:uniqueId val="{00000002-5374-434A-AFE8-DF808D2D2BD5}"/>
              </c:ext>
            </c:extLst>
          </c:dPt>
          <c:dPt>
            <c:idx val="3"/>
            <c:bubble3D val="0"/>
            <c:extLst>
              <c:ext xmlns:c16="http://schemas.microsoft.com/office/drawing/2014/chart" uri="{C3380CC4-5D6E-409C-BE32-E72D297353CC}">
                <c16:uniqueId val="{00000003-5374-434A-AFE8-DF808D2D2BD5}"/>
              </c:ext>
            </c:extLst>
          </c:dPt>
          <c:dLbls>
            <c:spPr>
              <a:noFill/>
              <a:ln>
                <a:noFill/>
              </a:ln>
              <a:effectLst/>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Metrics!$E$2:$E$5</c:f>
              <c:strCache>
                <c:ptCount val="4"/>
                <c:pt idx="0">
                  <c:v>percentage of tests passed</c:v>
                </c:pt>
                <c:pt idx="1">
                  <c:v>percentage of tests failed</c:v>
                </c:pt>
                <c:pt idx="2">
                  <c:v>percentage  tests not run</c:v>
                </c:pt>
                <c:pt idx="3">
                  <c:v>percentage  tests not applicable</c:v>
                </c:pt>
              </c:strCache>
            </c:strRef>
          </c:cat>
          <c:val>
            <c:numRef>
              <c:f>Metrics!$F$2:$F$5</c:f>
              <c:numCache>
                <c:formatCode>0.00%</c:formatCode>
                <c:ptCount val="4"/>
                <c:pt idx="0">
                  <c:v>1</c:v>
                </c:pt>
                <c:pt idx="1">
                  <c:v>0</c:v>
                </c:pt>
                <c:pt idx="2">
                  <c:v>0</c:v>
                </c:pt>
                <c:pt idx="3">
                  <c:v>0</c:v>
                </c:pt>
              </c:numCache>
            </c:numRef>
          </c:val>
          <c:extLst>
            <c:ext xmlns:c16="http://schemas.microsoft.com/office/drawing/2014/chart" uri="{C3380CC4-5D6E-409C-BE32-E72D297353CC}">
              <c16:uniqueId val="{00000004-5374-434A-AFE8-DF808D2D2BD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237" name="Picture 12">
          <a:extLst>
            <a:ext uri="{FF2B5EF4-FFF2-40B4-BE49-F238E27FC236}">
              <a16:creationId xmlns:a16="http://schemas.microsoft.com/office/drawing/2014/main" id="{EC3B1DB7-EFD0-4450-A4A6-37F30917EA2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238" name="Picture 13">
          <a:extLst>
            <a:ext uri="{FF2B5EF4-FFF2-40B4-BE49-F238E27FC236}">
              <a16:creationId xmlns:a16="http://schemas.microsoft.com/office/drawing/2014/main" id="{C873E46E-CC37-47C9-B846-1DF96BCE93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595" name="Picture 1">
          <a:extLst>
            <a:ext uri="{FF2B5EF4-FFF2-40B4-BE49-F238E27FC236}">
              <a16:creationId xmlns:a16="http://schemas.microsoft.com/office/drawing/2014/main" id="{B18CBB95-9994-499B-BF63-42E7193B7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596" name="Picture 2">
          <a:extLst>
            <a:ext uri="{FF2B5EF4-FFF2-40B4-BE49-F238E27FC236}">
              <a16:creationId xmlns:a16="http://schemas.microsoft.com/office/drawing/2014/main" id="{773197C6-D8B1-4205-A2F6-3F6FDCBCECF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57150</xdr:colOff>
      <xdr:row>19</xdr:row>
      <xdr:rowOff>152400</xdr:rowOff>
    </xdr:from>
    <xdr:to>
      <xdr:col>33</xdr:col>
      <xdr:colOff>468251</xdr:colOff>
      <xdr:row>48</xdr:row>
      <xdr:rowOff>67732</xdr:rowOff>
    </xdr:to>
    <xdr:pic>
      <xdr:nvPicPr>
        <xdr:cNvPr id="2" name="Picture 1">
          <a:extLst>
            <a:ext uri="{FF2B5EF4-FFF2-40B4-BE49-F238E27FC236}">
              <a16:creationId xmlns:a16="http://schemas.microsoft.com/office/drawing/2014/main" id="{F50CD4E7-9E1B-49E2-B310-F15CF907F7C3}"/>
            </a:ext>
          </a:extLst>
        </xdr:cNvPr>
        <xdr:cNvPicPr>
          <a:picLocks noChangeAspect="1"/>
        </xdr:cNvPicPr>
      </xdr:nvPicPr>
      <xdr:blipFill>
        <a:blip xmlns:r="http://schemas.openxmlformats.org/officeDocument/2006/relationships" r:embed="rId1"/>
        <a:stretch>
          <a:fillRect/>
        </a:stretch>
      </xdr:blipFill>
      <xdr:spPr>
        <a:xfrm>
          <a:off x="12077700" y="3505200"/>
          <a:ext cx="10936226" cy="757343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7</xdr:row>
      <xdr:rowOff>0</xdr:rowOff>
    </xdr:from>
    <xdr:to>
      <xdr:col>6</xdr:col>
      <xdr:colOff>561975</xdr:colOff>
      <xdr:row>23</xdr:row>
      <xdr:rowOff>152400</xdr:rowOff>
    </xdr:to>
    <xdr:graphicFrame macro="">
      <xdr:nvGraphicFramePr>
        <xdr:cNvPr id="21575" name="Chart 1">
          <a:extLst>
            <a:ext uri="{FF2B5EF4-FFF2-40B4-BE49-F238E27FC236}">
              <a16:creationId xmlns:a16="http://schemas.microsoft.com/office/drawing/2014/main" id="{3B8DEE3C-F3F6-4252-8DA4-4575A22FEB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vlad.chioveanu/AppData/Roaming/Microsoft/AddIns/alvDocProp.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 val="alvDocProp"/>
    </sheetNames>
    <definedNames>
      <definedName name="alvDocProperty"/>
    </definedNames>
    <sheetDataSet>
      <sheetData sheetId="0"/>
      <sheetData sheetId="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26"/>
  <sheetViews>
    <sheetView showGridLines="0" zoomScaleNormal="100" workbookViewId="0">
      <selection activeCell="AB7" sqref="AB7:AD7"/>
    </sheetView>
  </sheetViews>
  <sheetFormatPr defaultColWidth="0" defaultRowHeight="13.2" zeroHeight="1" x14ac:dyDescent="0.25"/>
  <cols>
    <col min="1" max="33" width="2.6640625" style="16" customWidth="1"/>
    <col min="34" max="34" width="1.33203125" style="16" customWidth="1"/>
    <col min="35" max="60" width="3.33203125" style="16" hidden="1" customWidth="1"/>
    <col min="61" max="16384" width="0" style="16" hidden="1"/>
  </cols>
  <sheetData>
    <row r="1" spans="1:37" s="1" customFormat="1" x14ac:dyDescent="0.25">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5">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5">
      <c r="C3" s="8"/>
      <c r="D3" s="8"/>
      <c r="E3" s="8"/>
      <c r="F3" s="8"/>
      <c r="G3" s="8"/>
      <c r="H3" s="8"/>
      <c r="I3" s="8"/>
      <c r="J3" s="8"/>
      <c r="K3" s="8"/>
      <c r="L3" s="8"/>
      <c r="M3" s="8"/>
      <c r="N3" s="8"/>
      <c r="O3" s="8"/>
      <c r="P3" s="8"/>
      <c r="Q3" s="8"/>
      <c r="R3" s="8"/>
      <c r="S3" s="8"/>
      <c r="T3" s="8"/>
      <c r="U3" s="8"/>
      <c r="V3" s="8"/>
      <c r="W3" s="8"/>
      <c r="X3" s="8"/>
      <c r="Y3" s="8"/>
      <c r="Z3" s="8"/>
      <c r="AA3" s="8"/>
      <c r="AB3" s="8"/>
      <c r="AC3" s="8"/>
      <c r="AD3" s="58" t="str">
        <f ca="1">MID(CELL("filename"),FIND("[",CELL("filename"))+1,FIND("]",CELL("filename"))-FIND("[",CELL("filename"))-1)</f>
        <v>ERH - Software Integration Test Specification Report.xlsm</v>
      </c>
      <c r="AE3" s="8"/>
      <c r="AF3" s="8"/>
      <c r="AG3" s="8"/>
      <c r="AH3" s="8"/>
      <c r="AI3" s="8"/>
      <c r="AJ3" s="8"/>
      <c r="AK3" s="8"/>
    </row>
    <row r="4" spans="1:37" s="7" customFormat="1" ht="11.1" customHeight="1" x14ac:dyDescent="0.25">
      <c r="A4" s="141" t="s">
        <v>0</v>
      </c>
      <c r="B4" s="142"/>
      <c r="C4" s="142"/>
      <c r="D4" s="142"/>
      <c r="E4" s="142"/>
      <c r="F4" s="142"/>
      <c r="G4" s="142"/>
      <c r="H4" s="142"/>
      <c r="I4" s="142"/>
      <c r="J4" s="142"/>
      <c r="K4" s="142"/>
      <c r="L4" s="142"/>
      <c r="M4" s="142"/>
      <c r="N4" s="142"/>
      <c r="O4" s="142"/>
      <c r="P4" s="142"/>
      <c r="Q4" s="142"/>
      <c r="R4" s="142"/>
      <c r="S4" s="142"/>
      <c r="T4" s="142"/>
      <c r="U4" s="142"/>
      <c r="V4" s="143"/>
      <c r="W4" s="111" t="s">
        <v>1</v>
      </c>
      <c r="X4" s="112"/>
      <c r="Y4" s="112"/>
      <c r="Z4" s="112"/>
      <c r="AA4" s="113"/>
      <c r="AB4" s="150" t="s">
        <v>19</v>
      </c>
      <c r="AC4" s="151"/>
      <c r="AD4" s="151"/>
      <c r="AE4" s="151"/>
      <c r="AF4" s="151"/>
      <c r="AG4" s="152"/>
      <c r="AH4" s="10"/>
      <c r="AI4" s="10"/>
      <c r="AJ4" s="10"/>
      <c r="AK4" s="8"/>
    </row>
    <row r="5" spans="1:37" s="12" customFormat="1" ht="12.75" customHeight="1" x14ac:dyDescent="0.25">
      <c r="A5" s="114" t="s">
        <v>123</v>
      </c>
      <c r="B5" s="115"/>
      <c r="C5" s="115"/>
      <c r="D5" s="115"/>
      <c r="E5" s="115"/>
      <c r="F5" s="115"/>
      <c r="G5" s="115"/>
      <c r="H5" s="115"/>
      <c r="I5" s="115"/>
      <c r="J5" s="115"/>
      <c r="K5" s="115"/>
      <c r="L5" s="115"/>
      <c r="M5" s="115"/>
      <c r="N5" s="115"/>
      <c r="O5" s="115"/>
      <c r="P5" s="115"/>
      <c r="Q5" s="115"/>
      <c r="R5" s="115"/>
      <c r="S5" s="115"/>
      <c r="T5" s="115"/>
      <c r="U5" s="115"/>
      <c r="V5" s="116"/>
      <c r="W5" s="114" t="s">
        <v>124</v>
      </c>
      <c r="X5" s="115"/>
      <c r="Y5" s="115"/>
      <c r="Z5" s="115"/>
      <c r="AA5" s="116"/>
      <c r="AB5" s="114" t="s">
        <v>134</v>
      </c>
      <c r="AC5" s="115"/>
      <c r="AD5" s="115"/>
      <c r="AE5" s="115"/>
      <c r="AF5" s="115"/>
      <c r="AG5" s="116"/>
      <c r="AH5" s="11"/>
      <c r="AI5" s="11"/>
      <c r="AJ5" s="11"/>
      <c r="AK5" s="11"/>
    </row>
    <row r="6" spans="1:37" s="45" customFormat="1" ht="11.1" customHeight="1" x14ac:dyDescent="0.25">
      <c r="A6" s="111" t="s">
        <v>2</v>
      </c>
      <c r="B6" s="112"/>
      <c r="C6" s="112"/>
      <c r="D6" s="113"/>
      <c r="E6" s="111" t="s">
        <v>3</v>
      </c>
      <c r="F6" s="112"/>
      <c r="G6" s="112"/>
      <c r="H6" s="112"/>
      <c r="I6" s="112"/>
      <c r="J6" s="112"/>
      <c r="K6" s="112"/>
      <c r="L6" s="112"/>
      <c r="M6" s="112"/>
      <c r="N6" s="112"/>
      <c r="O6" s="112"/>
      <c r="P6" s="112"/>
      <c r="Q6" s="112"/>
      <c r="R6" s="112"/>
      <c r="S6" s="112"/>
      <c r="T6" s="112"/>
      <c r="U6" s="112"/>
      <c r="V6" s="113"/>
      <c r="W6" s="141" t="s">
        <v>14</v>
      </c>
      <c r="X6" s="142"/>
      <c r="Y6" s="142"/>
      <c r="Z6" s="142"/>
      <c r="AA6" s="143"/>
      <c r="AB6" s="111"/>
      <c r="AC6" s="112"/>
      <c r="AD6" s="113"/>
      <c r="AE6" s="111" t="s">
        <v>4</v>
      </c>
      <c r="AF6" s="112"/>
      <c r="AG6" s="113"/>
      <c r="AH6" s="44"/>
      <c r="AI6" s="44"/>
      <c r="AJ6" s="44"/>
      <c r="AK6" s="44"/>
    </row>
    <row r="7" spans="1:37" s="14" customFormat="1" ht="12.75" customHeight="1" x14ac:dyDescent="0.25">
      <c r="A7" s="114" t="s">
        <v>125</v>
      </c>
      <c r="B7" s="115"/>
      <c r="C7" s="115"/>
      <c r="D7" s="116"/>
      <c r="E7" s="114" t="s">
        <v>131</v>
      </c>
      <c r="F7" s="115"/>
      <c r="G7" s="115"/>
      <c r="H7" s="115"/>
      <c r="I7" s="115"/>
      <c r="J7" s="115"/>
      <c r="K7" s="115"/>
      <c r="L7" s="115"/>
      <c r="M7" s="115"/>
      <c r="N7" s="115"/>
      <c r="O7" s="115"/>
      <c r="P7" s="115"/>
      <c r="Q7" s="115"/>
      <c r="R7" s="115"/>
      <c r="S7" s="115"/>
      <c r="T7" s="115"/>
      <c r="U7" s="115"/>
      <c r="V7" s="116"/>
      <c r="W7" s="114" t="str">
        <f ca="1" xml:space="preserve"> IFERROR(IF([1]!alvDocProperty("MXDocTemplate_Name")="","SW04TEM001",[1]!alvDocProperty("MXDocTemplate_Name")),"SW04TEM001")</f>
        <v>SW04TEM001</v>
      </c>
      <c r="X7" s="115"/>
      <c r="Y7" s="115"/>
      <c r="Z7" s="115"/>
      <c r="AA7" s="116"/>
      <c r="AB7" s="114"/>
      <c r="AC7" s="115"/>
      <c r="AD7" s="116"/>
      <c r="AE7" s="147">
        <v>1</v>
      </c>
      <c r="AF7" s="148"/>
      <c r="AG7" s="149"/>
      <c r="AH7" s="13"/>
      <c r="AI7" s="13"/>
      <c r="AJ7" s="13"/>
      <c r="AK7" s="13"/>
    </row>
    <row r="8" spans="1:37" s="12" customFormat="1" x14ac:dyDescent="0.25">
      <c r="A8" s="46"/>
      <c r="B8" s="46"/>
      <c r="C8" s="46"/>
      <c r="D8" s="46"/>
      <c r="E8" s="46"/>
      <c r="F8" s="46"/>
      <c r="G8" s="46"/>
      <c r="H8" s="46"/>
      <c r="I8" s="46"/>
      <c r="J8" s="46"/>
      <c r="K8" s="46"/>
      <c r="L8" s="46"/>
      <c r="M8" s="46"/>
      <c r="N8" s="46"/>
      <c r="O8" s="46"/>
      <c r="P8" s="46"/>
      <c r="Q8" s="46"/>
      <c r="R8" s="46"/>
      <c r="S8" s="46"/>
      <c r="T8" s="46"/>
      <c r="U8" s="46"/>
      <c r="V8" s="46"/>
      <c r="W8" s="47"/>
      <c r="X8" s="47"/>
      <c r="Y8" s="47"/>
      <c r="Z8" s="47"/>
      <c r="AA8" s="47"/>
      <c r="AB8" s="46"/>
      <c r="AC8" s="46"/>
      <c r="AD8" s="46"/>
      <c r="AE8" s="46"/>
      <c r="AF8" s="46"/>
      <c r="AG8" s="46"/>
      <c r="AH8" s="11"/>
      <c r="AI8" s="11"/>
      <c r="AJ8" s="11"/>
      <c r="AK8" s="11"/>
    </row>
    <row r="9" spans="1:37" ht="11.1" customHeight="1" x14ac:dyDescent="0.25">
      <c r="A9" s="125" t="s">
        <v>20</v>
      </c>
      <c r="B9" s="126"/>
      <c r="C9" s="126"/>
      <c r="D9" s="126"/>
      <c r="E9" s="126"/>
      <c r="F9" s="126"/>
      <c r="G9" s="126"/>
      <c r="H9" s="126"/>
      <c r="I9" s="126"/>
      <c r="J9" s="126"/>
      <c r="K9" s="127"/>
      <c r="L9" s="125" t="s">
        <v>21</v>
      </c>
      <c r="M9" s="126"/>
      <c r="N9" s="126"/>
      <c r="O9" s="126"/>
      <c r="P9" s="126"/>
      <c r="Q9" s="126"/>
      <c r="R9" s="126"/>
      <c r="S9" s="126"/>
      <c r="T9" s="126"/>
      <c r="U9" s="126"/>
      <c r="V9" s="127"/>
      <c r="W9" s="125" t="s">
        <v>22</v>
      </c>
      <c r="X9" s="126"/>
      <c r="Y9" s="126"/>
      <c r="Z9" s="126"/>
      <c r="AA9" s="126"/>
      <c r="AB9" s="126"/>
      <c r="AC9" s="126"/>
      <c r="AD9" s="126"/>
      <c r="AE9" s="126"/>
      <c r="AF9" s="126"/>
      <c r="AG9" s="127"/>
      <c r="AH9" s="15"/>
      <c r="AI9" s="15"/>
    </row>
    <row r="10" spans="1:37" s="49" customFormat="1" ht="28.5" customHeight="1" x14ac:dyDescent="0.25">
      <c r="A10" s="144" t="s">
        <v>32</v>
      </c>
      <c r="B10" s="145"/>
      <c r="C10" s="145"/>
      <c r="D10" s="145"/>
      <c r="E10" s="145"/>
      <c r="F10" s="136" t="s">
        <v>132</v>
      </c>
      <c r="G10" s="136"/>
      <c r="H10" s="136"/>
      <c r="I10" s="136"/>
      <c r="J10" s="136"/>
      <c r="K10" s="137"/>
      <c r="L10" s="146" t="s">
        <v>126</v>
      </c>
      <c r="M10" s="118"/>
      <c r="N10" s="118"/>
      <c r="O10" s="118"/>
      <c r="P10" s="118"/>
      <c r="Q10" s="118"/>
      <c r="R10" s="118"/>
      <c r="S10" s="118"/>
      <c r="T10" s="118"/>
      <c r="U10" s="118"/>
      <c r="V10" s="119"/>
      <c r="W10" s="117" t="s">
        <v>126</v>
      </c>
      <c r="X10" s="118"/>
      <c r="Y10" s="118"/>
      <c r="Z10" s="118"/>
      <c r="AA10" s="118"/>
      <c r="AB10" s="118"/>
      <c r="AC10" s="118"/>
      <c r="AD10" s="118"/>
      <c r="AE10" s="118"/>
      <c r="AF10" s="118"/>
      <c r="AG10" s="119"/>
      <c r="AH10" s="48"/>
      <c r="AI10" s="48"/>
    </row>
    <row r="11" spans="1:37" s="55" customFormat="1" ht="4.5" customHeight="1" x14ac:dyDescent="0.25">
      <c r="A11" s="50"/>
      <c r="B11" s="51"/>
      <c r="C11" s="51"/>
      <c r="D11" s="51"/>
      <c r="E11" s="51"/>
      <c r="F11" s="51"/>
      <c r="G11" s="51"/>
      <c r="H11" s="51"/>
      <c r="I11" s="51"/>
      <c r="J11" s="51"/>
      <c r="K11" s="51"/>
      <c r="L11" s="52"/>
      <c r="M11" s="51"/>
      <c r="N11" s="51"/>
      <c r="O11" s="51"/>
      <c r="P11" s="51"/>
      <c r="Q11" s="51"/>
      <c r="R11" s="51"/>
      <c r="S11" s="51"/>
      <c r="T11" s="51"/>
      <c r="U11" s="51"/>
      <c r="V11" s="51"/>
      <c r="W11" s="52"/>
      <c r="X11" s="51"/>
      <c r="Y11" s="51"/>
      <c r="Z11" s="51"/>
      <c r="AA11" s="51"/>
      <c r="AB11" s="51"/>
      <c r="AC11" s="51"/>
      <c r="AD11" s="51"/>
      <c r="AE11" s="51"/>
      <c r="AF11" s="51"/>
      <c r="AG11" s="53"/>
      <c r="AH11" s="54"/>
      <c r="AI11" s="54"/>
    </row>
    <row r="12" spans="1:37" s="56" customFormat="1" ht="11.1" customHeight="1" x14ac:dyDescent="0.25">
      <c r="A12" s="138" t="s">
        <v>23</v>
      </c>
      <c r="B12" s="139"/>
      <c r="C12" s="139"/>
      <c r="D12" s="139"/>
      <c r="E12" s="139"/>
      <c r="F12" s="139"/>
      <c r="G12" s="139"/>
      <c r="H12" s="139"/>
      <c r="I12" s="139"/>
      <c r="J12" s="139"/>
      <c r="K12" s="139"/>
      <c r="L12" s="139"/>
      <c r="M12" s="139"/>
      <c r="N12" s="139"/>
      <c r="O12" s="139"/>
      <c r="P12" s="139"/>
      <c r="Q12" s="139"/>
      <c r="R12" s="139"/>
      <c r="S12" s="139"/>
      <c r="T12" s="139"/>
      <c r="U12" s="139"/>
      <c r="V12" s="139"/>
      <c r="W12" s="139"/>
      <c r="X12" s="139"/>
      <c r="Y12" s="139"/>
      <c r="Z12" s="139"/>
      <c r="AA12" s="139"/>
      <c r="AB12" s="139"/>
      <c r="AC12" s="139"/>
      <c r="AD12" s="139"/>
      <c r="AE12" s="139"/>
      <c r="AF12" s="139"/>
      <c r="AG12" s="140"/>
      <c r="AH12" s="15"/>
      <c r="AI12" s="15"/>
      <c r="AJ12" s="15"/>
      <c r="AK12" s="15"/>
    </row>
    <row r="13" spans="1:37" s="49" customFormat="1" ht="28.5" customHeight="1" x14ac:dyDescent="0.25">
      <c r="A13" s="122" t="s">
        <v>126</v>
      </c>
      <c r="B13" s="123"/>
      <c r="C13" s="123"/>
      <c r="D13" s="123"/>
      <c r="E13" s="123"/>
      <c r="F13" s="123"/>
      <c r="G13" s="123"/>
      <c r="H13" s="123"/>
      <c r="I13" s="123"/>
      <c r="J13" s="123"/>
      <c r="K13" s="124"/>
      <c r="L13" s="117" t="s">
        <v>126</v>
      </c>
      <c r="M13" s="118"/>
      <c r="N13" s="118"/>
      <c r="O13" s="118"/>
      <c r="P13" s="118"/>
      <c r="Q13" s="118"/>
      <c r="R13" s="118"/>
      <c r="S13" s="118"/>
      <c r="T13" s="118"/>
      <c r="U13" s="118"/>
      <c r="V13" s="119"/>
      <c r="W13" s="122" t="s">
        <v>126</v>
      </c>
      <c r="X13" s="123"/>
      <c r="Y13" s="123"/>
      <c r="Z13" s="123"/>
      <c r="AA13" s="123"/>
      <c r="AB13" s="123"/>
      <c r="AC13" s="123"/>
      <c r="AD13" s="123"/>
      <c r="AE13" s="123"/>
      <c r="AF13" s="123"/>
      <c r="AG13" s="124"/>
      <c r="AH13" s="48"/>
      <c r="AI13" s="48"/>
      <c r="AJ13" s="48"/>
      <c r="AK13" s="48"/>
    </row>
    <row r="14" spans="1:37" s="55" customFormat="1" ht="4.5" customHeight="1" x14ac:dyDescent="0.25">
      <c r="A14" s="52"/>
      <c r="B14" s="51"/>
      <c r="C14" s="51"/>
      <c r="D14" s="51"/>
      <c r="E14" s="51"/>
      <c r="F14" s="51"/>
      <c r="G14" s="51"/>
      <c r="H14" s="51"/>
      <c r="I14" s="51"/>
      <c r="J14" s="51"/>
      <c r="K14" s="51"/>
      <c r="L14" s="52"/>
      <c r="M14" s="51"/>
      <c r="N14" s="51"/>
      <c r="O14" s="51"/>
      <c r="P14" s="51"/>
      <c r="Q14" s="51"/>
      <c r="R14" s="51"/>
      <c r="S14" s="51"/>
      <c r="T14" s="51"/>
      <c r="U14" s="51"/>
      <c r="V14" s="51"/>
      <c r="W14" s="52"/>
      <c r="X14" s="51"/>
      <c r="Y14" s="51"/>
      <c r="Z14" s="51"/>
      <c r="AA14" s="51"/>
      <c r="AB14" s="51"/>
      <c r="AC14" s="51"/>
      <c r="AD14" s="51"/>
      <c r="AE14" s="51"/>
      <c r="AF14" s="51"/>
      <c r="AG14" s="51"/>
      <c r="AH14" s="54"/>
      <c r="AI14" s="54"/>
    </row>
    <row r="15" spans="1:37" s="18" customFormat="1" ht="37.5" customHeight="1" x14ac:dyDescent="0.25">
      <c r="A15" s="131" t="s">
        <v>24</v>
      </c>
      <c r="B15" s="131"/>
      <c r="C15" s="131"/>
      <c r="D15" s="131"/>
      <c r="E15" s="128" t="s">
        <v>133</v>
      </c>
      <c r="F15" s="129"/>
      <c r="G15" s="129"/>
      <c r="H15" s="129"/>
      <c r="I15" s="129"/>
      <c r="J15" s="129"/>
      <c r="K15" s="129"/>
      <c r="L15" s="129"/>
      <c r="M15" s="129"/>
      <c r="N15" s="129"/>
      <c r="O15" s="129"/>
      <c r="P15" s="129"/>
      <c r="Q15" s="129"/>
      <c r="R15" s="129"/>
      <c r="S15" s="129"/>
      <c r="T15" s="129"/>
      <c r="U15" s="129"/>
      <c r="V15" s="129"/>
      <c r="W15" s="129"/>
      <c r="X15" s="129"/>
      <c r="Y15" s="129"/>
      <c r="Z15" s="129"/>
      <c r="AA15" s="129"/>
      <c r="AB15" s="129"/>
      <c r="AC15" s="129"/>
      <c r="AD15" s="129"/>
      <c r="AE15" s="129"/>
      <c r="AF15" s="129"/>
      <c r="AG15" s="130"/>
      <c r="AH15" s="17"/>
      <c r="AI15" s="17"/>
      <c r="AJ15" s="17"/>
      <c r="AK15" s="17"/>
    </row>
    <row r="16" spans="1:37" s="18" customFormat="1" ht="37.5" customHeight="1" x14ac:dyDescent="0.25">
      <c r="A16" s="132"/>
      <c r="B16" s="132"/>
      <c r="C16" s="132"/>
      <c r="D16" s="132"/>
      <c r="E16" s="133"/>
      <c r="F16" s="134"/>
      <c r="G16" s="134"/>
      <c r="H16" s="134"/>
      <c r="I16" s="134"/>
      <c r="J16" s="134"/>
      <c r="K16" s="134"/>
      <c r="L16" s="134"/>
      <c r="M16" s="134"/>
      <c r="N16" s="134"/>
      <c r="O16" s="134"/>
      <c r="P16" s="134"/>
      <c r="Q16" s="134"/>
      <c r="R16" s="134"/>
      <c r="S16" s="134"/>
      <c r="T16" s="134"/>
      <c r="U16" s="134"/>
      <c r="V16" s="134"/>
      <c r="W16" s="134"/>
      <c r="X16" s="134"/>
      <c r="Y16" s="134"/>
      <c r="Z16" s="134"/>
      <c r="AA16" s="134"/>
      <c r="AB16" s="134"/>
      <c r="AC16" s="134"/>
      <c r="AD16" s="134"/>
      <c r="AE16" s="134"/>
      <c r="AF16" s="134"/>
      <c r="AG16" s="135"/>
      <c r="AH16" s="17"/>
      <c r="AI16" s="17"/>
      <c r="AJ16" s="17"/>
      <c r="AK16" s="17"/>
    </row>
    <row r="17" spans="1:37" s="18" customFormat="1" x14ac:dyDescent="0.25">
      <c r="C17" s="17"/>
      <c r="D17" s="17"/>
      <c r="E17" s="17"/>
      <c r="F17" s="17"/>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row>
    <row r="18" spans="1:37" s="18" customFormat="1" x14ac:dyDescent="0.25">
      <c r="C18" s="17"/>
      <c r="D18" s="17"/>
      <c r="E18" s="17"/>
      <c r="F18" s="17"/>
      <c r="G18" s="17"/>
      <c r="H18" s="17"/>
      <c r="I18" s="17"/>
      <c r="J18" s="17"/>
      <c r="K18" s="17"/>
      <c r="L18" s="17"/>
      <c r="M18" s="17"/>
      <c r="N18" s="17"/>
      <c r="O18" s="17"/>
      <c r="P18" s="17"/>
      <c r="Q18" s="17"/>
      <c r="R18" s="17"/>
      <c r="S18" s="17"/>
      <c r="T18" s="17"/>
      <c r="U18" s="17"/>
      <c r="V18" s="17"/>
      <c r="W18" s="17"/>
      <c r="X18" s="17"/>
      <c r="Y18" s="17"/>
      <c r="Z18" s="17"/>
      <c r="AA18" s="17"/>
      <c r="AB18" s="17"/>
      <c r="AC18" s="17"/>
      <c r="AD18" s="17"/>
      <c r="AE18" s="17"/>
      <c r="AF18" s="17"/>
      <c r="AG18" s="17"/>
      <c r="AH18" s="17"/>
      <c r="AI18" s="17"/>
      <c r="AJ18" s="17"/>
      <c r="AK18" s="17"/>
    </row>
    <row r="19" spans="1:37" s="18" customFormat="1" x14ac:dyDescent="0.25">
      <c r="C19" s="17"/>
      <c r="D19" s="17"/>
      <c r="E19" s="17"/>
      <c r="F19" s="17"/>
      <c r="G19" s="17"/>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c r="AI19" s="17"/>
      <c r="AJ19" s="17"/>
      <c r="AK19" s="17"/>
    </row>
    <row r="20" spans="1:37" s="18" customFormat="1" x14ac:dyDescent="0.25">
      <c r="C20" s="17"/>
      <c r="D20" s="17"/>
      <c r="E20" s="17"/>
      <c r="F20" s="17"/>
      <c r="G20" s="17"/>
      <c r="H20" s="17"/>
      <c r="I20" s="17"/>
      <c r="J20" s="17"/>
      <c r="K20" s="17"/>
      <c r="L20" s="17"/>
      <c r="M20" s="17"/>
      <c r="N20" s="17"/>
      <c r="O20" s="17"/>
      <c r="P20" s="17"/>
      <c r="Q20" s="17"/>
      <c r="R20" s="17"/>
      <c r="S20" s="17"/>
      <c r="T20" s="17"/>
      <c r="U20" s="17"/>
      <c r="V20" s="17"/>
      <c r="W20" s="17"/>
      <c r="X20" s="17"/>
      <c r="Y20" s="17"/>
      <c r="Z20" s="17"/>
      <c r="AA20" s="17"/>
      <c r="AB20" s="17"/>
      <c r="AC20" s="17"/>
      <c r="AD20" s="17"/>
      <c r="AE20" s="17"/>
      <c r="AF20" s="17"/>
      <c r="AG20" s="17"/>
      <c r="AH20" s="17"/>
      <c r="AI20" s="17"/>
      <c r="AJ20" s="17"/>
      <c r="AK20" s="17"/>
    </row>
    <row r="21" spans="1:37" s="18" customFormat="1" ht="15.75" customHeight="1" x14ac:dyDescent="0.25">
      <c r="C21" s="17"/>
      <c r="D21" s="17"/>
      <c r="E21" s="17"/>
      <c r="F21" s="17"/>
      <c r="G21" s="17"/>
      <c r="H21" s="17"/>
      <c r="I21" s="17"/>
      <c r="J21" s="17"/>
      <c r="K21" s="17"/>
      <c r="L21" s="17"/>
      <c r="M21" s="17"/>
      <c r="N21" s="17"/>
      <c r="O21" s="17"/>
      <c r="P21" s="17"/>
      <c r="Q21" s="57"/>
      <c r="R21" s="17"/>
      <c r="S21" s="17"/>
      <c r="T21" s="17"/>
      <c r="U21" s="17"/>
      <c r="V21" s="17"/>
      <c r="W21" s="17"/>
      <c r="X21" s="17"/>
      <c r="Y21" s="17"/>
      <c r="Z21" s="17"/>
      <c r="AA21" s="17"/>
      <c r="AB21" s="17"/>
      <c r="AC21" s="17"/>
      <c r="AD21" s="17"/>
      <c r="AE21" s="17"/>
      <c r="AF21" s="17"/>
      <c r="AG21" s="17"/>
      <c r="AH21" s="17"/>
      <c r="AI21" s="17"/>
      <c r="AJ21" s="17"/>
      <c r="AK21" s="17"/>
    </row>
    <row r="22" spans="1:37" s="18" customFormat="1" ht="12" customHeight="1" x14ac:dyDescent="0.25">
      <c r="C22" s="17"/>
      <c r="D22" s="17"/>
      <c r="E22" s="17"/>
      <c r="F22" s="17"/>
      <c r="G22" s="17"/>
      <c r="H22" s="17"/>
      <c r="I22" s="17"/>
      <c r="J22" s="17"/>
      <c r="K22" s="17"/>
      <c r="L22" s="17"/>
      <c r="M22" s="17"/>
      <c r="N22" s="17"/>
      <c r="O22" s="17"/>
      <c r="P22" s="17"/>
      <c r="Q22" s="57"/>
      <c r="R22" s="17"/>
      <c r="S22" s="17"/>
      <c r="T22" s="17"/>
      <c r="U22" s="17"/>
      <c r="V22" s="17"/>
      <c r="W22" s="17"/>
      <c r="X22" s="17"/>
      <c r="Y22" s="17"/>
      <c r="Z22" s="17"/>
      <c r="AA22" s="17"/>
      <c r="AB22" s="17"/>
      <c r="AC22" s="17"/>
      <c r="AD22" s="17"/>
      <c r="AE22" s="17"/>
      <c r="AF22" s="17"/>
      <c r="AG22" s="17"/>
      <c r="AH22" s="17"/>
      <c r="AI22" s="17"/>
      <c r="AJ22" s="17"/>
      <c r="AK22" s="17"/>
    </row>
    <row r="23" spans="1:37" s="18" customFormat="1" ht="60" customHeight="1" x14ac:dyDescent="0.25">
      <c r="A23" s="120" t="str">
        <f>MXTitle</f>
        <v>ERH - Software Integration Test Specification Report.xls</v>
      </c>
      <c r="B23" s="121"/>
      <c r="C23" s="121"/>
      <c r="D23" s="121"/>
      <c r="E23" s="121"/>
      <c r="F23" s="121"/>
      <c r="G23" s="121"/>
      <c r="H23" s="121"/>
      <c r="I23" s="121"/>
      <c r="J23" s="121"/>
      <c r="K23" s="121"/>
      <c r="L23" s="121"/>
      <c r="M23" s="121"/>
      <c r="N23" s="121"/>
      <c r="O23" s="121"/>
      <c r="P23" s="121"/>
      <c r="Q23" s="121"/>
      <c r="R23" s="121"/>
      <c r="S23" s="121"/>
      <c r="T23" s="121"/>
      <c r="U23" s="121"/>
      <c r="V23" s="121"/>
      <c r="W23" s="121"/>
      <c r="X23" s="121"/>
      <c r="Y23" s="121"/>
      <c r="Z23" s="121"/>
      <c r="AA23" s="121"/>
      <c r="AB23" s="121"/>
      <c r="AC23" s="121"/>
      <c r="AD23" s="121"/>
      <c r="AE23" s="121"/>
      <c r="AF23" s="121"/>
      <c r="AG23" s="121"/>
      <c r="AH23" s="17"/>
      <c r="AI23" s="17"/>
      <c r="AJ23" s="17"/>
      <c r="AK23" s="17"/>
    </row>
    <row r="24" spans="1:37" s="18" customFormat="1" ht="24.6" x14ac:dyDescent="0.25">
      <c r="C24" s="17"/>
      <c r="D24" s="17"/>
      <c r="E24" s="17"/>
      <c r="F24" s="17"/>
      <c r="G24" s="17"/>
      <c r="H24" s="17"/>
      <c r="I24" s="17"/>
      <c r="J24" s="17"/>
      <c r="K24" s="17"/>
      <c r="L24" s="17"/>
      <c r="M24" s="17"/>
      <c r="N24" s="17"/>
      <c r="O24" s="17"/>
      <c r="P24" s="17"/>
      <c r="Q24" s="57"/>
      <c r="R24" s="17"/>
      <c r="S24" s="17"/>
      <c r="T24" s="17"/>
      <c r="U24" s="17"/>
      <c r="V24" s="17"/>
      <c r="W24" s="17"/>
      <c r="X24" s="17"/>
      <c r="Y24" s="17"/>
      <c r="Z24" s="17"/>
      <c r="AA24" s="17"/>
      <c r="AB24" s="17"/>
      <c r="AC24" s="17"/>
      <c r="AD24" s="17"/>
      <c r="AE24" s="17"/>
      <c r="AF24" s="17"/>
      <c r="AG24" s="17"/>
      <c r="AH24" s="17"/>
      <c r="AI24" s="17"/>
      <c r="AJ24" s="17"/>
      <c r="AK24" s="17"/>
    </row>
    <row r="25" spans="1:37" s="18" customFormat="1" x14ac:dyDescent="0.25">
      <c r="C25" s="17"/>
      <c r="D25" s="17"/>
      <c r="E25" s="17"/>
      <c r="F25" s="17"/>
      <c r="G25" s="17"/>
      <c r="H25" s="17"/>
      <c r="I25" s="17"/>
      <c r="J25" s="17"/>
      <c r="K25" s="17"/>
      <c r="L25" s="17"/>
      <c r="M25" s="17"/>
      <c r="N25" s="17"/>
      <c r="O25" s="17"/>
      <c r="P25" s="17"/>
      <c r="Q25" s="17"/>
      <c r="R25" s="17"/>
      <c r="S25" s="17"/>
      <c r="T25" s="17"/>
      <c r="U25" s="17"/>
      <c r="V25" s="17"/>
      <c r="W25" s="17"/>
      <c r="X25" s="17"/>
      <c r="Y25" s="17"/>
      <c r="Z25" s="17"/>
      <c r="AA25" s="17"/>
      <c r="AB25" s="17"/>
      <c r="AC25" s="17"/>
      <c r="AD25" s="17"/>
      <c r="AE25" s="17"/>
      <c r="AF25" s="17"/>
      <c r="AG25" s="17"/>
      <c r="AH25" s="17"/>
      <c r="AI25" s="17"/>
      <c r="AJ25" s="17"/>
      <c r="AK25" s="17"/>
    </row>
    <row r="26" spans="1:37" x14ac:dyDescent="0.25"/>
  </sheetData>
  <sheetProtection formatCells="0" formatRows="0" insertColumns="0" insertRows="0" insertHyperlinks="0" deleteRows="0" selectLockedCells="1" sort="0" autoFilter="0" pivotTables="0"/>
  <dataConsolidate/>
  <mergeCells count="31">
    <mergeCell ref="A5:V5"/>
    <mergeCell ref="A7:D7"/>
    <mergeCell ref="A12:AG12"/>
    <mergeCell ref="A4:V4"/>
    <mergeCell ref="A10:E10"/>
    <mergeCell ref="L9:V9"/>
    <mergeCell ref="W9:AG9"/>
    <mergeCell ref="L10:V10"/>
    <mergeCell ref="AE7:AG7"/>
    <mergeCell ref="A6:D6"/>
    <mergeCell ref="AB4:AG4"/>
    <mergeCell ref="AB5:AG5"/>
    <mergeCell ref="W4:AA4"/>
    <mergeCell ref="W5:AA5"/>
    <mergeCell ref="W6:AA6"/>
    <mergeCell ref="E6:V6"/>
    <mergeCell ref="AB6:AD6"/>
    <mergeCell ref="AE6:AG6"/>
    <mergeCell ref="W7:AA7"/>
    <mergeCell ref="L13:V13"/>
    <mergeCell ref="A23:AG23"/>
    <mergeCell ref="A13:K13"/>
    <mergeCell ref="AB7:AD7"/>
    <mergeCell ref="A9:K9"/>
    <mergeCell ref="W13:AG13"/>
    <mergeCell ref="E15:AG15"/>
    <mergeCell ref="E7:V7"/>
    <mergeCell ref="A15:D16"/>
    <mergeCell ref="E16:AG16"/>
    <mergeCell ref="W10:AG10"/>
    <mergeCell ref="F10:K10"/>
  </mergeCells>
  <phoneticPr fontId="3" type="noConversion"/>
  <conditionalFormatting sqref="W5:AA5">
    <cfRule type="cellIs" dxfId="135" priority="1" operator="equal">
      <formula>"In-Work"</formula>
    </cfRule>
    <cfRule type="cellIs" dxfId="134" priority="2" stopIfTrue="1" operator="equal">
      <formula>"draft"</formula>
    </cfRule>
    <cfRule type="cellIs" dxfId="133" priority="3" operator="equal">
      <formula>"In-Work"</formula>
    </cfRule>
    <cfRule type="cellIs" dxfId="132" priority="4" stopIfTrue="1" operator="equal">
      <formula>"draft"</formula>
    </cfRule>
    <cfRule type="cellIs" dxfId="131" priority="5" operator="equal">
      <formula>"In-Work"</formula>
    </cfRule>
    <cfRule type="cellIs" dxfId="130" priority="6" stopIfTrue="1" operator="equal">
      <formula>"draft"</formula>
    </cfRule>
    <cfRule type="cellIs" dxfId="129" priority="7" operator="equal">
      <formula>"In-Work"</formula>
    </cfRule>
    <cfRule type="cellIs" dxfId="128" priority="8" stopIfTrue="1" operator="equal">
      <formula>"draft"</formula>
    </cfRule>
    <cfRule type="cellIs" dxfId="127" priority="9" operator="equal">
      <formula>"In-Work"</formula>
    </cfRule>
    <cfRule type="cellIs" dxfId="126" priority="10" stopIfTrue="1" operator="equal">
      <formula>"draft"</formula>
    </cfRule>
    <cfRule type="cellIs" dxfId="125" priority="11" operator="equal">
      <formula>"In-Work"</formula>
    </cfRule>
    <cfRule type="cellIs" dxfId="124" priority="12" stopIfTrue="1" operator="equal">
      <formula>"draft"</formula>
    </cfRule>
    <cfRule type="cellIs" dxfId="123" priority="13" operator="equal">
      <formula>"In-Work"</formula>
    </cfRule>
    <cfRule type="cellIs" dxfId="122" priority="14" stopIfTrue="1" operator="equal">
      <formula>"draft"</formula>
    </cfRule>
    <cfRule type="cellIs" dxfId="121" priority="15" operator="equal">
      <formula>"In-Work"</formula>
    </cfRule>
    <cfRule type="cellIs" dxfId="120" priority="16" stopIfTrue="1" operator="equal">
      <formula>"draft"</formula>
    </cfRule>
    <cfRule type="cellIs" dxfId="119" priority="17" operator="equal">
      <formula>"In-Work"</formula>
    </cfRule>
    <cfRule type="cellIs" dxfId="118" priority="18" stopIfTrue="1" operator="equal">
      <formula>"draft"</formula>
    </cfRule>
    <cfRule type="cellIs" dxfId="117" priority="19" operator="equal">
      <formula>"In-Work"</formula>
    </cfRule>
    <cfRule type="cellIs" dxfId="116" priority="20" stopIfTrue="1" operator="equal">
      <formula>"draft"</formula>
    </cfRule>
    <cfRule type="cellIs" dxfId="115" priority="21" operator="equal">
      <formula>"In-Work"</formula>
    </cfRule>
    <cfRule type="cellIs" dxfId="114" priority="22" stopIfTrue="1" operator="equal">
      <formula>"draft"</formula>
    </cfRule>
    <cfRule type="cellIs" dxfId="113" priority="23" operator="equal">
      <formula>"In-Work"</formula>
    </cfRule>
    <cfRule type="cellIs" dxfId="112" priority="24" stopIfTrue="1" operator="equal">
      <formula>"draft"</formula>
    </cfRule>
    <cfRule type="cellIs" dxfId="111" priority="25" operator="equal">
      <formula>"In-Work"</formula>
    </cfRule>
    <cfRule type="cellIs" dxfId="110" priority="26" stopIfTrue="1" operator="equal">
      <formula>"draft"</formula>
    </cfRule>
    <cfRule type="cellIs" dxfId="109" priority="27" operator="equal">
      <formula>"In-Work"</formula>
    </cfRule>
    <cfRule type="cellIs" dxfId="108" priority="28" stopIfTrue="1" operator="equal">
      <formula>"draft"</formula>
    </cfRule>
    <cfRule type="cellIs" dxfId="107" priority="29" operator="equal">
      <formula>"In-Work"</formula>
    </cfRule>
    <cfRule type="cellIs" dxfId="106" priority="30" stopIfTrue="1" operator="equal">
      <formula>"draft"</formula>
    </cfRule>
    <cfRule type="cellIs" dxfId="105" priority="31" operator="equal">
      <formula>"In-Work"</formula>
    </cfRule>
    <cfRule type="cellIs" dxfId="104" priority="32" stopIfTrue="1" operator="equal">
      <formula>"draft"</formula>
    </cfRule>
    <cfRule type="cellIs" dxfId="103" priority="33" operator="equal">
      <formula>"In-Work"</formula>
    </cfRule>
    <cfRule type="cellIs" dxfId="102" priority="34" stopIfTrue="1" operator="equal">
      <formula>"draft"</formula>
    </cfRule>
    <cfRule type="cellIs" dxfId="101" priority="35" operator="equal">
      <formula>"In-Work"</formula>
    </cfRule>
    <cfRule type="cellIs" dxfId="100" priority="36" stopIfTrue="1" operator="equal">
      <formula>"draft"</formula>
    </cfRule>
  </conditionalFormatting>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1&amp;R&amp;P</oddFooter>
  </headerFooter>
  <ignoredErrors>
    <ignoredError sqref="B23:IV23" unlockedFormula="1"/>
    <ignoredError sqref="AD3" evalError="1"/>
  </ignoredError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173"/>
  <sheetViews>
    <sheetView showGridLines="0" zoomScaleNormal="100" workbookViewId="0">
      <selection activeCell="R31" sqref="R31"/>
    </sheetView>
  </sheetViews>
  <sheetFormatPr defaultColWidth="0" defaultRowHeight="13.2" zeroHeight="1" x14ac:dyDescent="0.25"/>
  <cols>
    <col min="1" max="33" width="2.6640625" style="16" customWidth="1"/>
    <col min="34" max="34" width="1.33203125" style="16" customWidth="1"/>
    <col min="35" max="60" width="3.33203125" style="16" hidden="1" customWidth="1"/>
    <col min="61" max="16384" width="0" style="16" hidden="1"/>
  </cols>
  <sheetData>
    <row r="1" spans="1:37" s="1" customFormat="1" x14ac:dyDescent="0.25">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5">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5">
      <c r="C3" s="8"/>
      <c r="D3" s="8"/>
      <c r="E3" s="8"/>
      <c r="F3" s="8"/>
      <c r="G3" s="8"/>
      <c r="H3" s="8"/>
      <c r="I3" s="8"/>
      <c r="J3" s="8"/>
      <c r="K3" s="8"/>
      <c r="L3" s="8"/>
      <c r="M3" s="8"/>
      <c r="N3" s="8"/>
      <c r="O3" s="8"/>
      <c r="P3" s="8"/>
      <c r="Q3" s="8"/>
      <c r="R3" s="8"/>
      <c r="S3" s="8"/>
      <c r="T3" s="8"/>
      <c r="U3" s="8"/>
      <c r="V3" s="8"/>
      <c r="W3" s="8"/>
      <c r="X3" s="8"/>
      <c r="Y3" s="8"/>
      <c r="Z3" s="8"/>
      <c r="AA3" s="8"/>
      <c r="AB3" s="8"/>
      <c r="AC3" s="8"/>
      <c r="AD3" s="9" t="str">
        <f ca="1">FileName</f>
        <v>ERH - Software Integration Test Specification Report.xlsm</v>
      </c>
      <c r="AE3" s="8"/>
      <c r="AF3" s="8"/>
      <c r="AG3" s="8"/>
      <c r="AH3" s="8"/>
      <c r="AI3" s="8"/>
      <c r="AJ3" s="8"/>
      <c r="AK3" s="8"/>
    </row>
    <row r="4" spans="1:37" s="7" customFormat="1" ht="11.1" customHeight="1" x14ac:dyDescent="0.25">
      <c r="A4" s="141" t="s">
        <v>0</v>
      </c>
      <c r="B4" s="142"/>
      <c r="C4" s="142"/>
      <c r="D4" s="142"/>
      <c r="E4" s="142"/>
      <c r="F4" s="142"/>
      <c r="G4" s="142"/>
      <c r="H4" s="142"/>
      <c r="I4" s="142"/>
      <c r="J4" s="142"/>
      <c r="K4" s="142"/>
      <c r="L4" s="142"/>
      <c r="M4" s="142"/>
      <c r="N4" s="142"/>
      <c r="O4" s="142"/>
      <c r="P4" s="142"/>
      <c r="Q4" s="142"/>
      <c r="R4" s="142"/>
      <c r="S4" s="142"/>
      <c r="T4" s="142"/>
      <c r="U4" s="142"/>
      <c r="V4" s="143"/>
      <c r="W4" s="157" t="s">
        <v>1</v>
      </c>
      <c r="X4" s="158"/>
      <c r="Y4" s="158"/>
      <c r="Z4" s="158"/>
      <c r="AA4" s="159"/>
      <c r="AB4" s="150" t="s">
        <v>19</v>
      </c>
      <c r="AC4" s="151"/>
      <c r="AD4" s="151"/>
      <c r="AE4" s="151"/>
      <c r="AF4" s="151"/>
      <c r="AG4" s="152"/>
      <c r="AH4" s="10"/>
      <c r="AI4" s="10"/>
      <c r="AJ4" s="10"/>
      <c r="AK4" s="8"/>
    </row>
    <row r="5" spans="1:37" s="12" customFormat="1" x14ac:dyDescent="0.25">
      <c r="A5" s="114" t="s">
        <v>123</v>
      </c>
      <c r="B5" s="115"/>
      <c r="C5" s="115"/>
      <c r="D5" s="115"/>
      <c r="E5" s="115"/>
      <c r="F5" s="115"/>
      <c r="G5" s="115"/>
      <c r="H5" s="115"/>
      <c r="I5" s="115"/>
      <c r="J5" s="115"/>
      <c r="K5" s="115"/>
      <c r="L5" s="115"/>
      <c r="M5" s="115"/>
      <c r="N5" s="115"/>
      <c r="O5" s="115"/>
      <c r="P5" s="115"/>
      <c r="Q5" s="115"/>
      <c r="R5" s="115"/>
      <c r="S5" s="115"/>
      <c r="T5" s="115"/>
      <c r="U5" s="115"/>
      <c r="V5" s="116"/>
      <c r="W5" s="166" t="str">
        <f>MXCurrent.Localized</f>
        <v>Initial revision</v>
      </c>
      <c r="X5" s="167"/>
      <c r="Y5" s="167"/>
      <c r="Z5" s="167"/>
      <c r="AA5" s="168"/>
      <c r="AB5" s="114" t="str">
        <f>MXActual_state_Released</f>
        <v>06.09.2022</v>
      </c>
      <c r="AC5" s="115"/>
      <c r="AD5" s="115"/>
      <c r="AE5" s="115"/>
      <c r="AF5" s="115"/>
      <c r="AG5" s="116"/>
      <c r="AH5" s="11"/>
      <c r="AI5" s="11"/>
      <c r="AJ5" s="11"/>
      <c r="AK5" s="11"/>
    </row>
    <row r="6" spans="1:37" s="1" customFormat="1" ht="11.1" customHeight="1" x14ac:dyDescent="0.25">
      <c r="A6" s="163" t="s">
        <v>2</v>
      </c>
      <c r="B6" s="164"/>
      <c r="C6" s="164"/>
      <c r="D6" s="165"/>
      <c r="E6" s="163" t="s">
        <v>3</v>
      </c>
      <c r="F6" s="164"/>
      <c r="G6" s="164"/>
      <c r="H6" s="164"/>
      <c r="I6" s="164"/>
      <c r="J6" s="164"/>
      <c r="K6" s="164"/>
      <c r="L6" s="164"/>
      <c r="M6" s="164"/>
      <c r="N6" s="164"/>
      <c r="O6" s="164"/>
      <c r="P6" s="164"/>
      <c r="Q6" s="164"/>
      <c r="R6" s="164"/>
      <c r="S6" s="164"/>
      <c r="T6" s="164"/>
      <c r="U6" s="164"/>
      <c r="V6" s="165"/>
      <c r="W6" s="141" t="s">
        <v>14</v>
      </c>
      <c r="X6" s="142"/>
      <c r="Y6" s="142"/>
      <c r="Z6" s="142"/>
      <c r="AA6" s="143"/>
      <c r="AB6" s="157"/>
      <c r="AC6" s="158"/>
      <c r="AD6" s="159"/>
      <c r="AE6" s="157" t="s">
        <v>4</v>
      </c>
      <c r="AF6" s="158"/>
      <c r="AG6" s="159"/>
      <c r="AH6" s="6"/>
      <c r="AI6" s="6"/>
      <c r="AJ6" s="6"/>
      <c r="AK6" s="6"/>
    </row>
    <row r="7" spans="1:37" s="14" customFormat="1" x14ac:dyDescent="0.25">
      <c r="A7" s="166" t="str">
        <f>MXName</f>
        <v>NA</v>
      </c>
      <c r="B7" s="167"/>
      <c r="C7" s="167"/>
      <c r="D7" s="168"/>
      <c r="E7" s="166" t="str">
        <f>MXTitle</f>
        <v>ERH - Software Integration Test Specification Report.xls</v>
      </c>
      <c r="F7" s="167"/>
      <c r="G7" s="167"/>
      <c r="H7" s="167"/>
      <c r="I7" s="167"/>
      <c r="J7" s="167"/>
      <c r="K7" s="167"/>
      <c r="L7" s="167"/>
      <c r="M7" s="167"/>
      <c r="N7" s="167"/>
      <c r="O7" s="167"/>
      <c r="P7" s="167"/>
      <c r="Q7" s="167"/>
      <c r="R7" s="167"/>
      <c r="S7" s="167"/>
      <c r="T7" s="167"/>
      <c r="U7" s="167"/>
      <c r="V7" s="168"/>
      <c r="W7" s="166" t="str">
        <f ca="1">TemplateRef</f>
        <v>SW04TEM001</v>
      </c>
      <c r="X7" s="167"/>
      <c r="Y7" s="167"/>
      <c r="Z7" s="167"/>
      <c r="AA7" s="168"/>
      <c r="AB7" s="166"/>
      <c r="AC7" s="167"/>
      <c r="AD7" s="168"/>
      <c r="AE7" s="160">
        <v>1</v>
      </c>
      <c r="AF7" s="161"/>
      <c r="AG7" s="162"/>
      <c r="AH7" s="13"/>
      <c r="AI7" s="13"/>
      <c r="AJ7" s="13"/>
      <c r="AK7" s="13"/>
    </row>
    <row r="8" spans="1:37" ht="11.1" customHeight="1" x14ac:dyDescent="0.25">
      <c r="A8" s="163"/>
      <c r="B8" s="164"/>
      <c r="C8" s="164"/>
      <c r="D8" s="164"/>
      <c r="E8" s="164"/>
      <c r="F8" s="164"/>
      <c r="G8" s="164"/>
      <c r="H8" s="164"/>
      <c r="I8" s="164"/>
      <c r="J8" s="164"/>
      <c r="K8" s="164"/>
      <c r="L8" s="164"/>
      <c r="M8" s="164"/>
      <c r="N8" s="164"/>
      <c r="O8" s="164"/>
      <c r="P8" s="164"/>
      <c r="Q8" s="164"/>
      <c r="R8" s="164"/>
      <c r="S8" s="164"/>
      <c r="T8" s="164"/>
      <c r="U8" s="164"/>
      <c r="V8" s="164"/>
      <c r="W8" s="164"/>
      <c r="X8" s="164"/>
      <c r="Y8" s="164"/>
      <c r="Z8" s="164"/>
      <c r="AA8" s="164"/>
      <c r="AB8" s="164"/>
      <c r="AC8" s="164"/>
      <c r="AD8" s="164"/>
      <c r="AE8" s="164"/>
      <c r="AF8" s="164"/>
      <c r="AG8" s="165"/>
      <c r="AH8" s="15"/>
      <c r="AI8" s="15"/>
      <c r="AJ8" s="15"/>
      <c r="AK8" s="15"/>
    </row>
    <row r="9" spans="1:37" s="18" customFormat="1" x14ac:dyDescent="0.25">
      <c r="A9" s="173" t="s">
        <v>13</v>
      </c>
      <c r="B9" s="174"/>
      <c r="C9" s="174"/>
      <c r="D9" s="174"/>
      <c r="E9" s="174"/>
      <c r="F9" s="174"/>
      <c r="G9" s="174"/>
      <c r="H9" s="174"/>
      <c r="I9" s="174"/>
      <c r="J9" s="174"/>
      <c r="K9" s="174"/>
      <c r="L9" s="174"/>
      <c r="M9" s="174"/>
      <c r="N9" s="174"/>
      <c r="O9" s="174"/>
      <c r="P9" s="174"/>
      <c r="Q9" s="174"/>
      <c r="R9" s="174"/>
      <c r="S9" s="174"/>
      <c r="T9" s="174"/>
      <c r="U9" s="174"/>
      <c r="V9" s="174"/>
      <c r="W9" s="174"/>
      <c r="X9" s="174"/>
      <c r="Y9" s="174"/>
      <c r="Z9" s="174"/>
      <c r="AA9" s="174"/>
      <c r="AB9" s="174"/>
      <c r="AC9" s="174"/>
      <c r="AD9" s="174"/>
      <c r="AE9" s="174"/>
      <c r="AF9" s="174"/>
      <c r="AG9" s="175"/>
      <c r="AH9" s="17"/>
      <c r="AI9" s="17"/>
      <c r="AJ9" s="17"/>
    </row>
    <row r="10" spans="1:37" x14ac:dyDescent="0.25"/>
    <row r="11" spans="1:37" x14ac:dyDescent="0.25"/>
    <row r="12" spans="1:37" ht="24.6" x14ac:dyDescent="0.25">
      <c r="B12" s="19" t="s">
        <v>15</v>
      </c>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1:37" x14ac:dyDescent="0.25"/>
    <row r="14" spans="1:37" ht="20.399999999999999" x14ac:dyDescent="0.25">
      <c r="B14" s="21" t="s">
        <v>16</v>
      </c>
      <c r="C14" s="22"/>
    </row>
    <row r="15" spans="1:37" x14ac:dyDescent="0.25">
      <c r="B15" s="153" t="s">
        <v>6</v>
      </c>
      <c r="C15" s="169"/>
      <c r="D15" s="169"/>
      <c r="E15" s="169"/>
      <c r="F15" s="169"/>
      <c r="G15" s="153" t="s">
        <v>5</v>
      </c>
      <c r="H15" s="153"/>
      <c r="I15" s="153"/>
      <c r="J15" s="153"/>
      <c r="K15" s="153"/>
      <c r="L15" s="153"/>
      <c r="M15" s="153"/>
      <c r="N15" s="153"/>
      <c r="O15" s="153"/>
      <c r="P15" s="153"/>
      <c r="Q15" s="153"/>
      <c r="R15" s="153"/>
      <c r="S15" s="153"/>
      <c r="T15" s="153"/>
      <c r="U15" s="153"/>
      <c r="V15" s="153"/>
      <c r="W15" s="153"/>
      <c r="X15" s="153"/>
      <c r="Y15" s="153"/>
      <c r="Z15" s="153"/>
      <c r="AA15" s="153"/>
      <c r="AB15" s="153"/>
      <c r="AC15" s="153"/>
      <c r="AD15" s="153"/>
      <c r="AE15" s="153"/>
      <c r="AF15" s="153"/>
    </row>
    <row r="16" spans="1:37" ht="24" customHeight="1" x14ac:dyDescent="0.25">
      <c r="B16" s="171" t="s">
        <v>33</v>
      </c>
      <c r="C16" s="171"/>
      <c r="D16" s="171"/>
      <c r="E16" s="171"/>
      <c r="F16" s="171"/>
      <c r="G16" s="155" t="s">
        <v>35</v>
      </c>
      <c r="H16" s="155"/>
      <c r="I16" s="155"/>
      <c r="J16" s="155"/>
      <c r="K16" s="155"/>
      <c r="L16" s="155"/>
      <c r="M16" s="155"/>
      <c r="N16" s="155"/>
      <c r="O16" s="155"/>
      <c r="P16" s="155"/>
      <c r="Q16" s="155"/>
      <c r="R16" s="155"/>
      <c r="S16" s="155"/>
      <c r="T16" s="155"/>
      <c r="U16" s="155"/>
      <c r="V16" s="155"/>
      <c r="W16" s="155"/>
      <c r="X16" s="155"/>
      <c r="Y16" s="155"/>
      <c r="Z16" s="155"/>
      <c r="AA16" s="155"/>
      <c r="AB16" s="155"/>
      <c r="AC16" s="155"/>
      <c r="AD16" s="155"/>
      <c r="AE16" s="155"/>
      <c r="AF16" s="155"/>
    </row>
    <row r="17" spans="1:45" ht="24" customHeight="1" x14ac:dyDescent="0.25">
      <c r="B17" s="171" t="s">
        <v>34</v>
      </c>
      <c r="C17" s="171"/>
      <c r="D17" s="171"/>
      <c r="E17" s="171"/>
      <c r="F17" s="171"/>
      <c r="G17" s="172" t="s">
        <v>116</v>
      </c>
      <c r="H17" s="155"/>
      <c r="I17" s="155"/>
      <c r="J17" s="155"/>
      <c r="K17" s="155"/>
      <c r="L17" s="155"/>
      <c r="M17" s="155"/>
      <c r="N17" s="155"/>
      <c r="O17" s="155"/>
      <c r="P17" s="155"/>
      <c r="Q17" s="155"/>
      <c r="R17" s="155"/>
      <c r="S17" s="155"/>
      <c r="T17" s="155"/>
      <c r="U17" s="155"/>
      <c r="V17" s="155"/>
      <c r="W17" s="155"/>
      <c r="X17" s="155"/>
      <c r="Y17" s="155"/>
      <c r="Z17" s="155"/>
      <c r="AA17" s="155"/>
      <c r="AB17" s="155"/>
      <c r="AC17" s="155"/>
      <c r="AD17" s="155"/>
      <c r="AE17" s="155"/>
      <c r="AF17" s="155"/>
    </row>
    <row r="18" spans="1:45" ht="24" customHeight="1" x14ac:dyDescent="0.25">
      <c r="B18" s="170" t="s">
        <v>111</v>
      </c>
      <c r="C18" s="171"/>
      <c r="D18" s="171"/>
      <c r="E18" s="171"/>
      <c r="F18" s="171"/>
      <c r="G18" s="172" t="s">
        <v>122</v>
      </c>
      <c r="H18" s="155"/>
      <c r="I18" s="155"/>
      <c r="J18" s="155"/>
      <c r="K18" s="155"/>
      <c r="L18" s="155"/>
      <c r="M18" s="155"/>
      <c r="N18" s="155"/>
      <c r="O18" s="155"/>
      <c r="P18" s="155"/>
      <c r="Q18" s="155"/>
      <c r="R18" s="155"/>
      <c r="S18" s="155"/>
      <c r="T18" s="155"/>
      <c r="U18" s="155"/>
      <c r="V18" s="155"/>
      <c r="W18" s="155"/>
      <c r="X18" s="155"/>
      <c r="Y18" s="155"/>
      <c r="Z18" s="155"/>
      <c r="AA18" s="155"/>
      <c r="AB18" s="155"/>
      <c r="AC18" s="155"/>
      <c r="AD18" s="155"/>
      <c r="AE18" s="155"/>
      <c r="AF18" s="155"/>
    </row>
    <row r="19" spans="1:45" ht="24" customHeight="1" x14ac:dyDescent="0.25">
      <c r="B19" s="170" t="s">
        <v>112</v>
      </c>
      <c r="C19" s="171"/>
      <c r="D19" s="171"/>
      <c r="E19" s="171"/>
      <c r="F19" s="171"/>
      <c r="G19" s="172" t="s">
        <v>118</v>
      </c>
      <c r="H19" s="155"/>
      <c r="I19" s="155"/>
      <c r="J19" s="155"/>
      <c r="K19" s="155"/>
      <c r="L19" s="155"/>
      <c r="M19" s="155"/>
      <c r="N19" s="155"/>
      <c r="O19" s="155"/>
      <c r="P19" s="155"/>
      <c r="Q19" s="155"/>
      <c r="R19" s="155"/>
      <c r="S19" s="155"/>
      <c r="T19" s="155"/>
      <c r="U19" s="155"/>
      <c r="V19" s="155"/>
      <c r="W19" s="155"/>
      <c r="X19" s="155"/>
      <c r="Y19" s="155"/>
      <c r="Z19" s="155"/>
      <c r="AA19" s="155"/>
      <c r="AB19" s="155"/>
      <c r="AC19" s="155"/>
      <c r="AD19" s="155"/>
      <c r="AE19" s="155"/>
      <c r="AF19" s="155"/>
      <c r="AS19" s="23"/>
    </row>
    <row r="20" spans="1:45" ht="24" customHeight="1" x14ac:dyDescent="0.25">
      <c r="B20" s="170" t="s">
        <v>44</v>
      </c>
      <c r="C20" s="171"/>
      <c r="D20" s="171"/>
      <c r="E20" s="171"/>
      <c r="F20" s="171"/>
      <c r="G20" s="172" t="s">
        <v>119</v>
      </c>
      <c r="H20" s="155"/>
      <c r="I20" s="155"/>
      <c r="J20" s="155"/>
      <c r="K20" s="155"/>
      <c r="L20" s="155"/>
      <c r="M20" s="155"/>
      <c r="N20" s="155"/>
      <c r="O20" s="155"/>
      <c r="P20" s="155"/>
      <c r="Q20" s="155"/>
      <c r="R20" s="155"/>
      <c r="S20" s="155"/>
      <c r="T20" s="155"/>
      <c r="U20" s="155"/>
      <c r="V20" s="155"/>
      <c r="W20" s="155"/>
      <c r="X20" s="155"/>
      <c r="Y20" s="155"/>
      <c r="Z20" s="155"/>
      <c r="AA20" s="155"/>
      <c r="AB20" s="155"/>
      <c r="AC20" s="155"/>
      <c r="AD20" s="155"/>
      <c r="AE20" s="155"/>
      <c r="AF20" s="155"/>
      <c r="AS20" s="23"/>
    </row>
    <row r="21" spans="1:45" ht="24" customHeight="1" x14ac:dyDescent="0.25">
      <c r="B21" s="170" t="s">
        <v>113</v>
      </c>
      <c r="C21" s="171"/>
      <c r="D21" s="171"/>
      <c r="E21" s="171"/>
      <c r="F21" s="171"/>
      <c r="G21" s="172" t="s">
        <v>117</v>
      </c>
      <c r="H21" s="155"/>
      <c r="I21" s="155"/>
      <c r="J21" s="155"/>
      <c r="K21" s="155"/>
      <c r="L21" s="155"/>
      <c r="M21" s="155"/>
      <c r="N21" s="155"/>
      <c r="O21" s="155"/>
      <c r="P21" s="155"/>
      <c r="Q21" s="155"/>
      <c r="R21" s="155"/>
      <c r="S21" s="155"/>
      <c r="T21" s="155"/>
      <c r="U21" s="155"/>
      <c r="V21" s="155"/>
      <c r="W21" s="155"/>
      <c r="X21" s="155"/>
      <c r="Y21" s="155"/>
      <c r="Z21" s="155"/>
      <c r="AA21" s="155"/>
      <c r="AB21" s="155"/>
      <c r="AC21" s="155"/>
      <c r="AD21" s="155"/>
      <c r="AE21" s="155"/>
      <c r="AF21" s="155"/>
      <c r="AS21" s="23"/>
    </row>
    <row r="22" spans="1:45" x14ac:dyDescent="0.25">
      <c r="C22" s="24"/>
      <c r="I22" s="25"/>
    </row>
    <row r="23" spans="1:45" ht="20.399999999999999" x14ac:dyDescent="0.25">
      <c r="A23" s="21"/>
      <c r="B23" s="21" t="s">
        <v>26</v>
      </c>
      <c r="C23" s="24"/>
      <c r="I23" s="25"/>
    </row>
    <row r="24" spans="1:45" x14ac:dyDescent="0.25">
      <c r="B24" s="153" t="s">
        <v>4</v>
      </c>
      <c r="C24" s="154"/>
      <c r="D24" s="154"/>
      <c r="E24" s="153" t="s">
        <v>10</v>
      </c>
      <c r="F24" s="153"/>
      <c r="G24" s="153"/>
      <c r="H24" s="153"/>
      <c r="I24" s="153" t="s">
        <v>11</v>
      </c>
      <c r="J24" s="154"/>
      <c r="K24" s="154"/>
      <c r="L24" s="154"/>
      <c r="M24" s="154"/>
      <c r="N24" s="154"/>
      <c r="O24" s="154"/>
      <c r="P24" s="154"/>
      <c r="Q24" s="154"/>
      <c r="R24" s="153" t="s">
        <v>12</v>
      </c>
      <c r="S24" s="153"/>
      <c r="T24" s="153"/>
      <c r="U24" s="153"/>
      <c r="V24" s="153"/>
      <c r="W24" s="153"/>
      <c r="X24" s="153"/>
      <c r="Y24" s="153"/>
      <c r="Z24" s="153"/>
      <c r="AA24" s="153"/>
      <c r="AB24" s="153"/>
      <c r="AC24" s="153"/>
      <c r="AD24" s="153"/>
      <c r="AE24" s="153"/>
      <c r="AF24" s="153"/>
    </row>
    <row r="25" spans="1:45" x14ac:dyDescent="0.25">
      <c r="B25" s="170" t="s">
        <v>135</v>
      </c>
      <c r="C25" s="177"/>
      <c r="D25" s="177"/>
      <c r="E25" s="172" t="s">
        <v>134</v>
      </c>
      <c r="F25" s="155"/>
      <c r="G25" s="155"/>
      <c r="H25" s="155"/>
      <c r="I25" s="172" t="s">
        <v>136</v>
      </c>
      <c r="J25" s="176"/>
      <c r="K25" s="176"/>
      <c r="L25" s="176"/>
      <c r="M25" s="176"/>
      <c r="N25" s="176"/>
      <c r="O25" s="176"/>
      <c r="P25" s="176"/>
      <c r="Q25" s="176"/>
      <c r="R25" s="172" t="s">
        <v>124</v>
      </c>
      <c r="S25" s="155"/>
      <c r="T25" s="155"/>
      <c r="U25" s="155"/>
      <c r="V25" s="155"/>
      <c r="W25" s="155"/>
      <c r="X25" s="155"/>
      <c r="Y25" s="155"/>
      <c r="Z25" s="155"/>
      <c r="AA25" s="155"/>
      <c r="AB25" s="155"/>
      <c r="AC25" s="155"/>
      <c r="AD25" s="155"/>
      <c r="AE25" s="155"/>
      <c r="AF25" s="155"/>
    </row>
    <row r="26" spans="1:45" x14ac:dyDescent="0.25">
      <c r="B26" s="170"/>
      <c r="C26" s="177"/>
      <c r="D26" s="177"/>
      <c r="E26" s="172"/>
      <c r="F26" s="155"/>
      <c r="G26" s="155"/>
      <c r="H26" s="155"/>
      <c r="I26" s="172"/>
      <c r="J26" s="176"/>
      <c r="K26" s="176"/>
      <c r="L26" s="176"/>
      <c r="M26" s="176"/>
      <c r="N26" s="176"/>
      <c r="O26" s="176"/>
      <c r="P26" s="176"/>
      <c r="Q26" s="176"/>
      <c r="R26" s="172"/>
      <c r="S26" s="155"/>
      <c r="T26" s="155"/>
      <c r="U26" s="155"/>
      <c r="V26" s="155"/>
      <c r="W26" s="155"/>
      <c r="X26" s="155"/>
      <c r="Y26" s="155"/>
      <c r="Z26" s="155"/>
      <c r="AA26" s="155"/>
      <c r="AB26" s="155"/>
      <c r="AC26" s="155"/>
      <c r="AD26" s="155"/>
      <c r="AE26" s="155"/>
      <c r="AF26" s="155"/>
    </row>
    <row r="27" spans="1:45" x14ac:dyDescent="0.25">
      <c r="B27" s="171"/>
      <c r="C27" s="177"/>
      <c r="D27" s="177"/>
      <c r="E27" s="155"/>
      <c r="F27" s="155"/>
      <c r="G27" s="155"/>
      <c r="H27" s="155"/>
      <c r="I27" s="155"/>
      <c r="J27" s="176"/>
      <c r="K27" s="176"/>
      <c r="L27" s="176"/>
      <c r="M27" s="176"/>
      <c r="N27" s="176"/>
      <c r="O27" s="176"/>
      <c r="P27" s="176"/>
      <c r="Q27" s="176"/>
      <c r="R27" s="155"/>
      <c r="S27" s="155"/>
      <c r="T27" s="155"/>
      <c r="U27" s="155"/>
      <c r="V27" s="155"/>
      <c r="W27" s="155"/>
      <c r="X27" s="155"/>
      <c r="Y27" s="155"/>
      <c r="Z27" s="155"/>
      <c r="AA27" s="155"/>
      <c r="AB27" s="155"/>
      <c r="AC27" s="155"/>
      <c r="AD27" s="155"/>
      <c r="AE27" s="155"/>
      <c r="AF27" s="155"/>
    </row>
    <row r="28" spans="1:45" x14ac:dyDescent="0.25">
      <c r="B28" s="171"/>
      <c r="C28" s="177"/>
      <c r="D28" s="177"/>
      <c r="E28" s="155"/>
      <c r="F28" s="155"/>
      <c r="G28" s="155"/>
      <c r="H28" s="155"/>
      <c r="I28" s="155"/>
      <c r="J28" s="176"/>
      <c r="K28" s="176"/>
      <c r="L28" s="176"/>
      <c r="M28" s="176"/>
      <c r="N28" s="176"/>
      <c r="O28" s="176"/>
      <c r="P28" s="176"/>
      <c r="Q28" s="176"/>
      <c r="R28" s="155"/>
      <c r="S28" s="155"/>
      <c r="T28" s="155"/>
      <c r="U28" s="155"/>
      <c r="V28" s="155"/>
      <c r="W28" s="155"/>
      <c r="X28" s="155"/>
      <c r="Y28" s="155"/>
      <c r="Z28" s="155"/>
      <c r="AA28" s="155"/>
      <c r="AB28" s="155"/>
      <c r="AC28" s="155"/>
      <c r="AD28" s="155"/>
      <c r="AE28" s="155"/>
      <c r="AF28" s="155"/>
    </row>
    <row r="29" spans="1:45" x14ac:dyDescent="0.25">
      <c r="B29" s="26" t="s">
        <v>25</v>
      </c>
      <c r="C29" s="27"/>
      <c r="D29" s="27"/>
      <c r="E29" s="28"/>
      <c r="F29" s="28"/>
      <c r="G29" s="28"/>
      <c r="H29" s="28"/>
      <c r="I29" s="28"/>
      <c r="J29" s="29"/>
      <c r="K29" s="29"/>
      <c r="L29" s="29"/>
      <c r="M29" s="29"/>
      <c r="N29" s="29"/>
      <c r="O29" s="29"/>
      <c r="P29" s="29"/>
      <c r="Q29" s="29"/>
      <c r="R29" s="28"/>
      <c r="S29" s="28"/>
      <c r="T29" s="28"/>
      <c r="U29" s="28"/>
      <c r="V29" s="28"/>
      <c r="W29" s="28"/>
      <c r="X29" s="28"/>
      <c r="Y29" s="28"/>
      <c r="Z29" s="28"/>
      <c r="AA29" s="28"/>
      <c r="AB29" s="28"/>
      <c r="AC29" s="28"/>
      <c r="AD29" s="28"/>
      <c r="AE29" s="28"/>
      <c r="AF29" s="28"/>
    </row>
    <row r="30" spans="1:45" x14ac:dyDescent="0.25">
      <c r="C30" s="24"/>
      <c r="I30" s="25"/>
    </row>
    <row r="31" spans="1:45" ht="20.399999999999999" x14ac:dyDescent="0.25">
      <c r="B31" s="21" t="s">
        <v>17</v>
      </c>
      <c r="I31" s="25"/>
    </row>
    <row r="32" spans="1:45" ht="66.75" customHeight="1" x14ac:dyDescent="0.25">
      <c r="B32" s="179" t="s">
        <v>121</v>
      </c>
      <c r="C32" s="179"/>
      <c r="D32" s="179"/>
      <c r="E32" s="179"/>
      <c r="F32" s="179"/>
      <c r="G32" s="179"/>
      <c r="H32" s="179"/>
      <c r="I32" s="179"/>
      <c r="J32" s="179"/>
      <c r="K32" s="179"/>
      <c r="L32" s="179"/>
      <c r="M32" s="179"/>
      <c r="N32" s="179"/>
      <c r="O32" s="179"/>
      <c r="P32" s="179"/>
      <c r="Q32" s="179"/>
      <c r="R32" s="179"/>
      <c r="S32" s="179"/>
      <c r="T32" s="179"/>
      <c r="U32" s="179"/>
      <c r="V32" s="179"/>
      <c r="W32" s="179"/>
      <c r="X32" s="179"/>
      <c r="Y32" s="179"/>
      <c r="Z32" s="179"/>
      <c r="AA32" s="179"/>
      <c r="AB32" s="179"/>
      <c r="AC32" s="179"/>
      <c r="AD32" s="179"/>
      <c r="AE32" s="179"/>
      <c r="AF32" s="179"/>
      <c r="AG32" s="30"/>
    </row>
    <row r="33" spans="2:32" x14ac:dyDescent="0.25">
      <c r="J33" s="31"/>
    </row>
    <row r="34" spans="2:32" ht="20.399999999999999" x14ac:dyDescent="0.25">
      <c r="B34" s="21" t="s">
        <v>18</v>
      </c>
      <c r="C34" s="22"/>
      <c r="I34" s="25"/>
    </row>
    <row r="35" spans="2:32" ht="24.75" customHeight="1" x14ac:dyDescent="0.25">
      <c r="B35" s="32" t="s">
        <v>27</v>
      </c>
      <c r="C35" s="22"/>
      <c r="I35" s="25"/>
    </row>
    <row r="36" spans="2:32" ht="12.75" customHeight="1" x14ac:dyDescent="0.25">
      <c r="B36" s="153" t="s">
        <v>7</v>
      </c>
      <c r="C36" s="153"/>
      <c r="D36" s="153"/>
      <c r="E36" s="153" t="s">
        <v>8</v>
      </c>
      <c r="F36" s="154"/>
      <c r="G36" s="154"/>
      <c r="H36" s="154"/>
      <c r="I36" s="154"/>
      <c r="J36" s="154"/>
      <c r="K36" s="154"/>
      <c r="L36" s="154"/>
      <c r="M36" s="154"/>
      <c r="N36" s="154"/>
      <c r="O36" s="154"/>
      <c r="P36" s="154"/>
      <c r="Q36" s="154"/>
      <c r="R36" s="154"/>
      <c r="S36" s="154"/>
      <c r="T36" s="154"/>
      <c r="U36" s="154"/>
      <c r="V36" s="154"/>
      <c r="W36" s="154"/>
      <c r="X36" s="154"/>
      <c r="Y36" s="153" t="s">
        <v>9</v>
      </c>
      <c r="Z36" s="153"/>
      <c r="AA36" s="153"/>
      <c r="AB36" s="153"/>
      <c r="AC36" s="153"/>
      <c r="AD36" s="153"/>
      <c r="AE36" s="153"/>
      <c r="AF36" s="153"/>
    </row>
    <row r="37" spans="2:32" x14ac:dyDescent="0.25">
      <c r="B37" s="178"/>
      <c r="C37" s="178"/>
      <c r="D37" s="178"/>
      <c r="E37" s="155"/>
      <c r="F37" s="156"/>
      <c r="G37" s="156"/>
      <c r="H37" s="156"/>
      <c r="I37" s="156"/>
      <c r="J37" s="156"/>
      <c r="K37" s="156"/>
      <c r="L37" s="156"/>
      <c r="M37" s="156"/>
      <c r="N37" s="156"/>
      <c r="O37" s="156"/>
      <c r="P37" s="156"/>
      <c r="Q37" s="156"/>
      <c r="R37" s="156"/>
      <c r="S37" s="156"/>
      <c r="T37" s="156"/>
      <c r="U37" s="156"/>
      <c r="V37" s="156"/>
      <c r="W37" s="156"/>
      <c r="X37" s="156"/>
      <c r="Y37" s="155"/>
      <c r="Z37" s="156"/>
      <c r="AA37" s="156"/>
      <c r="AB37" s="156"/>
      <c r="AC37" s="156"/>
      <c r="AD37" s="156"/>
      <c r="AE37" s="156"/>
      <c r="AF37" s="156"/>
    </row>
    <row r="38" spans="2:32" x14ac:dyDescent="0.25">
      <c r="B38" s="178"/>
      <c r="C38" s="178"/>
      <c r="D38" s="178"/>
      <c r="E38" s="155"/>
      <c r="F38" s="156"/>
      <c r="G38" s="156"/>
      <c r="H38" s="156"/>
      <c r="I38" s="156"/>
      <c r="J38" s="156"/>
      <c r="K38" s="156"/>
      <c r="L38" s="156"/>
      <c r="M38" s="156"/>
      <c r="N38" s="156"/>
      <c r="O38" s="156"/>
      <c r="P38" s="156"/>
      <c r="Q38" s="156"/>
      <c r="R38" s="156"/>
      <c r="S38" s="156"/>
      <c r="T38" s="156"/>
      <c r="U38" s="156"/>
      <c r="V38" s="156"/>
      <c r="W38" s="156"/>
      <c r="X38" s="156"/>
      <c r="Y38" s="155"/>
      <c r="Z38" s="156"/>
      <c r="AA38" s="156"/>
      <c r="AB38" s="156"/>
      <c r="AC38" s="156"/>
      <c r="AD38" s="156"/>
      <c r="AE38" s="156"/>
      <c r="AF38" s="156"/>
    </row>
    <row r="39" spans="2:32" x14ac:dyDescent="0.25">
      <c r="B39" s="178"/>
      <c r="C39" s="178"/>
      <c r="D39" s="178"/>
      <c r="E39" s="155"/>
      <c r="F39" s="156"/>
      <c r="G39" s="156"/>
      <c r="H39" s="156"/>
      <c r="I39" s="156"/>
      <c r="J39" s="156"/>
      <c r="K39" s="156"/>
      <c r="L39" s="156"/>
      <c r="M39" s="156"/>
      <c r="N39" s="156"/>
      <c r="O39" s="156"/>
      <c r="P39" s="156"/>
      <c r="Q39" s="156"/>
      <c r="R39" s="156"/>
      <c r="S39" s="156"/>
      <c r="T39" s="156"/>
      <c r="U39" s="156"/>
      <c r="V39" s="156"/>
      <c r="W39" s="156"/>
      <c r="X39" s="156"/>
      <c r="Y39" s="155"/>
      <c r="Z39" s="156"/>
      <c r="AA39" s="156"/>
      <c r="AB39" s="156"/>
      <c r="AC39" s="156"/>
      <c r="AD39" s="156"/>
      <c r="AE39" s="156"/>
      <c r="AF39" s="156"/>
    </row>
    <row r="40" spans="2:32" x14ac:dyDescent="0.25">
      <c r="B40" s="178"/>
      <c r="C40" s="178"/>
      <c r="D40" s="178"/>
      <c r="E40" s="155"/>
      <c r="F40" s="156"/>
      <c r="G40" s="156"/>
      <c r="H40" s="156"/>
      <c r="I40" s="156"/>
      <c r="J40" s="156"/>
      <c r="K40" s="156"/>
      <c r="L40" s="156"/>
      <c r="M40" s="156"/>
      <c r="N40" s="156"/>
      <c r="O40" s="156"/>
      <c r="P40" s="156"/>
      <c r="Q40" s="156"/>
      <c r="R40" s="156"/>
      <c r="S40" s="156"/>
      <c r="T40" s="156"/>
      <c r="U40" s="156"/>
      <c r="V40" s="156"/>
      <c r="W40" s="156"/>
      <c r="X40" s="156"/>
      <c r="Y40" s="155"/>
      <c r="Z40" s="156"/>
      <c r="AA40" s="156"/>
      <c r="AB40" s="156"/>
      <c r="AC40" s="156"/>
      <c r="AD40" s="156"/>
      <c r="AE40" s="156"/>
      <c r="AF40" s="156"/>
    </row>
    <row r="41" spans="2:32" ht="24.75" customHeight="1" x14ac:dyDescent="0.25">
      <c r="B41" s="32" t="s">
        <v>28</v>
      </c>
      <c r="C41" s="22"/>
      <c r="I41" s="25"/>
    </row>
    <row r="42" spans="2:32" ht="12.75" customHeight="1" x14ac:dyDescent="0.25">
      <c r="B42" s="153" t="s">
        <v>7</v>
      </c>
      <c r="C42" s="153"/>
      <c r="D42" s="153"/>
      <c r="E42" s="153" t="s">
        <v>8</v>
      </c>
      <c r="F42" s="154"/>
      <c r="G42" s="154"/>
      <c r="H42" s="154"/>
      <c r="I42" s="154"/>
      <c r="J42" s="154"/>
      <c r="K42" s="154"/>
      <c r="L42" s="154"/>
      <c r="M42" s="154"/>
      <c r="N42" s="154"/>
      <c r="O42" s="154"/>
      <c r="P42" s="154"/>
      <c r="Q42" s="154"/>
      <c r="R42" s="154"/>
      <c r="S42" s="154"/>
      <c r="T42" s="154"/>
      <c r="U42" s="154"/>
      <c r="V42" s="154"/>
      <c r="W42" s="154"/>
      <c r="X42" s="154"/>
      <c r="Y42" s="153" t="s">
        <v>9</v>
      </c>
      <c r="Z42" s="153"/>
      <c r="AA42" s="153"/>
      <c r="AB42" s="153"/>
      <c r="AC42" s="153"/>
      <c r="AD42" s="153"/>
      <c r="AE42" s="153"/>
      <c r="AF42" s="153"/>
    </row>
    <row r="43" spans="2:32" x14ac:dyDescent="0.25">
      <c r="B43" s="178"/>
      <c r="C43" s="178"/>
      <c r="D43" s="178"/>
      <c r="E43" s="155"/>
      <c r="F43" s="156"/>
      <c r="G43" s="156"/>
      <c r="H43" s="156"/>
      <c r="I43" s="156"/>
      <c r="J43" s="156"/>
      <c r="K43" s="156"/>
      <c r="L43" s="156"/>
      <c r="M43" s="156"/>
      <c r="N43" s="156"/>
      <c r="O43" s="156"/>
      <c r="P43" s="156"/>
      <c r="Q43" s="156"/>
      <c r="R43" s="156"/>
      <c r="S43" s="156"/>
      <c r="T43" s="156"/>
      <c r="U43" s="156"/>
      <c r="V43" s="156"/>
      <c r="W43" s="156"/>
      <c r="X43" s="156"/>
      <c r="Y43" s="155"/>
      <c r="Z43" s="156"/>
      <c r="AA43" s="156"/>
      <c r="AB43" s="156"/>
      <c r="AC43" s="156"/>
      <c r="AD43" s="156"/>
      <c r="AE43" s="156"/>
      <c r="AF43" s="156"/>
    </row>
    <row r="44" spans="2:32" x14ac:dyDescent="0.25">
      <c r="B44" s="178"/>
      <c r="C44" s="178"/>
      <c r="D44" s="178"/>
      <c r="E44" s="155"/>
      <c r="F44" s="156"/>
      <c r="G44" s="156"/>
      <c r="H44" s="156"/>
      <c r="I44" s="156"/>
      <c r="J44" s="156"/>
      <c r="K44" s="156"/>
      <c r="L44" s="156"/>
      <c r="M44" s="156"/>
      <c r="N44" s="156"/>
      <c r="O44" s="156"/>
      <c r="P44" s="156"/>
      <c r="Q44" s="156"/>
      <c r="R44" s="156"/>
      <c r="S44" s="156"/>
      <c r="T44" s="156"/>
      <c r="U44" s="156"/>
      <c r="V44" s="156"/>
      <c r="W44" s="156"/>
      <c r="X44" s="156"/>
      <c r="Y44" s="155"/>
      <c r="Z44" s="156"/>
      <c r="AA44" s="156"/>
      <c r="AB44" s="156"/>
      <c r="AC44" s="156"/>
      <c r="AD44" s="156"/>
      <c r="AE44" s="156"/>
      <c r="AF44" s="156"/>
    </row>
    <row r="45" spans="2:32" x14ac:dyDescent="0.25">
      <c r="B45" s="178"/>
      <c r="C45" s="178"/>
      <c r="D45" s="178"/>
      <c r="E45" s="155"/>
      <c r="F45" s="156"/>
      <c r="G45" s="156"/>
      <c r="H45" s="156"/>
      <c r="I45" s="156"/>
      <c r="J45" s="156"/>
      <c r="K45" s="156"/>
      <c r="L45" s="156"/>
      <c r="M45" s="156"/>
      <c r="N45" s="156"/>
      <c r="O45" s="156"/>
      <c r="P45" s="156"/>
      <c r="Q45" s="156"/>
      <c r="R45" s="156"/>
      <c r="S45" s="156"/>
      <c r="T45" s="156"/>
      <c r="U45" s="156"/>
      <c r="V45" s="156"/>
      <c r="W45" s="156"/>
      <c r="X45" s="156"/>
      <c r="Y45" s="155"/>
      <c r="Z45" s="156"/>
      <c r="AA45" s="156"/>
      <c r="AB45" s="156"/>
      <c r="AC45" s="156"/>
      <c r="AD45" s="156"/>
      <c r="AE45" s="156"/>
      <c r="AF45" s="156"/>
    </row>
    <row r="46" spans="2:32" x14ac:dyDescent="0.25">
      <c r="B46" s="178"/>
      <c r="C46" s="178"/>
      <c r="D46" s="178"/>
      <c r="E46" s="155"/>
      <c r="F46" s="156"/>
      <c r="G46" s="156"/>
      <c r="H46" s="156"/>
      <c r="I46" s="156"/>
      <c r="J46" s="156"/>
      <c r="K46" s="156"/>
      <c r="L46" s="156"/>
      <c r="M46" s="156"/>
      <c r="N46" s="156"/>
      <c r="O46" s="156"/>
      <c r="P46" s="156"/>
      <c r="Q46" s="156"/>
      <c r="R46" s="156"/>
      <c r="S46" s="156"/>
      <c r="T46" s="156"/>
      <c r="U46" s="156"/>
      <c r="V46" s="156"/>
      <c r="W46" s="156"/>
      <c r="X46" s="156"/>
      <c r="Y46" s="155"/>
      <c r="Z46" s="156"/>
      <c r="AA46" s="156"/>
      <c r="AB46" s="156"/>
      <c r="AC46" s="156"/>
      <c r="AD46" s="156"/>
      <c r="AE46" s="156"/>
      <c r="AF46" s="156"/>
    </row>
    <row r="47" spans="2:32" x14ac:dyDescent="0.25">
      <c r="C47" s="24"/>
      <c r="I47" s="25"/>
    </row>
    <row r="48" spans="2:32" ht="20.399999999999999" x14ac:dyDescent="0.25">
      <c r="B48" s="21" t="s">
        <v>30</v>
      </c>
      <c r="C48" s="22"/>
      <c r="I48" s="25"/>
    </row>
    <row r="49" spans="2:32" ht="12.75" customHeight="1" x14ac:dyDescent="0.25">
      <c r="B49" s="153" t="s">
        <v>29</v>
      </c>
      <c r="C49" s="153"/>
      <c r="D49" s="153"/>
      <c r="E49" s="153"/>
      <c r="F49" s="153"/>
      <c r="G49" s="153"/>
      <c r="H49" s="183"/>
      <c r="I49" s="183"/>
      <c r="J49" s="183"/>
      <c r="K49" s="183"/>
      <c r="L49" s="183"/>
      <c r="M49" s="183"/>
      <c r="N49" s="183"/>
      <c r="O49" s="183"/>
      <c r="P49" s="183"/>
      <c r="Q49" s="183"/>
      <c r="R49" s="183"/>
      <c r="S49" s="183"/>
      <c r="T49" s="183"/>
      <c r="U49" s="183"/>
      <c r="V49" s="183"/>
      <c r="W49" s="183"/>
      <c r="X49" s="183"/>
      <c r="Y49" s="183"/>
      <c r="Z49" s="183"/>
      <c r="AA49" s="183"/>
      <c r="AB49" s="183"/>
      <c r="AC49" s="183"/>
      <c r="AD49" s="183"/>
      <c r="AE49" s="183"/>
      <c r="AF49" s="183"/>
    </row>
    <row r="50" spans="2:32" ht="33.75" customHeight="1" x14ac:dyDescent="0.25">
      <c r="B50" s="180" t="s">
        <v>106</v>
      </c>
      <c r="C50" s="181"/>
      <c r="D50" s="181"/>
      <c r="E50" s="181"/>
      <c r="F50" s="181"/>
      <c r="G50" s="182"/>
      <c r="H50" s="187" t="s">
        <v>110</v>
      </c>
      <c r="I50" s="185"/>
      <c r="J50" s="185"/>
      <c r="K50" s="185"/>
      <c r="L50" s="185"/>
      <c r="M50" s="185"/>
      <c r="N50" s="185"/>
      <c r="O50" s="185"/>
      <c r="P50" s="185"/>
      <c r="Q50" s="185"/>
      <c r="R50" s="185"/>
      <c r="S50" s="185"/>
      <c r="T50" s="185"/>
      <c r="U50" s="185"/>
      <c r="V50" s="185"/>
      <c r="W50" s="185"/>
      <c r="X50" s="185"/>
      <c r="Y50" s="185"/>
      <c r="Z50" s="185"/>
      <c r="AA50" s="185"/>
      <c r="AB50" s="185"/>
      <c r="AC50" s="185"/>
      <c r="AD50" s="185"/>
      <c r="AE50" s="185"/>
      <c r="AF50" s="186"/>
    </row>
    <row r="51" spans="2:32" ht="36.75" customHeight="1" x14ac:dyDescent="0.25">
      <c r="B51" s="180" t="s">
        <v>69</v>
      </c>
      <c r="C51" s="181"/>
      <c r="D51" s="181"/>
      <c r="E51" s="181"/>
      <c r="F51" s="181"/>
      <c r="G51" s="182"/>
      <c r="H51" s="184" t="s">
        <v>70</v>
      </c>
      <c r="I51" s="185"/>
      <c r="J51" s="185"/>
      <c r="K51" s="185"/>
      <c r="L51" s="185"/>
      <c r="M51" s="185"/>
      <c r="N51" s="185"/>
      <c r="O51" s="185"/>
      <c r="P51" s="185"/>
      <c r="Q51" s="185"/>
      <c r="R51" s="185"/>
      <c r="S51" s="185"/>
      <c r="T51" s="185"/>
      <c r="U51" s="185"/>
      <c r="V51" s="185"/>
      <c r="W51" s="185"/>
      <c r="X51" s="185"/>
      <c r="Y51" s="185"/>
      <c r="Z51" s="185"/>
      <c r="AA51" s="185"/>
      <c r="AB51" s="185"/>
      <c r="AC51" s="185"/>
      <c r="AD51" s="185"/>
      <c r="AE51" s="185"/>
      <c r="AF51" s="186"/>
    </row>
    <row r="52" spans="2:32" ht="45.75" customHeight="1" x14ac:dyDescent="0.25">
      <c r="B52" s="180" t="s">
        <v>71</v>
      </c>
      <c r="C52" s="181"/>
      <c r="D52" s="181"/>
      <c r="E52" s="181"/>
      <c r="F52" s="181"/>
      <c r="G52" s="182"/>
      <c r="H52" s="184" t="s">
        <v>76</v>
      </c>
      <c r="I52" s="185"/>
      <c r="J52" s="185"/>
      <c r="K52" s="185"/>
      <c r="L52" s="185"/>
      <c r="M52" s="185"/>
      <c r="N52" s="185"/>
      <c r="O52" s="185"/>
      <c r="P52" s="185"/>
      <c r="Q52" s="185"/>
      <c r="R52" s="185"/>
      <c r="S52" s="185"/>
      <c r="T52" s="185"/>
      <c r="U52" s="185"/>
      <c r="V52" s="185"/>
      <c r="W52" s="185"/>
      <c r="X52" s="185"/>
      <c r="Y52" s="185"/>
      <c r="Z52" s="185"/>
      <c r="AA52" s="185"/>
      <c r="AB52" s="185"/>
      <c r="AC52" s="185"/>
      <c r="AD52" s="185"/>
      <c r="AE52" s="185"/>
      <c r="AF52" s="186"/>
    </row>
    <row r="53" spans="2:32" ht="45.75" customHeight="1" x14ac:dyDescent="0.25">
      <c r="B53" s="180" t="s">
        <v>72</v>
      </c>
      <c r="C53" s="181"/>
      <c r="D53" s="181"/>
      <c r="E53" s="181"/>
      <c r="F53" s="181"/>
      <c r="G53" s="182"/>
      <c r="H53" s="184" t="s">
        <v>75</v>
      </c>
      <c r="I53" s="185"/>
      <c r="J53" s="185"/>
      <c r="K53" s="185"/>
      <c r="L53" s="185"/>
      <c r="M53" s="185"/>
      <c r="N53" s="185"/>
      <c r="O53" s="185"/>
      <c r="P53" s="185"/>
      <c r="Q53" s="185"/>
      <c r="R53" s="185"/>
      <c r="S53" s="185"/>
      <c r="T53" s="185"/>
      <c r="U53" s="185"/>
      <c r="V53" s="185"/>
      <c r="W53" s="185"/>
      <c r="X53" s="185"/>
      <c r="Y53" s="185"/>
      <c r="Z53" s="185"/>
      <c r="AA53" s="185"/>
      <c r="AB53" s="185"/>
      <c r="AC53" s="185"/>
      <c r="AD53" s="185"/>
      <c r="AE53" s="185"/>
      <c r="AF53" s="186"/>
    </row>
    <row r="54" spans="2:32" ht="37.5" customHeight="1" x14ac:dyDescent="0.25">
      <c r="B54" s="180" t="s">
        <v>73</v>
      </c>
      <c r="C54" s="181"/>
      <c r="D54" s="181"/>
      <c r="E54" s="181"/>
      <c r="F54" s="181"/>
      <c r="G54" s="182"/>
      <c r="H54" s="184" t="s">
        <v>74</v>
      </c>
      <c r="I54" s="185"/>
      <c r="J54" s="185"/>
      <c r="K54" s="185"/>
      <c r="L54" s="185"/>
      <c r="M54" s="185"/>
      <c r="N54" s="185"/>
      <c r="O54" s="185"/>
      <c r="P54" s="185"/>
      <c r="Q54" s="185"/>
      <c r="R54" s="185"/>
      <c r="S54" s="185"/>
      <c r="T54" s="185"/>
      <c r="U54" s="185"/>
      <c r="V54" s="185"/>
      <c r="W54" s="185"/>
      <c r="X54" s="185"/>
      <c r="Y54" s="185"/>
      <c r="Z54" s="185"/>
      <c r="AA54" s="185"/>
      <c r="AB54" s="185"/>
      <c r="AC54" s="185"/>
      <c r="AD54" s="185"/>
      <c r="AE54" s="185"/>
      <c r="AF54" s="186"/>
    </row>
    <row r="55" spans="2:32" x14ac:dyDescent="0.25">
      <c r="B55" s="28"/>
      <c r="C55" s="28"/>
      <c r="D55" s="28"/>
      <c r="E55" s="28"/>
      <c r="F55" s="28"/>
      <c r="G55" s="28"/>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row>
    <row r="56" spans="2:32" x14ac:dyDescent="0.25">
      <c r="B56" s="28"/>
      <c r="C56" s="28"/>
      <c r="D56" s="28"/>
      <c r="E56" s="28"/>
      <c r="F56" s="28"/>
      <c r="G56" s="28"/>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row>
    <row r="57" spans="2:32" ht="24.6" x14ac:dyDescent="0.25">
      <c r="B57" s="34" t="s">
        <v>31</v>
      </c>
      <c r="C57" s="35"/>
      <c r="D57" s="35"/>
      <c r="E57" s="35"/>
      <c r="F57" s="35"/>
      <c r="G57" s="35"/>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row>
    <row r="58" spans="2:32" ht="15.75" customHeight="1" x14ac:dyDescent="0.25">
      <c r="B58" s="37"/>
      <c r="C58" s="28"/>
      <c r="D58" s="28"/>
      <c r="E58" s="28"/>
      <c r="F58" s="28"/>
      <c r="G58" s="28"/>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row>
    <row r="59" spans="2:32" x14ac:dyDescent="0.25">
      <c r="B59" s="92" t="s">
        <v>77</v>
      </c>
      <c r="C59" s="38"/>
      <c r="D59" s="38"/>
      <c r="E59" s="38"/>
      <c r="F59" s="38"/>
      <c r="G59" s="38"/>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row>
    <row r="60" spans="2:32" x14ac:dyDescent="0.25">
      <c r="B60" s="92" t="s">
        <v>108</v>
      </c>
      <c r="C60" s="38"/>
      <c r="D60" s="38"/>
      <c r="E60" s="38"/>
      <c r="F60" s="38"/>
      <c r="G60" s="38"/>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row>
    <row r="61" spans="2:32" x14ac:dyDescent="0.25">
      <c r="B61" s="38"/>
      <c r="C61" s="38"/>
      <c r="D61" s="38"/>
      <c r="E61" s="38"/>
      <c r="F61" s="38"/>
      <c r="G61" s="38"/>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row>
    <row r="62" spans="2:32" x14ac:dyDescent="0.25">
      <c r="B62" s="38"/>
      <c r="C62" s="38"/>
      <c r="D62" s="38"/>
      <c r="E62" s="38"/>
      <c r="F62" s="38"/>
      <c r="G62" s="38"/>
      <c r="H62" s="39"/>
      <c r="I62" s="39"/>
      <c r="J62" s="39"/>
      <c r="K62" s="39"/>
      <c r="L62" s="39"/>
      <c r="M62" s="39"/>
      <c r="N62" s="39"/>
      <c r="O62" s="39"/>
      <c r="P62" s="39"/>
      <c r="Q62" s="39"/>
      <c r="R62" s="39"/>
      <c r="S62" s="39"/>
      <c r="T62" s="39"/>
      <c r="U62" s="39"/>
      <c r="V62" s="39"/>
      <c r="W62" s="39"/>
      <c r="X62" s="39"/>
      <c r="Y62" s="39"/>
      <c r="Z62" s="39"/>
      <c r="AA62" s="39"/>
      <c r="AB62" s="39"/>
      <c r="AC62" s="39"/>
      <c r="AD62" s="39"/>
      <c r="AE62" s="39"/>
      <c r="AF62" s="39"/>
    </row>
    <row r="63" spans="2:32" x14ac:dyDescent="0.25">
      <c r="B63" s="38"/>
      <c r="C63" s="38"/>
      <c r="D63" s="38"/>
      <c r="E63" s="38"/>
      <c r="F63" s="38"/>
      <c r="G63" s="38"/>
      <c r="H63" s="39"/>
      <c r="I63" s="39"/>
      <c r="J63" s="39"/>
      <c r="K63" s="39"/>
      <c r="L63" s="39"/>
      <c r="M63" s="39"/>
      <c r="N63" s="39"/>
      <c r="O63" s="39"/>
      <c r="P63" s="39"/>
      <c r="Q63" s="39"/>
      <c r="R63" s="39"/>
      <c r="S63" s="39"/>
      <c r="T63" s="39"/>
      <c r="U63" s="39"/>
      <c r="V63" s="39"/>
      <c r="W63" s="39"/>
      <c r="X63" s="39"/>
      <c r="Y63" s="39"/>
      <c r="Z63" s="39"/>
      <c r="AA63" s="39"/>
      <c r="AB63" s="39"/>
      <c r="AC63" s="39"/>
      <c r="AD63" s="39"/>
      <c r="AE63" s="39"/>
      <c r="AF63" s="39"/>
    </row>
    <row r="64" spans="2:32" x14ac:dyDescent="0.25">
      <c r="B64" s="38"/>
      <c r="C64" s="38"/>
      <c r="D64" s="38"/>
      <c r="E64" s="38"/>
      <c r="F64" s="38"/>
      <c r="G64" s="38"/>
      <c r="H64" s="39"/>
      <c r="I64" s="39"/>
      <c r="J64" s="39"/>
      <c r="K64" s="39"/>
      <c r="L64" s="39"/>
      <c r="M64" s="39"/>
      <c r="N64" s="39"/>
      <c r="O64" s="39"/>
      <c r="P64" s="39"/>
      <c r="Q64" s="39"/>
      <c r="R64" s="39"/>
      <c r="S64" s="39"/>
      <c r="T64" s="39"/>
      <c r="U64" s="39"/>
      <c r="V64" s="39"/>
      <c r="W64" s="39"/>
      <c r="X64" s="39"/>
      <c r="Y64" s="39"/>
      <c r="Z64" s="39"/>
      <c r="AA64" s="39"/>
      <c r="AB64" s="39"/>
      <c r="AC64" s="39"/>
      <c r="AD64" s="39"/>
      <c r="AE64" s="39"/>
      <c r="AF64" s="39"/>
    </row>
    <row r="65" spans="2:34" x14ac:dyDescent="0.25">
      <c r="B65" s="38"/>
      <c r="C65" s="38"/>
      <c r="D65" s="38"/>
      <c r="E65" s="38"/>
      <c r="F65" s="38"/>
      <c r="G65" s="38"/>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row>
    <row r="66" spans="2:34" x14ac:dyDescent="0.25">
      <c r="B66" s="38"/>
      <c r="C66" s="38"/>
      <c r="D66" s="38"/>
      <c r="E66" s="38"/>
      <c r="F66" s="38"/>
      <c r="G66" s="38"/>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row>
    <row r="67" spans="2:34" x14ac:dyDescent="0.25">
      <c r="B67" s="38"/>
      <c r="C67" s="38"/>
      <c r="D67" s="38"/>
      <c r="E67" s="38"/>
      <c r="F67" s="38"/>
      <c r="G67" s="38"/>
      <c r="H67" s="39"/>
      <c r="I67" s="39"/>
      <c r="J67" s="39"/>
      <c r="K67" s="39"/>
      <c r="L67" s="39"/>
      <c r="M67" s="39"/>
      <c r="N67" s="39"/>
      <c r="O67" s="39"/>
      <c r="P67" s="39"/>
      <c r="Q67" s="39"/>
      <c r="R67" s="39"/>
      <c r="S67" s="39"/>
      <c r="T67" s="39"/>
      <c r="U67" s="39"/>
      <c r="V67" s="39"/>
      <c r="W67" s="39"/>
      <c r="X67" s="39"/>
      <c r="Y67" s="39"/>
      <c r="Z67" s="39"/>
      <c r="AA67" s="39"/>
      <c r="AB67" s="39"/>
      <c r="AC67" s="39"/>
      <c r="AD67" s="39"/>
      <c r="AE67" s="39"/>
      <c r="AF67" s="39"/>
    </row>
    <row r="68" spans="2:34" x14ac:dyDescent="0.25">
      <c r="B68" s="38"/>
      <c r="C68" s="38"/>
      <c r="D68" s="38"/>
      <c r="E68" s="38"/>
      <c r="F68" s="38"/>
      <c r="G68" s="38"/>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row>
    <row r="69" spans="2:34" x14ac:dyDescent="0.25">
      <c r="B69" s="38"/>
      <c r="C69" s="38"/>
      <c r="D69" s="38"/>
      <c r="E69" s="38"/>
      <c r="F69" s="38"/>
      <c r="G69" s="38"/>
      <c r="H69" s="39"/>
      <c r="I69" s="39"/>
      <c r="J69" s="39"/>
      <c r="K69" s="39"/>
      <c r="L69" s="39"/>
      <c r="M69" s="39"/>
      <c r="N69" s="39"/>
      <c r="O69" s="39"/>
      <c r="P69" s="39"/>
      <c r="Q69" s="39"/>
      <c r="R69" s="39"/>
      <c r="S69" s="39"/>
      <c r="T69" s="39"/>
      <c r="U69" s="39"/>
      <c r="V69" s="39"/>
      <c r="W69" s="39"/>
      <c r="X69" s="39"/>
      <c r="Y69" s="39"/>
      <c r="Z69" s="39"/>
      <c r="AA69" s="39"/>
      <c r="AB69" s="39"/>
      <c r="AC69" s="39"/>
      <c r="AD69" s="39"/>
      <c r="AE69" s="39"/>
      <c r="AF69" s="39"/>
    </row>
    <row r="70" spans="2:34" x14ac:dyDescent="0.25">
      <c r="B70" s="38"/>
      <c r="C70" s="38"/>
      <c r="D70" s="38"/>
      <c r="E70" s="38"/>
      <c r="F70" s="38"/>
      <c r="G70" s="38"/>
      <c r="H70" s="39"/>
      <c r="I70" s="39"/>
      <c r="J70" s="39"/>
      <c r="K70" s="39"/>
      <c r="L70" s="39"/>
      <c r="M70" s="39"/>
      <c r="N70" s="39"/>
      <c r="O70" s="39"/>
      <c r="P70" s="39"/>
      <c r="Q70" s="39"/>
      <c r="R70" s="39"/>
      <c r="S70" s="39"/>
      <c r="T70" s="39"/>
      <c r="U70" s="39"/>
      <c r="V70" s="39"/>
      <c r="W70" s="39"/>
      <c r="X70" s="39"/>
      <c r="Y70" s="39"/>
      <c r="Z70" s="39"/>
      <c r="AA70" s="39"/>
      <c r="AB70" s="39"/>
      <c r="AC70" s="39"/>
      <c r="AD70" s="39"/>
      <c r="AE70" s="39"/>
      <c r="AF70" s="39"/>
    </row>
    <row r="71" spans="2:34" x14ac:dyDescent="0.25">
      <c r="B71" s="38"/>
      <c r="C71" s="38"/>
      <c r="D71" s="38"/>
      <c r="E71" s="38"/>
      <c r="F71" s="38"/>
      <c r="G71" s="38"/>
      <c r="H71" s="39"/>
      <c r="I71" s="39"/>
      <c r="J71" s="39"/>
      <c r="K71" s="39"/>
      <c r="L71" s="39"/>
      <c r="M71" s="39"/>
      <c r="N71" s="39"/>
      <c r="O71" s="39"/>
      <c r="P71" s="39"/>
      <c r="Q71" s="39"/>
      <c r="R71" s="39"/>
      <c r="S71" s="39"/>
      <c r="T71" s="39"/>
      <c r="U71" s="39"/>
      <c r="V71" s="39"/>
      <c r="W71" s="39"/>
      <c r="X71" s="39"/>
      <c r="Y71" s="39"/>
      <c r="Z71" s="39"/>
      <c r="AA71" s="39"/>
      <c r="AB71" s="39"/>
      <c r="AC71" s="39"/>
      <c r="AD71" s="39"/>
      <c r="AE71" s="39"/>
      <c r="AF71" s="39"/>
    </row>
    <row r="72" spans="2:34" ht="12" customHeight="1" x14ac:dyDescent="0.25"/>
    <row r="73" spans="2:34" ht="12.75" hidden="1" customHeight="1" x14ac:dyDescent="0.25">
      <c r="B73" s="16" t="s">
        <v>78</v>
      </c>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row>
    <row r="74" spans="2:34" ht="12.75" hidden="1" customHeight="1" x14ac:dyDescent="0.25">
      <c r="B74" s="16" t="s">
        <v>79</v>
      </c>
      <c r="F74" s="40"/>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0"/>
    </row>
    <row r="75" spans="2:34" ht="12.75" hidden="1" customHeight="1" x14ac:dyDescent="0.25">
      <c r="B75" s="16" t="s">
        <v>80</v>
      </c>
      <c r="F75" s="40"/>
      <c r="G75" s="38"/>
      <c r="H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40"/>
    </row>
    <row r="76" spans="2:34" ht="12.75" hidden="1" customHeight="1" x14ac:dyDescent="0.25">
      <c r="B76" s="16" t="s">
        <v>81</v>
      </c>
      <c r="F76" s="40"/>
      <c r="G76" s="38"/>
      <c r="H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40"/>
    </row>
    <row r="77" spans="2:34" ht="12.75" hidden="1" customHeight="1" x14ac:dyDescent="0.25">
      <c r="B77" s="16" t="s">
        <v>82</v>
      </c>
      <c r="F77" s="42"/>
      <c r="G77" s="42"/>
      <c r="H77" s="42"/>
      <c r="I77" s="42"/>
      <c r="J77" s="40"/>
      <c r="K77" s="40"/>
      <c r="L77" s="40"/>
      <c r="M77" s="40"/>
      <c r="N77" s="40"/>
      <c r="O77" s="40"/>
      <c r="P77" s="40"/>
      <c r="Q77" s="40"/>
      <c r="R77" s="40"/>
      <c r="S77" s="42"/>
      <c r="T77" s="42"/>
      <c r="U77" s="42"/>
      <c r="V77" s="42"/>
      <c r="W77" s="42"/>
      <c r="X77" s="42"/>
      <c r="Y77" s="42"/>
      <c r="Z77" s="42"/>
      <c r="AA77" s="42"/>
      <c r="AB77" s="42"/>
      <c r="AC77" s="42"/>
      <c r="AD77" s="42"/>
      <c r="AE77" s="42"/>
      <c r="AF77" s="42"/>
      <c r="AG77" s="42"/>
      <c r="AH77" s="40"/>
    </row>
    <row r="78" spans="2:34" ht="12.75" hidden="1" customHeight="1" x14ac:dyDescent="0.25">
      <c r="B78" s="16" t="s">
        <v>83</v>
      </c>
      <c r="F78" s="42"/>
      <c r="G78" s="42"/>
      <c r="H78" s="42"/>
      <c r="I78" s="42"/>
      <c r="J78" s="40"/>
      <c r="K78" s="40"/>
      <c r="L78" s="40"/>
      <c r="M78" s="40"/>
      <c r="N78" s="40"/>
      <c r="O78" s="40"/>
      <c r="P78" s="40"/>
      <c r="Q78" s="40"/>
      <c r="R78" s="40"/>
      <c r="S78" s="42"/>
      <c r="T78" s="42"/>
      <c r="U78" s="42"/>
      <c r="V78" s="42"/>
      <c r="W78" s="42"/>
      <c r="X78" s="42"/>
      <c r="Y78" s="42"/>
      <c r="Z78" s="42"/>
      <c r="AA78" s="42"/>
      <c r="AB78" s="42"/>
      <c r="AC78" s="42"/>
      <c r="AD78" s="42"/>
      <c r="AE78" s="42"/>
      <c r="AF78" s="42"/>
      <c r="AG78" s="42"/>
      <c r="AH78" s="40"/>
    </row>
    <row r="79" spans="2:34" ht="12.75" hidden="1" customHeight="1" x14ac:dyDescent="0.25">
      <c r="B79" s="16" t="s">
        <v>84</v>
      </c>
      <c r="F79" s="43"/>
      <c r="G79" s="43"/>
      <c r="H79" s="43"/>
      <c r="I79" s="43"/>
      <c r="J79" s="43"/>
      <c r="K79" s="43"/>
      <c r="R79" s="43"/>
      <c r="S79" s="42"/>
      <c r="T79" s="42"/>
      <c r="U79" s="42"/>
      <c r="V79" s="42"/>
      <c r="W79" s="42"/>
      <c r="X79" s="42"/>
      <c r="Y79" s="42"/>
      <c r="Z79" s="42"/>
      <c r="AA79" s="42"/>
      <c r="AB79" s="42"/>
      <c r="AC79" s="42"/>
      <c r="AD79" s="42"/>
      <c r="AE79" s="42"/>
      <c r="AF79" s="42"/>
      <c r="AG79" s="42"/>
      <c r="AH79" s="43"/>
    </row>
    <row r="80" spans="2:34" ht="12.75" hidden="1" customHeight="1" x14ac:dyDescent="0.25">
      <c r="B80" s="16" t="s">
        <v>85</v>
      </c>
      <c r="R80" s="43"/>
      <c r="S80" s="43"/>
      <c r="T80" s="43"/>
      <c r="U80" s="43"/>
      <c r="V80" s="43"/>
      <c r="W80" s="43"/>
      <c r="X80" s="43"/>
      <c r="Y80" s="43"/>
      <c r="Z80" s="43"/>
      <c r="AA80" s="43"/>
      <c r="AB80" s="43"/>
      <c r="AC80" s="43"/>
      <c r="AD80" s="43"/>
      <c r="AE80" s="43"/>
      <c r="AF80" s="43"/>
      <c r="AG80" s="43"/>
      <c r="AH80" s="43"/>
    </row>
    <row r="81" spans="2:34" ht="12.75" hidden="1" customHeight="1" x14ac:dyDescent="0.25">
      <c r="B81" s="16" t="s">
        <v>86</v>
      </c>
      <c r="R81" s="43"/>
      <c r="S81" s="43"/>
      <c r="T81" s="43"/>
      <c r="U81" s="43"/>
      <c r="V81" s="43"/>
      <c r="W81" s="43"/>
      <c r="X81" s="43"/>
      <c r="Y81" s="43"/>
      <c r="Z81" s="43"/>
      <c r="AA81" s="43"/>
      <c r="AB81" s="43"/>
      <c r="AC81" s="43"/>
      <c r="AD81" s="43"/>
      <c r="AE81" s="43"/>
      <c r="AF81" s="43"/>
      <c r="AG81" s="43"/>
      <c r="AH81" s="43"/>
    </row>
    <row r="82" spans="2:34" ht="12.75" hidden="1" customHeight="1" x14ac:dyDescent="0.25">
      <c r="B82" s="16" t="s">
        <v>87</v>
      </c>
    </row>
    <row r="83" spans="2:34" ht="12.75" hidden="1" customHeight="1" x14ac:dyDescent="0.25">
      <c r="B83" s="16" t="s">
        <v>88</v>
      </c>
    </row>
    <row r="84" spans="2:34" ht="12.75" hidden="1" customHeight="1" x14ac:dyDescent="0.25">
      <c r="B84" s="16" t="s">
        <v>89</v>
      </c>
    </row>
    <row r="85" spans="2:34" ht="12.75" hidden="1" customHeight="1" x14ac:dyDescent="0.25">
      <c r="B85" s="16" t="s">
        <v>90</v>
      </c>
    </row>
    <row r="86" spans="2:34" ht="12.75" hidden="1" customHeight="1" x14ac:dyDescent="0.25">
      <c r="B86" s="16" t="s">
        <v>91</v>
      </c>
    </row>
    <row r="87" spans="2:34" ht="12.75" hidden="1" customHeight="1" x14ac:dyDescent="0.25">
      <c r="B87" s="16" t="s">
        <v>92</v>
      </c>
    </row>
    <row r="88" spans="2:34" ht="12.75" hidden="1" customHeight="1" x14ac:dyDescent="0.25">
      <c r="B88" s="16" t="s">
        <v>93</v>
      </c>
    </row>
    <row r="89" spans="2:34" ht="12.75" hidden="1" customHeight="1" x14ac:dyDescent="0.25">
      <c r="B89" s="16" t="s">
        <v>94</v>
      </c>
    </row>
    <row r="90" spans="2:34" ht="12.75" hidden="1" customHeight="1" x14ac:dyDescent="0.25">
      <c r="B90" s="16" t="s">
        <v>95</v>
      </c>
    </row>
    <row r="91" spans="2:34" ht="12.75" hidden="1" customHeight="1" x14ac:dyDescent="0.25">
      <c r="B91" s="16" t="s">
        <v>96</v>
      </c>
    </row>
    <row r="92" spans="2:34" ht="12.75" hidden="1" customHeight="1" x14ac:dyDescent="0.25">
      <c r="B92" s="16" t="s">
        <v>97</v>
      </c>
    </row>
    <row r="93" spans="2:34" ht="12.75" hidden="1" customHeight="1" x14ac:dyDescent="0.25">
      <c r="B93" s="16" t="s">
        <v>98</v>
      </c>
    </row>
    <row r="94" spans="2:34" ht="12.75" hidden="1" customHeight="1" x14ac:dyDescent="0.25">
      <c r="B94" s="16" t="s">
        <v>99</v>
      </c>
    </row>
    <row r="95" spans="2:34" ht="12.75" hidden="1" customHeight="1" x14ac:dyDescent="0.25">
      <c r="B95" s="16" t="s">
        <v>100</v>
      </c>
    </row>
    <row r="96" spans="2:34" ht="12.75" hidden="1" customHeight="1" x14ac:dyDescent="0.25">
      <c r="B96" s="16" t="s">
        <v>101</v>
      </c>
    </row>
    <row r="97" spans="2:2" ht="12.75" hidden="1" customHeight="1" x14ac:dyDescent="0.25">
      <c r="B97" s="16" t="s">
        <v>102</v>
      </c>
    </row>
    <row r="98" spans="2:2" ht="12.75" hidden="1" customHeight="1" x14ac:dyDescent="0.25">
      <c r="B98" s="16" t="s">
        <v>103</v>
      </c>
    </row>
    <row r="99" spans="2:2" ht="12.75" hidden="1" customHeight="1" x14ac:dyDescent="0.25">
      <c r="B99" s="16" t="s">
        <v>104</v>
      </c>
    </row>
    <row r="100" spans="2:2" ht="12.75" hidden="1" customHeight="1" x14ac:dyDescent="0.25">
      <c r="B100" s="16" t="s">
        <v>105</v>
      </c>
    </row>
    <row r="171" x14ac:dyDescent="0.25"/>
    <row r="172" x14ac:dyDescent="0.25"/>
    <row r="173" x14ac:dyDescent="0.25"/>
  </sheetData>
  <sheetProtection formatCells="0" formatRows="0" insertColumns="0" insertRows="0" insertHyperlinks="0" deleteRows="0" selectLockedCells="1" sort="0" autoFilter="0" pivotTables="0"/>
  <mergeCells count="95">
    <mergeCell ref="E7:V7"/>
    <mergeCell ref="A4:V4"/>
    <mergeCell ref="A5:V5"/>
    <mergeCell ref="W4:AA4"/>
    <mergeCell ref="W5:AA5"/>
    <mergeCell ref="A6:D6"/>
    <mergeCell ref="A7:D7"/>
    <mergeCell ref="W6:AA6"/>
    <mergeCell ref="B54:G54"/>
    <mergeCell ref="H49:AF49"/>
    <mergeCell ref="H54:AF54"/>
    <mergeCell ref="B52:G52"/>
    <mergeCell ref="H52:AF52"/>
    <mergeCell ref="B51:G51"/>
    <mergeCell ref="H51:AF51"/>
    <mergeCell ref="H53:AF53"/>
    <mergeCell ref="B53:G53"/>
    <mergeCell ref="B50:G50"/>
    <mergeCell ref="H50:AF50"/>
    <mergeCell ref="B49:G49"/>
    <mergeCell ref="Y45:AF45"/>
    <mergeCell ref="Y46:AF46"/>
    <mergeCell ref="B44:D44"/>
    <mergeCell ref="B46:D46"/>
    <mergeCell ref="B43:D43"/>
    <mergeCell ref="B45:D45"/>
    <mergeCell ref="Y44:AF44"/>
    <mergeCell ref="E44:X44"/>
    <mergeCell ref="E46:X46"/>
    <mergeCell ref="Y43:AF43"/>
    <mergeCell ref="E45:X45"/>
    <mergeCell ref="Y42:AF42"/>
    <mergeCell ref="R28:AF28"/>
    <mergeCell ref="Y36:AF36"/>
    <mergeCell ref="B36:D36"/>
    <mergeCell ref="E36:X36"/>
    <mergeCell ref="E39:X39"/>
    <mergeCell ref="E38:X38"/>
    <mergeCell ref="E37:X37"/>
    <mergeCell ref="B38:D38"/>
    <mergeCell ref="Y37:AF37"/>
    <mergeCell ref="Y38:AF38"/>
    <mergeCell ref="Y40:AF40"/>
    <mergeCell ref="B42:D42"/>
    <mergeCell ref="Y39:AF39"/>
    <mergeCell ref="B39:D39"/>
    <mergeCell ref="B28:D28"/>
    <mergeCell ref="I25:Q25"/>
    <mergeCell ref="B37:D37"/>
    <mergeCell ref="I24:Q24"/>
    <mergeCell ref="R24:AF24"/>
    <mergeCell ref="E27:H27"/>
    <mergeCell ref="I27:Q27"/>
    <mergeCell ref="R27:AF27"/>
    <mergeCell ref="R25:AF25"/>
    <mergeCell ref="R26:AF26"/>
    <mergeCell ref="B32:AF32"/>
    <mergeCell ref="E24:H24"/>
    <mergeCell ref="E25:H25"/>
    <mergeCell ref="E26:H26"/>
    <mergeCell ref="E28:H28"/>
    <mergeCell ref="B27:D27"/>
    <mergeCell ref="B25:D25"/>
    <mergeCell ref="I28:Q28"/>
    <mergeCell ref="B26:D26"/>
    <mergeCell ref="I26:Q26"/>
    <mergeCell ref="B40:D40"/>
    <mergeCell ref="E40:X40"/>
    <mergeCell ref="G16:AF16"/>
    <mergeCell ref="G21:AF21"/>
    <mergeCell ref="B21:F21"/>
    <mergeCell ref="G17:AF17"/>
    <mergeCell ref="A9:AG9"/>
    <mergeCell ref="B17:F17"/>
    <mergeCell ref="B16:F16"/>
    <mergeCell ref="B20:F20"/>
    <mergeCell ref="G20:AF20"/>
    <mergeCell ref="B19:F19"/>
    <mergeCell ref="G19:AF19"/>
    <mergeCell ref="E42:X42"/>
    <mergeCell ref="E43:X43"/>
    <mergeCell ref="AB4:AG4"/>
    <mergeCell ref="AB5:AG5"/>
    <mergeCell ref="AE6:AG6"/>
    <mergeCell ref="AE7:AG7"/>
    <mergeCell ref="A8:AG8"/>
    <mergeCell ref="AB6:AD6"/>
    <mergeCell ref="AB7:AD7"/>
    <mergeCell ref="E6:V6"/>
    <mergeCell ref="B15:F15"/>
    <mergeCell ref="B24:D24"/>
    <mergeCell ref="B18:F18"/>
    <mergeCell ref="G18:AF18"/>
    <mergeCell ref="W7:AA7"/>
    <mergeCell ref="G15:AF15"/>
  </mergeCells>
  <phoneticPr fontId="3"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1&amp;R&amp;P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9" tint="0.59999389629810485"/>
  </sheetPr>
  <dimension ref="B1:BH171"/>
  <sheetViews>
    <sheetView showGridLines="0" zoomScaleNormal="100" workbookViewId="0"/>
  </sheetViews>
  <sheetFormatPr defaultColWidth="0" defaultRowHeight="12.75" customHeight="1" zeroHeight="1" x14ac:dyDescent="0.25"/>
  <cols>
    <col min="1" max="33" width="2.6640625" style="16" customWidth="1"/>
    <col min="34" max="34" width="1.33203125" style="16" customWidth="1"/>
    <col min="35" max="60" width="3.33203125" style="16" hidden="1" customWidth="1"/>
    <col min="61" max="16384" width="0" style="16" hidden="1"/>
  </cols>
  <sheetData>
    <row r="1" spans="2:34" ht="13.2" x14ac:dyDescent="0.25">
      <c r="B1" s="188" t="s">
        <v>120</v>
      </c>
      <c r="C1" s="188"/>
      <c r="D1" s="188"/>
      <c r="E1" s="188"/>
      <c r="F1" s="188"/>
      <c r="G1" s="188"/>
      <c r="H1" s="188"/>
      <c r="I1" s="188"/>
      <c r="J1" s="188"/>
      <c r="K1" s="188"/>
      <c r="L1" s="188"/>
      <c r="M1" s="188"/>
      <c r="N1" s="188"/>
      <c r="O1" s="188"/>
      <c r="P1" s="188"/>
      <c r="Q1" s="188"/>
      <c r="R1" s="188"/>
      <c r="S1" s="188"/>
      <c r="T1" s="188"/>
      <c r="U1" s="188"/>
      <c r="V1" s="188"/>
      <c r="W1" s="188"/>
      <c r="X1" s="188"/>
      <c r="Y1" s="188"/>
      <c r="Z1" s="188"/>
      <c r="AA1" s="188"/>
      <c r="AB1" s="188"/>
      <c r="AC1" s="188"/>
      <c r="AD1" s="188"/>
      <c r="AE1" s="188"/>
      <c r="AF1" s="188"/>
      <c r="AG1" s="188"/>
    </row>
    <row r="2" spans="2:34" ht="20.25" customHeight="1" x14ac:dyDescent="0.25">
      <c r="B2" s="188"/>
      <c r="C2" s="188"/>
      <c r="D2" s="188"/>
      <c r="E2" s="188"/>
      <c r="F2" s="188"/>
      <c r="G2" s="188"/>
      <c r="H2" s="188"/>
      <c r="I2" s="188"/>
      <c r="J2" s="188"/>
      <c r="K2" s="188"/>
      <c r="L2" s="188"/>
      <c r="M2" s="188"/>
      <c r="N2" s="188"/>
      <c r="O2" s="188"/>
      <c r="P2" s="188"/>
      <c r="Q2" s="188"/>
      <c r="R2" s="188"/>
      <c r="S2" s="188"/>
      <c r="T2" s="188"/>
      <c r="U2" s="188"/>
      <c r="V2" s="188"/>
      <c r="W2" s="188"/>
      <c r="X2" s="188"/>
      <c r="Y2" s="188"/>
      <c r="Z2" s="188"/>
      <c r="AA2" s="188"/>
      <c r="AB2" s="188"/>
      <c r="AC2" s="188"/>
      <c r="AD2" s="188"/>
      <c r="AE2" s="188"/>
      <c r="AF2" s="188"/>
      <c r="AG2" s="188"/>
    </row>
    <row r="3" spans="2:34" ht="13.2" x14ac:dyDescent="0.25">
      <c r="B3" s="188"/>
      <c r="C3" s="188"/>
      <c r="D3" s="188"/>
      <c r="E3" s="188"/>
      <c r="F3" s="188"/>
      <c r="G3" s="188"/>
      <c r="H3" s="188"/>
      <c r="I3" s="188"/>
      <c r="J3" s="188"/>
      <c r="K3" s="188"/>
      <c r="L3" s="188"/>
      <c r="M3" s="188"/>
      <c r="N3" s="188"/>
      <c r="O3" s="188"/>
      <c r="P3" s="188"/>
      <c r="Q3" s="188"/>
      <c r="R3" s="188"/>
      <c r="S3" s="188"/>
      <c r="T3" s="188"/>
      <c r="U3" s="188"/>
      <c r="V3" s="188"/>
      <c r="W3" s="188"/>
      <c r="X3" s="188"/>
      <c r="Y3" s="188"/>
      <c r="Z3" s="188"/>
      <c r="AA3" s="188"/>
      <c r="AB3" s="188"/>
      <c r="AC3" s="188"/>
      <c r="AD3" s="188"/>
      <c r="AE3" s="188"/>
      <c r="AF3" s="188"/>
      <c r="AG3" s="188"/>
    </row>
    <row r="4" spans="2:34" ht="13.2" x14ac:dyDescent="0.25">
      <c r="B4" s="188"/>
      <c r="C4" s="188"/>
      <c r="D4" s="188"/>
      <c r="E4" s="188"/>
      <c r="F4" s="188"/>
      <c r="G4" s="188"/>
      <c r="H4" s="188"/>
      <c r="I4" s="188"/>
      <c r="J4" s="188"/>
      <c r="K4" s="188"/>
      <c r="L4" s="188"/>
      <c r="M4" s="188"/>
      <c r="N4" s="188"/>
      <c r="O4" s="188"/>
      <c r="P4" s="188"/>
      <c r="Q4" s="188"/>
      <c r="R4" s="188"/>
      <c r="S4" s="188"/>
      <c r="T4" s="188"/>
      <c r="U4" s="188"/>
      <c r="V4" s="188"/>
      <c r="W4" s="188"/>
      <c r="X4" s="188"/>
      <c r="Y4" s="188"/>
      <c r="Z4" s="188"/>
      <c r="AA4" s="188"/>
      <c r="AB4" s="188"/>
      <c r="AC4" s="188"/>
      <c r="AD4" s="188"/>
      <c r="AE4" s="188"/>
      <c r="AF4" s="188"/>
      <c r="AG4" s="188"/>
    </row>
    <row r="5" spans="2:34" ht="13.2" x14ac:dyDescent="0.25">
      <c r="B5" s="188"/>
      <c r="C5" s="188"/>
      <c r="D5" s="188"/>
      <c r="E5" s="188"/>
      <c r="F5" s="188"/>
      <c r="G5" s="188"/>
      <c r="H5" s="188"/>
      <c r="I5" s="188"/>
      <c r="J5" s="188"/>
      <c r="K5" s="188"/>
      <c r="L5" s="188"/>
      <c r="M5" s="188"/>
      <c r="N5" s="188"/>
      <c r="O5" s="188"/>
      <c r="P5" s="188"/>
      <c r="Q5" s="188"/>
      <c r="R5" s="188"/>
      <c r="S5" s="188"/>
      <c r="T5" s="188"/>
      <c r="U5" s="188"/>
      <c r="V5" s="188"/>
      <c r="W5" s="188"/>
      <c r="X5" s="188"/>
      <c r="Y5" s="188"/>
      <c r="Z5" s="188"/>
      <c r="AA5" s="188"/>
      <c r="AB5" s="188"/>
      <c r="AC5" s="188"/>
      <c r="AD5" s="188"/>
      <c r="AE5" s="188"/>
      <c r="AF5" s="188"/>
      <c r="AG5" s="188"/>
    </row>
    <row r="6" spans="2:34" ht="13.2" x14ac:dyDescent="0.25">
      <c r="B6" s="188"/>
      <c r="C6" s="188"/>
      <c r="D6" s="188"/>
      <c r="E6" s="188"/>
      <c r="F6" s="188"/>
      <c r="G6" s="188"/>
      <c r="H6" s="188"/>
      <c r="I6" s="188"/>
      <c r="J6" s="188"/>
      <c r="K6" s="188"/>
      <c r="L6" s="188"/>
      <c r="M6" s="188"/>
      <c r="N6" s="188"/>
      <c r="O6" s="188"/>
      <c r="P6" s="188"/>
      <c r="Q6" s="188"/>
      <c r="R6" s="188"/>
      <c r="S6" s="188"/>
      <c r="T6" s="188"/>
      <c r="U6" s="188"/>
      <c r="V6" s="188"/>
      <c r="W6" s="188"/>
      <c r="X6" s="188"/>
      <c r="Y6" s="188"/>
      <c r="Z6" s="188"/>
      <c r="AA6" s="188"/>
      <c r="AB6" s="188"/>
      <c r="AC6" s="188"/>
      <c r="AD6" s="188"/>
      <c r="AE6" s="188"/>
      <c r="AF6" s="188"/>
      <c r="AG6" s="188"/>
    </row>
    <row r="7" spans="2:34" ht="13.2" x14ac:dyDescent="0.25">
      <c r="B7" s="188"/>
      <c r="C7" s="188"/>
      <c r="D7" s="188"/>
      <c r="E7" s="188"/>
      <c r="F7" s="188"/>
      <c r="G7" s="188"/>
      <c r="H7" s="188"/>
      <c r="I7" s="188"/>
      <c r="J7" s="188"/>
      <c r="K7" s="188"/>
      <c r="L7" s="188"/>
      <c r="M7" s="188"/>
      <c r="N7" s="188"/>
      <c r="O7" s="188"/>
      <c r="P7" s="188"/>
      <c r="Q7" s="188"/>
      <c r="R7" s="188"/>
      <c r="S7" s="188"/>
      <c r="T7" s="188"/>
      <c r="U7" s="188"/>
      <c r="V7" s="188"/>
      <c r="W7" s="188"/>
      <c r="X7" s="188"/>
      <c r="Y7" s="188"/>
      <c r="Z7" s="188"/>
      <c r="AA7" s="188"/>
      <c r="AB7" s="188"/>
      <c r="AC7" s="188"/>
      <c r="AD7" s="188"/>
      <c r="AE7" s="188"/>
      <c r="AF7" s="188"/>
      <c r="AG7" s="188"/>
    </row>
    <row r="8" spans="2:34" ht="13.2" x14ac:dyDescent="0.25">
      <c r="B8" s="188"/>
      <c r="C8" s="188"/>
      <c r="D8" s="188"/>
      <c r="E8" s="188"/>
      <c r="F8" s="188"/>
      <c r="G8" s="188"/>
      <c r="H8" s="188"/>
      <c r="I8" s="188"/>
      <c r="J8" s="188"/>
      <c r="K8" s="188"/>
      <c r="L8" s="188"/>
      <c r="M8" s="188"/>
      <c r="N8" s="188"/>
      <c r="O8" s="188"/>
      <c r="P8" s="188"/>
      <c r="Q8" s="188"/>
      <c r="R8" s="188"/>
      <c r="S8" s="188"/>
      <c r="T8" s="188"/>
      <c r="U8" s="188"/>
      <c r="V8" s="188"/>
      <c r="W8" s="188"/>
      <c r="X8" s="188"/>
      <c r="Y8" s="188"/>
      <c r="Z8" s="188"/>
      <c r="AA8" s="188"/>
      <c r="AB8" s="188"/>
      <c r="AC8" s="188"/>
      <c r="AD8" s="188"/>
      <c r="AE8" s="188"/>
      <c r="AF8" s="188"/>
      <c r="AG8" s="188"/>
    </row>
    <row r="9" spans="2:34" ht="13.2" x14ac:dyDescent="0.25">
      <c r="B9" s="188"/>
      <c r="C9" s="188"/>
      <c r="D9" s="188"/>
      <c r="E9" s="188"/>
      <c r="F9" s="188"/>
      <c r="G9" s="188"/>
      <c r="H9" s="188"/>
      <c r="I9" s="188"/>
      <c r="J9" s="188"/>
      <c r="K9" s="188"/>
      <c r="L9" s="188"/>
      <c r="M9" s="188"/>
      <c r="N9" s="188"/>
      <c r="O9" s="188"/>
      <c r="P9" s="188"/>
      <c r="Q9" s="188"/>
      <c r="R9" s="188"/>
      <c r="S9" s="188"/>
      <c r="T9" s="188"/>
      <c r="U9" s="188"/>
      <c r="V9" s="188"/>
      <c r="W9" s="188"/>
      <c r="X9" s="188"/>
      <c r="Y9" s="188"/>
      <c r="Z9" s="188"/>
      <c r="AA9" s="188"/>
      <c r="AB9" s="188"/>
      <c r="AC9" s="188"/>
      <c r="AD9" s="188"/>
      <c r="AE9" s="188"/>
      <c r="AF9" s="188"/>
      <c r="AG9" s="188"/>
    </row>
    <row r="10" spans="2:34" ht="13.2" x14ac:dyDescent="0.25">
      <c r="B10" s="188"/>
      <c r="C10" s="188"/>
      <c r="D10" s="188"/>
      <c r="E10" s="188"/>
      <c r="F10" s="188"/>
      <c r="G10" s="188"/>
      <c r="H10" s="188"/>
      <c r="I10" s="188"/>
      <c r="J10" s="188"/>
      <c r="K10" s="188"/>
      <c r="L10" s="188"/>
      <c r="M10" s="188"/>
      <c r="N10" s="188"/>
      <c r="O10" s="188"/>
      <c r="P10" s="188"/>
      <c r="Q10" s="188"/>
      <c r="R10" s="188"/>
      <c r="S10" s="188"/>
      <c r="T10" s="188"/>
      <c r="U10" s="188"/>
      <c r="V10" s="188"/>
      <c r="W10" s="188"/>
      <c r="X10" s="188"/>
      <c r="Y10" s="188"/>
      <c r="Z10" s="188"/>
      <c r="AA10" s="188"/>
      <c r="AB10" s="188"/>
      <c r="AC10" s="188"/>
      <c r="AD10" s="188"/>
      <c r="AE10" s="188"/>
      <c r="AF10" s="188"/>
      <c r="AG10" s="188"/>
    </row>
    <row r="11" spans="2:34" ht="13.2" x14ac:dyDescent="0.25">
      <c r="B11" s="188"/>
      <c r="C11" s="188"/>
      <c r="D11" s="188"/>
      <c r="E11" s="188"/>
      <c r="F11" s="188"/>
      <c r="G11" s="188"/>
      <c r="H11" s="188"/>
      <c r="I11" s="188"/>
      <c r="J11" s="188"/>
      <c r="K11" s="188"/>
      <c r="L11" s="188"/>
      <c r="M11" s="188"/>
      <c r="N11" s="188"/>
      <c r="O11" s="188"/>
      <c r="P11" s="188"/>
      <c r="Q11" s="188"/>
      <c r="R11" s="188"/>
      <c r="S11" s="188"/>
      <c r="T11" s="188"/>
      <c r="U11" s="188"/>
      <c r="V11" s="188"/>
      <c r="W11" s="188"/>
      <c r="X11" s="188"/>
      <c r="Y11" s="188"/>
      <c r="Z11" s="188"/>
      <c r="AA11" s="188"/>
      <c r="AB11" s="188"/>
      <c r="AC11" s="188"/>
      <c r="AD11" s="188"/>
      <c r="AE11" s="188"/>
      <c r="AF11" s="188"/>
      <c r="AG11" s="188"/>
    </row>
    <row r="12" spans="2:34" ht="13.2" x14ac:dyDescent="0.25">
      <c r="B12" s="188"/>
      <c r="C12" s="188"/>
      <c r="D12" s="188"/>
      <c r="E12" s="188"/>
      <c r="F12" s="188"/>
      <c r="G12" s="188"/>
      <c r="H12" s="188"/>
      <c r="I12" s="188"/>
      <c r="J12" s="188"/>
      <c r="K12" s="188"/>
      <c r="L12" s="188"/>
      <c r="M12" s="188"/>
      <c r="N12" s="188"/>
      <c r="O12" s="188"/>
      <c r="P12" s="188"/>
      <c r="Q12" s="188"/>
      <c r="R12" s="188"/>
      <c r="S12" s="188"/>
      <c r="T12" s="188"/>
      <c r="U12" s="188"/>
      <c r="V12" s="188"/>
      <c r="W12" s="188"/>
      <c r="X12" s="188"/>
      <c r="Y12" s="188"/>
      <c r="Z12" s="188"/>
      <c r="AA12" s="188"/>
      <c r="AB12" s="188"/>
      <c r="AC12" s="188"/>
      <c r="AD12" s="188"/>
      <c r="AE12" s="188"/>
      <c r="AF12" s="188"/>
      <c r="AG12" s="188"/>
    </row>
    <row r="13" spans="2:34" ht="13.2" x14ac:dyDescent="0.25">
      <c r="B13" s="188"/>
      <c r="C13" s="188"/>
      <c r="D13" s="188"/>
      <c r="E13" s="188"/>
      <c r="F13" s="188"/>
      <c r="G13" s="188"/>
      <c r="H13" s="188"/>
      <c r="I13" s="188"/>
      <c r="J13" s="188"/>
      <c r="K13" s="188"/>
      <c r="L13" s="188"/>
      <c r="M13" s="188"/>
      <c r="N13" s="188"/>
      <c r="O13" s="188"/>
      <c r="P13" s="188"/>
      <c r="Q13" s="188"/>
      <c r="R13" s="188"/>
      <c r="S13" s="188"/>
      <c r="T13" s="188"/>
      <c r="U13" s="188"/>
      <c r="V13" s="188"/>
      <c r="W13" s="188"/>
      <c r="X13" s="188"/>
      <c r="Y13" s="188"/>
      <c r="Z13" s="188"/>
      <c r="AA13" s="188"/>
      <c r="AB13" s="188"/>
      <c r="AC13" s="188"/>
      <c r="AD13" s="188"/>
      <c r="AE13" s="188"/>
      <c r="AF13" s="188"/>
      <c r="AG13" s="188"/>
    </row>
    <row r="14" spans="2:34" ht="13.2" x14ac:dyDescent="0.25">
      <c r="B14" s="188"/>
      <c r="C14" s="188"/>
      <c r="D14" s="188"/>
      <c r="E14" s="188"/>
      <c r="F14" s="188"/>
      <c r="G14" s="188"/>
      <c r="H14" s="188"/>
      <c r="I14" s="188"/>
      <c r="J14" s="188"/>
      <c r="K14" s="188"/>
      <c r="L14" s="188"/>
      <c r="M14" s="188"/>
      <c r="N14" s="188"/>
      <c r="O14" s="188"/>
      <c r="P14" s="188"/>
      <c r="Q14" s="188"/>
      <c r="R14" s="188"/>
      <c r="S14" s="188"/>
      <c r="T14" s="188"/>
      <c r="U14" s="188"/>
      <c r="V14" s="188"/>
      <c r="W14" s="188"/>
      <c r="X14" s="188"/>
      <c r="Y14" s="188"/>
      <c r="Z14" s="188"/>
      <c r="AA14" s="188"/>
      <c r="AB14" s="188"/>
      <c r="AC14" s="188"/>
      <c r="AD14" s="188"/>
      <c r="AE14" s="188"/>
      <c r="AF14" s="188"/>
      <c r="AG14" s="188"/>
      <c r="AH14" s="40"/>
    </row>
    <row r="15" spans="2:34" ht="13.2" x14ac:dyDescent="0.25">
      <c r="B15" s="188"/>
      <c r="C15" s="188"/>
      <c r="D15" s="188"/>
      <c r="E15" s="188"/>
      <c r="F15" s="188"/>
      <c r="G15" s="188"/>
      <c r="H15" s="188"/>
      <c r="I15" s="188"/>
      <c r="J15" s="188"/>
      <c r="K15" s="188"/>
      <c r="L15" s="188"/>
      <c r="M15" s="188"/>
      <c r="N15" s="188"/>
      <c r="O15" s="188"/>
      <c r="P15" s="188"/>
      <c r="Q15" s="188"/>
      <c r="R15" s="188"/>
      <c r="S15" s="188"/>
      <c r="T15" s="188"/>
      <c r="U15" s="188"/>
      <c r="V15" s="188"/>
      <c r="W15" s="188"/>
      <c r="X15" s="188"/>
      <c r="Y15" s="188"/>
      <c r="Z15" s="188"/>
      <c r="AA15" s="188"/>
      <c r="AB15" s="188"/>
      <c r="AC15" s="188"/>
      <c r="AD15" s="188"/>
      <c r="AE15" s="188"/>
      <c r="AF15" s="188"/>
      <c r="AG15" s="188"/>
      <c r="AH15" s="40"/>
    </row>
    <row r="16" spans="2:34" ht="13.2" x14ac:dyDescent="0.25">
      <c r="B16" s="188"/>
      <c r="C16" s="188"/>
      <c r="D16" s="188"/>
      <c r="E16" s="188"/>
      <c r="F16" s="188"/>
      <c r="G16" s="188"/>
      <c r="H16" s="188"/>
      <c r="I16" s="188"/>
      <c r="J16" s="188"/>
      <c r="K16" s="188"/>
      <c r="L16" s="188"/>
      <c r="M16" s="188"/>
      <c r="N16" s="188"/>
      <c r="O16" s="188"/>
      <c r="P16" s="188"/>
      <c r="Q16" s="188"/>
      <c r="R16" s="188"/>
      <c r="S16" s="188"/>
      <c r="T16" s="188"/>
      <c r="U16" s="188"/>
      <c r="V16" s="188"/>
      <c r="W16" s="188"/>
      <c r="X16" s="188"/>
      <c r="Y16" s="188"/>
      <c r="Z16" s="188"/>
      <c r="AA16" s="188"/>
      <c r="AB16" s="188"/>
      <c r="AC16" s="188"/>
      <c r="AD16" s="188"/>
      <c r="AE16" s="188"/>
      <c r="AF16" s="188"/>
      <c r="AG16" s="188"/>
      <c r="AH16" s="40"/>
    </row>
    <row r="17" spans="2:34" ht="13.2" x14ac:dyDescent="0.25">
      <c r="B17" s="188"/>
      <c r="C17" s="188"/>
      <c r="D17" s="188"/>
      <c r="E17" s="188"/>
      <c r="F17" s="188"/>
      <c r="G17" s="188"/>
      <c r="H17" s="188"/>
      <c r="I17" s="188"/>
      <c r="J17" s="188"/>
      <c r="K17" s="188"/>
      <c r="L17" s="188"/>
      <c r="M17" s="188"/>
      <c r="N17" s="188"/>
      <c r="O17" s="188"/>
      <c r="P17" s="188"/>
      <c r="Q17" s="188"/>
      <c r="R17" s="188"/>
      <c r="S17" s="188"/>
      <c r="T17" s="188"/>
      <c r="U17" s="188"/>
      <c r="V17" s="188"/>
      <c r="W17" s="188"/>
      <c r="X17" s="188"/>
      <c r="Y17" s="188"/>
      <c r="Z17" s="188"/>
      <c r="AA17" s="188"/>
      <c r="AB17" s="188"/>
      <c r="AC17" s="188"/>
      <c r="AD17" s="188"/>
      <c r="AE17" s="188"/>
      <c r="AF17" s="188"/>
      <c r="AG17" s="188"/>
      <c r="AH17" s="40"/>
    </row>
    <row r="18" spans="2:34" ht="13.2" x14ac:dyDescent="0.25">
      <c r="B18" s="188"/>
      <c r="C18" s="188"/>
      <c r="D18" s="188"/>
      <c r="E18" s="188"/>
      <c r="F18" s="188"/>
      <c r="G18" s="188"/>
      <c r="H18" s="188"/>
      <c r="I18" s="188"/>
      <c r="J18" s="188"/>
      <c r="K18" s="188"/>
      <c r="L18" s="188"/>
      <c r="M18" s="188"/>
      <c r="N18" s="188"/>
      <c r="O18" s="188"/>
      <c r="P18" s="188"/>
      <c r="Q18" s="188"/>
      <c r="R18" s="188"/>
      <c r="S18" s="188"/>
      <c r="T18" s="188"/>
      <c r="U18" s="188"/>
      <c r="V18" s="188"/>
      <c r="W18" s="188"/>
      <c r="X18" s="188"/>
      <c r="Y18" s="188"/>
      <c r="Z18" s="188"/>
      <c r="AA18" s="188"/>
      <c r="AB18" s="188"/>
      <c r="AC18" s="188"/>
      <c r="AD18" s="188"/>
      <c r="AE18" s="188"/>
      <c r="AF18" s="188"/>
      <c r="AG18" s="188"/>
      <c r="AH18" s="40"/>
    </row>
    <row r="19" spans="2:34" ht="13.2" x14ac:dyDescent="0.25">
      <c r="B19" s="188"/>
      <c r="C19" s="188"/>
      <c r="D19" s="188"/>
      <c r="E19" s="188"/>
      <c r="F19" s="188"/>
      <c r="G19" s="188"/>
      <c r="H19" s="188"/>
      <c r="I19" s="188"/>
      <c r="J19" s="188"/>
      <c r="K19" s="188"/>
      <c r="L19" s="188"/>
      <c r="M19" s="188"/>
      <c r="N19" s="188"/>
      <c r="O19" s="188"/>
      <c r="P19" s="188"/>
      <c r="Q19" s="188"/>
      <c r="R19" s="188"/>
      <c r="S19" s="188"/>
      <c r="T19" s="188"/>
      <c r="U19" s="188"/>
      <c r="V19" s="188"/>
      <c r="W19" s="188"/>
      <c r="X19" s="188"/>
      <c r="Y19" s="188"/>
      <c r="Z19" s="188"/>
      <c r="AA19" s="188"/>
      <c r="AB19" s="188"/>
      <c r="AC19" s="188"/>
      <c r="AD19" s="188"/>
      <c r="AE19" s="188"/>
      <c r="AF19" s="188"/>
      <c r="AG19" s="188"/>
      <c r="AH19" s="40"/>
    </row>
    <row r="20" spans="2:34" ht="13.2" x14ac:dyDescent="0.25">
      <c r="B20" s="188"/>
      <c r="C20" s="188"/>
      <c r="D20" s="188"/>
      <c r="E20" s="188"/>
      <c r="F20" s="188"/>
      <c r="G20" s="188"/>
      <c r="H20" s="188"/>
      <c r="I20" s="188"/>
      <c r="J20" s="188"/>
      <c r="K20" s="188"/>
      <c r="L20" s="188"/>
      <c r="M20" s="188"/>
      <c r="N20" s="188"/>
      <c r="O20" s="188"/>
      <c r="P20" s="188"/>
      <c r="Q20" s="188"/>
      <c r="R20" s="188"/>
      <c r="S20" s="188"/>
      <c r="T20" s="188"/>
      <c r="U20" s="188"/>
      <c r="V20" s="188"/>
      <c r="W20" s="188"/>
      <c r="X20" s="188"/>
      <c r="Y20" s="188"/>
      <c r="Z20" s="188"/>
      <c r="AA20" s="188"/>
      <c r="AB20" s="188"/>
      <c r="AC20" s="188"/>
      <c r="AD20" s="188"/>
      <c r="AE20" s="188"/>
      <c r="AF20" s="188"/>
      <c r="AG20" s="188"/>
      <c r="AH20" s="43"/>
    </row>
    <row r="21" spans="2:34" ht="13.2" x14ac:dyDescent="0.25">
      <c r="B21" s="188"/>
      <c r="C21" s="188"/>
      <c r="D21" s="188"/>
      <c r="E21" s="188"/>
      <c r="F21" s="188"/>
      <c r="G21" s="188"/>
      <c r="H21" s="188"/>
      <c r="I21" s="188"/>
      <c r="J21" s="188"/>
      <c r="K21" s="188"/>
      <c r="L21" s="188"/>
      <c r="M21" s="188"/>
      <c r="N21" s="188"/>
      <c r="O21" s="188"/>
      <c r="P21" s="188"/>
      <c r="Q21" s="188"/>
      <c r="R21" s="188"/>
      <c r="S21" s="188"/>
      <c r="T21" s="188"/>
      <c r="U21" s="188"/>
      <c r="V21" s="188"/>
      <c r="W21" s="188"/>
      <c r="X21" s="188"/>
      <c r="Y21" s="188"/>
      <c r="Z21" s="188"/>
      <c r="AA21" s="188"/>
      <c r="AB21" s="188"/>
      <c r="AC21" s="188"/>
      <c r="AD21" s="188"/>
      <c r="AE21" s="188"/>
      <c r="AF21" s="188"/>
      <c r="AG21" s="188"/>
      <c r="AH21" s="43"/>
    </row>
    <row r="22" spans="2:34" ht="13.2" x14ac:dyDescent="0.25">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43"/>
    </row>
    <row r="23" spans="2:34" ht="13.2" x14ac:dyDescent="0.25">
      <c r="B23" s="188"/>
      <c r="C23" s="188"/>
      <c r="D23" s="188"/>
      <c r="E23" s="188"/>
      <c r="F23" s="188"/>
      <c r="G23" s="188"/>
      <c r="H23" s="188"/>
      <c r="I23" s="188"/>
      <c r="J23" s="188"/>
      <c r="K23" s="188"/>
      <c r="L23" s="188"/>
      <c r="M23" s="188"/>
      <c r="N23" s="188"/>
      <c r="O23" s="188"/>
      <c r="P23" s="188"/>
      <c r="Q23" s="188"/>
      <c r="R23" s="188"/>
      <c r="S23" s="188"/>
      <c r="T23" s="188"/>
      <c r="U23" s="188"/>
      <c r="V23" s="188"/>
      <c r="W23" s="188"/>
      <c r="X23" s="188"/>
      <c r="Y23" s="188"/>
      <c r="Z23" s="188"/>
      <c r="AA23" s="188"/>
      <c r="AB23" s="188"/>
      <c r="AC23" s="188"/>
      <c r="AD23" s="188"/>
      <c r="AE23" s="188"/>
      <c r="AF23" s="188"/>
      <c r="AG23" s="188"/>
    </row>
    <row r="24" spans="2:34" ht="13.2" x14ac:dyDescent="0.25">
      <c r="B24" s="188"/>
      <c r="C24" s="188"/>
      <c r="D24" s="188"/>
      <c r="E24" s="188"/>
      <c r="F24" s="188"/>
      <c r="G24" s="188"/>
      <c r="H24" s="188"/>
      <c r="I24" s="188"/>
      <c r="J24" s="188"/>
      <c r="K24" s="188"/>
      <c r="L24" s="188"/>
      <c r="M24" s="188"/>
      <c r="N24" s="188"/>
      <c r="O24" s="188"/>
      <c r="P24" s="188"/>
      <c r="Q24" s="188"/>
      <c r="R24" s="188"/>
      <c r="S24" s="188"/>
      <c r="T24" s="188"/>
      <c r="U24" s="188"/>
      <c r="V24" s="188"/>
      <c r="W24" s="188"/>
      <c r="X24" s="188"/>
      <c r="Y24" s="188"/>
      <c r="Z24" s="188"/>
      <c r="AA24" s="188"/>
      <c r="AB24" s="188"/>
      <c r="AC24" s="188"/>
      <c r="AD24" s="188"/>
      <c r="AE24" s="188"/>
      <c r="AF24" s="188"/>
      <c r="AG24" s="188"/>
    </row>
    <row r="25" spans="2:34" ht="13.2" x14ac:dyDescent="0.25">
      <c r="B25" s="188"/>
      <c r="C25" s="188"/>
      <c r="D25" s="188"/>
      <c r="E25" s="188"/>
      <c r="F25" s="188"/>
      <c r="G25" s="188"/>
      <c r="H25" s="188"/>
      <c r="I25" s="188"/>
      <c r="J25" s="188"/>
      <c r="K25" s="188"/>
      <c r="L25" s="188"/>
      <c r="M25" s="188"/>
      <c r="N25" s="188"/>
      <c r="O25" s="188"/>
      <c r="P25" s="188"/>
      <c r="Q25" s="188"/>
      <c r="R25" s="188"/>
      <c r="S25" s="188"/>
      <c r="T25" s="188"/>
      <c r="U25" s="188"/>
      <c r="V25" s="188"/>
      <c r="W25" s="188"/>
      <c r="X25" s="188"/>
      <c r="Y25" s="188"/>
      <c r="Z25" s="188"/>
      <c r="AA25" s="188"/>
      <c r="AB25" s="188"/>
      <c r="AC25" s="188"/>
      <c r="AD25" s="188"/>
      <c r="AE25" s="188"/>
      <c r="AF25" s="188"/>
      <c r="AG25" s="188"/>
    </row>
    <row r="26" spans="2:34" ht="13.2" x14ac:dyDescent="0.25">
      <c r="B26" s="188"/>
      <c r="C26" s="188"/>
      <c r="D26" s="188"/>
      <c r="E26" s="188"/>
      <c r="F26" s="188"/>
      <c r="G26" s="188"/>
      <c r="H26" s="188"/>
      <c r="I26" s="188"/>
      <c r="J26" s="188"/>
      <c r="K26" s="188"/>
      <c r="L26" s="188"/>
      <c r="M26" s="188"/>
      <c r="N26" s="188"/>
      <c r="O26" s="188"/>
      <c r="P26" s="188"/>
      <c r="Q26" s="188"/>
      <c r="R26" s="188"/>
      <c r="S26" s="188"/>
      <c r="T26" s="188"/>
      <c r="U26" s="188"/>
      <c r="V26" s="188"/>
      <c r="W26" s="188"/>
      <c r="X26" s="188"/>
      <c r="Y26" s="188"/>
      <c r="Z26" s="188"/>
      <c r="AA26" s="188"/>
      <c r="AB26" s="188"/>
      <c r="AC26" s="188"/>
      <c r="AD26" s="188"/>
      <c r="AE26" s="188"/>
      <c r="AF26" s="188"/>
      <c r="AG26" s="188"/>
    </row>
    <row r="27" spans="2:34" ht="13.2" x14ac:dyDescent="0.25">
      <c r="B27" s="188"/>
      <c r="C27" s="188"/>
      <c r="D27" s="188"/>
      <c r="E27" s="188"/>
      <c r="F27" s="188"/>
      <c r="G27" s="188"/>
      <c r="H27" s="188"/>
      <c r="I27" s="188"/>
      <c r="J27" s="188"/>
      <c r="K27" s="188"/>
      <c r="L27" s="188"/>
      <c r="M27" s="188"/>
      <c r="N27" s="188"/>
      <c r="O27" s="188"/>
      <c r="P27" s="188"/>
      <c r="Q27" s="188"/>
      <c r="R27" s="188"/>
      <c r="S27" s="188"/>
      <c r="T27" s="188"/>
      <c r="U27" s="188"/>
      <c r="V27" s="188"/>
      <c r="W27" s="188"/>
      <c r="X27" s="188"/>
      <c r="Y27" s="188"/>
      <c r="Z27" s="188"/>
      <c r="AA27" s="188"/>
      <c r="AB27" s="188"/>
      <c r="AC27" s="188"/>
      <c r="AD27" s="188"/>
      <c r="AE27" s="188"/>
      <c r="AF27" s="188"/>
      <c r="AG27" s="188"/>
    </row>
    <row r="28" spans="2:34" ht="13.2" x14ac:dyDescent="0.25">
      <c r="B28" s="188"/>
      <c r="C28" s="188"/>
      <c r="D28" s="188"/>
      <c r="E28" s="188"/>
      <c r="F28" s="188"/>
      <c r="G28" s="188"/>
      <c r="H28" s="188"/>
      <c r="I28" s="188"/>
      <c r="J28" s="188"/>
      <c r="K28" s="188"/>
      <c r="L28" s="188"/>
      <c r="M28" s="188"/>
      <c r="N28" s="188"/>
      <c r="O28" s="188"/>
      <c r="P28" s="188"/>
      <c r="Q28" s="188"/>
      <c r="R28" s="188"/>
      <c r="S28" s="188"/>
      <c r="T28" s="188"/>
      <c r="U28" s="188"/>
      <c r="V28" s="188"/>
      <c r="W28" s="188"/>
      <c r="X28" s="188"/>
      <c r="Y28" s="188"/>
      <c r="Z28" s="188"/>
      <c r="AA28" s="188"/>
      <c r="AB28" s="188"/>
      <c r="AC28" s="188"/>
      <c r="AD28" s="188"/>
      <c r="AE28" s="188"/>
      <c r="AF28" s="188"/>
      <c r="AG28" s="188"/>
    </row>
    <row r="29" spans="2:34" ht="13.2" x14ac:dyDescent="0.25">
      <c r="B29" s="188"/>
      <c r="C29" s="188"/>
      <c r="D29" s="188"/>
      <c r="E29" s="188"/>
      <c r="F29" s="188"/>
      <c r="G29" s="188"/>
      <c r="H29" s="188"/>
      <c r="I29" s="188"/>
      <c r="J29" s="188"/>
      <c r="K29" s="188"/>
      <c r="L29" s="188"/>
      <c r="M29" s="188"/>
      <c r="N29" s="188"/>
      <c r="O29" s="188"/>
      <c r="P29" s="188"/>
      <c r="Q29" s="188"/>
      <c r="R29" s="188"/>
      <c r="S29" s="188"/>
      <c r="T29" s="188"/>
      <c r="U29" s="188"/>
      <c r="V29" s="188"/>
      <c r="W29" s="188"/>
      <c r="X29" s="188"/>
      <c r="Y29" s="188"/>
      <c r="Z29" s="188"/>
      <c r="AA29" s="188"/>
      <c r="AB29" s="188"/>
      <c r="AC29" s="188"/>
      <c r="AD29" s="188"/>
      <c r="AE29" s="188"/>
      <c r="AF29" s="188"/>
      <c r="AG29" s="188"/>
    </row>
    <row r="30" spans="2:34" ht="13.2" x14ac:dyDescent="0.25">
      <c r="B30" s="188"/>
      <c r="C30" s="188"/>
      <c r="D30" s="188"/>
      <c r="E30" s="188"/>
      <c r="F30" s="188"/>
      <c r="G30" s="188"/>
      <c r="H30" s="188"/>
      <c r="I30" s="188"/>
      <c r="J30" s="188"/>
      <c r="K30" s="188"/>
      <c r="L30" s="188"/>
      <c r="M30" s="188"/>
      <c r="N30" s="188"/>
      <c r="O30" s="188"/>
      <c r="P30" s="188"/>
      <c r="Q30" s="188"/>
      <c r="R30" s="188"/>
      <c r="S30" s="188"/>
      <c r="T30" s="188"/>
      <c r="U30" s="188"/>
      <c r="V30" s="188"/>
      <c r="W30" s="188"/>
      <c r="X30" s="188"/>
      <c r="Y30" s="188"/>
      <c r="Z30" s="188"/>
      <c r="AA30" s="188"/>
      <c r="AB30" s="188"/>
      <c r="AC30" s="188"/>
      <c r="AD30" s="188"/>
      <c r="AE30" s="188"/>
      <c r="AF30" s="188"/>
      <c r="AG30" s="188"/>
    </row>
    <row r="31" spans="2:34" ht="13.2" x14ac:dyDescent="0.25">
      <c r="B31" s="188"/>
      <c r="C31" s="188"/>
      <c r="D31" s="188"/>
      <c r="E31" s="188"/>
      <c r="F31" s="188"/>
      <c r="G31" s="188"/>
      <c r="H31" s="188"/>
      <c r="I31" s="188"/>
      <c r="J31" s="188"/>
      <c r="K31" s="188"/>
      <c r="L31" s="188"/>
      <c r="M31" s="188"/>
      <c r="N31" s="188"/>
      <c r="O31" s="188"/>
      <c r="P31" s="188"/>
      <c r="Q31" s="188"/>
      <c r="R31" s="188"/>
      <c r="S31" s="188"/>
      <c r="T31" s="188"/>
      <c r="U31" s="188"/>
      <c r="V31" s="188"/>
      <c r="W31" s="188"/>
      <c r="X31" s="188"/>
      <c r="Y31" s="188"/>
      <c r="Z31" s="188"/>
      <c r="AA31" s="188"/>
      <c r="AB31" s="188"/>
      <c r="AC31" s="188"/>
      <c r="AD31" s="188"/>
      <c r="AE31" s="188"/>
      <c r="AF31" s="188"/>
      <c r="AG31" s="188"/>
    </row>
    <row r="32" spans="2:34" ht="13.2" x14ac:dyDescent="0.25">
      <c r="B32" s="188"/>
      <c r="C32" s="188"/>
      <c r="D32" s="188"/>
      <c r="E32" s="188"/>
      <c r="F32" s="188"/>
      <c r="G32" s="188"/>
      <c r="H32" s="188"/>
      <c r="I32" s="188"/>
      <c r="J32" s="188"/>
      <c r="K32" s="188"/>
      <c r="L32" s="188"/>
      <c r="M32" s="188"/>
      <c r="N32" s="188"/>
      <c r="O32" s="188"/>
      <c r="P32" s="188"/>
      <c r="Q32" s="188"/>
      <c r="R32" s="188"/>
      <c r="S32" s="188"/>
      <c r="T32" s="188"/>
      <c r="U32" s="188"/>
      <c r="V32" s="188"/>
      <c r="W32" s="188"/>
      <c r="X32" s="188"/>
      <c r="Y32" s="188"/>
      <c r="Z32" s="188"/>
      <c r="AA32" s="188"/>
      <c r="AB32" s="188"/>
      <c r="AC32" s="188"/>
      <c r="AD32" s="188"/>
      <c r="AE32" s="188"/>
      <c r="AF32" s="188"/>
      <c r="AG32" s="188"/>
    </row>
    <row r="33" spans="2:33" ht="13.2" x14ac:dyDescent="0.25">
      <c r="B33" s="188"/>
      <c r="C33" s="188"/>
      <c r="D33" s="188"/>
      <c r="E33" s="188"/>
      <c r="F33" s="188"/>
      <c r="G33" s="188"/>
      <c r="H33" s="188"/>
      <c r="I33" s="188"/>
      <c r="J33" s="188"/>
      <c r="K33" s="188"/>
      <c r="L33" s="188"/>
      <c r="M33" s="188"/>
      <c r="N33" s="188"/>
      <c r="O33" s="188"/>
      <c r="P33" s="188"/>
      <c r="Q33" s="188"/>
      <c r="R33" s="188"/>
      <c r="S33" s="188"/>
      <c r="T33" s="188"/>
      <c r="U33" s="188"/>
      <c r="V33" s="188"/>
      <c r="W33" s="188"/>
      <c r="X33" s="188"/>
      <c r="Y33" s="188"/>
      <c r="Z33" s="188"/>
      <c r="AA33" s="188"/>
      <c r="AB33" s="188"/>
      <c r="AC33" s="188"/>
      <c r="AD33" s="188"/>
      <c r="AE33" s="188"/>
      <c r="AF33" s="188"/>
      <c r="AG33" s="188"/>
    </row>
    <row r="34" spans="2:33" ht="13.2" x14ac:dyDescent="0.25">
      <c r="B34" s="188"/>
      <c r="C34" s="188"/>
      <c r="D34" s="188"/>
      <c r="E34" s="188"/>
      <c r="F34" s="188"/>
      <c r="G34" s="188"/>
      <c r="H34" s="188"/>
      <c r="I34" s="188"/>
      <c r="J34" s="188"/>
      <c r="K34" s="188"/>
      <c r="L34" s="188"/>
      <c r="M34" s="188"/>
      <c r="N34" s="188"/>
      <c r="O34" s="188"/>
      <c r="P34" s="188"/>
      <c r="Q34" s="188"/>
      <c r="R34" s="188"/>
      <c r="S34" s="188"/>
      <c r="T34" s="188"/>
      <c r="U34" s="188"/>
      <c r="V34" s="188"/>
      <c r="W34" s="188"/>
      <c r="X34" s="188"/>
      <c r="Y34" s="188"/>
      <c r="Z34" s="188"/>
      <c r="AA34" s="188"/>
      <c r="AB34" s="188"/>
      <c r="AC34" s="188"/>
      <c r="AD34" s="188"/>
      <c r="AE34" s="188"/>
      <c r="AF34" s="188"/>
      <c r="AG34" s="188"/>
    </row>
    <row r="35" spans="2:33" ht="12.75" customHeight="1" x14ac:dyDescent="0.25">
      <c r="B35" s="188"/>
      <c r="C35" s="188"/>
      <c r="D35" s="188"/>
      <c r="E35" s="188"/>
      <c r="F35" s="188"/>
      <c r="G35" s="188"/>
      <c r="H35" s="188"/>
      <c r="I35" s="188"/>
      <c r="J35" s="188"/>
      <c r="K35" s="188"/>
      <c r="L35" s="188"/>
      <c r="M35" s="188"/>
      <c r="N35" s="188"/>
      <c r="O35" s="188"/>
      <c r="P35" s="188"/>
      <c r="Q35" s="188"/>
      <c r="R35" s="188"/>
      <c r="S35" s="188"/>
      <c r="T35" s="188"/>
      <c r="U35" s="188"/>
      <c r="V35" s="188"/>
      <c r="W35" s="188"/>
      <c r="X35" s="188"/>
      <c r="Y35" s="188"/>
      <c r="Z35" s="188"/>
      <c r="AA35" s="188"/>
      <c r="AB35" s="188"/>
      <c r="AC35" s="188"/>
      <c r="AD35" s="188"/>
      <c r="AE35" s="188"/>
      <c r="AF35" s="188"/>
      <c r="AG35" s="188"/>
    </row>
    <row r="36" spans="2:33" ht="12.75" customHeight="1" x14ac:dyDescent="0.25">
      <c r="B36" s="188"/>
      <c r="C36" s="188"/>
      <c r="D36" s="188"/>
      <c r="E36" s="188"/>
      <c r="F36" s="188"/>
      <c r="G36" s="188"/>
      <c r="H36" s="188"/>
      <c r="I36" s="188"/>
      <c r="J36" s="188"/>
      <c r="K36" s="188"/>
      <c r="L36" s="188"/>
      <c r="M36" s="188"/>
      <c r="N36" s="188"/>
      <c r="O36" s="188"/>
      <c r="P36" s="188"/>
      <c r="Q36" s="188"/>
      <c r="R36" s="188"/>
      <c r="S36" s="188"/>
      <c r="T36" s="188"/>
      <c r="U36" s="188"/>
      <c r="V36" s="188"/>
      <c r="W36" s="188"/>
      <c r="X36" s="188"/>
      <c r="Y36" s="188"/>
      <c r="Z36" s="188"/>
      <c r="AA36" s="188"/>
      <c r="AB36" s="188"/>
      <c r="AC36" s="188"/>
      <c r="AD36" s="188"/>
      <c r="AE36" s="188"/>
      <c r="AF36" s="188"/>
      <c r="AG36" s="188"/>
    </row>
    <row r="37" spans="2:33" ht="12.75" customHeight="1" x14ac:dyDescent="0.25">
      <c r="B37" s="188"/>
      <c r="C37" s="188"/>
      <c r="D37" s="188"/>
      <c r="E37" s="188"/>
      <c r="F37" s="188"/>
      <c r="G37" s="188"/>
      <c r="H37" s="188"/>
      <c r="I37" s="188"/>
      <c r="J37" s="188"/>
      <c r="K37" s="188"/>
      <c r="L37" s="188"/>
      <c r="M37" s="188"/>
      <c r="N37" s="188"/>
      <c r="O37" s="188"/>
      <c r="P37" s="188"/>
      <c r="Q37" s="188"/>
      <c r="R37" s="188"/>
      <c r="S37" s="188"/>
      <c r="T37" s="188"/>
      <c r="U37" s="188"/>
      <c r="V37" s="188"/>
      <c r="W37" s="188"/>
      <c r="X37" s="188"/>
      <c r="Y37" s="188"/>
      <c r="Z37" s="188"/>
      <c r="AA37" s="188"/>
      <c r="AB37" s="188"/>
      <c r="AC37" s="188"/>
      <c r="AD37" s="188"/>
      <c r="AE37" s="188"/>
      <c r="AF37" s="188"/>
      <c r="AG37" s="188"/>
    </row>
    <row r="38" spans="2:33" ht="12.75" customHeight="1" x14ac:dyDescent="0.25"/>
    <row r="39" spans="2:33" ht="12.75" customHeight="1" x14ac:dyDescent="0.25"/>
    <row r="40" spans="2:33" ht="12.75" customHeight="1" x14ac:dyDescent="0.25"/>
    <row r="41" spans="2:33" ht="12.75" customHeight="1" x14ac:dyDescent="0.25"/>
    <row r="42" spans="2:33" ht="12.75" customHeight="1" x14ac:dyDescent="0.25"/>
    <row r="43" spans="2:33" ht="12.75" customHeight="1" x14ac:dyDescent="0.25"/>
    <row r="44" spans="2:33" ht="12.75" customHeight="1" x14ac:dyDescent="0.25"/>
    <row r="45" spans="2:33" ht="12.75" customHeight="1" x14ac:dyDescent="0.25"/>
    <row r="46" spans="2:33" ht="12.75" customHeight="1" x14ac:dyDescent="0.25"/>
    <row r="47" spans="2:33" ht="12.75" customHeight="1" x14ac:dyDescent="0.25"/>
    <row r="48" spans="2:33"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sheetData>
  <sheetProtection formatCells="0" formatRows="0" insertColumns="0" insertRows="0" insertHyperlinks="0" deleteRows="0" selectLockedCells="1" sort="0" autoFilter="0" pivotTables="0"/>
  <mergeCells count="1">
    <mergeCell ref="B1:AG37"/>
  </mergeCell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1&amp;R&amp;P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N47"/>
  <sheetViews>
    <sheetView tabSelected="1" zoomScaleNormal="100" workbookViewId="0">
      <selection activeCell="F23" sqref="F23"/>
    </sheetView>
  </sheetViews>
  <sheetFormatPr defaultRowHeight="13.2" x14ac:dyDescent="0.25"/>
  <cols>
    <col min="1" max="1" width="2.5546875" customWidth="1"/>
    <col min="2" max="2" width="5.33203125" customWidth="1"/>
    <col min="3" max="3" width="17.88671875" customWidth="1"/>
    <col min="4" max="4" width="53.33203125" customWidth="1"/>
    <col min="5" max="5" width="14" customWidth="1"/>
    <col min="6" max="6" width="53.6640625" bestFit="1" customWidth="1"/>
    <col min="7" max="7" width="11.6640625" customWidth="1"/>
    <col min="8" max="8" width="7.5546875" bestFit="1" customWidth="1"/>
    <col min="9" max="9" width="10.33203125" customWidth="1"/>
    <col min="10" max="10" width="18.44140625" customWidth="1"/>
    <col min="12" max="13" width="11.44140625" customWidth="1"/>
    <col min="14" max="14" width="18.33203125" customWidth="1"/>
  </cols>
  <sheetData>
    <row r="1" spans="2:14" ht="13.8" thickBot="1" x14ac:dyDescent="0.3"/>
    <row r="2" spans="2:14" ht="43.8" thickBot="1" x14ac:dyDescent="0.3">
      <c r="B2" s="59" t="s">
        <v>36</v>
      </c>
      <c r="C2" s="60" t="s">
        <v>37</v>
      </c>
      <c r="D2" s="61" t="s">
        <v>65</v>
      </c>
      <c r="E2" s="61" t="s">
        <v>106</v>
      </c>
      <c r="F2" s="61" t="s">
        <v>38</v>
      </c>
      <c r="G2" s="61" t="s">
        <v>209</v>
      </c>
      <c r="H2" s="61" t="s">
        <v>67</v>
      </c>
      <c r="I2" s="60" t="s">
        <v>10</v>
      </c>
      <c r="J2" s="60" t="s">
        <v>66</v>
      </c>
      <c r="K2" s="60" t="s">
        <v>56</v>
      </c>
      <c r="L2" s="62" t="s">
        <v>39</v>
      </c>
      <c r="M2" s="62" t="s">
        <v>68</v>
      </c>
      <c r="N2" s="110" t="s">
        <v>207</v>
      </c>
    </row>
    <row r="3" spans="2:14" s="85" customFormat="1" ht="28.8" x14ac:dyDescent="0.25">
      <c r="B3" s="84">
        <v>1</v>
      </c>
      <c r="C3" s="107" t="s">
        <v>137</v>
      </c>
      <c r="D3" s="108" t="str">
        <f t="shared" ref="D3:D6" ca="1" si="0">IF(C3&lt;&gt;"",INDIRECT(C3&amp;"!B3"),"")</f>
        <v>ARCH_SW_ERH_0001, ARCH_SW_ERH_0004, ARCH_SW_ERH_0006, ARCH_SW_ERH_0008, ARCH_SW_ERH_0010, ARCH_SW_ERH_0012, ARCH_SW_ERH_0014, ARCH_SW_ERH_0016, ARCH_SW_ERH_0018, ARCH_SW_ERH_0019, ARCH_SW_ERH_0020, ARCH_SW_ERH_0021, ARCH_SW_ERH_0022, ARCH_SW_ERH_0023, ARCH_SW_ERH_0024, ARCH_SW_ERH_0025, ARCH_SW_ERH_0026, ARCH_SW_ERH_0027, ARCH_SW_ERH_0028, ARCH_SW_ERH_0029, ARCH_SW_ERH_0030, ARCH_SW_ERH_0031</v>
      </c>
      <c r="E3" s="66" t="str">
        <f t="shared" ref="E3:E6" ca="1" si="1">IF(C3&lt;&gt;"",INDIRECT(C3&amp;"!B5"),"")</f>
        <v>Nominal</v>
      </c>
      <c r="F3" s="66" t="str">
        <f t="shared" ref="F3:F6" ca="1" si="2">IF(C3&lt;&gt;"",INDIRECT(C3&amp;"!B1"),"")</f>
        <v>AEC properties</v>
      </c>
      <c r="G3" s="86"/>
      <c r="H3" s="87">
        <v>1</v>
      </c>
      <c r="I3" s="88" t="s">
        <v>134</v>
      </c>
      <c r="J3" s="89"/>
      <c r="K3" s="109" t="str">
        <f t="shared" ref="K3:K6" ca="1" si="3">IF(C3&lt;&gt;"",INDIRECT(C3&amp;"!B9"),"")</f>
        <v>Ok</v>
      </c>
      <c r="L3" s="93" t="s">
        <v>141</v>
      </c>
      <c r="M3" s="90"/>
      <c r="N3" s="91"/>
    </row>
    <row r="4" spans="2:14" ht="28.8" x14ac:dyDescent="0.25">
      <c r="B4" s="64">
        <v>2</v>
      </c>
      <c r="C4" s="107" t="s">
        <v>138</v>
      </c>
      <c r="D4" s="108" t="str">
        <f t="shared" ca="1" si="0"/>
        <v>ARCH_SW_ERH_0050, ARCH_SW_ERH_0060, ARCH_SW_ERH_0100</v>
      </c>
      <c r="E4" s="66" t="str">
        <f t="shared" ca="1" si="1"/>
        <v>Nominal</v>
      </c>
      <c r="F4" s="66" t="str">
        <f t="shared" ca="1" si="2"/>
        <v xml:space="preserve">Initialization of AEC </v>
      </c>
      <c r="G4" s="86"/>
      <c r="H4" s="87">
        <v>1</v>
      </c>
      <c r="I4" s="88" t="s">
        <v>134</v>
      </c>
      <c r="J4" s="89"/>
      <c r="K4" s="95" t="str">
        <f t="shared" ca="1" si="3"/>
        <v>Ok</v>
      </c>
      <c r="L4" s="93" t="s">
        <v>141</v>
      </c>
      <c r="M4" s="90"/>
      <c r="N4" s="91"/>
    </row>
    <row r="5" spans="2:14" ht="28.8" x14ac:dyDescent="0.25">
      <c r="B5" s="64">
        <v>3</v>
      </c>
      <c r="C5" s="107" t="s">
        <v>139</v>
      </c>
      <c r="D5" s="108" t="str">
        <f t="shared" ca="1" si="0"/>
        <v>ARCH_SW_ERH_0063, ARCH_SW_ERH_0070, ARCH_SW_ERH_0071, ARCH_SW_ERH_0072</v>
      </c>
      <c r="E5" s="66" t="str">
        <f t="shared" ca="1" si="1"/>
        <v>Nominal</v>
      </c>
      <c r="F5" s="66" t="str">
        <f t="shared" ca="1" si="2"/>
        <v>Reseting the AEC's</v>
      </c>
      <c r="G5" s="86"/>
      <c r="H5" s="87">
        <v>1</v>
      </c>
      <c r="I5" s="88" t="s">
        <v>134</v>
      </c>
      <c r="J5" s="89"/>
      <c r="K5" s="95" t="str">
        <f t="shared" ca="1" si="3"/>
        <v>Ok</v>
      </c>
      <c r="L5" s="93" t="s">
        <v>141</v>
      </c>
      <c r="M5" s="90"/>
      <c r="N5" s="91"/>
    </row>
    <row r="6" spans="2:14" ht="28.8" x14ac:dyDescent="0.25">
      <c r="B6" s="64">
        <v>4</v>
      </c>
      <c r="C6" s="107" t="s">
        <v>140</v>
      </c>
      <c r="D6" s="108" t="str">
        <f t="shared" ca="1" si="0"/>
        <v>ARCH_SW_ERH_0073, ARCH_SW_ERH_0074, ARCH_SW_ERH_0075, ARCH_SW_ERH_0076, ARCH_SW_ERH_0084, ARCH_SW_ERH_0085</v>
      </c>
      <c r="E6" s="66" t="str">
        <f t="shared" ca="1" si="1"/>
        <v>Nominal</v>
      </c>
      <c r="F6" s="66" t="str">
        <f t="shared" ca="1" si="2"/>
        <v>Reset All AEC group update</v>
      </c>
      <c r="G6" s="86" t="s">
        <v>208</v>
      </c>
      <c r="H6" s="87">
        <v>1</v>
      </c>
      <c r="I6" s="88" t="s">
        <v>134</v>
      </c>
      <c r="J6" s="89"/>
      <c r="K6" s="95" t="str">
        <f t="shared" ca="1" si="3"/>
        <v>Ok</v>
      </c>
      <c r="L6" s="93" t="s">
        <v>141</v>
      </c>
      <c r="M6" s="90"/>
      <c r="N6" s="91"/>
    </row>
    <row r="7" spans="2:14" ht="28.8" x14ac:dyDescent="0.25">
      <c r="B7" s="64">
        <v>5</v>
      </c>
      <c r="C7" s="107" t="s">
        <v>205</v>
      </c>
      <c r="D7" s="108" t="str">
        <f t="shared" ref="D7:D8" ca="1" si="4">IF(C7&lt;&gt;"",INDIRECT(C7&amp;"!B3"),"")</f>
        <v>ARCH_SW_ERH_0080, ARCH_SW_ERH_0083</v>
      </c>
      <c r="E7" s="66" t="str">
        <f t="shared" ref="E7:E8" ca="1" si="5">IF(C7&lt;&gt;"",INDIRECT(C7&amp;"!B5"),"")</f>
        <v>Nominal</v>
      </c>
      <c r="F7" s="66" t="str">
        <f t="shared" ref="F7:F8" ca="1" si="6">IF(C7&lt;&gt;"",INDIRECT(C7&amp;"!B1"),"")</f>
        <v>Set All AEC group update</v>
      </c>
      <c r="G7" s="86" t="s">
        <v>208</v>
      </c>
      <c r="H7" s="87">
        <v>1</v>
      </c>
      <c r="I7" s="88" t="s">
        <v>134</v>
      </c>
      <c r="J7" s="89"/>
      <c r="K7" s="95" t="str">
        <f t="shared" ref="K7:K8" ca="1" si="7">IF(C7&lt;&gt;"",INDIRECT(C7&amp;"!B9"),"")</f>
        <v>Ok</v>
      </c>
      <c r="L7" s="93" t="s">
        <v>141</v>
      </c>
      <c r="M7" s="90"/>
      <c r="N7" s="91"/>
    </row>
    <row r="8" spans="2:14" ht="28.8" x14ac:dyDescent="0.25">
      <c r="B8" s="64">
        <v>6</v>
      </c>
      <c r="C8" s="107" t="s">
        <v>206</v>
      </c>
      <c r="D8" s="108" t="str">
        <f t="shared" ca="1" si="4"/>
        <v>ARCH_SW_ERH_0064</v>
      </c>
      <c r="E8" s="66" t="str">
        <f t="shared" ca="1" si="5"/>
        <v>Nominal</v>
      </c>
      <c r="F8" s="66" t="str">
        <f t="shared" ca="1" si="6"/>
        <v xml:space="preserve">Get AEC status </v>
      </c>
      <c r="G8" s="86"/>
      <c r="H8" s="87">
        <v>1</v>
      </c>
      <c r="I8" s="88" t="s">
        <v>134</v>
      </c>
      <c r="J8" s="89"/>
      <c r="K8" s="95" t="str">
        <f t="shared" ca="1" si="7"/>
        <v>Ok</v>
      </c>
      <c r="L8" s="93" t="s">
        <v>141</v>
      </c>
      <c r="M8" s="90"/>
      <c r="N8" s="91"/>
    </row>
    <row r="9" spans="2:14" ht="14.4" x14ac:dyDescent="0.25">
      <c r="B9" s="64">
        <v>7</v>
      </c>
      <c r="C9" s="107"/>
      <c r="D9" s="108"/>
      <c r="E9" s="66"/>
      <c r="F9" s="66"/>
      <c r="G9" s="66"/>
      <c r="H9" s="66"/>
      <c r="I9" s="66"/>
      <c r="J9" s="66"/>
      <c r="K9" s="66"/>
      <c r="L9" s="66"/>
      <c r="M9" s="66"/>
      <c r="N9" s="66"/>
    </row>
    <row r="10" spans="2:14" ht="14.4" x14ac:dyDescent="0.25">
      <c r="B10" s="64">
        <v>8</v>
      </c>
      <c r="C10" s="107"/>
      <c r="D10" s="108"/>
      <c r="E10" s="66"/>
      <c r="F10" s="66"/>
      <c r="G10" s="66"/>
      <c r="H10" s="66"/>
      <c r="I10" s="66"/>
      <c r="J10" s="66"/>
      <c r="K10" s="66"/>
      <c r="L10" s="66"/>
      <c r="M10" s="66"/>
      <c r="N10" s="66"/>
    </row>
    <row r="11" spans="2:14" ht="14.4" x14ac:dyDescent="0.25">
      <c r="B11" s="64">
        <v>9</v>
      </c>
      <c r="C11" s="107"/>
      <c r="D11" s="108"/>
      <c r="E11" s="66"/>
      <c r="F11" s="66"/>
      <c r="G11" s="66"/>
      <c r="H11" s="66"/>
      <c r="I11" s="66"/>
      <c r="J11" s="66"/>
      <c r="K11" s="66"/>
      <c r="L11" s="66"/>
      <c r="M11" s="66"/>
      <c r="N11" s="66"/>
    </row>
    <row r="12" spans="2:14" ht="14.4" x14ac:dyDescent="0.25">
      <c r="B12" s="63">
        <v>10</v>
      </c>
      <c r="C12" s="107"/>
      <c r="D12" s="108"/>
      <c r="E12" s="66"/>
      <c r="F12" s="66"/>
      <c r="G12" s="66"/>
      <c r="H12" s="66"/>
      <c r="I12" s="66"/>
      <c r="J12" s="66"/>
      <c r="K12" s="66"/>
      <c r="L12" s="66"/>
      <c r="M12" s="66"/>
      <c r="N12" s="66"/>
    </row>
    <row r="13" spans="2:14" ht="14.4" x14ac:dyDescent="0.25">
      <c r="B13" s="64">
        <v>11</v>
      </c>
      <c r="C13" s="107"/>
      <c r="D13" s="108"/>
      <c r="E13" s="66"/>
      <c r="F13" s="66"/>
      <c r="G13" s="66"/>
      <c r="H13" s="66"/>
      <c r="I13" s="66"/>
      <c r="J13" s="66"/>
      <c r="K13" s="66"/>
      <c r="L13" s="66"/>
      <c r="M13" s="66"/>
      <c r="N13" s="66"/>
    </row>
    <row r="14" spans="2:14" ht="14.4" x14ac:dyDescent="0.25">
      <c r="B14" s="64">
        <v>12</v>
      </c>
      <c r="C14" s="107"/>
      <c r="D14" s="108"/>
      <c r="E14" s="66"/>
      <c r="F14" s="66"/>
      <c r="G14" s="66"/>
      <c r="H14" s="66"/>
      <c r="I14" s="66"/>
      <c r="J14" s="66"/>
      <c r="K14" s="66"/>
      <c r="L14" s="66"/>
      <c r="M14" s="66"/>
      <c r="N14" s="66"/>
    </row>
    <row r="15" spans="2:14" ht="14.4" x14ac:dyDescent="0.25">
      <c r="B15" s="64">
        <v>13</v>
      </c>
      <c r="C15" s="107"/>
      <c r="D15" s="108"/>
      <c r="E15" s="66"/>
      <c r="F15" s="66"/>
      <c r="G15" s="66"/>
      <c r="H15" s="66"/>
      <c r="I15" s="66"/>
      <c r="J15" s="66"/>
      <c r="K15" s="66"/>
      <c r="L15" s="66"/>
      <c r="M15" s="66"/>
      <c r="N15" s="66"/>
    </row>
    <row r="16" spans="2:14" ht="14.4" x14ac:dyDescent="0.25">
      <c r="B16" s="64">
        <v>14</v>
      </c>
      <c r="C16" s="107"/>
      <c r="D16" s="108"/>
      <c r="E16" s="66"/>
      <c r="F16" s="66"/>
      <c r="G16" s="66"/>
      <c r="H16" s="66"/>
      <c r="I16" s="66"/>
      <c r="J16" s="66"/>
      <c r="K16" s="66"/>
      <c r="L16" s="66"/>
      <c r="M16" s="66"/>
      <c r="N16" s="66"/>
    </row>
    <row r="17" spans="2:14" ht="14.4" x14ac:dyDescent="0.25">
      <c r="B17" s="64">
        <v>14</v>
      </c>
      <c r="C17" s="107"/>
      <c r="D17" s="108"/>
      <c r="E17" s="66"/>
      <c r="F17" s="66"/>
      <c r="G17" s="66"/>
      <c r="H17" s="66"/>
      <c r="I17" s="66"/>
      <c r="J17" s="66"/>
      <c r="K17" s="66"/>
      <c r="L17" s="66"/>
      <c r="M17" s="66"/>
      <c r="N17" s="66"/>
    </row>
    <row r="18" spans="2:14" ht="14.4" x14ac:dyDescent="0.25">
      <c r="B18" s="64">
        <v>14</v>
      </c>
      <c r="C18" s="107"/>
      <c r="D18" s="108"/>
      <c r="E18" s="66"/>
      <c r="F18" s="66"/>
      <c r="G18" s="66"/>
      <c r="H18" s="66"/>
      <c r="I18" s="66"/>
      <c r="J18" s="66"/>
      <c r="K18" s="66"/>
      <c r="L18" s="66"/>
      <c r="M18" s="66"/>
      <c r="N18" s="66"/>
    </row>
    <row r="19" spans="2:14" ht="14.4" x14ac:dyDescent="0.25">
      <c r="B19" s="64">
        <v>14</v>
      </c>
      <c r="C19" s="107"/>
      <c r="D19" s="108"/>
      <c r="E19" s="66"/>
      <c r="F19" s="66"/>
      <c r="G19" s="66"/>
      <c r="H19" s="66"/>
      <c r="I19" s="66"/>
      <c r="J19" s="66"/>
      <c r="K19" s="66"/>
      <c r="L19" s="66"/>
      <c r="M19" s="66"/>
      <c r="N19" s="66"/>
    </row>
    <row r="20" spans="2:14" ht="14.4" x14ac:dyDescent="0.25">
      <c r="B20" s="64">
        <v>14</v>
      </c>
      <c r="C20" s="107"/>
      <c r="D20" s="108"/>
      <c r="E20" s="66"/>
      <c r="F20" s="66"/>
      <c r="G20" s="66"/>
      <c r="H20" s="66"/>
      <c r="I20" s="66"/>
      <c r="J20" s="66"/>
      <c r="K20" s="66"/>
      <c r="L20" s="66"/>
      <c r="M20" s="66"/>
      <c r="N20" s="66"/>
    </row>
    <row r="21" spans="2:14" ht="14.4" x14ac:dyDescent="0.25">
      <c r="B21" s="64">
        <v>14</v>
      </c>
      <c r="C21" s="107"/>
      <c r="D21" s="108"/>
      <c r="E21" s="66"/>
      <c r="F21" s="66"/>
      <c r="G21" s="66"/>
      <c r="H21" s="66"/>
      <c r="I21" s="66"/>
      <c r="J21" s="66"/>
      <c r="K21" s="66"/>
      <c r="L21" s="66"/>
      <c r="M21" s="66"/>
      <c r="N21" s="66"/>
    </row>
    <row r="22" spans="2:14" ht="14.4" x14ac:dyDescent="0.25">
      <c r="B22" s="64">
        <v>14</v>
      </c>
      <c r="C22" s="107"/>
      <c r="D22" s="108"/>
      <c r="E22" s="66"/>
      <c r="F22" s="66"/>
      <c r="G22" s="66"/>
      <c r="H22" s="66"/>
      <c r="I22" s="66"/>
      <c r="J22" s="66"/>
      <c r="K22" s="66"/>
      <c r="L22" s="66"/>
      <c r="M22" s="66"/>
      <c r="N22" s="66"/>
    </row>
    <row r="23" spans="2:14" ht="14.4" x14ac:dyDescent="0.25">
      <c r="B23" s="64">
        <v>21</v>
      </c>
      <c r="C23" s="107"/>
      <c r="D23" s="108"/>
      <c r="E23" s="66"/>
      <c r="F23" s="66"/>
      <c r="G23" s="66"/>
      <c r="H23" s="66"/>
      <c r="I23" s="66"/>
      <c r="J23" s="66"/>
      <c r="K23" s="66"/>
      <c r="L23" s="66"/>
      <c r="M23" s="66"/>
      <c r="N23" s="66"/>
    </row>
    <row r="24" spans="2:14" ht="14.4" x14ac:dyDescent="0.25">
      <c r="B24" s="64">
        <v>22</v>
      </c>
      <c r="C24" s="107"/>
      <c r="D24" s="108"/>
      <c r="E24" s="66"/>
      <c r="F24" s="66"/>
      <c r="G24" s="66"/>
      <c r="H24" s="66"/>
      <c r="I24" s="66"/>
      <c r="J24" s="66"/>
      <c r="K24" s="66"/>
      <c r="L24" s="66"/>
      <c r="M24" s="66"/>
      <c r="N24" s="66"/>
    </row>
    <row r="25" spans="2:14" ht="14.4" x14ac:dyDescent="0.25">
      <c r="B25" s="64">
        <v>23</v>
      </c>
      <c r="C25" s="65"/>
      <c r="D25" s="66" t="str">
        <f t="shared" ref="D25:D47" ca="1" si="8">IF(C25&lt;&gt;"",INDIRECT(C25&amp;"!B5"),"")</f>
        <v/>
      </c>
      <c r="E25" s="66" t="str">
        <f t="shared" ref="E25:E47" ca="1" si="9">IF(C25&lt;&gt;"",INDIRECT(C25&amp;"!B7"),"")</f>
        <v/>
      </c>
      <c r="F25" s="66" t="str">
        <f t="shared" ref="F25:F47" ca="1" si="10">IF(C25&lt;&gt;"",INDIRECT(C25&amp;"!B1"),"")</f>
        <v/>
      </c>
      <c r="G25" s="66"/>
      <c r="H25" s="66"/>
      <c r="I25" s="67"/>
      <c r="J25" s="68"/>
      <c r="K25" s="95" t="str">
        <f t="shared" ref="K25:K47" ca="1" si="11">IF(C25&lt;&gt;"",INDIRECT(C25&amp;"!B11"),"")</f>
        <v/>
      </c>
      <c r="L25" s="94"/>
      <c r="M25" s="83"/>
      <c r="N25" s="69"/>
    </row>
    <row r="26" spans="2:14" ht="14.4" x14ac:dyDescent="0.25">
      <c r="B26" s="64">
        <v>24</v>
      </c>
      <c r="C26" s="65"/>
      <c r="D26" s="66" t="str">
        <f t="shared" ca="1" si="8"/>
        <v/>
      </c>
      <c r="E26" s="66" t="str">
        <f t="shared" ca="1" si="9"/>
        <v/>
      </c>
      <c r="F26" s="66" t="str">
        <f t="shared" ca="1" si="10"/>
        <v/>
      </c>
      <c r="G26" s="66"/>
      <c r="H26" s="66"/>
      <c r="I26" s="67"/>
      <c r="J26" s="68"/>
      <c r="K26" s="95" t="str">
        <f t="shared" ca="1" si="11"/>
        <v/>
      </c>
      <c r="L26" s="94"/>
      <c r="M26" s="83"/>
      <c r="N26" s="69"/>
    </row>
    <row r="27" spans="2:14" ht="14.4" x14ac:dyDescent="0.25">
      <c r="B27" s="64">
        <v>25</v>
      </c>
      <c r="C27" s="65"/>
      <c r="D27" s="66" t="str">
        <f t="shared" ca="1" si="8"/>
        <v/>
      </c>
      <c r="E27" s="66" t="str">
        <f t="shared" ca="1" si="9"/>
        <v/>
      </c>
      <c r="F27" s="66" t="str">
        <f t="shared" ca="1" si="10"/>
        <v/>
      </c>
      <c r="G27" s="66"/>
      <c r="H27" s="66"/>
      <c r="I27" s="67"/>
      <c r="J27" s="68"/>
      <c r="K27" s="95" t="str">
        <f t="shared" ca="1" si="11"/>
        <v/>
      </c>
      <c r="L27" s="94"/>
      <c r="M27" s="83"/>
      <c r="N27" s="69"/>
    </row>
    <row r="28" spans="2:14" ht="14.4" x14ac:dyDescent="0.25">
      <c r="B28" s="64">
        <v>26</v>
      </c>
      <c r="C28" s="65"/>
      <c r="D28" s="66" t="str">
        <f t="shared" ca="1" si="8"/>
        <v/>
      </c>
      <c r="E28" s="66" t="str">
        <f t="shared" ca="1" si="9"/>
        <v/>
      </c>
      <c r="F28" s="66" t="str">
        <f t="shared" ca="1" si="10"/>
        <v/>
      </c>
      <c r="G28" s="66"/>
      <c r="H28" s="66"/>
      <c r="I28" s="67"/>
      <c r="J28" s="68"/>
      <c r="K28" s="95" t="str">
        <f t="shared" ca="1" si="11"/>
        <v/>
      </c>
      <c r="L28" s="94"/>
      <c r="M28" s="83"/>
      <c r="N28" s="69"/>
    </row>
    <row r="29" spans="2:14" ht="14.4" x14ac:dyDescent="0.25">
      <c r="B29" s="64">
        <v>27</v>
      </c>
      <c r="C29" s="65"/>
      <c r="D29" s="66" t="str">
        <f t="shared" ca="1" si="8"/>
        <v/>
      </c>
      <c r="E29" s="66" t="str">
        <f t="shared" ca="1" si="9"/>
        <v/>
      </c>
      <c r="F29" s="66" t="str">
        <f t="shared" ca="1" si="10"/>
        <v/>
      </c>
      <c r="G29" s="66"/>
      <c r="H29" s="66"/>
      <c r="I29" s="67"/>
      <c r="J29" s="68"/>
      <c r="K29" s="95" t="str">
        <f t="shared" ca="1" si="11"/>
        <v/>
      </c>
      <c r="L29" s="94"/>
      <c r="M29" s="83"/>
      <c r="N29" s="69"/>
    </row>
    <row r="30" spans="2:14" ht="14.4" x14ac:dyDescent="0.25">
      <c r="B30" s="63">
        <v>28</v>
      </c>
      <c r="C30" s="65"/>
      <c r="D30" s="66" t="str">
        <f t="shared" ca="1" si="8"/>
        <v/>
      </c>
      <c r="E30" s="66" t="str">
        <f t="shared" ca="1" si="9"/>
        <v/>
      </c>
      <c r="F30" s="66" t="str">
        <f t="shared" ca="1" si="10"/>
        <v/>
      </c>
      <c r="G30" s="66"/>
      <c r="H30" s="66"/>
      <c r="I30" s="67"/>
      <c r="J30" s="68"/>
      <c r="K30" s="95" t="str">
        <f t="shared" ca="1" si="11"/>
        <v/>
      </c>
      <c r="L30" s="94"/>
      <c r="M30" s="83"/>
      <c r="N30" s="69"/>
    </row>
    <row r="31" spans="2:14" ht="14.4" x14ac:dyDescent="0.25">
      <c r="B31" s="64">
        <v>29</v>
      </c>
      <c r="C31" s="65"/>
      <c r="D31" s="66" t="str">
        <f t="shared" ca="1" si="8"/>
        <v/>
      </c>
      <c r="E31" s="66" t="str">
        <f t="shared" ca="1" si="9"/>
        <v/>
      </c>
      <c r="F31" s="66" t="str">
        <f t="shared" ca="1" si="10"/>
        <v/>
      </c>
      <c r="G31" s="66"/>
      <c r="H31" s="66"/>
      <c r="I31" s="67"/>
      <c r="J31" s="68"/>
      <c r="K31" s="95" t="str">
        <f t="shared" ca="1" si="11"/>
        <v/>
      </c>
      <c r="L31" s="94"/>
      <c r="M31" s="83"/>
      <c r="N31" s="69"/>
    </row>
    <row r="32" spans="2:14" ht="14.4" x14ac:dyDescent="0.25">
      <c r="B32" s="64">
        <v>30</v>
      </c>
      <c r="C32" s="65"/>
      <c r="D32" s="66" t="str">
        <f t="shared" ca="1" si="8"/>
        <v/>
      </c>
      <c r="E32" s="66" t="str">
        <f t="shared" ca="1" si="9"/>
        <v/>
      </c>
      <c r="F32" s="66" t="str">
        <f t="shared" ca="1" si="10"/>
        <v/>
      </c>
      <c r="G32" s="66"/>
      <c r="H32" s="66"/>
      <c r="I32" s="67"/>
      <c r="J32" s="68"/>
      <c r="K32" s="95" t="str">
        <f t="shared" ca="1" si="11"/>
        <v/>
      </c>
      <c r="L32" s="94"/>
      <c r="M32" s="83"/>
      <c r="N32" s="69"/>
    </row>
    <row r="33" spans="2:14" ht="14.4" x14ac:dyDescent="0.25">
      <c r="B33" s="64">
        <v>31</v>
      </c>
      <c r="C33" s="65"/>
      <c r="D33" s="66" t="str">
        <f t="shared" ca="1" si="8"/>
        <v/>
      </c>
      <c r="E33" s="66" t="str">
        <f t="shared" ca="1" si="9"/>
        <v/>
      </c>
      <c r="F33" s="66" t="str">
        <f t="shared" ca="1" si="10"/>
        <v/>
      </c>
      <c r="G33" s="66"/>
      <c r="H33" s="66"/>
      <c r="I33" s="67"/>
      <c r="J33" s="68"/>
      <c r="K33" s="95" t="str">
        <f t="shared" ca="1" si="11"/>
        <v/>
      </c>
      <c r="L33" s="94"/>
      <c r="M33" s="83"/>
      <c r="N33" s="69"/>
    </row>
    <row r="34" spans="2:14" ht="14.4" x14ac:dyDescent="0.25">
      <c r="B34" s="64">
        <v>32</v>
      </c>
      <c r="C34" s="65"/>
      <c r="D34" s="66" t="str">
        <f t="shared" ca="1" si="8"/>
        <v/>
      </c>
      <c r="E34" s="66" t="str">
        <f t="shared" ca="1" si="9"/>
        <v/>
      </c>
      <c r="F34" s="66" t="str">
        <f t="shared" ca="1" si="10"/>
        <v/>
      </c>
      <c r="G34" s="66"/>
      <c r="H34" s="66"/>
      <c r="I34" s="67"/>
      <c r="J34" s="68"/>
      <c r="K34" s="95" t="str">
        <f t="shared" ca="1" si="11"/>
        <v/>
      </c>
      <c r="L34" s="94"/>
      <c r="M34" s="83"/>
      <c r="N34" s="69"/>
    </row>
    <row r="35" spans="2:14" ht="14.4" x14ac:dyDescent="0.25">
      <c r="B35" s="64">
        <v>33</v>
      </c>
      <c r="C35" s="65"/>
      <c r="D35" s="66" t="str">
        <f t="shared" ca="1" si="8"/>
        <v/>
      </c>
      <c r="E35" s="66" t="str">
        <f t="shared" ca="1" si="9"/>
        <v/>
      </c>
      <c r="F35" s="66" t="str">
        <f t="shared" ca="1" si="10"/>
        <v/>
      </c>
      <c r="G35" s="66"/>
      <c r="H35" s="66"/>
      <c r="I35" s="67"/>
      <c r="J35" s="68"/>
      <c r="K35" s="95" t="str">
        <f t="shared" ca="1" si="11"/>
        <v/>
      </c>
      <c r="L35" s="94"/>
      <c r="M35" s="83"/>
      <c r="N35" s="69"/>
    </row>
    <row r="36" spans="2:14" ht="14.4" x14ac:dyDescent="0.25">
      <c r="B36" s="64">
        <v>34</v>
      </c>
      <c r="C36" s="65"/>
      <c r="D36" s="66" t="str">
        <f t="shared" ca="1" si="8"/>
        <v/>
      </c>
      <c r="E36" s="66" t="str">
        <f t="shared" ca="1" si="9"/>
        <v/>
      </c>
      <c r="F36" s="66" t="str">
        <f t="shared" ca="1" si="10"/>
        <v/>
      </c>
      <c r="G36" s="66"/>
      <c r="H36" s="66"/>
      <c r="I36" s="67"/>
      <c r="J36" s="68"/>
      <c r="K36" s="95" t="str">
        <f t="shared" ca="1" si="11"/>
        <v/>
      </c>
      <c r="L36" s="94"/>
      <c r="M36" s="83"/>
      <c r="N36" s="69"/>
    </row>
    <row r="37" spans="2:14" ht="14.4" x14ac:dyDescent="0.25">
      <c r="B37" s="64">
        <v>35</v>
      </c>
      <c r="C37" s="65"/>
      <c r="D37" s="66" t="str">
        <f t="shared" ca="1" si="8"/>
        <v/>
      </c>
      <c r="E37" s="66" t="str">
        <f t="shared" ca="1" si="9"/>
        <v/>
      </c>
      <c r="F37" s="66" t="str">
        <f t="shared" ca="1" si="10"/>
        <v/>
      </c>
      <c r="G37" s="66"/>
      <c r="H37" s="66"/>
      <c r="I37" s="67"/>
      <c r="J37" s="68"/>
      <c r="K37" s="95" t="str">
        <f t="shared" ca="1" si="11"/>
        <v/>
      </c>
      <c r="L37" s="94"/>
      <c r="M37" s="83"/>
      <c r="N37" s="69"/>
    </row>
    <row r="38" spans="2:14" ht="14.4" x14ac:dyDescent="0.25">
      <c r="B38" s="64">
        <v>36</v>
      </c>
      <c r="C38" s="65"/>
      <c r="D38" s="66" t="str">
        <f t="shared" ca="1" si="8"/>
        <v/>
      </c>
      <c r="E38" s="66" t="str">
        <f t="shared" ca="1" si="9"/>
        <v/>
      </c>
      <c r="F38" s="66" t="str">
        <f t="shared" ca="1" si="10"/>
        <v/>
      </c>
      <c r="G38" s="66"/>
      <c r="H38" s="66"/>
      <c r="I38" s="67"/>
      <c r="J38" s="68"/>
      <c r="K38" s="95" t="str">
        <f t="shared" ca="1" si="11"/>
        <v/>
      </c>
      <c r="L38" s="94"/>
      <c r="M38" s="83"/>
      <c r="N38" s="69"/>
    </row>
    <row r="39" spans="2:14" ht="14.4" x14ac:dyDescent="0.25">
      <c r="B39" s="63">
        <v>37</v>
      </c>
      <c r="C39" s="65"/>
      <c r="D39" s="66" t="str">
        <f t="shared" ca="1" si="8"/>
        <v/>
      </c>
      <c r="E39" s="66" t="str">
        <f t="shared" ca="1" si="9"/>
        <v/>
      </c>
      <c r="F39" s="66" t="str">
        <f t="shared" ca="1" si="10"/>
        <v/>
      </c>
      <c r="G39" s="66"/>
      <c r="H39" s="66"/>
      <c r="I39" s="67"/>
      <c r="J39" s="68"/>
      <c r="K39" s="95" t="str">
        <f t="shared" ca="1" si="11"/>
        <v/>
      </c>
      <c r="L39" s="94"/>
      <c r="M39" s="83"/>
      <c r="N39" s="69"/>
    </row>
    <row r="40" spans="2:14" ht="14.4" x14ac:dyDescent="0.25">
      <c r="B40" s="64">
        <v>38</v>
      </c>
      <c r="C40" s="65"/>
      <c r="D40" s="66" t="str">
        <f t="shared" ca="1" si="8"/>
        <v/>
      </c>
      <c r="E40" s="66" t="str">
        <f t="shared" ca="1" si="9"/>
        <v/>
      </c>
      <c r="F40" s="66" t="str">
        <f t="shared" ca="1" si="10"/>
        <v/>
      </c>
      <c r="G40" s="66"/>
      <c r="H40" s="66"/>
      <c r="I40" s="67"/>
      <c r="J40" s="68"/>
      <c r="K40" s="95" t="str">
        <f t="shared" ca="1" si="11"/>
        <v/>
      </c>
      <c r="L40" s="94"/>
      <c r="M40" s="83"/>
      <c r="N40" s="69"/>
    </row>
    <row r="41" spans="2:14" ht="14.4" x14ac:dyDescent="0.25">
      <c r="B41" s="64">
        <v>39</v>
      </c>
      <c r="C41" s="65"/>
      <c r="D41" s="66" t="str">
        <f t="shared" ca="1" si="8"/>
        <v/>
      </c>
      <c r="E41" s="66" t="str">
        <f t="shared" ca="1" si="9"/>
        <v/>
      </c>
      <c r="F41" s="66" t="str">
        <f t="shared" ca="1" si="10"/>
        <v/>
      </c>
      <c r="G41" s="66"/>
      <c r="H41" s="66"/>
      <c r="I41" s="67"/>
      <c r="J41" s="68"/>
      <c r="K41" s="95" t="str">
        <f t="shared" ca="1" si="11"/>
        <v/>
      </c>
      <c r="L41" s="94"/>
      <c r="M41" s="83"/>
      <c r="N41" s="69"/>
    </row>
    <row r="42" spans="2:14" ht="14.4" x14ac:dyDescent="0.25">
      <c r="B42" s="64">
        <v>40</v>
      </c>
      <c r="C42" s="65"/>
      <c r="D42" s="66" t="str">
        <f t="shared" ca="1" si="8"/>
        <v/>
      </c>
      <c r="E42" s="66" t="str">
        <f t="shared" ca="1" si="9"/>
        <v/>
      </c>
      <c r="F42" s="66" t="str">
        <f t="shared" ca="1" si="10"/>
        <v/>
      </c>
      <c r="G42" s="66"/>
      <c r="H42" s="66"/>
      <c r="I42" s="67"/>
      <c r="J42" s="68"/>
      <c r="K42" s="95" t="str">
        <f t="shared" ca="1" si="11"/>
        <v/>
      </c>
      <c r="L42" s="94"/>
      <c r="M42" s="83"/>
      <c r="N42" s="69"/>
    </row>
    <row r="43" spans="2:14" ht="14.4" x14ac:dyDescent="0.25">
      <c r="B43" s="64">
        <v>41</v>
      </c>
      <c r="C43" s="65"/>
      <c r="D43" s="66" t="str">
        <f t="shared" ca="1" si="8"/>
        <v/>
      </c>
      <c r="E43" s="66" t="str">
        <f t="shared" ca="1" si="9"/>
        <v/>
      </c>
      <c r="F43" s="66" t="str">
        <f t="shared" ca="1" si="10"/>
        <v/>
      </c>
      <c r="G43" s="66"/>
      <c r="H43" s="66"/>
      <c r="I43" s="67"/>
      <c r="J43" s="68"/>
      <c r="K43" s="95" t="str">
        <f t="shared" ca="1" si="11"/>
        <v/>
      </c>
      <c r="L43" s="94"/>
      <c r="M43" s="83"/>
      <c r="N43" s="69"/>
    </row>
    <row r="44" spans="2:14" ht="14.4" x14ac:dyDescent="0.25">
      <c r="B44" s="64">
        <v>42</v>
      </c>
      <c r="C44" s="65"/>
      <c r="D44" s="66" t="str">
        <f t="shared" ca="1" si="8"/>
        <v/>
      </c>
      <c r="E44" s="66" t="str">
        <f t="shared" ca="1" si="9"/>
        <v/>
      </c>
      <c r="F44" s="66" t="str">
        <f t="shared" ca="1" si="10"/>
        <v/>
      </c>
      <c r="G44" s="66"/>
      <c r="H44" s="66"/>
      <c r="I44" s="67"/>
      <c r="J44" s="68"/>
      <c r="K44" s="95" t="str">
        <f t="shared" ca="1" si="11"/>
        <v/>
      </c>
      <c r="L44" s="94"/>
      <c r="M44" s="83"/>
      <c r="N44" s="69"/>
    </row>
    <row r="45" spans="2:14" ht="14.4" x14ac:dyDescent="0.25">
      <c r="B45" s="64">
        <v>43</v>
      </c>
      <c r="C45" s="65"/>
      <c r="D45" s="66" t="str">
        <f t="shared" ca="1" si="8"/>
        <v/>
      </c>
      <c r="E45" s="66" t="str">
        <f t="shared" ca="1" si="9"/>
        <v/>
      </c>
      <c r="F45" s="66" t="str">
        <f t="shared" ca="1" si="10"/>
        <v/>
      </c>
      <c r="G45" s="66"/>
      <c r="H45" s="66"/>
      <c r="I45" s="67"/>
      <c r="J45" s="68"/>
      <c r="K45" s="95" t="str">
        <f t="shared" ca="1" si="11"/>
        <v/>
      </c>
      <c r="L45" s="94"/>
      <c r="M45" s="83"/>
      <c r="N45" s="69"/>
    </row>
    <row r="46" spans="2:14" ht="14.4" x14ac:dyDescent="0.25">
      <c r="B46" s="64">
        <v>44</v>
      </c>
      <c r="C46" s="65"/>
      <c r="D46" s="66" t="str">
        <f t="shared" ca="1" si="8"/>
        <v/>
      </c>
      <c r="E46" s="66" t="str">
        <f t="shared" ca="1" si="9"/>
        <v/>
      </c>
      <c r="F46" s="66" t="str">
        <f t="shared" ca="1" si="10"/>
        <v/>
      </c>
      <c r="G46" s="66"/>
      <c r="H46" s="66"/>
      <c r="I46" s="67"/>
      <c r="J46" s="68"/>
      <c r="K46" s="95" t="str">
        <f t="shared" ca="1" si="11"/>
        <v/>
      </c>
      <c r="L46" s="94"/>
      <c r="M46" s="83"/>
      <c r="N46" s="69"/>
    </row>
    <row r="47" spans="2:14" ht="15" thickBot="1" x14ac:dyDescent="0.3">
      <c r="B47" s="70">
        <v>45</v>
      </c>
      <c r="C47" s="71"/>
      <c r="D47" s="66" t="str">
        <f t="shared" ca="1" si="8"/>
        <v/>
      </c>
      <c r="E47" s="66" t="str">
        <f t="shared" ca="1" si="9"/>
        <v/>
      </c>
      <c r="F47" s="66" t="str">
        <f t="shared" ca="1" si="10"/>
        <v/>
      </c>
      <c r="G47" s="66"/>
      <c r="H47" s="66"/>
      <c r="I47" s="67"/>
      <c r="J47" s="68"/>
      <c r="K47" s="95" t="str">
        <f t="shared" ca="1" si="11"/>
        <v/>
      </c>
      <c r="L47" s="94"/>
      <c r="M47" s="83"/>
      <c r="N47" s="69"/>
    </row>
  </sheetData>
  <phoneticPr fontId="41" type="noConversion"/>
  <conditionalFormatting sqref="K25:K47">
    <cfRule type="cellIs" dxfId="99" priority="35" operator="equal">
      <formula>"Nok"</formula>
    </cfRule>
    <cfRule type="cellIs" dxfId="98" priority="36" operator="equal">
      <formula>"Ok"</formula>
    </cfRule>
  </conditionalFormatting>
  <conditionalFormatting sqref="K3">
    <cfRule type="cellIs" dxfId="97" priority="33" operator="equal">
      <formula>"Nok"</formula>
    </cfRule>
    <cfRule type="cellIs" dxfId="96" priority="34" operator="equal">
      <formula>"Ok"</formula>
    </cfRule>
  </conditionalFormatting>
  <conditionalFormatting sqref="K4">
    <cfRule type="cellIs" dxfId="95" priority="31" operator="equal">
      <formula>"Nok"</formula>
    </cfRule>
    <cfRule type="cellIs" dxfId="94" priority="32" operator="equal">
      <formula>"Ok"</formula>
    </cfRule>
  </conditionalFormatting>
  <conditionalFormatting sqref="K5">
    <cfRule type="cellIs" dxfId="93" priority="29" operator="equal">
      <formula>"Nok"</formula>
    </cfRule>
    <cfRule type="cellIs" dxfId="92" priority="30" operator="equal">
      <formula>"Ok"</formula>
    </cfRule>
  </conditionalFormatting>
  <conditionalFormatting sqref="K6">
    <cfRule type="cellIs" dxfId="91" priority="27" operator="equal">
      <formula>"Nok"</formula>
    </cfRule>
    <cfRule type="cellIs" dxfId="90" priority="28" operator="equal">
      <formula>"Ok"</formula>
    </cfRule>
  </conditionalFormatting>
  <conditionalFormatting sqref="K7">
    <cfRule type="cellIs" dxfId="89" priority="3" operator="equal">
      <formula>"Nok"</formula>
    </cfRule>
    <cfRule type="cellIs" dxfId="88" priority="4" operator="equal">
      <formula>"Ok"</formula>
    </cfRule>
  </conditionalFormatting>
  <conditionalFormatting sqref="K8">
    <cfRule type="cellIs" dxfId="87" priority="1" operator="equal">
      <formula>"Nok"</formula>
    </cfRule>
    <cfRule type="cellIs" dxfId="86" priority="2" operator="equal">
      <formula>"Ok"</formula>
    </cfRule>
  </conditionalFormatting>
  <dataValidations count="3">
    <dataValidation type="list" allowBlank="1" showInputMessage="1" showErrorMessage="1" sqref="E25:E47" xr:uid="{00000000-0002-0000-0300-000000000000}">
      <formula1>"Nominal, Robustness, Endurance, Qualification, Other"</formula1>
    </dataValidation>
    <dataValidation type="list" allowBlank="1" showInputMessage="1" showErrorMessage="1" sqref="G3:G8" xr:uid="{32962E0A-C472-462C-8C4B-AA8F2A6FDCE7}">
      <formula1>",X,"</formula1>
    </dataValidation>
    <dataValidation type="list" allowBlank="1" showInputMessage="1" showErrorMessage="1" sqref="H3:H8" xr:uid="{450F32B0-BEFE-4CE1-86BE-E6829A783650}">
      <formula1>"1,2,3,"</formula1>
    </dataValidation>
  </dataValidations>
  <hyperlinks>
    <hyperlink ref="C3" location="SW_IT_ERH_0001!A1" display="SW_IT_ERH_0001" xr:uid="{00000000-0004-0000-0300-000000000000}"/>
    <hyperlink ref="C4" location="SW_IT_ERH_0002!A1" display="SW_IT_ERH_0002" xr:uid="{12B1B525-C685-487F-9B58-D9BA439944B1}"/>
    <hyperlink ref="C5" location="SW_IT_ERH_0003!A1" display="SW_IT_ERH_0003" xr:uid="{ECCA7D67-556B-49EB-8359-56AFB54D4B24}"/>
    <hyperlink ref="C6" location="SW_IT_ERH_0004!A1" display="SW_IT_ERH_0004" xr:uid="{0D982692-7E4F-4E74-AC1F-F68929649B1C}"/>
    <hyperlink ref="C7" location="SW_IT_ERH_0004!A1" display="SW_IT_ERH_0004" xr:uid="{42458E59-66EC-42D4-9266-95F07113415E}"/>
    <hyperlink ref="C8" location="SW_IT_ERH_0004!A1" display="SW_IT_ERH_0004" xr:uid="{3E55BD1D-1348-4B2A-845B-66B365F8074A}"/>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Reserved&amp;LNA ver 1&amp;R&amp;P</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P30"/>
  <sheetViews>
    <sheetView workbookViewId="0">
      <selection activeCell="H24" sqref="H24:K24"/>
    </sheetView>
  </sheetViews>
  <sheetFormatPr defaultColWidth="9.33203125" defaultRowHeight="13.2" x14ac:dyDescent="0.25"/>
  <cols>
    <col min="1" max="1" width="20.33203125" style="100" customWidth="1"/>
    <col min="2" max="2" width="18.44140625" style="96" customWidth="1"/>
    <col min="3" max="5" width="9.33203125" style="96"/>
    <col min="6" max="6" width="3.6640625" style="96" customWidth="1"/>
    <col min="7" max="7" width="24.109375" style="96" customWidth="1"/>
    <col min="8" max="15" width="9.5546875" style="96" customWidth="1"/>
    <col min="16" max="16384" width="9.33203125" style="96"/>
  </cols>
  <sheetData>
    <row r="1" spans="1:15" ht="13.8" thickBot="1" x14ac:dyDescent="0.3">
      <c r="A1" s="101" t="s">
        <v>40</v>
      </c>
      <c r="B1" s="208" t="s">
        <v>142</v>
      </c>
      <c r="C1" s="209"/>
      <c r="D1" s="209"/>
      <c r="E1" s="209"/>
      <c r="F1" s="209"/>
      <c r="G1" s="21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11" t="s">
        <v>145</v>
      </c>
      <c r="C3" s="212"/>
      <c r="D3" s="212"/>
      <c r="E3" s="212"/>
      <c r="F3" s="212"/>
      <c r="G3" s="21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14" t="s">
        <v>146</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106" t="s">
        <v>128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3" t="s">
        <v>109</v>
      </c>
      <c r="B11" s="198" t="s">
        <v>127</v>
      </c>
      <c r="C11" s="199"/>
      <c r="D11" s="199"/>
      <c r="E11" s="199"/>
      <c r="F11" s="199"/>
      <c r="G11" s="200"/>
      <c r="H11" s="74"/>
      <c r="I11" s="74"/>
      <c r="J11" s="74"/>
      <c r="K11" s="74"/>
      <c r="L11" s="74"/>
      <c r="M11" s="74"/>
      <c r="N11" s="74"/>
      <c r="O11" s="74"/>
    </row>
    <row r="12" spans="1:15" x14ac:dyDescent="0.25">
      <c r="A12" s="194"/>
      <c r="B12" s="201"/>
      <c r="C12" s="202"/>
      <c r="D12" s="202"/>
      <c r="E12" s="202"/>
      <c r="F12" s="202"/>
      <c r="G12" s="203"/>
      <c r="H12" s="74"/>
      <c r="I12" s="74"/>
      <c r="J12" s="74"/>
      <c r="K12" s="74"/>
      <c r="L12" s="74"/>
      <c r="M12" s="74"/>
      <c r="N12" s="74"/>
      <c r="O12" s="74"/>
    </row>
    <row r="13" spans="1:15" x14ac:dyDescent="0.25">
      <c r="A13" s="194"/>
      <c r="B13" s="201"/>
      <c r="C13" s="202"/>
      <c r="D13" s="202"/>
      <c r="E13" s="202"/>
      <c r="F13" s="202"/>
      <c r="G13" s="203"/>
      <c r="H13" s="72"/>
      <c r="I13" s="74"/>
      <c r="J13" s="74"/>
      <c r="K13" s="74"/>
      <c r="L13" s="74"/>
      <c r="M13" s="74"/>
      <c r="N13" s="74"/>
      <c r="O13" s="74"/>
    </row>
    <row r="14" spans="1:15" ht="13.8" thickBot="1" x14ac:dyDescent="0.3">
      <c r="A14" s="194"/>
      <c r="B14" s="204"/>
      <c r="C14" s="205"/>
      <c r="D14" s="205"/>
      <c r="E14" s="205"/>
      <c r="F14" s="205"/>
      <c r="G14" s="206"/>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193" t="s">
        <v>43</v>
      </c>
      <c r="B16" s="198" t="s">
        <v>130</v>
      </c>
      <c r="C16" s="199"/>
      <c r="D16" s="199"/>
      <c r="E16" s="199"/>
      <c r="F16" s="199"/>
      <c r="G16" s="200"/>
      <c r="H16" s="74"/>
      <c r="I16" s="74"/>
      <c r="J16" s="74"/>
      <c r="K16" s="74"/>
      <c r="L16" s="74"/>
      <c r="M16" s="74"/>
      <c r="N16" s="74"/>
      <c r="O16" s="74"/>
    </row>
    <row r="17" spans="1:16" x14ac:dyDescent="0.25">
      <c r="A17" s="194"/>
      <c r="B17" s="201"/>
      <c r="C17" s="202"/>
      <c r="D17" s="202"/>
      <c r="E17" s="202"/>
      <c r="F17" s="202"/>
      <c r="G17" s="203"/>
      <c r="H17" s="74"/>
      <c r="I17" s="74"/>
      <c r="J17" s="74"/>
      <c r="K17" s="74"/>
      <c r="L17" s="74"/>
      <c r="M17" s="74"/>
      <c r="N17" s="74"/>
      <c r="O17" s="74"/>
    </row>
    <row r="18" spans="1:16" x14ac:dyDescent="0.25">
      <c r="A18" s="194"/>
      <c r="B18" s="201"/>
      <c r="C18" s="202"/>
      <c r="D18" s="202"/>
      <c r="E18" s="202"/>
      <c r="F18" s="202"/>
      <c r="G18" s="203"/>
      <c r="H18" s="72"/>
      <c r="I18" s="74"/>
      <c r="J18" s="74"/>
      <c r="K18" s="74"/>
      <c r="L18" s="74"/>
      <c r="M18" s="74"/>
      <c r="N18" s="74"/>
      <c r="O18" s="74"/>
    </row>
    <row r="19" spans="1:16" ht="13.8" thickBot="1" x14ac:dyDescent="0.3">
      <c r="A19" s="194"/>
      <c r="B19" s="204"/>
      <c r="C19" s="205"/>
      <c r="D19" s="205"/>
      <c r="E19" s="205"/>
      <c r="F19" s="205"/>
      <c r="G19" s="206"/>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5" t="s">
        <v>47</v>
      </c>
      <c r="B21" s="196"/>
      <c r="C21" s="196"/>
      <c r="D21" s="196"/>
      <c r="E21" s="196"/>
      <c r="F21" s="196"/>
      <c r="G21" s="197"/>
      <c r="H21" s="195" t="s">
        <v>48</v>
      </c>
      <c r="I21" s="196"/>
      <c r="J21" s="196"/>
      <c r="K21" s="197"/>
      <c r="L21" s="195" t="s">
        <v>57</v>
      </c>
      <c r="M21" s="196"/>
      <c r="N21" s="196"/>
      <c r="O21" s="197"/>
      <c r="P21" s="103" t="s">
        <v>46</v>
      </c>
    </row>
    <row r="22" spans="1:16" ht="55.2" customHeight="1" x14ac:dyDescent="0.25">
      <c r="A22" s="104" t="s">
        <v>49</v>
      </c>
      <c r="B22" s="215" t="s">
        <v>143</v>
      </c>
      <c r="C22" s="216"/>
      <c r="D22" s="216"/>
      <c r="E22" s="216"/>
      <c r="F22" s="216"/>
      <c r="G22" s="217"/>
      <c r="H22" s="207" t="s">
        <v>144</v>
      </c>
      <c r="I22" s="207"/>
      <c r="J22" s="207"/>
      <c r="K22" s="207"/>
      <c r="L22" s="207" t="s">
        <v>144</v>
      </c>
      <c r="M22" s="207"/>
      <c r="N22" s="207"/>
      <c r="O22" s="207"/>
      <c r="P22" s="98" t="s">
        <v>128</v>
      </c>
    </row>
    <row r="23" spans="1:16" ht="88.95" customHeight="1" x14ac:dyDescent="0.25">
      <c r="A23" s="104" t="s">
        <v>50</v>
      </c>
      <c r="B23" s="190"/>
      <c r="C23" s="191"/>
      <c r="D23" s="191"/>
      <c r="E23" s="191"/>
      <c r="F23" s="191"/>
      <c r="G23" s="192"/>
      <c r="H23" s="207"/>
      <c r="I23" s="207"/>
      <c r="J23" s="207"/>
      <c r="K23" s="207"/>
      <c r="L23" s="207"/>
      <c r="M23" s="207"/>
      <c r="N23" s="207"/>
      <c r="O23" s="207"/>
      <c r="P23" s="98"/>
    </row>
    <row r="24" spans="1:16" ht="40.950000000000003" customHeight="1" x14ac:dyDescent="0.25">
      <c r="A24" s="104" t="s">
        <v>51</v>
      </c>
      <c r="B24" s="190"/>
      <c r="C24" s="191"/>
      <c r="D24" s="191"/>
      <c r="E24" s="191"/>
      <c r="F24" s="191"/>
      <c r="G24" s="192"/>
      <c r="H24" s="189"/>
      <c r="I24" s="189"/>
      <c r="J24" s="189"/>
      <c r="K24" s="189"/>
      <c r="L24" s="189"/>
      <c r="M24" s="189"/>
      <c r="N24" s="189"/>
      <c r="O24" s="189"/>
      <c r="P24" s="98"/>
    </row>
    <row r="25" spans="1:16" ht="39.450000000000003" customHeight="1" x14ac:dyDescent="0.25">
      <c r="A25" s="104" t="s">
        <v>52</v>
      </c>
      <c r="B25" s="190"/>
      <c r="C25" s="191"/>
      <c r="D25" s="191"/>
      <c r="E25" s="191"/>
      <c r="F25" s="191"/>
      <c r="G25" s="192"/>
      <c r="H25" s="189"/>
      <c r="I25" s="189"/>
      <c r="J25" s="189"/>
      <c r="K25" s="189"/>
      <c r="L25" s="189"/>
      <c r="M25" s="189"/>
      <c r="N25" s="189"/>
      <c r="O25" s="189"/>
      <c r="P25" s="98"/>
    </row>
    <row r="26" spans="1:16" ht="39.450000000000003" customHeight="1" x14ac:dyDescent="0.25">
      <c r="A26" s="104" t="s">
        <v>53</v>
      </c>
      <c r="B26" s="190"/>
      <c r="C26" s="191"/>
      <c r="D26" s="191"/>
      <c r="E26" s="191"/>
      <c r="F26" s="191"/>
      <c r="G26" s="192"/>
      <c r="H26" s="189"/>
      <c r="I26" s="189"/>
      <c r="J26" s="189"/>
      <c r="K26" s="189"/>
      <c r="L26" s="189"/>
      <c r="M26" s="189"/>
      <c r="N26" s="189"/>
      <c r="O26" s="189"/>
      <c r="P26" s="98"/>
    </row>
    <row r="27" spans="1:16" ht="27" customHeight="1" x14ac:dyDescent="0.25">
      <c r="A27" s="104" t="s">
        <v>54</v>
      </c>
      <c r="B27" s="190"/>
      <c r="C27" s="191"/>
      <c r="D27" s="191"/>
      <c r="E27" s="191"/>
      <c r="F27" s="191"/>
      <c r="G27" s="192"/>
      <c r="H27" s="189"/>
      <c r="I27" s="189"/>
      <c r="J27" s="189"/>
      <c r="K27" s="189"/>
      <c r="L27" s="189"/>
      <c r="M27" s="189"/>
      <c r="N27" s="189"/>
      <c r="O27" s="189"/>
      <c r="P27" s="98"/>
    </row>
    <row r="28" spans="1:16" ht="33.6" customHeight="1" x14ac:dyDescent="0.25">
      <c r="A28" s="104" t="s">
        <v>55</v>
      </c>
      <c r="B28" s="190"/>
      <c r="C28" s="191"/>
      <c r="D28" s="191"/>
      <c r="E28" s="191"/>
      <c r="F28" s="191"/>
      <c r="G28" s="192"/>
      <c r="H28" s="189"/>
      <c r="I28" s="189"/>
      <c r="J28" s="189"/>
      <c r="K28" s="189"/>
      <c r="L28" s="189"/>
      <c r="M28" s="189"/>
      <c r="N28" s="189"/>
      <c r="O28" s="189"/>
      <c r="P28" s="98"/>
    </row>
    <row r="29" spans="1:16" x14ac:dyDescent="0.25">
      <c r="B29" s="100"/>
      <c r="C29" s="100"/>
      <c r="D29" s="100"/>
      <c r="E29" s="100"/>
      <c r="F29" s="100"/>
      <c r="G29" s="100"/>
      <c r="H29" s="100"/>
    </row>
    <row r="30" spans="1:16" x14ac:dyDescent="0.25">
      <c r="B30" s="100"/>
      <c r="C30" s="100"/>
      <c r="D30" s="100"/>
      <c r="E30" s="100"/>
      <c r="F30" s="100"/>
      <c r="G30" s="100"/>
      <c r="H30" s="100"/>
    </row>
  </sheetData>
  <mergeCells count="31">
    <mergeCell ref="L21:O21"/>
    <mergeCell ref="L23:O23"/>
    <mergeCell ref="L24:O24"/>
    <mergeCell ref="B1:G1"/>
    <mergeCell ref="B3:G3"/>
    <mergeCell ref="B7:G7"/>
    <mergeCell ref="H21:K21"/>
    <mergeCell ref="H23:K23"/>
    <mergeCell ref="B22:G22"/>
    <mergeCell ref="H22:K22"/>
    <mergeCell ref="L22:O22"/>
    <mergeCell ref="A11:A14"/>
    <mergeCell ref="A16:A19"/>
    <mergeCell ref="B26:G26"/>
    <mergeCell ref="H26:K26"/>
    <mergeCell ref="H27:K27"/>
    <mergeCell ref="A21:G21"/>
    <mergeCell ref="B23:G23"/>
    <mergeCell ref="B25:G25"/>
    <mergeCell ref="B11:G14"/>
    <mergeCell ref="B16:G19"/>
    <mergeCell ref="B24:G24"/>
    <mergeCell ref="H24:K24"/>
    <mergeCell ref="L28:O28"/>
    <mergeCell ref="B27:G27"/>
    <mergeCell ref="B28:G28"/>
    <mergeCell ref="H28:K28"/>
    <mergeCell ref="L25:O25"/>
    <mergeCell ref="L26:O26"/>
    <mergeCell ref="L27:O27"/>
    <mergeCell ref="H25:K25"/>
  </mergeCells>
  <conditionalFormatting sqref="B9:B10">
    <cfRule type="cellIs" dxfId="85" priority="19" operator="equal">
      <formula>"Nok"</formula>
    </cfRule>
    <cfRule type="cellIs" dxfId="84" priority="20" operator="equal">
      <formula>"Ok"</formula>
    </cfRule>
  </conditionalFormatting>
  <conditionalFormatting sqref="P25">
    <cfRule type="cellIs" dxfId="83" priority="17" operator="equal">
      <formula>"Nok"</formula>
    </cfRule>
    <cfRule type="cellIs" dxfId="82" priority="18" operator="equal">
      <formula>"Ok"</formula>
    </cfRule>
  </conditionalFormatting>
  <conditionalFormatting sqref="P24">
    <cfRule type="cellIs" dxfId="81" priority="13" operator="equal">
      <formula>"Nok"</formula>
    </cfRule>
    <cfRule type="cellIs" dxfId="80" priority="14" operator="equal">
      <formula>"Ok"</formula>
    </cfRule>
  </conditionalFormatting>
  <conditionalFormatting sqref="P23">
    <cfRule type="cellIs" dxfId="79" priority="11" operator="equal">
      <formula>"Nok"</formula>
    </cfRule>
    <cfRule type="cellIs" dxfId="78" priority="12" operator="equal">
      <formula>"Ok"</formula>
    </cfRule>
  </conditionalFormatting>
  <conditionalFormatting sqref="P26">
    <cfRule type="cellIs" dxfId="77" priority="7" operator="equal">
      <formula>"Nok"</formula>
    </cfRule>
    <cfRule type="cellIs" dxfId="76" priority="8" operator="equal">
      <formula>"Ok"</formula>
    </cfRule>
  </conditionalFormatting>
  <conditionalFormatting sqref="P27">
    <cfRule type="cellIs" dxfId="75" priority="5" operator="equal">
      <formula>"Nok"</formula>
    </cfRule>
    <cfRule type="cellIs" dxfId="74" priority="6" operator="equal">
      <formula>"Ok"</formula>
    </cfRule>
  </conditionalFormatting>
  <conditionalFormatting sqref="P28">
    <cfRule type="cellIs" dxfId="73" priority="3" operator="equal">
      <formula>"Nok"</formula>
    </cfRule>
    <cfRule type="cellIs" dxfId="72" priority="4" operator="equal">
      <formula>"Ok"</formula>
    </cfRule>
  </conditionalFormatting>
  <conditionalFormatting sqref="P22">
    <cfRule type="cellIs" dxfId="71" priority="1" operator="equal">
      <formula>"Nok"</formula>
    </cfRule>
    <cfRule type="cellIs" dxfId="70" priority="2" operator="equal">
      <formula>"Ok"</formula>
    </cfRule>
  </conditionalFormatting>
  <dataValidations count="3">
    <dataValidation type="list" allowBlank="1" showInputMessage="1" showErrorMessage="1" sqref="B5" xr:uid="{00000000-0002-0000-0400-000000000000}">
      <formula1>"Nominal, Robustness, Endurance, Qualification"</formula1>
    </dataValidation>
    <dataValidation type="list" allowBlank="1" showInputMessage="1" showErrorMessage="1" sqref="B9" xr:uid="{00000000-0002-0000-0400-000001000000}">
      <formula1>"Ok, Nok, Not run, NA"</formula1>
    </dataValidation>
    <dataValidation type="list" allowBlank="1" showInputMessage="1" showErrorMessage="1" sqref="P22:P28" xr:uid="{00000000-0002-0000-0400-000002000000}">
      <formula1>"Ok, Nok, Not run, ,"</formula1>
    </dataValidation>
  </dataValidations>
  <pageMargins left="0.7" right="0.7" top="0.75" bottom="0.75" header="0.3" footer="0.3"/>
  <pageSetup paperSize="9" orientation="portrait" r:id="rId1"/>
  <headerFooter>
    <oddFooter>&amp;LNA ver 1&amp;R&amp;P</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60122-A8FC-451F-B013-1EFC16B3F2D2}">
  <sheetPr codeName="Sheet10"/>
  <dimension ref="A1:P32"/>
  <sheetViews>
    <sheetView workbookViewId="0">
      <selection activeCell="B16" sqref="B16:G19"/>
    </sheetView>
  </sheetViews>
  <sheetFormatPr defaultColWidth="9.33203125" defaultRowHeight="13.2" x14ac:dyDescent="0.25"/>
  <cols>
    <col min="1" max="1" width="20.33203125" style="100" customWidth="1"/>
    <col min="2" max="2" width="18.44140625" style="96" customWidth="1"/>
    <col min="3" max="7" width="9.33203125" style="96"/>
    <col min="8" max="15" width="9.5546875" style="96" customWidth="1"/>
    <col min="16" max="16384" width="9.33203125" style="96"/>
  </cols>
  <sheetData>
    <row r="1" spans="1:15" ht="13.8" thickBot="1" x14ac:dyDescent="0.3">
      <c r="A1" s="101" t="s">
        <v>40</v>
      </c>
      <c r="B1" s="208" t="s">
        <v>147</v>
      </c>
      <c r="C1" s="209"/>
      <c r="D1" s="209"/>
      <c r="E1" s="209"/>
      <c r="F1" s="209"/>
      <c r="G1" s="21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14" t="s">
        <v>194</v>
      </c>
      <c r="C3" s="212"/>
      <c r="D3" s="212"/>
      <c r="E3" s="212"/>
      <c r="F3" s="212"/>
      <c r="G3" s="21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14" t="s">
        <v>148</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106" t="s">
        <v>128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3" t="s">
        <v>109</v>
      </c>
      <c r="B11" s="198" t="s">
        <v>127</v>
      </c>
      <c r="C11" s="199"/>
      <c r="D11" s="199"/>
      <c r="E11" s="199"/>
      <c r="F11" s="199"/>
      <c r="G11" s="200"/>
      <c r="H11" s="74"/>
      <c r="I11" s="74"/>
      <c r="J11" s="74"/>
      <c r="K11" s="74"/>
      <c r="L11" s="74"/>
      <c r="M11" s="74"/>
      <c r="N11" s="74"/>
      <c r="O11" s="74"/>
    </row>
    <row r="12" spans="1:15" x14ac:dyDescent="0.25">
      <c r="A12" s="194"/>
      <c r="B12" s="201"/>
      <c r="C12" s="202"/>
      <c r="D12" s="202"/>
      <c r="E12" s="202"/>
      <c r="F12" s="202"/>
      <c r="G12" s="203"/>
      <c r="H12" s="74"/>
      <c r="I12" s="74"/>
      <c r="J12" s="74"/>
      <c r="K12" s="74"/>
      <c r="L12" s="74"/>
      <c r="M12" s="74"/>
      <c r="N12" s="74"/>
      <c r="O12" s="74"/>
    </row>
    <row r="13" spans="1:15" x14ac:dyDescent="0.25">
      <c r="A13" s="194"/>
      <c r="B13" s="201"/>
      <c r="C13" s="202"/>
      <c r="D13" s="202"/>
      <c r="E13" s="202"/>
      <c r="F13" s="202"/>
      <c r="G13" s="203"/>
      <c r="H13" s="72"/>
      <c r="I13" s="74"/>
      <c r="J13" s="74"/>
      <c r="K13" s="74"/>
      <c r="L13" s="74"/>
      <c r="M13" s="74"/>
      <c r="N13" s="74"/>
      <c r="O13" s="74"/>
    </row>
    <row r="14" spans="1:15" ht="13.8" thickBot="1" x14ac:dyDescent="0.3">
      <c r="A14" s="194"/>
      <c r="B14" s="204"/>
      <c r="C14" s="205"/>
      <c r="D14" s="205"/>
      <c r="E14" s="205"/>
      <c r="F14" s="205"/>
      <c r="G14" s="206"/>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193" t="s">
        <v>43</v>
      </c>
      <c r="B16" s="198" t="s">
        <v>149</v>
      </c>
      <c r="C16" s="199"/>
      <c r="D16" s="199"/>
      <c r="E16" s="199"/>
      <c r="F16" s="199"/>
      <c r="G16" s="200"/>
      <c r="H16" s="74"/>
      <c r="I16" s="74"/>
      <c r="J16" s="74"/>
      <c r="K16" s="74"/>
      <c r="L16" s="74"/>
      <c r="M16" s="74"/>
      <c r="N16" s="74"/>
      <c r="O16" s="74"/>
    </row>
    <row r="17" spans="1:16" x14ac:dyDescent="0.25">
      <c r="A17" s="194"/>
      <c r="B17" s="201"/>
      <c r="C17" s="202"/>
      <c r="D17" s="202"/>
      <c r="E17" s="202"/>
      <c r="F17" s="202"/>
      <c r="G17" s="203"/>
      <c r="H17" s="74"/>
      <c r="I17" s="74"/>
      <c r="J17" s="74"/>
      <c r="K17" s="74"/>
      <c r="L17" s="74"/>
      <c r="M17" s="74"/>
      <c r="N17" s="74"/>
      <c r="O17" s="74"/>
    </row>
    <row r="18" spans="1:16" x14ac:dyDescent="0.25">
      <c r="A18" s="194"/>
      <c r="B18" s="201"/>
      <c r="C18" s="202"/>
      <c r="D18" s="202"/>
      <c r="E18" s="202"/>
      <c r="F18" s="202"/>
      <c r="G18" s="203"/>
      <c r="H18" s="72"/>
      <c r="I18" s="74"/>
      <c r="J18" s="74"/>
      <c r="K18" s="74"/>
      <c r="L18" s="74"/>
      <c r="M18" s="74"/>
      <c r="N18" s="74"/>
      <c r="O18" s="74"/>
    </row>
    <row r="19" spans="1:16" ht="13.8" thickBot="1" x14ac:dyDescent="0.3">
      <c r="A19" s="194"/>
      <c r="B19" s="204"/>
      <c r="C19" s="205"/>
      <c r="D19" s="205"/>
      <c r="E19" s="205"/>
      <c r="F19" s="205"/>
      <c r="G19" s="206"/>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5" t="s">
        <v>47</v>
      </c>
      <c r="B21" s="196"/>
      <c r="C21" s="196"/>
      <c r="D21" s="196"/>
      <c r="E21" s="196"/>
      <c r="F21" s="196"/>
      <c r="G21" s="197"/>
      <c r="H21" s="195" t="s">
        <v>48</v>
      </c>
      <c r="I21" s="196"/>
      <c r="J21" s="196"/>
      <c r="K21" s="197"/>
      <c r="L21" s="195" t="s">
        <v>57</v>
      </c>
      <c r="M21" s="196"/>
      <c r="N21" s="196"/>
      <c r="O21" s="197"/>
      <c r="P21" s="103" t="s">
        <v>46</v>
      </c>
    </row>
    <row r="22" spans="1:16" ht="57" customHeight="1" x14ac:dyDescent="0.25">
      <c r="A22" s="104" t="s">
        <v>49</v>
      </c>
      <c r="B22" s="215" t="s">
        <v>150</v>
      </c>
      <c r="C22" s="216"/>
      <c r="D22" s="216"/>
      <c r="E22" s="216"/>
      <c r="F22" s="216"/>
      <c r="G22" s="217"/>
      <c r="H22" s="207" t="s">
        <v>151</v>
      </c>
      <c r="I22" s="207"/>
      <c r="J22" s="207"/>
      <c r="K22" s="207"/>
      <c r="L22" s="207" t="s">
        <v>151</v>
      </c>
      <c r="M22" s="207"/>
      <c r="N22" s="207"/>
      <c r="O22" s="207"/>
      <c r="P22" s="98" t="s">
        <v>128</v>
      </c>
    </row>
    <row r="23" spans="1:16" ht="41.7" customHeight="1" x14ac:dyDescent="0.25">
      <c r="A23" s="104" t="s">
        <v>50</v>
      </c>
      <c r="B23" s="190" t="s">
        <v>152</v>
      </c>
      <c r="C23" s="191"/>
      <c r="D23" s="191"/>
      <c r="E23" s="191"/>
      <c r="F23" s="191"/>
      <c r="G23" s="192"/>
      <c r="H23" s="207" t="s">
        <v>153</v>
      </c>
      <c r="I23" s="207"/>
      <c r="J23" s="207"/>
      <c r="K23" s="207"/>
      <c r="L23" s="207" t="s">
        <v>153</v>
      </c>
      <c r="M23" s="207"/>
      <c r="N23" s="207"/>
      <c r="O23" s="207"/>
      <c r="P23" s="98" t="s">
        <v>128</v>
      </c>
    </row>
    <row r="24" spans="1:16" ht="39.450000000000003" customHeight="1" x14ac:dyDescent="0.25">
      <c r="A24" s="104" t="s">
        <v>51</v>
      </c>
      <c r="B24" s="190" t="s">
        <v>154</v>
      </c>
      <c r="C24" s="191"/>
      <c r="D24" s="191"/>
      <c r="E24" s="191"/>
      <c r="F24" s="191"/>
      <c r="G24" s="192"/>
      <c r="H24" s="189" t="s">
        <v>158</v>
      </c>
      <c r="I24" s="189"/>
      <c r="J24" s="189"/>
      <c r="K24" s="189"/>
      <c r="L24" s="189" t="s">
        <v>158</v>
      </c>
      <c r="M24" s="189"/>
      <c r="N24" s="189"/>
      <c r="O24" s="189"/>
      <c r="P24" s="98" t="s">
        <v>128</v>
      </c>
    </row>
    <row r="25" spans="1:16" ht="39" customHeight="1" x14ac:dyDescent="0.25">
      <c r="A25" s="104" t="s">
        <v>52</v>
      </c>
      <c r="B25" s="190" t="s">
        <v>155</v>
      </c>
      <c r="C25" s="191"/>
      <c r="D25" s="191"/>
      <c r="E25" s="191"/>
      <c r="F25" s="191"/>
      <c r="G25" s="192"/>
      <c r="H25" s="189" t="s">
        <v>151</v>
      </c>
      <c r="I25" s="189"/>
      <c r="J25" s="189"/>
      <c r="K25" s="189"/>
      <c r="L25" s="189" t="s">
        <v>151</v>
      </c>
      <c r="M25" s="189"/>
      <c r="N25" s="189"/>
      <c r="O25" s="189"/>
      <c r="P25" s="98" t="s">
        <v>128</v>
      </c>
    </row>
    <row r="26" spans="1:16" ht="39" customHeight="1" x14ac:dyDescent="0.25">
      <c r="A26" s="104" t="s">
        <v>53</v>
      </c>
      <c r="B26" s="190" t="s">
        <v>156</v>
      </c>
      <c r="C26" s="191"/>
      <c r="D26" s="191"/>
      <c r="E26" s="191"/>
      <c r="F26" s="191"/>
      <c r="G26" s="192"/>
      <c r="H26" s="189" t="s">
        <v>157</v>
      </c>
      <c r="I26" s="189"/>
      <c r="J26" s="189"/>
      <c r="K26" s="189"/>
      <c r="L26" s="189" t="s">
        <v>157</v>
      </c>
      <c r="M26" s="189"/>
      <c r="N26" s="189"/>
      <c r="O26" s="189"/>
      <c r="P26" s="98" t="s">
        <v>128</v>
      </c>
    </row>
    <row r="27" spans="1:16" ht="38.700000000000003" customHeight="1" x14ac:dyDescent="0.25">
      <c r="A27" s="104" t="s">
        <v>54</v>
      </c>
      <c r="B27" s="190"/>
      <c r="C27" s="191"/>
      <c r="D27" s="191"/>
      <c r="E27" s="191"/>
      <c r="F27" s="191"/>
      <c r="G27" s="192"/>
      <c r="H27" s="189"/>
      <c r="I27" s="189"/>
      <c r="J27" s="189"/>
      <c r="K27" s="189"/>
      <c r="L27" s="189"/>
      <c r="M27" s="189"/>
      <c r="N27" s="189"/>
      <c r="O27" s="189"/>
      <c r="P27" s="98"/>
    </row>
    <row r="28" spans="1:16" ht="38.700000000000003" customHeight="1" x14ac:dyDescent="0.25">
      <c r="A28" s="104" t="s">
        <v>55</v>
      </c>
      <c r="B28" s="190"/>
      <c r="C28" s="191"/>
      <c r="D28" s="191"/>
      <c r="E28" s="191"/>
      <c r="F28" s="191"/>
      <c r="G28" s="192"/>
      <c r="H28" s="189"/>
      <c r="I28" s="189"/>
      <c r="J28" s="189"/>
      <c r="K28" s="189"/>
      <c r="L28" s="189"/>
      <c r="M28" s="189"/>
      <c r="N28" s="189"/>
      <c r="O28" s="189"/>
      <c r="P28" s="98"/>
    </row>
    <row r="29" spans="1:16" x14ac:dyDescent="0.25">
      <c r="A29" s="104"/>
      <c r="B29" s="215"/>
      <c r="C29" s="216"/>
      <c r="D29" s="216"/>
      <c r="E29" s="216"/>
      <c r="F29" s="216"/>
      <c r="G29" s="217"/>
      <c r="H29" s="189"/>
      <c r="I29" s="189"/>
      <c r="J29" s="189"/>
      <c r="K29" s="189"/>
      <c r="L29" s="189"/>
      <c r="M29" s="189"/>
      <c r="N29" s="189"/>
      <c r="O29" s="189"/>
      <c r="P29" s="98"/>
    </row>
    <row r="30" spans="1:16" ht="13.8" thickBot="1" x14ac:dyDescent="0.3">
      <c r="A30" s="105"/>
      <c r="B30" s="218"/>
      <c r="C30" s="219"/>
      <c r="D30" s="219"/>
      <c r="E30" s="219"/>
      <c r="F30" s="219"/>
      <c r="G30" s="220"/>
      <c r="H30" s="221"/>
      <c r="I30" s="221"/>
      <c r="J30" s="221"/>
      <c r="K30" s="221"/>
      <c r="L30" s="221"/>
      <c r="M30" s="221"/>
      <c r="N30" s="221"/>
      <c r="O30" s="221"/>
      <c r="P30" s="99"/>
    </row>
    <row r="31" spans="1:16" x14ac:dyDescent="0.25">
      <c r="B31" s="100"/>
      <c r="C31" s="100"/>
      <c r="D31" s="100"/>
      <c r="E31" s="100"/>
      <c r="F31" s="100"/>
      <c r="G31" s="100"/>
      <c r="H31" s="100"/>
    </row>
    <row r="32" spans="1:16" x14ac:dyDescent="0.25">
      <c r="B32" s="100"/>
      <c r="C32" s="100"/>
      <c r="D32" s="100"/>
      <c r="E32" s="100"/>
      <c r="F32" s="100"/>
      <c r="G32" s="100"/>
      <c r="H32" s="100"/>
    </row>
  </sheetData>
  <mergeCells count="37">
    <mergeCell ref="B30:G30"/>
    <mergeCell ref="H30:K30"/>
    <mergeCell ref="L30:O30"/>
    <mergeCell ref="B28:G28"/>
    <mergeCell ref="H28:K28"/>
    <mergeCell ref="L28:O28"/>
    <mergeCell ref="B29:G29"/>
    <mergeCell ref="H29:K29"/>
    <mergeCell ref="L29:O29"/>
    <mergeCell ref="L27:O27"/>
    <mergeCell ref="B24:G24"/>
    <mergeCell ref="H24:K24"/>
    <mergeCell ref="L24:O24"/>
    <mergeCell ref="B25:G25"/>
    <mergeCell ref="H25:K25"/>
    <mergeCell ref="L25:O25"/>
    <mergeCell ref="B26:G26"/>
    <mergeCell ref="H26:K26"/>
    <mergeCell ref="L26:O26"/>
    <mergeCell ref="B27:G27"/>
    <mergeCell ref="H27:K27"/>
    <mergeCell ref="H23:K23"/>
    <mergeCell ref="L23:O23"/>
    <mergeCell ref="B1:G1"/>
    <mergeCell ref="B3:G3"/>
    <mergeCell ref="B7:G7"/>
    <mergeCell ref="A21:G21"/>
    <mergeCell ref="H21:K21"/>
    <mergeCell ref="L21:O21"/>
    <mergeCell ref="B23:G23"/>
    <mergeCell ref="A11:A14"/>
    <mergeCell ref="B11:G14"/>
    <mergeCell ref="A16:A19"/>
    <mergeCell ref="B16:G19"/>
    <mergeCell ref="B22:G22"/>
    <mergeCell ref="H22:K22"/>
    <mergeCell ref="L22:O22"/>
  </mergeCells>
  <phoneticPr fontId="42" type="noConversion"/>
  <conditionalFormatting sqref="B9:B10">
    <cfRule type="cellIs" dxfId="69" priority="13" operator="equal">
      <formula>"Nok"</formula>
    </cfRule>
    <cfRule type="cellIs" dxfId="68" priority="14" operator="equal">
      <formula>"Ok"</formula>
    </cfRule>
  </conditionalFormatting>
  <conditionalFormatting sqref="P29:P30">
    <cfRule type="cellIs" dxfId="67" priority="11" operator="equal">
      <formula>"Nok"</formula>
    </cfRule>
    <cfRule type="cellIs" dxfId="66" priority="12" operator="equal">
      <formula>"Ok"</formula>
    </cfRule>
  </conditionalFormatting>
  <conditionalFormatting sqref="P25:P28">
    <cfRule type="cellIs" dxfId="65" priority="7" operator="equal">
      <formula>"Nok"</formula>
    </cfRule>
    <cfRule type="cellIs" dxfId="64" priority="8" operator="equal">
      <formula>"Ok"</formula>
    </cfRule>
  </conditionalFormatting>
  <conditionalFormatting sqref="P24">
    <cfRule type="cellIs" dxfId="63" priority="5" operator="equal">
      <formula>"Nok"</formula>
    </cfRule>
    <cfRule type="cellIs" dxfId="62" priority="6" operator="equal">
      <formula>"Ok"</formula>
    </cfRule>
  </conditionalFormatting>
  <conditionalFormatting sqref="P22">
    <cfRule type="cellIs" dxfId="61" priority="3" operator="equal">
      <formula>"Nok"</formula>
    </cfRule>
    <cfRule type="cellIs" dxfId="60" priority="4" operator="equal">
      <formula>"Ok"</formula>
    </cfRule>
  </conditionalFormatting>
  <conditionalFormatting sqref="P23">
    <cfRule type="cellIs" dxfId="59" priority="1" operator="equal">
      <formula>"Nok"</formula>
    </cfRule>
    <cfRule type="cellIs" dxfId="58" priority="2" operator="equal">
      <formula>"Ok"</formula>
    </cfRule>
  </conditionalFormatting>
  <dataValidations count="3">
    <dataValidation type="list" allowBlank="1" showInputMessage="1" showErrorMessage="1" sqref="B5" xr:uid="{3A3C226A-EA9C-41B4-A9B9-8221B14CFE84}">
      <formula1>"Nominal, Robustness, Endurance, Qualification"</formula1>
    </dataValidation>
    <dataValidation type="list" allowBlank="1" showInputMessage="1" showErrorMessage="1" sqref="B9" xr:uid="{79514B4A-7124-44D3-B477-0DEC69A51191}">
      <formula1>"Ok, Nok, Not run, NA"</formula1>
    </dataValidation>
    <dataValidation type="list" allowBlank="1" showInputMessage="1" showErrorMessage="1" sqref="P22:P30" xr:uid="{8D25E97D-250A-4F6E-A31E-C63873669B6D}">
      <formula1>"Ok, Nok, Not run, ,"</formula1>
    </dataValidation>
  </dataValidations>
  <pageMargins left="0.7" right="0.7" top="0.75" bottom="0.75" header="0.3" footer="0.3"/>
  <pageSetup paperSize="9" orientation="portrait" r:id="rId1"/>
  <headerFooter>
    <oddFooter>&amp;LNA ver 1&amp;R&amp;P</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A5D58-93BA-413B-9F27-839491D0705B}">
  <sheetPr codeName="Sheet12"/>
  <dimension ref="A1:P33"/>
  <sheetViews>
    <sheetView topLeftCell="A13" workbookViewId="0">
      <selection activeCell="L25" sqref="L25:O25"/>
    </sheetView>
  </sheetViews>
  <sheetFormatPr defaultColWidth="9.33203125" defaultRowHeight="13.2" x14ac:dyDescent="0.25"/>
  <cols>
    <col min="1" max="1" width="20.33203125" style="100" customWidth="1"/>
    <col min="2" max="2" width="18.44140625" style="96" customWidth="1"/>
    <col min="3" max="7" width="9.33203125" style="96"/>
    <col min="8" max="15" width="9.5546875" style="96" customWidth="1"/>
    <col min="16" max="16384" width="9.33203125" style="96"/>
  </cols>
  <sheetData>
    <row r="1" spans="1:15" ht="13.8" thickBot="1" x14ac:dyDescent="0.3">
      <c r="A1" s="101" t="s">
        <v>40</v>
      </c>
      <c r="B1" s="208" t="s">
        <v>159</v>
      </c>
      <c r="C1" s="209"/>
      <c r="D1" s="209"/>
      <c r="E1" s="209"/>
      <c r="F1" s="209"/>
      <c r="G1" s="210"/>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14" t="s">
        <v>167</v>
      </c>
      <c r="C3" s="212"/>
      <c r="D3" s="212"/>
      <c r="E3" s="212"/>
      <c r="F3" s="212"/>
      <c r="G3" s="21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14" t="s">
        <v>160</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106" t="s">
        <v>128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3" t="s">
        <v>109</v>
      </c>
      <c r="B11" s="198" t="s">
        <v>127</v>
      </c>
      <c r="C11" s="199"/>
      <c r="D11" s="199"/>
      <c r="E11" s="199"/>
      <c r="F11" s="199"/>
      <c r="G11" s="200"/>
      <c r="H11" s="74"/>
      <c r="I11" s="74"/>
      <c r="J11" s="74"/>
      <c r="K11" s="74"/>
      <c r="L11" s="74"/>
      <c r="M11" s="74"/>
      <c r="N11" s="74"/>
      <c r="O11" s="74"/>
    </row>
    <row r="12" spans="1:15" x14ac:dyDescent="0.25">
      <c r="A12" s="194"/>
      <c r="B12" s="201"/>
      <c r="C12" s="202"/>
      <c r="D12" s="202"/>
      <c r="E12" s="202"/>
      <c r="F12" s="202"/>
      <c r="G12" s="203"/>
      <c r="H12" s="74"/>
      <c r="I12" s="74"/>
      <c r="J12" s="74"/>
      <c r="K12" s="74"/>
      <c r="L12" s="74"/>
      <c r="M12" s="74"/>
      <c r="N12" s="74"/>
      <c r="O12" s="74"/>
    </row>
    <row r="13" spans="1:15" x14ac:dyDescent="0.25">
      <c r="A13" s="194"/>
      <c r="B13" s="201"/>
      <c r="C13" s="202"/>
      <c r="D13" s="202"/>
      <c r="E13" s="202"/>
      <c r="F13" s="202"/>
      <c r="G13" s="203"/>
      <c r="H13" s="72"/>
      <c r="I13" s="74"/>
      <c r="J13" s="74"/>
      <c r="K13" s="74"/>
      <c r="L13" s="74"/>
      <c r="M13" s="74"/>
      <c r="N13" s="74"/>
      <c r="O13" s="74"/>
    </row>
    <row r="14" spans="1:15" ht="13.8" thickBot="1" x14ac:dyDescent="0.3">
      <c r="A14" s="194"/>
      <c r="B14" s="204"/>
      <c r="C14" s="205"/>
      <c r="D14" s="205"/>
      <c r="E14" s="205"/>
      <c r="F14" s="205"/>
      <c r="G14" s="206"/>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x14ac:dyDescent="0.25">
      <c r="A16" s="193" t="s">
        <v>43</v>
      </c>
      <c r="B16" s="198" t="s">
        <v>130</v>
      </c>
      <c r="C16" s="199"/>
      <c r="D16" s="199"/>
      <c r="E16" s="199"/>
      <c r="F16" s="199"/>
      <c r="G16" s="200"/>
      <c r="H16" s="74"/>
      <c r="I16" s="74"/>
      <c r="J16" s="74"/>
      <c r="K16" s="74"/>
      <c r="L16" s="74"/>
      <c r="M16" s="74"/>
      <c r="N16" s="74"/>
      <c r="O16" s="74"/>
    </row>
    <row r="17" spans="1:16" x14ac:dyDescent="0.25">
      <c r="A17" s="194"/>
      <c r="B17" s="201"/>
      <c r="C17" s="202"/>
      <c r="D17" s="202"/>
      <c r="E17" s="202"/>
      <c r="F17" s="202"/>
      <c r="G17" s="203"/>
      <c r="H17" s="74"/>
      <c r="I17" s="74"/>
      <c r="J17" s="74"/>
      <c r="K17" s="74"/>
      <c r="L17" s="74"/>
      <c r="M17" s="74"/>
      <c r="N17" s="74"/>
      <c r="O17" s="74"/>
    </row>
    <row r="18" spans="1:16" x14ac:dyDescent="0.25">
      <c r="A18" s="194"/>
      <c r="B18" s="201"/>
      <c r="C18" s="202"/>
      <c r="D18" s="202"/>
      <c r="E18" s="202"/>
      <c r="F18" s="202"/>
      <c r="G18" s="203"/>
      <c r="H18" s="72"/>
      <c r="I18" s="74"/>
      <c r="J18" s="74"/>
      <c r="K18" s="74"/>
      <c r="L18" s="74"/>
      <c r="M18" s="74"/>
      <c r="N18" s="74"/>
      <c r="O18" s="74"/>
    </row>
    <row r="19" spans="1:16" ht="13.8" thickBot="1" x14ac:dyDescent="0.3">
      <c r="A19" s="194"/>
      <c r="B19" s="204"/>
      <c r="C19" s="205"/>
      <c r="D19" s="205"/>
      <c r="E19" s="205"/>
      <c r="F19" s="205"/>
      <c r="G19" s="206"/>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5" t="s">
        <v>47</v>
      </c>
      <c r="B21" s="196"/>
      <c r="C21" s="196"/>
      <c r="D21" s="196"/>
      <c r="E21" s="196"/>
      <c r="F21" s="196"/>
      <c r="G21" s="197"/>
      <c r="H21" s="195" t="s">
        <v>48</v>
      </c>
      <c r="I21" s="196"/>
      <c r="J21" s="196"/>
      <c r="K21" s="197"/>
      <c r="L21" s="195" t="s">
        <v>57</v>
      </c>
      <c r="M21" s="196"/>
      <c r="N21" s="196"/>
      <c r="O21" s="197"/>
      <c r="P21" s="103" t="s">
        <v>46</v>
      </c>
    </row>
    <row r="22" spans="1:16" ht="91.2" customHeight="1" x14ac:dyDescent="0.25">
      <c r="A22" s="104" t="s">
        <v>49</v>
      </c>
      <c r="B22" s="215" t="s">
        <v>161</v>
      </c>
      <c r="C22" s="216"/>
      <c r="D22" s="216"/>
      <c r="E22" s="216"/>
      <c r="F22" s="216"/>
      <c r="G22" s="217"/>
      <c r="H22" s="207" t="s">
        <v>151</v>
      </c>
      <c r="I22" s="207"/>
      <c r="J22" s="207"/>
      <c r="K22" s="207"/>
      <c r="L22" s="207" t="s">
        <v>151</v>
      </c>
      <c r="M22" s="207"/>
      <c r="N22" s="207"/>
      <c r="O22" s="207"/>
      <c r="P22" s="98" t="s">
        <v>128</v>
      </c>
    </row>
    <row r="23" spans="1:16" ht="41.7" customHeight="1" x14ac:dyDescent="0.25">
      <c r="A23" s="104" t="s">
        <v>50</v>
      </c>
      <c r="B23" s="190" t="s">
        <v>163</v>
      </c>
      <c r="C23" s="191"/>
      <c r="D23" s="191"/>
      <c r="E23" s="191"/>
      <c r="F23" s="191"/>
      <c r="G23" s="192"/>
      <c r="H23" s="207" t="s">
        <v>164</v>
      </c>
      <c r="I23" s="207"/>
      <c r="J23" s="207"/>
      <c r="K23" s="207"/>
      <c r="L23" s="207" t="s">
        <v>164</v>
      </c>
      <c r="M23" s="207"/>
      <c r="N23" s="207"/>
      <c r="O23" s="207"/>
      <c r="P23" s="98" t="s">
        <v>128</v>
      </c>
    </row>
    <row r="24" spans="1:16" ht="41.7" customHeight="1" x14ac:dyDescent="0.25">
      <c r="A24" s="104" t="s">
        <v>51</v>
      </c>
      <c r="B24" s="190" t="s">
        <v>154</v>
      </c>
      <c r="C24" s="191"/>
      <c r="D24" s="191"/>
      <c r="E24" s="191"/>
      <c r="F24" s="191"/>
      <c r="G24" s="192"/>
      <c r="H24" s="189" t="s">
        <v>158</v>
      </c>
      <c r="I24" s="189"/>
      <c r="J24" s="189"/>
      <c r="K24" s="189"/>
      <c r="L24" s="189" t="s">
        <v>158</v>
      </c>
      <c r="M24" s="189"/>
      <c r="N24" s="189"/>
      <c r="O24" s="189"/>
      <c r="P24" s="98" t="s">
        <v>128</v>
      </c>
    </row>
    <row r="25" spans="1:16" ht="39.450000000000003" customHeight="1" x14ac:dyDescent="0.25">
      <c r="A25" s="104" t="s">
        <v>52</v>
      </c>
      <c r="B25" s="190" t="s">
        <v>155</v>
      </c>
      <c r="C25" s="191"/>
      <c r="D25" s="191"/>
      <c r="E25" s="191"/>
      <c r="F25" s="191"/>
      <c r="G25" s="192"/>
      <c r="H25" s="189" t="s">
        <v>151</v>
      </c>
      <c r="I25" s="189"/>
      <c r="J25" s="189"/>
      <c r="K25" s="189"/>
      <c r="L25" s="189" t="s">
        <v>151</v>
      </c>
      <c r="M25" s="189"/>
      <c r="N25" s="189"/>
      <c r="O25" s="189"/>
      <c r="P25" s="98" t="s">
        <v>128</v>
      </c>
    </row>
    <row r="26" spans="1:16" ht="39" customHeight="1" x14ac:dyDescent="0.25">
      <c r="A26" s="104" t="s">
        <v>53</v>
      </c>
      <c r="B26" s="190" t="s">
        <v>156</v>
      </c>
      <c r="C26" s="191"/>
      <c r="D26" s="191"/>
      <c r="E26" s="191"/>
      <c r="F26" s="191"/>
      <c r="G26" s="192"/>
      <c r="H26" s="189" t="s">
        <v>157</v>
      </c>
      <c r="I26" s="189"/>
      <c r="J26" s="189"/>
      <c r="K26" s="189"/>
      <c r="L26" s="189" t="s">
        <v>157</v>
      </c>
      <c r="M26" s="189"/>
      <c r="N26" s="189"/>
      <c r="O26" s="189"/>
      <c r="P26" s="98" t="s">
        <v>128</v>
      </c>
    </row>
    <row r="27" spans="1:16" ht="39" customHeight="1" x14ac:dyDescent="0.25">
      <c r="A27" s="104" t="s">
        <v>54</v>
      </c>
      <c r="B27" s="190" t="s">
        <v>182</v>
      </c>
      <c r="C27" s="191"/>
      <c r="D27" s="191"/>
      <c r="E27" s="191"/>
      <c r="F27" s="191"/>
      <c r="G27" s="192"/>
      <c r="H27" s="189"/>
      <c r="I27" s="189"/>
      <c r="J27" s="189"/>
      <c r="K27" s="189"/>
      <c r="L27" s="189"/>
      <c r="M27" s="189"/>
      <c r="N27" s="189"/>
      <c r="O27" s="189"/>
      <c r="P27" s="98" t="s">
        <v>128</v>
      </c>
    </row>
    <row r="28" spans="1:16" ht="42.45" customHeight="1" x14ac:dyDescent="0.25">
      <c r="A28" s="104" t="s">
        <v>55</v>
      </c>
      <c r="B28" s="222" t="s">
        <v>183</v>
      </c>
      <c r="C28" s="223"/>
      <c r="D28" s="223"/>
      <c r="E28" s="223"/>
      <c r="F28" s="223"/>
      <c r="G28" s="224"/>
      <c r="H28" s="215" t="s">
        <v>184</v>
      </c>
      <c r="I28" s="216"/>
      <c r="J28" s="216"/>
      <c r="K28" s="217"/>
      <c r="L28" s="215" t="s">
        <v>184</v>
      </c>
      <c r="M28" s="216"/>
      <c r="N28" s="216"/>
      <c r="O28" s="217"/>
      <c r="P28" s="98" t="s">
        <v>128</v>
      </c>
    </row>
    <row r="29" spans="1:16" ht="26.7" customHeight="1" x14ac:dyDescent="0.25">
      <c r="A29" s="104" t="s">
        <v>177</v>
      </c>
      <c r="B29" s="222" t="s">
        <v>185</v>
      </c>
      <c r="C29" s="223"/>
      <c r="D29" s="223"/>
      <c r="E29" s="223"/>
      <c r="F29" s="223"/>
      <c r="G29" s="224"/>
      <c r="H29" s="189" t="s">
        <v>186</v>
      </c>
      <c r="I29" s="189"/>
      <c r="J29" s="189"/>
      <c r="K29" s="189"/>
      <c r="L29" s="189" t="s">
        <v>186</v>
      </c>
      <c r="M29" s="189"/>
      <c r="N29" s="189"/>
      <c r="O29" s="189"/>
      <c r="P29" s="98" t="s">
        <v>128</v>
      </c>
    </row>
    <row r="30" spans="1:16" x14ac:dyDescent="0.25">
      <c r="A30" s="104" t="s">
        <v>178</v>
      </c>
      <c r="B30" s="222" t="s">
        <v>188</v>
      </c>
      <c r="C30" s="223"/>
      <c r="D30" s="223"/>
      <c r="E30" s="223"/>
      <c r="F30" s="223"/>
      <c r="G30" s="224"/>
      <c r="H30" s="189" t="s">
        <v>151</v>
      </c>
      <c r="I30" s="189"/>
      <c r="J30" s="189"/>
      <c r="K30" s="189"/>
      <c r="L30" s="189" t="s">
        <v>151</v>
      </c>
      <c r="M30" s="189"/>
      <c r="N30" s="189"/>
      <c r="O30" s="189"/>
      <c r="P30" s="98" t="s">
        <v>128</v>
      </c>
    </row>
    <row r="31" spans="1:16" ht="13.8" thickBot="1" x14ac:dyDescent="0.3">
      <c r="A31" s="104" t="s">
        <v>179</v>
      </c>
      <c r="B31" s="218" t="s">
        <v>185</v>
      </c>
      <c r="C31" s="219"/>
      <c r="D31" s="219"/>
      <c r="E31" s="219"/>
      <c r="F31" s="219"/>
      <c r="G31" s="220"/>
      <c r="H31" s="221" t="s">
        <v>187</v>
      </c>
      <c r="I31" s="221"/>
      <c r="J31" s="221"/>
      <c r="K31" s="221"/>
      <c r="L31" s="221" t="s">
        <v>187</v>
      </c>
      <c r="M31" s="221"/>
      <c r="N31" s="221"/>
      <c r="O31" s="221"/>
      <c r="P31" s="98" t="s">
        <v>128</v>
      </c>
    </row>
    <row r="32" spans="1:16" x14ac:dyDescent="0.25">
      <c r="B32" s="100"/>
      <c r="C32" s="100"/>
      <c r="D32" s="100"/>
      <c r="E32" s="100"/>
      <c r="F32" s="100"/>
      <c r="G32" s="100"/>
      <c r="H32" s="100"/>
    </row>
    <row r="33" spans="2:8" x14ac:dyDescent="0.25">
      <c r="B33" s="100"/>
      <c r="C33" s="100"/>
      <c r="D33" s="100"/>
      <c r="E33" s="100"/>
      <c r="F33" s="100"/>
      <c r="G33" s="100"/>
      <c r="H33" s="100"/>
    </row>
  </sheetData>
  <mergeCells count="40">
    <mergeCell ref="B1:G1"/>
    <mergeCell ref="B3:G3"/>
    <mergeCell ref="B7:G7"/>
    <mergeCell ref="A11:A14"/>
    <mergeCell ref="B11:G14"/>
    <mergeCell ref="A21:G21"/>
    <mergeCell ref="H21:K21"/>
    <mergeCell ref="L21:O21"/>
    <mergeCell ref="A16:A19"/>
    <mergeCell ref="B16:G19"/>
    <mergeCell ref="B22:G22"/>
    <mergeCell ref="H23:K23"/>
    <mergeCell ref="L23:O23"/>
    <mergeCell ref="B25:G25"/>
    <mergeCell ref="H25:K25"/>
    <mergeCell ref="L25:O25"/>
    <mergeCell ref="B23:G23"/>
    <mergeCell ref="H22:K22"/>
    <mergeCell ref="L22:O22"/>
    <mergeCell ref="B24:G24"/>
    <mergeCell ref="H24:K24"/>
    <mergeCell ref="L24:O24"/>
    <mergeCell ref="B26:G26"/>
    <mergeCell ref="H26:K26"/>
    <mergeCell ref="L26:O26"/>
    <mergeCell ref="B27:G27"/>
    <mergeCell ref="H27:K27"/>
    <mergeCell ref="L27:O27"/>
    <mergeCell ref="B31:G31"/>
    <mergeCell ref="H31:K31"/>
    <mergeCell ref="L31:O31"/>
    <mergeCell ref="B30:G30"/>
    <mergeCell ref="H30:K30"/>
    <mergeCell ref="L30:O30"/>
    <mergeCell ref="B29:G29"/>
    <mergeCell ref="H29:K29"/>
    <mergeCell ref="L29:O29"/>
    <mergeCell ref="L28:O28"/>
    <mergeCell ref="H28:K28"/>
    <mergeCell ref="B28:G28"/>
  </mergeCells>
  <phoneticPr fontId="42" type="noConversion"/>
  <conditionalFormatting sqref="B9:B10">
    <cfRule type="cellIs" dxfId="57" priority="27" operator="equal">
      <formula>"Nok"</formula>
    </cfRule>
    <cfRule type="cellIs" dxfId="56" priority="28" operator="equal">
      <formula>"Ok"</formula>
    </cfRule>
  </conditionalFormatting>
  <conditionalFormatting sqref="P26:P31">
    <cfRule type="cellIs" dxfId="55" priority="7" operator="equal">
      <formula>"Nok"</formula>
    </cfRule>
    <cfRule type="cellIs" dxfId="54" priority="8" operator="equal">
      <formula>"Ok"</formula>
    </cfRule>
  </conditionalFormatting>
  <conditionalFormatting sqref="P25">
    <cfRule type="cellIs" dxfId="53" priority="5" operator="equal">
      <formula>"Nok"</formula>
    </cfRule>
    <cfRule type="cellIs" dxfId="52" priority="6" operator="equal">
      <formula>"Ok"</formula>
    </cfRule>
  </conditionalFormatting>
  <conditionalFormatting sqref="P22">
    <cfRule type="cellIs" dxfId="51" priority="3" operator="equal">
      <formula>"Nok"</formula>
    </cfRule>
    <cfRule type="cellIs" dxfId="50" priority="4" operator="equal">
      <formula>"Ok"</formula>
    </cfRule>
  </conditionalFormatting>
  <conditionalFormatting sqref="P23:P24">
    <cfRule type="cellIs" dxfId="49" priority="1" operator="equal">
      <formula>"Nok"</formula>
    </cfRule>
    <cfRule type="cellIs" dxfId="48" priority="2" operator="equal">
      <formula>"Ok"</formula>
    </cfRule>
  </conditionalFormatting>
  <dataValidations count="3">
    <dataValidation type="list" allowBlank="1" showInputMessage="1" showErrorMessage="1" sqref="B9" xr:uid="{2788F234-6FFF-439C-963D-EB3793585000}">
      <formula1>"Ok, Nok, Not run, NA"</formula1>
    </dataValidation>
    <dataValidation type="list" allowBlank="1" showInputMessage="1" showErrorMessage="1" sqref="B5" xr:uid="{3F341500-6ABF-4B48-B0CF-6CBB59B99875}">
      <formula1>"Nominal, Robustness, Endurance, Qualification"</formula1>
    </dataValidation>
    <dataValidation type="list" allowBlank="1" showInputMessage="1" showErrorMessage="1" sqref="P22:P31" xr:uid="{58CF8AB5-B7E0-44CB-B046-9946A651B110}">
      <formula1>"Ok, Nok, Not run, ,"</formula1>
    </dataValidation>
  </dataValidations>
  <pageMargins left="0.7" right="0.7" top="0.75" bottom="0.75" header="0.3" footer="0.3"/>
  <pageSetup paperSize="9" orientation="portrait" r:id="rId1"/>
  <headerFooter>
    <oddFooter>&amp;LNA ver 1&amp;R&amp;P</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83927-3F69-42AD-B1C8-5CE470149887}">
  <sheetPr codeName="Sheet13"/>
  <dimension ref="A1:P32"/>
  <sheetViews>
    <sheetView topLeftCell="A10" workbookViewId="0"/>
  </sheetViews>
  <sheetFormatPr defaultColWidth="9.33203125" defaultRowHeight="13.2" x14ac:dyDescent="0.25"/>
  <cols>
    <col min="1" max="1" width="20.33203125" style="100" customWidth="1"/>
    <col min="2" max="2" width="18.44140625" style="96" customWidth="1"/>
    <col min="3" max="6" width="9.33203125" style="96"/>
    <col min="7" max="7" width="12" style="96" customWidth="1"/>
    <col min="8" max="15" width="9.5546875" style="96" customWidth="1"/>
    <col min="16" max="16384" width="9.33203125" style="96"/>
  </cols>
  <sheetData>
    <row r="1" spans="1:15" ht="13.8" thickBot="1" x14ac:dyDescent="0.3">
      <c r="A1" s="101" t="s">
        <v>40</v>
      </c>
      <c r="B1" s="208" t="s">
        <v>165</v>
      </c>
      <c r="C1" s="228"/>
      <c r="D1" s="228"/>
      <c r="E1" s="228"/>
      <c r="F1" s="228"/>
      <c r="G1" s="229"/>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14" t="s">
        <v>189</v>
      </c>
      <c r="C3" s="212"/>
      <c r="D3" s="212"/>
      <c r="E3" s="212"/>
      <c r="F3" s="212"/>
      <c r="G3" s="21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14" t="s">
        <v>166</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106" t="s">
        <v>128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3" t="s">
        <v>109</v>
      </c>
      <c r="B11" s="198" t="s">
        <v>127</v>
      </c>
      <c r="C11" s="199"/>
      <c r="D11" s="199"/>
      <c r="E11" s="199"/>
      <c r="F11" s="199"/>
      <c r="G11" s="200"/>
      <c r="H11" s="74"/>
      <c r="I11" s="74"/>
      <c r="J11" s="74"/>
      <c r="K11" s="74"/>
      <c r="L11" s="74"/>
      <c r="M11" s="74"/>
      <c r="N11" s="74"/>
      <c r="O11" s="74"/>
    </row>
    <row r="12" spans="1:15" x14ac:dyDescent="0.25">
      <c r="A12" s="194"/>
      <c r="B12" s="201"/>
      <c r="C12" s="202"/>
      <c r="D12" s="202"/>
      <c r="E12" s="202"/>
      <c r="F12" s="202"/>
      <c r="G12" s="203"/>
      <c r="H12" s="74"/>
      <c r="I12" s="74"/>
      <c r="J12" s="74"/>
      <c r="K12" s="74"/>
      <c r="L12" s="74"/>
      <c r="M12" s="74"/>
      <c r="N12" s="74"/>
      <c r="O12" s="74"/>
    </row>
    <row r="13" spans="1:15" x14ac:dyDescent="0.25">
      <c r="A13" s="194"/>
      <c r="B13" s="201"/>
      <c r="C13" s="202"/>
      <c r="D13" s="202"/>
      <c r="E13" s="202"/>
      <c r="F13" s="202"/>
      <c r="G13" s="203"/>
      <c r="H13" s="72"/>
      <c r="I13" s="74"/>
      <c r="J13" s="74"/>
      <c r="K13" s="74"/>
      <c r="L13" s="74"/>
      <c r="M13" s="74"/>
      <c r="N13" s="74"/>
      <c r="O13" s="74"/>
    </row>
    <row r="14" spans="1:15" ht="13.8" thickBot="1" x14ac:dyDescent="0.3">
      <c r="A14" s="194"/>
      <c r="B14" s="204"/>
      <c r="C14" s="205"/>
      <c r="D14" s="205"/>
      <c r="E14" s="205"/>
      <c r="F14" s="205"/>
      <c r="G14" s="206"/>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ht="13.2" customHeight="1" x14ac:dyDescent="0.25">
      <c r="A16" s="193" t="s">
        <v>43</v>
      </c>
      <c r="B16" s="198" t="s">
        <v>162</v>
      </c>
      <c r="C16" s="199"/>
      <c r="D16" s="199"/>
      <c r="E16" s="199"/>
      <c r="F16" s="199"/>
      <c r="G16" s="200"/>
      <c r="H16" s="74"/>
      <c r="I16" s="74"/>
      <c r="J16" s="74"/>
      <c r="K16" s="74"/>
      <c r="L16" s="74"/>
      <c r="M16" s="74"/>
      <c r="N16" s="74"/>
      <c r="O16" s="74"/>
    </row>
    <row r="17" spans="1:16" ht="13.2" customHeight="1" x14ac:dyDescent="0.25">
      <c r="A17" s="194"/>
      <c r="B17" s="201"/>
      <c r="C17" s="202"/>
      <c r="D17" s="202"/>
      <c r="E17" s="202"/>
      <c r="F17" s="202"/>
      <c r="G17" s="203"/>
      <c r="H17" s="74"/>
      <c r="I17" s="74"/>
      <c r="J17" s="74"/>
      <c r="K17" s="74"/>
      <c r="L17" s="74"/>
      <c r="M17" s="74"/>
      <c r="N17" s="74"/>
      <c r="O17" s="74"/>
    </row>
    <row r="18" spans="1:16" x14ac:dyDescent="0.25">
      <c r="A18" s="194"/>
      <c r="B18" s="201"/>
      <c r="C18" s="202"/>
      <c r="D18" s="202"/>
      <c r="E18" s="202"/>
      <c r="F18" s="202"/>
      <c r="G18" s="203"/>
      <c r="H18" s="72"/>
      <c r="I18" s="74"/>
      <c r="J18" s="74"/>
      <c r="K18" s="74"/>
      <c r="L18" s="74"/>
      <c r="M18" s="74"/>
      <c r="N18" s="74"/>
      <c r="O18" s="74"/>
    </row>
    <row r="19" spans="1:16" ht="13.8" thickBot="1" x14ac:dyDescent="0.3">
      <c r="A19" s="194"/>
      <c r="B19" s="204"/>
      <c r="C19" s="205"/>
      <c r="D19" s="205"/>
      <c r="E19" s="205"/>
      <c r="F19" s="205"/>
      <c r="G19" s="206"/>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5" t="s">
        <v>47</v>
      </c>
      <c r="B21" s="196"/>
      <c r="C21" s="196"/>
      <c r="D21" s="196"/>
      <c r="E21" s="196"/>
      <c r="F21" s="196"/>
      <c r="G21" s="197"/>
      <c r="H21" s="195" t="s">
        <v>48</v>
      </c>
      <c r="I21" s="196"/>
      <c r="J21" s="196"/>
      <c r="K21" s="197"/>
      <c r="L21" s="195" t="s">
        <v>57</v>
      </c>
      <c r="M21" s="196"/>
      <c r="N21" s="196"/>
      <c r="O21" s="197"/>
      <c r="P21" s="103" t="s">
        <v>46</v>
      </c>
    </row>
    <row r="22" spans="1:16" ht="70.95" customHeight="1" x14ac:dyDescent="0.25">
      <c r="A22" s="104" t="s">
        <v>49</v>
      </c>
      <c r="B22" s="215" t="s">
        <v>161</v>
      </c>
      <c r="C22" s="216"/>
      <c r="D22" s="216"/>
      <c r="E22" s="216"/>
      <c r="F22" s="216"/>
      <c r="G22" s="217"/>
      <c r="H22" s="207" t="s">
        <v>151</v>
      </c>
      <c r="I22" s="207"/>
      <c r="J22" s="207"/>
      <c r="K22" s="207"/>
      <c r="L22" s="207" t="s">
        <v>151</v>
      </c>
      <c r="M22" s="207"/>
      <c r="N22" s="207"/>
      <c r="O22" s="207"/>
      <c r="P22" s="98" t="s">
        <v>128</v>
      </c>
    </row>
    <row r="23" spans="1:16" ht="63" customHeight="1" x14ac:dyDescent="0.25">
      <c r="A23" s="104" t="s">
        <v>50</v>
      </c>
      <c r="B23" s="190" t="s">
        <v>163</v>
      </c>
      <c r="C23" s="191"/>
      <c r="D23" s="191"/>
      <c r="E23" s="191"/>
      <c r="F23" s="191"/>
      <c r="G23" s="192"/>
      <c r="H23" s="207" t="s">
        <v>164</v>
      </c>
      <c r="I23" s="207"/>
      <c r="J23" s="207"/>
      <c r="K23" s="207"/>
      <c r="L23" s="207" t="s">
        <v>164</v>
      </c>
      <c r="M23" s="207"/>
      <c r="N23" s="207"/>
      <c r="O23" s="207"/>
      <c r="P23" s="98" t="s">
        <v>128</v>
      </c>
    </row>
    <row r="24" spans="1:16" ht="39.450000000000003" customHeight="1" x14ac:dyDescent="0.25">
      <c r="A24" s="104" t="s">
        <v>51</v>
      </c>
      <c r="B24" s="190" t="s">
        <v>168</v>
      </c>
      <c r="C24" s="191"/>
      <c r="D24" s="191"/>
      <c r="E24" s="191"/>
      <c r="F24" s="191"/>
      <c r="G24" s="192"/>
      <c r="H24" s="225" t="s">
        <v>169</v>
      </c>
      <c r="I24" s="226"/>
      <c r="J24" s="226"/>
      <c r="K24" s="227"/>
      <c r="L24" s="225" t="s">
        <v>169</v>
      </c>
      <c r="M24" s="226"/>
      <c r="N24" s="226"/>
      <c r="O24" s="227"/>
      <c r="P24" s="98" t="s">
        <v>128</v>
      </c>
    </row>
    <row r="25" spans="1:16" ht="39" customHeight="1" x14ac:dyDescent="0.25">
      <c r="A25" s="104" t="s">
        <v>52</v>
      </c>
      <c r="B25" s="190" t="s">
        <v>170</v>
      </c>
      <c r="C25" s="191"/>
      <c r="D25" s="191"/>
      <c r="E25" s="191"/>
      <c r="F25" s="191"/>
      <c r="G25" s="192"/>
      <c r="H25" s="189" t="s">
        <v>171</v>
      </c>
      <c r="I25" s="189"/>
      <c r="J25" s="189"/>
      <c r="K25" s="189"/>
      <c r="L25" s="189" t="s">
        <v>171</v>
      </c>
      <c r="M25" s="189"/>
      <c r="N25" s="189"/>
      <c r="O25" s="189"/>
      <c r="P25" s="98" t="s">
        <v>128</v>
      </c>
    </row>
    <row r="26" spans="1:16" x14ac:dyDescent="0.25">
      <c r="A26" s="104" t="s">
        <v>53</v>
      </c>
      <c r="B26" s="190" t="s">
        <v>172</v>
      </c>
      <c r="C26" s="191"/>
      <c r="D26" s="191"/>
      <c r="E26" s="191"/>
      <c r="F26" s="191"/>
      <c r="G26" s="192"/>
      <c r="H26" s="189" t="s">
        <v>151</v>
      </c>
      <c r="I26" s="189"/>
      <c r="J26" s="189"/>
      <c r="K26" s="189"/>
      <c r="L26" s="189" t="s">
        <v>151</v>
      </c>
      <c r="M26" s="189"/>
      <c r="N26" s="189"/>
      <c r="O26" s="189"/>
      <c r="P26" s="98" t="s">
        <v>128</v>
      </c>
    </row>
    <row r="27" spans="1:16" x14ac:dyDescent="0.25">
      <c r="A27" s="104" t="s">
        <v>54</v>
      </c>
      <c r="B27" s="190" t="s">
        <v>173</v>
      </c>
      <c r="C27" s="191"/>
      <c r="D27" s="191"/>
      <c r="E27" s="191"/>
      <c r="F27" s="191"/>
      <c r="G27" s="192"/>
      <c r="H27" s="189" t="s">
        <v>174</v>
      </c>
      <c r="I27" s="189"/>
      <c r="J27" s="189"/>
      <c r="K27" s="189"/>
      <c r="L27" s="189" t="s">
        <v>175</v>
      </c>
      <c r="M27" s="189"/>
      <c r="N27" s="189"/>
      <c r="O27" s="189"/>
      <c r="P27" s="98" t="s">
        <v>128</v>
      </c>
    </row>
    <row r="28" spans="1:16" ht="13.2" customHeight="1" x14ac:dyDescent="0.25">
      <c r="A28" s="104" t="s">
        <v>55</v>
      </c>
      <c r="B28" s="222" t="s">
        <v>176</v>
      </c>
      <c r="C28" s="223"/>
      <c r="D28" s="223"/>
      <c r="E28" s="223"/>
      <c r="F28" s="223"/>
      <c r="G28" s="224"/>
      <c r="H28" s="215" t="s">
        <v>151</v>
      </c>
      <c r="I28" s="216"/>
      <c r="J28" s="216"/>
      <c r="K28" s="217"/>
      <c r="L28" s="215" t="s">
        <v>151</v>
      </c>
      <c r="M28" s="216"/>
      <c r="N28" s="216"/>
      <c r="O28" s="217"/>
      <c r="P28" s="98" t="s">
        <v>128</v>
      </c>
    </row>
    <row r="29" spans="1:16" ht="13.2" customHeight="1" x14ac:dyDescent="0.25">
      <c r="A29" s="104" t="s">
        <v>177</v>
      </c>
      <c r="B29" s="222" t="s">
        <v>154</v>
      </c>
      <c r="C29" s="223"/>
      <c r="D29" s="223"/>
      <c r="E29" s="223"/>
      <c r="F29" s="223"/>
      <c r="G29" s="224"/>
      <c r="H29" s="189" t="s">
        <v>158</v>
      </c>
      <c r="I29" s="189"/>
      <c r="J29" s="189"/>
      <c r="K29" s="189"/>
      <c r="L29" s="189" t="s">
        <v>158</v>
      </c>
      <c r="M29" s="189"/>
      <c r="N29" s="189"/>
      <c r="O29" s="189"/>
      <c r="P29" s="98" t="s">
        <v>128</v>
      </c>
    </row>
    <row r="30" spans="1:16" ht="13.2" customHeight="1" x14ac:dyDescent="0.25">
      <c r="A30" s="104" t="s">
        <v>178</v>
      </c>
      <c r="B30" s="215" t="s">
        <v>180</v>
      </c>
      <c r="C30" s="216"/>
      <c r="D30" s="216"/>
      <c r="E30" s="216"/>
      <c r="F30" s="216"/>
      <c r="G30" s="217"/>
      <c r="H30" s="189" t="s">
        <v>181</v>
      </c>
      <c r="I30" s="189"/>
      <c r="J30" s="189"/>
      <c r="K30" s="189"/>
      <c r="L30" s="189" t="s">
        <v>181</v>
      </c>
      <c r="M30" s="189"/>
      <c r="N30" s="189"/>
      <c r="O30" s="189"/>
      <c r="P30" s="98" t="s">
        <v>128</v>
      </c>
    </row>
    <row r="31" spans="1:16" ht="13.2" customHeight="1" x14ac:dyDescent="0.25">
      <c r="B31" s="100"/>
      <c r="C31" s="100"/>
      <c r="D31" s="100"/>
      <c r="E31" s="100"/>
      <c r="F31" s="100"/>
      <c r="G31" s="100"/>
      <c r="H31" s="100"/>
    </row>
    <row r="32" spans="1:16" ht="13.2" customHeight="1" x14ac:dyDescent="0.25">
      <c r="B32" s="100"/>
      <c r="C32" s="100"/>
      <c r="D32" s="100"/>
      <c r="E32" s="100"/>
      <c r="F32" s="100"/>
      <c r="G32" s="100"/>
      <c r="H32" s="100"/>
    </row>
  </sheetData>
  <mergeCells count="37">
    <mergeCell ref="B1:G1"/>
    <mergeCell ref="B3:G3"/>
    <mergeCell ref="B7:G7"/>
    <mergeCell ref="A11:A14"/>
    <mergeCell ref="B11:G14"/>
    <mergeCell ref="A21:G21"/>
    <mergeCell ref="H21:K21"/>
    <mergeCell ref="L21:O21"/>
    <mergeCell ref="A16:A19"/>
    <mergeCell ref="B16:G19"/>
    <mergeCell ref="B22:G22"/>
    <mergeCell ref="H22:K22"/>
    <mergeCell ref="L22:O22"/>
    <mergeCell ref="B24:G24"/>
    <mergeCell ref="H24:K24"/>
    <mergeCell ref="L24:O24"/>
    <mergeCell ref="B23:G23"/>
    <mergeCell ref="H23:K23"/>
    <mergeCell ref="L23:O23"/>
    <mergeCell ref="B30:G30"/>
    <mergeCell ref="H30:K30"/>
    <mergeCell ref="L30:O30"/>
    <mergeCell ref="B27:G27"/>
    <mergeCell ref="H27:K27"/>
    <mergeCell ref="L27:O27"/>
    <mergeCell ref="B28:G28"/>
    <mergeCell ref="H28:K28"/>
    <mergeCell ref="L28:O28"/>
    <mergeCell ref="B29:G29"/>
    <mergeCell ref="H29:K29"/>
    <mergeCell ref="L29:O29"/>
    <mergeCell ref="B25:G25"/>
    <mergeCell ref="H25:K25"/>
    <mergeCell ref="L25:O25"/>
    <mergeCell ref="B26:G26"/>
    <mergeCell ref="H26:K26"/>
    <mergeCell ref="L26:O26"/>
  </mergeCells>
  <phoneticPr fontId="42" type="noConversion"/>
  <conditionalFormatting sqref="B9:B10">
    <cfRule type="cellIs" dxfId="47" priority="27" operator="equal">
      <formula>"Nok"</formula>
    </cfRule>
    <cfRule type="cellIs" dxfId="46" priority="28" operator="equal">
      <formula>"Ok"</formula>
    </cfRule>
  </conditionalFormatting>
  <conditionalFormatting sqref="P30">
    <cfRule type="cellIs" dxfId="45" priority="13" operator="equal">
      <formula>"Nok"</formula>
    </cfRule>
    <cfRule type="cellIs" dxfId="44" priority="14" operator="equal">
      <formula>"Ok"</formula>
    </cfRule>
  </conditionalFormatting>
  <conditionalFormatting sqref="P29">
    <cfRule type="cellIs" dxfId="43" priority="11" operator="equal">
      <formula>"Nok"</formula>
    </cfRule>
    <cfRule type="cellIs" dxfId="42" priority="12" operator="equal">
      <formula>"Ok"</formula>
    </cfRule>
  </conditionalFormatting>
  <conditionalFormatting sqref="P28">
    <cfRule type="cellIs" dxfId="41" priority="9" operator="equal">
      <formula>"Nok"</formula>
    </cfRule>
    <cfRule type="cellIs" dxfId="40" priority="10" operator="equal">
      <formula>"Ok"</formula>
    </cfRule>
  </conditionalFormatting>
  <conditionalFormatting sqref="P26:P27">
    <cfRule type="cellIs" dxfId="39" priority="7" operator="equal">
      <formula>"Nok"</formula>
    </cfRule>
    <cfRule type="cellIs" dxfId="38" priority="8" operator="equal">
      <formula>"Ok"</formula>
    </cfRule>
  </conditionalFormatting>
  <conditionalFormatting sqref="P25">
    <cfRule type="cellIs" dxfId="37" priority="5" operator="equal">
      <formula>"Nok"</formula>
    </cfRule>
    <cfRule type="cellIs" dxfId="36" priority="6" operator="equal">
      <formula>"Ok"</formula>
    </cfRule>
  </conditionalFormatting>
  <conditionalFormatting sqref="P22">
    <cfRule type="cellIs" dxfId="35" priority="3" operator="equal">
      <formula>"Nok"</formula>
    </cfRule>
    <cfRule type="cellIs" dxfId="34" priority="4" operator="equal">
      <formula>"Ok"</formula>
    </cfRule>
  </conditionalFormatting>
  <conditionalFormatting sqref="P23:P24">
    <cfRule type="cellIs" dxfId="33" priority="1" operator="equal">
      <formula>"Nok"</formula>
    </cfRule>
    <cfRule type="cellIs" dxfId="32" priority="2" operator="equal">
      <formula>"Ok"</formula>
    </cfRule>
  </conditionalFormatting>
  <dataValidations count="3">
    <dataValidation type="list" allowBlank="1" showInputMessage="1" showErrorMessage="1" sqref="B5" xr:uid="{50247EC4-B133-4102-AFF5-0C6878F537FB}">
      <formula1>"Nominal, Robustness, Endurance, Qualification"</formula1>
    </dataValidation>
    <dataValidation type="list" allowBlank="1" showInputMessage="1" showErrorMessage="1" sqref="B9" xr:uid="{6BC5609D-7A46-4B37-88DE-7001C937A95E}">
      <formula1>"Ok, Nok, Not run, NA"</formula1>
    </dataValidation>
    <dataValidation type="list" allowBlank="1" showInputMessage="1" showErrorMessage="1" sqref="P22:P30" xr:uid="{62E63647-FF72-484C-B2D6-F127DD1B9D98}">
      <formula1>"Ok, Nok, Not run, ,"</formula1>
    </dataValidation>
  </dataValidations>
  <pageMargins left="0.7" right="0.7" top="0.75" bottom="0.75" header="0.3" footer="0.3"/>
  <pageSetup paperSize="9" orientation="portrait" r:id="rId1"/>
  <headerFooter>
    <oddFooter>&amp;LNA ver 1&amp;R&amp;P</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2C1ED8-B9D1-4EF3-A63E-39ED107F9E4B}">
  <sheetPr codeName="Sheet14"/>
  <dimension ref="A1:P32"/>
  <sheetViews>
    <sheetView topLeftCell="A7" workbookViewId="0">
      <selection activeCell="B22" sqref="B22:G22"/>
    </sheetView>
  </sheetViews>
  <sheetFormatPr defaultColWidth="9.33203125" defaultRowHeight="13.2" x14ac:dyDescent="0.25"/>
  <cols>
    <col min="1" max="1" width="20.33203125" style="100" customWidth="1"/>
    <col min="2" max="2" width="18.44140625" style="96" customWidth="1"/>
    <col min="3" max="6" width="9.33203125" style="96"/>
    <col min="7" max="7" width="12" style="96" customWidth="1"/>
    <col min="8" max="15" width="9.5546875" style="96" customWidth="1"/>
    <col min="16" max="16384" width="9.33203125" style="96"/>
  </cols>
  <sheetData>
    <row r="1" spans="1:15" ht="13.8" thickBot="1" x14ac:dyDescent="0.3">
      <c r="A1" s="101" t="s">
        <v>40</v>
      </c>
      <c r="B1" s="208" t="s">
        <v>191</v>
      </c>
      <c r="C1" s="228"/>
      <c r="D1" s="228"/>
      <c r="E1" s="228"/>
      <c r="F1" s="228"/>
      <c r="G1" s="229"/>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14" t="s">
        <v>190</v>
      </c>
      <c r="C3" s="212"/>
      <c r="D3" s="212"/>
      <c r="E3" s="212"/>
      <c r="F3" s="212"/>
      <c r="G3" s="21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14" t="s">
        <v>192</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106" t="s">
        <v>128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3" t="s">
        <v>109</v>
      </c>
      <c r="B11" s="198" t="s">
        <v>127</v>
      </c>
      <c r="C11" s="199"/>
      <c r="D11" s="199"/>
      <c r="E11" s="199"/>
      <c r="F11" s="199"/>
      <c r="G11" s="200"/>
      <c r="H11" s="74"/>
      <c r="I11" s="74"/>
      <c r="J11" s="74"/>
      <c r="K11" s="74"/>
      <c r="L11" s="74"/>
      <c r="M11" s="74"/>
      <c r="N11" s="74"/>
      <c r="O11" s="74"/>
    </row>
    <row r="12" spans="1:15" x14ac:dyDescent="0.25">
      <c r="A12" s="194"/>
      <c r="B12" s="201"/>
      <c r="C12" s="202"/>
      <c r="D12" s="202"/>
      <c r="E12" s="202"/>
      <c r="F12" s="202"/>
      <c r="G12" s="203"/>
      <c r="H12" s="74"/>
      <c r="I12" s="74"/>
      <c r="J12" s="74"/>
      <c r="K12" s="74"/>
      <c r="L12" s="74"/>
      <c r="M12" s="74"/>
      <c r="N12" s="74"/>
      <c r="O12" s="74"/>
    </row>
    <row r="13" spans="1:15" x14ac:dyDescent="0.25">
      <c r="A13" s="194"/>
      <c r="B13" s="201"/>
      <c r="C13" s="202"/>
      <c r="D13" s="202"/>
      <c r="E13" s="202"/>
      <c r="F13" s="202"/>
      <c r="G13" s="203"/>
      <c r="H13" s="72"/>
      <c r="I13" s="74"/>
      <c r="J13" s="74"/>
      <c r="K13" s="74"/>
      <c r="L13" s="74"/>
      <c r="M13" s="74"/>
      <c r="N13" s="74"/>
      <c r="O13" s="74"/>
    </row>
    <row r="14" spans="1:15" ht="13.8" thickBot="1" x14ac:dyDescent="0.3">
      <c r="A14" s="194"/>
      <c r="B14" s="204"/>
      <c r="C14" s="205"/>
      <c r="D14" s="205"/>
      <c r="E14" s="205"/>
      <c r="F14" s="205"/>
      <c r="G14" s="206"/>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ht="13.2" customHeight="1" x14ac:dyDescent="0.25">
      <c r="A16" s="193" t="s">
        <v>43</v>
      </c>
      <c r="B16" s="198" t="s">
        <v>162</v>
      </c>
      <c r="C16" s="199"/>
      <c r="D16" s="199"/>
      <c r="E16" s="199"/>
      <c r="F16" s="199"/>
      <c r="G16" s="200"/>
      <c r="H16" s="74"/>
      <c r="I16" s="74"/>
      <c r="J16" s="74"/>
      <c r="K16" s="74"/>
      <c r="L16" s="74"/>
      <c r="M16" s="74"/>
      <c r="N16" s="74"/>
      <c r="O16" s="74"/>
    </row>
    <row r="17" spans="1:16" ht="13.2" customHeight="1" x14ac:dyDescent="0.25">
      <c r="A17" s="194"/>
      <c r="B17" s="201"/>
      <c r="C17" s="202"/>
      <c r="D17" s="202"/>
      <c r="E17" s="202"/>
      <c r="F17" s="202"/>
      <c r="G17" s="203"/>
      <c r="H17" s="74"/>
      <c r="I17" s="74"/>
      <c r="J17" s="74"/>
      <c r="K17" s="74"/>
      <c r="L17" s="74"/>
      <c r="M17" s="74"/>
      <c r="N17" s="74"/>
      <c r="O17" s="74"/>
    </row>
    <row r="18" spans="1:16" x14ac:dyDescent="0.25">
      <c r="A18" s="194"/>
      <c r="B18" s="201"/>
      <c r="C18" s="202"/>
      <c r="D18" s="202"/>
      <c r="E18" s="202"/>
      <c r="F18" s="202"/>
      <c r="G18" s="203"/>
      <c r="H18" s="72"/>
      <c r="I18" s="74"/>
      <c r="J18" s="74"/>
      <c r="K18" s="74"/>
      <c r="L18" s="74"/>
      <c r="M18" s="74"/>
      <c r="N18" s="74"/>
      <c r="O18" s="74"/>
    </row>
    <row r="19" spans="1:16" ht="13.8" thickBot="1" x14ac:dyDescent="0.3">
      <c r="A19" s="194"/>
      <c r="B19" s="204"/>
      <c r="C19" s="205"/>
      <c r="D19" s="205"/>
      <c r="E19" s="205"/>
      <c r="F19" s="205"/>
      <c r="G19" s="206"/>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5" t="s">
        <v>47</v>
      </c>
      <c r="B21" s="196"/>
      <c r="C21" s="196"/>
      <c r="D21" s="196"/>
      <c r="E21" s="196"/>
      <c r="F21" s="196"/>
      <c r="G21" s="197"/>
      <c r="H21" s="195" t="s">
        <v>48</v>
      </c>
      <c r="I21" s="196"/>
      <c r="J21" s="196"/>
      <c r="K21" s="197"/>
      <c r="L21" s="195" t="s">
        <v>57</v>
      </c>
      <c r="M21" s="196"/>
      <c r="N21" s="196"/>
      <c r="O21" s="197"/>
      <c r="P21" s="103" t="s">
        <v>46</v>
      </c>
    </row>
    <row r="22" spans="1:16" ht="70.95" customHeight="1" x14ac:dyDescent="0.25">
      <c r="A22" s="104" t="s">
        <v>49</v>
      </c>
      <c r="B22" s="215" t="s">
        <v>193</v>
      </c>
      <c r="C22" s="216"/>
      <c r="D22" s="216"/>
      <c r="E22" s="216"/>
      <c r="F22" s="216"/>
      <c r="G22" s="217"/>
      <c r="H22" s="207" t="s">
        <v>151</v>
      </c>
      <c r="I22" s="207"/>
      <c r="J22" s="207"/>
      <c r="K22" s="207"/>
      <c r="L22" s="207" t="s">
        <v>151</v>
      </c>
      <c r="M22" s="207"/>
      <c r="N22" s="207"/>
      <c r="O22" s="207"/>
      <c r="P22" s="98" t="s">
        <v>128</v>
      </c>
    </row>
    <row r="23" spans="1:16" ht="63" customHeight="1" x14ac:dyDescent="0.25">
      <c r="A23" s="104" t="s">
        <v>50</v>
      </c>
      <c r="B23" s="190" t="s">
        <v>163</v>
      </c>
      <c r="C23" s="191"/>
      <c r="D23" s="191"/>
      <c r="E23" s="191"/>
      <c r="F23" s="191"/>
      <c r="G23" s="192"/>
      <c r="H23" s="207" t="s">
        <v>164</v>
      </c>
      <c r="I23" s="207"/>
      <c r="J23" s="207"/>
      <c r="K23" s="207"/>
      <c r="L23" s="207" t="s">
        <v>164</v>
      </c>
      <c r="M23" s="207"/>
      <c r="N23" s="207"/>
      <c r="O23" s="207"/>
      <c r="P23" s="98" t="s">
        <v>128</v>
      </c>
    </row>
    <row r="24" spans="1:16" ht="39.450000000000003" customHeight="1" x14ac:dyDescent="0.25">
      <c r="A24" s="104" t="s">
        <v>51</v>
      </c>
      <c r="B24" s="190" t="s">
        <v>168</v>
      </c>
      <c r="C24" s="191"/>
      <c r="D24" s="191"/>
      <c r="E24" s="191"/>
      <c r="F24" s="191"/>
      <c r="G24" s="192"/>
      <c r="H24" s="225" t="s">
        <v>169</v>
      </c>
      <c r="I24" s="226"/>
      <c r="J24" s="226"/>
      <c r="K24" s="227"/>
      <c r="L24" s="225" t="s">
        <v>169</v>
      </c>
      <c r="M24" s="226"/>
      <c r="N24" s="226"/>
      <c r="O24" s="227"/>
      <c r="P24" s="98" t="s">
        <v>128</v>
      </c>
    </row>
    <row r="25" spans="1:16" ht="39" customHeight="1" x14ac:dyDescent="0.25">
      <c r="A25" s="104" t="s">
        <v>52</v>
      </c>
      <c r="B25" s="190" t="s">
        <v>170</v>
      </c>
      <c r="C25" s="191"/>
      <c r="D25" s="191"/>
      <c r="E25" s="191"/>
      <c r="F25" s="191"/>
      <c r="G25" s="192"/>
      <c r="H25" s="189" t="s">
        <v>171</v>
      </c>
      <c r="I25" s="189"/>
      <c r="J25" s="189"/>
      <c r="K25" s="189"/>
      <c r="L25" s="189" t="s">
        <v>171</v>
      </c>
      <c r="M25" s="189"/>
      <c r="N25" s="189"/>
      <c r="O25" s="189"/>
      <c r="P25" s="98" t="s">
        <v>128</v>
      </c>
    </row>
    <row r="26" spans="1:16" x14ac:dyDescent="0.25">
      <c r="A26" s="104" t="s">
        <v>53</v>
      </c>
      <c r="B26" s="190" t="s">
        <v>172</v>
      </c>
      <c r="C26" s="191"/>
      <c r="D26" s="191"/>
      <c r="E26" s="191"/>
      <c r="F26" s="191"/>
      <c r="G26" s="192"/>
      <c r="H26" s="189" t="s">
        <v>151</v>
      </c>
      <c r="I26" s="189"/>
      <c r="J26" s="189"/>
      <c r="K26" s="189"/>
      <c r="L26" s="189" t="s">
        <v>151</v>
      </c>
      <c r="M26" s="189"/>
      <c r="N26" s="189"/>
      <c r="O26" s="189"/>
      <c r="P26" s="98" t="s">
        <v>128</v>
      </c>
    </row>
    <row r="27" spans="1:16" x14ac:dyDescent="0.25">
      <c r="A27" s="104" t="s">
        <v>54</v>
      </c>
      <c r="B27" s="190" t="s">
        <v>173</v>
      </c>
      <c r="C27" s="191"/>
      <c r="D27" s="191"/>
      <c r="E27" s="191"/>
      <c r="F27" s="191"/>
      <c r="G27" s="192"/>
      <c r="H27" s="189" t="s">
        <v>174</v>
      </c>
      <c r="I27" s="189"/>
      <c r="J27" s="189"/>
      <c r="K27" s="189"/>
      <c r="L27" s="189" t="s">
        <v>175</v>
      </c>
      <c r="M27" s="189"/>
      <c r="N27" s="189"/>
      <c r="O27" s="189"/>
      <c r="P27" s="98" t="s">
        <v>128</v>
      </c>
    </row>
    <row r="28" spans="1:16" ht="13.2" customHeight="1" x14ac:dyDescent="0.25">
      <c r="A28" s="104" t="s">
        <v>55</v>
      </c>
      <c r="B28" s="222" t="s">
        <v>176</v>
      </c>
      <c r="C28" s="223"/>
      <c r="D28" s="223"/>
      <c r="E28" s="223"/>
      <c r="F28" s="223"/>
      <c r="G28" s="224"/>
      <c r="H28" s="215" t="s">
        <v>151</v>
      </c>
      <c r="I28" s="216"/>
      <c r="J28" s="216"/>
      <c r="K28" s="217"/>
      <c r="L28" s="215" t="s">
        <v>151</v>
      </c>
      <c r="M28" s="216"/>
      <c r="N28" s="216"/>
      <c r="O28" s="217"/>
      <c r="P28" s="98" t="s">
        <v>128</v>
      </c>
    </row>
    <row r="29" spans="1:16" ht="13.2" customHeight="1" x14ac:dyDescent="0.25">
      <c r="A29" s="104" t="s">
        <v>177</v>
      </c>
      <c r="B29" s="222" t="s">
        <v>154</v>
      </c>
      <c r="C29" s="223"/>
      <c r="D29" s="223"/>
      <c r="E29" s="223"/>
      <c r="F29" s="223"/>
      <c r="G29" s="224"/>
      <c r="H29" s="189" t="s">
        <v>158</v>
      </c>
      <c r="I29" s="189"/>
      <c r="J29" s="189"/>
      <c r="K29" s="189"/>
      <c r="L29" s="189" t="s">
        <v>158</v>
      </c>
      <c r="M29" s="189"/>
      <c r="N29" s="189"/>
      <c r="O29" s="189"/>
      <c r="P29" s="98" t="s">
        <v>128</v>
      </c>
    </row>
    <row r="30" spans="1:16" ht="13.2" customHeight="1" x14ac:dyDescent="0.25">
      <c r="A30" s="104" t="s">
        <v>178</v>
      </c>
      <c r="B30" s="215" t="s">
        <v>180</v>
      </c>
      <c r="C30" s="216"/>
      <c r="D30" s="216"/>
      <c r="E30" s="216"/>
      <c r="F30" s="216"/>
      <c r="G30" s="217"/>
      <c r="H30" s="189" t="s">
        <v>181</v>
      </c>
      <c r="I30" s="189"/>
      <c r="J30" s="189"/>
      <c r="K30" s="189"/>
      <c r="L30" s="189" t="s">
        <v>181</v>
      </c>
      <c r="M30" s="189"/>
      <c r="N30" s="189"/>
      <c r="O30" s="189"/>
      <c r="P30" s="98" t="s">
        <v>128</v>
      </c>
    </row>
    <row r="31" spans="1:16" ht="13.2" customHeight="1" x14ac:dyDescent="0.25">
      <c r="B31" s="100"/>
      <c r="C31" s="100"/>
      <c r="D31" s="100"/>
      <c r="E31" s="100"/>
      <c r="F31" s="100"/>
      <c r="G31" s="100"/>
      <c r="H31" s="100"/>
    </row>
    <row r="32" spans="1:16" ht="13.2" customHeight="1" x14ac:dyDescent="0.25">
      <c r="B32" s="100"/>
      <c r="C32" s="100"/>
      <c r="D32" s="100"/>
      <c r="E32" s="100"/>
      <c r="F32" s="100"/>
      <c r="G32" s="100"/>
      <c r="H32" s="100"/>
    </row>
  </sheetData>
  <mergeCells count="3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s>
  <conditionalFormatting sqref="B9:B10">
    <cfRule type="cellIs" dxfId="31" priority="15" operator="equal">
      <formula>"Nok"</formula>
    </cfRule>
    <cfRule type="cellIs" dxfId="30" priority="16" operator="equal">
      <formula>"Ok"</formula>
    </cfRule>
  </conditionalFormatting>
  <conditionalFormatting sqref="P30">
    <cfRule type="cellIs" dxfId="29" priority="13" operator="equal">
      <formula>"Nok"</formula>
    </cfRule>
    <cfRule type="cellIs" dxfId="28" priority="14" operator="equal">
      <formula>"Ok"</formula>
    </cfRule>
  </conditionalFormatting>
  <conditionalFormatting sqref="P29">
    <cfRule type="cellIs" dxfId="27" priority="11" operator="equal">
      <formula>"Nok"</formula>
    </cfRule>
    <cfRule type="cellIs" dxfId="26" priority="12" operator="equal">
      <formula>"Ok"</formula>
    </cfRule>
  </conditionalFormatting>
  <conditionalFormatting sqref="P28">
    <cfRule type="cellIs" dxfId="25" priority="9" operator="equal">
      <formula>"Nok"</formula>
    </cfRule>
    <cfRule type="cellIs" dxfId="24" priority="10" operator="equal">
      <formula>"Ok"</formula>
    </cfRule>
  </conditionalFormatting>
  <conditionalFormatting sqref="P26:P27">
    <cfRule type="cellIs" dxfId="23" priority="7" operator="equal">
      <formula>"Nok"</formula>
    </cfRule>
    <cfRule type="cellIs" dxfId="22" priority="8" operator="equal">
      <formula>"Ok"</formula>
    </cfRule>
  </conditionalFormatting>
  <conditionalFormatting sqref="P25">
    <cfRule type="cellIs" dxfId="21" priority="5" operator="equal">
      <formula>"Nok"</formula>
    </cfRule>
    <cfRule type="cellIs" dxfId="20" priority="6" operator="equal">
      <formula>"Ok"</formula>
    </cfRule>
  </conditionalFormatting>
  <conditionalFormatting sqref="P22">
    <cfRule type="cellIs" dxfId="19" priority="3" operator="equal">
      <formula>"Nok"</formula>
    </cfRule>
    <cfRule type="cellIs" dxfId="18" priority="4" operator="equal">
      <formula>"Ok"</formula>
    </cfRule>
  </conditionalFormatting>
  <conditionalFormatting sqref="P23:P24">
    <cfRule type="cellIs" dxfId="17" priority="1" operator="equal">
      <formula>"Nok"</formula>
    </cfRule>
    <cfRule type="cellIs" dxfId="16" priority="2" operator="equal">
      <formula>"Ok"</formula>
    </cfRule>
  </conditionalFormatting>
  <dataValidations count="3">
    <dataValidation type="list" allowBlank="1" showInputMessage="1" showErrorMessage="1" sqref="P22:P30" xr:uid="{FBB5700B-A6AD-46BE-B117-3BD0D28399A4}">
      <formula1>"Ok, Nok, Not run, ,"</formula1>
    </dataValidation>
    <dataValidation type="list" allowBlank="1" showInputMessage="1" showErrorMessage="1" sqref="B9" xr:uid="{1388A4D5-138A-497A-8D4F-DD3BBAF13C20}">
      <formula1>"Ok, Nok, Not run, NA"</formula1>
    </dataValidation>
    <dataValidation type="list" allowBlank="1" showInputMessage="1" showErrorMessage="1" sqref="B5" xr:uid="{F33D8FA4-BCB1-419E-9ECE-63253C87DE0C}">
      <formula1>"Nominal, Robustness, Endurance, Qualification"</formula1>
    </dataValidation>
  </dataValidations>
  <pageMargins left="0.7" right="0.7" top="0.75" bottom="0.75" header="0.3" footer="0.3"/>
  <pageSetup paperSize="9" orientation="portrait" r:id="rId1"/>
  <headerFooter>
    <oddFooter>&amp;LNA ver 1&amp;R&amp;P</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639E3-FB48-41F6-8DBD-E93FD101C096}">
  <sheetPr codeName="Sheet15"/>
  <dimension ref="A1:P32"/>
  <sheetViews>
    <sheetView workbookViewId="0">
      <selection activeCell="B23" sqref="B23:G23"/>
    </sheetView>
  </sheetViews>
  <sheetFormatPr defaultColWidth="9.33203125" defaultRowHeight="13.2" x14ac:dyDescent="0.25"/>
  <cols>
    <col min="1" max="1" width="20.33203125" style="100" customWidth="1"/>
    <col min="2" max="2" width="18.44140625" style="96" customWidth="1"/>
    <col min="3" max="6" width="9.33203125" style="96"/>
    <col min="7" max="7" width="12" style="96" customWidth="1"/>
    <col min="8" max="15" width="9.5546875" style="96" customWidth="1"/>
    <col min="16" max="16384" width="9.33203125" style="96"/>
  </cols>
  <sheetData>
    <row r="1" spans="1:15" ht="13.8" thickBot="1" x14ac:dyDescent="0.3">
      <c r="A1" s="101" t="s">
        <v>40</v>
      </c>
      <c r="B1" s="208" t="s">
        <v>197</v>
      </c>
      <c r="C1" s="228"/>
      <c r="D1" s="228"/>
      <c r="E1" s="228"/>
      <c r="F1" s="228"/>
      <c r="G1" s="229"/>
      <c r="H1" s="74"/>
      <c r="I1" s="74"/>
      <c r="J1" s="74"/>
      <c r="K1" s="74"/>
      <c r="L1" s="74"/>
      <c r="M1" s="74"/>
      <c r="N1" s="74"/>
      <c r="O1" s="74"/>
    </row>
    <row r="2" spans="1:15" ht="13.8" thickBot="1" x14ac:dyDescent="0.3">
      <c r="A2" s="72"/>
      <c r="B2" s="73"/>
      <c r="C2" s="73"/>
      <c r="D2" s="74"/>
      <c r="E2" s="74"/>
      <c r="F2" s="74"/>
      <c r="G2" s="74"/>
      <c r="H2" s="74"/>
      <c r="I2" s="74"/>
      <c r="J2" s="74"/>
      <c r="K2" s="74"/>
      <c r="L2" s="74"/>
      <c r="M2" s="74"/>
      <c r="N2" s="74"/>
      <c r="O2" s="74"/>
    </row>
    <row r="3" spans="1:15" ht="27" thickBot="1" x14ac:dyDescent="0.3">
      <c r="A3" s="102" t="s">
        <v>45</v>
      </c>
      <c r="B3" s="214" t="s">
        <v>195</v>
      </c>
      <c r="C3" s="212"/>
      <c r="D3" s="212"/>
      <c r="E3" s="212"/>
      <c r="F3" s="212"/>
      <c r="G3" s="213"/>
      <c r="H3" s="74"/>
      <c r="I3" s="74"/>
      <c r="J3" s="74"/>
      <c r="K3" s="74"/>
      <c r="L3" s="74"/>
      <c r="M3" s="74"/>
      <c r="N3" s="74"/>
      <c r="O3" s="74"/>
    </row>
    <row r="4" spans="1:15" ht="13.8" thickBot="1" x14ac:dyDescent="0.3">
      <c r="A4" s="72"/>
      <c r="B4" s="73"/>
      <c r="C4" s="73"/>
      <c r="D4" s="74"/>
      <c r="E4" s="74"/>
      <c r="F4" s="74"/>
      <c r="G4" s="74"/>
      <c r="H4" s="74"/>
      <c r="I4" s="74"/>
      <c r="J4" s="74"/>
      <c r="K4" s="74"/>
      <c r="L4" s="74"/>
      <c r="M4" s="74"/>
      <c r="N4" s="74"/>
      <c r="O4" s="74"/>
    </row>
    <row r="5" spans="1:15" ht="13.8" thickBot="1" x14ac:dyDescent="0.3">
      <c r="A5" s="101" t="s">
        <v>107</v>
      </c>
      <c r="B5" s="77" t="s">
        <v>129</v>
      </c>
      <c r="C5" s="73"/>
      <c r="D5" s="74"/>
      <c r="E5" s="74"/>
      <c r="F5" s="74"/>
      <c r="G5" s="74"/>
      <c r="H5" s="74"/>
      <c r="I5" s="74"/>
      <c r="J5" s="74"/>
      <c r="K5" s="74"/>
      <c r="L5" s="74"/>
      <c r="M5" s="74"/>
      <c r="N5" s="74"/>
      <c r="O5" s="74"/>
    </row>
    <row r="6" spans="1:15" ht="13.8" thickBot="1" x14ac:dyDescent="0.3">
      <c r="A6" s="72"/>
      <c r="B6" s="73"/>
      <c r="C6" s="73"/>
      <c r="D6" s="74"/>
      <c r="E6" s="74"/>
      <c r="F6" s="74"/>
      <c r="G6" s="74"/>
      <c r="H6" s="74"/>
      <c r="I6" s="74"/>
      <c r="J6" s="74"/>
      <c r="K6" s="74"/>
      <c r="L6" s="74"/>
      <c r="M6" s="74"/>
      <c r="N6" s="74"/>
      <c r="O6" s="74"/>
    </row>
    <row r="7" spans="1:15" ht="13.8" thickBot="1" x14ac:dyDescent="0.3">
      <c r="A7" s="101" t="s">
        <v>41</v>
      </c>
      <c r="B7" s="214" t="s">
        <v>196</v>
      </c>
      <c r="C7" s="212"/>
      <c r="D7" s="212"/>
      <c r="E7" s="212"/>
      <c r="F7" s="212"/>
      <c r="G7" s="213"/>
      <c r="H7" s="74"/>
      <c r="I7" s="74"/>
      <c r="J7" s="74"/>
      <c r="K7" s="74"/>
      <c r="L7" s="74"/>
      <c r="M7" s="74"/>
      <c r="N7" s="74"/>
      <c r="O7" s="74"/>
    </row>
    <row r="8" spans="1:15" ht="13.8" thickBot="1" x14ac:dyDescent="0.3">
      <c r="A8" s="76"/>
      <c r="B8" s="75"/>
      <c r="C8" s="75"/>
      <c r="D8" s="75"/>
      <c r="E8" s="75"/>
      <c r="F8" s="75"/>
      <c r="G8" s="75"/>
      <c r="H8" s="74"/>
      <c r="I8" s="74"/>
      <c r="J8" s="74"/>
      <c r="K8" s="74"/>
      <c r="L8" s="74"/>
      <c r="M8" s="74"/>
      <c r="N8" s="74"/>
      <c r="O8" s="74"/>
    </row>
    <row r="9" spans="1:15" ht="13.8" thickBot="1" x14ac:dyDescent="0.3">
      <c r="A9" s="101" t="s">
        <v>42</v>
      </c>
      <c r="B9" s="106" t="s">
        <v>128</v>
      </c>
      <c r="C9" s="73"/>
      <c r="D9" s="74"/>
      <c r="E9" s="74"/>
      <c r="F9" s="74"/>
      <c r="G9" s="74"/>
      <c r="H9" s="74"/>
      <c r="I9" s="74"/>
      <c r="J9" s="74"/>
      <c r="K9" s="74"/>
      <c r="L9" s="74"/>
      <c r="M9" s="74"/>
      <c r="N9" s="74"/>
      <c r="O9" s="74"/>
    </row>
    <row r="10" spans="1:15" ht="13.8" thickBot="1" x14ac:dyDescent="0.3">
      <c r="A10" s="76"/>
      <c r="B10" s="97"/>
      <c r="C10" s="73"/>
      <c r="D10" s="74"/>
      <c r="E10" s="74"/>
      <c r="F10" s="74"/>
      <c r="G10" s="74"/>
      <c r="H10" s="74"/>
      <c r="I10" s="74"/>
      <c r="J10" s="74"/>
      <c r="K10" s="74"/>
      <c r="L10" s="74"/>
      <c r="M10" s="74"/>
      <c r="N10" s="74"/>
      <c r="O10" s="74"/>
    </row>
    <row r="11" spans="1:15" ht="12" customHeight="1" x14ac:dyDescent="0.25">
      <c r="A11" s="193" t="s">
        <v>109</v>
      </c>
      <c r="B11" s="198" t="s">
        <v>127</v>
      </c>
      <c r="C11" s="199"/>
      <c r="D11" s="199"/>
      <c r="E11" s="199"/>
      <c r="F11" s="199"/>
      <c r="G11" s="200"/>
      <c r="H11" s="74"/>
      <c r="I11" s="74"/>
      <c r="J11" s="74"/>
      <c r="K11" s="74"/>
      <c r="L11" s="74"/>
      <c r="M11" s="74"/>
      <c r="N11" s="74"/>
      <c r="O11" s="74"/>
    </row>
    <row r="12" spans="1:15" x14ac:dyDescent="0.25">
      <c r="A12" s="194"/>
      <c r="B12" s="201"/>
      <c r="C12" s="202"/>
      <c r="D12" s="202"/>
      <c r="E12" s="202"/>
      <c r="F12" s="202"/>
      <c r="G12" s="203"/>
      <c r="H12" s="74"/>
      <c r="I12" s="74"/>
      <c r="J12" s="74"/>
      <c r="K12" s="74"/>
      <c r="L12" s="74"/>
      <c r="M12" s="74"/>
      <c r="N12" s="74"/>
      <c r="O12" s="74"/>
    </row>
    <row r="13" spans="1:15" x14ac:dyDescent="0.25">
      <c r="A13" s="194"/>
      <c r="B13" s="201"/>
      <c r="C13" s="202"/>
      <c r="D13" s="202"/>
      <c r="E13" s="202"/>
      <c r="F13" s="202"/>
      <c r="G13" s="203"/>
      <c r="H13" s="72"/>
      <c r="I13" s="74"/>
      <c r="J13" s="74"/>
      <c r="K13" s="74"/>
      <c r="L13" s="74"/>
      <c r="M13" s="74"/>
      <c r="N13" s="74"/>
      <c r="O13" s="74"/>
    </row>
    <row r="14" spans="1:15" ht="13.8" thickBot="1" x14ac:dyDescent="0.3">
      <c r="A14" s="194"/>
      <c r="B14" s="204"/>
      <c r="C14" s="205"/>
      <c r="D14" s="205"/>
      <c r="E14" s="205"/>
      <c r="F14" s="205"/>
      <c r="G14" s="206"/>
      <c r="H14" s="78"/>
      <c r="I14" s="74"/>
      <c r="J14" s="74"/>
      <c r="K14" s="74"/>
      <c r="L14" s="74"/>
      <c r="M14" s="74"/>
      <c r="N14" s="74"/>
      <c r="O14" s="74"/>
    </row>
    <row r="15" spans="1:15" ht="13.8" thickBot="1" x14ac:dyDescent="0.3">
      <c r="A15" s="72"/>
      <c r="B15" s="72"/>
      <c r="C15" s="72"/>
      <c r="D15" s="72"/>
      <c r="E15" s="72"/>
      <c r="F15" s="72"/>
      <c r="G15" s="72"/>
      <c r="H15" s="78"/>
      <c r="I15" s="74"/>
      <c r="J15" s="74"/>
      <c r="K15" s="74"/>
      <c r="L15" s="74"/>
      <c r="M15" s="74"/>
      <c r="N15" s="74"/>
      <c r="O15" s="74"/>
    </row>
    <row r="16" spans="1:15" ht="13.2" customHeight="1" x14ac:dyDescent="0.25">
      <c r="A16" s="193" t="s">
        <v>43</v>
      </c>
      <c r="B16" s="198" t="s">
        <v>162</v>
      </c>
      <c r="C16" s="199"/>
      <c r="D16" s="199"/>
      <c r="E16" s="199"/>
      <c r="F16" s="199"/>
      <c r="G16" s="200"/>
      <c r="H16" s="74"/>
      <c r="I16" s="74"/>
      <c r="J16" s="74"/>
      <c r="K16" s="74"/>
      <c r="L16" s="74"/>
      <c r="M16" s="74"/>
      <c r="N16" s="74"/>
      <c r="O16" s="74"/>
    </row>
    <row r="17" spans="1:16" ht="13.2" customHeight="1" x14ac:dyDescent="0.25">
      <c r="A17" s="194"/>
      <c r="B17" s="201"/>
      <c r="C17" s="202"/>
      <c r="D17" s="202"/>
      <c r="E17" s="202"/>
      <c r="F17" s="202"/>
      <c r="G17" s="203"/>
      <c r="H17" s="74"/>
      <c r="I17" s="74"/>
      <c r="J17" s="74"/>
      <c r="K17" s="74"/>
      <c r="L17" s="74"/>
      <c r="M17" s="74"/>
      <c r="N17" s="74"/>
      <c r="O17" s="74"/>
    </row>
    <row r="18" spans="1:16" x14ac:dyDescent="0.25">
      <c r="A18" s="194"/>
      <c r="B18" s="201"/>
      <c r="C18" s="202"/>
      <c r="D18" s="202"/>
      <c r="E18" s="202"/>
      <c r="F18" s="202"/>
      <c r="G18" s="203"/>
      <c r="H18" s="72"/>
      <c r="I18" s="74"/>
      <c r="J18" s="74"/>
      <c r="K18" s="74"/>
      <c r="L18" s="74"/>
      <c r="M18" s="74"/>
      <c r="N18" s="74"/>
      <c r="O18" s="74"/>
    </row>
    <row r="19" spans="1:16" ht="13.8" thickBot="1" x14ac:dyDescent="0.3">
      <c r="A19" s="194"/>
      <c r="B19" s="204"/>
      <c r="C19" s="205"/>
      <c r="D19" s="205"/>
      <c r="E19" s="205"/>
      <c r="F19" s="205"/>
      <c r="G19" s="206"/>
      <c r="H19" s="78"/>
      <c r="I19" s="74"/>
      <c r="J19" s="74"/>
      <c r="K19" s="74"/>
      <c r="L19" s="74"/>
      <c r="M19" s="74"/>
      <c r="N19" s="74"/>
      <c r="O19" s="74"/>
    </row>
    <row r="20" spans="1:16" ht="13.8" thickBot="1" x14ac:dyDescent="0.3">
      <c r="A20" s="72"/>
      <c r="B20" s="72"/>
      <c r="C20" s="72"/>
      <c r="D20" s="72"/>
      <c r="E20" s="72"/>
      <c r="F20" s="72"/>
      <c r="G20" s="72"/>
      <c r="H20" s="78"/>
      <c r="I20" s="74"/>
      <c r="J20" s="74"/>
      <c r="K20" s="74"/>
      <c r="L20" s="74"/>
      <c r="M20" s="74"/>
      <c r="N20" s="74"/>
      <c r="O20" s="74"/>
    </row>
    <row r="21" spans="1:16" ht="12.75" customHeight="1" x14ac:dyDescent="0.25">
      <c r="A21" s="195" t="s">
        <v>47</v>
      </c>
      <c r="B21" s="196"/>
      <c r="C21" s="196"/>
      <c r="D21" s="196"/>
      <c r="E21" s="196"/>
      <c r="F21" s="196"/>
      <c r="G21" s="197"/>
      <c r="H21" s="195" t="s">
        <v>48</v>
      </c>
      <c r="I21" s="196"/>
      <c r="J21" s="196"/>
      <c r="K21" s="197"/>
      <c r="L21" s="195" t="s">
        <v>57</v>
      </c>
      <c r="M21" s="196"/>
      <c r="N21" s="196"/>
      <c r="O21" s="197"/>
      <c r="P21" s="103" t="s">
        <v>46</v>
      </c>
    </row>
    <row r="22" spans="1:16" ht="70.95" customHeight="1" x14ac:dyDescent="0.25">
      <c r="A22" s="104" t="s">
        <v>49</v>
      </c>
      <c r="B22" s="215" t="s">
        <v>198</v>
      </c>
      <c r="C22" s="216"/>
      <c r="D22" s="216"/>
      <c r="E22" s="216"/>
      <c r="F22" s="216"/>
      <c r="G22" s="217"/>
      <c r="H22" s="207" t="s">
        <v>199</v>
      </c>
      <c r="I22" s="207"/>
      <c r="J22" s="207"/>
      <c r="K22" s="207"/>
      <c r="L22" s="207" t="s">
        <v>199</v>
      </c>
      <c r="M22" s="207"/>
      <c r="N22" s="207"/>
      <c r="O22" s="207"/>
      <c r="P22" s="98" t="s">
        <v>128</v>
      </c>
    </row>
    <row r="23" spans="1:16" ht="63" customHeight="1" x14ac:dyDescent="0.25">
      <c r="A23" s="104" t="s">
        <v>50</v>
      </c>
      <c r="B23" s="190" t="s">
        <v>200</v>
      </c>
      <c r="C23" s="191"/>
      <c r="D23" s="191"/>
      <c r="E23" s="191"/>
      <c r="F23" s="191"/>
      <c r="G23" s="192"/>
      <c r="H23" s="207" t="s">
        <v>201</v>
      </c>
      <c r="I23" s="207"/>
      <c r="J23" s="207"/>
      <c r="K23" s="207"/>
      <c r="L23" s="207" t="s">
        <v>201</v>
      </c>
      <c r="M23" s="207"/>
      <c r="N23" s="207"/>
      <c r="O23" s="207"/>
      <c r="P23" s="98" t="s">
        <v>128</v>
      </c>
    </row>
    <row r="24" spans="1:16" ht="39.450000000000003" customHeight="1" x14ac:dyDescent="0.25">
      <c r="A24" s="104" t="s">
        <v>51</v>
      </c>
      <c r="B24" s="190" t="s">
        <v>202</v>
      </c>
      <c r="C24" s="191"/>
      <c r="D24" s="191"/>
      <c r="E24" s="191"/>
      <c r="F24" s="191"/>
      <c r="G24" s="192"/>
      <c r="H24" s="225" t="s">
        <v>158</v>
      </c>
      <c r="I24" s="226"/>
      <c r="J24" s="226"/>
      <c r="K24" s="227"/>
      <c r="L24" s="225" t="s">
        <v>158</v>
      </c>
      <c r="M24" s="226"/>
      <c r="N24" s="226"/>
      <c r="O24" s="227"/>
      <c r="P24" s="98" t="s">
        <v>128</v>
      </c>
    </row>
    <row r="25" spans="1:16" ht="39" customHeight="1" x14ac:dyDescent="0.25">
      <c r="A25" s="104" t="s">
        <v>52</v>
      </c>
      <c r="B25" s="190" t="s">
        <v>203</v>
      </c>
      <c r="C25" s="191"/>
      <c r="D25" s="191"/>
      <c r="E25" s="191"/>
      <c r="F25" s="191"/>
      <c r="G25" s="192"/>
      <c r="H25" s="189" t="s">
        <v>204</v>
      </c>
      <c r="I25" s="189"/>
      <c r="J25" s="189"/>
      <c r="K25" s="189"/>
      <c r="L25" s="189" t="s">
        <v>204</v>
      </c>
      <c r="M25" s="189"/>
      <c r="N25" s="189"/>
      <c r="O25" s="189"/>
      <c r="P25" s="98" t="s">
        <v>128</v>
      </c>
    </row>
    <row r="26" spans="1:16" x14ac:dyDescent="0.25">
      <c r="A26" s="104" t="s">
        <v>53</v>
      </c>
      <c r="B26" s="190"/>
      <c r="C26" s="191"/>
      <c r="D26" s="191"/>
      <c r="E26" s="191"/>
      <c r="F26" s="191"/>
      <c r="G26" s="192"/>
      <c r="H26" s="189"/>
      <c r="I26" s="189"/>
      <c r="J26" s="189"/>
      <c r="K26" s="189"/>
      <c r="L26" s="189"/>
      <c r="M26" s="189"/>
      <c r="N26" s="189"/>
      <c r="O26" s="189"/>
      <c r="P26" s="98"/>
    </row>
    <row r="27" spans="1:16" x14ac:dyDescent="0.25">
      <c r="A27" s="104" t="s">
        <v>54</v>
      </c>
      <c r="B27" s="190"/>
      <c r="C27" s="191"/>
      <c r="D27" s="191"/>
      <c r="E27" s="191"/>
      <c r="F27" s="191"/>
      <c r="G27" s="192"/>
      <c r="H27" s="189"/>
      <c r="I27" s="189"/>
      <c r="J27" s="189"/>
      <c r="K27" s="189"/>
      <c r="L27" s="189"/>
      <c r="M27" s="189"/>
      <c r="N27" s="189"/>
      <c r="O27" s="189"/>
      <c r="P27" s="98"/>
    </row>
    <row r="28" spans="1:16" ht="13.2" customHeight="1" x14ac:dyDescent="0.25">
      <c r="A28" s="104" t="s">
        <v>55</v>
      </c>
      <c r="B28" s="222"/>
      <c r="C28" s="223"/>
      <c r="D28" s="223"/>
      <c r="E28" s="223"/>
      <c r="F28" s="223"/>
      <c r="G28" s="224"/>
      <c r="H28" s="215"/>
      <c r="I28" s="216"/>
      <c r="J28" s="216"/>
      <c r="K28" s="217"/>
      <c r="L28" s="215"/>
      <c r="M28" s="216"/>
      <c r="N28" s="216"/>
      <c r="O28" s="217"/>
      <c r="P28" s="98"/>
    </row>
    <row r="29" spans="1:16" ht="13.2" customHeight="1" x14ac:dyDescent="0.25">
      <c r="A29" s="104" t="s">
        <v>177</v>
      </c>
      <c r="B29" s="222"/>
      <c r="C29" s="223"/>
      <c r="D29" s="223"/>
      <c r="E29" s="223"/>
      <c r="F29" s="223"/>
      <c r="G29" s="224"/>
      <c r="H29" s="189"/>
      <c r="I29" s="189"/>
      <c r="J29" s="189"/>
      <c r="K29" s="189"/>
      <c r="L29" s="189"/>
      <c r="M29" s="189"/>
      <c r="N29" s="189"/>
      <c r="O29" s="189"/>
      <c r="P29" s="98"/>
    </row>
    <row r="30" spans="1:16" ht="13.2" customHeight="1" x14ac:dyDescent="0.25">
      <c r="A30" s="104" t="s">
        <v>178</v>
      </c>
      <c r="B30" s="215"/>
      <c r="C30" s="216"/>
      <c r="D30" s="216"/>
      <c r="E30" s="216"/>
      <c r="F30" s="216"/>
      <c r="G30" s="217"/>
      <c r="H30" s="189"/>
      <c r="I30" s="189"/>
      <c r="J30" s="189"/>
      <c r="K30" s="189"/>
      <c r="L30" s="189"/>
      <c r="M30" s="189"/>
      <c r="N30" s="189"/>
      <c r="O30" s="189"/>
      <c r="P30" s="98"/>
    </row>
    <row r="31" spans="1:16" ht="13.2" customHeight="1" x14ac:dyDescent="0.25">
      <c r="B31" s="100"/>
      <c r="C31" s="100"/>
      <c r="D31" s="100"/>
      <c r="E31" s="100"/>
      <c r="F31" s="100"/>
      <c r="G31" s="100"/>
      <c r="H31" s="100"/>
    </row>
    <row r="32" spans="1:16" ht="13.2" customHeight="1" x14ac:dyDescent="0.25">
      <c r="B32" s="100"/>
      <c r="C32" s="100"/>
      <c r="D32" s="100"/>
      <c r="E32" s="100"/>
      <c r="F32" s="100"/>
      <c r="G32" s="100"/>
      <c r="H32" s="100"/>
    </row>
  </sheetData>
  <mergeCells count="37">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5:G25"/>
    <mergeCell ref="H25:K25"/>
    <mergeCell ref="L25:O25"/>
    <mergeCell ref="B26:G26"/>
    <mergeCell ref="H26:K26"/>
    <mergeCell ref="L26:O26"/>
    <mergeCell ref="B27:G27"/>
    <mergeCell ref="H27:K27"/>
    <mergeCell ref="L27:O27"/>
    <mergeCell ref="B28:G28"/>
    <mergeCell ref="H28:K28"/>
    <mergeCell ref="L28:O28"/>
    <mergeCell ref="B29:G29"/>
    <mergeCell ref="H29:K29"/>
    <mergeCell ref="L29:O29"/>
    <mergeCell ref="B30:G30"/>
    <mergeCell ref="H30:K30"/>
    <mergeCell ref="L30:O30"/>
  </mergeCells>
  <conditionalFormatting sqref="B9:B10">
    <cfRule type="cellIs" dxfId="15" priority="15" operator="equal">
      <formula>"Nok"</formula>
    </cfRule>
    <cfRule type="cellIs" dxfId="14" priority="16" operator="equal">
      <formula>"Ok"</formula>
    </cfRule>
  </conditionalFormatting>
  <conditionalFormatting sqref="P30">
    <cfRule type="cellIs" dxfId="13" priority="13" operator="equal">
      <formula>"Nok"</formula>
    </cfRule>
    <cfRule type="cellIs" dxfId="12" priority="14" operator="equal">
      <formula>"Ok"</formula>
    </cfRule>
  </conditionalFormatting>
  <conditionalFormatting sqref="P29">
    <cfRule type="cellIs" dxfId="11" priority="11" operator="equal">
      <formula>"Nok"</formula>
    </cfRule>
    <cfRule type="cellIs" dxfId="10" priority="12" operator="equal">
      <formula>"Ok"</formula>
    </cfRule>
  </conditionalFormatting>
  <conditionalFormatting sqref="P28">
    <cfRule type="cellIs" dxfId="9" priority="9" operator="equal">
      <formula>"Nok"</formula>
    </cfRule>
    <cfRule type="cellIs" dxfId="8" priority="10" operator="equal">
      <formula>"Ok"</formula>
    </cfRule>
  </conditionalFormatting>
  <conditionalFormatting sqref="P26:P27">
    <cfRule type="cellIs" dxfId="7" priority="7" operator="equal">
      <formula>"Nok"</formula>
    </cfRule>
    <cfRule type="cellIs" dxfId="6" priority="8" operator="equal">
      <formula>"Ok"</formula>
    </cfRule>
  </conditionalFormatting>
  <conditionalFormatting sqref="P25">
    <cfRule type="cellIs" dxfId="5" priority="5" operator="equal">
      <formula>"Nok"</formula>
    </cfRule>
    <cfRule type="cellIs" dxfId="4" priority="6" operator="equal">
      <formula>"Ok"</formula>
    </cfRule>
  </conditionalFormatting>
  <conditionalFormatting sqref="P22">
    <cfRule type="cellIs" dxfId="3" priority="3" operator="equal">
      <formula>"Nok"</formula>
    </cfRule>
    <cfRule type="cellIs" dxfId="2" priority="4" operator="equal">
      <formula>"Ok"</formula>
    </cfRule>
  </conditionalFormatting>
  <conditionalFormatting sqref="P23:P24">
    <cfRule type="cellIs" dxfId="1" priority="1" operator="equal">
      <formula>"Nok"</formula>
    </cfRule>
    <cfRule type="cellIs" dxfId="0" priority="2" operator="equal">
      <formula>"Ok"</formula>
    </cfRule>
  </conditionalFormatting>
  <dataValidations count="3">
    <dataValidation type="list" allowBlank="1" showInputMessage="1" showErrorMessage="1" sqref="B5" xr:uid="{399A6BEC-7F1F-4558-A898-62F0F8782AF4}">
      <formula1>"Nominal, Robustness, Endurance, Qualification"</formula1>
    </dataValidation>
    <dataValidation type="list" allowBlank="1" showInputMessage="1" showErrorMessage="1" sqref="B9" xr:uid="{DE439C7B-717B-4891-BD35-0772A5F33FB1}">
      <formula1>"Ok, Nok, Not run, NA"</formula1>
    </dataValidation>
    <dataValidation type="list" allowBlank="1" showInputMessage="1" showErrorMessage="1" sqref="P22:P30" xr:uid="{DAED1752-7D85-4DF2-8F29-793729C9C632}">
      <formula1>"Ok, Nok, Not run, ,"</formula1>
    </dataValidation>
  </dataValidations>
  <pageMargins left="0.7" right="0.7" top="0.75" bottom="0.75" header="0.3" footer="0.3"/>
  <pageSetup paperSize="9" orientation="portrait" r:id="rId1"/>
  <headerFooter>
    <oddFooter>&amp;LNA ver 1&amp;R&amp;P</oddFoot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F6"/>
  <sheetViews>
    <sheetView workbookViewId="0">
      <selection activeCell="C4" sqref="C4"/>
    </sheetView>
  </sheetViews>
  <sheetFormatPr defaultColWidth="9.33203125" defaultRowHeight="14.4" x14ac:dyDescent="0.3"/>
  <cols>
    <col min="1" max="1" width="4.33203125" style="79" customWidth="1"/>
    <col min="2" max="2" width="24.6640625" style="79" customWidth="1"/>
    <col min="3" max="3" width="4.5546875" style="79" customWidth="1"/>
    <col min="4" max="4" width="4.44140625" style="79" customWidth="1"/>
    <col min="5" max="5" width="29.6640625" style="79" bestFit="1" customWidth="1"/>
    <col min="6" max="6" width="7.6640625" style="79" bestFit="1" customWidth="1"/>
    <col min="7" max="16384" width="9.33203125" style="79"/>
  </cols>
  <sheetData>
    <row r="2" spans="2:6" x14ac:dyDescent="0.3">
      <c r="B2" s="80" t="s">
        <v>58</v>
      </c>
      <c r="C2" s="80">
        <f ca="1">COUNTIF('Tests Synthesis'!K3:K47, "Ok")</f>
        <v>6</v>
      </c>
      <c r="E2" s="81" t="s">
        <v>59</v>
      </c>
      <c r="F2" s="82">
        <f ca="1">IF(C6=0,0,C2/C6)</f>
        <v>1</v>
      </c>
    </row>
    <row r="3" spans="2:6" x14ac:dyDescent="0.3">
      <c r="B3" s="80" t="s">
        <v>60</v>
      </c>
      <c r="C3" s="80">
        <f ca="1">COUNTIF('Tests Synthesis'!K3:K47, "Nok")</f>
        <v>0</v>
      </c>
      <c r="E3" s="81" t="s">
        <v>61</v>
      </c>
      <c r="F3" s="82">
        <f ca="1">IF(C6=0,0,C3/C6)</f>
        <v>0</v>
      </c>
    </row>
    <row r="4" spans="2:6" x14ac:dyDescent="0.3">
      <c r="B4" s="80" t="s">
        <v>62</v>
      </c>
      <c r="C4" s="80">
        <f ca="1">COUNTIF('Tests Synthesis'!K3:K47, "not run")</f>
        <v>0</v>
      </c>
      <c r="E4" s="80" t="s">
        <v>63</v>
      </c>
      <c r="F4" s="82">
        <f ca="1">IF(C6=0,0,C4/C6)</f>
        <v>0</v>
      </c>
    </row>
    <row r="5" spans="2:6" x14ac:dyDescent="0.3">
      <c r="B5" s="80" t="s">
        <v>114</v>
      </c>
      <c r="C5" s="80">
        <f ca="1">COUNTIF('Tests Synthesis'!K4:K48, "NA")</f>
        <v>0</v>
      </c>
      <c r="E5" s="80" t="s">
        <v>115</v>
      </c>
      <c r="F5" s="82">
        <f>IF(C7=0,0,C5/C7)</f>
        <v>0</v>
      </c>
    </row>
    <row r="6" spans="2:6" x14ac:dyDescent="0.3">
      <c r="B6" s="80" t="s">
        <v>64</v>
      </c>
      <c r="C6" s="80">
        <f ca="1">SUM(C2:C4)</f>
        <v>6</v>
      </c>
    </row>
  </sheetData>
  <pageMargins left="0.7" right="0.7" top="0.75" bottom="0.75" header="0.3" footer="0.3"/>
  <pageSetup paperSize="9" orientation="portrait" r:id="rId1"/>
  <headerFooter>
    <oddFooter>&amp;LNA ver 1&amp;R&amp;P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12</vt:i4>
      </vt:variant>
    </vt:vector>
  </HeadingPairs>
  <TitlesOfParts>
    <vt:vector size="23" baseType="lpstr">
      <vt:lpstr>FrontPage</vt:lpstr>
      <vt:lpstr>General info</vt:lpstr>
      <vt:lpstr>Guide (help)</vt:lpstr>
      <vt:lpstr>Tests Synthesis</vt:lpstr>
      <vt:lpstr>SW_IT_ERH_0001</vt:lpstr>
      <vt:lpstr>SW_IT_ERH_0002</vt:lpstr>
      <vt:lpstr>SW_IT_ERH_0003</vt:lpstr>
      <vt:lpstr>SW_IT_ERH_0004</vt:lpstr>
      <vt:lpstr>SW_IT_ERH_0005</vt:lpstr>
      <vt:lpstr>SW_IT_ERH_0006</vt:lpstr>
      <vt:lpstr>Metrics</vt:lpstr>
      <vt:lpstr>FileName</vt:lpstr>
      <vt:lpstr>MXActual_state_Released</vt:lpstr>
      <vt:lpstr>MXAuthority</vt:lpstr>
      <vt:lpstr>MXCurrent.Localized</vt:lpstr>
      <vt:lpstr>MXName</vt:lpstr>
      <vt:lpstr>MXRevision</vt:lpstr>
      <vt:lpstr>MXTitle</vt:lpstr>
      <vt:lpstr>MXVersion</vt:lpstr>
      <vt:lpstr>PLMDocAuthor</vt:lpstr>
      <vt:lpstr>'General info'!Print_Titles</vt:lpstr>
      <vt:lpstr>'Guide (help)'!Print_Titles</vt:lpstr>
      <vt:lpstr>TemplateRef</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 Kask</dc:creator>
  <cp:lastModifiedBy>Mihai Ianos</cp:lastModifiedBy>
  <cp:lastPrinted>2011-11-28T23:54:39Z</cp:lastPrinted>
  <dcterms:created xsi:type="dcterms:W3CDTF">2008-08-11T11:06:44Z</dcterms:created>
  <dcterms:modified xsi:type="dcterms:W3CDTF">2022-10-27T14:08:25Z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Document created</vt:lpwstr>
  </property>
  <property fmtid="{D5CDD505-2E9C-101B-9397-08002B2CF9AE}" pid="8" name="MXAuthority_BusinessUnit">
    <vt:lpwstr/>
  </property>
  <property fmtid="{D5CDD505-2E9C-101B-9397-08002B2CF9AE}" pid="9" name="MXAuthority_Description">
    <vt:lpwstr>Process documents etc</vt:lpwstr>
  </property>
  <property fmtid="{D5CDD505-2E9C-101B-9397-08002B2CF9AE}" pid="10" name="MXAuthority_Owner">
    <vt:lpwstr>Marcus Klomark</vt:lpwstr>
  </property>
  <property fmtid="{D5CDD505-2E9C-101B-9397-08002B2CF9AE}" pid="11" name="MXAuthority_Program">
    <vt:lpwstr/>
  </property>
  <property fmtid="{D5CDD505-2E9C-101B-9397-08002B2CF9AE}" pid="12" name="MXCheckin Date">
    <vt:lpwstr>12/22/2010 8:58:03 AM</vt:lpwstr>
  </property>
  <property fmtid="{D5CDD505-2E9C-101B-9397-08002B2CF9AE}" pid="13" name="MXCheckin Reason">
    <vt:lpwstr>Revised by Johannes Kask</vt:lpwstr>
  </property>
  <property fmtid="{D5CDD505-2E9C-101B-9397-08002B2CF9AE}" pid="14" name="MXCheckin User" linkTarget="PLMDocAuthor">
    <vt:lpwstr>Vlad Chioveanu</vt:lpwstr>
  </property>
  <property fmtid="{D5CDD505-2E9C-101B-9397-08002B2CF9AE}" pid="15" name="MXCurrent">
    <vt:lpwstr>Preliminary</vt:lpwstr>
  </property>
  <property fmtid="{D5CDD505-2E9C-101B-9397-08002B2CF9AE}" pid="16" name="MXDescription">
    <vt:lpwstr/>
  </property>
  <property fmtid="{D5CDD505-2E9C-101B-9397-08002B2CF9AE}" pid="17" name="MXDesignated User">
    <vt:lpwstr>Unassigned</vt:lpwstr>
  </property>
  <property fmtid="{D5CDD505-2E9C-101B-9397-08002B2CF9AE}" pid="18" name="MXEmail">
    <vt:lpwstr>johannes.kask@autoliv.com</vt:lpwstr>
  </property>
  <property fmtid="{D5CDD505-2E9C-101B-9397-08002B2CF9AE}" pid="19" name="MXFirstName">
    <vt:lpwstr>Johannes</vt:lpwstr>
  </property>
  <property fmtid="{D5CDD505-2E9C-101B-9397-08002B2CF9AE}" pid="20" name="MXIs Version Object">
    <vt:lpwstr>False</vt:lpwstr>
  </property>
  <property fmtid="{D5CDD505-2E9C-101B-9397-08002B2CF9AE}" pid="21" name="MXLanguage">
    <vt:lpwstr>English</vt:lpwstr>
  </property>
  <property fmtid="{D5CDD505-2E9C-101B-9397-08002B2CF9AE}" pid="22" name="MXLastName">
    <vt:lpwstr>Kask</vt:lpwstr>
  </property>
  <property fmtid="{D5CDD505-2E9C-101B-9397-08002B2CF9AE}" pid="23" name="MXLatestVersion">
    <vt:lpwstr>3</vt:lpwstr>
  </property>
  <property fmtid="{D5CDD505-2E9C-101B-9397-08002B2CF9AE}" pid="24" name="MXMiddleName">
    <vt:lpwstr/>
  </property>
  <property fmtid="{D5CDD505-2E9C-101B-9397-08002B2CF9AE}" pid="25" name="MXMove Files To Version">
    <vt:lpwstr>False</vt:lpwstr>
  </property>
  <property fmtid="{D5CDD505-2E9C-101B-9397-08002B2CF9AE}" pid="26" name="MXOriginator">
    <vt:lpwstr>Mats Sundin</vt:lpwstr>
  </property>
  <property fmtid="{D5CDD505-2E9C-101B-9397-08002B2CF9AE}" pid="27" name="MXPolicy" linkTarget="MXPolicy">
    <vt:lpwstr>#REF!</vt:lpwstr>
  </property>
  <property fmtid="{D5CDD505-2E9C-101B-9397-08002B2CF9AE}" pid="28" name="MXPolicy.Localized">
    <vt:lpwstr>NoReview Document</vt:lpwstr>
  </property>
  <property fmtid="{D5CDD505-2E9C-101B-9397-08002B2CF9AE}" pid="29" name="MXRoute_In-Work_date">
    <vt:lpwstr/>
  </property>
  <property fmtid="{D5CDD505-2E9C-101B-9397-08002B2CF9AE}" pid="30" name="MXRoute_In-Work_name">
    <vt:lpwstr/>
  </property>
  <property fmtid="{D5CDD505-2E9C-101B-9397-08002B2CF9AE}" pid="31" name="MXRoute_Released_date">
    <vt:lpwstr/>
  </property>
  <property fmtid="{D5CDD505-2E9C-101B-9397-08002B2CF9AE}" pid="32" name="MXRoute_Released_name">
    <vt:lpwstr/>
  </property>
  <property fmtid="{D5CDD505-2E9C-101B-9397-08002B2CF9AE}" pid="33" name="MXRoute_Superseded_date">
    <vt:lpwstr/>
  </property>
  <property fmtid="{D5CDD505-2E9C-101B-9397-08002B2CF9AE}" pid="34" name="MXRoute_Superseded_name">
    <vt:lpwstr/>
  </property>
  <property fmtid="{D5CDD505-2E9C-101B-9397-08002B2CF9AE}" pid="35" name="MXSignatures_state_Preliminary">
    <vt:lpwstr/>
  </property>
  <property fmtid="{D5CDD505-2E9C-101B-9397-08002B2CF9AE}" pid="36" name="MXSignatures_state_Released">
    <vt:lpwstr/>
  </property>
  <property fmtid="{D5CDD505-2E9C-101B-9397-08002B2CF9AE}" pid="37" name="MXSignatures_state_Superceded">
    <vt:lpwstr/>
  </property>
  <property fmtid="{D5CDD505-2E9C-101B-9397-08002B2CF9AE}" pid="38" name="MXSuspend Versioning">
    <vt:lpwstr>False</vt:lpwstr>
  </property>
  <property fmtid="{D5CDD505-2E9C-101B-9397-08002B2CF9AE}" pid="39" name="MXType">
    <vt:lpwstr>alvProjectManagement</vt:lpwstr>
  </property>
  <property fmtid="{D5CDD505-2E9C-101B-9397-08002B2CF9AE}" pid="40" name="MXType.Localized" linkTarget="MXType.Localized">
    <vt:lpwstr>#REF!</vt:lpwstr>
  </property>
  <property fmtid="{D5CDD505-2E9C-101B-9397-08002B2CF9AE}" pid="41" name="MXDocTemplate_Name">
    <vt:lpwstr>SW04TEM001</vt:lpwstr>
  </property>
</Properties>
</file>