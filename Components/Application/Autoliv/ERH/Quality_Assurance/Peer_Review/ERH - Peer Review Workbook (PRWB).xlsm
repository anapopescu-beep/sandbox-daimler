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showInkAnnotation="0" updateLinks="never" codeName="ThisWorkbook" defaultThemeVersion="124226"/>
  <mc:AlternateContent xmlns:mc="http://schemas.openxmlformats.org/markup-compatibility/2006">
    <mc:Choice Requires="x15">
      <x15ac:absPath xmlns:x15ac="http://schemas.microsoft.com/office/spreadsheetml/2010/11/ac" url="C:\Users\tudor.gligor\Documents\Sandboxes\DAI_MMA\Components\Application\Autoliv\ERH\Quality_Assurance\Peer_Review\"/>
    </mc:Choice>
  </mc:AlternateContent>
  <xr:revisionPtr revIDLastSave="0" documentId="13_ncr:1_{171285BB-D08A-44EF-8C0E-F49C334A88C1}" xr6:coauthVersionLast="47" xr6:coauthVersionMax="47" xr10:uidLastSave="{00000000-0000-0000-0000-000000000000}"/>
  <bookViews>
    <workbookView xWindow="-108" yWindow="-108" windowWidth="23256" windowHeight="12576" tabRatio="750"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DD checklist" sheetId="198" r:id="rId7"/>
    <sheet name="CODE checklist" sheetId="199" r:id="rId8"/>
    <sheet name="ITSR checklist" sheetId="200" r:id="rId9"/>
    <sheet name="UTSR checklist" sheetId="201" r:id="rId10"/>
  </sheets>
  <functionGroups builtInGroupCount="19"/>
  <externalReferences>
    <externalReference r:id="rId11"/>
    <externalReference r:id="rId12"/>
    <externalReference r:id="rId13"/>
  </externalReferences>
  <definedNames>
    <definedName name="_xlnm._FilterDatabase" localSheetId="5" hidden="1">Review!$A$4:$M$179</definedName>
    <definedName name="_Toc127437058" localSheetId="5">Review!#REF!</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7">[1]FrontPage!$AB$5</definedName>
    <definedName name="MXActual_state_Released" localSheetId="8">[1]FrontPage!$AB$5</definedName>
    <definedName name="MXActual_state_Released" localSheetId="6">[1]FrontPage!$AB$5</definedName>
    <definedName name="MXActual_state_Released" localSheetId="9">[1]FrontPage!$AB$5</definedName>
    <definedName name="MXActual_state_Released">FrontPage!$AB$5</definedName>
    <definedName name="MXAuthority" localSheetId="7">[1]FrontPage!$A$5</definedName>
    <definedName name="MXAuthority" localSheetId="8">[1]FrontPage!$A$5</definedName>
    <definedName name="MXAuthority" localSheetId="6">[1]FrontPage!$A$5</definedName>
    <definedName name="MXAuthority" localSheetId="9">[1]FrontPage!$A$5</definedName>
    <definedName name="MXAuthority">FrontPage!$A$5</definedName>
    <definedName name="MXCurrent.Localized" localSheetId="7">[1]FrontPage!$W$5</definedName>
    <definedName name="MXCurrent.Localized" localSheetId="8">[1]FrontPage!$W$5</definedName>
    <definedName name="MXCurrent.Localized" localSheetId="6">[1]FrontPage!$W$5</definedName>
    <definedName name="MXCurrent.Localized" localSheetId="9">[1]FrontPage!$W$5</definedName>
    <definedName name="MXCurrent.Localized">FrontPage!$W$5</definedName>
    <definedName name="MXName" localSheetId="7">[1]FrontPage!$A$7</definedName>
    <definedName name="MXName" localSheetId="8">[1]FrontPage!$A$7</definedName>
    <definedName name="MXName" localSheetId="6">[1]FrontPage!$A$7</definedName>
    <definedName name="MXName" localSheetId="9">[1]FrontPage!$A$7</definedName>
    <definedName name="MXName">FrontPage!$A$7</definedName>
    <definedName name="MXRevision" localSheetId="7">[1]FrontPage!$AB$7</definedName>
    <definedName name="MXRevision" localSheetId="8">[1]FrontPage!$AB$7</definedName>
    <definedName name="MXRevision" localSheetId="6">[1]FrontPage!$AB$7</definedName>
    <definedName name="MXRevision" localSheetId="9">[1]FrontPage!$AB$7</definedName>
    <definedName name="MXRevision">FrontPage!$AB$7</definedName>
    <definedName name="MXTitle" localSheetId="7">[1]FrontPage!$E$7</definedName>
    <definedName name="MXTitle" localSheetId="8">[1]FrontPage!$E$7</definedName>
    <definedName name="MXTitle" localSheetId="6">[1]FrontPage!$E$7</definedName>
    <definedName name="MXTitle" localSheetId="9">[1]FrontPage!$E$7</definedName>
    <definedName name="MXTitle">FrontPage!$E$7</definedName>
    <definedName name="MXVersion" localSheetId="7">[1]FrontPage!$AE$7</definedName>
    <definedName name="MXVersion" localSheetId="8">[1]FrontPage!$AE$7</definedName>
    <definedName name="MXVersion" localSheetId="6">[1]FrontPage!$AE$7</definedName>
    <definedName name="MXVersion" localSheetId="9">[1]FrontPage!$AE$7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7">'CODE checklist'!$A$1</definedName>
    <definedName name="Sheet.ReviewTempate" localSheetId="8">'ITSR checklist'!$A$1</definedName>
    <definedName name="Sheet.ReviewTempate" localSheetId="6">'SDD checklist'!$A$1</definedName>
    <definedName name="Sheet.ReviewTempate" localSheetId="9">'UTSR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7">'CODE checklist'!$B$2</definedName>
    <definedName name="Template.Name" localSheetId="8">'ITSR checklist'!$B$2</definedName>
    <definedName name="Template.Name" localSheetId="6">'SDD checklist'!$B$2</definedName>
    <definedName name="Template.Name" localSheetId="9">'UTSR checklist'!$B$2</definedName>
    <definedName name="TemplateColumn">'Synthesis Charts'!$B:$B</definedName>
    <definedName name="TemplateRef" localSheetId="7">[1]FrontPage!$W$7</definedName>
    <definedName name="TemplateRef" localSheetId="8">[1]FrontPage!$W$7</definedName>
    <definedName name="TemplateRef" localSheetId="6">[1]FrontPage!$W$7</definedName>
    <definedName name="TemplateRef" localSheetId="9">[1]FrontPage!$W$7</definedName>
    <definedName name="TemplateRef">FrontPage!$W$7</definedName>
    <definedName name="Text.Released">'[1]General info'!$BJ$75</definedName>
    <definedName name="Text_AllChecklists">'General info'!$AJ$78</definedName>
    <definedName name="Title.Checklist.Guide.HowToRate" localSheetId="7">'CODE checklist'!$T$3</definedName>
    <definedName name="Title.Checklist.Guide.HowToRate" localSheetId="8">'ITSR checklist'!$K$3</definedName>
    <definedName name="Title.Checklist.Guide.HowToRate" localSheetId="6">'SDD checklist'!$U$3</definedName>
    <definedName name="Title.Checklist.Guide.HowToRate" localSheetId="9">'UTSR checklist'!$P$3</definedName>
    <definedName name="Title.Checklist.Guide.WhatToCheck" localSheetId="7">'CODE checklist'!$S$3</definedName>
    <definedName name="Title.Checklist.Guide.WhatToCheck" localSheetId="8">'ITSR checklist'!$J$3</definedName>
    <definedName name="Title.Checklist.Guide.WhatToCheck" localSheetId="6">'SDD checklist'!$T$3</definedName>
    <definedName name="Title.Checklist.Guide.WhatToCheck" localSheetId="9">'UTSR checklist'!$O$3</definedName>
    <definedName name="Title.Checklist.ManualQuestion" localSheetId="7">'CODE checklist'!$B$32</definedName>
    <definedName name="Title.Checklist.ManualQuestion" localSheetId="8">'ITSR checklist'!$B$34</definedName>
    <definedName name="Title.Checklist.ManualQuestion" localSheetId="6">'SDD checklist'!$B$33</definedName>
    <definedName name="Title.Checklist.ManualQuestion" localSheetId="9">'UTSR checklist'!$B$31</definedName>
    <definedName name="Title.Checklist.NoteForAuditor" localSheetId="7">'CODE checklist'!$S$2</definedName>
    <definedName name="Title.Checklist.NoteForAuditor" localSheetId="8">'ITSR checklist'!$J$2</definedName>
    <definedName name="Title.Checklist.NoteForAuditor" localSheetId="6">'SDD checklist'!$T$2</definedName>
    <definedName name="Title.Checklist.NoteForAuditor" localSheetId="9">'UTSR checklist'!$O$2</definedName>
    <definedName name="Title.Checklist.Question" localSheetId="7">'CODE checklist'!$B$4</definedName>
    <definedName name="Title.Checklist.Question" localSheetId="8">'ITSR checklist'!$B$4</definedName>
    <definedName name="Title.Checklist.Question" localSheetId="6">'SDD checklist'!$B$4</definedName>
    <definedName name="Title.Checklist.Question" localSheetId="9">'UTSR checklist'!$B$4</definedName>
    <definedName name="Title.Checklist.QuestionReference" localSheetId="7">'CODE checklist'!$A$2</definedName>
    <definedName name="Title.Checklist.QuestionReference" localSheetId="8">'ITSR checklist'!$A$2</definedName>
    <definedName name="Title.Checklist.QuestionReference" localSheetId="6">'SDD checklist'!$A$2</definedName>
    <definedName name="Title.Checklist.QuestionReference" localSheetId="9">'UTSR checklist'!$A$2</definedName>
    <definedName name="TitleRow" localSheetId="7">'CODE checklist'!$2:$2</definedName>
    <definedName name="TitleRow" localSheetId="8">'ITSR checklist'!$2:$2</definedName>
    <definedName name="TitleRow" localSheetId="6">'SDD checklist'!$2:$2</definedName>
    <definedName name="TitleRow" localSheetId="9">'UTSR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3" i="198" l="1"/>
  <c r="K3" i="201"/>
  <c r="P3" i="199"/>
  <c r="O3" i="199"/>
  <c r="J3" i="201"/>
  <c r="N3" i="198"/>
  <c r="N3" i="199"/>
  <c r="M3" i="198"/>
  <c r="M3" i="199"/>
  <c r="L3" i="198"/>
  <c r="I3" i="201"/>
  <c r="K3" i="199"/>
  <c r="H27" i="16"/>
  <c r="G27" i="16"/>
  <c r="F27" i="16"/>
  <c r="E27" i="16"/>
  <c r="E44" i="16"/>
  <c r="E37" i="16"/>
  <c r="H3" i="201"/>
  <c r="H3" i="200"/>
  <c r="I3" i="199"/>
  <c r="I3" i="198"/>
  <c r="H3" i="199"/>
  <c r="H3" i="198"/>
  <c r="W7" i="38"/>
  <c r="W5" i="38"/>
  <c r="F3" i="201" l="1"/>
  <c r="E3" i="201"/>
  <c r="F3" i="198"/>
  <c r="E3" i="199" l="1"/>
  <c r="E3" i="198"/>
  <c r="G3" i="200" l="1"/>
  <c r="E3" i="200"/>
  <c r="F3" i="200"/>
  <c r="C3" i="200"/>
  <c r="D3" i="201"/>
  <c r="D3" i="198"/>
  <c r="C3" i="198"/>
  <c r="C3" i="201"/>
  <c r="D3" i="200" l="1"/>
  <c r="M3" i="201" l="1"/>
  <c r="L3" i="201"/>
  <c r="G3" i="201"/>
  <c r="Q3" i="199"/>
  <c r="L3" i="199"/>
  <c r="J3" i="199"/>
  <c r="F3" i="199"/>
  <c r="G3" i="199"/>
  <c r="D3" i="199"/>
  <c r="R3" i="198"/>
  <c r="Q3" i="198"/>
  <c r="O3" i="198"/>
  <c r="K3" i="198"/>
  <c r="J3" i="198"/>
  <c r="X27" i="16"/>
  <c r="W27" i="16"/>
  <c r="V27" i="16"/>
  <c r="U27" i="16"/>
  <c r="T27" i="16"/>
  <c r="S27" i="16"/>
  <c r="R27" i="16"/>
  <c r="Q27" i="16"/>
  <c r="P27" i="16"/>
  <c r="O27" i="16"/>
  <c r="N27" i="16"/>
  <c r="M27" i="16"/>
  <c r="L27" i="16"/>
  <c r="K27" i="16"/>
  <c r="J27" i="16"/>
  <c r="I27" i="16"/>
  <c r="C3" i="199" l="1"/>
  <c r="G3" i="198"/>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 xml:space="preserve">Template from process AEM_PROCESS_1.17.00 
Last change : AEM_PROCESS_1.16.00 </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tc={8699B5DA-7E93-4AB4-B46B-56AC196FA737}</author>
    <author>tc={66B6A0BD-4904-4D0A-9946-AA5B2CFB9086}</author>
    <author>tc={8C8E8498-5537-4E4F-9E84-B9F1D528F5DF}</author>
    <author>tc={49381694-40CF-4F90-B6B3-85B44865BCAB}</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G24" authorId="1" shapeId="0" xr:uid="{8699B5DA-7E93-4AB4-B46B-56AC196FA737}">
      <text>
        <t>[Threaded comment]
Your version of Excel allows you to read this threaded comment; however, any edits to it will get removed if the file is opened in a newer version of Excel. Learn more: https://go.microsoft.com/fwlink/?linkid=870924
Comment:
    From Irina : I think all the checklists whould be listed here. Otherwise the "Content" part doesn`t seem to have a logic.
Reply:
    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
      </text>
    </comment>
    <comment ref="L26" authorId="2" shapeId="0" xr:uid="{66B6A0BD-4904-4D0A-9946-AA5B2CFB9086}">
      <text>
        <t>[Threaded comment]
Your version of Excel allows you to read this threaded comment; however, any edits to it will get removed if the file is opened in a newer version of Excel. Learn more: https://go.microsoft.com/fwlink/?linkid=870924
Comment:
    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
Reply:
    This is the goal of the row 34</t>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J38" authorId="3" shapeId="0" xr:uid="{8C8E8498-5537-4E4F-9E84-B9F1D528F5DF}">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N45" authorId="4" shapeId="0" xr:uid="{49381694-40CF-4F90-B6B3-85B44865BCAB}">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5"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5" shapeId="0" xr:uid="{F17275A0-61EC-48C5-83D6-7710F1FB268A}">
      <text>
        <r>
          <rPr>
            <b/>
            <sz val="9"/>
            <color indexed="81"/>
            <rFont val="Tahoma"/>
            <family val="2"/>
          </rPr>
          <t>Don't change this cell</t>
        </r>
      </text>
    </comment>
    <comment ref="AJ78" authorId="5"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5" shapeId="0" xr:uid="{7EBCCB23-C7DD-49AE-A0C3-608CFE3FF3EB}">
      <text>
        <r>
          <rPr>
            <b/>
            <sz val="9"/>
            <color indexed="81"/>
            <rFont val="Tahoma"/>
            <family val="2"/>
          </rPr>
          <t>Don't change this cell</t>
        </r>
      </text>
    </comment>
    <comment ref="AJ99" authorId="5"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2" authorId="0" shapeId="0" xr:uid="{3BEEE150-CDB7-4B22-8521-FD3CA62DD14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
Reply:
    Updated in accordance with PRO483</t>
      </text>
    </comment>
    <comment ref="F18" authorId="1" shapeId="0" xr:uid="{DC9E864A-8115-46A7-BAE5-993490F386FE}">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
Reply:
    I don't understand your comments</t>
      </text>
    </comment>
    <comment ref="F19" authorId="2" shapeId="0" xr:uid="{0180DF6E-9091-4A6F-8AC9-1CBFDA59F091}">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0" authorId="3" shapeId="0" xr:uid="{DDB2772C-7E8E-4A53-898F-3615291C5B3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38" authorId="4" shapeId="0" xr:uid="{177D809D-2020-41FD-A436-DB70B6139886}">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2539354-75ED-42EB-9D25-C9E6FE1CA46B}">
      <text>
        <r>
          <rPr>
            <sz val="9"/>
            <color indexed="81"/>
            <rFont val="Tahoma"/>
            <family val="2"/>
          </rPr>
          <t>This row is mandatory to force the VBA script to generate the checklist</t>
        </r>
      </text>
    </comment>
    <comment ref="B33" authorId="0" shapeId="0" xr:uid="{F1321357-CF84-4710-9154-EDB0385D579A}">
      <text>
        <r>
          <rPr>
            <b/>
            <sz val="9"/>
            <color indexed="81"/>
            <rFont val="Tahoma"/>
            <family val="2"/>
          </rPr>
          <t xml:space="preserve">Everything above this row is generated by Question Library (TEM486 - Master questions library.xlsm)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A041FF8C-35B2-490F-875F-E3577501A040}">
      <text>
        <r>
          <rPr>
            <b/>
            <sz val="9"/>
            <color indexed="81"/>
            <rFont val="Tahoma"/>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9418B448-9750-4EF0-A44E-30F2516AB438}">
      <text>
        <r>
          <rPr>
            <b/>
            <sz val="8"/>
            <color indexed="81"/>
            <rFont val="Tahoma"/>
            <family val="2"/>
            <charset val="238"/>
          </rPr>
          <t>Author:</t>
        </r>
        <r>
          <rPr>
            <sz val="8"/>
            <color indexed="81"/>
            <rFont val="Tahoma"/>
            <family val="2"/>
            <charset val="238"/>
          </rPr>
          <t xml:space="preserve">
Test environment is defined at start-up,…</t>
        </r>
      </text>
    </comment>
    <comment ref="B34" authorId="1" shapeId="0" xr:uid="{CC79C0CB-5559-44EE-8DD6-49DB6314A0AB}">
      <text>
        <r>
          <rPr>
            <b/>
            <sz val="9"/>
            <color indexed="81"/>
            <rFont val="Tahoma"/>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1" authorId="0" shapeId="0" xr:uid="{EDC6E389-B6A5-4770-9E61-42F0324FA44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<sst xmlns="http://schemas.openxmlformats.org/spreadsheetml/2006/main" count="2686" uniqueCount="659">
  <si>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</si>
  <si>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</si>
  <si>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</si>
  <si>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</si>
  <si>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</si>
  <si>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</si>
  <si>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</si>
  <si>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</si>
  <si>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</si>
  <si>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</si>
  <si>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</si>
  <si>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</si>
  <si>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</si>
  <si>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</si>
  <si>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</si>
  <si>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</si>
  <si>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</si>
  <si>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</si>
  <si>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</si>
  <si>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</si>
  <si>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</si>
  <si>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</si>
  <si>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</si>
  <si>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</si>
  <si>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</si>
  <si>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</si>
  <si>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</si>
  <si>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</si>
  <si>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</si>
  <si>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</si>
  <si>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</si>
  <si>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</si>
  <si>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</si>
  <si>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</si>
  <si>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</si>
  <si>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</si>
  <si>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</si>
  <si>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</si>
  <si>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</si>
  <si>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</si>
  <si>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</si>
  <si>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</si>
  <si>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</si>
  <si>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</si>
  <si>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</si>
  <si>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</si>
  <si>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</si>
  <si>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</si>
  <si>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</si>
  <si>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</si>
  <si>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</si>
  <si>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</si>
  <si>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</si>
  <si>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</si>
  <si>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</si>
  <si>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</si>
  <si>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</si>
  <si>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</si>
  <si>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</si>
  <si>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</si>
  <si>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</si>
  <si>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</si>
  <si>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</si>
  <si>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</si>
  <si>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</si>
  <si>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</si>
  <si>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</si>
  <si>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</si>
  <si>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</si>
  <si>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</si>
  <si>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</si>
  <si>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</si>
  <si>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</si>
  <si>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</si>
  <si>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</si>
  <si>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</si>
  <si>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</si>
  <si>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</si>
  <si>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</si>
  <si>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</si>
  <si>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</si>
  <si>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</si>
  <si>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</si>
  <si>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</si>
  <si>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</si>
  <si>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</si>
  <si>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</si>
  <si>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</si>
  <si>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</si>
  <si>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</si>
  <si>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</si>
  <si>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</si>
  <si>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</si>
  <si>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</si>
  <si>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</si>
  <si>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</si>
  <si>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</si>
  <si>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</si>
  <si>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</si>
  <si>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</si>
  <si>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</si>
  <si>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</si>
  <si>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</si>
  <si>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</si>
  <si>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</si>
  <si>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</si>
  <si>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</si>
  <si>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</si>
  <si>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</si>
  <si>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</si>
  <si>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</si>
  <si>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</si>
  <si>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</si>
  <si>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</si>
  <si>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</si>
  <si>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</si>
  <si>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</si>
  <si>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</si>
  <si>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</si>
  <si>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</si>
  <si>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</si>
  <si>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</si>
  <si>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</si>
  <si>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</si>
  <si>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</si>
  <si>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</si>
  <si>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</si>
  <si>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</si>
  <si>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</si>
  <si>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</si>
  <si>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</si>
  <si>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</si>
  <si>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</si>
  <si>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</si>
  <si>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</si>
  <si>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</si>
  <si>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</si>
  <si>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</si>
  <si>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</si>
  <si>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</si>
  <si>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</si>
  <si>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</si>
  <si>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</si>
  <si>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</si>
  <si>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</si>
  <si>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</si>
  <si>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</si>
  <si>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</si>
  <si>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</si>
  <si>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</si>
  <si>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</si>
  <si>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</si>
  <si>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</si>
  <si>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</si>
  <si>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</si>
  <si>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</si>
  <si>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</si>
  <si>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</si>
  <si>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</si>
  <si>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</si>
  <si>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</si>
  <si>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</si>
  <si>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</si>
  <si>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</si>
  <si>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</si>
  <si>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</si>
  <si>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</si>
  <si>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</si>
  <si>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</si>
  <si>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</si>
  <si>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</si>
  <si>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</si>
  <si>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</si>
  <si>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</si>
  <si>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</si>
  <si>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</si>
  <si>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</si>
  <si>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</si>
  <si>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</si>
  <si>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</si>
  <si>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</si>
  <si>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</si>
  <si>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</si>
  <si>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</si>
  <si>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</si>
  <si>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</si>
  <si>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</si>
  <si>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</si>
  <si>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</si>
  <si>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</si>
  <si>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</si>
  <si>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</si>
  <si>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</si>
  <si>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</si>
  <si>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</si>
  <si>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</si>
  <si>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</si>
  <si>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</si>
  <si>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</si>
  <si>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</si>
  <si>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</si>
  <si>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</si>
  <si>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</si>
  <si>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</si>
  <si>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</si>
  <si>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</si>
  <si>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</si>
  <si>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</si>
  <si>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</si>
  <si>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</si>
  <si>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</si>
  <si>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</si>
  <si>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</si>
  <si>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</si>
  <si>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</si>
  <si>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</si>
  <si>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</si>
  <si>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</si>
  <si>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</si>
  <si>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</si>
  <si>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</si>
  <si>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</si>
  <si>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</si>
  <si>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</si>
  <si>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</si>
  <si>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</si>
  <si>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</si>
  <si>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</si>
  <si>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</si>
  <si>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</si>
  <si>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</si>
  <si>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</si>
  <si>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</si>
  <si>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</si>
  <si>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</si>
  <si>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</si>
  <si>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</si>
  <si>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</si>
  <si>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</si>
  <si>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</si>
  <si>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</si>
  <si>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</si>
  <si>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</si>
  <si>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Functional Safety</t>
  </si>
  <si>
    <t>XX-R-REV-579</t>
  </si>
  <si>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</si>
  <si>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</si>
  <si>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</si>
  <si>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</si>
  <si>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</si>
  <si>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</si>
  <si>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</si>
  <si>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</si>
  <si>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t>SW-R-INT-589</t>
  </si>
  <si>
    <t>SW-R-INT-590</t>
  </si>
  <si>
    <t>SW-R-INT-594</t>
  </si>
  <si>
    <r>
      <rPr>
        <b/>
        <sz val="10"/>
        <rFont val="Arial"/>
        <family val="2"/>
      </rPr>
      <t xml:space="preserve">Tests types
</t>
    </r>
    <r>
      <rPr>
        <sz val="10"/>
        <rFont val="Arial"/>
        <family val="2"/>
      </rPr>
      <t>Are all defined test types used in test cases ?
Note: Nominal, Endurance, Robustness, Qualification…</t>
    </r>
  </si>
  <si>
    <t>XX-R-XX-596</t>
  </si>
  <si>
    <t>XX-R-XX-598</t>
  </si>
  <si>
    <r>
      <rPr>
        <b/>
        <sz val="10"/>
        <rFont val="Arial"/>
        <family val="2"/>
      </rPr>
      <t xml:space="preserve">Issue for fail tests
</t>
    </r>
    <r>
      <rPr>
        <sz val="10"/>
        <rFont val="Arial"/>
        <family val="2"/>
      </rPr>
      <t>If not fixed now : do all failed tests have an associated Issue number ?</t>
    </r>
  </si>
  <si>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</si>
  <si>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</si>
  <si>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</si>
  <si>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t>SW-R-COD-587</t>
  </si>
  <si>
    <r>
      <rPr>
        <b/>
        <sz val="10"/>
        <rFont val="Arial"/>
        <family val="2"/>
      </rPr>
      <t xml:space="preserve">Traceability
</t>
    </r>
    <r>
      <rPr>
        <sz val="10"/>
        <rFont val="Arial"/>
        <family val="2"/>
      </rPr>
      <t>Is the traceability done with module design and/or software specification?</t>
    </r>
  </si>
  <si>
    <t>SW-R-COD-588</t>
  </si>
  <si>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</si>
  <si>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</si>
  <si>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t>SW-R-XX-592</t>
  </si>
  <si>
    <t>SW-R-XX-586</t>
  </si>
  <si>
    <t>SW-R-XX-593</t>
  </si>
  <si>
    <t>SW-R-XX-583</t>
  </si>
  <si>
    <t>SW-R-XX-595</t>
  </si>
  <si>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</si>
  <si>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</si>
  <si>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</si>
  <si>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</si>
  <si>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</si>
  <si>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</si>
  <si>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</si>
  <si>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</si>
  <si>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</si>
  <si>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</si>
  <si>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</si>
  <si>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</si>
  <si>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</si>
  <si>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</si>
  <si>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</si>
  <si>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</si>
  <si>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</si>
  <si>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</si>
  <si>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</si>
  <si>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</si>
  <si>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</si>
  <si>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SW-R-XX-591</t>
  </si>
  <si>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</si>
  <si>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</si>
  <si>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</si>
  <si>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</si>
  <si>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</si>
  <si>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</si>
  <si>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</si>
  <si>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</si>
  <si>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</si>
  <si>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</si>
  <si>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</si>
  <si>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</si>
  <si>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</si>
  <si>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</si>
  <si>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</si>
  <si>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</si>
  <si>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</si>
  <si>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</si>
  <si>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</si>
  <si>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</si>
  <si>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</si>
  <si>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</si>
  <si>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</si>
  <si>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t>SW-R-DSG-767</t>
  </si>
  <si>
    <r>
      <rPr>
        <b/>
        <sz val="10"/>
        <rFont val="Arial"/>
        <family val="2"/>
      </rPr>
      <t>Diagram</t>
    </r>
    <r>
      <rPr>
        <sz val="10"/>
        <rFont val="Arial"/>
        <family val="2"/>
      </rPr>
      <t xml:space="preserve">
Is there a clear description (diagram/sequence/text) to explain each AAU functions role</t>
    </r>
  </si>
  <si>
    <t>SW-R-DSG-768</t>
  </si>
  <si>
    <r>
      <rPr>
        <b/>
        <sz val="10"/>
        <rFont val="Arial"/>
        <family val="2"/>
      </rPr>
      <t>Diagram</t>
    </r>
    <r>
      <rPr>
        <sz val="10"/>
        <rFont val="Arial"/>
        <family val="2"/>
      </rPr>
      <t xml:space="preserve">
Is created a function/sequence diagram for each function?</t>
    </r>
  </si>
  <si>
    <t>SW-R-DSG-769</t>
  </si>
  <si>
    <r>
      <rPr>
        <b/>
        <sz val="10"/>
        <rFont val="Arial"/>
        <family val="2"/>
      </rPr>
      <t>Interfaces</t>
    </r>
    <r>
      <rPr>
        <sz val="10"/>
        <rFont val="Arial"/>
        <family val="2"/>
      </rPr>
      <t xml:space="preserve">
Does the SW AAU design conform to the SW architecture (interfaces, namings, constraints)?</t>
    </r>
  </si>
  <si>
    <t>SW-R-DSG-770</t>
  </si>
  <si>
    <r>
      <rPr>
        <b/>
        <sz val="10"/>
        <rFont val="Arial"/>
        <family val="2"/>
      </rPr>
      <t>Design</t>
    </r>
    <r>
      <rPr>
        <sz val="10"/>
        <rFont val="Arial"/>
        <family val="2"/>
      </rPr>
      <t xml:space="preserve">
Does the SW AAU design conform to the SW requirements?</t>
    </r>
  </si>
  <si>
    <t>SW-R-DSG-771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</si>
  <si>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</si>
  <si>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SW-R-DSG-772</t>
  </si>
  <si>
    <r>
      <rPr>
        <b/>
        <sz val="10"/>
        <rFont val="Arial"/>
        <family val="2"/>
      </rPr>
      <t>Coding standard</t>
    </r>
    <r>
      <rPr>
        <sz val="10"/>
        <rFont val="Arial"/>
        <family val="2"/>
      </rPr>
      <t xml:space="preserve">
Does the SW AAU design conform to the SW coding standard ?</t>
    </r>
  </si>
  <si>
    <t>SW-R-DSG-773</t>
  </si>
  <si>
    <r>
      <rPr>
        <b/>
        <sz val="10"/>
        <rFont val="Arial"/>
        <family val="2"/>
      </rPr>
      <t>Testability</t>
    </r>
    <r>
      <rPr>
        <sz val="10"/>
        <rFont val="Arial"/>
        <family val="2"/>
      </rPr>
      <t xml:space="preserve">
Are software design requirements testable?</t>
    </r>
  </si>
  <si>
    <t>SW-R-DSG-774</t>
  </si>
  <si>
    <r>
      <rPr>
        <b/>
        <sz val="10"/>
        <rFont val="Arial"/>
        <family val="2"/>
      </rPr>
      <t>Traceability</t>
    </r>
    <r>
      <rPr>
        <sz val="10"/>
        <rFont val="Arial"/>
        <family val="2"/>
      </rPr>
      <t xml:space="preserve">
Do SW design requirements cover SW functional requirements using indirect and/or direct traceability ?</t>
    </r>
  </si>
  <si>
    <t>SW-R-DSG-775</t>
  </si>
  <si>
    <r>
      <rPr>
        <b/>
        <sz val="10"/>
        <rFont val="Arial"/>
        <family val="2"/>
      </rPr>
      <t>Consistency</t>
    </r>
    <r>
      <rPr>
        <sz val="10"/>
        <rFont val="Arial"/>
        <family val="2"/>
      </rPr>
      <t xml:space="preserve">
Is consitency of the traceability checked ?</t>
    </r>
  </si>
  <si>
    <t>SW-R-DSG-776</t>
  </si>
  <si>
    <r>
      <rPr>
        <b/>
        <sz val="10"/>
        <rFont val="Arial"/>
        <family val="2"/>
      </rPr>
      <t>Data structure</t>
    </r>
    <r>
      <rPr>
        <sz val="10"/>
        <rFont val="Arial"/>
        <family val="2"/>
      </rPr>
      <t xml:space="preserve">
Is the data structure organisation clearly defined in the AAU design including the memory location (ROM, RAM, RAM_NO_INIT, NVM ...)?</t>
    </r>
  </si>
  <si>
    <t>SW-R-DSG-777</t>
  </si>
  <si>
    <r>
      <rPr>
        <b/>
        <sz val="10"/>
        <rFont val="Arial"/>
        <family val="2"/>
      </rPr>
      <t>Variables</t>
    </r>
    <r>
      <rPr>
        <sz val="10"/>
        <rFont val="Arial"/>
        <family val="2"/>
      </rPr>
      <t xml:space="preserve">
Are shared variables protected with expected mechanisms (including initialization)?</t>
    </r>
  </si>
  <si>
    <t>SW-R-DSG-778</t>
  </si>
  <si>
    <r>
      <rPr>
        <b/>
        <sz val="10"/>
        <rFont val="Arial"/>
        <family val="2"/>
      </rPr>
      <t>Critical sections</t>
    </r>
    <r>
      <rPr>
        <sz val="10"/>
        <rFont val="Arial"/>
        <family val="2"/>
      </rPr>
      <t xml:space="preserve">
Are critical sections protected with expected mechanisms?</t>
    </r>
  </si>
  <si>
    <t>SW-R-DSG-779</t>
  </si>
  <si>
    <r>
      <rPr>
        <b/>
        <sz val="10"/>
        <rFont val="Arial"/>
        <family val="2"/>
      </rPr>
      <t>Critical data</t>
    </r>
    <r>
      <rPr>
        <sz val="10"/>
        <rFont val="Arial"/>
        <family val="2"/>
      </rPr>
      <t xml:space="preserve">
Are critical data protected with expected mechanisms?</t>
    </r>
  </si>
  <si>
    <t>SW-R-DSG-780</t>
  </si>
  <si>
    <r>
      <rPr>
        <b/>
        <sz val="10"/>
        <rFont val="Arial"/>
        <family val="2"/>
      </rPr>
      <t>MCU constraints</t>
    </r>
    <r>
      <rPr>
        <sz val="10"/>
        <rFont val="Arial"/>
        <family val="2"/>
      </rPr>
      <t xml:space="preserve">
Does the SW AAU design take into account the MCU resources constraints?</t>
    </r>
  </si>
  <si>
    <t>SW-R-DSG-781</t>
  </si>
  <si>
    <r>
      <rPr>
        <b/>
        <sz val="10"/>
        <rFont val="Arial"/>
        <family val="2"/>
      </rPr>
      <t>Dynamic behaviour</t>
    </r>
    <r>
      <rPr>
        <sz val="10"/>
        <rFont val="Arial"/>
        <family val="2"/>
      </rPr>
      <t xml:space="preserve">
Is the behaviour of the AAU properly described in each System phase (start-up, shutdow, limp mode)?</t>
    </r>
  </si>
  <si>
    <t>SW-R-COD-782</t>
  </si>
  <si>
    <r>
      <rPr>
        <b/>
        <sz val="10"/>
        <rFont val="Arial"/>
        <family val="2"/>
      </rPr>
      <t>Coding standard</t>
    </r>
    <r>
      <rPr>
        <sz val="10"/>
        <rFont val="Arial"/>
        <family val="2"/>
      </rPr>
      <t xml:space="preserve">
Does the SW AAU Code conform to the SW coding standard ?</t>
    </r>
  </si>
  <si>
    <t>SW-R-COD-784</t>
  </si>
  <si>
    <r>
      <rPr>
        <b/>
        <sz val="10"/>
        <rFont val="Arial"/>
        <family val="2"/>
      </rPr>
      <t>Design</t>
    </r>
    <r>
      <rPr>
        <sz val="10"/>
        <rFont val="Arial"/>
        <family val="2"/>
      </rPr>
      <t xml:space="preserve">
Is the SW Code compliant with design (namings, functions, variables, logic, …) ?</t>
    </r>
  </si>
  <si>
    <t>SW-R-COD-785</t>
  </si>
  <si>
    <r>
      <rPr>
        <b/>
        <sz val="10"/>
        <rFont val="Arial"/>
        <family val="2"/>
      </rPr>
      <t>Data structure</t>
    </r>
    <r>
      <rPr>
        <sz val="10"/>
        <rFont val="Arial"/>
        <family val="2"/>
      </rPr>
      <t xml:space="preserve">
Is Data structure organized in RAM (alignment, padding,..) verified?</t>
    </r>
  </si>
  <si>
    <t>SW-R-COD-786</t>
  </si>
  <si>
    <r>
      <rPr>
        <b/>
        <sz val="10"/>
        <rFont val="Arial"/>
        <family val="2"/>
      </rPr>
      <t>Comments</t>
    </r>
    <r>
      <rPr>
        <sz val="10"/>
        <rFont val="Arial"/>
        <family val="2"/>
      </rPr>
      <t xml:space="preserve">
Are the comments sufficient for comprehensibility?</t>
    </r>
  </si>
  <si>
    <t>SW-R-COD-787</t>
  </si>
  <si>
    <r>
      <rPr>
        <b/>
        <sz val="10"/>
        <rFont val="Arial"/>
        <family val="2"/>
      </rPr>
      <t>Execution</t>
    </r>
    <r>
      <rPr>
        <sz val="10"/>
        <rFont val="Arial"/>
        <family val="2"/>
      </rPr>
      <t xml:space="preserve">
Are SW loops (for, while) protected against infinite execution?</t>
    </r>
  </si>
  <si>
    <t>SW-R-COD-788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</si>
  <si>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</si>
  <si>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</si>
  <si>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</si>
  <si>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</si>
  <si>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</si>
  <si>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</si>
  <si>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</si>
  <si>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SW-R-COD-792</t>
  </si>
  <si>
    <r>
      <rPr>
        <b/>
        <sz val="10"/>
        <rFont val="Arial"/>
        <family val="2"/>
      </rPr>
      <t>Stack</t>
    </r>
    <r>
      <rPr>
        <sz val="10"/>
        <rFont val="Arial"/>
        <family val="2"/>
      </rPr>
      <t xml:space="preserve">
Are the impacts on stack size been considered ?</t>
    </r>
  </si>
  <si>
    <t>XX-R-INT-793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</si>
  <si>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</si>
  <si>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XX-R-INT-794</t>
  </si>
  <si>
    <r>
      <rPr>
        <b/>
        <sz val="10"/>
        <rFont val="Arial"/>
        <family val="2"/>
      </rPr>
      <t>Execution time</t>
    </r>
    <r>
      <rPr>
        <sz val="10"/>
        <rFont val="Arial"/>
        <family val="2"/>
      </rPr>
      <t xml:space="preserve">
Is the maximum execution time of functions called during initialization (before nominal OS execution) tested?</t>
    </r>
  </si>
  <si>
    <t>XX-R-INT-795</t>
  </si>
  <si>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</si>
  <si>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SW-R-UV-796</t>
  </si>
  <si>
    <r>
      <rPr>
        <b/>
        <sz val="10"/>
        <rFont val="Arial"/>
        <family val="2"/>
      </rPr>
      <t>Traceability</t>
    </r>
    <r>
      <rPr>
        <sz val="10"/>
        <rFont val="Arial"/>
        <family val="2"/>
      </rPr>
      <t xml:space="preserve">
Are all software design requirements covered by the SW unit test cases according with the plan?</t>
    </r>
  </si>
  <si>
    <t>SW-R-UV-797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</si>
  <si>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</si>
  <si>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SW-R-UV-798</t>
  </si>
  <si>
    <t>SW-R-UV-799</t>
  </si>
  <si>
    <r>
      <rPr>
        <b/>
        <sz val="10"/>
        <rFont val="Arial"/>
        <family val="2"/>
      </rPr>
      <t>RAM, ROM consuption</t>
    </r>
    <r>
      <rPr>
        <sz val="10"/>
        <rFont val="Arial"/>
        <family val="2"/>
      </rPr>
      <t xml:space="preserve">
Is the RAM and ROM consumption measured and conform to the budgets?
(at AAU level "in product environnement, on target board")</t>
    </r>
  </si>
  <si>
    <t>SW-R-UV-800</t>
  </si>
  <si>
    <r>
      <rPr>
        <b/>
        <sz val="10"/>
        <rFont val="Arial"/>
        <family val="2"/>
      </rPr>
      <t>Shared variables</t>
    </r>
    <r>
      <rPr>
        <sz val="10"/>
        <rFont val="Arial"/>
        <family val="2"/>
      </rPr>
      <t xml:space="preserve">
Are shared variables (existing in AAU scope only) and critical sections tested?
(at AAU level "in product environnement, on target board")</t>
    </r>
  </si>
  <si>
    <t>SW-R-UV-801</t>
  </si>
  <si>
    <r>
      <rPr>
        <b/>
        <sz val="10"/>
        <rFont val="Arial"/>
        <family val="2"/>
      </rPr>
      <t>Out of bounds</t>
    </r>
    <r>
      <rPr>
        <sz val="10"/>
        <rFont val="Arial"/>
        <family val="2"/>
      </rPr>
      <t xml:space="preserve">
Are out of bounds access (array, pointer) tested?</t>
    </r>
  </si>
  <si>
    <t>SW-R-UV-802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</si>
  <si>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environnement, on target board")</t>
    </r>
  </si>
  <si>
    <t>SW-R-UV-803</t>
  </si>
  <si>
    <r>
      <rPr>
        <b/>
        <sz val="10"/>
        <rFont val="Arial"/>
        <family val="2"/>
      </rPr>
      <t>Structural coverage</t>
    </r>
    <r>
      <rPr>
        <sz val="10"/>
        <rFont val="Arial"/>
        <family val="2"/>
      </rPr>
      <t xml:space="preserve">
Are the structural coverage targets respected?</t>
    </r>
  </si>
  <si>
    <t>SW-R-COD-916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</si>
  <si>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</si>
  <si>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SW-R-COD-917</t>
  </si>
  <si>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</si>
  <si>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</si>
  <si>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</si>
  <si>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</si>
  <si>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</si>
  <si>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</si>
  <si>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</si>
  <si>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Name - Version</t>
  </si>
  <si>
    <t>Mihai Ianos</t>
  </si>
  <si>
    <t>254888 DAIMLER MER W174W178 EL SB</t>
  </si>
  <si>
    <t>SW-R-COD-783-1</t>
  </si>
  <si>
    <r>
      <rPr>
        <b/>
        <sz val="10"/>
        <rFont val="Arial"/>
        <family val="2"/>
      </rPr>
      <t>Static analysis</t>
    </r>
    <r>
      <rPr>
        <sz val="10"/>
        <rFont val="Arial"/>
        <family val="2"/>
      </rPr>
      <t xml:space="preserve">
Is static analysis performed and all findings adressed?</t>
    </r>
  </si>
  <si>
    <t>SW-R-COD-783-2</t>
  </si>
  <si>
    <r>
      <rPr>
        <b/>
        <sz val="10"/>
        <rFont val="Arial"/>
        <family val="2"/>
      </rPr>
      <t>Static analysis</t>
    </r>
    <r>
      <rPr>
        <sz val="10"/>
        <rFont val="Arial"/>
        <family val="2"/>
      </rPr>
      <t xml:space="preserve">
Are the Level 4 to Level 7 findings correctly and completley justified? (intended behavior, benefit or tooling constraint)</t>
    </r>
  </si>
  <si>
    <t>ERH - Peer Review Workbook</t>
  </si>
  <si>
    <t>ERH - Peer Review Workbook (PRWB).xlsm</t>
  </si>
  <si>
    <t>08.09.2022</t>
  </si>
  <si>
    <t>Ciprian Galbau</t>
  </si>
  <si>
    <t>ERH - Software Integration Test Specification Report.xlsm</t>
  </si>
  <si>
    <t>No findings</t>
  </si>
  <si>
    <t>SDD</t>
  </si>
  <si>
    <t>09.09.2022</t>
  </si>
  <si>
    <t>Stefan Dominte</t>
  </si>
  <si>
    <t>1.1.5.2</t>
  </si>
  <si>
    <t>Update the header with the correct revision.</t>
  </si>
  <si>
    <t>Remove the Tables of figures from CIL module.</t>
  </si>
  <si>
    <t>Add missing variables.</t>
  </si>
  <si>
    <t>Add missing defines.</t>
  </si>
  <si>
    <t>Add missing functions and create diagrams for all functions.</t>
  </si>
  <si>
    <t>Add missing types.</t>
  </si>
  <si>
    <t>Add linked runnable to DSG_ERH_00021 and DSG_ERH_00022 requirements.</t>
  </si>
  <si>
    <t xml:space="preserve"> ERH -Detailed Design Document.docx</t>
  </si>
  <si>
    <t xml:space="preserve"> ERH -Detailed Design Document.docx 1.1.5.2</t>
  </si>
  <si>
    <t>ERH - Unit test</t>
  </si>
  <si>
    <t>ERH.tmb</t>
  </si>
  <si>
    <t>ERH.tmb - 1.1</t>
  </si>
  <si>
    <t>ERH - Software Integration Test Specification Report.xlsm - 1.1</t>
  </si>
  <si>
    <t>13.09.2022</t>
  </si>
  <si>
    <t>ERH.c 1.2.11.7</t>
  </si>
  <si>
    <t xml:space="preserve">ERH.c </t>
  </si>
  <si>
    <t>1.2.11.7</t>
  </si>
  <si>
    <t>Add treaceability to design.</t>
  </si>
  <si>
    <t>Modify the applicable version of the template for the file including the correct comments for function/variables/defines.</t>
  </si>
  <si>
    <t>Remove unused define ERH_CALIBRATION_START_ADDRESS</t>
  </si>
  <si>
    <t xml:space="preserve">ERH_cfg_public.h </t>
  </si>
  <si>
    <t>1.1.14.1</t>
  </si>
  <si>
    <t>Remove unused define KU16_CONVERT_US_TO_MS_DIVISION_FACTOR</t>
  </si>
  <si>
    <t>Change the magic number at 222 line to KU8_ZERO define.</t>
  </si>
  <si>
    <t>In ERH_Init function change the DO .. WHILE logic by setting the corresponding value for u8GroupBitPosition variable.</t>
  </si>
  <si>
    <t>Alexandru Paval</t>
  </si>
  <si>
    <t>ERH - Code</t>
  </si>
  <si>
    <t>ERH_cfg_public.h  - 1.1.14.1</t>
  </si>
  <si>
    <t>1.2.11.15</t>
  </si>
  <si>
    <t>Madalina Serban</t>
  </si>
  <si>
    <t>Change the magic number at line 232 to KU8_ZERO define</t>
  </si>
  <si>
    <t>Change the magic number at line 1379 to KU8_ONE define</t>
  </si>
  <si>
    <t>ERH-Code</t>
  </si>
  <si>
    <t>18.11.2022</t>
  </si>
  <si>
    <t>ERH.c 1.2.11.15</t>
  </si>
  <si>
    <t>Add traceability for erh_ManageAECCommand, ERH_runGetAecNvpBlockRecordingStatus, ERH_runSetAecEvent, ERH_runGetAecDeskillThrs functions</t>
  </si>
  <si>
    <t>Mirela Obada</t>
  </si>
  <si>
    <t>No more applicable</t>
  </si>
  <si>
    <t>Define removed</t>
  </si>
  <si>
    <t>Template updated</t>
  </si>
  <si>
    <t>Traceability added</t>
  </si>
  <si>
    <t>Header updated</t>
  </si>
  <si>
    <t>Table removed</t>
  </si>
  <si>
    <t>Diagrams added</t>
  </si>
  <si>
    <t>Will be fixed</t>
  </si>
  <si>
    <t>1.1.5.6</t>
  </si>
  <si>
    <t>Add tables of figures.</t>
  </si>
  <si>
    <t>Update the services number 10 to 14.</t>
  </si>
  <si>
    <t>Delete the braces after erh_ManageFailedCounterEvent service.</t>
  </si>
  <si>
    <t>Update the u8AecIdentifier max value in the ERH_runGetAecSt function.</t>
  </si>
  <si>
    <t>Update ERH_runGetAecGroupStatus function prototype.</t>
  </si>
  <si>
    <t>Remove unnecessary comment from erh_ManagePassedCounterEvent, erh_UpdateGroup diagrams : "COVERS".</t>
  </si>
  <si>
    <t>Update u8Command parameter description from ERH_runSetAecEvent  function.</t>
  </si>
  <si>
    <t>Update erh_au8GroupCounter variable description.</t>
  </si>
  <si>
    <t>Remove KU16_CONVERT_US_TO_MS_DIVISION_FACTOR and ERH_CALIBRATION_START_ADDRESS defines.</t>
  </si>
  <si>
    <t>21.11.2022</t>
  </si>
  <si>
    <t xml:space="preserve"> ERH -Detailed Design Document.docx 1.1.5.6</t>
  </si>
  <si>
    <t>Table added</t>
  </si>
  <si>
    <t>Update done</t>
  </si>
  <si>
    <t>Figures updated</t>
  </si>
  <si>
    <t>Value updated</t>
  </si>
  <si>
    <t>Prototype updated</t>
  </si>
  <si>
    <t>Parameter description updated</t>
  </si>
  <si>
    <t>Defines removed</t>
  </si>
  <si>
    <t>1.1.5.7</t>
  </si>
  <si>
    <t xml:space="preserve"> ERH -Detailed Design Document.docx 1.1.5.7</t>
  </si>
  <si>
    <t>23.11.2022</t>
  </si>
  <si>
    <t>1.2.11.16</t>
  </si>
  <si>
    <t>ERH.C 1.2.11.16</t>
  </si>
  <si>
    <t>Vlad Chioveanu</t>
  </si>
  <si>
    <t>Albu Cornel</t>
  </si>
  <si>
    <t>ERH.tmb - 1.2</t>
  </si>
  <si>
    <t>09.12.2022</t>
  </si>
  <si>
    <t>ERH.can</t>
  </si>
  <si>
    <t>12.12.2022</t>
  </si>
  <si>
    <t>ERH.can -c 1.1</t>
  </si>
  <si>
    <t>SW_Int_ERH_checkAEC_01.txt</t>
  </si>
  <si>
    <t>SW_Int_ERH_checkAEC_02.txt</t>
  </si>
  <si>
    <t>SW_Int_ERH_deskillStatus_001.txt</t>
  </si>
  <si>
    <t>SW_Int_ERH_checkAEC_01.txt -v1.1</t>
  </si>
  <si>
    <t>SW_Int_ERH_checkAEC_02.txt -v1.1</t>
  </si>
  <si>
    <t>SW_Int_ERH_deskillStatus_001.txt -v1.1</t>
  </si>
  <si>
    <t>27.01.2023</t>
  </si>
  <si>
    <t>1.1.5.9</t>
  </si>
  <si>
    <t>Update table of figures.</t>
  </si>
  <si>
    <t>Update the value of KU8_NUMBER_OF_GROUPS and ERH_KU8_NUMBER_OF_AEC defines.</t>
  </si>
  <si>
    <t>Add tracebility for ARCH_SW_ERH_0037 - ARCH_SW_ERH_0048 requirements.</t>
  </si>
  <si>
    <t>Add traceability for ARCH_SW_ERH_0081 requimrent.</t>
  </si>
  <si>
    <t>14.02.2023</t>
  </si>
  <si>
    <t xml:space="preserve"> ERH -Detailed Design Document.docx 1.1.5.9</t>
  </si>
  <si>
    <t>1.2.11.25</t>
  </si>
  <si>
    <t>ERH.c 1.2.11.25</t>
  </si>
  <si>
    <t>Add traceabilty to missing design requirements.</t>
  </si>
  <si>
    <t>2023 02</t>
  </si>
  <si>
    <t>Code</t>
  </si>
  <si>
    <t>15.02.2023</t>
  </si>
  <si>
    <t>1.1.5.10</t>
  </si>
  <si>
    <t xml:space="preserve"> ERH -Detailed Design Document.docx 1.1.5.10</t>
  </si>
  <si>
    <t>16.02.2023</t>
  </si>
  <si>
    <t>ERH.tmb - 1.3</t>
  </si>
  <si>
    <t>Desk Check</t>
  </si>
  <si>
    <t>Victor Popina</t>
  </si>
  <si>
    <t>C0 and C1 coverage not 100%</t>
  </si>
  <si>
    <t>traceability not covering all ATM detailed design</t>
  </si>
  <si>
    <t>Fixed on 1.4</t>
  </si>
  <si>
    <t>Alexandru Nastase</t>
  </si>
  <si>
    <t>ERH.tmb - 1.4</t>
  </si>
  <si>
    <t>ERH.tmb - v1.4</t>
  </si>
  <si>
    <t>07.03.2023</t>
  </si>
  <si>
    <t>Andreea Negrea</t>
  </si>
  <si>
    <t>In ERH_Init diagram , when checking qualified status bit from NVP and store EVER qualified in AEC status , Threshold for qualification and deskilling should not be saved and also the group should not be updated.</t>
  </si>
  <si>
    <t xml:space="preserve"> ERH - Detailed Design Document.docx</t>
  </si>
  <si>
    <t>1.1.5.11</t>
  </si>
  <si>
    <t>08.03.2023</t>
  </si>
  <si>
    <t xml:space="preserve"> ERH -Detailed Design Document.docx 1.1.5.11</t>
  </si>
  <si>
    <t>1.2.11.29</t>
  </si>
  <si>
    <t>Please update comment for line 1019. It is stored ever qualified bit.</t>
  </si>
  <si>
    <t>ERH.c 1.2.11.29</t>
  </si>
  <si>
    <t>Comment updated</t>
  </si>
  <si>
    <t xml:space="preserve">Fix done., </t>
  </si>
  <si>
    <t>1.1.5.12</t>
  </si>
  <si>
    <t>1.2.11.30</t>
  </si>
  <si>
    <t xml:space="preserve"> ERH -Detailed Design Document.docx 1.1.5.12</t>
  </si>
  <si>
    <t>ERH.c 1.2.11.30</t>
  </si>
  <si>
    <t>SW_Int_ERH_AEC_status_02.txt</t>
  </si>
  <si>
    <t>SW_Int_ERH_CheckAecId_01.txt</t>
  </si>
  <si>
    <t>SW_Int_ERH_END_OF_LIFE_COMFORT_01.txt</t>
  </si>
  <si>
    <t>SW_Int_ERH_END_OF_LIFE_HIGH_02.txt</t>
  </si>
  <si>
    <t>SW_Int_ERH_END_OF_LIFE_MAX_FORCE_01.txt</t>
  </si>
  <si>
    <t>SW_Int_ERH_GROUP_MASK_HARDWARE_01.txt</t>
  </si>
  <si>
    <t>SW_Int_ERH_HW_SELF_PROTECTION_01.txt</t>
  </si>
  <si>
    <t>SW_Int_ERH_IMPLAUSIBLE_DATA_BUCKLE_01.txt</t>
  </si>
  <si>
    <t>SW_Int_ERH_IMPLAUSIBLE_DATA_IGNITION_01.txt</t>
  </si>
  <si>
    <t>SW_Int_ERH_IMPLAUSIBLE_DATA_POWERTRAIN_01.txt</t>
  </si>
  <si>
    <t>SW_Int_ERH_IMPLAUSIBLE_DATA_PRESAFE_01.txt</t>
  </si>
  <si>
    <t>SW_Int_ERH_MOTOR_DISCONNECTED_01.txt</t>
  </si>
  <si>
    <t>SW_Int_ERH_OVO_POWER_01.txt</t>
  </si>
  <si>
    <t>SW_Int_ERH_ResetAllAECStatus_01.txt</t>
  </si>
  <si>
    <t>SW_Int_ERH_runGetAecStatus_01.txt</t>
  </si>
  <si>
    <t>SW_Int_ERH_STEERING_CONFIG_01.txt</t>
  </si>
  <si>
    <t>SW_Int_ERH_SYSTEM_OV_01.txt</t>
  </si>
  <si>
    <t>SW_Int_ERH_SYSTEM_UV_01.txt</t>
  </si>
  <si>
    <t>SW_Int_ERH_TIMEOUT_BLTHD_L_01.txt</t>
  </si>
  <si>
    <t>SW_Int_ERH_TIMEOUT_BLTHD_R_01.txt</t>
  </si>
  <si>
    <t>SW_Int_ERH_TIMEOUT_BUCKLE_01.txt</t>
  </si>
  <si>
    <t>SW_Int_ERH_TIMEOUT_POWERTRAIN_01.txt</t>
  </si>
  <si>
    <t>SW_Int_ERH_TIMEOUT_PRESAFE_01.txt</t>
  </si>
  <si>
    <t>SW_Int_ERH_UVO_POWER_01.txt</t>
  </si>
  <si>
    <t>SW_Int_ERH_UVO_TENSIONING_POWER_01.txt</t>
  </si>
  <si>
    <t>SW_Int_ERH_UVO_TENSIONING_POWER_02.txt</t>
  </si>
  <si>
    <t>ARCH_SW_ERH_0070 not consistent in action section</t>
  </si>
  <si>
    <t>ARCH_SW_ERH_0001 not consistent in action section</t>
  </si>
  <si>
    <t>SW_Int_ERH_AEC_status_02.txt - v1.1
SW_Int_ERH_CheckAecId_01.txt - v1.1
SW_Int_ERH_checkAEC_01.txt - v1.1
SW_Int_ERH_checkAEC_02.txt - v1.1
SW_Int_ERH_END_OF_LIFE_COMFORT_01.txt - v1.1
SW_Int_ERH_END_OF_LIFE_HIGH_02.txt - v1.1
SW_Int_ERH_END_OF_LIFE_MAX_FORCE_01.txt - v1.1
SW_Int_ERH_GROUP_MASK_HARDWARE_01.txt - v1.1
SW_Int_ERH_HW_SELF_PROTECTION_01.txt - v1.1
SW_Int_ERH_IMPLAUSIBLE_DATA_BUCKLE_01.txt - v1.1
SW_Int_ERH_IMPLAUSIBLE_DATA_IGNITION_01.txt - v1.1
SW_Int_ERH_IMPLAUSIBLE_DATA_POWERTRAIN_01.txt - v1.1
SW_Int_ERH_IMPLAUSIBLE_DATA_PRESAFE_01.txt - v1.1
SW_Int_ERH_MOTOR_DISCONNECTED_01.txt - v1.1
SW_Int_ERH_OVO_POWER_01.txt - v1.1
SW_Int_ERH_ResetAllAECStatus_01.txt - v1.1
SW_Int_ERH_runGetAecStatus_01.txt - v1.1
SW_Int_ERH_STEERING_CONFIG_01.txt - v1.1
SW_Int_ERH_SYSTEM_OV_01.txt - v1.1
SW_Int_ERH_SYSTEM_UV_01.txt - v1.1
SW_Int_ERH_TIMEOUT_BLTHD_L_01.txt - v1.1
SW_Int_ERH_TIMEOUT_BLTHD_R_01.txt - v1.1
SW_Int_ERH_TIMEOUT_BUCKLE_01.txt - v1.1
SW_Int_ERH_TIMEOUT_POWERTRAIN_01.txt - v1.1
SW_Int_ERH_TIMEOUT_PRESAFE_01.txt - v1.1
SW_Int_ERH_UVO_POWER_01.txt - v1.1
SW_Int_ERH_UVO_TENSIONING_POWER_01.txt - v1.1
SW_Int_ERH_UVO_TENSIONING_POWER_02.txt - v1.1</t>
  </si>
  <si>
    <t>SW_Int_ERH_AEC_status_02.txt - v1.1</t>
  </si>
  <si>
    <t>SW_Int_ERH_CheckAecId_01.txt - v1.1</t>
  </si>
  <si>
    <t>SW_Int_ERH_checkAEC_01.txt - v1.1</t>
  </si>
  <si>
    <t>SW_Int_ERH_checkAEC_02.txt - v1.1</t>
  </si>
  <si>
    <t>SW_Int_ERH_END_OF_LIFE_COMFORT_01.txt - v1.1</t>
  </si>
  <si>
    <t>SW_Int_ERH_END_OF_LIFE_HIGH_02.txt - v1.1</t>
  </si>
  <si>
    <t>SW_Int_ERH_END_OF_LIFE_MAX_FORCE_01.txt - v1.1</t>
  </si>
  <si>
    <t>SW_Int_ERH_GROUP_MASK_HARDWARE_01.txt - v1.1</t>
  </si>
  <si>
    <t>SW_Int_ERH_HW_SELF_PROTECTION_01.txt - v1.1</t>
  </si>
  <si>
    <t>SW_Int_ERH_IMPLAUSIBLE_DATA_BUCKLE_01.txt - v1.1</t>
  </si>
  <si>
    <t>SW_Int_ERH_IMPLAUSIBLE_DATA_IGNITION_01.txt - v1.1</t>
  </si>
  <si>
    <t>SW_Int_ERH_IMPLAUSIBLE_DATA_POWERTRAIN_01.txt - v1.1</t>
  </si>
  <si>
    <t>SW_Int_ERH_IMPLAUSIBLE_DATA_PRESAFE_01.txt - v1.1</t>
  </si>
  <si>
    <t>SW_Int_ERH_MOTOR_DISCONNECTED_01.txt - v1.1</t>
  </si>
  <si>
    <t>SW_Int_ERH_OVO_POWER_01.txt - v1.1</t>
  </si>
  <si>
    <t>SW_Int_ERH_ResetAllAECStatus_01.txt - v1.1</t>
  </si>
  <si>
    <t>SW_Int_ERH_runGetAecStatus_01.txt - v1.1</t>
  </si>
  <si>
    <t>SW_Int_ERH_STEERING_CONFIG_01.txt - v1.1</t>
  </si>
  <si>
    <t>SW_Int_ERH_SYSTEM_OV_01.txt - v1.1</t>
  </si>
  <si>
    <t>SW_Int_ERH_SYSTEM_UV_01.txt - v1.1</t>
  </si>
  <si>
    <t>SW_Int_ERH_TIMEOUT_BLTHD_L_01.txt - v1.1</t>
  </si>
  <si>
    <t>SW_Int_ERH_TIMEOUT_BLTHD_R_01.txt - v1.1</t>
  </si>
  <si>
    <t>SW_Int_ERH_TIMEOUT_BUCKLE_01.txt - v1.1</t>
  </si>
  <si>
    <t>SW_Int_ERH_TIMEOUT_POWERTRAIN_01.txt - v1.1</t>
  </si>
  <si>
    <t>SW_Int_ERH_TIMEOUT_PRESAFE_01.txt - v1.1</t>
  </si>
  <si>
    <t>SW_Int_ERH_UVO_POWER_01.txt - v1.1</t>
  </si>
  <si>
    <t>SW_Int_ERH_UVO_TENSIONING_POWER_01.txt - v1.1</t>
  </si>
  <si>
    <t>SW_Int_ERH_UVO_TENSIONING_POWER_02.txt - v1.1</t>
  </si>
  <si>
    <t>Fixed on 1.3</t>
  </si>
  <si>
    <t>Fixed on 1.2</t>
  </si>
  <si>
    <t>Robert Hadadea</t>
  </si>
  <si>
    <t>ERH.tmb - v1.5</t>
  </si>
  <si>
    <t>20.04.2023</t>
  </si>
  <si>
    <t>ERH.tmb - 1.5</t>
  </si>
  <si>
    <t>02.05.2023</t>
  </si>
  <si>
    <t>1.2.11.32</t>
  </si>
  <si>
    <t>ERH.c - 1.2.11.32</t>
  </si>
  <si>
    <t>09.05.2023</t>
  </si>
  <si>
    <t>1.1.5.15</t>
  </si>
  <si>
    <t xml:space="preserve"> ERH -Detailed Design Document.docx 1.1.5.15</t>
  </si>
  <si>
    <t>15.05.2023</t>
  </si>
  <si>
    <t>1.1.5.16</t>
  </si>
  <si>
    <t xml:space="preserve"> ERH -Detailed Design Document.docx 1.1.5.16</t>
  </si>
  <si>
    <t>23.05.2023</t>
  </si>
  <si>
    <t>V. Popina</t>
  </si>
  <si>
    <t>Adina Macaveiu</t>
  </si>
  <si>
    <t>ERH.tmb - 1.6</t>
  </si>
  <si>
    <t>1.2.11.35</t>
  </si>
  <si>
    <t>ERH.c - 1.2.11.35</t>
  </si>
  <si>
    <t>15.06.2023</t>
  </si>
  <si>
    <t>22.06.2023</t>
  </si>
  <si>
    <t>ERH.tmb - 1.7</t>
  </si>
  <si>
    <t>1.1.5.18</t>
  </si>
  <si>
    <t xml:space="preserve"> ERH -Detailed Design Document.docx 1.1.5.18</t>
  </si>
  <si>
    <t>AEC_calibration.c</t>
  </si>
  <si>
    <t>1.20.1.18</t>
  </si>
  <si>
    <t>AEC_calibration.c - 1.20.1.18</t>
  </si>
  <si>
    <t>1.20.1.20</t>
  </si>
  <si>
    <t>Qac file version is not showing. Maybe a tool problem.</t>
  </si>
  <si>
    <t>AEC_calibration.c - 1.20.1.20</t>
  </si>
  <si>
    <t>1.1.5.20</t>
  </si>
  <si>
    <t>DSG_ERH_00035 and DSG_ERH_00036 shall be rephrased. ERH doesn't read the status for ignition cycle , it reads tha flag that signals if ignition counter can be started or not.</t>
  </si>
  <si>
    <t>DSG_ERH_00037 shall be reprased to clearly set the variable used for counter.</t>
  </si>
  <si>
    <t>Description for "Counter for debounce before start of Ign cycle" is not accurate. It is confusing what this counter is used for.</t>
  </si>
  <si>
    <t>Rte_Read_prrIgnitionStatus_b8TriggerIgnitionStatus shall be used instead of Rte_Read_ERH_AC_ErrorHandler_prrIgnitionStatus_b8TriggerIgnitionStatus</t>
  </si>
  <si>
    <t>ERH.c</t>
  </si>
  <si>
    <t>1.2.11.45</t>
  </si>
  <si>
    <t>QAC shall be updated</t>
  </si>
  <si>
    <t xml:space="preserve"> ERH -Detailed Design Document.docx 1.1.5.20</t>
  </si>
  <si>
    <t>ERH.c - 1.2.11.45</t>
  </si>
  <si>
    <t>1.1.5.21</t>
  </si>
  <si>
    <t xml:space="preserve"> ERH -Detailed Design Document.docx 1.1.5.21</t>
  </si>
  <si>
    <t>10.09.2023</t>
  </si>
  <si>
    <t>ERH.tmb - 1.8</t>
  </si>
  <si>
    <t>1.2.11.46</t>
  </si>
  <si>
    <t>ERH.c - 1.2.11.46</t>
  </si>
  <si>
    <t>QAC to be updated</t>
  </si>
  <si>
    <t>27.10.2023</t>
  </si>
  <si>
    <t xml:space="preserve"> ERH -Detailed Design Document.docx 1.1.5.23</t>
  </si>
  <si>
    <t>1.1.5.23</t>
  </si>
  <si>
    <t>Tudor Gligor</t>
  </si>
  <si>
    <t>1.2.11.62</t>
  </si>
  <si>
    <t>ERH.c - 1.2.11.62</t>
  </si>
  <si>
    <t>28.02.2024</t>
  </si>
  <si>
    <t>ERH.tmb - 1.9</t>
  </si>
  <si>
    <t>1.2.11.62.1.5</t>
  </si>
  <si>
    <t>ERH.c - 1.2.11.62.1.5</t>
  </si>
  <si>
    <t>Code optimization to be removed</t>
  </si>
  <si>
    <t>1.1.5.24</t>
  </si>
  <si>
    <t xml:space="preserve"> ERH -Detailed Design Document.docx 1.1.5.24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</si>
</sst>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2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i/>
      <sz val="10"/>
      <color theme="0"/>
      <name val="Arial"/>
      <family val="2"/>
    </font>
  </fonts>
  <fills count="3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78" fillId="6" borderId="14" applyNumberFormat="0" applyAlignment="0" applyProtection="0"/>
    <xf numFmtId="0" fontId="79" fillId="0" borderId="0" applyNumberFormat="0" applyFill="0" applyBorder="0" applyAlignment="0" applyProtection="0"/>
    <xf numFmtId="0" fontId="46" fillId="0" borderId="0"/>
    <xf numFmtId="0" fontId="73" fillId="0" borderId="0"/>
    <xf numFmtId="0" fontId="77" fillId="0" borderId="0"/>
    <xf numFmtId="0" fontId="46" fillId="0" borderId="0"/>
    <xf numFmtId="0" fontId="53" fillId="0" borderId="0"/>
    <xf numFmtId="0" fontId="81" fillId="6" borderId="15" applyNumberFormat="0" applyAlignment="0" applyProtection="0"/>
    <xf numFmtId="0" fontId="45" fillId="0" borderId="0"/>
    <xf numFmtId="0" fontId="44" fillId="0" borderId="0"/>
    <xf numFmtId="0" fontId="43" fillId="0" borderId="0"/>
    <xf numFmtId="0" fontId="106" fillId="25" borderId="14" applyNumberFormat="0" applyAlignment="0" applyProtection="0"/>
    <xf numFmtId="0" fontId="107" fillId="26" borderId="0" applyNumberFormat="0" applyBorder="0" applyAlignment="0" applyProtection="0"/>
    <xf numFmtId="0" fontId="42" fillId="27" borderId="0" applyNumberFormat="0" applyBorder="0" applyAlignment="0" applyProtection="0"/>
    <xf numFmtId="0" fontId="46" fillId="0" borderId="0"/>
    <xf numFmtId="0" fontId="41" fillId="27" borderId="0" applyNumberFormat="0" applyBorder="0" applyAlignment="0" applyProtection="0"/>
    <xf numFmtId="0" fontId="40" fillId="27" borderId="0" applyNumberFormat="0" applyBorder="0" applyAlignment="0" applyProtection="0"/>
    <xf numFmtId="0" fontId="39" fillId="27" borderId="0" applyNumberFormat="0" applyBorder="0" applyAlignment="0" applyProtection="0"/>
    <xf numFmtId="0" fontId="38" fillId="27" borderId="0" applyNumberFormat="0" applyBorder="0" applyAlignment="0" applyProtection="0"/>
    <xf numFmtId="0" fontId="37" fillId="27" borderId="0" applyNumberFormat="0" applyBorder="0" applyAlignment="0" applyProtection="0"/>
    <xf numFmtId="0" fontId="36" fillId="27" borderId="0" applyNumberFormat="0" applyBorder="0" applyAlignment="0" applyProtection="0"/>
    <xf numFmtId="0" fontId="35" fillId="27" borderId="0" applyNumberFormat="0" applyBorder="0" applyAlignment="0" applyProtection="0"/>
    <xf numFmtId="0" fontId="34" fillId="27" borderId="0" applyNumberFormat="0" applyBorder="0" applyAlignment="0" applyProtection="0"/>
    <xf numFmtId="0" fontId="33" fillId="27" borderId="0" applyNumberFormat="0" applyBorder="0" applyAlignment="0" applyProtection="0"/>
    <xf numFmtId="0" fontId="32" fillId="27" borderId="0" applyNumberFormat="0" applyBorder="0" applyAlignment="0" applyProtection="0"/>
    <xf numFmtId="0" fontId="31" fillId="27" borderId="0" applyNumberFormat="0" applyBorder="0" applyAlignment="0" applyProtection="0"/>
    <xf numFmtId="0" fontId="30" fillId="0" borderId="0"/>
    <xf numFmtId="0" fontId="29" fillId="27" borderId="0" applyNumberFormat="0" applyBorder="0" applyAlignment="0" applyProtection="0"/>
    <xf numFmtId="0" fontId="28" fillId="27" borderId="0" applyNumberFormat="0" applyBorder="0" applyAlignment="0" applyProtection="0"/>
    <xf numFmtId="0" fontId="126" fillId="0" borderId="0" applyNumberFormat="0" applyFill="0" applyBorder="0" applyAlignment="0" applyProtection="0"/>
  </cellStyleXfs>
  <cellXfs count="323">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47" fillId="3" borderId="12" xfId="0" applyFont="1" applyFill="1" applyBorder="1" applyAlignment="1">
      <alignment horizontal="center" wrapText="1"/>
    </xf>
    <xf numFmtId="0" fontId="0" fillId="2" borderId="0" xfId="0" applyFill="1" applyAlignment="1">
      <alignment horizontal="center"/>
    </xf>
    <xf numFmtId="0" fontId="47"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46" fillId="0" borderId="1" xfId="0" applyFont="1" applyBorder="1" applyAlignment="1">
      <alignment vertical="center" wrapText="1"/>
    </xf>
    <xf numFmtId="0" fontId="46" fillId="3" borderId="1" xfId="0" applyFont="1" applyFill="1" applyBorder="1" applyAlignment="1">
      <alignment horizontal="center" vertical="center" wrapText="1"/>
    </xf>
    <xf numFmtId="0" fontId="46" fillId="2" borderId="0" xfId="0" applyFont="1" applyFill="1" applyAlignment="1">
      <alignment wrapText="1"/>
    </xf>
    <xf numFmtId="0" fontId="82" fillId="7" borderId="0" xfId="0" applyFont="1" applyFill="1" applyAlignment="1">
      <alignment horizontal="center" vertical="center" wrapText="1"/>
    </xf>
    <xf numFmtId="0" fontId="47" fillId="3" borderId="12" xfId="0" applyFont="1" applyFill="1" applyBorder="1" applyAlignment="1">
      <alignment horizontal="center" vertical="center" wrapText="1"/>
    </xf>
    <xf numFmtId="0" fontId="82" fillId="0" borderId="0" xfId="0" applyFont="1" applyAlignment="1">
      <alignment horizontal="center" vertical="center" wrapText="1"/>
    </xf>
    <xf numFmtId="0" fontId="82" fillId="0" borderId="0" xfId="0" applyFont="1" applyAlignment="1">
      <alignment vertical="center"/>
    </xf>
    <xf numFmtId="0" fontId="82" fillId="0" borderId="0" xfId="0" applyFont="1" applyAlignment="1">
      <alignment vertical="center" wrapText="1"/>
    </xf>
    <xf numFmtId="0" fontId="68" fillId="2" borderId="2" xfId="0" applyFont="1" applyFill="1" applyBorder="1"/>
    <xf numFmtId="0" fontId="46" fillId="2" borderId="0" xfId="0" applyFont="1" applyFill="1" applyAlignment="1">
      <alignment horizontal="center"/>
    </xf>
    <xf numFmtId="0" fontId="0" fillId="8" borderId="0" xfId="0" applyFill="1" applyAlignment="1">
      <alignment horizontal="center"/>
    </xf>
    <xf numFmtId="0" fontId="46" fillId="2" borderId="1" xfId="0" applyFont="1" applyFill="1" applyBorder="1" applyAlignment="1">
      <alignment horizontal="center" wrapText="1"/>
    </xf>
    <xf numFmtId="0" fontId="46" fillId="2" borderId="1" xfId="0" applyFont="1" applyFill="1" applyBorder="1" applyAlignment="1">
      <alignment horizontal="center" vertical="center" wrapText="1"/>
    </xf>
    <xf numFmtId="0" fontId="0" fillId="2" borderId="5" xfId="0" applyFill="1" applyBorder="1" applyAlignment="1">
      <alignment wrapText="1"/>
    </xf>
    <xf numFmtId="0" fontId="46" fillId="2" borderId="0" xfId="0" applyFont="1" applyFill="1"/>
    <xf numFmtId="0" fontId="47" fillId="9" borderId="1" xfId="0" applyFont="1" applyFill="1" applyBorder="1" applyAlignment="1">
      <alignment horizontal="center" vertical="center" wrapText="1"/>
    </xf>
    <xf numFmtId="0" fontId="46" fillId="2" borderId="10" xfId="0" applyFont="1" applyFill="1" applyBorder="1"/>
    <xf numFmtId="0" fontId="82"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46" fillId="8" borderId="0" xfId="0" applyFont="1" applyFill="1" applyAlignment="1">
      <alignment horizontal="center" vertical="center"/>
    </xf>
    <xf numFmtId="0" fontId="46" fillId="8" borderId="1" xfId="0" applyFont="1" applyFill="1" applyBorder="1" applyAlignment="1">
      <alignment horizontal="center" vertical="center"/>
    </xf>
    <xf numFmtId="0" fontId="46" fillId="13" borderId="1" xfId="0" applyFont="1" applyFill="1" applyBorder="1" applyAlignment="1">
      <alignment horizontal="center" vertical="center" wrapText="1"/>
    </xf>
    <xf numFmtId="0" fontId="47" fillId="3" borderId="16" xfId="0" applyFont="1" applyFill="1" applyBorder="1" applyAlignment="1">
      <alignment horizontal="center" vertical="center" wrapText="1"/>
    </xf>
    <xf numFmtId="0" fontId="46"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82" fillId="8" borderId="0" xfId="0" applyFont="1" applyFill="1" applyAlignment="1">
      <alignment horizontal="center" vertical="center" wrapText="1"/>
    </xf>
    <xf numFmtId="0" fontId="82" fillId="8" borderId="0" xfId="0" applyFont="1" applyFill="1" applyAlignment="1">
      <alignment vertical="center"/>
    </xf>
    <xf numFmtId="0" fontId="0" fillId="8" borderId="0" xfId="0" applyFill="1" applyAlignment="1">
      <alignment vertical="center"/>
    </xf>
    <xf numFmtId="0" fontId="0" fillId="8" borderId="0" xfId="0" applyFill="1"/>
    <xf numFmtId="0" fontId="49" fillId="14" borderId="1" xfId="0" applyFont="1" applyFill="1" applyBorder="1" applyAlignment="1">
      <alignment horizontal="center" vertical="center" wrapText="1"/>
    </xf>
    <xf numFmtId="0" fontId="82" fillId="0" borderId="0" xfId="0" applyFont="1" applyAlignment="1">
      <alignment horizontal="center" vertical="center"/>
    </xf>
    <xf numFmtId="14" fontId="0" fillId="13" borderId="1" xfId="0" applyNumberFormat="1" applyFill="1" applyBorder="1" applyAlignment="1">
      <alignment horizontal="center" vertical="center" wrapText="1"/>
    </xf>
    <xf numFmtId="0" fontId="52" fillId="13" borderId="1" xfId="0" applyFont="1" applyFill="1" applyBorder="1" applyAlignment="1">
      <alignment horizontal="center" vertical="center" wrapText="1"/>
    </xf>
    <xf numFmtId="0" fontId="0" fillId="13" borderId="1" xfId="0" applyFill="1" applyBorder="1" applyAlignment="1">
      <alignment horizontal="center" vertical="center"/>
    </xf>
    <xf numFmtId="0" fontId="46" fillId="2" borderId="5" xfId="0" applyFont="1" applyFill="1" applyBorder="1" applyAlignment="1">
      <alignment wrapText="1"/>
    </xf>
    <xf numFmtId="0" fontId="46" fillId="10" borderId="0" xfId="0" applyFont="1" applyFill="1" applyAlignment="1">
      <alignment horizontal="left" vertical="center"/>
    </xf>
    <xf numFmtId="0" fontId="46" fillId="12" borderId="0" xfId="0" applyFont="1" applyFill="1" applyAlignment="1">
      <alignment horizontal="left" vertical="center"/>
    </xf>
    <xf numFmtId="0" fontId="46" fillId="15" borderId="0" xfId="0" applyFont="1" applyFill="1" applyAlignment="1">
      <alignment horizontal="left" vertical="center"/>
    </xf>
    <xf numFmtId="0" fontId="46" fillId="13" borderId="0" xfId="0" applyFont="1" applyFill="1" applyAlignment="1">
      <alignment horizontal="left" vertical="center"/>
    </xf>
    <xf numFmtId="0" fontId="46" fillId="2" borderId="1" xfId="0" applyFont="1" applyFill="1" applyBorder="1"/>
    <xf numFmtId="0" fontId="0" fillId="2" borderId="0" xfId="0" applyFill="1" applyAlignment="1">
      <alignment horizontal="center" wrapText="1"/>
    </xf>
    <xf numFmtId="0" fontId="78" fillId="6" borderId="16" xfId="1" applyBorder="1" applyAlignment="1">
      <alignment horizontal="center" vertical="center"/>
    </xf>
    <xf numFmtId="0" fontId="46" fillId="3" borderId="12" xfId="0" applyFont="1" applyFill="1" applyBorder="1" applyAlignment="1">
      <alignment horizontal="center" vertical="center" wrapText="1"/>
    </xf>
    <xf numFmtId="0" fontId="78" fillId="6" borderId="1" xfId="1" applyBorder="1" applyAlignment="1">
      <alignment horizontal="center"/>
    </xf>
    <xf numFmtId="0" fontId="83" fillId="6" borderId="15" xfId="8" applyFont="1" applyAlignment="1">
      <alignment horizontal="center"/>
    </xf>
    <xf numFmtId="0" fontId="83" fillId="6" borderId="17" xfId="8" applyFont="1" applyBorder="1" applyAlignment="1">
      <alignment horizontal="center"/>
    </xf>
    <xf numFmtId="0" fontId="78" fillId="6" borderId="1" xfId="1" applyBorder="1" applyAlignment="1">
      <alignment horizontal="center" vertical="center"/>
    </xf>
    <xf numFmtId="0" fontId="80" fillId="6" borderId="16" xfId="1" applyFont="1" applyBorder="1" applyAlignment="1">
      <alignment horizontal="center" vertical="center"/>
    </xf>
    <xf numFmtId="0" fontId="47" fillId="3" borderId="1" xfId="0" applyFont="1" applyFill="1" applyBorder="1" applyAlignment="1">
      <alignment horizontal="center" vertical="center" wrapText="1"/>
    </xf>
    <xf numFmtId="0" fontId="46"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46" fillId="2" borderId="8" xfId="0" applyFont="1" applyFill="1" applyBorder="1" applyAlignment="1">
      <alignment wrapText="1" shrinkToFit="1"/>
    </xf>
    <xf numFmtId="0" fontId="46" fillId="2" borderId="0" xfId="0" applyFont="1" applyFill="1" applyAlignment="1">
      <alignment vertical="top"/>
    </xf>
    <xf numFmtId="0" fontId="46" fillId="0" borderId="0" xfId="3" applyAlignment="1">
      <alignment vertical="center"/>
    </xf>
    <xf numFmtId="0" fontId="50" fillId="0" borderId="0" xfId="3" applyFont="1" applyAlignment="1">
      <alignment vertical="center" wrapText="1"/>
    </xf>
    <xf numFmtId="164" fontId="50" fillId="0" borderId="0" xfId="3" applyNumberFormat="1" applyFont="1" applyAlignment="1">
      <alignment horizontal="center" vertical="center" wrapText="1"/>
    </xf>
    <xf numFmtId="20" fontId="50" fillId="0" borderId="0" xfId="3" applyNumberFormat="1" applyFont="1" applyAlignment="1">
      <alignment vertical="center" wrapText="1"/>
    </xf>
    <xf numFmtId="0" fontId="50" fillId="0" borderId="0" xfId="3" applyFont="1" applyAlignment="1">
      <alignment horizontal="left" vertical="center" wrapText="1"/>
    </xf>
    <xf numFmtId="0" fontId="84" fillId="0" borderId="0" xfId="3" quotePrefix="1" applyFont="1" applyAlignment="1">
      <alignment horizontal="right" vertical="center"/>
    </xf>
    <xf numFmtId="0" fontId="51" fillId="0" borderId="0" xfId="3" applyFont="1" applyAlignment="1">
      <alignment horizontal="left" vertical="center" wrapText="1"/>
    </xf>
    <xf numFmtId="0" fontId="46" fillId="0" borderId="0" xfId="3" applyAlignment="1">
      <alignment vertical="center" shrinkToFit="1"/>
    </xf>
    <xf numFmtId="0" fontId="86" fillId="0" borderId="0" xfId="3" applyFont="1" applyAlignment="1">
      <alignment horizontal="left" vertical="center" shrinkToFit="1"/>
    </xf>
    <xf numFmtId="0" fontId="47" fillId="0" borderId="0" xfId="3" applyFont="1" applyAlignment="1">
      <alignment horizontal="left" vertical="center" shrinkToFit="1"/>
    </xf>
    <xf numFmtId="0" fontId="46" fillId="0" borderId="0" xfId="3" applyAlignment="1" applyProtection="1">
      <alignment vertical="center"/>
      <protection locked="0"/>
    </xf>
    <xf numFmtId="0" fontId="46" fillId="0" borderId="0" xfId="3" applyAlignment="1" applyProtection="1">
      <alignment vertical="center" shrinkToFit="1"/>
      <protection locked="0"/>
    </xf>
    <xf numFmtId="0" fontId="91" fillId="0" borderId="2" xfId="3" applyFont="1" applyBorder="1" applyAlignment="1" applyProtection="1">
      <alignment horizontal="left" vertical="center" wrapText="1" shrinkToFit="1"/>
      <protection locked="0"/>
    </xf>
    <xf numFmtId="0" fontId="92" fillId="0" borderId="0" xfId="3" applyFont="1" applyAlignment="1" applyProtection="1">
      <alignment horizontal="left" vertical="center" shrinkToFit="1"/>
      <protection locked="0"/>
    </xf>
    <xf numFmtId="0" fontId="91" fillId="0" borderId="0" xfId="3" applyFont="1" applyAlignment="1" applyProtection="1">
      <alignment horizontal="left" vertical="center" wrapText="1" shrinkToFit="1"/>
      <protection locked="0"/>
    </xf>
    <xf numFmtId="0" fontId="92" fillId="0" borderId="3" xfId="3" applyFont="1" applyBorder="1" applyAlignment="1" applyProtection="1">
      <alignment horizontal="left" vertical="center" shrinkToFit="1"/>
      <protection locked="0"/>
    </xf>
    <xf numFmtId="0" fontId="95" fillId="0" borderId="0" xfId="3" applyFont="1" applyAlignment="1" applyProtection="1">
      <alignment vertical="center"/>
      <protection locked="0"/>
    </xf>
    <xf numFmtId="0" fontId="96" fillId="0" borderId="0" xfId="3" applyFont="1" applyAlignment="1" applyProtection="1">
      <alignment horizontal="center" vertical="center"/>
      <protection locked="0"/>
    </xf>
    <xf numFmtId="0" fontId="45" fillId="8" borderId="0" xfId="9" applyFill="1"/>
    <xf numFmtId="0" fontId="97" fillId="0" borderId="0" xfId="3" applyFont="1" applyAlignment="1">
      <alignment horizontal="right" vertical="center"/>
    </xf>
    <xf numFmtId="0" fontId="98" fillId="0" borderId="18" xfId="3" applyFont="1" applyBorder="1" applyAlignment="1" applyProtection="1">
      <alignment vertical="center"/>
      <protection locked="0"/>
    </xf>
    <xf numFmtId="0" fontId="46" fillId="0" borderId="18" xfId="3" applyBorder="1" applyAlignment="1" applyProtection="1">
      <alignment vertical="center"/>
      <protection locked="0"/>
    </xf>
    <xf numFmtId="0" fontId="99" fillId="0" borderId="0" xfId="3" applyFont="1" applyAlignment="1" applyProtection="1">
      <alignment horizontal="left" vertical="center"/>
      <protection locked="0"/>
    </xf>
    <xf numFmtId="0" fontId="55" fillId="0" borderId="0" xfId="3" applyFont="1" applyAlignment="1" applyProtection="1">
      <alignment horizontal="left" vertical="center"/>
      <protection locked="0"/>
    </xf>
    <xf numFmtId="0" fontId="76" fillId="0" borderId="0" xfId="3" applyFont="1" applyAlignment="1" applyProtection="1">
      <alignment vertical="center"/>
      <protection locked="0"/>
    </xf>
    <xf numFmtId="0" fontId="47" fillId="0" borderId="0" xfId="3" applyFont="1" applyAlignment="1" applyProtection="1">
      <alignment vertical="center"/>
      <protection locked="0"/>
    </xf>
    <xf numFmtId="49" fontId="100" fillId="0" borderId="0" xfId="3" applyNumberFormat="1" applyFont="1" applyAlignment="1" applyProtection="1">
      <alignment horizontal="left" vertical="center"/>
      <protection locked="0"/>
    </xf>
    <xf numFmtId="49" fontId="46" fillId="0" borderId="0" xfId="3" applyNumberFormat="1" applyAlignment="1">
      <alignment horizontal="center" vertical="center" wrapText="1"/>
    </xf>
    <xf numFmtId="49" fontId="46" fillId="0" borderId="0" xfId="3" applyNumberFormat="1" applyAlignment="1" applyProtection="1">
      <alignment horizontal="left" vertical="center" wrapText="1"/>
      <protection locked="0"/>
    </xf>
    <xf numFmtId="49" fontId="46" fillId="0" borderId="0" xfId="3" applyNumberFormat="1" applyAlignment="1">
      <alignment horizontal="left" vertical="center" wrapText="1"/>
    </xf>
    <xf numFmtId="14" fontId="46" fillId="0" borderId="0" xfId="3" applyNumberFormat="1" applyAlignment="1" applyProtection="1">
      <alignment vertical="center"/>
      <protection locked="0"/>
    </xf>
    <xf numFmtId="0" fontId="101" fillId="0" borderId="0" xfId="3" applyFont="1" applyAlignment="1" applyProtection="1">
      <alignment horizontal="left" vertical="center"/>
      <protection locked="0"/>
    </xf>
    <xf numFmtId="0" fontId="46" fillId="0" borderId="0" xfId="3" applyAlignment="1">
      <alignment horizontal="left" vertical="center" wrapText="1"/>
    </xf>
    <xf numFmtId="0" fontId="98" fillId="0" borderId="5" xfId="3" applyFont="1" applyBorder="1" applyAlignment="1" applyProtection="1">
      <alignment vertical="center"/>
      <protection locked="0"/>
    </xf>
    <xf numFmtId="49" fontId="46" fillId="0" borderId="5" xfId="3" applyNumberFormat="1" applyBorder="1" applyAlignment="1" applyProtection="1">
      <alignment horizontal="left" vertical="center" wrapText="1"/>
      <protection locked="0"/>
    </xf>
    <xf numFmtId="0" fontId="46" fillId="0" borderId="5" xfId="3" applyBorder="1" applyAlignment="1">
      <alignment horizontal="left" vertical="center" wrapText="1"/>
    </xf>
    <xf numFmtId="0" fontId="98" fillId="0" borderId="0" xfId="3" applyFont="1" applyAlignment="1" applyProtection="1">
      <alignment vertical="center"/>
      <protection locked="0"/>
    </xf>
    <xf numFmtId="49" fontId="46" fillId="0" borderId="0" xfId="3" applyNumberFormat="1" applyAlignment="1" applyProtection="1">
      <alignment horizontal="left" vertical="center"/>
      <protection locked="0"/>
    </xf>
    <xf numFmtId="0" fontId="46" fillId="0" borderId="0" xfId="3" applyAlignment="1">
      <alignment horizontal="left" vertical="center"/>
    </xf>
    <xf numFmtId="0" fontId="47" fillId="2" borderId="1" xfId="0" applyFont="1" applyFill="1" applyBorder="1" applyAlignment="1">
      <alignment horizontal="center" vertical="center"/>
    </xf>
    <xf numFmtId="0" fontId="46" fillId="21" borderId="0" xfId="0" applyFont="1" applyFill="1" applyAlignment="1">
      <alignment horizontal="left" vertical="top" wrapText="1"/>
    </xf>
    <xf numFmtId="0" fontId="46" fillId="21" borderId="0" xfId="0" applyFont="1" applyFill="1" applyAlignment="1">
      <alignment wrapText="1"/>
    </xf>
    <xf numFmtId="0" fontId="0" fillId="21" borderId="0" xfId="0" applyFill="1" applyAlignment="1">
      <alignment wrapText="1"/>
    </xf>
    <xf numFmtId="0" fontId="46" fillId="9" borderId="0" xfId="0" applyFont="1" applyFill="1" applyAlignment="1">
      <alignment wrapText="1"/>
    </xf>
    <xf numFmtId="0" fontId="0" fillId="9" borderId="0" xfId="0" applyFill="1" applyAlignment="1">
      <alignment wrapText="1"/>
    </xf>
    <xf numFmtId="0" fontId="46" fillId="2" borderId="2" xfId="0" applyFont="1" applyFill="1" applyBorder="1" applyAlignment="1">
      <alignment horizontal="right"/>
    </xf>
    <xf numFmtId="0" fontId="0" fillId="2" borderId="4" xfId="0" applyFill="1" applyBorder="1" applyAlignment="1">
      <alignment horizontal="right"/>
    </xf>
    <xf numFmtId="0" fontId="43" fillId="0" borderId="0" xfId="11"/>
    <xf numFmtId="0" fontId="49" fillId="10" borderId="1" xfId="0" applyFont="1" applyFill="1" applyBorder="1" applyAlignment="1">
      <alignment horizontal="center" vertical="center" wrapText="1"/>
    </xf>
    <xf numFmtId="0" fontId="108" fillId="12" borderId="1" xfId="0" applyFont="1" applyFill="1" applyBorder="1" applyAlignment="1">
      <alignment horizontal="center" vertical="center" wrapText="1"/>
    </xf>
    <xf numFmtId="0" fontId="49" fillId="11" borderId="1" xfId="0" applyFont="1" applyFill="1" applyBorder="1" applyAlignment="1">
      <alignment horizontal="center" vertical="center" wrapText="1"/>
    </xf>
    <xf numFmtId="14" fontId="49" fillId="11" borderId="1" xfId="0" applyNumberFormat="1" applyFont="1" applyFill="1" applyBorder="1" applyAlignment="1">
      <alignment horizontal="center" vertical="center" wrapText="1"/>
    </xf>
    <xf numFmtId="0" fontId="70" fillId="8" borderId="0" xfId="0" applyFont="1" applyFill="1" applyAlignment="1">
      <alignment horizontal="center" vertical="center"/>
    </xf>
    <xf numFmtId="0" fontId="70" fillId="8" borderId="0" xfId="0" applyFont="1" applyFill="1" applyAlignment="1">
      <alignment vertical="center"/>
    </xf>
    <xf numFmtId="0" fontId="70" fillId="0" borderId="0" xfId="0" applyFont="1" applyAlignment="1">
      <alignment vertical="center"/>
    </xf>
    <xf numFmtId="0" fontId="49" fillId="0" borderId="0" xfId="0" applyFont="1" applyAlignment="1">
      <alignment vertical="center"/>
    </xf>
    <xf numFmtId="0" fontId="110" fillId="29" borderId="20" xfId="14" applyFont="1" applyFill="1" applyBorder="1" applyAlignment="1" applyProtection="1">
      <alignment horizontal="center" vertical="center" wrapText="1"/>
      <protection locked="0"/>
    </xf>
    <xf numFmtId="0" fontId="111" fillId="13" borderId="20" xfId="14" applyFont="1" applyFill="1" applyBorder="1" applyAlignment="1" applyProtection="1">
      <alignment horizontal="center" vertical="center" wrapText="1"/>
    </xf>
    <xf numFmtId="0" fontId="110" fillId="7" borderId="1" xfId="14" applyFont="1" applyFill="1" applyBorder="1" applyAlignment="1">
      <alignment horizontal="left" vertical="center"/>
    </xf>
    <xf numFmtId="0" fontId="106" fillId="25" borderId="14" xfId="12" applyAlignment="1">
      <alignment horizontal="center" vertical="center"/>
    </xf>
    <xf numFmtId="0" fontId="110" fillId="7" borderId="1" xfId="14" applyFont="1" applyFill="1" applyBorder="1" applyAlignment="1">
      <alignment horizontal="center" vertical="center"/>
    </xf>
    <xf numFmtId="0" fontId="46" fillId="5" borderId="0" xfId="15" applyFill="1" applyAlignment="1">
      <alignment vertical="center"/>
    </xf>
    <xf numFmtId="0" fontId="46" fillId="5" borderId="0" xfId="15" applyFill="1" applyAlignment="1">
      <alignment vertical="center" wrapText="1"/>
    </xf>
    <xf numFmtId="0" fontId="46" fillId="0" borderId="1" xfId="3" applyBorder="1" applyAlignment="1">
      <alignment vertical="center"/>
    </xf>
    <xf numFmtId="0" fontId="48" fillId="5" borderId="0" xfId="15" applyFont="1" applyFill="1" applyAlignment="1">
      <alignment vertical="center"/>
    </xf>
    <xf numFmtId="0" fontId="87" fillId="30" borderId="10" xfId="15" applyFont="1" applyFill="1" applyBorder="1" applyAlignment="1">
      <alignment vertical="center"/>
    </xf>
    <xf numFmtId="0" fontId="116" fillId="30" borderId="19" xfId="15" applyFont="1" applyFill="1" applyBorder="1" applyAlignment="1">
      <alignment vertical="center" wrapText="1"/>
    </xf>
    <xf numFmtId="0" fontId="116" fillId="30" borderId="11" xfId="15" applyFont="1" applyFill="1" applyBorder="1" applyAlignment="1">
      <alignment vertical="center" wrapText="1"/>
    </xf>
    <xf numFmtId="0" fontId="46" fillId="5" borderId="1" xfId="15" applyFill="1" applyBorder="1" applyAlignment="1">
      <alignment vertical="center"/>
    </xf>
    <xf numFmtId="0" fontId="46" fillId="0" borderId="12" xfId="3" applyBorder="1" applyAlignment="1">
      <alignment vertical="center"/>
    </xf>
    <xf numFmtId="0" fontId="46" fillId="0" borderId="7" xfId="3" applyBorder="1" applyAlignment="1">
      <alignment vertical="center"/>
    </xf>
    <xf numFmtId="0" fontId="117" fillId="5" borderId="1" xfId="15" applyFont="1" applyFill="1" applyBorder="1" applyAlignment="1">
      <alignment horizontal="center" vertical="center"/>
    </xf>
    <xf numFmtId="0" fontId="46" fillId="5" borderId="1" xfId="15" applyFill="1" applyBorder="1" applyAlignment="1">
      <alignment vertical="center" wrapText="1"/>
    </xf>
    <xf numFmtId="0" fontId="87" fillId="32" borderId="10" xfId="15" applyFont="1" applyFill="1" applyBorder="1" applyAlignment="1">
      <alignment vertical="center"/>
    </xf>
    <xf numFmtId="0" fontId="56" fillId="32" borderId="8" xfId="15" applyFont="1" applyFill="1" applyBorder="1" applyAlignment="1">
      <alignment horizontal="center" vertical="center" wrapText="1"/>
    </xf>
    <xf numFmtId="0" fontId="116" fillId="32" borderId="19" xfId="15" applyFont="1" applyFill="1" applyBorder="1" applyAlignment="1">
      <alignment vertical="center" wrapText="1"/>
    </xf>
    <xf numFmtId="0" fontId="116" fillId="32" borderId="11" xfId="15" applyFont="1" applyFill="1" applyBorder="1" applyAlignment="1">
      <alignment vertical="center" wrapText="1"/>
    </xf>
    <xf numFmtId="0" fontId="87" fillId="33" borderId="1" xfId="15" applyFont="1" applyFill="1" applyBorder="1" applyAlignment="1">
      <alignment horizontal="center" vertical="center" textRotation="45" wrapText="1"/>
    </xf>
    <xf numFmtId="0" fontId="114" fillId="33" borderId="1" xfId="15" applyFont="1" applyFill="1" applyBorder="1" applyAlignment="1">
      <alignment horizontal="center" vertical="center" wrapText="1"/>
    </xf>
    <xf numFmtId="0" fontId="102" fillId="33" borderId="1" xfId="15" applyFont="1" applyFill="1" applyBorder="1" applyAlignment="1">
      <alignment horizontal="center" vertical="center" textRotation="45"/>
    </xf>
    <xf numFmtId="0" fontId="102" fillId="33" borderId="1" xfId="15" applyFont="1" applyFill="1" applyBorder="1" applyAlignment="1">
      <alignment horizontal="center" vertical="center" wrapText="1"/>
    </xf>
    <xf numFmtId="0" fontId="87" fillId="33" borderId="13" xfId="15" applyFont="1" applyFill="1" applyBorder="1" applyAlignment="1">
      <alignment horizontal="center" vertical="center"/>
    </xf>
    <xf numFmtId="0" fontId="115" fillId="33" borderId="13" xfId="15" applyFont="1" applyFill="1" applyBorder="1" applyAlignment="1">
      <alignment horizontal="center" vertical="center" wrapText="1"/>
    </xf>
    <xf numFmtId="0" fontId="87" fillId="24" borderId="7" xfId="15" applyFont="1" applyFill="1" applyBorder="1" applyAlignment="1">
      <alignment horizontal="center" vertical="center"/>
    </xf>
    <xf numFmtId="0" fontId="118" fillId="24" borderId="8" xfId="15" applyFont="1" applyFill="1" applyBorder="1" applyAlignment="1">
      <alignment horizontal="center" vertical="center" wrapText="1"/>
    </xf>
    <xf numFmtId="0" fontId="115" fillId="24" borderId="8" xfId="15" applyFont="1" applyFill="1" applyBorder="1" applyAlignment="1">
      <alignment horizontal="center" vertical="center" wrapText="1"/>
    </xf>
    <xf numFmtId="0" fontId="115" fillId="24" borderId="9" xfId="15" applyFont="1" applyFill="1" applyBorder="1" applyAlignment="1">
      <alignment horizontal="center" vertical="center" wrapText="1"/>
    </xf>
    <xf numFmtId="0" fontId="56" fillId="30" borderId="19" xfId="15" applyFont="1" applyFill="1" applyBorder="1" applyAlignment="1">
      <alignment vertical="center" wrapText="1"/>
    </xf>
    <xf numFmtId="0" fontId="0" fillId="0" borderId="0" xfId="0" applyAlignment="1" applyProtection="1">
      <alignment vertical="center"/>
      <protection locked="0"/>
    </xf>
    <xf numFmtId="0" fontId="99" fillId="0" borderId="0" xfId="0" applyFont="1" applyAlignment="1" applyProtection="1">
      <alignment horizontal="left" vertical="center"/>
      <protection locked="0"/>
    </xf>
    <xf numFmtId="0" fontId="46" fillId="0" borderId="1" xfId="15" applyBorder="1" applyAlignment="1">
      <alignment vertical="center" wrapText="1"/>
    </xf>
    <xf numFmtId="0" fontId="56" fillId="31" borderId="0" xfId="3" applyFont="1" applyFill="1" applyAlignment="1">
      <alignment horizontal="center" wrapText="1"/>
    </xf>
    <xf numFmtId="0" fontId="68" fillId="31" borderId="0" xfId="3" applyFont="1" applyFill="1" applyAlignment="1">
      <alignment horizontal="center" wrapText="1"/>
    </xf>
    <xf numFmtId="0" fontId="110" fillId="29" borderId="12" xfId="29" applyFont="1" applyFill="1" applyBorder="1" applyAlignment="1">
      <alignment horizontal="center" vertical="center" wrapText="1"/>
    </xf>
    <xf numFmtId="0" fontId="123" fillId="0" borderId="2" xfId="0" applyFont="1" applyBorder="1" applyAlignment="1">
      <alignment horizontal="right" vertical="center"/>
    </xf>
    <xf numFmtId="0" fontId="125" fillId="0" borderId="0" xfId="0" applyFont="1" applyAlignment="1">
      <alignment wrapText="1"/>
    </xf>
    <xf numFmtId="0" fontId="107" fillId="7" borderId="1" xfId="14" applyFont="1" applyFill="1" applyBorder="1" applyAlignment="1">
      <alignment horizontal="center" vertical="center"/>
    </xf>
    <xf numFmtId="0" fontId="126" fillId="8" borderId="0" xfId="30" applyFill="1" applyAlignment="1">
      <alignment horizontal="center" wrapText="1"/>
    </xf>
    <xf numFmtId="0" fontId="27" fillId="0" borderId="0" xfId="11" applyFont="1"/>
    <xf numFmtId="0" fontId="78" fillId="6" borderId="14" xfId="1"/>
    <xf numFmtId="14" fontId="46" fillId="13" borderId="1" xfId="0" applyNumberFormat="1" applyFont="1" applyFill="1" applyBorder="1" applyAlignment="1">
      <alignment horizontal="center" vertical="center" wrapText="1"/>
    </xf>
    <xf numFmtId="0" fontId="46" fillId="0" borderId="1" xfId="0" applyFont="1" applyBorder="1" applyAlignment="1">
      <alignment horizontal="center" vertical="center"/>
    </xf>
    <xf numFmtId="0" fontId="26" fillId="0" borderId="0" xfId="11" applyFont="1"/>
    <xf numFmtId="0" fontId="78" fillId="6" borderId="21" xfId="1" applyBorder="1"/>
    <xf numFmtId="0" fontId="46" fillId="0" borderId="1" xfId="0" applyFont="1" applyBorder="1" applyAlignment="1">
      <alignment horizontal="center" vertical="center" wrapText="1"/>
    </xf>
    <xf numFmtId="0" fontId="25" fillId="0" borderId="0" xfId="11" applyFont="1"/>
    <xf numFmtId="0" fontId="24" fillId="0" borderId="0" xfId="11" applyFont="1"/>
    <xf numFmtId="0" fontId="23" fillId="0" borderId="0" xfId="11" applyFont="1"/>
    <xf numFmtId="0" fontId="22" fillId="0" borderId="0" xfId="11" applyFont="1"/>
    <xf numFmtId="0" fontId="21" fillId="0" borderId="0" xfId="11" applyFont="1"/>
    <xf numFmtId="0" fontId="20" fillId="0" borderId="0" xfId="11" applyFont="1"/>
    <xf numFmtId="0" fontId="19" fillId="0" borderId="0" xfId="11" applyFont="1"/>
    <xf numFmtId="0" fontId="18" fillId="0" borderId="0" xfId="11" applyFont="1"/>
    <xf numFmtId="0" fontId="17" fillId="0" borderId="0" xfId="11" applyFont="1"/>
    <xf numFmtId="0" fontId="16" fillId="0" borderId="0" xfId="11" applyFont="1"/>
    <xf numFmtId="0" fontId="15" fillId="0" borderId="0" xfId="11" applyFont="1"/>
    <xf numFmtId="0" fontId="46" fillId="0" borderId="1" xfId="0" applyFont="1" applyBorder="1" applyAlignment="1">
      <alignment wrapText="1"/>
    </xf>
    <xf numFmtId="0" fontId="14" fillId="0" borderId="0" xfId="11" applyFont="1"/>
    <xf numFmtId="0" fontId="13" fillId="0" borderId="0" xfId="11" applyFont="1"/>
    <xf numFmtId="0" fontId="0" fillId="0" borderId="1" xfId="0" applyBorder="1" applyAlignment="1">
      <alignment horizontal="left" vertical="top"/>
    </xf>
    <xf numFmtId="0" fontId="102" fillId="33" borderId="1" xfId="15" applyFont="1" applyFill="1" applyBorder="1" applyAlignment="1">
      <alignment horizontal="left" vertical="top" textRotation="45"/>
    </xf>
    <xf numFmtId="0" fontId="12" fillId="0" borderId="0" xfId="11" applyFont="1"/>
    <xf numFmtId="0" fontId="11" fillId="0" borderId="0" xfId="11" applyFont="1"/>
    <xf numFmtId="0" fontId="10" fillId="0" borderId="0" xfId="11" applyFont="1"/>
    <xf numFmtId="0" fontId="9" fillId="0" borderId="0" xfId="11" applyFont="1"/>
    <xf numFmtId="0" fontId="8" fillId="0" borderId="0" xfId="11" applyFont="1"/>
    <xf numFmtId="0" fontId="7" fillId="0" borderId="0" xfId="11" applyFont="1"/>
    <xf numFmtId="0" fontId="127" fillId="33" borderId="1" xfId="15" applyFont="1" applyFill="1" applyBorder="1" applyAlignment="1">
      <alignment horizontal="center" vertical="center" textRotation="45"/>
    </xf>
    <xf numFmtId="0" fontId="6" fillId="0" borderId="0" xfId="11" applyFont="1"/>
    <xf numFmtId="0" fontId="5" fillId="0" borderId="0" xfId="11" applyFont="1"/>
    <xf numFmtId="0" fontId="4" fillId="0" borderId="0" xfId="11" applyFont="1"/>
    <xf numFmtId="0" fontId="3" fillId="0" borderId="0" xfId="11" applyFont="1"/>
    <xf numFmtId="0" fontId="2" fillId="0" borderId="0" xfId="11" applyFont="1"/>
    <xf numFmtId="0" fontId="1" fillId="0" borderId="0" xfId="11" applyFont="1"/>
    <xf numFmtId="0" fontId="96" fillId="0" borderId="0" xfId="3" applyFont="1" applyAlignment="1" applyProtection="1">
      <alignment horizontal="center" vertical="center" wrapText="1"/>
      <protection locked="0"/>
    </xf>
    <xf numFmtId="0" fontId="46" fillId="0" borderId="0" xfId="3" applyAlignment="1">
      <alignment vertical="center" wrapText="1"/>
    </xf>
    <xf numFmtId="0" fontId="87" fillId="16" borderId="2" xfId="3" applyFont="1" applyFill="1" applyBorder="1" applyAlignment="1" applyProtection="1">
      <alignment horizontal="center" vertical="center" shrinkToFit="1"/>
      <protection locked="0"/>
    </xf>
    <xf numFmtId="0" fontId="87" fillId="16" borderId="0" xfId="3" applyFont="1" applyFill="1" applyAlignment="1" applyProtection="1">
      <alignment horizontal="center" vertical="center" shrinkToFit="1"/>
      <protection locked="0"/>
    </xf>
    <xf numFmtId="0" fontId="87" fillId="16" borderId="3" xfId="3" applyFont="1" applyFill="1" applyBorder="1" applyAlignment="1" applyProtection="1">
      <alignment horizontal="center" vertical="center" shrinkToFit="1"/>
      <protection locked="0"/>
    </xf>
    <xf numFmtId="0" fontId="46" fillId="0" borderId="4" xfId="3" applyBorder="1" applyAlignment="1" applyProtection="1">
      <alignment horizontal="right" vertical="top" wrapText="1" shrinkToFit="1"/>
      <protection locked="0"/>
    </xf>
    <xf numFmtId="0" fontId="46" fillId="0" borderId="5" xfId="3" applyBorder="1" applyAlignment="1" applyProtection="1">
      <alignment horizontal="right" vertical="top" wrapText="1" shrinkToFit="1"/>
      <protection locked="0"/>
    </xf>
    <xf numFmtId="0" fontId="88" fillId="0" borderId="5" xfId="0" applyFont="1" applyBorder="1" applyAlignment="1" applyProtection="1">
      <alignment horizontal="left" vertical="top" wrapText="1" shrinkToFit="1"/>
      <protection locked="0"/>
    </xf>
    <xf numFmtId="0" fontId="88" fillId="0" borderId="6" xfId="0" applyFont="1" applyBorder="1" applyAlignment="1" applyProtection="1">
      <alignment horizontal="left" vertical="top" wrapText="1" shrinkToFit="1"/>
      <protection locked="0"/>
    </xf>
    <xf numFmtId="0" fontId="48" fillId="0" borderId="5" xfId="3" applyFont="1" applyBorder="1" applyAlignment="1" applyProtection="1">
      <alignment horizontal="left" vertical="top" wrapText="1" shrinkToFit="1"/>
      <protection locked="0"/>
    </xf>
    <xf numFmtId="0" fontId="90" fillId="0" borderId="5" xfId="3" applyFont="1" applyBorder="1" applyAlignment="1" applyProtection="1">
      <alignment horizontal="left" vertical="top" shrinkToFit="1"/>
      <protection locked="0"/>
    </xf>
    <xf numFmtId="0" fontId="90" fillId="0" borderId="6" xfId="3" applyFont="1" applyBorder="1" applyAlignment="1" applyProtection="1">
      <alignment horizontal="left" vertical="top" shrinkToFit="1"/>
      <protection locked="0"/>
    </xf>
    <xf numFmtId="0" fontId="87" fillId="16" borderId="7" xfId="3" applyFont="1" applyFill="1" applyBorder="1" applyAlignment="1" applyProtection="1">
      <alignment horizontal="center" vertical="center" shrinkToFit="1"/>
      <protection locked="0"/>
    </xf>
    <xf numFmtId="0" fontId="87" fillId="16" borderId="8" xfId="3" applyFont="1" applyFill="1" applyBorder="1" applyAlignment="1" applyProtection="1">
      <alignment horizontal="center" vertical="center" shrinkToFit="1"/>
      <protection locked="0"/>
    </xf>
    <xf numFmtId="0" fontId="87" fillId="16" borderId="9" xfId="3" applyFont="1" applyFill="1" applyBorder="1" applyAlignment="1" applyProtection="1">
      <alignment horizontal="center" vertical="center" shrinkToFit="1"/>
      <protection locked="0"/>
    </xf>
    <xf numFmtId="0" fontId="46" fillId="0" borderId="4" xfId="3" applyBorder="1" applyAlignment="1" applyProtection="1">
      <alignment horizontal="center" vertical="top" wrapText="1" shrinkToFit="1"/>
      <protection locked="0"/>
    </xf>
    <xf numFmtId="0" fontId="46" fillId="0" borderId="5" xfId="3" applyBorder="1" applyAlignment="1" applyProtection="1">
      <alignment horizontal="center" vertical="top" wrapText="1" shrinkToFit="1"/>
      <protection locked="0"/>
    </xf>
    <xf numFmtId="0" fontId="46" fillId="0" borderId="6" xfId="3" applyBorder="1" applyAlignment="1" applyProtection="1">
      <alignment horizontal="center" vertical="top" wrapText="1" shrinkToFit="1"/>
      <protection locked="0"/>
    </xf>
    <xf numFmtId="0" fontId="87" fillId="16" borderId="8" xfId="3" applyFont="1" applyFill="1" applyBorder="1" applyAlignment="1" applyProtection="1">
      <alignment horizontal="center" vertical="center" wrapText="1"/>
      <protection locked="0"/>
    </xf>
    <xf numFmtId="0" fontId="87" fillId="16" borderId="0" xfId="3" applyFont="1" applyFill="1" applyAlignment="1" applyProtection="1">
      <alignment horizontal="center" vertical="center" wrapText="1"/>
      <protection locked="0"/>
    </xf>
    <xf numFmtId="0" fontId="46" fillId="0" borderId="7" xfId="3" applyBorder="1" applyAlignment="1" applyProtection="1">
      <alignment horizontal="left" vertical="top"/>
      <protection locked="0"/>
    </xf>
    <xf numFmtId="0" fontId="46" fillId="0" borderId="8" xfId="3" applyBorder="1" applyAlignment="1" applyProtection="1">
      <alignment horizontal="left" vertical="top"/>
      <protection locked="0"/>
    </xf>
    <xf numFmtId="0" fontId="46" fillId="0" borderId="9" xfId="3" applyBorder="1" applyAlignment="1" applyProtection="1">
      <alignment horizontal="left" vertical="top"/>
      <protection locked="0"/>
    </xf>
    <xf numFmtId="0" fontId="46" fillId="0" borderId="4" xfId="3" applyBorder="1" applyAlignment="1" applyProtection="1">
      <alignment horizontal="left" vertical="top"/>
      <protection locked="0"/>
    </xf>
    <xf numFmtId="0" fontId="46" fillId="0" borderId="5" xfId="3" applyBorder="1" applyAlignment="1" applyProtection="1">
      <alignment horizontal="left" vertical="top"/>
      <protection locked="0"/>
    </xf>
    <xf numFmtId="0" fontId="46" fillId="0" borderId="6" xfId="3" applyBorder="1" applyAlignment="1" applyProtection="1">
      <alignment horizontal="left" vertical="top"/>
      <protection locked="0"/>
    </xf>
    <xf numFmtId="0" fontId="87" fillId="16" borderId="2" xfId="3" applyFont="1" applyFill="1" applyBorder="1" applyAlignment="1" applyProtection="1">
      <alignment horizontal="center" vertical="center" wrapText="1" shrinkToFit="1"/>
      <protection locked="0"/>
    </xf>
    <xf numFmtId="0" fontId="87" fillId="16" borderId="0" xfId="3" applyFont="1" applyFill="1" applyAlignment="1" applyProtection="1">
      <alignment horizontal="center" vertical="center" wrapText="1" shrinkToFit="1"/>
      <protection locked="0"/>
    </xf>
    <xf numFmtId="0" fontId="106" fillId="25" borderId="14" xfId="12" applyAlignment="1" applyProtection="1">
      <alignment horizontal="center" vertical="center"/>
      <protection locked="0"/>
    </xf>
    <xf numFmtId="0" fontId="51" fillId="0" borderId="7" xfId="3" applyFont="1" applyBorder="1" applyAlignment="1">
      <alignment horizontal="left" vertical="center" wrapText="1"/>
    </xf>
    <xf numFmtId="0" fontId="51" fillId="0" borderId="8" xfId="3" applyFont="1" applyBorder="1" applyAlignment="1">
      <alignment horizontal="left" vertical="center" wrapText="1"/>
    </xf>
    <xf numFmtId="0" fontId="51" fillId="0" borderId="9" xfId="3" applyFont="1" applyBorder="1" applyAlignment="1">
      <alignment horizontal="left" vertical="center" wrapText="1"/>
    </xf>
    <xf numFmtId="0" fontId="51" fillId="0" borderId="7" xfId="3" applyFont="1" applyBorder="1" applyAlignment="1">
      <alignment horizontal="left" vertical="center" shrinkToFit="1"/>
    </xf>
    <xf numFmtId="0" fontId="51" fillId="0" borderId="8" xfId="3" applyFont="1" applyBorder="1" applyAlignment="1">
      <alignment horizontal="left" vertical="center" shrinkToFit="1"/>
    </xf>
    <xf numFmtId="0" fontId="51" fillId="0" borderId="9" xfId="3" applyFont="1" applyBorder="1" applyAlignment="1">
      <alignment horizontal="left" vertical="center" shrinkToFit="1"/>
    </xf>
    <xf numFmtId="0" fontId="85" fillId="0" borderId="4" xfId="0" applyFont="1" applyBorder="1" applyAlignment="1">
      <alignment horizontal="left" vertical="center" shrinkToFit="1"/>
    </xf>
    <xf numFmtId="0" fontId="85" fillId="0" borderId="5" xfId="0" applyFont="1" applyBorder="1" applyAlignment="1">
      <alignment horizontal="left" vertical="center" shrinkToFit="1"/>
    </xf>
    <xf numFmtId="0" fontId="85" fillId="0" borderId="6" xfId="0" applyFont="1" applyBorder="1" applyAlignment="1">
      <alignment horizontal="left" vertical="center" shrinkToFit="1"/>
    </xf>
    <xf numFmtId="0" fontId="85" fillId="0" borderId="4" xfId="3" applyFont="1" applyBorder="1" applyAlignment="1">
      <alignment horizontal="left" vertical="center" shrinkToFit="1"/>
    </xf>
    <xf numFmtId="0" fontId="85" fillId="0" borderId="5" xfId="3" applyFont="1" applyBorder="1" applyAlignment="1">
      <alignment horizontal="left" vertical="center" shrinkToFit="1"/>
    </xf>
    <xf numFmtId="0" fontId="85" fillId="0" borderId="6" xfId="3" applyFont="1" applyBorder="1" applyAlignment="1">
      <alignment horizontal="left" vertical="center" shrinkToFit="1"/>
    </xf>
    <xf numFmtId="49" fontId="46" fillId="0" borderId="10" xfId="3" applyNumberFormat="1" applyBorder="1" applyAlignment="1" applyProtection="1">
      <alignment horizontal="center" vertical="center" wrapText="1"/>
      <protection locked="0"/>
    </xf>
    <xf numFmtId="49" fontId="46" fillId="0" borderId="19" xfId="3" applyNumberFormat="1" applyBorder="1" applyAlignment="1" applyProtection="1">
      <alignment horizontal="center" vertical="center" wrapText="1"/>
      <protection locked="0"/>
    </xf>
    <xf numFmtId="49" fontId="46" fillId="0" borderId="11" xfId="3" applyNumberFormat="1" applyBorder="1" applyAlignment="1" applyProtection="1">
      <alignment horizontal="center" vertical="center" wrapText="1"/>
      <protection locked="0"/>
    </xf>
    <xf numFmtId="0" fontId="46" fillId="0" borderId="10" xfId="3" applyBorder="1" applyAlignment="1">
      <alignment horizontal="left" vertical="center" wrapText="1"/>
    </xf>
    <xf numFmtId="0" fontId="46" fillId="0" borderId="19" xfId="3" applyBorder="1" applyAlignment="1">
      <alignment horizontal="left" vertical="center" wrapText="1"/>
    </xf>
    <xf numFmtId="0" fontId="46" fillId="0" borderId="11" xfId="3" applyBorder="1" applyAlignment="1">
      <alignment horizontal="left" vertical="center" wrapText="1"/>
    </xf>
    <xf numFmtId="0" fontId="79" fillId="0" borderId="10" xfId="2" applyBorder="1" applyAlignment="1">
      <alignment horizontal="left" vertical="center" wrapText="1"/>
    </xf>
    <xf numFmtId="0" fontId="65" fillId="18" borderId="1" xfId="3" applyFont="1" applyFill="1" applyBorder="1" applyAlignment="1" applyProtection="1">
      <alignment horizontal="center" vertical="center" wrapText="1"/>
      <protection locked="0"/>
    </xf>
    <xf numFmtId="0" fontId="102" fillId="20" borderId="1" xfId="3" applyFont="1" applyFill="1" applyBorder="1" applyAlignment="1">
      <alignment horizontal="center" vertical="center" wrapText="1"/>
    </xf>
    <xf numFmtId="49" fontId="46" fillId="0" borderId="1" xfId="3" applyNumberFormat="1" applyBorder="1" applyAlignment="1" applyProtection="1">
      <alignment vertical="center" wrapText="1"/>
      <protection locked="0"/>
    </xf>
    <xf numFmtId="49" fontId="46" fillId="0" borderId="1" xfId="3" applyNumberFormat="1" applyBorder="1" applyAlignment="1" applyProtection="1">
      <alignment horizontal="left" vertical="center" wrapText="1"/>
      <protection locked="0"/>
    </xf>
    <xf numFmtId="0" fontId="46" fillId="0" borderId="1" xfId="3" applyBorder="1" applyAlignment="1">
      <alignment horizontal="left" vertical="center" wrapText="1"/>
    </xf>
    <xf numFmtId="0" fontId="46" fillId="0" borderId="1" xfId="3" applyBorder="1" applyAlignment="1">
      <alignment horizontal="center" vertical="center" wrapText="1"/>
    </xf>
    <xf numFmtId="14" fontId="46" fillId="0" borderId="10" xfId="3" applyNumberFormat="1" applyBorder="1" applyAlignment="1" applyProtection="1">
      <alignment horizontal="left" vertical="center" wrapText="1"/>
      <protection locked="0"/>
    </xf>
    <xf numFmtId="14" fontId="46" fillId="0" borderId="19" xfId="3" applyNumberFormat="1" applyBorder="1" applyAlignment="1" applyProtection="1">
      <alignment horizontal="left" vertical="center" wrapText="1"/>
      <protection locked="0"/>
    </xf>
    <xf numFmtId="14" fontId="46" fillId="0" borderId="11" xfId="3" applyNumberFormat="1" applyBorder="1" applyAlignment="1" applyProtection="1">
      <alignment horizontal="left" vertical="center" wrapText="1"/>
      <protection locked="0"/>
    </xf>
    <xf numFmtId="49" fontId="46" fillId="0" borderId="1" xfId="3" applyNumberFormat="1" applyBorder="1" applyAlignment="1">
      <alignment horizontal="left" vertical="center" wrapText="1"/>
    </xf>
    <xf numFmtId="49" fontId="46" fillId="0" borderId="1" xfId="3" applyNumberFormat="1" applyBorder="1" applyAlignment="1" applyProtection="1">
      <alignment horizontal="center" vertical="center" wrapText="1"/>
      <protection locked="0"/>
    </xf>
    <xf numFmtId="49" fontId="46" fillId="0" borderId="1" xfId="3" applyNumberFormat="1" applyBorder="1" applyAlignment="1">
      <alignment horizontal="center" vertical="center" wrapText="1"/>
    </xf>
    <xf numFmtId="49" fontId="46" fillId="22" borderId="1" xfId="3" applyNumberFormat="1" applyFill="1" applyBorder="1" applyAlignment="1" applyProtection="1">
      <alignment horizontal="center" vertical="center" wrapText="1"/>
      <protection locked="0"/>
    </xf>
    <xf numFmtId="49" fontId="46" fillId="34" borderId="1" xfId="3" applyNumberFormat="1" applyFill="1" applyBorder="1" applyAlignment="1" applyProtection="1">
      <alignment horizontal="center" vertical="center" wrapText="1"/>
      <protection locked="0"/>
    </xf>
    <xf numFmtId="49" fontId="82" fillId="24" borderId="1" xfId="3" applyNumberFormat="1" applyFont="1" applyFill="1" applyBorder="1" applyAlignment="1" applyProtection="1">
      <alignment horizontal="center" vertical="center" wrapText="1"/>
      <protection locked="0"/>
    </xf>
    <xf numFmtId="0" fontId="51" fillId="17" borderId="7" xfId="3" applyFont="1" applyFill="1" applyBorder="1" applyAlignment="1">
      <alignment horizontal="left" vertical="center" shrinkToFit="1"/>
    </xf>
    <xf numFmtId="0" fontId="51" fillId="17" borderId="8" xfId="3" applyFont="1" applyFill="1" applyBorder="1" applyAlignment="1">
      <alignment horizontal="left" vertical="center" shrinkToFit="1"/>
    </xf>
    <xf numFmtId="0" fontId="51" fillId="17" borderId="9" xfId="3" applyFont="1" applyFill="1" applyBorder="1" applyAlignment="1">
      <alignment horizontal="left" vertical="center" shrinkToFit="1"/>
    </xf>
    <xf numFmtId="0" fontId="86" fillId="17" borderId="4" xfId="3" applyFont="1" applyFill="1" applyBorder="1" applyAlignment="1">
      <alignment horizontal="left" vertical="center" shrinkToFit="1"/>
    </xf>
    <xf numFmtId="0" fontId="86" fillId="17" borderId="5" xfId="3" applyFont="1" applyFill="1" applyBorder="1" applyAlignment="1">
      <alignment horizontal="left" vertical="center" shrinkToFit="1"/>
    </xf>
    <xf numFmtId="0" fontId="86" fillId="17" borderId="6" xfId="3" applyFont="1" applyFill="1" applyBorder="1" applyAlignment="1">
      <alignment horizontal="left" vertical="center" shrinkToFit="1"/>
    </xf>
    <xf numFmtId="0" fontId="46" fillId="18" borderId="1" xfId="3" applyFill="1" applyBorder="1" applyAlignment="1" applyProtection="1">
      <alignment horizontal="center" vertical="center" wrapText="1"/>
      <protection locked="0"/>
    </xf>
    <xf numFmtId="49" fontId="46" fillId="19" borderId="1" xfId="3" applyNumberFormat="1" applyFill="1" applyBorder="1" applyAlignment="1" applyProtection="1">
      <alignment horizontal="center" vertical="center" wrapText="1"/>
      <protection locked="0"/>
    </xf>
    <xf numFmtId="0" fontId="51" fillId="17" borderId="7" xfId="3" applyFont="1" applyFill="1" applyBorder="1" applyAlignment="1">
      <alignment horizontal="left" vertical="center" wrapText="1"/>
    </xf>
    <xf numFmtId="0" fontId="51" fillId="17" borderId="8" xfId="3" applyFont="1" applyFill="1" applyBorder="1" applyAlignment="1">
      <alignment horizontal="left" vertical="center" wrapText="1"/>
    </xf>
    <xf numFmtId="0" fontId="51" fillId="17" borderId="9" xfId="3" applyFont="1" applyFill="1" applyBorder="1" applyAlignment="1">
      <alignment horizontal="left" vertical="center" wrapText="1"/>
    </xf>
    <xf numFmtId="0" fontId="85" fillId="17" borderId="4" xfId="3" applyFont="1" applyFill="1" applyBorder="1" applyAlignment="1">
      <alignment horizontal="left" vertical="center" shrinkToFit="1"/>
    </xf>
    <xf numFmtId="0" fontId="85" fillId="17" borderId="5" xfId="3" applyFont="1" applyFill="1" applyBorder="1" applyAlignment="1">
      <alignment horizontal="left" vertical="center" shrinkToFit="1"/>
    </xf>
    <xf numFmtId="0" fontId="85" fillId="17" borderId="6" xfId="3" applyFont="1" applyFill="1" applyBorder="1" applyAlignment="1">
      <alignment horizontal="left" vertical="center" shrinkToFit="1"/>
    </xf>
    <xf numFmtId="49" fontId="46" fillId="23" borderId="1" xfId="3" applyNumberFormat="1" applyFill="1" applyBorder="1" applyAlignment="1" applyProtection="1">
      <alignment horizontal="center" vertical="center" wrapText="1"/>
      <protection locked="0"/>
    </xf>
    <xf numFmtId="0" fontId="120" fillId="2" borderId="10" xfId="7" applyFont="1" applyFill="1" applyBorder="1" applyAlignment="1">
      <alignment horizontal="center" vertical="center"/>
    </xf>
    <xf numFmtId="0" fontId="120" fillId="2" borderId="19" xfId="7" applyFont="1" applyFill="1" applyBorder="1" applyAlignment="1">
      <alignment horizontal="center" vertical="center"/>
    </xf>
    <xf numFmtId="0" fontId="120" fillId="2" borderId="11" xfId="7" applyFont="1" applyFill="1" applyBorder="1" applyAlignment="1">
      <alignment horizontal="center" vertical="center"/>
    </xf>
    <xf numFmtId="0" fontId="53" fillId="2" borderId="10" xfId="7" applyFill="1" applyBorder="1" applyAlignment="1">
      <alignment horizontal="justify" vertical="center" wrapText="1"/>
    </xf>
    <xf numFmtId="0" fontId="53" fillId="2" borderId="19" xfId="7" applyFill="1" applyBorder="1" applyAlignment="1">
      <alignment horizontal="justify" vertical="center" wrapText="1"/>
    </xf>
    <xf numFmtId="0" fontId="53" fillId="2" borderId="11" xfId="7" applyFill="1" applyBorder="1" applyAlignment="1">
      <alignment horizontal="justify" vertical="center" wrapText="1"/>
    </xf>
    <xf numFmtId="0" fontId="47" fillId="21" borderId="2" xfId="0" applyFont="1" applyFill="1" applyBorder="1" applyAlignment="1">
      <alignment horizontal="center" vertical="top" textRotation="45"/>
    </xf>
    <xf numFmtId="0" fontId="47" fillId="9" borderId="2" xfId="0" applyFont="1" applyFill="1" applyBorder="1" applyAlignment="1">
      <alignment horizontal="center" vertical="center" textRotation="45"/>
    </xf>
    <xf numFmtId="0" fontId="54" fillId="3" borderId="7" xfId="7" applyFont="1" applyFill="1" applyBorder="1" applyAlignment="1">
      <alignment horizontal="center" vertical="distributed"/>
    </xf>
    <xf numFmtId="0" fontId="54" fillId="3" borderId="8" xfId="7" applyFont="1" applyFill="1" applyBorder="1" applyAlignment="1">
      <alignment horizontal="center" vertical="distributed"/>
    </xf>
    <xf numFmtId="0" fontId="54" fillId="3" borderId="9" xfId="7" applyFont="1" applyFill="1" applyBorder="1" applyAlignment="1">
      <alignment horizontal="center" vertical="distributed"/>
    </xf>
    <xf numFmtId="0" fontId="47" fillId="3" borderId="7" xfId="0" applyFont="1" applyFill="1" applyBorder="1" applyAlignment="1">
      <alignment horizontal="center" wrapText="1"/>
    </xf>
    <xf numFmtId="0" fontId="47" fillId="3" borderId="8" xfId="0" applyFont="1" applyFill="1" applyBorder="1" applyAlignment="1">
      <alignment horizontal="center" wrapText="1"/>
    </xf>
    <xf numFmtId="0" fontId="47" fillId="3" borderId="9" xfId="0" applyFont="1" applyFill="1" applyBorder="1" applyAlignment="1">
      <alignment horizontal="center" wrapText="1"/>
    </xf>
    <xf numFmtId="0" fontId="46" fillId="2" borderId="10" xfId="0" applyFont="1" applyFill="1" applyBorder="1" applyAlignment="1">
      <alignment horizontal="left" vertical="center" wrapText="1" shrinkToFit="1"/>
    </xf>
    <xf numFmtId="0" fontId="46" fillId="2" borderId="11" xfId="0" applyFont="1" applyFill="1" applyBorder="1" applyAlignment="1">
      <alignment horizontal="left" vertical="center" wrapText="1" shrinkToFit="1"/>
    </xf>
    <xf numFmtId="0" fontId="109" fillId="28" borderId="4" xfId="13" applyFont="1" applyFill="1" applyBorder="1" applyAlignment="1" applyProtection="1">
      <alignment horizontal="center" vertical="center" wrapText="1"/>
      <protection locked="0"/>
    </xf>
    <xf numFmtId="0" fontId="109" fillId="28" borderId="5" xfId="13" applyFont="1" applyFill="1" applyBorder="1" applyAlignment="1" applyProtection="1">
      <alignment horizontal="center" vertical="center" wrapText="1"/>
      <protection locked="0"/>
    </xf>
    <xf numFmtId="0" fontId="109" fillId="28" borderId="6" xfId="13" applyFont="1" applyFill="1" applyBorder="1" applyAlignment="1" applyProtection="1">
      <alignment horizontal="center" vertical="center" wrapText="1"/>
      <protection locked="0"/>
    </xf>
    <xf numFmtId="0" fontId="109" fillId="16" borderId="4" xfId="13" applyFont="1" applyFill="1" applyBorder="1" applyAlignment="1" applyProtection="1">
      <alignment horizontal="center" vertical="center" wrapText="1"/>
    </xf>
    <xf numFmtId="0" fontId="109" fillId="16" borderId="5" xfId="13" applyFont="1" applyFill="1" applyBorder="1" applyAlignment="1" applyProtection="1">
      <alignment horizontal="center" vertical="center" wrapText="1"/>
    </xf>
    <xf numFmtId="0" fontId="106" fillId="25" borderId="14" xfId="12" applyAlignment="1">
      <alignment horizontal="left" vertical="center"/>
    </xf>
    <xf numFmtId="0" fontId="56" fillId="8" borderId="5" xfId="0" applyFont="1" applyFill="1" applyBorder="1" applyAlignment="1">
      <alignment horizontal="center" vertical="center"/>
    </xf>
    <xf numFmtId="0" fontId="56" fillId="8" borderId="6" xfId="0" applyFont="1" applyFill="1" applyBorder="1" applyAlignment="1">
      <alignment horizontal="center" vertical="center"/>
    </xf>
    <xf numFmtId="0" fontId="114" fillId="28" borderId="10" xfId="2" applyFont="1" applyFill="1" applyBorder="1" applyAlignment="1" applyProtection="1">
      <alignment horizontal="center" vertical="center" wrapText="1"/>
      <protection locked="0"/>
    </xf>
    <xf numFmtId="0" fontId="114"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99">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44</c:v>
                </c:pt>
                <c:pt idx="1">
                  <c:v>9</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32</c:v>
                </c:pt>
                <c:pt idx="3">
                  <c:v>2</c:v>
                </c:pt>
                <c:pt idx="4">
                  <c:v>46</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78</c:v>
                </c:pt>
                <c:pt idx="1">
                  <c:v>2</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4640580</xdr:colOff>
          <xdr:row>115</xdr:row>
          <xdr:rowOff>106680</xdr:rowOff>
        </xdr:from>
        <xdr:to>
          <xdr:col>2</xdr:col>
          <xdr:colOff>6537960</xdr:colOff>
          <xdr:row>117</xdr:row>
          <xdr:rowOff>60960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123190</xdr:colOff>
      <xdr:row>2</xdr:row>
      <xdr:rowOff>85090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123190</xdr:colOff>
      <xdr:row>2</xdr:row>
      <xdr:rowOff>85090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madalina.serban\AppData\Roaming\Microsoft\AddIns\alvDocProp.xlam" TargetMode="External"/><Relationship Id="rId1" Type="http://schemas.openxmlformats.org/officeDocument/2006/relationships/externalLinkPath" Target="/Users/madalina.serban/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56" totalsRowShown="0" headerRowDxfId="78" headerRowBorderDxfId="77" tableBorderDxfId="76" headerRowCellStyle="40% - Accent5" dataCellStyle="Normal 4">
  <autoFilter ref="A2:O56" xr:uid="{55CAA4EB-488C-4F32-9F6A-6870B577A4DE}"/>
  <tableColumns count="15">
    <tableColumn id="1" xr3:uid="{FEEDD6BA-8576-4483-B3A7-B40672627BC2}" name="Work-product(s)" dataDxfId="75" dataCellStyle="Normal 4"/>
    <tableColumn id="2" xr3:uid="{0C995001-8C07-4D73-A1A0-A5E13B326418}" name="Review type" dataDxfId="74" dataCellStyle="Normal 4"/>
    <tableColumn id="3" xr3:uid="{D964FAA7-465B-48F7-B997-F16421BB3246}" name="Starting date" dataDxfId="73" dataCellStyle="Normal 4"/>
    <tableColumn id="4" xr3:uid="{7CAB5B69-9FD6-4BE7-A3E1-3148F51E8C55}" name="Due date" dataDxfId="72" dataCellStyle="Normal 4"/>
    <tableColumn id="5" xr3:uid="{A7E8DB5D-2E5B-4D50-802A-7373C2649DB9}" name="Effort (in mn)" dataCellStyle="Calculation"/>
    <tableColumn id="6" xr3:uid="{DD9655BE-E53F-4CA5-885B-7FC10F8D2395}" name="Reviewer 1" dataDxfId="7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4" dT="2021-03-10T09:15:28.47" personId="{4410F425-F88D-409E-83B0-3808B2D0FE08}" id="{8699B5DA-7E93-4AB4-B46B-56AC196FA737}">
    <text>From Irina : I think all the checklists whould be listed here. Otherwise the "Content" part doesn`t seem to have a logic.</text>
  </threadedComment>
  <threadedComment ref="G24" dT="2021-04-28T12:30:57.04" personId="{4410F425-F88D-409E-83B0-3808B2D0FE08}" id="{38C1EB5D-340B-4990-B6C0-76AF4F61FFAC}" parentId="{8699B5DA-7E93-4AB4-B46B-56AC196FA737}">
    <text>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ext>
  </threadedComment>
  <threadedComment ref="L26" dT="2021-03-10T09:16:47.35" personId="{4410F425-F88D-409E-83B0-3808B2D0FE08}" id="{66B6A0BD-4904-4D0A-9946-AA5B2CFB9086}">
    <text>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text>
  </threadedComment>
  <threadedComment ref="L26" dT="2021-04-28T12:31:50.85" personId="{4410F425-F88D-409E-83B0-3808B2D0FE08}" id="{82E74A2E-F360-4979-84A0-C1E48E54B891}" parentId="{66B6A0BD-4904-4D0A-9946-AA5B2CFB9086}">
    <text>This is the goal of the row 34</text>
  </threadedComment>
  <threadedComment ref="J38" dT="2021-03-10T09:17:24.81" personId="{4410F425-F88D-409E-83B0-3808B2D0FE08}" id="{8C8E8498-5537-4E4F-9E84-B9F1D528F5DF}">
    <text>From Irina Voica:
Do we acualy need this in thee PRWB? The reference document or the document under review is listed in the "review" tab</text>
  </threadedComment>
  <threadedComment ref="J38" dT="2021-04-28T12:32:21.56" personId="{4410F425-F88D-409E-83B0-3808B2D0FE08}" id="{897F3CCB-9348-42DC-942E-CBB29C4CD610}" parentId="{8C8E8498-5537-4E4F-9E84-B9F1D528F5DF}">
    <text>Standard Excel template</text>
  </threadedComment>
  <threadedComment ref="N45" dT="2021-03-10T09:17:24.81" personId="{4410F425-F88D-409E-83B0-3808B2D0FE08}" id="{49381694-40CF-4F90-B6B3-85B44865BCAB}">
    <text>From Irina Voica:
Do we acualy need this in thee PRWB? The reference document or the document under review is listed in the "review" tab</text>
  </threadedComment>
  <threadedComment ref="N45" dT="2021-04-28T12:32:43.82" personId="{4410F425-F88D-409E-83B0-3808B2D0FE08}" id="{432CA626-5E1E-41B2-AEC1-5F6C70AB4D5D}" parentId="{49381694-40CF-4F90-B6B3-85B44865BCAB}">
    <text>Standard Excel template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2" dT="2019-09-30T11:48:45.35" personId="{4410F425-F88D-409E-83B0-3808B2D0FE08}" id="{3BEEE150-CDB7-4B22-8521-FD3CA62DD140}">
    <text>To be reworked</text>
  </threadedComment>
  <threadedComment ref="B12"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B12" dT="2020-07-13T10:26:37.16" personId="{4410F425-F88D-409E-83B0-3808B2D0FE08}" id="{8B53A5B6-028E-4C73-B96D-1A20BBA0980B}" parentId="{3BEEE150-CDB7-4B22-8521-FD3CA62DD140}">
    <text>Updated in accordance with PRO483</text>
  </threadedComment>
  <threadedComment ref="F18"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18" dT="2021-04-28T12:33:53.05" personId="{4410F425-F88D-409E-83B0-3808B2D0FE08}" id="{E707EE7D-82EC-4D12-BD66-E49405DBC3EA}" parentId="{DC9E864A-8115-46A7-BAE5-993490F386FE}">
    <text>I don't understand your comments</text>
  </threadedComment>
  <threadedComment ref="F19" dT="2019-10-24T09:46:59.19" personId="{0C880BA8-B73D-4DFE-83DD-D2EA884542F3}" id="{0180DF6E-9091-4A6F-8AC9-1CBFDA59F091}">
    <text>KGAS_3236 Consumed effort and duration must be documented for all reviews.</text>
  </threadedComment>
  <threadedComment ref="F20" dT="2019-10-24T09:49:11.65" personId="{0C880BA8-B73D-4DFE-83DD-D2EA884542F3}" id="{DDB2772C-7E8E-4A53-898F-3615291C5B30}">
    <text>KGAS_3236 Consumed effort and duration must be documented for all reviews.</text>
  </threadedComment>
  <threadedComment ref="B38" dT="2019-09-30T11:47:04.11" personId="{4410F425-F88D-409E-83B0-3808B2D0FE08}" id="{177D809D-2020-41FD-A436-DB70B6139886}">
    <text>The moderator is missing in this sheet</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W10" sqref="W10:AG10"/>
    </sheetView>
  </sheetViews>
  <sheetFormatPr defaultColWidth="0" defaultRowHeight="12.75" customHeight="1" zeroHeight="1"/>
  <cols>
    <col min="1" max="3" width="2.77734375" style="95" customWidth="1"/>
    <col min="4" max="4" width="3.21875" style="95" customWidth="1"/>
    <col min="5" max="33" width="2.77734375" style="95" customWidth="1"/>
    <col min="34" max="34" width="1.21875" style="95" customWidth="1"/>
    <col min="35" max="60" width="3.21875" style="95" hidden="1" customWidth="1"/>
    <col min="61" max="16384" width="0" style="95" hidden="1"/>
  </cols>
  <sheetData>
    <row r="1" spans="1:37" s="85" customFormat="1" ht="13.2">
      <c r="C1" s="86"/>
      <c r="D1" s="86"/>
      <c r="E1" s="86"/>
      <c r="F1" s="86"/>
      <c r="G1" s="87"/>
      <c r="H1" s="88"/>
      <c r="I1" s="88"/>
      <c r="J1" s="88"/>
      <c r="K1" s="88"/>
      <c r="L1" s="88"/>
      <c r="M1" s="88"/>
      <c r="N1" s="88"/>
      <c r="O1" s="88"/>
      <c r="P1" s="89"/>
      <c r="Q1" s="89"/>
      <c r="R1" s="89"/>
      <c r="S1" s="89"/>
      <c r="T1" s="89"/>
      <c r="U1" s="89"/>
      <c r="V1" s="89"/>
      <c r="W1" s="89"/>
      <c r="X1" s="89"/>
      <c r="Y1" s="89"/>
      <c r="Z1" s="89"/>
      <c r="AA1" s="89"/>
      <c r="AB1" s="89"/>
      <c r="AC1" s="89"/>
      <c r="AD1" s="89"/>
      <c r="AE1" s="89"/>
      <c r="AF1" s="89"/>
      <c r="AG1" s="89"/>
      <c r="AH1" s="89"/>
      <c r="AI1" s="89"/>
      <c r="AJ1" s="89"/>
      <c r="AK1" s="89"/>
    </row>
    <row r="2" spans="1:37" s="85" customFormat="1" ht="13.2"/>
    <row r="3" spans="1:37" s="85" customFormat="1" ht="13.2">
      <c r="AD3" s="90" t="s">
        <v>407</v>
      </c>
    </row>
    <row r="4" spans="1:37" s="85" customFormat="1" ht="11.1" customHeight="1">
      <c r="A4" s="251" t="s">
        <v>5</v>
      </c>
      <c r="B4" s="252"/>
      <c r="C4" s="252"/>
      <c r="D4" s="252"/>
      <c r="E4" s="252"/>
      <c r="F4" s="252"/>
      <c r="G4" s="252"/>
      <c r="H4" s="252"/>
      <c r="I4" s="252"/>
      <c r="J4" s="252"/>
      <c r="K4" s="252"/>
      <c r="L4" s="252"/>
      <c r="M4" s="252"/>
      <c r="N4" s="252"/>
      <c r="O4" s="252"/>
      <c r="P4" s="252"/>
      <c r="Q4" s="253"/>
      <c r="R4" s="248" t="s">
        <v>12</v>
      </c>
      <c r="S4" s="249"/>
      <c r="T4" s="249"/>
      <c r="U4" s="249"/>
      <c r="V4" s="250"/>
      <c r="W4" s="248" t="s">
        <v>6</v>
      </c>
      <c r="X4" s="249"/>
      <c r="Y4" s="249"/>
      <c r="Z4" s="249"/>
      <c r="AA4" s="250"/>
      <c r="AB4" s="251" t="s">
        <v>137</v>
      </c>
      <c r="AC4" s="252"/>
      <c r="AD4" s="252"/>
      <c r="AE4" s="252"/>
      <c r="AF4" s="252"/>
      <c r="AG4" s="253"/>
      <c r="AH4" s="91"/>
      <c r="AI4" s="91"/>
      <c r="AJ4" s="91"/>
    </row>
    <row r="5" spans="1:37" s="92" customFormat="1" ht="12.75" customHeight="1">
      <c r="A5" s="254" t="s">
        <v>401</v>
      </c>
      <c r="B5" s="255"/>
      <c r="C5" s="255"/>
      <c r="D5" s="255"/>
      <c r="E5" s="255"/>
      <c r="F5" s="255"/>
      <c r="G5" s="255"/>
      <c r="H5" s="255"/>
      <c r="I5" s="255"/>
      <c r="J5" s="255"/>
      <c r="K5" s="255"/>
      <c r="L5" s="255"/>
      <c r="M5" s="255"/>
      <c r="N5" s="255"/>
      <c r="O5" s="255"/>
      <c r="P5" s="255"/>
      <c r="Q5" s="256"/>
      <c r="R5" s="254" t="s">
        <v>138</v>
      </c>
      <c r="S5" s="255"/>
      <c r="T5" s="255"/>
      <c r="U5" s="255"/>
      <c r="V5" s="256"/>
      <c r="W5" s="254" t="str">
        <f ca="1" xml:space="preserve"> IFERROR(IF([2]!alvDocProperty("MXCurrent.Localized")="","Template released",[2]!alvDocProperty("MXCurrent.Localized")),"Template released")</f>
        <v>Template released</v>
      </c>
      <c r="X5" s="255"/>
      <c r="Y5" s="255"/>
      <c r="Z5" s="255"/>
      <c r="AA5" s="256"/>
      <c r="AB5" s="254" t="s">
        <v>509</v>
      </c>
      <c r="AC5" s="255"/>
      <c r="AD5" s="255"/>
      <c r="AE5" s="255"/>
      <c r="AF5" s="255"/>
      <c r="AG5" s="256"/>
    </row>
    <row r="6" spans="1:37" s="85" customFormat="1" ht="11.1" customHeight="1">
      <c r="A6" s="248" t="s">
        <v>7</v>
      </c>
      <c r="B6" s="249"/>
      <c r="C6" s="249"/>
      <c r="D6" s="250"/>
      <c r="E6" s="248" t="s">
        <v>8</v>
      </c>
      <c r="F6" s="249"/>
      <c r="G6" s="249"/>
      <c r="H6" s="249"/>
      <c r="I6" s="249"/>
      <c r="J6" s="249"/>
      <c r="K6" s="249"/>
      <c r="L6" s="249"/>
      <c r="M6" s="249"/>
      <c r="N6" s="249"/>
      <c r="O6" s="249"/>
      <c r="P6" s="249"/>
      <c r="Q6" s="249"/>
      <c r="R6" s="249"/>
      <c r="S6" s="249"/>
      <c r="T6" s="249"/>
      <c r="U6" s="249"/>
      <c r="V6" s="250"/>
      <c r="W6" s="251" t="s">
        <v>10</v>
      </c>
      <c r="X6" s="252"/>
      <c r="Y6" s="252"/>
      <c r="Z6" s="252"/>
      <c r="AA6" s="253"/>
      <c r="AB6" s="248" t="s">
        <v>34</v>
      </c>
      <c r="AC6" s="249"/>
      <c r="AD6" s="250"/>
      <c r="AE6" s="248" t="s">
        <v>9</v>
      </c>
      <c r="AF6" s="249"/>
      <c r="AG6" s="250"/>
    </row>
    <row r="7" spans="1:37" s="92" customFormat="1" ht="12.75" customHeight="1">
      <c r="A7" s="254" t="s">
        <v>11</v>
      </c>
      <c r="B7" s="255"/>
      <c r="C7" s="255"/>
      <c r="D7" s="256"/>
      <c r="E7" s="254" t="s">
        <v>406</v>
      </c>
      <c r="F7" s="255"/>
      <c r="G7" s="255"/>
      <c r="H7" s="255"/>
      <c r="I7" s="255"/>
      <c r="J7" s="255"/>
      <c r="K7" s="255"/>
      <c r="L7" s="255"/>
      <c r="M7" s="255"/>
      <c r="N7" s="255"/>
      <c r="O7" s="255"/>
      <c r="P7" s="255"/>
      <c r="Q7" s="255"/>
      <c r="R7" s="255"/>
      <c r="S7" s="255"/>
      <c r="T7" s="255"/>
      <c r="U7" s="255"/>
      <c r="V7" s="256"/>
      <c r="W7" s="257" t="str">
        <f ca="1" xml:space="preserve"> IFERROR(IF([2]!alvDocProperty("MXDocTemplate_Name")="","AEF1007",[2]!alvDocProperty("MXDocTemplate_Name")),"AEF1007")</f>
        <v>AEF1007</v>
      </c>
      <c r="X7" s="258"/>
      <c r="Y7" s="258"/>
      <c r="Z7" s="258"/>
      <c r="AA7" s="259"/>
      <c r="AB7" s="254">
        <v>1</v>
      </c>
      <c r="AC7" s="255"/>
      <c r="AD7" s="256"/>
      <c r="AE7" s="254">
        <v>19</v>
      </c>
      <c r="AF7" s="255"/>
      <c r="AG7" s="256"/>
    </row>
    <row r="8" spans="1:37" s="92" customFormat="1" ht="13.2">
      <c r="A8" s="93"/>
      <c r="B8" s="93"/>
      <c r="C8" s="93"/>
      <c r="D8" s="93"/>
      <c r="E8" s="93"/>
      <c r="F8" s="93"/>
      <c r="G8" s="93"/>
      <c r="H8" s="93"/>
      <c r="I8" s="93"/>
      <c r="J8" s="93"/>
      <c r="K8" s="93"/>
      <c r="L8" s="93"/>
      <c r="M8" s="93"/>
      <c r="N8" s="93"/>
      <c r="O8" s="93"/>
      <c r="P8" s="93"/>
      <c r="Q8" s="93"/>
      <c r="R8" s="93"/>
      <c r="S8" s="93"/>
      <c r="T8" s="93"/>
      <c r="U8" s="93"/>
      <c r="V8" s="93"/>
      <c r="W8" s="94"/>
      <c r="X8" s="94"/>
      <c r="Y8" s="94"/>
      <c r="Z8" s="94"/>
      <c r="AA8" s="94"/>
      <c r="AB8" s="93"/>
      <c r="AC8" s="93"/>
      <c r="AD8" s="93"/>
      <c r="AE8" s="93"/>
      <c r="AF8" s="93"/>
      <c r="AG8" s="93"/>
    </row>
    <row r="9" spans="1:37" ht="11.1" customHeight="1">
      <c r="A9" s="221" t="s">
        <v>61</v>
      </c>
      <c r="B9" s="222"/>
      <c r="C9" s="222"/>
      <c r="D9" s="222"/>
      <c r="E9" s="222"/>
      <c r="F9" s="222"/>
      <c r="G9" s="222"/>
      <c r="H9" s="222"/>
      <c r="I9" s="222"/>
      <c r="J9" s="222"/>
      <c r="K9" s="223"/>
      <c r="L9" s="221" t="s">
        <v>12</v>
      </c>
      <c r="M9" s="222"/>
      <c r="N9" s="222"/>
      <c r="O9" s="222"/>
      <c r="P9" s="222"/>
      <c r="Q9" s="222"/>
      <c r="R9" s="222"/>
      <c r="S9" s="222"/>
      <c r="T9" s="222"/>
      <c r="U9" s="222"/>
      <c r="V9" s="223"/>
      <c r="W9" s="221" t="s">
        <v>17</v>
      </c>
      <c r="X9" s="222"/>
      <c r="Y9" s="222"/>
      <c r="Z9" s="222"/>
      <c r="AA9" s="222"/>
      <c r="AB9" s="222"/>
      <c r="AC9" s="222"/>
      <c r="AD9" s="222"/>
      <c r="AE9" s="222"/>
      <c r="AF9" s="222"/>
      <c r="AG9" s="223"/>
    </row>
    <row r="10" spans="1:37" s="96" customFormat="1" ht="39" customHeight="1">
      <c r="A10" s="224" t="s">
        <v>139</v>
      </c>
      <c r="B10" s="225"/>
      <c r="C10" s="225"/>
      <c r="D10" s="225"/>
      <c r="E10" s="225"/>
      <c r="F10" s="226" t="s">
        <v>400</v>
      </c>
      <c r="G10" s="226"/>
      <c r="H10" s="226"/>
      <c r="I10" s="226"/>
      <c r="J10" s="226"/>
      <c r="K10" s="227"/>
      <c r="L10" s="228" t="s">
        <v>140</v>
      </c>
      <c r="M10" s="229"/>
      <c r="N10" s="229"/>
      <c r="O10" s="229"/>
      <c r="P10" s="229"/>
      <c r="Q10" s="229"/>
      <c r="R10" s="229"/>
      <c r="S10" s="229"/>
      <c r="T10" s="229"/>
      <c r="U10" s="229"/>
      <c r="V10" s="230"/>
      <c r="W10" s="228" t="s">
        <v>140</v>
      </c>
      <c r="X10" s="229"/>
      <c r="Y10" s="229"/>
      <c r="Z10" s="229"/>
      <c r="AA10" s="229"/>
      <c r="AB10" s="229"/>
      <c r="AC10" s="229"/>
      <c r="AD10" s="229"/>
      <c r="AE10" s="229"/>
      <c r="AF10" s="229"/>
      <c r="AG10" s="230"/>
    </row>
    <row r="11" spans="1:37" s="96" customFormat="1" ht="4.5" customHeight="1">
      <c r="A11" s="97"/>
      <c r="B11" s="98"/>
      <c r="C11" s="98"/>
      <c r="D11" s="98"/>
      <c r="E11" s="98"/>
      <c r="F11" s="98"/>
      <c r="G11" s="98"/>
      <c r="H11" s="98"/>
      <c r="I11" s="98"/>
      <c r="J11" s="98"/>
      <c r="K11" s="98"/>
      <c r="L11" s="99"/>
      <c r="M11" s="98"/>
      <c r="N11" s="98"/>
      <c r="O11" s="98"/>
      <c r="P11" s="98"/>
      <c r="Q11" s="98"/>
      <c r="R11" s="98"/>
      <c r="S11" s="98"/>
      <c r="T11" s="98"/>
      <c r="U11" s="98"/>
      <c r="V11" s="98"/>
      <c r="W11" s="99"/>
      <c r="X11" s="98"/>
      <c r="Y11" s="98"/>
      <c r="Z11" s="98"/>
      <c r="AA11" s="98"/>
      <c r="AB11" s="98"/>
      <c r="AC11" s="98"/>
      <c r="AD11" s="98"/>
      <c r="AE11" s="98"/>
      <c r="AF11" s="98"/>
      <c r="AG11" s="100"/>
    </row>
    <row r="12" spans="1:37" ht="11.1" customHeight="1">
      <c r="A12" s="231" t="s">
        <v>141</v>
      </c>
      <c r="B12" s="232"/>
      <c r="C12" s="232"/>
      <c r="D12" s="232"/>
      <c r="E12" s="232"/>
      <c r="F12" s="232"/>
      <c r="G12" s="232"/>
      <c r="H12" s="232"/>
      <c r="I12" s="232"/>
      <c r="J12" s="232"/>
      <c r="K12" s="232"/>
      <c r="L12" s="232"/>
      <c r="M12" s="232"/>
      <c r="N12" s="232"/>
      <c r="O12" s="232"/>
      <c r="P12" s="232"/>
      <c r="Q12" s="232"/>
      <c r="R12" s="232"/>
      <c r="S12" s="232"/>
      <c r="T12" s="232"/>
      <c r="U12" s="232"/>
      <c r="V12" s="232"/>
      <c r="W12" s="232"/>
      <c r="X12" s="232"/>
      <c r="Y12" s="232"/>
      <c r="Z12" s="232"/>
      <c r="AA12" s="232"/>
      <c r="AB12" s="232"/>
      <c r="AC12" s="232"/>
      <c r="AD12" s="232"/>
      <c r="AE12" s="232"/>
      <c r="AF12" s="232"/>
      <c r="AG12" s="233"/>
    </row>
    <row r="13" spans="1:37" s="96" customFormat="1" ht="28.5" customHeight="1">
      <c r="A13" s="234" t="s">
        <v>142</v>
      </c>
      <c r="B13" s="235"/>
      <c r="C13" s="235"/>
      <c r="D13" s="235"/>
      <c r="E13" s="235"/>
      <c r="F13" s="235"/>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6"/>
    </row>
    <row r="14" spans="1:37" s="96" customFormat="1" ht="4.5" customHeight="1">
      <c r="A14" s="99"/>
      <c r="B14" s="98"/>
      <c r="C14" s="98"/>
      <c r="D14" s="98"/>
      <c r="E14" s="98"/>
      <c r="F14" s="98"/>
      <c r="G14" s="98"/>
      <c r="H14" s="98"/>
      <c r="I14" s="98"/>
      <c r="J14" s="98"/>
      <c r="K14" s="98"/>
      <c r="L14" s="99"/>
      <c r="M14" s="98"/>
      <c r="N14" s="98"/>
      <c r="O14" s="98"/>
      <c r="P14" s="98"/>
      <c r="Q14" s="98"/>
      <c r="R14" s="98"/>
      <c r="S14" s="98"/>
      <c r="T14" s="98"/>
      <c r="U14" s="98"/>
      <c r="V14" s="98"/>
      <c r="W14" s="99"/>
      <c r="X14" s="98"/>
      <c r="Y14" s="98"/>
      <c r="Z14" s="98"/>
      <c r="AA14" s="98"/>
      <c r="AB14" s="98"/>
      <c r="AC14" s="98"/>
      <c r="AD14" s="98"/>
      <c r="AE14" s="98"/>
      <c r="AF14" s="98"/>
      <c r="AG14" s="98"/>
    </row>
    <row r="15" spans="1:37" ht="37.5" customHeight="1">
      <c r="A15" s="237" t="s">
        <v>143</v>
      </c>
      <c r="B15" s="237"/>
      <c r="C15" s="237"/>
      <c r="D15" s="237"/>
      <c r="E15" s="239"/>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1"/>
    </row>
    <row r="16" spans="1:37" ht="37.5" customHeight="1">
      <c r="A16" s="238"/>
      <c r="B16" s="238"/>
      <c r="C16" s="238"/>
      <c r="D16" s="238"/>
      <c r="E16" s="242"/>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4"/>
    </row>
    <row r="17" spans="1:33" ht="13.2">
      <c r="A17" s="101"/>
    </row>
    <row r="18" spans="1:33" ht="26.25" customHeight="1">
      <c r="A18" s="245" t="s">
        <v>398</v>
      </c>
      <c r="B18" s="246"/>
      <c r="C18" s="246"/>
      <c r="D18" s="246"/>
      <c r="E18" s="247" t="s">
        <v>397</v>
      </c>
      <c r="F18" s="247"/>
      <c r="G18" s="247"/>
      <c r="H18" s="247"/>
      <c r="I18" s="247"/>
      <c r="J18" s="247"/>
      <c r="K18" s="247"/>
      <c r="L18" s="247"/>
      <c r="M18" s="247"/>
      <c r="N18" s="247"/>
      <c r="O18" s="247"/>
      <c r="P18" s="247"/>
    </row>
    <row r="19" spans="1:33" ht="13.2"/>
    <row r="20" spans="1:33" ht="13.2"/>
    <row r="21" spans="1:33" ht="15.75" customHeight="1">
      <c r="Q21" s="102"/>
    </row>
    <row r="22" spans="1:33" ht="12" customHeight="1">
      <c r="Q22" s="102"/>
    </row>
    <row r="23" spans="1:33" ht="60" customHeight="1">
      <c r="A23" s="219" t="str">
        <f>MXTitle</f>
        <v>ERH - Peer Review Workbook</v>
      </c>
      <c r="B23" s="220"/>
      <c r="C23" s="220"/>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20"/>
      <c r="AB23" s="220"/>
      <c r="AC23" s="220"/>
      <c r="AD23" s="220"/>
      <c r="AE23" s="220"/>
      <c r="AF23" s="220"/>
      <c r="AG23" s="220"/>
    </row>
    <row r="24" spans="1:33" ht="24.6">
      <c r="Q24" s="102"/>
    </row>
    <row r="25" spans="1:33" ht="13.2"/>
    <row r="26" spans="1:33" ht="13.2"/>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103" type="noConversion"/>
  <conditionalFormatting sqref="W5">
    <cfRule type="cellIs" dxfId="98" priority="19" operator="equal">
      <formula>"draft"</formula>
    </cfRule>
  </conditionalFormatting>
  <conditionalFormatting sqref="W5:AA5">
    <cfRule type="cellIs" dxfId="97" priority="1" operator="equal">
      <formula>"In-Work"</formula>
    </cfRule>
    <cfRule type="cellIs" dxfId="96" priority="2" stopIfTrue="1" operator="equal">
      <formula>"draft"</formula>
    </cfRule>
    <cfRule type="cellIs" dxfId="95" priority="3" operator="equal">
      <formula>"In-Work"</formula>
    </cfRule>
    <cfRule type="cellIs" dxfId="94" priority="4" stopIfTrue="1" operator="equal">
      <formula>"draft"</formula>
    </cfRule>
    <cfRule type="cellIs" dxfId="93" priority="5" operator="equal">
      <formula>"In-Work"</formula>
    </cfRule>
    <cfRule type="cellIs" dxfId="92" priority="6" stopIfTrue="1" operator="equal">
      <formula>"draft"</formula>
    </cfRule>
    <cfRule type="cellIs" dxfId="91" priority="7" operator="equal">
      <formula>"In-Work"</formula>
    </cfRule>
    <cfRule type="cellIs" dxfId="90" priority="8" stopIfTrue="1" operator="equal">
      <formula>"draft"</formula>
    </cfRule>
    <cfRule type="cellIs" dxfId="89" priority="9" operator="equal">
      <formula>"In-Work"</formula>
    </cfRule>
    <cfRule type="cellIs" dxfId="88" priority="10" stopIfTrue="1" operator="equal">
      <formula>"draft"</formula>
    </cfRule>
    <cfRule type="cellIs" dxfId="87" priority="11" operator="equal">
      <formula>"In-Work"</formula>
    </cfRule>
    <cfRule type="cellIs" dxfId="86" priority="12" stopIfTrue="1" operator="equal">
      <formula>"draft"</formula>
    </cfRule>
    <cfRule type="cellIs" dxfId="85" priority="13" operator="equal">
      <formula>"In-Work"</formula>
    </cfRule>
    <cfRule type="cellIs" dxfId="84" priority="14" stopIfTrue="1" operator="equal">
      <formula>"draft"</formula>
    </cfRule>
    <cfRule type="cellIs" dxfId="83" priority="15" operator="equal">
      <formula>"In-Work"</formula>
    </cfRule>
    <cfRule type="cellIs" dxfId="82" priority="16" stopIfTrue="1" operator="equal">
      <formula>"draft"</formula>
    </cfRule>
    <cfRule type="cellIs" dxfId="81" priority="17" operator="equal">
      <formula>"In-Work"</formula>
    </cfRule>
    <cfRule type="cellIs" dxfId="80" priority="18"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zoomScaleNormal="100" workbookViewId="0">
      <selection activeCell="AJ79" sqref="AJ79"/>
    </sheetView>
  </sheetViews>
  <sheetFormatPr defaultColWidth="9.21875" defaultRowHeight="14.4"/>
  <cols>
    <col min="1" max="34" width="2.77734375" style="103" customWidth="1"/>
    <col min="35" max="35" width="9.21875" style="103"/>
    <col min="36" max="36" width="22" style="103" customWidth="1"/>
    <col min="37" max="16384" width="9.21875" style="103"/>
  </cols>
  <sheetData>
    <row r="1" spans="1:34">
      <c r="A1" s="85"/>
      <c r="B1" s="85"/>
      <c r="C1" s="86"/>
      <c r="D1" s="86"/>
      <c r="E1" s="86"/>
      <c r="F1" s="86"/>
      <c r="G1" s="87"/>
      <c r="H1" s="88"/>
      <c r="I1" s="88"/>
      <c r="J1" s="88"/>
      <c r="K1" s="88"/>
      <c r="L1" s="88"/>
      <c r="M1" s="88"/>
      <c r="N1" s="88"/>
      <c r="O1" s="88"/>
      <c r="P1" s="89"/>
      <c r="Q1" s="89"/>
      <c r="R1" s="89"/>
      <c r="S1" s="89"/>
      <c r="T1" s="89"/>
      <c r="U1" s="89"/>
      <c r="V1" s="89"/>
      <c r="W1" s="89"/>
      <c r="X1" s="89"/>
      <c r="Y1" s="89"/>
      <c r="Z1" s="89"/>
      <c r="AA1" s="89"/>
      <c r="AB1" s="89"/>
      <c r="AC1" s="89"/>
      <c r="AD1" s="89"/>
      <c r="AE1" s="89"/>
      <c r="AF1" s="89"/>
      <c r="AG1" s="89"/>
      <c r="AH1" s="89"/>
    </row>
    <row r="2" spans="1:34">
      <c r="A2" s="85"/>
      <c r="B2" s="85"/>
      <c r="C2" s="85"/>
      <c r="D2" s="85"/>
      <c r="E2" s="85"/>
      <c r="F2" s="85"/>
      <c r="G2" s="85"/>
      <c r="H2" s="85"/>
      <c r="I2" s="85"/>
      <c r="J2" s="85"/>
      <c r="K2" s="85"/>
      <c r="L2" s="85"/>
      <c r="M2" s="85"/>
      <c r="N2" s="85"/>
      <c r="O2" s="85"/>
      <c r="P2" s="85"/>
      <c r="Q2" s="85"/>
      <c r="R2" s="85"/>
      <c r="S2" s="85"/>
      <c r="T2" s="85"/>
      <c r="U2" s="85"/>
      <c r="V2" s="85"/>
      <c r="W2" s="85"/>
      <c r="X2" s="85"/>
      <c r="Y2" s="85"/>
      <c r="Z2" s="85"/>
      <c r="AA2" s="85"/>
      <c r="AB2" s="85"/>
      <c r="AC2" s="85"/>
      <c r="AD2" s="85"/>
      <c r="AE2" s="85"/>
      <c r="AF2" s="85"/>
      <c r="AG2" s="85"/>
      <c r="AH2" s="85"/>
    </row>
    <row r="3" spans="1:34">
      <c r="A3" s="85"/>
      <c r="B3" s="85"/>
      <c r="C3" s="85"/>
      <c r="D3" s="85"/>
      <c r="E3" s="85"/>
      <c r="F3" s="85"/>
      <c r="G3" s="85"/>
      <c r="H3" s="85"/>
      <c r="I3" s="85"/>
      <c r="J3" s="85"/>
      <c r="K3" s="85"/>
      <c r="L3" s="85"/>
      <c r="M3" s="85"/>
      <c r="N3" s="85"/>
      <c r="O3" s="85"/>
      <c r="P3" s="85"/>
      <c r="Q3" s="85"/>
      <c r="R3" s="85"/>
      <c r="S3" s="85"/>
      <c r="T3" s="85"/>
      <c r="U3" s="85"/>
      <c r="V3" s="85"/>
      <c r="W3" s="85"/>
      <c r="X3" s="85"/>
      <c r="Y3" s="85"/>
      <c r="Z3" s="85"/>
      <c r="AA3" s="85"/>
      <c r="AB3" s="85"/>
      <c r="AC3" s="85"/>
      <c r="AD3" s="104" t="str">
        <f>FileName</f>
        <v>ERH - Peer Review Workbook (PRWB).xlsm</v>
      </c>
      <c r="AE3" s="85"/>
      <c r="AF3" s="85"/>
      <c r="AG3" s="85"/>
      <c r="AH3" s="85"/>
    </row>
    <row r="4" spans="1:34">
      <c r="A4" s="251" t="s">
        <v>5</v>
      </c>
      <c r="B4" s="252"/>
      <c r="C4" s="252"/>
      <c r="D4" s="252"/>
      <c r="E4" s="252"/>
      <c r="F4" s="252"/>
      <c r="G4" s="252"/>
      <c r="H4" s="252"/>
      <c r="I4" s="252"/>
      <c r="J4" s="252"/>
      <c r="K4" s="252"/>
      <c r="L4" s="252"/>
      <c r="M4" s="252"/>
      <c r="N4" s="252"/>
      <c r="O4" s="252"/>
      <c r="P4" s="252"/>
      <c r="Q4" s="252"/>
      <c r="R4" s="252"/>
      <c r="S4" s="252"/>
      <c r="T4" s="252"/>
      <c r="U4" s="252"/>
      <c r="V4" s="253"/>
      <c r="W4" s="290" t="s">
        <v>6</v>
      </c>
      <c r="X4" s="291"/>
      <c r="Y4" s="291"/>
      <c r="Z4" s="291"/>
      <c r="AA4" s="292"/>
      <c r="AB4" s="251" t="s">
        <v>137</v>
      </c>
      <c r="AC4" s="252"/>
      <c r="AD4" s="252"/>
      <c r="AE4" s="252"/>
      <c r="AF4" s="252"/>
      <c r="AG4" s="253"/>
      <c r="AH4" s="91"/>
    </row>
    <row r="5" spans="1:34">
      <c r="A5" s="257" t="s">
        <v>214</v>
      </c>
      <c r="B5" s="258"/>
      <c r="C5" s="258"/>
      <c r="D5" s="258"/>
      <c r="E5" s="258"/>
      <c r="F5" s="258"/>
      <c r="G5" s="258"/>
      <c r="H5" s="258"/>
      <c r="I5" s="258"/>
      <c r="J5" s="258"/>
      <c r="K5" s="258"/>
      <c r="L5" s="258"/>
      <c r="M5" s="258"/>
      <c r="N5" s="258"/>
      <c r="O5" s="258"/>
      <c r="P5" s="258"/>
      <c r="Q5" s="258"/>
      <c r="R5" s="258"/>
      <c r="S5" s="258"/>
      <c r="T5" s="258"/>
      <c r="U5" s="258"/>
      <c r="V5" s="259"/>
      <c r="W5" s="293" t="s">
        <v>213</v>
      </c>
      <c r="X5" s="294"/>
      <c r="Y5" s="294"/>
      <c r="Z5" s="294"/>
      <c r="AA5" s="295"/>
      <c r="AB5" s="257" t="s">
        <v>212</v>
      </c>
      <c r="AC5" s="258"/>
      <c r="AD5" s="258"/>
      <c r="AE5" s="258"/>
      <c r="AF5" s="258"/>
      <c r="AG5" s="259"/>
      <c r="AH5" s="92"/>
    </row>
    <row r="6" spans="1:34">
      <c r="A6" s="282" t="s">
        <v>7</v>
      </c>
      <c r="B6" s="283"/>
      <c r="C6" s="283"/>
      <c r="D6" s="284"/>
      <c r="E6" s="282" t="s">
        <v>8</v>
      </c>
      <c r="F6" s="283"/>
      <c r="G6" s="283"/>
      <c r="H6" s="283"/>
      <c r="I6" s="283"/>
      <c r="J6" s="283"/>
      <c r="K6" s="283"/>
      <c r="L6" s="283"/>
      <c r="M6" s="283"/>
      <c r="N6" s="283"/>
      <c r="O6" s="283"/>
      <c r="P6" s="283"/>
      <c r="Q6" s="283"/>
      <c r="R6" s="283"/>
      <c r="S6" s="283"/>
      <c r="T6" s="283"/>
      <c r="U6" s="283"/>
      <c r="V6" s="284"/>
      <c r="W6" s="251" t="s">
        <v>10</v>
      </c>
      <c r="X6" s="252"/>
      <c r="Y6" s="252"/>
      <c r="Z6" s="252"/>
      <c r="AA6" s="253"/>
      <c r="AB6" s="290" t="s">
        <v>34</v>
      </c>
      <c r="AC6" s="291"/>
      <c r="AD6" s="292"/>
      <c r="AE6" s="290" t="s">
        <v>9</v>
      </c>
      <c r="AF6" s="291"/>
      <c r="AG6" s="292"/>
      <c r="AH6" s="85"/>
    </row>
    <row r="7" spans="1:34">
      <c r="A7" s="293" t="s">
        <v>211</v>
      </c>
      <c r="B7" s="294"/>
      <c r="C7" s="294"/>
      <c r="D7" s="295"/>
      <c r="E7" s="293" t="s">
        <v>216</v>
      </c>
      <c r="F7" s="294"/>
      <c r="G7" s="294"/>
      <c r="H7" s="294"/>
      <c r="I7" s="294"/>
      <c r="J7" s="294"/>
      <c r="K7" s="294"/>
      <c r="L7" s="294"/>
      <c r="M7" s="294"/>
      <c r="N7" s="294"/>
      <c r="O7" s="294"/>
      <c r="P7" s="294"/>
      <c r="Q7" s="294"/>
      <c r="R7" s="294"/>
      <c r="S7" s="294"/>
      <c r="T7" s="294"/>
      <c r="U7" s="294"/>
      <c r="V7" s="295"/>
      <c r="W7" s="293" t="str">
        <f ca="1">TemplateRef</f>
        <v>AEF1007</v>
      </c>
      <c r="X7" s="294"/>
      <c r="Y7" s="294"/>
      <c r="Z7" s="294"/>
      <c r="AA7" s="295"/>
      <c r="AB7" s="293" t="s">
        <v>215</v>
      </c>
      <c r="AC7" s="294"/>
      <c r="AD7" s="295"/>
      <c r="AE7" s="293" t="s">
        <v>215</v>
      </c>
      <c r="AF7" s="294"/>
      <c r="AG7" s="295"/>
      <c r="AH7" s="92"/>
    </row>
    <row r="8" spans="1:34">
      <c r="A8" s="282" t="s">
        <v>144</v>
      </c>
      <c r="B8" s="283"/>
      <c r="C8" s="283"/>
      <c r="D8" s="283"/>
      <c r="E8" s="283"/>
      <c r="F8" s="283"/>
      <c r="G8" s="283"/>
      <c r="H8" s="283"/>
      <c r="I8" s="283"/>
      <c r="J8" s="283"/>
      <c r="K8" s="283"/>
      <c r="L8" s="283"/>
      <c r="M8" s="283"/>
      <c r="N8" s="283"/>
      <c r="O8" s="283"/>
      <c r="P8" s="283"/>
      <c r="Q8" s="283"/>
      <c r="R8" s="283"/>
      <c r="S8" s="283"/>
      <c r="T8" s="283"/>
      <c r="U8" s="283"/>
      <c r="V8" s="283"/>
      <c r="W8" s="283"/>
      <c r="X8" s="283"/>
      <c r="Y8" s="283"/>
      <c r="Z8" s="283"/>
      <c r="AA8" s="283"/>
      <c r="AB8" s="283"/>
      <c r="AC8" s="283"/>
      <c r="AD8" s="283"/>
      <c r="AE8" s="283"/>
      <c r="AF8" s="283"/>
      <c r="AG8" s="284"/>
      <c r="AH8" s="95"/>
    </row>
    <row r="9" spans="1:34">
      <c r="A9" s="285" t="s">
        <v>145</v>
      </c>
      <c r="B9" s="286"/>
      <c r="C9" s="286"/>
      <c r="D9" s="286"/>
      <c r="E9" s="286"/>
      <c r="F9" s="286"/>
      <c r="G9" s="286"/>
      <c r="H9" s="286"/>
      <c r="I9" s="286"/>
      <c r="J9" s="286"/>
      <c r="K9" s="286"/>
      <c r="L9" s="286"/>
      <c r="M9" s="286"/>
      <c r="N9" s="286"/>
      <c r="O9" s="286"/>
      <c r="P9" s="286"/>
      <c r="Q9" s="286"/>
      <c r="R9" s="286"/>
      <c r="S9" s="286"/>
      <c r="T9" s="286"/>
      <c r="U9" s="286"/>
      <c r="V9" s="286"/>
      <c r="W9" s="286"/>
      <c r="X9" s="286"/>
      <c r="Y9" s="286"/>
      <c r="Z9" s="286"/>
      <c r="AA9" s="286"/>
      <c r="AB9" s="286"/>
      <c r="AC9" s="286"/>
      <c r="AD9" s="286"/>
      <c r="AE9" s="286"/>
      <c r="AF9" s="286"/>
      <c r="AG9" s="287"/>
      <c r="AH9" s="95"/>
    </row>
    <row r="10" spans="1:34">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95"/>
      <c r="AE10" s="95"/>
      <c r="AF10" s="95"/>
      <c r="AG10" s="95"/>
      <c r="AH10" s="95"/>
    </row>
    <row r="11" spans="1:34">
      <c r="A11" s="95"/>
      <c r="B11" s="95"/>
      <c r="C11" s="95"/>
      <c r="D11" s="95"/>
      <c r="E11" s="95"/>
      <c r="F11" s="95"/>
      <c r="G11" s="95"/>
      <c r="H11" s="95"/>
      <c r="I11" s="95"/>
      <c r="J11" s="95"/>
      <c r="K11" s="95"/>
      <c r="L11" s="95"/>
      <c r="M11" s="95"/>
      <c r="N11" s="95"/>
      <c r="O11" s="95"/>
      <c r="P11" s="95"/>
      <c r="Q11" s="95"/>
      <c r="R11" s="95"/>
      <c r="S11" s="95"/>
      <c r="T11" s="95"/>
      <c r="U11" s="95"/>
      <c r="V11" s="95"/>
      <c r="W11" s="95"/>
      <c r="X11" s="95"/>
      <c r="Y11" s="95"/>
      <c r="Z11" s="95"/>
      <c r="AA11" s="95"/>
      <c r="AB11" s="95"/>
      <c r="AC11" s="95"/>
      <c r="AD11" s="95"/>
      <c r="AE11" s="95"/>
      <c r="AF11" s="95"/>
      <c r="AG11" s="95"/>
      <c r="AH11" s="95"/>
    </row>
    <row r="12" spans="1:34" ht="24.6">
      <c r="A12" s="95"/>
      <c r="B12" s="105" t="s">
        <v>146</v>
      </c>
      <c r="C12" s="106"/>
      <c r="D12" s="106"/>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95"/>
      <c r="AH12" s="95"/>
    </row>
    <row r="13" spans="1:34">
      <c r="A13" s="95"/>
      <c r="B13" s="95"/>
      <c r="C13" s="95"/>
      <c r="D13" s="95"/>
      <c r="E13" s="95"/>
      <c r="F13" s="95"/>
      <c r="G13" s="95"/>
      <c r="H13" s="95"/>
      <c r="I13" s="95"/>
      <c r="J13" s="95"/>
      <c r="K13" s="95"/>
      <c r="L13" s="95"/>
      <c r="M13" s="95"/>
      <c r="N13" s="95"/>
      <c r="O13" s="95"/>
      <c r="P13" s="95"/>
      <c r="Q13" s="95"/>
      <c r="R13" s="95"/>
      <c r="S13" s="95"/>
      <c r="T13" s="95"/>
      <c r="U13" s="95"/>
      <c r="V13" s="95"/>
      <c r="W13" s="95"/>
      <c r="X13" s="95"/>
      <c r="Y13" s="95"/>
      <c r="Z13" s="95"/>
      <c r="AA13" s="95"/>
      <c r="AB13" s="95"/>
      <c r="AC13" s="95"/>
      <c r="AD13" s="95"/>
      <c r="AE13" s="95"/>
      <c r="AF13" s="95"/>
      <c r="AG13" s="95"/>
      <c r="AH13" s="95"/>
    </row>
    <row r="14" spans="1:34" ht="20.399999999999999">
      <c r="A14" s="95"/>
      <c r="B14" s="107" t="s">
        <v>147</v>
      </c>
      <c r="C14" s="108"/>
      <c r="D14" s="95"/>
      <c r="E14" s="95"/>
      <c r="F14" s="95"/>
      <c r="G14" s="95"/>
      <c r="H14" s="95"/>
      <c r="I14" s="95"/>
      <c r="J14" s="95"/>
      <c r="K14" s="95"/>
      <c r="L14" s="95"/>
      <c r="M14" s="95"/>
      <c r="N14" s="95"/>
      <c r="O14" s="95"/>
      <c r="P14" s="95"/>
      <c r="Q14" s="95"/>
      <c r="R14" s="95"/>
      <c r="S14" s="95"/>
      <c r="T14" s="95"/>
      <c r="U14" s="95"/>
      <c r="V14" s="95"/>
      <c r="W14" s="95"/>
      <c r="X14" s="95"/>
      <c r="Y14" s="95"/>
      <c r="Z14" s="95"/>
      <c r="AA14" s="95"/>
      <c r="AB14" s="95"/>
      <c r="AC14" s="95"/>
      <c r="AD14" s="95"/>
      <c r="AE14" s="95"/>
      <c r="AF14" s="95"/>
      <c r="AG14" s="95"/>
      <c r="AH14" s="95"/>
    </row>
    <row r="15" spans="1:34">
      <c r="A15" s="95"/>
      <c r="B15" s="267" t="s">
        <v>148</v>
      </c>
      <c r="C15" s="288"/>
      <c r="D15" s="288"/>
      <c r="E15" s="288"/>
      <c r="F15" s="288"/>
      <c r="G15" s="267" t="s">
        <v>149</v>
      </c>
      <c r="H15" s="267"/>
      <c r="I15" s="267"/>
      <c r="J15" s="267"/>
      <c r="K15" s="267"/>
      <c r="L15" s="267"/>
      <c r="M15" s="267"/>
      <c r="N15" s="267"/>
      <c r="O15" s="267"/>
      <c r="P15" s="267"/>
      <c r="Q15" s="267"/>
      <c r="R15" s="267"/>
      <c r="S15" s="267"/>
      <c r="T15" s="267"/>
      <c r="U15" s="267"/>
      <c r="V15" s="267"/>
      <c r="W15" s="267"/>
      <c r="X15" s="267"/>
      <c r="Y15" s="267"/>
      <c r="Z15" s="267"/>
      <c r="AA15" s="267"/>
      <c r="AB15" s="267"/>
      <c r="AC15" s="267"/>
      <c r="AD15" s="267"/>
      <c r="AE15" s="267"/>
      <c r="AF15" s="267"/>
      <c r="AG15" s="95"/>
      <c r="AH15" s="95"/>
    </row>
    <row r="16" spans="1:34" ht="55.5" customHeight="1">
      <c r="A16" s="95"/>
      <c r="B16" s="289" t="s">
        <v>150</v>
      </c>
      <c r="C16" s="289"/>
      <c r="D16" s="289"/>
      <c r="E16" s="289"/>
      <c r="F16" s="289"/>
      <c r="G16" s="270" t="s">
        <v>151</v>
      </c>
      <c r="H16" s="270"/>
      <c r="I16" s="270"/>
      <c r="J16" s="270"/>
      <c r="K16" s="270"/>
      <c r="L16" s="270"/>
      <c r="M16" s="270"/>
      <c r="N16" s="270"/>
      <c r="O16" s="270"/>
      <c r="P16" s="270"/>
      <c r="Q16" s="270"/>
      <c r="R16" s="270"/>
      <c r="S16" s="270"/>
      <c r="T16" s="270"/>
      <c r="U16" s="270"/>
      <c r="V16" s="270"/>
      <c r="W16" s="270"/>
      <c r="X16" s="270"/>
      <c r="Y16" s="270"/>
      <c r="Z16" s="270"/>
      <c r="AA16" s="270"/>
      <c r="AB16" s="270"/>
      <c r="AC16" s="270"/>
      <c r="AD16" s="270"/>
      <c r="AE16" s="270"/>
      <c r="AF16" s="270"/>
      <c r="AG16" s="95"/>
      <c r="AH16" s="95"/>
    </row>
    <row r="17" spans="1:34">
      <c r="A17" s="95"/>
      <c r="B17" s="289" t="s">
        <v>152</v>
      </c>
      <c r="C17" s="289"/>
      <c r="D17" s="289"/>
      <c r="E17" s="289"/>
      <c r="F17" s="289"/>
      <c r="G17" s="270" t="s">
        <v>153</v>
      </c>
      <c r="H17" s="270"/>
      <c r="I17" s="270"/>
      <c r="J17" s="270"/>
      <c r="K17" s="270"/>
      <c r="L17" s="270"/>
      <c r="M17" s="270"/>
      <c r="N17" s="270"/>
      <c r="O17" s="270"/>
      <c r="P17" s="270"/>
      <c r="Q17" s="270"/>
      <c r="R17" s="270"/>
      <c r="S17" s="270"/>
      <c r="T17" s="270"/>
      <c r="U17" s="270"/>
      <c r="V17" s="270"/>
      <c r="W17" s="270"/>
      <c r="X17" s="270"/>
      <c r="Y17" s="270"/>
      <c r="Z17" s="270"/>
      <c r="AA17" s="270"/>
      <c r="AB17" s="270"/>
      <c r="AC17" s="270"/>
      <c r="AD17" s="270"/>
      <c r="AE17" s="270"/>
      <c r="AF17" s="270"/>
      <c r="AG17" s="95"/>
      <c r="AH17" s="95"/>
    </row>
    <row r="18" spans="1:34" ht="15" customHeight="1">
      <c r="A18" s="95"/>
      <c r="B18" s="289" t="s">
        <v>15</v>
      </c>
      <c r="C18" s="289"/>
      <c r="D18" s="289"/>
      <c r="E18" s="289"/>
      <c r="F18" s="289"/>
      <c r="G18" s="270" t="s">
        <v>154</v>
      </c>
      <c r="H18" s="270"/>
      <c r="I18" s="270"/>
      <c r="J18" s="270"/>
      <c r="K18" s="270"/>
      <c r="L18" s="270"/>
      <c r="M18" s="270"/>
      <c r="N18" s="270"/>
      <c r="O18" s="270"/>
      <c r="P18" s="270"/>
      <c r="Q18" s="270"/>
      <c r="R18" s="270"/>
      <c r="S18" s="270"/>
      <c r="T18" s="270"/>
      <c r="U18" s="270"/>
      <c r="V18" s="270"/>
      <c r="W18" s="270"/>
      <c r="X18" s="270"/>
      <c r="Y18" s="270"/>
      <c r="Z18" s="270"/>
      <c r="AA18" s="270"/>
      <c r="AB18" s="270"/>
      <c r="AC18" s="270"/>
      <c r="AD18" s="270"/>
      <c r="AE18" s="270"/>
      <c r="AF18" s="270"/>
      <c r="AG18" s="95"/>
      <c r="AH18" s="95"/>
    </row>
    <row r="19" spans="1:34" ht="24" customHeight="1">
      <c r="A19" s="95"/>
      <c r="B19" s="279" t="s">
        <v>189</v>
      </c>
      <c r="C19" s="279"/>
      <c r="D19" s="279"/>
      <c r="E19" s="279"/>
      <c r="F19" s="279"/>
      <c r="G19" s="270" t="s">
        <v>154</v>
      </c>
      <c r="H19" s="270"/>
      <c r="I19" s="270"/>
      <c r="J19" s="270"/>
      <c r="K19" s="270"/>
      <c r="L19" s="270"/>
      <c r="M19" s="270"/>
      <c r="N19" s="270"/>
      <c r="O19" s="270"/>
      <c r="P19" s="270"/>
      <c r="Q19" s="270"/>
      <c r="R19" s="270"/>
      <c r="S19" s="270"/>
      <c r="T19" s="270"/>
      <c r="U19" s="270"/>
      <c r="V19" s="270"/>
      <c r="W19" s="270"/>
      <c r="X19" s="270"/>
      <c r="Y19" s="270"/>
      <c r="Z19" s="270"/>
      <c r="AA19" s="270"/>
      <c r="AB19" s="270"/>
      <c r="AC19" s="270"/>
      <c r="AD19" s="270"/>
      <c r="AE19" s="270"/>
      <c r="AF19" s="270"/>
      <c r="AG19" s="95"/>
      <c r="AH19" s="95"/>
    </row>
    <row r="20" spans="1:34">
      <c r="A20" s="95"/>
      <c r="B20" s="296" t="s">
        <v>190</v>
      </c>
      <c r="C20" s="296"/>
      <c r="D20" s="296"/>
      <c r="E20" s="296"/>
      <c r="F20" s="296"/>
      <c r="G20" s="270" t="s">
        <v>154</v>
      </c>
      <c r="H20" s="270"/>
      <c r="I20" s="270"/>
      <c r="J20" s="270"/>
      <c r="K20" s="270"/>
      <c r="L20" s="270"/>
      <c r="M20" s="270"/>
      <c r="N20" s="270"/>
      <c r="O20" s="270"/>
      <c r="P20" s="270"/>
      <c r="Q20" s="270"/>
      <c r="R20" s="270"/>
      <c r="S20" s="270"/>
      <c r="T20" s="270"/>
      <c r="U20" s="270"/>
      <c r="V20" s="270"/>
      <c r="W20" s="270"/>
      <c r="X20" s="270"/>
      <c r="Y20" s="270"/>
      <c r="Z20" s="270"/>
      <c r="AA20" s="270"/>
      <c r="AB20" s="270"/>
      <c r="AC20" s="270"/>
      <c r="AD20" s="270"/>
      <c r="AE20" s="270"/>
      <c r="AF20" s="270"/>
      <c r="AG20" s="95"/>
      <c r="AH20" s="95"/>
    </row>
    <row r="21" spans="1:34" ht="35.25" customHeight="1">
      <c r="A21" s="95"/>
      <c r="B21" s="280" t="s">
        <v>311</v>
      </c>
      <c r="C21" s="280"/>
      <c r="D21" s="280"/>
      <c r="E21" s="280"/>
      <c r="F21" s="280"/>
      <c r="G21" s="270" t="s">
        <v>312</v>
      </c>
      <c r="H21" s="270"/>
      <c r="I21" s="270"/>
      <c r="J21" s="270"/>
      <c r="K21" s="270"/>
      <c r="L21" s="270"/>
      <c r="M21" s="270"/>
      <c r="N21" s="270"/>
      <c r="O21" s="270"/>
      <c r="P21" s="270"/>
      <c r="Q21" s="270"/>
      <c r="R21" s="270"/>
      <c r="S21" s="270"/>
      <c r="T21" s="270"/>
      <c r="U21" s="270"/>
      <c r="V21" s="270"/>
      <c r="W21" s="270"/>
      <c r="X21" s="270"/>
      <c r="Y21" s="270"/>
      <c r="Z21" s="270"/>
      <c r="AA21" s="270"/>
      <c r="AB21" s="270"/>
      <c r="AC21" s="270"/>
      <c r="AD21" s="270"/>
      <c r="AE21" s="270"/>
      <c r="AF21" s="270"/>
      <c r="AG21" s="95"/>
      <c r="AH21" s="95"/>
    </row>
    <row r="22" spans="1:34" ht="28.5" customHeight="1">
      <c r="A22" s="95"/>
      <c r="B22" s="280" t="s">
        <v>313</v>
      </c>
      <c r="C22" s="280"/>
      <c r="D22" s="280"/>
      <c r="E22" s="280"/>
      <c r="F22" s="280"/>
      <c r="G22" s="270" t="s">
        <v>314</v>
      </c>
      <c r="H22" s="270"/>
      <c r="I22" s="270"/>
      <c r="J22" s="270"/>
      <c r="K22" s="270"/>
      <c r="L22" s="270"/>
      <c r="M22" s="270"/>
      <c r="N22" s="270"/>
      <c r="O22" s="270"/>
      <c r="P22" s="270"/>
      <c r="Q22" s="270"/>
      <c r="R22" s="270"/>
      <c r="S22" s="270"/>
      <c r="T22" s="270"/>
      <c r="U22" s="270"/>
      <c r="V22" s="270"/>
      <c r="W22" s="270"/>
      <c r="X22" s="270"/>
      <c r="Y22" s="270"/>
      <c r="Z22" s="270"/>
      <c r="AA22" s="270"/>
      <c r="AB22" s="270"/>
      <c r="AC22" s="270"/>
      <c r="AD22" s="270"/>
      <c r="AE22" s="270"/>
      <c r="AF22" s="270"/>
      <c r="AG22" s="95"/>
      <c r="AH22" s="95"/>
    </row>
    <row r="23" spans="1:34" ht="22.5" customHeight="1">
      <c r="A23" s="95"/>
      <c r="B23" s="280" t="s">
        <v>315</v>
      </c>
      <c r="C23" s="280"/>
      <c r="D23" s="280"/>
      <c r="E23" s="280"/>
      <c r="F23" s="280"/>
      <c r="G23" s="270" t="s">
        <v>316</v>
      </c>
      <c r="H23" s="270"/>
      <c r="I23" s="270"/>
      <c r="J23" s="270"/>
      <c r="K23" s="270"/>
      <c r="L23" s="270"/>
      <c r="M23" s="270"/>
      <c r="N23" s="270"/>
      <c r="O23" s="270"/>
      <c r="P23" s="270"/>
      <c r="Q23" s="270"/>
      <c r="R23" s="270"/>
      <c r="S23" s="270"/>
      <c r="T23" s="270"/>
      <c r="U23" s="270"/>
      <c r="V23" s="270"/>
      <c r="W23" s="270"/>
      <c r="X23" s="270"/>
      <c r="Y23" s="270"/>
      <c r="Z23" s="270"/>
      <c r="AA23" s="270"/>
      <c r="AB23" s="270"/>
      <c r="AC23" s="270"/>
      <c r="AD23" s="270"/>
      <c r="AE23" s="270"/>
      <c r="AF23" s="270"/>
      <c r="AG23" s="95"/>
      <c r="AH23" s="95"/>
    </row>
    <row r="24" spans="1:34" ht="45" customHeight="1">
      <c r="A24" s="95"/>
      <c r="B24" s="281" t="s">
        <v>191</v>
      </c>
      <c r="C24" s="281"/>
      <c r="D24" s="281"/>
      <c r="E24" s="281"/>
      <c r="F24" s="281"/>
      <c r="G24" s="270" t="s">
        <v>395</v>
      </c>
      <c r="H24" s="270"/>
      <c r="I24" s="270"/>
      <c r="J24" s="270"/>
      <c r="K24" s="270"/>
      <c r="L24" s="270"/>
      <c r="M24" s="270"/>
      <c r="N24" s="270"/>
      <c r="O24" s="270"/>
      <c r="P24" s="270"/>
      <c r="Q24" s="270"/>
      <c r="R24" s="270"/>
      <c r="S24" s="270"/>
      <c r="T24" s="270"/>
      <c r="U24" s="270"/>
      <c r="V24" s="270"/>
      <c r="W24" s="270"/>
      <c r="X24" s="270"/>
      <c r="Y24" s="270"/>
      <c r="Z24" s="270"/>
      <c r="AA24" s="270"/>
      <c r="AB24" s="270"/>
      <c r="AC24" s="270"/>
      <c r="AD24" s="270"/>
      <c r="AE24" s="270"/>
      <c r="AF24" s="270"/>
      <c r="AG24" s="95"/>
      <c r="AH24" s="95"/>
    </row>
    <row r="25" spans="1:34">
      <c r="A25" s="95"/>
      <c r="B25" s="95"/>
      <c r="C25" s="109"/>
      <c r="D25" s="95"/>
      <c r="E25" s="95"/>
      <c r="F25" s="95"/>
      <c r="G25" s="95"/>
      <c r="H25" s="95"/>
      <c r="I25" s="110"/>
      <c r="J25" s="95"/>
      <c r="K25" s="95"/>
      <c r="L25" s="95"/>
      <c r="M25" s="95"/>
      <c r="N25" s="95"/>
      <c r="O25" s="95"/>
      <c r="P25" s="95"/>
      <c r="Q25" s="95"/>
      <c r="R25" s="95"/>
      <c r="S25" s="95"/>
      <c r="T25" s="95"/>
      <c r="U25" s="95"/>
      <c r="V25" s="95"/>
      <c r="W25" s="95"/>
      <c r="X25" s="95"/>
      <c r="Y25" s="95"/>
      <c r="Z25" s="95"/>
      <c r="AA25" s="95"/>
      <c r="AB25" s="95"/>
      <c r="AC25" s="95"/>
      <c r="AD25" s="95"/>
      <c r="AE25" s="95"/>
      <c r="AF25" s="95"/>
      <c r="AG25" s="95"/>
      <c r="AH25" s="95"/>
    </row>
    <row r="26" spans="1:34" ht="20.399999999999999">
      <c r="A26" s="107"/>
      <c r="B26" s="107" t="s">
        <v>155</v>
      </c>
      <c r="C26" s="109"/>
      <c r="D26" s="95"/>
      <c r="E26" s="95"/>
      <c r="F26" s="95"/>
      <c r="G26" s="95"/>
      <c r="H26" s="95"/>
      <c r="I26" s="110"/>
      <c r="J26" s="95"/>
      <c r="K26" s="95"/>
      <c r="L26" s="95"/>
      <c r="M26" s="95"/>
      <c r="N26" s="95"/>
      <c r="O26" s="95"/>
      <c r="P26" s="95"/>
      <c r="Q26" s="95"/>
      <c r="R26" s="95"/>
      <c r="S26" s="95"/>
      <c r="T26" s="95"/>
      <c r="U26" s="95"/>
      <c r="V26" s="95"/>
      <c r="W26" s="95"/>
      <c r="X26" s="95"/>
      <c r="Y26" s="95"/>
      <c r="Z26" s="95"/>
      <c r="AA26" s="95"/>
      <c r="AB26" s="95"/>
      <c r="AC26" s="95"/>
      <c r="AD26" s="95"/>
      <c r="AE26" s="95"/>
      <c r="AF26" s="95"/>
      <c r="AG26" s="95"/>
      <c r="AH26" s="95"/>
    </row>
    <row r="27" spans="1:34">
      <c r="A27" s="95"/>
      <c r="B27" s="267" t="s">
        <v>34</v>
      </c>
      <c r="C27" s="272"/>
      <c r="D27" s="272"/>
      <c r="E27" s="267" t="s">
        <v>93</v>
      </c>
      <c r="F27" s="267"/>
      <c r="G27" s="267"/>
      <c r="H27" s="267"/>
      <c r="I27" s="267" t="s">
        <v>156</v>
      </c>
      <c r="J27" s="272"/>
      <c r="K27" s="272"/>
      <c r="L27" s="272"/>
      <c r="M27" s="272"/>
      <c r="N27" s="272"/>
      <c r="O27" s="272"/>
      <c r="P27" s="272"/>
      <c r="Q27" s="272"/>
      <c r="R27" s="267" t="s">
        <v>157</v>
      </c>
      <c r="S27" s="267"/>
      <c r="T27" s="267"/>
      <c r="U27" s="267"/>
      <c r="V27" s="267"/>
      <c r="W27" s="267"/>
      <c r="X27" s="267"/>
      <c r="Y27" s="267"/>
      <c r="Z27" s="267"/>
      <c r="AA27" s="267"/>
      <c r="AB27" s="267"/>
      <c r="AC27" s="267"/>
      <c r="AD27" s="267"/>
      <c r="AE27" s="267"/>
      <c r="AF27" s="267"/>
      <c r="AG27" s="95"/>
      <c r="AH27" s="95"/>
    </row>
    <row r="28" spans="1:34" ht="40.5" customHeight="1">
      <c r="A28" s="95"/>
      <c r="B28" s="260" t="s">
        <v>3</v>
      </c>
      <c r="C28" s="261" t="s">
        <v>3</v>
      </c>
      <c r="D28" s="262" t="s">
        <v>3</v>
      </c>
      <c r="E28" s="273"/>
      <c r="F28" s="274"/>
      <c r="G28" s="274"/>
      <c r="H28" s="275"/>
      <c r="I28" s="270"/>
      <c r="J28" s="276"/>
      <c r="K28" s="276"/>
      <c r="L28" s="276"/>
      <c r="M28" s="276"/>
      <c r="N28" s="276"/>
      <c r="O28" s="276"/>
      <c r="P28" s="276"/>
      <c r="Q28" s="276"/>
      <c r="R28" s="270" t="s">
        <v>14</v>
      </c>
      <c r="S28" s="270" t="s">
        <v>14</v>
      </c>
      <c r="T28" s="270" t="s">
        <v>14</v>
      </c>
      <c r="U28" s="270" t="s">
        <v>14</v>
      </c>
      <c r="V28" s="270" t="s">
        <v>14</v>
      </c>
      <c r="W28" s="270" t="s">
        <v>14</v>
      </c>
      <c r="X28" s="270" t="s">
        <v>14</v>
      </c>
      <c r="Y28" s="270" t="s">
        <v>14</v>
      </c>
      <c r="Z28" s="270" t="s">
        <v>14</v>
      </c>
      <c r="AA28" s="270" t="s">
        <v>14</v>
      </c>
      <c r="AB28" s="270" t="s">
        <v>14</v>
      </c>
      <c r="AC28" s="270" t="s">
        <v>14</v>
      </c>
      <c r="AD28" s="270" t="s">
        <v>14</v>
      </c>
      <c r="AE28" s="270" t="s">
        <v>14</v>
      </c>
      <c r="AF28" s="270" t="s">
        <v>14</v>
      </c>
      <c r="AG28" s="95"/>
      <c r="AH28" s="95"/>
    </row>
    <row r="29" spans="1:34" ht="60" customHeight="1">
      <c r="A29" s="95"/>
      <c r="B29" s="260" t="s">
        <v>18</v>
      </c>
      <c r="C29" s="261" t="s">
        <v>18</v>
      </c>
      <c r="D29" s="262" t="s">
        <v>18</v>
      </c>
      <c r="E29" s="273">
        <v>40591.490486111114</v>
      </c>
      <c r="F29" s="274">
        <v>40591.490486111114</v>
      </c>
      <c r="G29" s="274">
        <v>40591.490486111114</v>
      </c>
      <c r="H29" s="275">
        <v>40591.490486111114</v>
      </c>
      <c r="I29" s="270" t="s">
        <v>4</v>
      </c>
      <c r="J29" s="276" t="s">
        <v>4</v>
      </c>
      <c r="K29" s="276" t="s">
        <v>4</v>
      </c>
      <c r="L29" s="276" t="s">
        <v>4</v>
      </c>
      <c r="M29" s="276" t="s">
        <v>4</v>
      </c>
      <c r="N29" s="276" t="s">
        <v>4</v>
      </c>
      <c r="O29" s="276" t="s">
        <v>4</v>
      </c>
      <c r="P29" s="276" t="s">
        <v>4</v>
      </c>
      <c r="Q29" s="276" t="s">
        <v>4</v>
      </c>
      <c r="R29" s="270" t="s">
        <v>35</v>
      </c>
      <c r="S29" s="270" t="s">
        <v>35</v>
      </c>
      <c r="T29" s="270" t="s">
        <v>35</v>
      </c>
      <c r="U29" s="270" t="s">
        <v>35</v>
      </c>
      <c r="V29" s="270" t="s">
        <v>35</v>
      </c>
      <c r="W29" s="270" t="s">
        <v>35</v>
      </c>
      <c r="X29" s="270" t="s">
        <v>35</v>
      </c>
      <c r="Y29" s="270" t="s">
        <v>35</v>
      </c>
      <c r="Z29" s="270" t="s">
        <v>35</v>
      </c>
      <c r="AA29" s="270" t="s">
        <v>35</v>
      </c>
      <c r="AB29" s="270" t="s">
        <v>35</v>
      </c>
      <c r="AC29" s="270" t="s">
        <v>35</v>
      </c>
      <c r="AD29" s="270" t="s">
        <v>35</v>
      </c>
      <c r="AE29" s="270" t="s">
        <v>35</v>
      </c>
      <c r="AF29" s="270" t="s">
        <v>35</v>
      </c>
      <c r="AG29" s="95"/>
      <c r="AH29" s="95"/>
    </row>
    <row r="30" spans="1:34" ht="291" customHeight="1">
      <c r="A30" s="95"/>
      <c r="B30" s="260" t="s">
        <v>99</v>
      </c>
      <c r="C30" s="261" t="s">
        <v>99</v>
      </c>
      <c r="D30" s="262" t="s">
        <v>99</v>
      </c>
      <c r="E30" s="273">
        <v>41071.656145833331</v>
      </c>
      <c r="F30" s="274">
        <v>41071.656145833331</v>
      </c>
      <c r="G30" s="274">
        <v>41071.656145833331</v>
      </c>
      <c r="H30" s="275">
        <v>41071.656145833331</v>
      </c>
      <c r="I30" s="270" t="s">
        <v>4</v>
      </c>
      <c r="J30" s="276" t="s">
        <v>4</v>
      </c>
      <c r="K30" s="276" t="s">
        <v>4</v>
      </c>
      <c r="L30" s="276" t="s">
        <v>4</v>
      </c>
      <c r="M30" s="276" t="s">
        <v>4</v>
      </c>
      <c r="N30" s="276" t="s">
        <v>4</v>
      </c>
      <c r="O30" s="276" t="s">
        <v>4</v>
      </c>
      <c r="P30" s="276" t="s">
        <v>4</v>
      </c>
      <c r="Q30" s="276" t="s">
        <v>4</v>
      </c>
      <c r="R30" s="270" t="s">
        <v>130</v>
      </c>
      <c r="S30" s="270" t="s">
        <v>130</v>
      </c>
      <c r="T30" s="270" t="s">
        <v>130</v>
      </c>
      <c r="U30" s="270" t="s">
        <v>130</v>
      </c>
      <c r="V30" s="270" t="s">
        <v>130</v>
      </c>
      <c r="W30" s="270" t="s">
        <v>130</v>
      </c>
      <c r="X30" s="270" t="s">
        <v>130</v>
      </c>
      <c r="Y30" s="270" t="s">
        <v>130</v>
      </c>
      <c r="Z30" s="270" t="s">
        <v>130</v>
      </c>
      <c r="AA30" s="270" t="s">
        <v>130</v>
      </c>
      <c r="AB30" s="270" t="s">
        <v>130</v>
      </c>
      <c r="AC30" s="270" t="s">
        <v>130</v>
      </c>
      <c r="AD30" s="270" t="s">
        <v>130</v>
      </c>
      <c r="AE30" s="270" t="s">
        <v>130</v>
      </c>
      <c r="AF30" s="270" t="s">
        <v>130</v>
      </c>
      <c r="AG30" s="95"/>
      <c r="AH30" s="95"/>
    </row>
    <row r="31" spans="1:34" ht="40.5" customHeight="1">
      <c r="A31" s="95"/>
      <c r="B31" s="260" t="s">
        <v>87</v>
      </c>
      <c r="C31" s="261" t="s">
        <v>87</v>
      </c>
      <c r="D31" s="262" t="s">
        <v>87</v>
      </c>
      <c r="E31" s="273">
        <v>41071.656145833331</v>
      </c>
      <c r="F31" s="274">
        <v>41071.656145833331</v>
      </c>
      <c r="G31" s="274">
        <v>41071.656145833331</v>
      </c>
      <c r="H31" s="275">
        <v>41071.656145833331</v>
      </c>
      <c r="I31" s="270" t="s">
        <v>88</v>
      </c>
      <c r="J31" s="276" t="s">
        <v>88</v>
      </c>
      <c r="K31" s="276" t="s">
        <v>88</v>
      </c>
      <c r="L31" s="276" t="s">
        <v>88</v>
      </c>
      <c r="M31" s="276" t="s">
        <v>88</v>
      </c>
      <c r="N31" s="276" t="s">
        <v>88</v>
      </c>
      <c r="O31" s="276" t="s">
        <v>88</v>
      </c>
      <c r="P31" s="276" t="s">
        <v>88</v>
      </c>
      <c r="Q31" s="276" t="s">
        <v>88</v>
      </c>
      <c r="R31" s="270" t="s">
        <v>101</v>
      </c>
      <c r="S31" s="270" t="s">
        <v>101</v>
      </c>
      <c r="T31" s="270" t="s">
        <v>101</v>
      </c>
      <c r="U31" s="270" t="s">
        <v>101</v>
      </c>
      <c r="V31" s="270" t="s">
        <v>101</v>
      </c>
      <c r="W31" s="270" t="s">
        <v>101</v>
      </c>
      <c r="X31" s="270" t="s">
        <v>101</v>
      </c>
      <c r="Y31" s="270" t="s">
        <v>101</v>
      </c>
      <c r="Z31" s="270" t="s">
        <v>101</v>
      </c>
      <c r="AA31" s="270" t="s">
        <v>101</v>
      </c>
      <c r="AB31" s="270" t="s">
        <v>101</v>
      </c>
      <c r="AC31" s="270" t="s">
        <v>101</v>
      </c>
      <c r="AD31" s="270" t="s">
        <v>101</v>
      </c>
      <c r="AE31" s="270" t="s">
        <v>101</v>
      </c>
      <c r="AF31" s="270" t="s">
        <v>101</v>
      </c>
      <c r="AG31" s="95"/>
      <c r="AH31" s="95"/>
    </row>
    <row r="32" spans="1:34" ht="121.5" customHeight="1">
      <c r="A32" s="95"/>
      <c r="B32" s="260"/>
      <c r="C32" s="261"/>
      <c r="D32" s="262"/>
      <c r="E32" s="273">
        <v>42195</v>
      </c>
      <c r="F32" s="274">
        <v>42195</v>
      </c>
      <c r="G32" s="274">
        <v>42195</v>
      </c>
      <c r="H32" s="275">
        <v>42195</v>
      </c>
      <c r="I32" s="270" t="s">
        <v>100</v>
      </c>
      <c r="J32" s="276" t="s">
        <v>100</v>
      </c>
      <c r="K32" s="276" t="s">
        <v>100</v>
      </c>
      <c r="L32" s="276" t="s">
        <v>100</v>
      </c>
      <c r="M32" s="276" t="s">
        <v>100</v>
      </c>
      <c r="N32" s="276" t="s">
        <v>100</v>
      </c>
      <c r="O32" s="276" t="s">
        <v>100</v>
      </c>
      <c r="P32" s="276" t="s">
        <v>100</v>
      </c>
      <c r="Q32" s="276" t="s">
        <v>100</v>
      </c>
      <c r="R32" s="270" t="s">
        <v>103</v>
      </c>
      <c r="S32" s="270" t="s">
        <v>103</v>
      </c>
      <c r="T32" s="270" t="s">
        <v>103</v>
      </c>
      <c r="U32" s="270" t="s">
        <v>103</v>
      </c>
      <c r="V32" s="270" t="s">
        <v>103</v>
      </c>
      <c r="W32" s="270" t="s">
        <v>103</v>
      </c>
      <c r="X32" s="270" t="s">
        <v>103</v>
      </c>
      <c r="Y32" s="270" t="s">
        <v>103</v>
      </c>
      <c r="Z32" s="270" t="s">
        <v>103</v>
      </c>
      <c r="AA32" s="270" t="s">
        <v>103</v>
      </c>
      <c r="AB32" s="270" t="s">
        <v>103</v>
      </c>
      <c r="AC32" s="270" t="s">
        <v>103</v>
      </c>
      <c r="AD32" s="270" t="s">
        <v>103</v>
      </c>
      <c r="AE32" s="270" t="s">
        <v>103</v>
      </c>
      <c r="AF32" s="270" t="s">
        <v>103</v>
      </c>
      <c r="AG32" s="95"/>
      <c r="AH32" s="95"/>
    </row>
    <row r="33" spans="1:34" ht="114" customHeight="1">
      <c r="A33" s="95"/>
      <c r="B33" s="260" t="s">
        <v>104</v>
      </c>
      <c r="C33" s="261" t="s">
        <v>104</v>
      </c>
      <c r="D33" s="262" t="s">
        <v>104</v>
      </c>
      <c r="E33" s="273">
        <v>42391.634837962964</v>
      </c>
      <c r="F33" s="274">
        <v>42391.634837962964</v>
      </c>
      <c r="G33" s="274">
        <v>42391.634837962964</v>
      </c>
      <c r="H33" s="275">
        <v>42391.634837962964</v>
      </c>
      <c r="I33" s="270" t="s">
        <v>105</v>
      </c>
      <c r="J33" s="276" t="s">
        <v>105</v>
      </c>
      <c r="K33" s="276" t="s">
        <v>105</v>
      </c>
      <c r="L33" s="276" t="s">
        <v>105</v>
      </c>
      <c r="M33" s="276" t="s">
        <v>105</v>
      </c>
      <c r="N33" s="276" t="s">
        <v>105</v>
      </c>
      <c r="O33" s="276" t="s">
        <v>105</v>
      </c>
      <c r="P33" s="276" t="s">
        <v>105</v>
      </c>
      <c r="Q33" s="276" t="s">
        <v>105</v>
      </c>
      <c r="R33" s="270" t="s">
        <v>129</v>
      </c>
      <c r="S33" s="270" t="s">
        <v>129</v>
      </c>
      <c r="T33" s="270" t="s">
        <v>129</v>
      </c>
      <c r="U33" s="270" t="s">
        <v>129</v>
      </c>
      <c r="V33" s="270" t="s">
        <v>129</v>
      </c>
      <c r="W33" s="270" t="s">
        <v>129</v>
      </c>
      <c r="X33" s="270" t="s">
        <v>129</v>
      </c>
      <c r="Y33" s="270" t="s">
        <v>129</v>
      </c>
      <c r="Z33" s="270" t="s">
        <v>129</v>
      </c>
      <c r="AA33" s="270" t="s">
        <v>129</v>
      </c>
      <c r="AB33" s="270" t="s">
        <v>129</v>
      </c>
      <c r="AC33" s="270" t="s">
        <v>129</v>
      </c>
      <c r="AD33" s="270" t="s">
        <v>129</v>
      </c>
      <c r="AE33" s="270" t="s">
        <v>129</v>
      </c>
      <c r="AF33" s="270" t="s">
        <v>129</v>
      </c>
      <c r="AG33" s="95"/>
      <c r="AH33" s="95"/>
    </row>
    <row r="34" spans="1:34" ht="40.5" customHeight="1">
      <c r="A34" s="95"/>
      <c r="B34" s="277" t="s">
        <v>192</v>
      </c>
      <c r="C34" s="278"/>
      <c r="D34" s="278"/>
      <c r="E34" s="273"/>
      <c r="F34" s="274"/>
      <c r="G34" s="274"/>
      <c r="H34" s="275"/>
      <c r="I34" s="270"/>
      <c r="J34" s="276"/>
      <c r="K34" s="276"/>
      <c r="L34" s="276"/>
      <c r="M34" s="276"/>
      <c r="N34" s="276"/>
      <c r="O34" s="276"/>
      <c r="P34" s="276"/>
      <c r="Q34" s="276"/>
      <c r="R34" s="270" t="s">
        <v>193</v>
      </c>
      <c r="S34" s="270"/>
      <c r="T34" s="270"/>
      <c r="U34" s="270"/>
      <c r="V34" s="270"/>
      <c r="W34" s="270"/>
      <c r="X34" s="270"/>
      <c r="Y34" s="270"/>
      <c r="Z34" s="270"/>
      <c r="AA34" s="270"/>
      <c r="AB34" s="270"/>
      <c r="AC34" s="270"/>
      <c r="AD34" s="270"/>
      <c r="AE34" s="270"/>
      <c r="AF34" s="270"/>
      <c r="AG34" s="95"/>
      <c r="AH34" s="95"/>
    </row>
    <row r="35" spans="1:34">
      <c r="A35" s="95"/>
      <c r="B35" s="111" t="s">
        <v>158</v>
      </c>
      <c r="C35" s="112"/>
      <c r="D35" s="112"/>
      <c r="E35" s="113"/>
      <c r="F35" s="113"/>
      <c r="G35" s="113"/>
      <c r="H35" s="113"/>
      <c r="I35" s="113"/>
      <c r="J35" s="114"/>
      <c r="K35" s="114"/>
      <c r="L35" s="114"/>
      <c r="M35" s="114"/>
      <c r="N35" s="114"/>
      <c r="O35" s="114"/>
      <c r="P35" s="114"/>
      <c r="Q35" s="114"/>
      <c r="R35" s="113"/>
      <c r="S35" s="113"/>
      <c r="T35" s="113"/>
      <c r="U35" s="113"/>
      <c r="V35" s="113"/>
      <c r="W35" s="113"/>
      <c r="X35" s="113"/>
      <c r="Y35" s="113"/>
      <c r="Z35" s="113"/>
      <c r="AA35" s="113"/>
      <c r="AB35" s="113"/>
      <c r="AC35" s="113"/>
      <c r="AD35" s="113"/>
      <c r="AE35" s="113"/>
      <c r="AF35" s="113"/>
      <c r="AG35" s="95"/>
      <c r="AH35" s="95"/>
    </row>
    <row r="36" spans="1:34">
      <c r="A36" s="95"/>
      <c r="B36" s="95"/>
      <c r="C36" s="109"/>
      <c r="D36" s="95"/>
      <c r="E36" s="95"/>
      <c r="F36" s="95"/>
      <c r="G36" s="95"/>
      <c r="H36" s="95"/>
      <c r="I36" s="110"/>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row>
    <row r="37" spans="1:34">
      <c r="A37" s="95"/>
      <c r="B37" s="95"/>
      <c r="C37" s="95"/>
      <c r="D37" s="95"/>
      <c r="E37" s="95"/>
      <c r="F37" s="95"/>
      <c r="G37" s="95"/>
      <c r="H37" s="95"/>
      <c r="I37" s="95"/>
      <c r="J37" s="115"/>
      <c r="K37" s="95"/>
      <c r="L37" s="95"/>
      <c r="M37" s="95"/>
      <c r="N37" s="95"/>
      <c r="O37" s="95"/>
      <c r="P37" s="95"/>
      <c r="Q37" s="95"/>
      <c r="R37" s="95"/>
      <c r="S37" s="95"/>
      <c r="T37" s="95"/>
      <c r="U37" s="95"/>
      <c r="V37" s="95"/>
      <c r="W37" s="95"/>
      <c r="X37" s="95"/>
      <c r="Y37" s="95"/>
      <c r="Z37" s="95"/>
      <c r="AA37" s="95"/>
      <c r="AB37" s="95"/>
      <c r="AC37" s="95"/>
      <c r="AD37" s="95"/>
      <c r="AE37" s="95"/>
      <c r="AF37" s="95"/>
      <c r="AG37" s="95"/>
      <c r="AH37" s="95"/>
    </row>
    <row r="38" spans="1:34" ht="20.399999999999999">
      <c r="A38" s="95"/>
      <c r="B38" s="107" t="s">
        <v>159</v>
      </c>
      <c r="C38" s="108"/>
      <c r="D38" s="95"/>
      <c r="E38" s="95"/>
      <c r="F38" s="95"/>
      <c r="G38" s="95"/>
      <c r="H38" s="95"/>
      <c r="I38" s="110"/>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row>
    <row r="39" spans="1:34" ht="18">
      <c r="A39" s="95"/>
      <c r="B39" s="116" t="s">
        <v>160</v>
      </c>
      <c r="C39" s="108"/>
      <c r="D39" s="95"/>
      <c r="E39" s="95"/>
      <c r="F39" s="95"/>
      <c r="G39" s="95"/>
      <c r="H39" s="95"/>
      <c r="I39" s="110"/>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row>
    <row r="40" spans="1:34">
      <c r="A40" s="95"/>
      <c r="B40" s="267" t="s">
        <v>161</v>
      </c>
      <c r="C40" s="267"/>
      <c r="D40" s="267"/>
      <c r="E40" s="267" t="s">
        <v>162</v>
      </c>
      <c r="F40" s="272"/>
      <c r="G40" s="272"/>
      <c r="H40" s="272"/>
      <c r="I40" s="272"/>
      <c r="J40" s="272"/>
      <c r="K40" s="272"/>
      <c r="L40" s="272"/>
      <c r="M40" s="272"/>
      <c r="N40" s="272"/>
      <c r="O40" s="272"/>
      <c r="P40" s="272"/>
      <c r="Q40" s="272"/>
      <c r="R40" s="272"/>
      <c r="S40" s="272"/>
      <c r="T40" s="272"/>
      <c r="U40" s="272"/>
      <c r="V40" s="272"/>
      <c r="W40" s="272"/>
      <c r="X40" s="272"/>
      <c r="Y40" s="267" t="s">
        <v>163</v>
      </c>
      <c r="Z40" s="267"/>
      <c r="AA40" s="267"/>
      <c r="AB40" s="267"/>
      <c r="AC40" s="267"/>
      <c r="AD40" s="267"/>
      <c r="AE40" s="267"/>
      <c r="AF40" s="267"/>
      <c r="AG40" s="95"/>
      <c r="AH40" s="95"/>
    </row>
    <row r="41" spans="1:34">
      <c r="A41" s="95"/>
      <c r="B41" s="269"/>
      <c r="C41" s="269"/>
      <c r="D41" s="269"/>
      <c r="E41" s="270"/>
      <c r="F41" s="271"/>
      <c r="G41" s="271"/>
      <c r="H41" s="271"/>
      <c r="I41" s="271"/>
      <c r="J41" s="271"/>
      <c r="K41" s="271"/>
      <c r="L41" s="271"/>
      <c r="M41" s="271"/>
      <c r="N41" s="271"/>
      <c r="O41" s="271"/>
      <c r="P41" s="271"/>
      <c r="Q41" s="271"/>
      <c r="R41" s="271"/>
      <c r="S41" s="271"/>
      <c r="T41" s="271"/>
      <c r="U41" s="271"/>
      <c r="V41" s="271"/>
      <c r="W41" s="271"/>
      <c r="X41" s="271"/>
      <c r="Y41" s="270"/>
      <c r="Z41" s="271"/>
      <c r="AA41" s="271"/>
      <c r="AB41" s="271"/>
      <c r="AC41" s="271"/>
      <c r="AD41" s="271"/>
      <c r="AE41" s="271"/>
      <c r="AF41" s="271"/>
      <c r="AG41" s="95"/>
      <c r="AH41" s="95"/>
    </row>
    <row r="42" spans="1:34">
      <c r="A42" s="95"/>
      <c r="B42" s="269"/>
      <c r="C42" s="269"/>
      <c r="D42" s="269"/>
      <c r="E42" s="270"/>
      <c r="F42" s="271"/>
      <c r="G42" s="271"/>
      <c r="H42" s="271"/>
      <c r="I42" s="271"/>
      <c r="J42" s="271"/>
      <c r="K42" s="271"/>
      <c r="L42" s="271"/>
      <c r="M42" s="271"/>
      <c r="N42" s="271"/>
      <c r="O42" s="271"/>
      <c r="P42" s="271"/>
      <c r="Q42" s="271"/>
      <c r="R42" s="271"/>
      <c r="S42" s="271"/>
      <c r="T42" s="271"/>
      <c r="U42" s="271"/>
      <c r="V42" s="271"/>
      <c r="W42" s="271"/>
      <c r="X42" s="271"/>
      <c r="Y42" s="270"/>
      <c r="Z42" s="271"/>
      <c r="AA42" s="271"/>
      <c r="AB42" s="271"/>
      <c r="AC42" s="271"/>
      <c r="AD42" s="271"/>
      <c r="AE42" s="271"/>
      <c r="AF42" s="271"/>
      <c r="AG42" s="95"/>
      <c r="AH42" s="95"/>
    </row>
    <row r="43" spans="1:34">
      <c r="A43" s="95"/>
      <c r="B43" s="269"/>
      <c r="C43" s="269"/>
      <c r="D43" s="269"/>
      <c r="E43" s="270"/>
      <c r="F43" s="271"/>
      <c r="G43" s="271"/>
      <c r="H43" s="271"/>
      <c r="I43" s="271"/>
      <c r="J43" s="271"/>
      <c r="K43" s="271"/>
      <c r="L43" s="271"/>
      <c r="M43" s="271"/>
      <c r="N43" s="271"/>
      <c r="O43" s="271"/>
      <c r="P43" s="271"/>
      <c r="Q43" s="271"/>
      <c r="R43" s="271"/>
      <c r="S43" s="271"/>
      <c r="T43" s="271"/>
      <c r="U43" s="271"/>
      <c r="V43" s="271"/>
      <c r="W43" s="271"/>
      <c r="X43" s="271"/>
      <c r="Y43" s="270"/>
      <c r="Z43" s="271"/>
      <c r="AA43" s="271"/>
      <c r="AB43" s="271"/>
      <c r="AC43" s="271"/>
      <c r="AD43" s="271"/>
      <c r="AE43" s="271"/>
      <c r="AF43" s="271"/>
      <c r="AG43" s="95"/>
      <c r="AH43" s="95"/>
    </row>
    <row r="44" spans="1:34">
      <c r="A44" s="95"/>
      <c r="B44" s="269"/>
      <c r="C44" s="269"/>
      <c r="D44" s="269"/>
      <c r="E44" s="270"/>
      <c r="F44" s="271"/>
      <c r="G44" s="271"/>
      <c r="H44" s="271"/>
      <c r="I44" s="271"/>
      <c r="J44" s="271"/>
      <c r="K44" s="271"/>
      <c r="L44" s="271"/>
      <c r="M44" s="271"/>
      <c r="N44" s="271"/>
      <c r="O44" s="271"/>
      <c r="P44" s="271"/>
      <c r="Q44" s="271"/>
      <c r="R44" s="271"/>
      <c r="S44" s="271"/>
      <c r="T44" s="271"/>
      <c r="U44" s="271"/>
      <c r="V44" s="271"/>
      <c r="W44" s="271"/>
      <c r="X44" s="271"/>
      <c r="Y44" s="270"/>
      <c r="Z44" s="271"/>
      <c r="AA44" s="271"/>
      <c r="AB44" s="271"/>
      <c r="AC44" s="271"/>
      <c r="AD44" s="271"/>
      <c r="AE44" s="271"/>
      <c r="AF44" s="271"/>
      <c r="AG44" s="95"/>
      <c r="AH44" s="95"/>
    </row>
    <row r="45" spans="1:34" ht="18">
      <c r="A45" s="95"/>
      <c r="B45" s="116" t="s">
        <v>164</v>
      </c>
      <c r="C45" s="108"/>
      <c r="D45" s="95"/>
      <c r="E45" s="95"/>
      <c r="F45" s="95"/>
      <c r="G45" s="95"/>
      <c r="H45" s="95"/>
      <c r="I45" s="110"/>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row>
    <row r="46" spans="1:34">
      <c r="A46" s="95"/>
      <c r="B46" s="267" t="s">
        <v>161</v>
      </c>
      <c r="C46" s="267"/>
      <c r="D46" s="267"/>
      <c r="E46" s="267" t="s">
        <v>162</v>
      </c>
      <c r="F46" s="272"/>
      <c r="G46" s="272"/>
      <c r="H46" s="272"/>
      <c r="I46" s="272"/>
      <c r="J46" s="272"/>
      <c r="K46" s="272"/>
      <c r="L46" s="272"/>
      <c r="M46" s="272"/>
      <c r="N46" s="272"/>
      <c r="O46" s="272"/>
      <c r="P46" s="272"/>
      <c r="Q46" s="272"/>
      <c r="R46" s="272"/>
      <c r="S46" s="272"/>
      <c r="T46" s="272"/>
      <c r="U46" s="272"/>
      <c r="V46" s="272"/>
      <c r="W46" s="272"/>
      <c r="X46" s="272"/>
      <c r="Y46" s="267" t="s">
        <v>163</v>
      </c>
      <c r="Z46" s="267"/>
      <c r="AA46" s="267"/>
      <c r="AB46" s="267"/>
      <c r="AC46" s="267"/>
      <c r="AD46" s="267"/>
      <c r="AE46" s="267"/>
      <c r="AF46" s="267"/>
      <c r="AG46" s="95"/>
      <c r="AH46" s="95"/>
    </row>
    <row r="47" spans="1:34">
      <c r="A47" s="95"/>
      <c r="B47" s="269"/>
      <c r="C47" s="269"/>
      <c r="D47" s="269"/>
      <c r="E47" s="270"/>
      <c r="F47" s="271"/>
      <c r="G47" s="271"/>
      <c r="H47" s="271"/>
      <c r="I47" s="271"/>
      <c r="J47" s="271"/>
      <c r="K47" s="271"/>
      <c r="L47" s="271"/>
      <c r="M47" s="271"/>
      <c r="N47" s="271"/>
      <c r="O47" s="271"/>
      <c r="P47" s="271"/>
      <c r="Q47" s="271"/>
      <c r="R47" s="271"/>
      <c r="S47" s="271"/>
      <c r="T47" s="271"/>
      <c r="U47" s="271"/>
      <c r="V47" s="271"/>
      <c r="W47" s="271"/>
      <c r="X47" s="271"/>
      <c r="Y47" s="270"/>
      <c r="Z47" s="271"/>
      <c r="AA47" s="271"/>
      <c r="AB47" s="271"/>
      <c r="AC47" s="271"/>
      <c r="AD47" s="271"/>
      <c r="AE47" s="271"/>
      <c r="AF47" s="271"/>
      <c r="AG47" s="95"/>
      <c r="AH47" s="95"/>
    </row>
    <row r="48" spans="1:34">
      <c r="A48" s="95"/>
      <c r="B48" s="269"/>
      <c r="C48" s="269"/>
      <c r="D48" s="269"/>
      <c r="E48" s="270"/>
      <c r="F48" s="271"/>
      <c r="G48" s="271"/>
      <c r="H48" s="271"/>
      <c r="I48" s="271"/>
      <c r="J48" s="271"/>
      <c r="K48" s="271"/>
      <c r="L48" s="271"/>
      <c r="M48" s="271"/>
      <c r="N48" s="271"/>
      <c r="O48" s="271"/>
      <c r="P48" s="271"/>
      <c r="Q48" s="271"/>
      <c r="R48" s="271"/>
      <c r="S48" s="271"/>
      <c r="T48" s="271"/>
      <c r="U48" s="271"/>
      <c r="V48" s="271"/>
      <c r="W48" s="271"/>
      <c r="X48" s="271"/>
      <c r="Y48" s="270"/>
      <c r="Z48" s="271"/>
      <c r="AA48" s="271"/>
      <c r="AB48" s="271"/>
      <c r="AC48" s="271"/>
      <c r="AD48" s="271"/>
      <c r="AE48" s="271"/>
      <c r="AF48" s="271"/>
      <c r="AG48" s="95"/>
      <c r="AH48" s="95"/>
    </row>
    <row r="49" spans="1:34">
      <c r="A49" s="95"/>
      <c r="B49" s="269"/>
      <c r="C49" s="269"/>
      <c r="D49" s="269"/>
      <c r="E49" s="270"/>
      <c r="F49" s="271"/>
      <c r="G49" s="271"/>
      <c r="H49" s="271"/>
      <c r="I49" s="271"/>
      <c r="J49" s="271"/>
      <c r="K49" s="271"/>
      <c r="L49" s="271"/>
      <c r="M49" s="271"/>
      <c r="N49" s="271"/>
      <c r="O49" s="271"/>
      <c r="P49" s="271"/>
      <c r="Q49" s="271"/>
      <c r="R49" s="271"/>
      <c r="S49" s="271"/>
      <c r="T49" s="271"/>
      <c r="U49" s="271"/>
      <c r="V49" s="271"/>
      <c r="W49" s="271"/>
      <c r="X49" s="271"/>
      <c r="Y49" s="270"/>
      <c r="Z49" s="271"/>
      <c r="AA49" s="271"/>
      <c r="AB49" s="271"/>
      <c r="AC49" s="271"/>
      <c r="AD49" s="271"/>
      <c r="AE49" s="271"/>
      <c r="AF49" s="271"/>
      <c r="AG49" s="95"/>
      <c r="AH49" s="95"/>
    </row>
    <row r="50" spans="1:34">
      <c r="A50" s="95"/>
      <c r="B50" s="269"/>
      <c r="C50" s="269"/>
      <c r="D50" s="269"/>
      <c r="E50" s="270"/>
      <c r="F50" s="271"/>
      <c r="G50" s="271"/>
      <c r="H50" s="271"/>
      <c r="I50" s="271"/>
      <c r="J50" s="271"/>
      <c r="K50" s="271"/>
      <c r="L50" s="271"/>
      <c r="M50" s="271"/>
      <c r="N50" s="271"/>
      <c r="O50" s="271"/>
      <c r="P50" s="271"/>
      <c r="Q50" s="271"/>
      <c r="R50" s="271"/>
      <c r="S50" s="271"/>
      <c r="T50" s="271"/>
      <c r="U50" s="271"/>
      <c r="V50" s="271"/>
      <c r="W50" s="271"/>
      <c r="X50" s="271"/>
      <c r="Y50" s="270"/>
      <c r="Z50" s="271"/>
      <c r="AA50" s="271"/>
      <c r="AB50" s="271"/>
      <c r="AC50" s="271"/>
      <c r="AD50" s="271"/>
      <c r="AE50" s="271"/>
      <c r="AF50" s="271"/>
      <c r="AG50" s="95"/>
      <c r="AH50" s="95"/>
    </row>
    <row r="51" spans="1:34">
      <c r="A51" s="95"/>
      <c r="B51" s="95"/>
      <c r="C51" s="109"/>
      <c r="D51" s="95"/>
      <c r="E51" s="95"/>
      <c r="F51" s="95"/>
      <c r="G51" s="95"/>
      <c r="H51" s="95"/>
      <c r="I51" s="110"/>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row>
    <row r="52" spans="1:34" ht="20.399999999999999">
      <c r="A52" s="95"/>
      <c r="B52" s="107" t="s">
        <v>165</v>
      </c>
      <c r="C52" s="108"/>
      <c r="D52" s="95"/>
      <c r="E52" s="95"/>
      <c r="F52" s="95"/>
      <c r="G52" s="95"/>
      <c r="H52" s="95"/>
      <c r="I52" s="110"/>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row>
    <row r="53" spans="1:34">
      <c r="A53" s="95"/>
      <c r="B53" s="267" t="s">
        <v>166</v>
      </c>
      <c r="C53" s="267"/>
      <c r="D53" s="267"/>
      <c r="E53" s="267"/>
      <c r="F53" s="267"/>
      <c r="G53" s="267"/>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95"/>
      <c r="AH53" s="95"/>
    </row>
    <row r="54" spans="1:34" ht="27.75" customHeight="1">
      <c r="A54" s="95"/>
      <c r="B54" s="260" t="s">
        <v>167</v>
      </c>
      <c r="C54" s="261"/>
      <c r="D54" s="261"/>
      <c r="E54" s="261"/>
      <c r="F54" s="261"/>
      <c r="G54" s="262"/>
      <c r="H54" s="266" t="s">
        <v>168</v>
      </c>
      <c r="I54" s="264"/>
      <c r="J54" s="264"/>
      <c r="K54" s="264"/>
      <c r="L54" s="264"/>
      <c r="M54" s="264"/>
      <c r="N54" s="264"/>
      <c r="O54" s="264"/>
      <c r="P54" s="264"/>
      <c r="Q54" s="264"/>
      <c r="R54" s="264"/>
      <c r="S54" s="264"/>
      <c r="T54" s="264"/>
      <c r="U54" s="264"/>
      <c r="V54" s="264"/>
      <c r="W54" s="264"/>
      <c r="X54" s="264"/>
      <c r="Y54" s="264"/>
      <c r="Z54" s="264"/>
      <c r="AA54" s="264"/>
      <c r="AB54" s="264"/>
      <c r="AC54" s="264"/>
      <c r="AD54" s="264"/>
      <c r="AE54" s="264"/>
      <c r="AF54" s="265"/>
      <c r="AG54" s="95"/>
      <c r="AH54" s="95"/>
    </row>
    <row r="55" spans="1:34">
      <c r="A55" s="95"/>
      <c r="B55" s="260"/>
      <c r="C55" s="261"/>
      <c r="D55" s="261"/>
      <c r="E55" s="261"/>
      <c r="F55" s="261"/>
      <c r="G55" s="262"/>
      <c r="H55" s="263"/>
      <c r="I55" s="264"/>
      <c r="J55" s="264"/>
      <c r="K55" s="264"/>
      <c r="L55" s="264"/>
      <c r="M55" s="264"/>
      <c r="N55" s="264"/>
      <c r="O55" s="264"/>
      <c r="P55" s="264"/>
      <c r="Q55" s="264"/>
      <c r="R55" s="264"/>
      <c r="S55" s="264"/>
      <c r="T55" s="264"/>
      <c r="U55" s="264"/>
      <c r="V55" s="264"/>
      <c r="W55" s="264"/>
      <c r="X55" s="264"/>
      <c r="Y55" s="264"/>
      <c r="Z55" s="264"/>
      <c r="AA55" s="264"/>
      <c r="AB55" s="264"/>
      <c r="AC55" s="264"/>
      <c r="AD55" s="264"/>
      <c r="AE55" s="264"/>
      <c r="AF55" s="265"/>
      <c r="AG55" s="95"/>
      <c r="AH55" s="95"/>
    </row>
    <row r="56" spans="1:34">
      <c r="A56" s="95"/>
      <c r="B56" s="260"/>
      <c r="C56" s="261"/>
      <c r="D56" s="261"/>
      <c r="E56" s="261"/>
      <c r="F56" s="261"/>
      <c r="G56" s="262"/>
      <c r="H56" s="263"/>
      <c r="I56" s="264"/>
      <c r="J56" s="264"/>
      <c r="K56" s="264"/>
      <c r="L56" s="264"/>
      <c r="M56" s="264"/>
      <c r="N56" s="264"/>
      <c r="O56" s="264"/>
      <c r="P56" s="264"/>
      <c r="Q56" s="264"/>
      <c r="R56" s="264"/>
      <c r="S56" s="264"/>
      <c r="T56" s="264"/>
      <c r="U56" s="264"/>
      <c r="V56" s="264"/>
      <c r="W56" s="264"/>
      <c r="X56" s="264"/>
      <c r="Y56" s="264"/>
      <c r="Z56" s="264"/>
      <c r="AA56" s="264"/>
      <c r="AB56" s="264"/>
      <c r="AC56" s="264"/>
      <c r="AD56" s="264"/>
      <c r="AE56" s="264"/>
      <c r="AF56" s="265"/>
      <c r="AG56" s="95"/>
      <c r="AH56" s="95"/>
    </row>
    <row r="57" spans="1:34">
      <c r="A57" s="95"/>
      <c r="B57" s="260"/>
      <c r="C57" s="261"/>
      <c r="D57" s="261"/>
      <c r="E57" s="261"/>
      <c r="F57" s="261"/>
      <c r="G57" s="262"/>
      <c r="H57" s="263"/>
      <c r="I57" s="264"/>
      <c r="J57" s="264"/>
      <c r="K57" s="264"/>
      <c r="L57" s="264"/>
      <c r="M57" s="264"/>
      <c r="N57" s="264"/>
      <c r="O57" s="264"/>
      <c r="P57" s="264"/>
      <c r="Q57" s="264"/>
      <c r="R57" s="264"/>
      <c r="S57" s="264"/>
      <c r="T57" s="264"/>
      <c r="U57" s="264"/>
      <c r="V57" s="264"/>
      <c r="W57" s="264"/>
      <c r="X57" s="264"/>
      <c r="Y57" s="264"/>
      <c r="Z57" s="264"/>
      <c r="AA57" s="264"/>
      <c r="AB57" s="264"/>
      <c r="AC57" s="264"/>
      <c r="AD57" s="264"/>
      <c r="AE57" s="264"/>
      <c r="AF57" s="265"/>
      <c r="AG57" s="95"/>
      <c r="AH57" s="95"/>
    </row>
    <row r="58" spans="1:34">
      <c r="A58" s="95"/>
      <c r="B58" s="260"/>
      <c r="C58" s="261"/>
      <c r="D58" s="261"/>
      <c r="E58" s="261"/>
      <c r="F58" s="261"/>
      <c r="G58" s="262"/>
      <c r="H58" s="263"/>
      <c r="I58" s="264"/>
      <c r="J58" s="264"/>
      <c r="K58" s="264"/>
      <c r="L58" s="264"/>
      <c r="M58" s="264"/>
      <c r="N58" s="264"/>
      <c r="O58" s="264"/>
      <c r="P58" s="264"/>
      <c r="Q58" s="264"/>
      <c r="R58" s="264"/>
      <c r="S58" s="264"/>
      <c r="T58" s="264"/>
      <c r="U58" s="264"/>
      <c r="V58" s="264"/>
      <c r="W58" s="264"/>
      <c r="X58" s="264"/>
      <c r="Y58" s="264"/>
      <c r="Z58" s="264"/>
      <c r="AA58" s="264"/>
      <c r="AB58" s="264"/>
      <c r="AC58" s="264"/>
      <c r="AD58" s="264"/>
      <c r="AE58" s="264"/>
      <c r="AF58" s="265"/>
      <c r="AG58" s="95"/>
      <c r="AH58" s="95"/>
    </row>
    <row r="59" spans="1:34">
      <c r="A59" s="95"/>
      <c r="B59" s="113"/>
      <c r="C59" s="113"/>
      <c r="D59" s="113"/>
      <c r="E59" s="113"/>
      <c r="F59" s="113"/>
      <c r="G59" s="113"/>
      <c r="H59" s="117"/>
      <c r="I59" s="117"/>
      <c r="J59" s="117"/>
      <c r="K59" s="117"/>
      <c r="L59" s="117"/>
      <c r="M59" s="117"/>
      <c r="N59" s="117"/>
      <c r="O59" s="117"/>
      <c r="P59" s="117"/>
      <c r="Q59" s="117"/>
      <c r="R59" s="117"/>
      <c r="S59" s="117"/>
      <c r="T59" s="117"/>
      <c r="U59" s="117"/>
      <c r="V59" s="117"/>
      <c r="W59" s="117"/>
      <c r="X59" s="117"/>
      <c r="Y59" s="117"/>
      <c r="Z59" s="117"/>
      <c r="AA59" s="117"/>
      <c r="AB59" s="117"/>
      <c r="AC59" s="117"/>
      <c r="AD59" s="117"/>
      <c r="AE59" s="117"/>
      <c r="AF59" s="117"/>
      <c r="AG59" s="95"/>
      <c r="AH59" s="95"/>
    </row>
    <row r="60" spans="1:34">
      <c r="A60" s="95"/>
      <c r="B60" s="113"/>
      <c r="C60" s="113"/>
      <c r="D60" s="113"/>
      <c r="E60" s="113"/>
      <c r="F60" s="113"/>
      <c r="G60" s="113"/>
      <c r="H60" s="117"/>
      <c r="I60" s="117"/>
      <c r="J60" s="117"/>
      <c r="K60" s="117"/>
      <c r="L60" s="117"/>
      <c r="M60" s="117"/>
      <c r="N60" s="117"/>
      <c r="O60" s="117"/>
      <c r="P60" s="117"/>
      <c r="Q60" s="117"/>
      <c r="R60" s="117"/>
      <c r="S60" s="117"/>
      <c r="T60" s="117"/>
      <c r="U60" s="117"/>
      <c r="V60" s="117"/>
      <c r="W60" s="117"/>
      <c r="X60" s="117"/>
      <c r="Y60" s="117"/>
      <c r="Z60" s="117"/>
      <c r="AA60" s="117"/>
      <c r="AB60" s="117"/>
      <c r="AC60" s="117"/>
      <c r="AD60" s="117"/>
      <c r="AE60" s="117"/>
      <c r="AF60" s="117"/>
      <c r="AG60" s="95"/>
      <c r="AH60" s="95"/>
    </row>
    <row r="61" spans="1:34" ht="24.6">
      <c r="A61" s="95"/>
      <c r="B61" s="118" t="s">
        <v>169</v>
      </c>
      <c r="C61" s="119"/>
      <c r="D61" s="119"/>
      <c r="E61" s="119"/>
      <c r="F61" s="119"/>
      <c r="G61" s="119"/>
      <c r="H61" s="120"/>
      <c r="I61" s="120"/>
      <c r="J61" s="120"/>
      <c r="K61" s="120"/>
      <c r="L61" s="120"/>
      <c r="M61" s="120"/>
      <c r="N61" s="120"/>
      <c r="O61" s="120"/>
      <c r="P61" s="120"/>
      <c r="Q61" s="120"/>
      <c r="R61" s="120"/>
      <c r="S61" s="120"/>
      <c r="T61" s="120"/>
      <c r="U61" s="120"/>
      <c r="V61" s="120"/>
      <c r="W61" s="120"/>
      <c r="X61" s="120"/>
      <c r="Y61" s="120"/>
      <c r="Z61" s="120"/>
      <c r="AA61" s="120"/>
      <c r="AB61" s="120"/>
      <c r="AC61" s="120"/>
      <c r="AD61" s="120"/>
      <c r="AE61" s="120"/>
      <c r="AF61" s="120"/>
      <c r="AG61" s="95"/>
      <c r="AH61" s="95"/>
    </row>
    <row r="62" spans="1:34" ht="24.6">
      <c r="A62" s="95"/>
      <c r="B62" s="121"/>
      <c r="C62" s="113"/>
      <c r="D62" s="113"/>
      <c r="E62" s="113"/>
      <c r="F62" s="113"/>
      <c r="G62" s="113"/>
      <c r="H62" s="117"/>
      <c r="I62" s="117"/>
      <c r="J62" s="117"/>
      <c r="K62" s="117"/>
      <c r="L62" s="117"/>
      <c r="M62" s="117"/>
      <c r="N62" s="117"/>
      <c r="O62" s="117"/>
      <c r="P62" s="117"/>
      <c r="Q62" s="117"/>
      <c r="R62" s="117"/>
      <c r="S62" s="117"/>
      <c r="T62" s="117"/>
      <c r="U62" s="117"/>
      <c r="V62" s="117"/>
      <c r="W62" s="117"/>
      <c r="X62" s="117"/>
      <c r="Y62" s="117"/>
      <c r="Z62" s="117"/>
      <c r="AA62" s="117"/>
      <c r="AB62" s="117"/>
      <c r="AC62" s="117"/>
      <c r="AD62" s="117"/>
      <c r="AE62" s="117"/>
      <c r="AF62" s="117"/>
      <c r="AG62" s="95"/>
      <c r="AH62" s="95"/>
    </row>
    <row r="63" spans="1:34" s="173" customFormat="1" ht="20.399999999999999">
      <c r="B63" s="174" t="s">
        <v>287</v>
      </c>
    </row>
    <row r="64" spans="1:34">
      <c r="A64" s="95"/>
      <c r="B64" s="122"/>
      <c r="C64" s="122"/>
      <c r="D64" s="122"/>
      <c r="E64" s="122"/>
      <c r="F64" s="122"/>
      <c r="G64" s="122"/>
      <c r="H64" s="123"/>
      <c r="I64" s="123"/>
      <c r="J64" s="123"/>
      <c r="K64" s="123"/>
      <c r="L64" s="123"/>
      <c r="M64" s="123"/>
      <c r="N64" s="123"/>
      <c r="O64" s="123"/>
      <c r="P64" s="123"/>
      <c r="Q64" s="123"/>
      <c r="R64" s="123"/>
      <c r="S64" s="123"/>
      <c r="T64" s="123"/>
      <c r="U64" s="123"/>
      <c r="V64" s="123"/>
      <c r="W64" s="123"/>
      <c r="X64" s="123"/>
      <c r="Y64" s="123"/>
      <c r="Z64" s="123"/>
      <c r="AA64" s="123"/>
      <c r="AB64" s="123"/>
      <c r="AC64" s="123"/>
      <c r="AD64" s="123"/>
      <c r="AE64" s="123"/>
      <c r="AF64" s="123"/>
      <c r="AG64" s="95"/>
      <c r="AH64" s="95"/>
    </row>
    <row r="65" spans="1:36" ht="52.5" customHeight="1">
      <c r="A65" s="95"/>
      <c r="B65" s="297" t="s">
        <v>283</v>
      </c>
      <c r="C65" s="298"/>
      <c r="D65" s="298"/>
      <c r="E65" s="298"/>
      <c r="F65" s="298"/>
      <c r="G65" s="299"/>
      <c r="H65" s="300" t="s">
        <v>278</v>
      </c>
      <c r="I65" s="301"/>
      <c r="J65" s="301"/>
      <c r="K65" s="301"/>
      <c r="L65" s="301"/>
      <c r="M65" s="301"/>
      <c r="N65" s="301"/>
      <c r="O65" s="301"/>
      <c r="P65" s="301"/>
      <c r="Q65" s="301"/>
      <c r="R65" s="301"/>
      <c r="S65" s="301"/>
      <c r="T65" s="301"/>
      <c r="U65" s="301"/>
      <c r="V65" s="301"/>
      <c r="W65" s="301"/>
      <c r="X65" s="301"/>
      <c r="Y65" s="301"/>
      <c r="Z65" s="301"/>
      <c r="AA65" s="301"/>
      <c r="AB65" s="301"/>
      <c r="AC65" s="301"/>
      <c r="AD65" s="301"/>
      <c r="AE65" s="301"/>
      <c r="AF65" s="302"/>
      <c r="AG65" s="95"/>
      <c r="AH65" s="95"/>
    </row>
    <row r="66" spans="1:36" ht="111" customHeight="1">
      <c r="A66" s="95"/>
      <c r="B66" s="297" t="s">
        <v>284</v>
      </c>
      <c r="C66" s="298"/>
      <c r="D66" s="298"/>
      <c r="E66" s="298"/>
      <c r="F66" s="298"/>
      <c r="G66" s="299"/>
      <c r="H66" s="300" t="s">
        <v>280</v>
      </c>
      <c r="I66" s="301"/>
      <c r="J66" s="301"/>
      <c r="K66" s="301"/>
      <c r="L66" s="301"/>
      <c r="M66" s="301"/>
      <c r="N66" s="301"/>
      <c r="O66" s="301"/>
      <c r="P66" s="301"/>
      <c r="Q66" s="301"/>
      <c r="R66" s="301"/>
      <c r="S66" s="301"/>
      <c r="T66" s="301"/>
      <c r="U66" s="301"/>
      <c r="V66" s="301"/>
      <c r="W66" s="301"/>
      <c r="X66" s="301"/>
      <c r="Y66" s="301"/>
      <c r="Z66" s="301"/>
      <c r="AA66" s="301"/>
      <c r="AB66" s="301"/>
      <c r="AC66" s="301"/>
      <c r="AD66" s="301"/>
      <c r="AE66" s="301"/>
      <c r="AF66" s="302"/>
      <c r="AG66" s="95"/>
      <c r="AH66" s="95"/>
    </row>
    <row r="67" spans="1:36" ht="52.5" customHeight="1">
      <c r="A67" s="95"/>
      <c r="B67" s="297" t="s">
        <v>285</v>
      </c>
      <c r="C67" s="298"/>
      <c r="D67" s="298"/>
      <c r="E67" s="298"/>
      <c r="F67" s="298"/>
      <c r="G67" s="299"/>
      <c r="H67" s="300" t="s">
        <v>288</v>
      </c>
      <c r="I67" s="301"/>
      <c r="J67" s="301"/>
      <c r="K67" s="301"/>
      <c r="L67" s="301"/>
      <c r="M67" s="301"/>
      <c r="N67" s="301"/>
      <c r="O67" s="301"/>
      <c r="P67" s="301"/>
      <c r="Q67" s="301"/>
      <c r="R67" s="301"/>
      <c r="S67" s="301"/>
      <c r="T67" s="301"/>
      <c r="U67" s="301"/>
      <c r="V67" s="301"/>
      <c r="W67" s="301"/>
      <c r="X67" s="301"/>
      <c r="Y67" s="301"/>
      <c r="Z67" s="301"/>
      <c r="AA67" s="301"/>
      <c r="AB67" s="301"/>
      <c r="AC67" s="301"/>
      <c r="AD67" s="301"/>
      <c r="AE67" s="301"/>
      <c r="AF67" s="302"/>
      <c r="AG67" s="95"/>
      <c r="AH67" s="95"/>
    </row>
    <row r="68" spans="1:36" ht="52.5" customHeight="1">
      <c r="A68" s="95"/>
      <c r="B68" s="297" t="s">
        <v>277</v>
      </c>
      <c r="C68" s="298"/>
      <c r="D68" s="298"/>
      <c r="E68" s="298"/>
      <c r="F68" s="298"/>
      <c r="G68" s="299"/>
      <c r="H68" s="300" t="s">
        <v>281</v>
      </c>
      <c r="I68" s="301"/>
      <c r="J68" s="301"/>
      <c r="K68" s="301"/>
      <c r="L68" s="301"/>
      <c r="M68" s="301"/>
      <c r="N68" s="301"/>
      <c r="O68" s="301"/>
      <c r="P68" s="301"/>
      <c r="Q68" s="301"/>
      <c r="R68" s="301"/>
      <c r="S68" s="301"/>
      <c r="T68" s="301"/>
      <c r="U68" s="301"/>
      <c r="V68" s="301"/>
      <c r="W68" s="301"/>
      <c r="X68" s="301"/>
      <c r="Y68" s="301"/>
      <c r="Z68" s="301"/>
      <c r="AA68" s="301"/>
      <c r="AB68" s="301"/>
      <c r="AC68" s="301"/>
      <c r="AD68" s="301"/>
      <c r="AE68" s="301"/>
      <c r="AF68" s="302"/>
      <c r="AG68" s="95"/>
      <c r="AH68" s="95"/>
    </row>
    <row r="69" spans="1:36" ht="81" customHeight="1">
      <c r="A69" s="95"/>
      <c r="B69" s="297" t="s">
        <v>286</v>
      </c>
      <c r="C69" s="298"/>
      <c r="D69" s="298"/>
      <c r="E69" s="298"/>
      <c r="F69" s="298"/>
      <c r="G69" s="299"/>
      <c r="H69" s="300" t="s">
        <v>289</v>
      </c>
      <c r="I69" s="301"/>
      <c r="J69" s="301"/>
      <c r="K69" s="301"/>
      <c r="L69" s="301"/>
      <c r="M69" s="301"/>
      <c r="N69" s="301"/>
      <c r="O69" s="301"/>
      <c r="P69" s="301"/>
      <c r="Q69" s="301"/>
      <c r="R69" s="301"/>
      <c r="S69" s="301"/>
      <c r="T69" s="301"/>
      <c r="U69" s="301"/>
      <c r="V69" s="301"/>
      <c r="W69" s="301"/>
      <c r="X69" s="301"/>
      <c r="Y69" s="301"/>
      <c r="Z69" s="301"/>
      <c r="AA69" s="301"/>
      <c r="AB69" s="301"/>
      <c r="AC69" s="301"/>
      <c r="AD69" s="301"/>
      <c r="AE69" s="301"/>
      <c r="AF69" s="302"/>
      <c r="AG69" s="95"/>
      <c r="AH69" s="95"/>
    </row>
    <row r="70" spans="1:36" ht="97.5" customHeight="1">
      <c r="A70" s="95"/>
      <c r="B70" s="297" t="s">
        <v>279</v>
      </c>
      <c r="C70" s="298"/>
      <c r="D70" s="298"/>
      <c r="E70" s="298"/>
      <c r="F70" s="298"/>
      <c r="G70" s="299"/>
      <c r="H70" s="300" t="s">
        <v>282</v>
      </c>
      <c r="I70" s="301"/>
      <c r="J70" s="301"/>
      <c r="K70" s="301"/>
      <c r="L70" s="301"/>
      <c r="M70" s="301"/>
      <c r="N70" s="301"/>
      <c r="O70" s="301"/>
      <c r="P70" s="301"/>
      <c r="Q70" s="301"/>
      <c r="R70" s="301"/>
      <c r="S70" s="301"/>
      <c r="T70" s="301"/>
      <c r="U70" s="301"/>
      <c r="V70" s="301"/>
      <c r="W70" s="301"/>
      <c r="X70" s="301"/>
      <c r="Y70" s="301"/>
      <c r="Z70" s="301"/>
      <c r="AA70" s="301"/>
      <c r="AB70" s="301"/>
      <c r="AC70" s="301"/>
      <c r="AD70" s="301"/>
      <c r="AE70" s="301"/>
      <c r="AF70" s="302"/>
      <c r="AG70" s="95"/>
      <c r="AH70" s="95"/>
    </row>
    <row r="71" spans="1:36">
      <c r="A71" s="95"/>
      <c r="B71" s="122"/>
      <c r="C71" s="122"/>
      <c r="D71" s="122"/>
      <c r="E71" s="122"/>
      <c r="F71" s="122"/>
      <c r="G71" s="122"/>
      <c r="H71" s="123"/>
      <c r="I71" s="123"/>
      <c r="J71" s="123"/>
      <c r="K71" s="123"/>
      <c r="L71" s="123"/>
      <c r="M71" s="123"/>
      <c r="N71" s="123"/>
      <c r="O71" s="123"/>
      <c r="P71" s="123"/>
      <c r="Q71" s="123"/>
      <c r="R71" s="123"/>
      <c r="S71" s="123"/>
      <c r="T71" s="123"/>
      <c r="U71" s="123"/>
      <c r="V71" s="123"/>
      <c r="W71" s="123"/>
      <c r="X71" s="123"/>
      <c r="Y71" s="123"/>
      <c r="Z71" s="123"/>
      <c r="AA71" s="123"/>
      <c r="AB71" s="123"/>
      <c r="AC71" s="123"/>
      <c r="AD71" s="123"/>
      <c r="AE71" s="123"/>
      <c r="AF71" s="123"/>
      <c r="AG71" s="95"/>
      <c r="AH71" s="95"/>
    </row>
    <row r="72" spans="1:36">
      <c r="A72" s="95"/>
      <c r="B72" s="122"/>
      <c r="C72" s="122"/>
      <c r="D72" s="122"/>
      <c r="E72" s="122"/>
      <c r="F72" s="122"/>
      <c r="G72" s="122"/>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95"/>
      <c r="AH72" s="95"/>
    </row>
    <row r="73" spans="1:36">
      <c r="A73" s="95"/>
      <c r="B73" s="122"/>
      <c r="C73" s="122"/>
      <c r="D73" s="122"/>
      <c r="E73" s="122"/>
      <c r="F73" s="122"/>
      <c r="G73" s="122"/>
      <c r="H73" s="123"/>
      <c r="I73" s="123"/>
      <c r="J73" s="123"/>
      <c r="K73" s="123"/>
      <c r="L73" s="123"/>
      <c r="M73" s="123"/>
      <c r="N73" s="123"/>
      <c r="O73" s="123"/>
      <c r="P73" s="123"/>
      <c r="Q73" s="123"/>
      <c r="R73" s="123"/>
      <c r="S73" s="123"/>
      <c r="T73" s="123"/>
      <c r="U73" s="123"/>
      <c r="V73" s="123"/>
      <c r="W73" s="123"/>
      <c r="X73" s="123"/>
      <c r="Y73" s="123"/>
      <c r="Z73" s="123"/>
      <c r="AA73" s="123"/>
      <c r="AB73" s="123"/>
      <c r="AC73" s="123"/>
      <c r="AD73" s="123"/>
      <c r="AE73" s="123"/>
      <c r="AF73" s="123"/>
      <c r="AG73" s="95"/>
      <c r="AH73" s="95"/>
    </row>
    <row r="74" spans="1:36" ht="24.6">
      <c r="A74" s="95"/>
      <c r="B74" s="118" t="s">
        <v>170</v>
      </c>
      <c r="C74" s="119"/>
      <c r="D74" s="119"/>
      <c r="E74" s="119"/>
      <c r="F74" s="119"/>
      <c r="G74" s="119"/>
      <c r="H74" s="120"/>
      <c r="I74" s="120"/>
      <c r="J74" s="120"/>
      <c r="K74" s="120"/>
      <c r="L74" s="120"/>
      <c r="M74" s="120"/>
      <c r="N74" s="120"/>
      <c r="O74" s="120"/>
      <c r="P74" s="120"/>
      <c r="Q74" s="120"/>
      <c r="R74" s="120"/>
      <c r="S74" s="120"/>
      <c r="T74" s="120"/>
      <c r="U74" s="120"/>
      <c r="V74" s="120"/>
      <c r="W74" s="120"/>
      <c r="X74" s="120"/>
      <c r="Y74" s="120"/>
      <c r="Z74" s="120"/>
      <c r="AA74" s="120"/>
      <c r="AB74" s="120"/>
      <c r="AC74" s="120"/>
      <c r="AD74" s="120"/>
      <c r="AE74" s="120"/>
      <c r="AF74" s="120"/>
      <c r="AG74" s="95"/>
      <c r="AH74" s="95"/>
    </row>
    <row r="75" spans="1:36">
      <c r="A75" s="95"/>
      <c r="B75" s="122"/>
      <c r="C75" s="122"/>
      <c r="D75" s="122"/>
      <c r="E75" s="122"/>
      <c r="F75" s="122"/>
      <c r="G75" s="122"/>
      <c r="H75" s="123"/>
      <c r="I75" s="123"/>
      <c r="J75" s="123"/>
      <c r="K75" s="123"/>
      <c r="L75" s="123"/>
      <c r="M75" s="123"/>
      <c r="N75" s="123"/>
      <c r="O75" s="123"/>
      <c r="P75" s="123"/>
      <c r="Q75" s="123"/>
      <c r="R75" s="123"/>
      <c r="S75" s="123"/>
      <c r="T75" s="123"/>
      <c r="U75" s="123"/>
      <c r="V75" s="123"/>
      <c r="W75" s="123"/>
      <c r="X75" s="123"/>
      <c r="Y75" s="123"/>
      <c r="Z75" s="123"/>
      <c r="AA75" s="123"/>
      <c r="AB75" s="123"/>
      <c r="AC75" s="123"/>
      <c r="AD75" s="123"/>
      <c r="AE75" s="123"/>
      <c r="AF75" s="123"/>
      <c r="AG75" s="95"/>
      <c r="AH75" s="95"/>
    </row>
    <row r="76" spans="1:36">
      <c r="A76" s="95"/>
      <c r="B76" s="122" t="s">
        <v>171</v>
      </c>
      <c r="C76" s="122"/>
      <c r="D76" s="122"/>
      <c r="E76" s="122"/>
      <c r="F76" s="122"/>
      <c r="G76" s="122"/>
      <c r="H76" s="123"/>
      <c r="I76" s="123"/>
      <c r="J76" s="123"/>
      <c r="K76" s="123"/>
      <c r="L76" s="123"/>
      <c r="M76" s="123"/>
      <c r="N76" s="123"/>
      <c r="O76" s="123"/>
      <c r="P76" s="123"/>
      <c r="Q76" s="123"/>
      <c r="R76" s="123"/>
      <c r="S76" s="123"/>
      <c r="T76" s="123"/>
      <c r="U76" s="123"/>
      <c r="V76" s="123"/>
      <c r="W76" s="123"/>
      <c r="X76" s="123"/>
      <c r="Y76" s="123"/>
      <c r="Z76" s="123"/>
      <c r="AA76" s="123"/>
      <c r="AB76" s="123"/>
      <c r="AC76" s="123"/>
      <c r="AD76" s="123"/>
      <c r="AE76" s="123"/>
      <c r="AF76" s="123"/>
      <c r="AG76" s="95"/>
      <c r="AH76" s="95"/>
    </row>
    <row r="77" spans="1:36" ht="68.400000000000006">
      <c r="A77" s="95"/>
      <c r="B77" s="122"/>
      <c r="C77" s="122"/>
      <c r="D77" s="122"/>
      <c r="E77" s="122"/>
      <c r="F77" s="122"/>
      <c r="G77" s="122"/>
      <c r="H77" s="123"/>
      <c r="I77" s="123"/>
      <c r="J77" s="123"/>
      <c r="K77" s="123"/>
      <c r="L77" s="123"/>
      <c r="M77" s="123"/>
      <c r="N77" s="123"/>
      <c r="O77" s="123"/>
      <c r="P77" s="123"/>
      <c r="Q77" s="123"/>
      <c r="R77" s="123"/>
      <c r="S77" s="123"/>
      <c r="T77" s="123"/>
      <c r="U77" s="123"/>
      <c r="V77" s="123"/>
      <c r="W77" s="123"/>
      <c r="X77" s="123"/>
      <c r="Y77" s="123"/>
      <c r="Z77" s="123"/>
      <c r="AA77" s="123"/>
      <c r="AB77" s="123"/>
      <c r="AC77" s="123"/>
      <c r="AD77" s="123"/>
      <c r="AE77" s="123"/>
      <c r="AF77" s="123"/>
      <c r="AG77" s="95"/>
      <c r="AH77" s="95"/>
      <c r="AJ77" s="182" t="s">
        <v>396</v>
      </c>
    </row>
    <row r="78" spans="1:36" ht="18">
      <c r="A78" s="95"/>
      <c r="C78" s="122"/>
      <c r="D78" s="122"/>
      <c r="E78" s="122"/>
      <c r="F78" s="122"/>
      <c r="G78" s="122"/>
      <c r="H78" s="123"/>
      <c r="I78" s="123"/>
      <c r="J78" s="123"/>
      <c r="K78" s="123"/>
      <c r="L78" s="123"/>
      <c r="M78" s="123"/>
      <c r="N78" s="123"/>
      <c r="O78" s="123"/>
      <c r="P78" s="123"/>
      <c r="Q78" s="123"/>
      <c r="R78" s="123"/>
      <c r="S78" s="123"/>
      <c r="T78" s="123"/>
      <c r="U78" s="123"/>
      <c r="V78" s="123"/>
      <c r="W78" s="123"/>
      <c r="X78" s="123"/>
      <c r="Y78" s="123"/>
      <c r="Z78" s="123"/>
      <c r="AA78" s="123"/>
      <c r="AB78" s="123"/>
      <c r="AC78" s="123"/>
      <c r="AD78" s="123"/>
      <c r="AE78" s="123"/>
      <c r="AF78" s="123"/>
      <c r="AG78" s="95"/>
      <c r="AH78" s="95"/>
      <c r="AI78" s="143"/>
      <c r="AJ78" s="181" t="s">
        <v>397</v>
      </c>
    </row>
    <row r="79" spans="1:36">
      <c r="A79" s="95"/>
      <c r="C79" s="122"/>
      <c r="D79" s="122"/>
      <c r="E79" s="122"/>
      <c r="F79" s="122"/>
      <c r="G79" s="122"/>
      <c r="H79" s="123"/>
      <c r="I79" s="123"/>
      <c r="J79" s="123"/>
      <c r="K79" s="123"/>
      <c r="L79" s="123"/>
      <c r="M79" s="123"/>
      <c r="N79" s="123"/>
      <c r="O79" s="123"/>
      <c r="P79" s="123"/>
      <c r="Q79" s="123"/>
      <c r="R79" s="123"/>
      <c r="S79" s="123"/>
      <c r="T79" s="123"/>
      <c r="U79" s="123"/>
      <c r="V79" s="123"/>
      <c r="W79" s="123"/>
      <c r="X79" s="123"/>
      <c r="Y79" s="123"/>
      <c r="Z79" s="123"/>
      <c r="AA79" s="123"/>
      <c r="AB79" s="123"/>
      <c r="AC79" s="123"/>
      <c r="AD79" s="123"/>
      <c r="AE79" s="123"/>
      <c r="AF79" s="123"/>
      <c r="AG79" s="95"/>
      <c r="AH79" s="95"/>
      <c r="AI79" s="144" t="s">
        <v>226</v>
      </c>
      <c r="AJ79" s="144" t="s">
        <v>172</v>
      </c>
    </row>
    <row r="80" spans="1:36">
      <c r="A80" s="95"/>
      <c r="C80" s="122"/>
      <c r="D80" s="122"/>
      <c r="E80" s="122"/>
      <c r="F80" s="122"/>
      <c r="G80" s="122"/>
      <c r="H80" s="123"/>
      <c r="I80" s="123"/>
      <c r="J80" s="123"/>
      <c r="K80" s="123"/>
      <c r="L80" s="123"/>
      <c r="M80" s="123"/>
      <c r="N80" s="123"/>
      <c r="O80" s="123"/>
      <c r="P80" s="123"/>
      <c r="Q80" s="123"/>
      <c r="R80" s="123"/>
      <c r="S80" s="123"/>
      <c r="T80" s="123"/>
      <c r="U80" s="123"/>
      <c r="V80" s="123"/>
      <c r="W80" s="123"/>
      <c r="X80" s="123"/>
      <c r="Y80" s="123"/>
      <c r="Z80" s="123"/>
      <c r="AA80" s="123"/>
      <c r="AB80" s="123"/>
      <c r="AC80" s="123"/>
      <c r="AD80" s="123"/>
      <c r="AE80" s="123"/>
      <c r="AF80" s="123"/>
      <c r="AG80" s="95"/>
      <c r="AH80" s="95"/>
      <c r="AI80" s="144" t="s">
        <v>23</v>
      </c>
      <c r="AJ80" s="144" t="s">
        <v>174</v>
      </c>
    </row>
    <row r="81" spans="1:36">
      <c r="A81" s="95"/>
      <c r="C81" s="122"/>
      <c r="D81" s="122"/>
      <c r="E81" s="122"/>
      <c r="F81" s="122"/>
      <c r="G81" s="122"/>
      <c r="H81" s="123"/>
      <c r="I81" s="123"/>
      <c r="J81" s="123"/>
      <c r="K81" s="123"/>
      <c r="L81" s="123"/>
      <c r="M81" s="123"/>
      <c r="N81" s="123"/>
      <c r="O81" s="123"/>
      <c r="P81" s="123"/>
      <c r="Q81" s="123"/>
      <c r="R81" s="123"/>
      <c r="S81" s="123"/>
      <c r="T81" s="123"/>
      <c r="U81" s="123"/>
      <c r="V81" s="123"/>
      <c r="W81" s="123"/>
      <c r="X81" s="123"/>
      <c r="Y81" s="123"/>
      <c r="Z81" s="123"/>
      <c r="AA81" s="123"/>
      <c r="AB81" s="123"/>
      <c r="AC81" s="123"/>
      <c r="AD81" s="123"/>
      <c r="AE81" s="123"/>
      <c r="AF81" s="123"/>
      <c r="AG81" s="95"/>
      <c r="AH81" s="95"/>
      <c r="AI81" s="144" t="s">
        <v>11</v>
      </c>
      <c r="AJ81" s="144" t="s">
        <v>228</v>
      </c>
    </row>
    <row r="82" spans="1:36" ht="18">
      <c r="A82" s="95"/>
      <c r="C82" s="122"/>
      <c r="D82" s="122"/>
      <c r="E82" s="122"/>
      <c r="F82" s="122"/>
      <c r="G82" s="122"/>
      <c r="H82" s="123"/>
      <c r="I82" s="123"/>
      <c r="J82" s="123"/>
      <c r="K82" s="123"/>
      <c r="L82" s="123"/>
      <c r="M82" s="123"/>
      <c r="N82" s="123"/>
      <c r="O82" s="123"/>
      <c r="P82" s="123"/>
      <c r="Q82" s="123"/>
      <c r="R82" s="123"/>
      <c r="S82" s="123"/>
      <c r="T82" s="123"/>
      <c r="U82" s="123"/>
      <c r="V82" s="123"/>
      <c r="W82" s="123"/>
      <c r="X82" s="123"/>
      <c r="Y82" s="123"/>
      <c r="Z82" s="123"/>
      <c r="AA82" s="123"/>
      <c r="AB82" s="123"/>
      <c r="AC82" s="123"/>
      <c r="AD82" s="123"/>
      <c r="AE82" s="123"/>
      <c r="AF82" s="123"/>
      <c r="AG82" s="95"/>
      <c r="AH82" s="95"/>
      <c r="AI82" s="145"/>
      <c r="AJ82" s="144" t="s">
        <v>175</v>
      </c>
    </row>
    <row r="83" spans="1:36">
      <c r="A83" s="95"/>
      <c r="B83" s="122"/>
      <c r="C83" s="122"/>
      <c r="D83" s="122"/>
      <c r="E83" s="122"/>
      <c r="F83" s="122"/>
      <c r="G83" s="122"/>
      <c r="H83" s="123"/>
      <c r="I83" s="123"/>
      <c r="J83" s="123"/>
      <c r="K83" s="123"/>
      <c r="L83" s="123"/>
      <c r="M83" s="123"/>
      <c r="N83" s="123"/>
      <c r="O83" s="123"/>
      <c r="P83" s="123"/>
      <c r="Q83" s="123"/>
      <c r="R83" s="123"/>
      <c r="S83" s="123"/>
      <c r="T83" s="123"/>
      <c r="U83" s="123"/>
      <c r="V83" s="123"/>
      <c r="W83" s="123"/>
      <c r="X83" s="123"/>
      <c r="Y83" s="123"/>
      <c r="Z83" s="123"/>
      <c r="AA83" s="123"/>
      <c r="AB83" s="123"/>
      <c r="AC83" s="123"/>
      <c r="AD83" s="123"/>
      <c r="AE83" s="123"/>
      <c r="AF83" s="123"/>
      <c r="AG83" s="95"/>
      <c r="AH83" s="95"/>
      <c r="AJ83" s="144" t="s">
        <v>299</v>
      </c>
    </row>
    <row r="84" spans="1:36">
      <c r="A84" s="95"/>
      <c r="B84" s="95"/>
      <c r="C84" s="95"/>
      <c r="D84" s="95"/>
      <c r="E84" s="95"/>
      <c r="F84" s="95"/>
      <c r="G84" s="95"/>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J84" s="144" t="s">
        <v>173</v>
      </c>
    </row>
    <row r="85" spans="1:36">
      <c r="AJ85" s="144" t="s">
        <v>232</v>
      </c>
    </row>
    <row r="86" spans="1:36">
      <c r="AJ86" s="144" t="s">
        <v>300</v>
      </c>
    </row>
    <row r="87" spans="1:36">
      <c r="AJ87" s="144" t="s">
        <v>301</v>
      </c>
    </row>
    <row r="88" spans="1:36">
      <c r="AJ88" s="144" t="s">
        <v>302</v>
      </c>
    </row>
    <row r="89" spans="1:36">
      <c r="AJ89" s="144" t="s">
        <v>303</v>
      </c>
    </row>
    <row r="90" spans="1:36">
      <c r="AJ90" s="144" t="s">
        <v>309</v>
      </c>
    </row>
    <row r="91" spans="1:36">
      <c r="AJ91" s="144" t="s">
        <v>176</v>
      </c>
    </row>
    <row r="92" spans="1:36">
      <c r="AJ92" s="144" t="s">
        <v>304</v>
      </c>
    </row>
    <row r="93" spans="1:36">
      <c r="AJ93" s="144" t="s">
        <v>305</v>
      </c>
    </row>
    <row r="94" spans="1:36">
      <c r="AJ94" s="144" t="s">
        <v>306</v>
      </c>
    </row>
    <row r="95" spans="1:36">
      <c r="AJ95" s="144" t="s">
        <v>307</v>
      </c>
    </row>
    <row r="96" spans="1:36">
      <c r="AJ96" s="144" t="s">
        <v>308</v>
      </c>
    </row>
    <row r="97" spans="36:36">
      <c r="AJ97" s="144" t="s">
        <v>177</v>
      </c>
    </row>
    <row r="98" spans="36:36">
      <c r="AJ98" s="144" t="s">
        <v>310</v>
      </c>
    </row>
    <row r="99" spans="36:36" ht="18">
      <c r="AJ99" s="145" t="s">
        <v>305</v>
      </c>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phoneticPr fontId="103"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113" activePane="bottomLeft" state="frozenSplit"/>
      <selection pane="bottomLeft" activeCell="C130" sqref="C130"/>
    </sheetView>
  </sheetViews>
  <sheetFormatPr defaultColWidth="9.21875" defaultRowHeight="13.2"/>
  <cols>
    <col min="1" max="1" width="3.77734375" style="1" customWidth="1"/>
    <col min="2" max="2" width="19.44140625" style="1" customWidth="1"/>
    <col min="3" max="3" width="100.77734375" style="1" customWidth="1"/>
    <col min="4" max="16384" width="9.21875" style="1"/>
  </cols>
  <sheetData>
    <row r="1" spans="1:8" ht="18.600000000000001">
      <c r="A1" s="305" t="s">
        <v>15</v>
      </c>
      <c r="B1" s="306"/>
      <c r="C1" s="306"/>
      <c r="D1" s="307"/>
    </row>
    <row r="3" spans="1:8">
      <c r="B3" s="308" t="s">
        <v>16</v>
      </c>
      <c r="C3" s="309"/>
      <c r="D3" s="310"/>
    </row>
    <row r="4" spans="1:8">
      <c r="B4" s="69" t="s">
        <v>97</v>
      </c>
      <c r="C4" s="41"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69" t="s">
        <v>84</v>
      </c>
      <c r="C9" s="41" t="s">
        <v>85</v>
      </c>
      <c r="D9" s="12"/>
    </row>
    <row r="10" spans="1:8">
      <c r="B10" s="69" t="s">
        <v>58</v>
      </c>
      <c r="C10" s="41" t="s">
        <v>59</v>
      </c>
      <c r="D10" s="12"/>
    </row>
    <row r="12" spans="1:8">
      <c r="B12" s="308" t="s">
        <v>185</v>
      </c>
      <c r="C12" s="309"/>
      <c r="D12" s="310"/>
    </row>
    <row r="13" spans="1:8" ht="24.75" customHeight="1">
      <c r="B13" s="124" t="s">
        <v>180</v>
      </c>
      <c r="C13" s="311" t="s">
        <v>182</v>
      </c>
      <c r="D13" s="312"/>
    </row>
    <row r="14" spans="1:8" ht="25.5" customHeight="1">
      <c r="B14" s="124" t="s">
        <v>107</v>
      </c>
      <c r="C14" s="311" t="s">
        <v>183</v>
      </c>
      <c r="D14" s="312"/>
      <c r="E14" s="80"/>
      <c r="F14" s="80"/>
      <c r="G14" s="80"/>
      <c r="H14" s="80"/>
    </row>
    <row r="15" spans="1:8" ht="49.5" customHeight="1">
      <c r="B15" s="124" t="s">
        <v>181</v>
      </c>
      <c r="C15" s="311" t="s">
        <v>184</v>
      </c>
      <c r="D15" s="312"/>
      <c r="F15" s="39" t="s">
        <v>136</v>
      </c>
    </row>
    <row r="17" spans="2:6">
      <c r="B17" s="308" t="s">
        <v>13</v>
      </c>
      <c r="C17" s="309"/>
      <c r="D17" s="310"/>
    </row>
    <row r="18" spans="2:6">
      <c r="B18" s="2"/>
      <c r="D18" s="3"/>
      <c r="F18" s="39" t="s">
        <v>133</v>
      </c>
    </row>
    <row r="19" spans="2:6" s="81" customFormat="1" ht="39.6">
      <c r="B19" s="303" t="s">
        <v>186</v>
      </c>
      <c r="C19" s="125" t="s">
        <v>108</v>
      </c>
      <c r="D19" s="82"/>
      <c r="F19" s="84" t="s">
        <v>134</v>
      </c>
    </row>
    <row r="20" spans="2:6">
      <c r="B20" s="303"/>
      <c r="C20" s="126"/>
      <c r="D20" s="3"/>
      <c r="F20" s="39" t="s">
        <v>135</v>
      </c>
    </row>
    <row r="21" spans="2:6" ht="26.4">
      <c r="B21" s="303"/>
      <c r="C21" s="127" t="s">
        <v>109</v>
      </c>
      <c r="D21" s="3"/>
    </row>
    <row r="22" spans="2:6" ht="26.4">
      <c r="B22" s="303"/>
      <c r="C22" s="127" t="s">
        <v>0</v>
      </c>
      <c r="D22" s="3"/>
    </row>
    <row r="23" spans="2:6">
      <c r="B23" s="303"/>
      <c r="C23" s="127" t="s">
        <v>1</v>
      </c>
      <c r="D23" s="3"/>
    </row>
    <row r="24" spans="2:6">
      <c r="B24" s="2"/>
      <c r="C24" s="24"/>
      <c r="D24" s="3"/>
    </row>
    <row r="25" spans="2:6">
      <c r="B25" s="304" t="s">
        <v>187</v>
      </c>
      <c r="C25" s="128" t="s">
        <v>57</v>
      </c>
      <c r="D25" s="3"/>
    </row>
    <row r="26" spans="2:6" ht="26.4">
      <c r="B26" s="304"/>
      <c r="C26" s="129" t="s">
        <v>2</v>
      </c>
      <c r="D26" s="3"/>
    </row>
    <row r="27" spans="2:6">
      <c r="B27" s="304"/>
      <c r="C27" s="128" t="s">
        <v>131</v>
      </c>
      <c r="D27" s="3"/>
    </row>
    <row r="28" spans="2:6">
      <c r="B28" s="2"/>
      <c r="C28" s="24"/>
      <c r="D28" s="3"/>
    </row>
    <row r="29" spans="2:6">
      <c r="B29" s="4"/>
      <c r="C29" s="5"/>
      <c r="D29" s="6"/>
    </row>
    <row r="32" spans="2:6">
      <c r="B32" s="13" t="s">
        <v>52</v>
      </c>
    </row>
    <row r="33" spans="2:4">
      <c r="B33" s="7"/>
      <c r="C33" s="8"/>
      <c r="D33" s="9"/>
    </row>
    <row r="34" spans="2:4" ht="17.399999999999999">
      <c r="B34" s="33" t="s">
        <v>55</v>
      </c>
      <c r="D34" s="3"/>
    </row>
    <row r="35" spans="2:4" ht="26.4">
      <c r="B35" s="2"/>
      <c r="C35" s="27" t="s">
        <v>53</v>
      </c>
      <c r="D35" s="3"/>
    </row>
    <row r="36" spans="2:4">
      <c r="B36" s="4"/>
      <c r="C36" s="64"/>
      <c r="D36" s="6"/>
    </row>
    <row r="37" spans="2:4">
      <c r="B37" s="2"/>
      <c r="C37" s="27"/>
      <c r="D37" s="3"/>
    </row>
    <row r="38" spans="2:4" ht="17.399999999999999">
      <c r="B38" s="33" t="s">
        <v>89</v>
      </c>
      <c r="C38" s="27"/>
      <c r="D38" s="3"/>
    </row>
    <row r="39" spans="2:4" ht="17.399999999999999">
      <c r="B39" s="33"/>
      <c r="C39" s="27"/>
      <c r="D39" s="3"/>
    </row>
    <row r="40" spans="2:4" ht="17.399999999999999">
      <c r="B40" s="33"/>
      <c r="C40" s="27"/>
      <c r="D40" s="3"/>
    </row>
    <row r="41" spans="2:4" ht="17.399999999999999">
      <c r="B41" s="33"/>
      <c r="C41" s="27"/>
      <c r="D41" s="3"/>
    </row>
    <row r="42" spans="2:4" ht="17.399999999999999">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799999999999997">
      <c r="B50" s="179" t="s">
        <v>393</v>
      </c>
      <c r="C50" s="180" t="s">
        <v>394</v>
      </c>
      <c r="D50" s="3"/>
    </row>
    <row r="51" spans="2:4">
      <c r="B51" s="4"/>
      <c r="C51" s="38"/>
      <c r="D51" s="6"/>
    </row>
    <row r="52" spans="2:4">
      <c r="B52" s="2"/>
      <c r="C52" s="27"/>
      <c r="D52" s="3"/>
    </row>
    <row r="53" spans="2:4" ht="17.399999999999999">
      <c r="B53" s="33" t="s">
        <v>83</v>
      </c>
      <c r="C53" s="27"/>
      <c r="D53" s="3"/>
    </row>
    <row r="54" spans="2:4">
      <c r="B54" s="2"/>
      <c r="C54" s="65" t="s">
        <v>60</v>
      </c>
      <c r="D54" s="3"/>
    </row>
    <row r="55" spans="2:4">
      <c r="B55" s="2"/>
      <c r="C55" s="66" t="s">
        <v>61</v>
      </c>
      <c r="D55" s="3"/>
    </row>
    <row r="56" spans="2:4">
      <c r="B56" s="2"/>
      <c r="C56" s="67" t="s">
        <v>62</v>
      </c>
      <c r="D56" s="3"/>
    </row>
    <row r="57" spans="2:4">
      <c r="B57" s="2"/>
      <c r="C57" s="68" t="s">
        <v>132</v>
      </c>
      <c r="D57" s="3"/>
    </row>
    <row r="58" spans="2:4">
      <c r="B58" s="4"/>
      <c r="C58" s="38"/>
      <c r="D58" s="6"/>
    </row>
    <row r="59" spans="2:4">
      <c r="B59" s="2"/>
      <c r="C59" s="24"/>
      <c r="D59" s="3"/>
    </row>
    <row r="60" spans="2:4" ht="17.399999999999999">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6.4">
      <c r="B111" s="13" t="s">
        <v>56</v>
      </c>
    </row>
    <row r="112" spans="2:4">
      <c r="B112" s="7"/>
      <c r="C112" s="8"/>
      <c r="D112" s="9"/>
    </row>
    <row r="113" spans="2:4">
      <c r="B113" s="2"/>
      <c r="D113" s="3"/>
    </row>
    <row r="114" spans="2:4">
      <c r="B114" s="2"/>
      <c r="D114" s="3"/>
    </row>
    <row r="115" spans="2:4">
      <c r="B115" s="2"/>
      <c r="C115" s="39" t="s">
        <v>86</v>
      </c>
      <c r="D115" s="3"/>
    </row>
    <row r="116" spans="2:4">
      <c r="B116" s="2"/>
      <c r="D116" s="3"/>
    </row>
    <row r="117" spans="2:4" ht="12.75" customHeight="1">
      <c r="B117" s="2"/>
      <c r="C117" s="39" t="s">
        <v>81</v>
      </c>
      <c r="D117" s="3"/>
    </row>
    <row r="118" spans="2:4" ht="12.75" customHeight="1">
      <c r="B118" s="2"/>
      <c r="D118" s="3"/>
    </row>
    <row r="119" spans="2:4" ht="12.75" customHeight="1">
      <c r="B119" s="2"/>
      <c r="D119" s="3"/>
    </row>
    <row r="120" spans="2:4">
      <c r="B120" s="4"/>
      <c r="C120" s="5"/>
      <c r="D120" s="6"/>
    </row>
    <row r="122" spans="2:4">
      <c r="B122" s="13" t="s">
        <v>110</v>
      </c>
    </row>
    <row r="123" spans="2:4" ht="39.6">
      <c r="B123" s="7"/>
      <c r="C123" s="83" t="s">
        <v>112</v>
      </c>
      <c r="D123" s="9"/>
    </row>
    <row r="124" spans="2:4">
      <c r="B124" s="130" t="s">
        <v>188</v>
      </c>
      <c r="C124" s="1" t="s">
        <v>111</v>
      </c>
      <c r="D124" s="3"/>
    </row>
    <row r="125" spans="2:4">
      <c r="B125" s="130" t="s">
        <v>188</v>
      </c>
      <c r="C125" s="27" t="s">
        <v>115</v>
      </c>
      <c r="D125" s="3"/>
    </row>
    <row r="126" spans="2:4">
      <c r="B126" s="130" t="s">
        <v>188</v>
      </c>
      <c r="C126" s="24" t="s">
        <v>116</v>
      </c>
      <c r="D126" s="3"/>
    </row>
    <row r="127" spans="2:4">
      <c r="B127" s="130" t="s">
        <v>188</v>
      </c>
      <c r="C127" s="24" t="s">
        <v>117</v>
      </c>
      <c r="D127" s="3"/>
    </row>
    <row r="128" spans="2:4">
      <c r="B128" s="130" t="s">
        <v>188</v>
      </c>
      <c r="C128" s="24" t="s">
        <v>118</v>
      </c>
      <c r="D128" s="3"/>
    </row>
    <row r="129" spans="2:4">
      <c r="B129" s="130" t="s">
        <v>188</v>
      </c>
      <c r="C129" s="24" t="s">
        <v>122</v>
      </c>
      <c r="D129" s="3"/>
    </row>
    <row r="130" spans="2:4">
      <c r="B130" s="130" t="s">
        <v>188</v>
      </c>
      <c r="C130" s="24" t="s">
        <v>123</v>
      </c>
      <c r="D130" s="3"/>
    </row>
    <row r="131" spans="2:4">
      <c r="B131" s="130" t="s">
        <v>188</v>
      </c>
      <c r="C131" s="27" t="s">
        <v>125</v>
      </c>
      <c r="D131" s="3"/>
    </row>
    <row r="132" spans="2:4">
      <c r="B132" s="130" t="s">
        <v>188</v>
      </c>
      <c r="C132" s="27" t="s">
        <v>126</v>
      </c>
      <c r="D132" s="3"/>
    </row>
    <row r="133" spans="2:4">
      <c r="B133" s="130" t="s">
        <v>188</v>
      </c>
      <c r="C133" s="1" t="s">
        <v>124</v>
      </c>
      <c r="D133" s="3"/>
    </row>
    <row r="134" spans="2:4">
      <c r="B134" s="130" t="s">
        <v>188</v>
      </c>
      <c r="C134" s="24" t="s">
        <v>119</v>
      </c>
      <c r="D134" s="3"/>
    </row>
    <row r="135" spans="2:4">
      <c r="B135" s="130" t="s">
        <v>188</v>
      </c>
      <c r="C135" s="24" t="s">
        <v>114</v>
      </c>
      <c r="D135" s="3"/>
    </row>
    <row r="136" spans="2:4">
      <c r="B136" s="130" t="s">
        <v>188</v>
      </c>
      <c r="C136" s="27" t="s">
        <v>120</v>
      </c>
      <c r="D136" s="3"/>
    </row>
    <row r="137" spans="2:4">
      <c r="B137" s="130" t="s">
        <v>188</v>
      </c>
      <c r="C137" s="27" t="s">
        <v>128</v>
      </c>
      <c r="D137" s="3"/>
    </row>
    <row r="138" spans="2:4">
      <c r="B138" s="130" t="s">
        <v>188</v>
      </c>
      <c r="C138" s="27" t="s">
        <v>113</v>
      </c>
      <c r="D138" s="3"/>
    </row>
    <row r="139" spans="2:4">
      <c r="B139" s="130" t="s">
        <v>188</v>
      </c>
      <c r="C139" s="27" t="s">
        <v>127</v>
      </c>
      <c r="D139" s="3"/>
    </row>
    <row r="140" spans="2:4">
      <c r="B140" s="131" t="s">
        <v>188</v>
      </c>
      <c r="C140" s="5" t="s">
        <v>121</v>
      </c>
      <c r="D140" s="6"/>
    </row>
  </sheetData>
  <mergeCells count="9">
    <mergeCell ref="B19:B23"/>
    <mergeCell ref="B25:B27"/>
    <mergeCell ref="A1:D1"/>
    <mergeCell ref="B17:D17"/>
    <mergeCell ref="B3:D3"/>
    <mergeCell ref="B12:D12"/>
    <mergeCell ref="C14:D14"/>
    <mergeCell ref="C15:D15"/>
    <mergeCell ref="C13:D13"/>
  </mergeCells>
  <phoneticPr fontId="48"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4640580</xdr:colOff>
                    <xdr:row>115</xdr:row>
                    <xdr:rowOff>106680</xdr:rowOff>
                  </from>
                  <to>
                    <xdr:col>2</xdr:col>
                    <xdr:colOff>6537960</xdr:colOff>
                    <xdr:row>117</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H24" sqref="H24:H27"/>
    </sheetView>
  </sheetViews>
  <sheetFormatPr defaultColWidth="9.21875" defaultRowHeight="13.2" outlineLevelCol="1"/>
  <cols>
    <col min="1" max="1" width="9.21875" style="14" collapsed="1"/>
    <col min="2" max="2" width="9.21875" style="14" hidden="1" customWidth="1" outlineLevel="1"/>
    <col min="3" max="3" width="24" style="14" bestFit="1" customWidth="1"/>
    <col min="4" max="4" width="14.77734375" style="14" customWidth="1"/>
    <col min="5" max="5" width="10.21875" style="14" customWidth="1"/>
    <col min="6" max="6" width="11.44140625" style="14" customWidth="1"/>
    <col min="7" max="7" width="9.21875" style="14" customWidth="1"/>
    <col min="8" max="8" width="10.5546875" style="14" customWidth="1"/>
    <col min="9" max="9" width="12.77734375" style="14" customWidth="1"/>
    <col min="10" max="10" width="13.5546875" style="14" customWidth="1"/>
    <col min="11" max="11" width="9.21875" style="14" customWidth="1"/>
    <col min="12" max="13" width="12.21875" style="14" customWidth="1"/>
    <col min="14" max="14" width="10.5546875" style="14" customWidth="1"/>
    <col min="15" max="15" width="9.21875" style="14" customWidth="1"/>
    <col min="16" max="16" width="10.21875" style="14" customWidth="1"/>
    <col min="17" max="18" width="10" style="14" bestFit="1" customWidth="1"/>
    <col min="19" max="19" width="11.21875" style="14" customWidth="1"/>
    <col min="20" max="16384" width="9.2187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0" customFormat="1" ht="79.2">
      <c r="B24" s="72" t="s">
        <v>90</v>
      </c>
      <c r="C24" s="29" t="s">
        <v>51</v>
      </c>
      <c r="D24" s="50" t="s">
        <v>69</v>
      </c>
      <c r="E24" s="72" t="s">
        <v>304</v>
      </c>
      <c r="F24" s="72" t="s">
        <v>305</v>
      </c>
      <c r="G24" s="72" t="s">
        <v>306</v>
      </c>
      <c r="H24" s="72" t="s">
        <v>307</v>
      </c>
      <c r="I24" s="72" t="s">
        <v>299</v>
      </c>
      <c r="J24" s="72" t="s">
        <v>173</v>
      </c>
      <c r="K24" s="72" t="s">
        <v>232</v>
      </c>
      <c r="L24" s="72" t="s">
        <v>300</v>
      </c>
      <c r="M24" s="72" t="s">
        <v>301</v>
      </c>
      <c r="N24" s="72" t="s">
        <v>302</v>
      </c>
      <c r="O24" s="72" t="s">
        <v>303</v>
      </c>
      <c r="P24" s="72" t="s">
        <v>309</v>
      </c>
      <c r="Q24" s="72" t="s">
        <v>176</v>
      </c>
      <c r="R24" s="72" t="s">
        <v>304</v>
      </c>
      <c r="S24" s="72" t="s">
        <v>305</v>
      </c>
      <c r="T24" s="72" t="s">
        <v>306</v>
      </c>
      <c r="U24" s="72" t="s">
        <v>307</v>
      </c>
      <c r="V24" s="72" t="s">
        <v>308</v>
      </c>
      <c r="W24" s="72" t="s">
        <v>177</v>
      </c>
      <c r="X24" s="72" t="s">
        <v>310</v>
      </c>
      <c r="Y24" s="72" t="s">
        <v>173</v>
      </c>
      <c r="Z24" s="72" t="s">
        <v>232</v>
      </c>
    </row>
    <row r="25" spans="2:52" ht="14.4">
      <c r="B25" s="74"/>
      <c r="C25" s="36" t="s">
        <v>77</v>
      </c>
      <c r="D25" s="71">
        <f>SUM(E25:AA25)</f>
        <v>44</v>
      </c>
      <c r="E25" s="74">
        <v>11</v>
      </c>
      <c r="F25" s="74">
        <v>12</v>
      </c>
      <c r="G25" s="74">
        <v>14</v>
      </c>
      <c r="H25" s="74">
        <v>6</v>
      </c>
      <c r="I25" s="74">
        <v>0</v>
      </c>
      <c r="J25" s="74">
        <v>0</v>
      </c>
      <c r="K25" s="74">
        <v>0</v>
      </c>
      <c r="L25" s="74">
        <v>0</v>
      </c>
      <c r="M25" s="74">
        <v>0</v>
      </c>
      <c r="N25" s="74">
        <v>0</v>
      </c>
      <c r="O25" s="74">
        <v>0</v>
      </c>
      <c r="P25" s="74">
        <v>0</v>
      </c>
      <c r="Q25" s="74">
        <v>0</v>
      </c>
      <c r="R25" s="74">
        <v>0</v>
      </c>
      <c r="S25" s="74">
        <v>0</v>
      </c>
      <c r="T25" s="74">
        <v>0</v>
      </c>
      <c r="U25" s="74">
        <v>0</v>
      </c>
      <c r="V25" s="74">
        <v>0</v>
      </c>
      <c r="W25" s="74">
        <v>0</v>
      </c>
      <c r="X25" s="74">
        <v>0</v>
      </c>
      <c r="Y25" s="74">
        <v>0</v>
      </c>
      <c r="Z25" s="74">
        <v>1</v>
      </c>
    </row>
    <row r="26" spans="2:52" ht="14.4">
      <c r="B26" s="75"/>
      <c r="C26" s="37" t="s">
        <v>78</v>
      </c>
      <c r="D26" s="71">
        <f>SUM(E26:AA26)</f>
        <v>9</v>
      </c>
      <c r="E26" s="75">
        <v>3</v>
      </c>
      <c r="F26" s="75">
        <v>2</v>
      </c>
      <c r="G26" s="75">
        <v>2</v>
      </c>
      <c r="H26" s="75">
        <v>2</v>
      </c>
      <c r="I26" s="75">
        <v>0</v>
      </c>
      <c r="J26" s="75">
        <v>0</v>
      </c>
      <c r="K26" s="75">
        <v>0</v>
      </c>
      <c r="L26" s="75">
        <v>0</v>
      </c>
      <c r="M26" s="75">
        <v>0</v>
      </c>
      <c r="N26" s="75">
        <v>0</v>
      </c>
      <c r="O26" s="75">
        <v>0</v>
      </c>
      <c r="P26" s="75">
        <v>0</v>
      </c>
      <c r="Q26" s="75">
        <v>0</v>
      </c>
      <c r="R26" s="75">
        <v>0</v>
      </c>
      <c r="S26" s="75">
        <v>0</v>
      </c>
      <c r="T26" s="75">
        <v>0</v>
      </c>
      <c r="U26" s="75">
        <v>0</v>
      </c>
      <c r="V26" s="75">
        <v>0</v>
      </c>
      <c r="W26" s="75">
        <v>0</v>
      </c>
      <c r="X26" s="75">
        <v>0</v>
      </c>
      <c r="Y26" s="75">
        <v>0</v>
      </c>
      <c r="Z26" s="75">
        <v>0</v>
      </c>
    </row>
    <row r="27" spans="2:52" ht="14.4">
      <c r="B27" s="73">
        <f>B25+B26</f>
        <v>0</v>
      </c>
      <c r="C27" s="40" t="s">
        <v>22</v>
      </c>
      <c r="D27" s="73">
        <f t="shared" ref="D27" si="0">D25+D26</f>
        <v>53</v>
      </c>
      <c r="E27" s="73">
        <f>E25+E26</f>
        <v>14</v>
      </c>
      <c r="F27" s="73">
        <f>F25+F26</f>
        <v>14</v>
      </c>
      <c r="G27" s="73">
        <f>G25+G26</f>
        <v>16</v>
      </c>
      <c r="H27" s="73">
        <f>H25+H26</f>
        <v>8</v>
      </c>
      <c r="I27" s="73">
        <f t="shared" ref="I27:X27" si="1">I25+I26</f>
        <v>0</v>
      </c>
      <c r="J27" s="73">
        <f t="shared" si="1"/>
        <v>0</v>
      </c>
      <c r="K27" s="73">
        <f t="shared" si="1"/>
        <v>0</v>
      </c>
      <c r="L27" s="73">
        <f t="shared" si="1"/>
        <v>0</v>
      </c>
      <c r="M27" s="73">
        <f t="shared" si="1"/>
        <v>0</v>
      </c>
      <c r="N27" s="73">
        <f t="shared" si="1"/>
        <v>0</v>
      </c>
      <c r="O27" s="73">
        <f t="shared" si="1"/>
        <v>0</v>
      </c>
      <c r="P27" s="73">
        <f t="shared" si="1"/>
        <v>0</v>
      </c>
      <c r="Q27" s="73">
        <f t="shared" si="1"/>
        <v>0</v>
      </c>
      <c r="R27" s="73">
        <f t="shared" si="1"/>
        <v>0</v>
      </c>
      <c r="S27" s="73">
        <f t="shared" si="1"/>
        <v>0</v>
      </c>
      <c r="T27" s="73">
        <f t="shared" si="1"/>
        <v>0</v>
      </c>
      <c r="U27" s="73">
        <f t="shared" si="1"/>
        <v>0</v>
      </c>
      <c r="V27" s="73">
        <f t="shared" si="1"/>
        <v>0</v>
      </c>
      <c r="W27" s="73">
        <f t="shared" si="1"/>
        <v>0</v>
      </c>
      <c r="X27" s="73">
        <f t="shared" si="1"/>
        <v>0</v>
      </c>
      <c r="Y27" s="73">
        <f t="shared" ref="Y27:Z27" si="2">Y25+Y26</f>
        <v>0</v>
      </c>
      <c r="Z27" s="73">
        <f t="shared" si="2"/>
        <v>1</v>
      </c>
    </row>
    <row r="28" spans="2:52">
      <c r="H28" s="34"/>
    </row>
    <row r="29" spans="2:52">
      <c r="H29" s="34"/>
    </row>
    <row r="30" spans="2:52">
      <c r="H30" s="34"/>
    </row>
    <row r="31" spans="2:52" s="70" customFormat="1" ht="60" customHeight="1">
      <c r="B31" s="72" t="s">
        <v>91</v>
      </c>
      <c r="C31" s="29" t="s">
        <v>47</v>
      </c>
      <c r="D31" s="50" t="s">
        <v>69</v>
      </c>
      <c r="E31" s="72" t="s">
        <v>12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4.4">
      <c r="B32" s="74"/>
      <c r="C32" s="37" t="s">
        <v>19</v>
      </c>
      <c r="D32" s="77">
        <f>SUM(E32:AA32)</f>
        <v>0</v>
      </c>
      <c r="E32" s="74">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4.4">
      <c r="B33" s="75"/>
      <c r="C33" s="37" t="s">
        <v>44</v>
      </c>
      <c r="D33" s="77">
        <f>SUM(E33:AA33)</f>
        <v>0</v>
      </c>
      <c r="E33" s="75">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4.4">
      <c r="B34" s="75"/>
      <c r="C34" s="37" t="s">
        <v>20</v>
      </c>
      <c r="D34" s="77">
        <f>SUM(E34:AA34)</f>
        <v>32</v>
      </c>
      <c r="E34" s="75">
        <v>32</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4.4">
      <c r="B35" s="75"/>
      <c r="C35" s="37" t="s">
        <v>21</v>
      </c>
      <c r="D35" s="77">
        <f>SUM(E35:AA35)</f>
        <v>2</v>
      </c>
      <c r="E35" s="75">
        <v>2</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4.4">
      <c r="B36" s="75"/>
      <c r="C36" s="37" t="s">
        <v>79</v>
      </c>
      <c r="D36" s="77">
        <f>SUM(E36:AA36)</f>
        <v>46</v>
      </c>
      <c r="E36" s="75">
        <v>46</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4.4">
      <c r="B37" s="76">
        <f>SUM(B32:B36)</f>
        <v>0</v>
      </c>
      <c r="C37" s="40" t="s">
        <v>22</v>
      </c>
      <c r="D37" s="76">
        <f>SUM(D32:D36)</f>
        <v>80</v>
      </c>
      <c r="E37" s="76">
        <f>SUM(E32:E36)</f>
        <v>80</v>
      </c>
    </row>
    <row r="38" spans="2:52">
      <c r="H38" s="34"/>
    </row>
    <row r="39" spans="2:52">
      <c r="H39" s="34"/>
    </row>
    <row r="40" spans="2:52" s="70" customFormat="1" ht="66">
      <c r="B40" s="72" t="s">
        <v>91</v>
      </c>
      <c r="C40" s="29" t="s">
        <v>68</v>
      </c>
      <c r="D40" s="50" t="s">
        <v>69</v>
      </c>
      <c r="E40" s="72" t="s">
        <v>12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4.4">
      <c r="B41" s="75"/>
      <c r="C41" s="37" t="s">
        <v>76</v>
      </c>
      <c r="D41" s="77">
        <f>SUM(E41:AA41)</f>
        <v>78</v>
      </c>
      <c r="E41" s="75">
        <v>78</v>
      </c>
    </row>
    <row r="42" spans="2:52" ht="14.4">
      <c r="B42" s="75"/>
      <c r="C42" s="37" t="s">
        <v>75</v>
      </c>
      <c r="D42" s="77">
        <f>SUM(E42:AA42)</f>
        <v>2</v>
      </c>
      <c r="E42" s="75">
        <v>2</v>
      </c>
    </row>
    <row r="43" spans="2:52" s="15" customFormat="1" ht="14.4">
      <c r="B43" s="75"/>
      <c r="C43" s="37" t="s">
        <v>102</v>
      </c>
      <c r="D43" s="77">
        <f>SUM(E43:AA43)</f>
        <v>0</v>
      </c>
      <c r="E43" s="75">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4.4">
      <c r="B44" s="76">
        <f>SUM(B41:B43)</f>
        <v>0</v>
      </c>
      <c r="C44" s="40" t="s">
        <v>22</v>
      </c>
      <c r="D44" s="76">
        <f>SUM(D41:D43)</f>
        <v>80</v>
      </c>
      <c r="E44" s="76">
        <f>SUM(E41:E43)</f>
        <v>80</v>
      </c>
    </row>
    <row r="47" spans="2:52" ht="26.4">
      <c r="C47" s="78" t="s">
        <v>60</v>
      </c>
      <c r="D47" s="26" t="s">
        <v>93</v>
      </c>
      <c r="E47" s="26" t="s">
        <v>92</v>
      </c>
    </row>
    <row r="48" spans="2:52">
      <c r="C48" s="79" t="s">
        <v>94</v>
      </c>
      <c r="D48" s="79" t="s">
        <v>95</v>
      </c>
      <c r="E48" s="79" t="s">
        <v>96</v>
      </c>
    </row>
  </sheetData>
  <phoneticPr fontId="48"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62"/>
  <sheetViews>
    <sheetView showGridLines="0" topLeftCell="A39" zoomScaleNormal="100" workbookViewId="0">
      <selection activeCell="D66" sqref="D66"/>
    </sheetView>
  </sheetViews>
  <sheetFormatPr defaultColWidth="8.77734375" defaultRowHeight="14.4" outlineLevelCol="1"/>
  <cols>
    <col min="1" max="2" width="31.5546875" style="132" customWidth="1"/>
    <col min="3" max="3" width="43.21875" style="132" customWidth="1"/>
    <col min="4" max="4" width="13.44140625" style="132" customWidth="1"/>
    <col min="5" max="5" width="18.21875" style="132" customWidth="1"/>
    <col min="6" max="14" width="15.21875" style="132" customWidth="1" outlineLevel="1"/>
    <col min="15" max="15" width="16.77734375" style="132" customWidth="1" outlineLevel="1"/>
    <col min="16" max="16384" width="8.77734375" style="132"/>
  </cols>
  <sheetData>
    <row r="1" spans="1:15" ht="21" customHeight="1">
      <c r="A1" s="313" t="s">
        <v>195</v>
      </c>
      <c r="B1" s="314"/>
      <c r="C1" s="314"/>
      <c r="D1" s="314"/>
      <c r="E1" s="315"/>
      <c r="F1" s="316" t="s">
        <v>210</v>
      </c>
      <c r="G1" s="317"/>
      <c r="H1" s="317"/>
      <c r="I1" s="317"/>
      <c r="J1" s="317"/>
      <c r="K1" s="317"/>
      <c r="L1" s="317"/>
      <c r="M1" s="317"/>
      <c r="N1" s="317"/>
      <c r="O1" s="317"/>
    </row>
    <row r="2" spans="1:15" ht="18">
      <c r="A2" s="141" t="s">
        <v>198</v>
      </c>
      <c r="B2" s="141" t="s">
        <v>194</v>
      </c>
      <c r="C2" s="141" t="s">
        <v>196</v>
      </c>
      <c r="D2" s="141" t="s">
        <v>197</v>
      </c>
      <c r="E2" s="141" t="s">
        <v>199</v>
      </c>
      <c r="F2" s="142" t="s">
        <v>200</v>
      </c>
      <c r="G2" s="142" t="s">
        <v>201</v>
      </c>
      <c r="H2" s="142" t="s">
        <v>202</v>
      </c>
      <c r="I2" s="142" t="s">
        <v>203</v>
      </c>
      <c r="J2" s="142" t="s">
        <v>204</v>
      </c>
      <c r="K2" s="142" t="s">
        <v>205</v>
      </c>
      <c r="L2" s="142" t="s">
        <v>206</v>
      </c>
      <c r="M2" s="142" t="s">
        <v>207</v>
      </c>
      <c r="N2" s="142" t="s">
        <v>208</v>
      </c>
      <c r="O2" s="142" t="s">
        <v>209</v>
      </c>
    </row>
    <row r="3" spans="1:15">
      <c r="A3" s="183" t="s">
        <v>410</v>
      </c>
      <c r="B3" s="183" t="s">
        <v>180</v>
      </c>
      <c r="C3" s="183" t="s">
        <v>408</v>
      </c>
      <c r="D3" s="183" t="s">
        <v>408</v>
      </c>
      <c r="E3" s="184">
        <v>90</v>
      </c>
      <c r="F3" s="183" t="s">
        <v>409</v>
      </c>
    </row>
    <row r="4" spans="1:15">
      <c r="A4" s="187" t="s">
        <v>412</v>
      </c>
      <c r="B4" s="183" t="s">
        <v>180</v>
      </c>
      <c r="C4" s="187" t="s">
        <v>413</v>
      </c>
      <c r="D4" s="187" t="s">
        <v>413</v>
      </c>
      <c r="E4" s="188">
        <v>60</v>
      </c>
      <c r="F4" s="187" t="s">
        <v>414</v>
      </c>
    </row>
    <row r="5" spans="1:15">
      <c r="A5" s="190" t="s">
        <v>425</v>
      </c>
      <c r="B5" s="190" t="s">
        <v>180</v>
      </c>
      <c r="C5" s="190" t="s">
        <v>413</v>
      </c>
      <c r="D5" s="190" t="s">
        <v>413</v>
      </c>
      <c r="E5" s="184">
        <v>90</v>
      </c>
      <c r="F5" s="190" t="s">
        <v>409</v>
      </c>
    </row>
    <row r="6" spans="1:15">
      <c r="A6" s="190" t="s">
        <v>442</v>
      </c>
      <c r="B6" s="190" t="s">
        <v>180</v>
      </c>
      <c r="C6" s="190" t="s">
        <v>429</v>
      </c>
      <c r="D6" s="190" t="s">
        <v>429</v>
      </c>
      <c r="E6" s="184">
        <v>90</v>
      </c>
      <c r="F6" s="187" t="s">
        <v>414</v>
      </c>
      <c r="G6" s="190" t="s">
        <v>441</v>
      </c>
    </row>
    <row r="7" spans="1:15">
      <c r="A7" s="191" t="s">
        <v>448</v>
      </c>
      <c r="B7" s="191" t="s">
        <v>180</v>
      </c>
      <c r="C7" s="191" t="s">
        <v>449</v>
      </c>
      <c r="D7" s="191" t="s">
        <v>449</v>
      </c>
      <c r="E7" s="184"/>
      <c r="F7" s="191" t="s">
        <v>445</v>
      </c>
    </row>
    <row r="8" spans="1:15">
      <c r="A8" s="187" t="s">
        <v>412</v>
      </c>
      <c r="B8" s="183" t="s">
        <v>180</v>
      </c>
      <c r="C8" s="192" t="s">
        <v>471</v>
      </c>
      <c r="D8" s="192" t="s">
        <v>471</v>
      </c>
      <c r="E8" s="188">
        <v>180</v>
      </c>
      <c r="F8" s="187" t="s">
        <v>414</v>
      </c>
    </row>
    <row r="9" spans="1:15">
      <c r="A9" s="187" t="s">
        <v>412</v>
      </c>
      <c r="B9" s="183" t="s">
        <v>180</v>
      </c>
      <c r="C9" s="193" t="s">
        <v>482</v>
      </c>
      <c r="D9" s="193" t="s">
        <v>482</v>
      </c>
      <c r="E9" s="188">
        <v>30</v>
      </c>
      <c r="F9" s="187" t="s">
        <v>414</v>
      </c>
    </row>
    <row r="10" spans="1:15">
      <c r="A10" s="190" t="s">
        <v>425</v>
      </c>
      <c r="B10" s="190" t="s">
        <v>180</v>
      </c>
      <c r="C10" s="194" t="s">
        <v>488</v>
      </c>
      <c r="D10" s="194" t="s">
        <v>488</v>
      </c>
      <c r="E10" s="184">
        <v>90</v>
      </c>
      <c r="F10" s="194" t="s">
        <v>485</v>
      </c>
    </row>
    <row r="11" spans="1:15">
      <c r="A11" s="195" t="s">
        <v>489</v>
      </c>
      <c r="B11" s="195" t="s">
        <v>180</v>
      </c>
      <c r="C11" s="195" t="s">
        <v>490</v>
      </c>
      <c r="D11" s="195" t="s">
        <v>490</v>
      </c>
      <c r="E11" s="184">
        <v>30</v>
      </c>
      <c r="F11" s="195" t="s">
        <v>485</v>
      </c>
    </row>
    <row r="12" spans="1:15">
      <c r="A12" s="196" t="s">
        <v>492</v>
      </c>
      <c r="B12" s="190" t="s">
        <v>180</v>
      </c>
      <c r="C12" s="196" t="s">
        <v>498</v>
      </c>
      <c r="D12" s="196" t="s">
        <v>498</v>
      </c>
      <c r="E12" s="184">
        <v>30</v>
      </c>
      <c r="F12" s="195" t="s">
        <v>485</v>
      </c>
    </row>
    <row r="13" spans="1:15">
      <c r="A13" s="196" t="s">
        <v>493</v>
      </c>
      <c r="B13" s="196" t="s">
        <v>180</v>
      </c>
      <c r="C13" s="196" t="s">
        <v>498</v>
      </c>
      <c r="D13" s="196" t="s">
        <v>498</v>
      </c>
      <c r="E13" s="184">
        <v>30</v>
      </c>
      <c r="F13" s="195" t="s">
        <v>485</v>
      </c>
    </row>
    <row r="14" spans="1:15">
      <c r="A14" s="196" t="s">
        <v>494</v>
      </c>
      <c r="B14" s="196" t="s">
        <v>180</v>
      </c>
      <c r="C14" s="196" t="s">
        <v>498</v>
      </c>
      <c r="D14" s="196" t="s">
        <v>498</v>
      </c>
      <c r="E14" s="184">
        <v>30</v>
      </c>
      <c r="F14" s="195" t="s">
        <v>485</v>
      </c>
    </row>
    <row r="15" spans="1:15">
      <c r="A15" s="187" t="s">
        <v>412</v>
      </c>
      <c r="B15" s="183" t="s">
        <v>180</v>
      </c>
      <c r="C15" s="197" t="s">
        <v>504</v>
      </c>
      <c r="D15" s="197" t="s">
        <v>504</v>
      </c>
      <c r="E15" s="188">
        <v>120</v>
      </c>
      <c r="F15" s="187" t="s">
        <v>414</v>
      </c>
    </row>
    <row r="16" spans="1:15">
      <c r="A16" s="198" t="s">
        <v>510</v>
      </c>
      <c r="B16" s="190" t="s">
        <v>180</v>
      </c>
      <c r="C16" s="198" t="s">
        <v>511</v>
      </c>
      <c r="D16" s="198" t="s">
        <v>511</v>
      </c>
      <c r="E16" s="184">
        <v>90</v>
      </c>
      <c r="F16" s="187" t="s">
        <v>414</v>
      </c>
    </row>
    <row r="17" spans="1:6">
      <c r="A17" s="187" t="s">
        <v>412</v>
      </c>
      <c r="B17" s="183" t="s">
        <v>180</v>
      </c>
      <c r="C17" s="199" t="s">
        <v>514</v>
      </c>
      <c r="D17" s="199" t="s">
        <v>514</v>
      </c>
      <c r="E17" s="188">
        <v>30</v>
      </c>
      <c r="F17" s="187" t="s">
        <v>414</v>
      </c>
    </row>
    <row r="18" spans="1:6">
      <c r="A18" s="202" t="s">
        <v>426</v>
      </c>
      <c r="B18" s="200" t="s">
        <v>516</v>
      </c>
      <c r="C18" s="200" t="s">
        <v>514</v>
      </c>
      <c r="D18" s="200" t="s">
        <v>514</v>
      </c>
      <c r="E18" s="184">
        <v>30</v>
      </c>
      <c r="F18" s="200" t="s">
        <v>517</v>
      </c>
    </row>
    <row r="19" spans="1:6">
      <c r="A19" s="202" t="s">
        <v>523</v>
      </c>
      <c r="B19" s="202" t="s">
        <v>180</v>
      </c>
      <c r="C19" s="202" t="s">
        <v>524</v>
      </c>
      <c r="D19" s="202" t="s">
        <v>524</v>
      </c>
      <c r="E19" s="184">
        <v>30</v>
      </c>
      <c r="F19" s="202" t="s">
        <v>485</v>
      </c>
    </row>
    <row r="20" spans="1:6">
      <c r="A20" s="187" t="s">
        <v>412</v>
      </c>
      <c r="B20" s="203" t="s">
        <v>180</v>
      </c>
      <c r="C20" s="203" t="s">
        <v>529</v>
      </c>
      <c r="D20" s="203" t="s">
        <v>529</v>
      </c>
      <c r="E20" s="188">
        <v>30</v>
      </c>
      <c r="F20" s="203" t="s">
        <v>525</v>
      </c>
    </row>
    <row r="21" spans="1:6">
      <c r="A21" s="198" t="s">
        <v>510</v>
      </c>
      <c r="B21" s="203" t="s">
        <v>180</v>
      </c>
      <c r="C21" s="203" t="s">
        <v>529</v>
      </c>
      <c r="D21" s="203" t="s">
        <v>529</v>
      </c>
      <c r="E21" s="188">
        <v>30</v>
      </c>
      <c r="F21" s="203" t="s">
        <v>525</v>
      </c>
    </row>
    <row r="22" spans="1:6">
      <c r="A22" s="209" t="s">
        <v>412</v>
      </c>
      <c r="B22" s="203" t="s">
        <v>180</v>
      </c>
      <c r="C22" s="203" t="s">
        <v>529</v>
      </c>
      <c r="D22" s="203" t="s">
        <v>529</v>
      </c>
      <c r="E22" s="188">
        <v>30</v>
      </c>
      <c r="F22" s="203" t="s">
        <v>525</v>
      </c>
    </row>
    <row r="23" spans="1:6">
      <c r="A23" s="208" t="s">
        <v>510</v>
      </c>
      <c r="B23" s="203" t="s">
        <v>180</v>
      </c>
      <c r="C23" s="203" t="s">
        <v>529</v>
      </c>
      <c r="D23" s="203" t="s">
        <v>529</v>
      </c>
      <c r="E23" s="188">
        <v>30</v>
      </c>
      <c r="F23" s="203" t="s">
        <v>525</v>
      </c>
    </row>
    <row r="24" spans="1:6">
      <c r="A24" s="190" t="s">
        <v>569</v>
      </c>
      <c r="B24" s="203" t="s">
        <v>180</v>
      </c>
      <c r="C24" s="203" t="s">
        <v>529</v>
      </c>
      <c r="D24" s="203" t="s">
        <v>529</v>
      </c>
      <c r="E24" s="188">
        <v>30</v>
      </c>
      <c r="F24" s="206" t="s">
        <v>485</v>
      </c>
    </row>
    <row r="25" spans="1:6">
      <c r="A25" s="190" t="s">
        <v>570</v>
      </c>
      <c r="B25" s="203" t="s">
        <v>180</v>
      </c>
      <c r="C25" s="203" t="s">
        <v>529</v>
      </c>
      <c r="D25" s="203" t="s">
        <v>529</v>
      </c>
      <c r="E25" s="188">
        <v>30</v>
      </c>
      <c r="F25" s="206" t="s">
        <v>485</v>
      </c>
    </row>
    <row r="26" spans="1:6">
      <c r="A26" s="190" t="s">
        <v>571</v>
      </c>
      <c r="B26" s="203" t="s">
        <v>180</v>
      </c>
      <c r="C26" s="203" t="s">
        <v>529</v>
      </c>
      <c r="D26" s="203" t="s">
        <v>529</v>
      </c>
      <c r="E26" s="188">
        <v>30</v>
      </c>
      <c r="F26" s="206" t="s">
        <v>485</v>
      </c>
    </row>
    <row r="27" spans="1:6">
      <c r="A27" s="190" t="s">
        <v>572</v>
      </c>
      <c r="B27" s="203" t="s">
        <v>180</v>
      </c>
      <c r="C27" s="203" t="s">
        <v>529</v>
      </c>
      <c r="D27" s="203" t="s">
        <v>529</v>
      </c>
      <c r="E27" s="188">
        <v>30</v>
      </c>
      <c r="F27" s="206" t="s">
        <v>485</v>
      </c>
    </row>
    <row r="28" spans="1:6">
      <c r="A28" s="190" t="s">
        <v>573</v>
      </c>
      <c r="B28" s="203" t="s">
        <v>180</v>
      </c>
      <c r="C28" s="203" t="s">
        <v>529</v>
      </c>
      <c r="D28" s="203" t="s">
        <v>529</v>
      </c>
      <c r="E28" s="188">
        <v>30</v>
      </c>
      <c r="F28" s="206" t="s">
        <v>485</v>
      </c>
    </row>
    <row r="29" spans="1:6">
      <c r="A29" s="190" t="s">
        <v>574</v>
      </c>
      <c r="B29" s="203" t="s">
        <v>180</v>
      </c>
      <c r="C29" s="203" t="s">
        <v>529</v>
      </c>
      <c r="D29" s="203" t="s">
        <v>529</v>
      </c>
      <c r="E29" s="188">
        <v>30</v>
      </c>
      <c r="F29" s="206" t="s">
        <v>485</v>
      </c>
    </row>
    <row r="30" spans="1:6">
      <c r="A30" s="190" t="s">
        <v>575</v>
      </c>
      <c r="B30" s="203" t="s">
        <v>180</v>
      </c>
      <c r="C30" s="203" t="s">
        <v>529</v>
      </c>
      <c r="D30" s="203" t="s">
        <v>529</v>
      </c>
      <c r="E30" s="188">
        <v>30</v>
      </c>
      <c r="F30" s="206" t="s">
        <v>485</v>
      </c>
    </row>
    <row r="31" spans="1:6">
      <c r="A31" s="190" t="s">
        <v>576</v>
      </c>
      <c r="B31" s="203" t="s">
        <v>180</v>
      </c>
      <c r="C31" s="203" t="s">
        <v>529</v>
      </c>
      <c r="D31" s="203" t="s">
        <v>529</v>
      </c>
      <c r="E31" s="188">
        <v>30</v>
      </c>
      <c r="F31" s="206" t="s">
        <v>485</v>
      </c>
    </row>
    <row r="32" spans="1:6">
      <c r="A32" s="190" t="s">
        <v>577</v>
      </c>
      <c r="B32" s="203" t="s">
        <v>180</v>
      </c>
      <c r="C32" s="203" t="s">
        <v>529</v>
      </c>
      <c r="D32" s="203" t="s">
        <v>529</v>
      </c>
      <c r="E32" s="188">
        <v>30</v>
      </c>
      <c r="F32" s="206" t="s">
        <v>485</v>
      </c>
    </row>
    <row r="33" spans="1:6">
      <c r="A33" s="190" t="s">
        <v>578</v>
      </c>
      <c r="B33" s="203" t="s">
        <v>180</v>
      </c>
      <c r="C33" s="203" t="s">
        <v>529</v>
      </c>
      <c r="D33" s="203" t="s">
        <v>529</v>
      </c>
      <c r="E33" s="188">
        <v>30</v>
      </c>
      <c r="F33" s="206" t="s">
        <v>485</v>
      </c>
    </row>
    <row r="34" spans="1:6">
      <c r="A34" s="190" t="s">
        <v>579</v>
      </c>
      <c r="B34" s="203" t="s">
        <v>180</v>
      </c>
      <c r="C34" s="203" t="s">
        <v>529</v>
      </c>
      <c r="D34" s="203" t="s">
        <v>529</v>
      </c>
      <c r="E34" s="188">
        <v>30</v>
      </c>
      <c r="F34" s="206" t="s">
        <v>485</v>
      </c>
    </row>
    <row r="35" spans="1:6">
      <c r="A35" s="206" t="s">
        <v>580</v>
      </c>
      <c r="B35" s="203" t="s">
        <v>180</v>
      </c>
      <c r="C35" s="203" t="s">
        <v>529</v>
      </c>
      <c r="D35" s="203" t="s">
        <v>529</v>
      </c>
      <c r="E35" s="188">
        <v>30</v>
      </c>
      <c r="F35" s="206" t="s">
        <v>485</v>
      </c>
    </row>
    <row r="36" spans="1:6">
      <c r="A36" s="206" t="s">
        <v>581</v>
      </c>
      <c r="B36" s="203" t="s">
        <v>180</v>
      </c>
      <c r="C36" s="203" t="s">
        <v>529</v>
      </c>
      <c r="D36" s="203" t="s">
        <v>529</v>
      </c>
      <c r="E36" s="188">
        <v>30</v>
      </c>
      <c r="F36" s="206" t="s">
        <v>485</v>
      </c>
    </row>
    <row r="37" spans="1:6">
      <c r="A37" s="206" t="s">
        <v>582</v>
      </c>
      <c r="B37" s="203" t="s">
        <v>180</v>
      </c>
      <c r="C37" s="203" t="s">
        <v>529</v>
      </c>
      <c r="D37" s="203" t="s">
        <v>529</v>
      </c>
      <c r="E37" s="188">
        <v>30</v>
      </c>
      <c r="F37" s="206" t="s">
        <v>485</v>
      </c>
    </row>
    <row r="38" spans="1:6">
      <c r="A38" s="206" t="s">
        <v>583</v>
      </c>
      <c r="B38" s="203" t="s">
        <v>180</v>
      </c>
      <c r="C38" s="203" t="s">
        <v>529</v>
      </c>
      <c r="D38" s="203" t="s">
        <v>529</v>
      </c>
      <c r="E38" s="188">
        <v>30</v>
      </c>
      <c r="F38" s="206" t="s">
        <v>485</v>
      </c>
    </row>
    <row r="39" spans="1:6">
      <c r="A39" s="206" t="s">
        <v>584</v>
      </c>
      <c r="B39" s="203" t="s">
        <v>180</v>
      </c>
      <c r="C39" s="203" t="s">
        <v>529</v>
      </c>
      <c r="D39" s="203" t="s">
        <v>529</v>
      </c>
      <c r="E39" s="188">
        <v>30</v>
      </c>
      <c r="F39" s="206" t="s">
        <v>485</v>
      </c>
    </row>
    <row r="40" spans="1:6">
      <c r="A40" s="206" t="s">
        <v>585</v>
      </c>
      <c r="B40" s="203" t="s">
        <v>180</v>
      </c>
      <c r="C40" s="203" t="s">
        <v>529</v>
      </c>
      <c r="D40" s="203" t="s">
        <v>529</v>
      </c>
      <c r="E40" s="188">
        <v>30</v>
      </c>
      <c r="F40" s="206" t="s">
        <v>485</v>
      </c>
    </row>
    <row r="41" spans="1:6">
      <c r="A41" s="206" t="s">
        <v>586</v>
      </c>
      <c r="B41" s="203" t="s">
        <v>180</v>
      </c>
      <c r="C41" s="203" t="s">
        <v>529</v>
      </c>
      <c r="D41" s="203" t="s">
        <v>529</v>
      </c>
      <c r="E41" s="188">
        <v>30</v>
      </c>
      <c r="F41" s="206" t="s">
        <v>485</v>
      </c>
    </row>
    <row r="42" spans="1:6">
      <c r="A42" s="206" t="s">
        <v>587</v>
      </c>
      <c r="B42" s="203" t="s">
        <v>180</v>
      </c>
      <c r="C42" s="203" t="s">
        <v>529</v>
      </c>
      <c r="D42" s="203" t="s">
        <v>529</v>
      </c>
      <c r="E42" s="188">
        <v>30</v>
      </c>
      <c r="F42" s="206" t="s">
        <v>485</v>
      </c>
    </row>
    <row r="43" spans="1:6">
      <c r="A43" s="206" t="s">
        <v>588</v>
      </c>
      <c r="B43" s="203" t="s">
        <v>180</v>
      </c>
      <c r="C43" s="203" t="s">
        <v>529</v>
      </c>
      <c r="D43" s="203" t="s">
        <v>529</v>
      </c>
      <c r="E43" s="188">
        <v>30</v>
      </c>
      <c r="F43" s="206" t="s">
        <v>485</v>
      </c>
    </row>
    <row r="44" spans="1:6">
      <c r="A44" s="206" t="s">
        <v>589</v>
      </c>
      <c r="B44" s="203" t="s">
        <v>180</v>
      </c>
      <c r="C44" s="203" t="s">
        <v>529</v>
      </c>
      <c r="D44" s="203" t="s">
        <v>529</v>
      </c>
      <c r="E44" s="188">
        <v>30</v>
      </c>
      <c r="F44" s="206" t="s">
        <v>485</v>
      </c>
    </row>
    <row r="45" spans="1:6">
      <c r="A45" s="206" t="s">
        <v>590</v>
      </c>
      <c r="B45" s="203" t="s">
        <v>180</v>
      </c>
      <c r="C45" s="203" t="s">
        <v>529</v>
      </c>
      <c r="D45" s="203" t="s">
        <v>529</v>
      </c>
      <c r="E45" s="188">
        <v>30</v>
      </c>
      <c r="F45" s="206" t="s">
        <v>485</v>
      </c>
    </row>
    <row r="46" spans="1:6">
      <c r="A46" s="206" t="s">
        <v>591</v>
      </c>
      <c r="B46" s="203" t="s">
        <v>180</v>
      </c>
      <c r="C46" s="203" t="s">
        <v>529</v>
      </c>
      <c r="D46" s="203" t="s">
        <v>529</v>
      </c>
      <c r="E46" s="188">
        <v>30</v>
      </c>
      <c r="F46" s="206" t="s">
        <v>485</v>
      </c>
    </row>
    <row r="47" spans="1:6">
      <c r="A47" s="206" t="s">
        <v>592</v>
      </c>
      <c r="B47" s="203" t="s">
        <v>180</v>
      </c>
      <c r="C47" s="203" t="s">
        <v>529</v>
      </c>
      <c r="D47" s="203" t="s">
        <v>529</v>
      </c>
      <c r="E47" s="188">
        <v>30</v>
      </c>
      <c r="F47" s="206" t="s">
        <v>485</v>
      </c>
    </row>
    <row r="48" spans="1:6">
      <c r="A48" s="206" t="s">
        <v>593</v>
      </c>
      <c r="B48" s="203" t="s">
        <v>180</v>
      </c>
      <c r="C48" s="203" t="s">
        <v>529</v>
      </c>
      <c r="D48" s="203" t="s">
        <v>529</v>
      </c>
      <c r="E48" s="188">
        <v>30</v>
      </c>
      <c r="F48" s="206" t="s">
        <v>485</v>
      </c>
    </row>
    <row r="49" spans="1:6">
      <c r="A49" s="206" t="s">
        <v>594</v>
      </c>
      <c r="B49" s="203" t="s">
        <v>180</v>
      </c>
      <c r="C49" s="203" t="s">
        <v>529</v>
      </c>
      <c r="D49" s="203" t="s">
        <v>529</v>
      </c>
      <c r="E49" s="188">
        <v>30</v>
      </c>
      <c r="F49" s="206" t="s">
        <v>485</v>
      </c>
    </row>
    <row r="50" spans="1:6">
      <c r="A50" s="206" t="s">
        <v>595</v>
      </c>
      <c r="B50" s="203" t="s">
        <v>180</v>
      </c>
      <c r="C50" s="203" t="s">
        <v>529</v>
      </c>
      <c r="D50" s="203" t="s">
        <v>529</v>
      </c>
      <c r="E50" s="188">
        <v>30</v>
      </c>
      <c r="F50" s="206" t="s">
        <v>485</v>
      </c>
    </row>
    <row r="51" spans="1:6">
      <c r="A51" s="206" t="s">
        <v>596</v>
      </c>
      <c r="B51" s="203" t="s">
        <v>180</v>
      </c>
      <c r="C51" s="203" t="s">
        <v>529</v>
      </c>
      <c r="D51" s="203" t="s">
        <v>529</v>
      </c>
      <c r="E51" s="188">
        <v>30</v>
      </c>
      <c r="F51" s="206" t="s">
        <v>485</v>
      </c>
    </row>
    <row r="52" spans="1:6">
      <c r="A52" s="207" t="s">
        <v>600</v>
      </c>
      <c r="B52" s="207" t="s">
        <v>180</v>
      </c>
      <c r="C52" s="207" t="s">
        <v>601</v>
      </c>
      <c r="D52" s="207" t="s">
        <v>601</v>
      </c>
      <c r="E52" s="188">
        <v>30</v>
      </c>
      <c r="F52" s="207" t="s">
        <v>599</v>
      </c>
    </row>
    <row r="53" spans="1:6">
      <c r="A53" s="208" t="s">
        <v>510</v>
      </c>
      <c r="B53" s="207" t="s">
        <v>180</v>
      </c>
      <c r="C53" s="208" t="s">
        <v>603</v>
      </c>
      <c r="D53" s="208" t="s">
        <v>603</v>
      </c>
      <c r="E53" s="188">
        <v>30</v>
      </c>
      <c r="F53" s="208" t="s">
        <v>445</v>
      </c>
    </row>
    <row r="54" spans="1:6">
      <c r="A54" s="210" t="s">
        <v>412</v>
      </c>
      <c r="B54" s="207" t="s">
        <v>180</v>
      </c>
      <c r="C54" s="209" t="s">
        <v>606</v>
      </c>
      <c r="D54" s="209" t="s">
        <v>606</v>
      </c>
      <c r="E54" s="188">
        <v>30</v>
      </c>
      <c r="F54" s="208" t="s">
        <v>445</v>
      </c>
    </row>
    <row r="55" spans="1:6">
      <c r="A55" s="210" t="s">
        <v>412</v>
      </c>
      <c r="B55" s="207" t="s">
        <v>180</v>
      </c>
      <c r="C55" s="210" t="s">
        <v>609</v>
      </c>
      <c r="D55" s="210" t="s">
        <v>609</v>
      </c>
      <c r="E55" s="188">
        <v>30</v>
      </c>
      <c r="F55" s="208" t="s">
        <v>445</v>
      </c>
    </row>
    <row r="56" spans="1:6">
      <c r="A56" s="211" t="s">
        <v>426</v>
      </c>
      <c r="B56" s="207" t="s">
        <v>180</v>
      </c>
      <c r="C56" s="211" t="s">
        <v>612</v>
      </c>
      <c r="D56" s="210" t="s">
        <v>609</v>
      </c>
      <c r="E56" s="188">
        <v>30</v>
      </c>
      <c r="F56" s="211" t="s">
        <v>613</v>
      </c>
    </row>
    <row r="57" spans="1:6">
      <c r="A57" s="213" t="s">
        <v>489</v>
      </c>
      <c r="B57" s="203" t="s">
        <v>180</v>
      </c>
      <c r="C57" s="213" t="s">
        <v>618</v>
      </c>
      <c r="D57" s="213" t="s">
        <v>618</v>
      </c>
      <c r="E57" s="188">
        <v>30</v>
      </c>
      <c r="F57" s="213" t="s">
        <v>452</v>
      </c>
    </row>
    <row r="58" spans="1:6">
      <c r="A58" s="214" t="s">
        <v>426</v>
      </c>
      <c r="B58" s="214" t="s">
        <v>180</v>
      </c>
      <c r="C58" s="214" t="s">
        <v>619</v>
      </c>
      <c r="D58" s="214" t="s">
        <v>619</v>
      </c>
      <c r="E58" s="188">
        <v>30</v>
      </c>
      <c r="F58" s="214" t="s">
        <v>485</v>
      </c>
    </row>
    <row r="59" spans="1:6" ht="26.4">
      <c r="A59" s="19" t="s">
        <v>527</v>
      </c>
      <c r="B59" s="207" t="s">
        <v>180</v>
      </c>
      <c r="C59" s="214" t="s">
        <v>619</v>
      </c>
      <c r="D59" s="214" t="s">
        <v>619</v>
      </c>
      <c r="E59" s="188">
        <v>30</v>
      </c>
      <c r="F59" s="215" t="s">
        <v>452</v>
      </c>
    </row>
    <row r="60" spans="1:6">
      <c r="A60" s="214" t="s">
        <v>426</v>
      </c>
      <c r="B60" s="214" t="s">
        <v>180</v>
      </c>
      <c r="C60" s="216" t="s">
        <v>641</v>
      </c>
      <c r="D60" s="216" t="s">
        <v>641</v>
      </c>
      <c r="E60" s="132">
        <v>30</v>
      </c>
      <c r="F60" s="216" t="s">
        <v>485</v>
      </c>
    </row>
    <row r="61" spans="1:6">
      <c r="A61" s="217" t="s">
        <v>510</v>
      </c>
      <c r="B61" s="214" t="s">
        <v>180</v>
      </c>
      <c r="C61" s="217" t="s">
        <v>646</v>
      </c>
      <c r="D61" s="217" t="s">
        <v>646</v>
      </c>
      <c r="E61" s="132">
        <v>30</v>
      </c>
      <c r="F61" s="217" t="s">
        <v>445</v>
      </c>
    </row>
    <row r="62" spans="1:6">
      <c r="A62" s="214" t="s">
        <v>426</v>
      </c>
      <c r="B62" s="214" t="s">
        <v>180</v>
      </c>
      <c r="C62" s="218" t="s">
        <v>652</v>
      </c>
      <c r="D62" s="218" t="s">
        <v>652</v>
      </c>
      <c r="E62" s="132">
        <v>30</v>
      </c>
      <c r="F62" s="218" t="s">
        <v>517</v>
      </c>
    </row>
  </sheetData>
  <mergeCells count="2">
    <mergeCell ref="A1:E1"/>
    <mergeCell ref="F1:O1"/>
  </mergeCells>
  <conditionalFormatting sqref="A59">
    <cfRule type="expression" dxfId="79" priority="1" stopIfTrue="1">
      <formula>AND($M59="Approved",OR($L59=$R$1,$L59=$T$1))</formula>
    </cfRule>
  </conditionalFormatting>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B11:B12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180"/>
  <sheetViews>
    <sheetView tabSelected="1" zoomScale="80" zoomScaleNormal="80" workbookViewId="0">
      <pane xSplit="1" ySplit="4" topLeftCell="B90" activePane="bottomRight" state="frozenSplit"/>
      <selection activeCell="K17" sqref="K17"/>
      <selection pane="topRight" activeCell="K17" sqref="K17"/>
      <selection pane="bottomLeft" activeCell="K17" sqref="K17"/>
      <selection pane="bottomRight" activeCell="C102" sqref="C102"/>
    </sheetView>
  </sheetViews>
  <sheetFormatPr defaultRowHeight="13.2" outlineLevelRow="1" outlineLevelCol="1"/>
  <cols>
    <col min="1" max="1" width="5.21875" style="46" customWidth="1"/>
    <col min="2" max="2" width="9.77734375" style="43" customWidth="1"/>
    <col min="3" max="3" width="28.77734375" style="43" customWidth="1"/>
    <col min="4" max="4" width="42.21875" style="44" customWidth="1"/>
    <col min="5" max="5" width="11" style="45" customWidth="1" outlineLevel="1"/>
    <col min="6" max="6" width="14.5546875" style="43" customWidth="1" outlineLevel="1"/>
    <col min="7" max="7" width="33.77734375" style="44" customWidth="1"/>
    <col min="8" max="9" width="11.21875" style="43" customWidth="1" outlineLevel="1"/>
    <col min="10" max="10" width="18.21875" style="43" customWidth="1" outlineLevel="1"/>
    <col min="11" max="11" width="12.5546875" style="45" customWidth="1"/>
    <col min="12" max="12" width="13.77734375" style="46" customWidth="1"/>
    <col min="13" max="13" width="13.21875" style="46" customWidth="1"/>
    <col min="14" max="14" width="12" style="35" bestFit="1" customWidth="1"/>
    <col min="15" max="15" width="20.77734375" style="35" bestFit="1" customWidth="1"/>
    <col min="16" max="16" width="13.21875" style="35" bestFit="1" customWidth="1"/>
    <col min="17" max="22" width="11.44140625" style="58" customWidth="1"/>
    <col min="23" max="23" width="11.77734375" style="58" bestFit="1" customWidth="1"/>
    <col min="24" max="24" width="15.5546875" bestFit="1" customWidth="1"/>
    <col min="25" max="25" width="15" bestFit="1" customWidth="1"/>
    <col min="26" max="26" width="9.77734375" bestFit="1" customWidth="1"/>
  </cols>
  <sheetData>
    <row r="1" spans="1:46" s="22" customFormat="1" ht="52.8" hidden="1">
      <c r="A1" s="60"/>
      <c r="B1" s="42"/>
      <c r="C1" s="42"/>
      <c r="D1" s="42" t="s">
        <v>50</v>
      </c>
      <c r="E1" s="60"/>
      <c r="F1" s="60"/>
      <c r="G1" s="42"/>
      <c r="H1" s="42" t="s">
        <v>50</v>
      </c>
      <c r="I1" s="42"/>
      <c r="J1" s="42"/>
      <c r="K1" s="42"/>
      <c r="L1" s="26" t="s">
        <v>65</v>
      </c>
      <c r="M1" s="26" t="s">
        <v>80</v>
      </c>
      <c r="N1" s="26" t="s">
        <v>66</v>
      </c>
      <c r="O1" s="26" t="s">
        <v>67</v>
      </c>
      <c r="P1" s="52"/>
      <c r="Q1" s="26" t="s">
        <v>44</v>
      </c>
      <c r="R1" s="26" t="s">
        <v>20</v>
      </c>
      <c r="S1" s="26" t="s">
        <v>21</v>
      </c>
      <c r="T1" s="26" t="s">
        <v>27</v>
      </c>
      <c r="U1" s="26" t="s">
        <v>19</v>
      </c>
      <c r="V1" s="53"/>
      <c r="W1" s="54"/>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60"/>
      <c r="B2" s="42"/>
      <c r="C2" s="28"/>
      <c r="D2" s="42" t="s">
        <v>45</v>
      </c>
      <c r="E2" s="60"/>
      <c r="F2" s="60"/>
      <c r="G2" s="28"/>
      <c r="H2" s="42" t="s">
        <v>45</v>
      </c>
      <c r="I2" s="42"/>
      <c r="J2" s="28"/>
      <c r="K2" s="28"/>
      <c r="L2" s="49">
        <f>COUNTA(D5:D475)+COUNTIF(L5:L475,"=Open")+COUNTIF(L5:L475,"=To be fixed")-COUNTA(L5:L475)</f>
        <v>0</v>
      </c>
      <c r="M2" s="49">
        <f>COUNTIF(M5:M475,"=Rejected")</f>
        <v>0</v>
      </c>
      <c r="N2" s="49">
        <f>COUNTA(D5:D475)-COUNTIF(M5:M475,"=Approved")</f>
        <v>0</v>
      </c>
      <c r="O2" s="49">
        <f>COUNTIFS(L5:L475,"=Postponed",M5:M475,"=Approved")</f>
        <v>4</v>
      </c>
      <c r="P2" s="55"/>
      <c r="Q2" s="49">
        <f>COUNTIF($L5:$L475,"=" &amp; Q1)</f>
        <v>0</v>
      </c>
      <c r="R2" s="49">
        <f>COUNTIF($L5:$L475,"=" &amp; R1)</f>
        <v>38</v>
      </c>
      <c r="S2" s="49">
        <f>COUNTIF($L5:$L475,"=" &amp; S1)</f>
        <v>4</v>
      </c>
      <c r="T2" s="49">
        <f>COUNTIF($L5:$L475,"=" &amp; T1)</f>
        <v>56</v>
      </c>
      <c r="U2" s="49">
        <f>COUNTIF($L5:$L475,"=" &amp; U1)+COUNTIFS($L5:$L475,"",$D5:$D475,"&lt;&gt;")</f>
        <v>0</v>
      </c>
      <c r="V2" s="55"/>
      <c r="W2" s="56"/>
      <c r="X2" s="49">
        <f>IF(OR(NbOfNotTreatedIssues&gt;0,NbOfRejectedIssues&gt;0),1,0)</f>
        <v>0</v>
      </c>
      <c r="Y2" s="49">
        <f>IF(AND(Issue_to_treat=0,NbOfNotApprovedIssues&gt;0),1,0)</f>
        <v>0</v>
      </c>
      <c r="Z2" s="49">
        <f>IF(AND(Issues_to_approve=0,NbOfNotApprovedAndPostponedIssues&gt;0),1,0)</f>
        <v>1</v>
      </c>
      <c r="AA2" s="49">
        <f>IF(AND(Issue_to_treat=0,Issues_to_approve=0,Issues_postponed=0),1,0)</f>
        <v>0</v>
      </c>
      <c r="AB2" s="30"/>
      <c r="AC2" s="30"/>
      <c r="AD2" s="30"/>
      <c r="AE2" s="30"/>
      <c r="AF2" s="30"/>
      <c r="AH2" s="49">
        <f>COUNTIF($M5:$M475,"=" &amp; AH1)</f>
        <v>98</v>
      </c>
      <c r="AI2" s="49">
        <f>COUNTIF($M5:$M475,"=" &amp; AI1)</f>
        <v>0</v>
      </c>
      <c r="AJ2" s="49">
        <f>COUNTIF($M5:$M475,"=" &amp; AJ1)</f>
        <v>0</v>
      </c>
      <c r="AM2" s="30"/>
      <c r="AN2" s="30"/>
      <c r="AO2" s="30"/>
      <c r="AP2" s="32"/>
      <c r="AQ2" s="32"/>
      <c r="AR2" s="30"/>
      <c r="AS2" s="32"/>
      <c r="AT2" s="32"/>
    </row>
    <row r="3" spans="1:46" s="48" customFormat="1" ht="25.5" customHeight="1" outlineLevel="1">
      <c r="A3" s="319" t="str">
        <f>IF(Issue_to_treat=1,NbOfNotTreatedIssues+NbOfRejectedIssues&amp;" issue(s) to treat",IF(Issues_to_approve=1,NbOfNotApprovedIssues&amp;" issue(s) to approve",IF(Issues_postponed=1,NbOfNotApprovedAndPostponedIssues&amp;" issue(s) postponed","Status OK")))</f>
        <v>4 issue(s) postponed</v>
      </c>
      <c r="B3" s="319"/>
      <c r="C3" s="320"/>
      <c r="D3" s="59" t="s">
        <v>64</v>
      </c>
      <c r="E3" s="318" t="s">
        <v>82</v>
      </c>
      <c r="F3" s="318"/>
      <c r="G3" s="318"/>
      <c r="H3" s="47"/>
      <c r="I3" s="47"/>
      <c r="J3" s="47"/>
      <c r="K3" s="47"/>
      <c r="L3" s="47"/>
      <c r="M3" s="47"/>
      <c r="N3" s="54"/>
      <c r="O3" s="54"/>
      <c r="P3" s="54"/>
      <c r="Q3" s="57"/>
      <c r="R3" s="57"/>
      <c r="S3" s="57"/>
      <c r="T3" s="57"/>
      <c r="U3" s="57"/>
      <c r="V3" s="57"/>
      <c r="W3" s="57"/>
      <c r="X3" s="23"/>
      <c r="Y3" s="23"/>
      <c r="Z3" s="23"/>
      <c r="AA3" s="23"/>
      <c r="AB3" s="23"/>
    </row>
    <row r="4" spans="1:46" s="140" customFormat="1" ht="31.2">
      <c r="A4" s="133" t="s">
        <v>30</v>
      </c>
      <c r="B4" s="133" t="s">
        <v>9</v>
      </c>
      <c r="C4" s="133" t="s">
        <v>32</v>
      </c>
      <c r="D4" s="133" t="s">
        <v>178</v>
      </c>
      <c r="E4" s="133" t="s">
        <v>70</v>
      </c>
      <c r="F4" s="133" t="s">
        <v>31</v>
      </c>
      <c r="G4" s="134" t="s">
        <v>46</v>
      </c>
      <c r="H4" s="135" t="s">
        <v>48</v>
      </c>
      <c r="I4" s="135" t="s">
        <v>106</v>
      </c>
      <c r="J4" s="135" t="s">
        <v>33</v>
      </c>
      <c r="K4" s="136" t="s">
        <v>49</v>
      </c>
      <c r="L4" s="135" t="s">
        <v>47</v>
      </c>
      <c r="M4" s="133" t="s">
        <v>179</v>
      </c>
      <c r="N4" s="137"/>
      <c r="O4" s="137"/>
      <c r="P4" s="137"/>
      <c r="Q4" s="138"/>
      <c r="R4" s="138"/>
      <c r="S4" s="138"/>
      <c r="T4" s="138"/>
      <c r="U4" s="138"/>
      <c r="V4" s="138"/>
      <c r="W4" s="138"/>
      <c r="X4" s="139"/>
      <c r="Y4" s="139"/>
      <c r="Z4" s="139"/>
      <c r="AA4" s="139"/>
      <c r="AB4" s="139"/>
    </row>
    <row r="5" spans="1:46" s="23" customFormat="1" ht="26.4">
      <c r="A5" s="63">
        <v>39</v>
      </c>
      <c r="B5" s="19">
        <v>1.1000000000000001</v>
      </c>
      <c r="C5" s="49" t="s">
        <v>410</v>
      </c>
      <c r="D5" s="25" t="s">
        <v>411</v>
      </c>
      <c r="E5" s="185">
        <v>44812</v>
      </c>
      <c r="F5" s="49" t="s">
        <v>409</v>
      </c>
      <c r="G5" s="16"/>
      <c r="H5" s="20"/>
      <c r="I5" s="20"/>
      <c r="J5" s="186" t="s">
        <v>409</v>
      </c>
      <c r="K5" s="185">
        <v>44812</v>
      </c>
      <c r="L5" s="20" t="s">
        <v>27</v>
      </c>
      <c r="M5" s="20" t="s">
        <v>28</v>
      </c>
      <c r="N5" s="54"/>
      <c r="O5" s="54"/>
      <c r="P5" s="54"/>
      <c r="Q5" s="57"/>
      <c r="R5" s="57"/>
      <c r="S5" s="57"/>
      <c r="T5" s="57"/>
      <c r="U5" s="57"/>
      <c r="V5" s="57"/>
      <c r="W5" s="57"/>
    </row>
    <row r="6" spans="1:46" s="23" customFormat="1" ht="26.4">
      <c r="A6" s="63">
        <v>2</v>
      </c>
      <c r="B6" s="189" t="s">
        <v>415</v>
      </c>
      <c r="C6" s="189" t="s">
        <v>423</v>
      </c>
      <c r="D6" s="25" t="s">
        <v>416</v>
      </c>
      <c r="E6" s="61">
        <v>44813.653124999997</v>
      </c>
      <c r="F6" s="62" t="s">
        <v>414</v>
      </c>
      <c r="G6" s="25" t="s">
        <v>457</v>
      </c>
      <c r="H6" s="20"/>
      <c r="I6" s="20"/>
      <c r="J6" s="20" t="s">
        <v>452</v>
      </c>
      <c r="K6" s="21">
        <v>44886.459722222222</v>
      </c>
      <c r="L6" s="20" t="s">
        <v>20</v>
      </c>
      <c r="M6" s="20" t="s">
        <v>28</v>
      </c>
      <c r="N6" s="54"/>
      <c r="O6" s="54"/>
      <c r="P6" s="54"/>
      <c r="Q6" s="57"/>
      <c r="R6" s="57"/>
      <c r="S6" s="57"/>
      <c r="T6" s="57"/>
      <c r="U6" s="57"/>
      <c r="V6" s="57"/>
      <c r="W6" s="57"/>
    </row>
    <row r="7" spans="1:46" s="23" customFormat="1" ht="26.4">
      <c r="A7" s="63">
        <v>3</v>
      </c>
      <c r="B7" s="189" t="s">
        <v>415</v>
      </c>
      <c r="C7" s="189" t="s">
        <v>423</v>
      </c>
      <c r="D7" s="25" t="s">
        <v>417</v>
      </c>
      <c r="E7" s="61">
        <v>44813.653993055559</v>
      </c>
      <c r="F7" s="62" t="s">
        <v>414</v>
      </c>
      <c r="G7" s="25" t="s">
        <v>458</v>
      </c>
      <c r="H7" s="20"/>
      <c r="I7" s="20"/>
      <c r="J7" s="20" t="s">
        <v>452</v>
      </c>
      <c r="K7" s="21">
        <v>44886.459699074076</v>
      </c>
      <c r="L7" s="20" t="s">
        <v>20</v>
      </c>
      <c r="M7" s="20" t="s">
        <v>28</v>
      </c>
      <c r="N7" s="54"/>
      <c r="O7" s="54"/>
      <c r="P7" s="54"/>
      <c r="Q7" s="57"/>
      <c r="R7" s="57"/>
      <c r="S7" s="57"/>
      <c r="T7" s="57"/>
      <c r="U7" s="57"/>
      <c r="V7" s="57"/>
      <c r="W7" s="57"/>
    </row>
    <row r="8" spans="1:46" s="23" customFormat="1" ht="26.4">
      <c r="A8" s="63">
        <v>4</v>
      </c>
      <c r="B8" s="189" t="s">
        <v>415</v>
      </c>
      <c r="C8" s="189" t="s">
        <v>423</v>
      </c>
      <c r="D8" s="25" t="s">
        <v>418</v>
      </c>
      <c r="E8" s="61">
        <v>44813.654560185183</v>
      </c>
      <c r="F8" s="62" t="s">
        <v>414</v>
      </c>
      <c r="G8" s="25" t="s">
        <v>20</v>
      </c>
      <c r="H8" s="20"/>
      <c r="I8" s="20"/>
      <c r="J8" s="20" t="s">
        <v>452</v>
      </c>
      <c r="K8" s="21">
        <v>44886.459652777776</v>
      </c>
      <c r="L8" s="20" t="s">
        <v>20</v>
      </c>
      <c r="M8" s="20" t="s">
        <v>28</v>
      </c>
      <c r="N8" s="54"/>
      <c r="O8" s="54"/>
      <c r="P8" s="54"/>
      <c r="Q8" s="57"/>
      <c r="R8" s="57"/>
      <c r="S8" s="57"/>
      <c r="T8" s="57"/>
      <c r="U8" s="57"/>
      <c r="V8" s="57"/>
      <c r="W8" s="57"/>
    </row>
    <row r="9" spans="1:46" s="23" customFormat="1" ht="26.4">
      <c r="A9" s="63">
        <v>5</v>
      </c>
      <c r="B9" s="189" t="s">
        <v>415</v>
      </c>
      <c r="C9" s="189" t="s">
        <v>423</v>
      </c>
      <c r="D9" s="25" t="s">
        <v>419</v>
      </c>
      <c r="E9" s="61">
        <v>44813.655185185184</v>
      </c>
      <c r="F9" s="62" t="s">
        <v>414</v>
      </c>
      <c r="G9" s="25" t="s">
        <v>20</v>
      </c>
      <c r="H9" s="20"/>
      <c r="I9" s="20"/>
      <c r="J9" s="20" t="s">
        <v>452</v>
      </c>
      <c r="K9" s="21">
        <v>44886.459618055553</v>
      </c>
      <c r="L9" s="20" t="s">
        <v>20</v>
      </c>
      <c r="M9" s="20" t="s">
        <v>28</v>
      </c>
      <c r="N9" s="54"/>
      <c r="O9" s="54"/>
      <c r="P9" s="54"/>
      <c r="Q9" s="57"/>
      <c r="R9" s="57"/>
      <c r="S9" s="57"/>
      <c r="T9" s="57"/>
      <c r="U9" s="57"/>
      <c r="V9" s="57"/>
      <c r="W9" s="57"/>
    </row>
    <row r="10" spans="1:46" s="23" customFormat="1" ht="26.4">
      <c r="A10" s="63">
        <v>6</v>
      </c>
      <c r="B10" s="189" t="s">
        <v>415</v>
      </c>
      <c r="C10" s="189" t="s">
        <v>423</v>
      </c>
      <c r="D10" s="25" t="s">
        <v>420</v>
      </c>
      <c r="E10" s="61">
        <v>44813.65587962963</v>
      </c>
      <c r="F10" s="62" t="s">
        <v>414</v>
      </c>
      <c r="G10" s="16" t="s">
        <v>459</v>
      </c>
      <c r="H10" s="20"/>
      <c r="I10" s="20"/>
      <c r="J10" s="20" t="s">
        <v>452</v>
      </c>
      <c r="K10" s="21">
        <v>44886.459479166668</v>
      </c>
      <c r="L10" s="20" t="s">
        <v>20</v>
      </c>
      <c r="M10" s="20" t="s">
        <v>28</v>
      </c>
      <c r="N10" s="54"/>
      <c r="O10" s="54"/>
      <c r="P10" s="54"/>
      <c r="Q10" s="57"/>
      <c r="R10" s="57"/>
      <c r="S10" s="57"/>
      <c r="T10" s="57"/>
      <c r="U10" s="57"/>
      <c r="V10" s="57"/>
      <c r="W10" s="57"/>
    </row>
    <row r="11" spans="1:46" s="23" customFormat="1" ht="26.4">
      <c r="A11" s="63">
        <v>7</v>
      </c>
      <c r="B11" s="189" t="s">
        <v>415</v>
      </c>
      <c r="C11" s="189" t="s">
        <v>423</v>
      </c>
      <c r="D11" s="25" t="s">
        <v>421</v>
      </c>
      <c r="E11" s="61">
        <v>44813.656273148146</v>
      </c>
      <c r="F11" s="62" t="s">
        <v>414</v>
      </c>
      <c r="G11" s="16" t="s">
        <v>20</v>
      </c>
      <c r="H11" s="20"/>
      <c r="I11" s="20"/>
      <c r="J11" s="20" t="s">
        <v>452</v>
      </c>
      <c r="K11" s="21">
        <v>44886.459456018521</v>
      </c>
      <c r="L11" s="20" t="s">
        <v>20</v>
      </c>
      <c r="M11" s="20" t="s">
        <v>28</v>
      </c>
      <c r="N11" s="54"/>
      <c r="O11" s="54"/>
      <c r="P11" s="54"/>
      <c r="Q11" s="57"/>
      <c r="R11" s="57"/>
      <c r="S11" s="57"/>
      <c r="T11" s="57"/>
      <c r="U11" s="57"/>
      <c r="V11" s="57"/>
      <c r="W11" s="57"/>
    </row>
    <row r="12" spans="1:46" s="23" customFormat="1" ht="26.4">
      <c r="A12" s="63">
        <v>8</v>
      </c>
      <c r="B12" s="189" t="s">
        <v>415</v>
      </c>
      <c r="C12" s="189" t="s">
        <v>423</v>
      </c>
      <c r="D12" s="25" t="s">
        <v>422</v>
      </c>
      <c r="E12" s="61">
        <v>44813.658495370371</v>
      </c>
      <c r="F12" s="62" t="s">
        <v>414</v>
      </c>
      <c r="G12" s="16" t="s">
        <v>20</v>
      </c>
      <c r="H12" s="20"/>
      <c r="I12" s="20"/>
      <c r="J12" s="20" t="s">
        <v>452</v>
      </c>
      <c r="K12" s="21">
        <v>44886.459374999999</v>
      </c>
      <c r="L12" s="20" t="s">
        <v>20</v>
      </c>
      <c r="M12" s="20" t="s">
        <v>28</v>
      </c>
      <c r="N12" s="54"/>
      <c r="O12" s="54"/>
      <c r="P12" s="54"/>
      <c r="Q12" s="57"/>
      <c r="R12" s="57"/>
      <c r="S12" s="57"/>
      <c r="T12" s="57"/>
      <c r="U12" s="57"/>
      <c r="V12" s="57"/>
      <c r="W12" s="57"/>
    </row>
    <row r="13" spans="1:46" s="23" customFormat="1">
      <c r="A13" s="63">
        <v>9</v>
      </c>
      <c r="B13" s="19">
        <v>1.1000000000000001</v>
      </c>
      <c r="C13" s="19" t="s">
        <v>426</v>
      </c>
      <c r="D13" s="16" t="s">
        <v>411</v>
      </c>
      <c r="E13" s="61">
        <v>44813</v>
      </c>
      <c r="F13" s="49" t="s">
        <v>409</v>
      </c>
      <c r="G13" s="16"/>
      <c r="H13" s="20"/>
      <c r="I13" s="20"/>
      <c r="J13" s="20" t="s">
        <v>409</v>
      </c>
      <c r="K13" s="21">
        <v>44813</v>
      </c>
      <c r="L13" s="20" t="s">
        <v>27</v>
      </c>
      <c r="M13" s="20" t="s">
        <v>28</v>
      </c>
      <c r="N13" s="54"/>
      <c r="O13" s="54"/>
      <c r="P13" s="54"/>
      <c r="Q13" s="57"/>
      <c r="R13" s="57"/>
      <c r="S13" s="57"/>
      <c r="T13" s="57"/>
      <c r="U13" s="57"/>
      <c r="V13" s="57"/>
      <c r="W13" s="57"/>
    </row>
    <row r="14" spans="1:46" s="23" customFormat="1">
      <c r="A14" s="63">
        <v>10</v>
      </c>
      <c r="B14" s="189" t="s">
        <v>432</v>
      </c>
      <c r="C14" s="189" t="s">
        <v>431</v>
      </c>
      <c r="D14" s="25" t="s">
        <v>433</v>
      </c>
      <c r="E14" s="61">
        <v>44817.643969907411</v>
      </c>
      <c r="F14" s="62" t="s">
        <v>414</v>
      </c>
      <c r="G14" s="25" t="s">
        <v>456</v>
      </c>
      <c r="H14" s="20"/>
      <c r="I14" s="20"/>
      <c r="J14" s="20" t="s">
        <v>452</v>
      </c>
      <c r="K14" s="21">
        <v>44886.459791666668</v>
      </c>
      <c r="L14" s="20" t="s">
        <v>20</v>
      </c>
      <c r="M14" s="20" t="s">
        <v>28</v>
      </c>
      <c r="N14" s="54"/>
      <c r="O14" s="54"/>
      <c r="P14" s="54"/>
      <c r="Q14" s="57"/>
      <c r="R14" s="57"/>
      <c r="S14" s="57"/>
      <c r="T14" s="57"/>
      <c r="U14" s="57"/>
      <c r="V14" s="57"/>
      <c r="W14" s="57"/>
    </row>
    <row r="15" spans="1:46" s="23" customFormat="1" ht="39.6">
      <c r="A15" s="63">
        <v>11</v>
      </c>
      <c r="B15" s="189" t="s">
        <v>432</v>
      </c>
      <c r="C15" s="189" t="s">
        <v>431</v>
      </c>
      <c r="D15" s="25" t="s">
        <v>434</v>
      </c>
      <c r="E15" s="61">
        <v>44817.644189814811</v>
      </c>
      <c r="F15" s="62" t="s">
        <v>414</v>
      </c>
      <c r="G15" s="25" t="s">
        <v>455</v>
      </c>
      <c r="H15" s="20"/>
      <c r="I15" s="20"/>
      <c r="J15" s="20" t="s">
        <v>452</v>
      </c>
      <c r="K15" s="21">
        <v>44886.459826388891</v>
      </c>
      <c r="L15" s="20" t="s">
        <v>20</v>
      </c>
      <c r="M15" s="20" t="s">
        <v>28</v>
      </c>
      <c r="N15" s="54"/>
      <c r="O15" s="54"/>
      <c r="P15" s="54"/>
      <c r="Q15" s="57"/>
      <c r="R15" s="57"/>
      <c r="S15" s="57"/>
      <c r="T15" s="57"/>
      <c r="U15" s="57"/>
      <c r="V15" s="57"/>
      <c r="W15" s="57"/>
    </row>
    <row r="16" spans="1:46" s="23" customFormat="1" ht="26.4">
      <c r="A16" s="63">
        <v>12</v>
      </c>
      <c r="B16" s="189" t="s">
        <v>437</v>
      </c>
      <c r="C16" s="189" t="s">
        <v>436</v>
      </c>
      <c r="D16" s="25" t="s">
        <v>435</v>
      </c>
      <c r="E16" s="61">
        <v>44817.654594907406</v>
      </c>
      <c r="F16" s="62" t="s">
        <v>414</v>
      </c>
      <c r="G16" s="25" t="s">
        <v>454</v>
      </c>
      <c r="H16" s="20"/>
      <c r="I16" s="20"/>
      <c r="J16" s="20" t="s">
        <v>452</v>
      </c>
      <c r="K16" s="21">
        <v>44886.459872685184</v>
      </c>
      <c r="L16" s="20" t="s">
        <v>20</v>
      </c>
      <c r="M16" s="20" t="s">
        <v>28</v>
      </c>
      <c r="N16" s="54"/>
      <c r="O16" s="54"/>
      <c r="P16" s="54"/>
      <c r="Q16" s="57"/>
      <c r="R16" s="57"/>
      <c r="S16" s="57"/>
      <c r="T16" s="57"/>
      <c r="U16" s="57"/>
      <c r="V16" s="57"/>
      <c r="W16" s="57"/>
    </row>
    <row r="17" spans="1:23" s="23" customFormat="1" ht="39.6">
      <c r="A17" s="63">
        <v>13</v>
      </c>
      <c r="B17" s="189" t="s">
        <v>432</v>
      </c>
      <c r="C17" s="189" t="s">
        <v>431</v>
      </c>
      <c r="D17" s="25" t="s">
        <v>438</v>
      </c>
      <c r="E17" s="61">
        <v>44817.655740740738</v>
      </c>
      <c r="F17" s="62" t="s">
        <v>414</v>
      </c>
      <c r="G17" s="25" t="s">
        <v>454</v>
      </c>
      <c r="H17" s="20"/>
      <c r="I17" s="20"/>
      <c r="J17" s="20" t="s">
        <v>452</v>
      </c>
      <c r="K17" s="21">
        <v>44886.459930555553</v>
      </c>
      <c r="L17" s="20" t="s">
        <v>20</v>
      </c>
      <c r="M17" s="20" t="s">
        <v>28</v>
      </c>
      <c r="N17" s="54"/>
      <c r="O17" s="54"/>
      <c r="P17" s="54"/>
      <c r="Q17" s="57"/>
      <c r="R17" s="57"/>
      <c r="S17" s="57"/>
      <c r="T17" s="57"/>
      <c r="U17" s="57"/>
      <c r="V17" s="57"/>
      <c r="W17" s="57"/>
    </row>
    <row r="18" spans="1:23" s="23" customFormat="1" ht="26.4">
      <c r="A18" s="63">
        <v>14</v>
      </c>
      <c r="B18" s="189" t="s">
        <v>432</v>
      </c>
      <c r="C18" s="189" t="s">
        <v>431</v>
      </c>
      <c r="D18" s="25" t="s">
        <v>439</v>
      </c>
      <c r="E18" s="61">
        <v>44817.65898148148</v>
      </c>
      <c r="F18" s="62" t="s">
        <v>414</v>
      </c>
      <c r="G18" s="25" t="s">
        <v>453</v>
      </c>
      <c r="H18" s="20"/>
      <c r="I18" s="20"/>
      <c r="J18" s="20" t="s">
        <v>452</v>
      </c>
      <c r="K18" s="21">
        <v>44886.460046296299</v>
      </c>
      <c r="L18" s="20" t="s">
        <v>27</v>
      </c>
      <c r="M18" s="20" t="s">
        <v>28</v>
      </c>
      <c r="N18" s="54"/>
      <c r="O18" s="54"/>
      <c r="P18" s="54"/>
      <c r="Q18" s="57"/>
      <c r="R18" s="57"/>
      <c r="S18" s="57"/>
      <c r="T18" s="57"/>
      <c r="U18" s="57"/>
      <c r="V18" s="57"/>
      <c r="W18" s="57"/>
    </row>
    <row r="19" spans="1:23" s="23" customFormat="1" ht="39.6">
      <c r="A19" s="63">
        <v>15</v>
      </c>
      <c r="B19" s="189" t="s">
        <v>432</v>
      </c>
      <c r="C19" s="189" t="s">
        <v>431</v>
      </c>
      <c r="D19" s="25" t="s">
        <v>440</v>
      </c>
      <c r="E19" s="61">
        <v>44817.665937500002</v>
      </c>
      <c r="F19" s="62" t="s">
        <v>414</v>
      </c>
      <c r="G19" s="25" t="s">
        <v>460</v>
      </c>
      <c r="H19" s="20">
        <v>815278</v>
      </c>
      <c r="I19" s="20" t="s">
        <v>26</v>
      </c>
      <c r="J19" s="20" t="s">
        <v>452</v>
      </c>
      <c r="K19" s="21">
        <v>44582</v>
      </c>
      <c r="L19" s="20" t="s">
        <v>21</v>
      </c>
      <c r="M19" s="20" t="s">
        <v>28</v>
      </c>
      <c r="N19" s="54"/>
      <c r="O19" s="54"/>
      <c r="P19" s="54"/>
      <c r="Q19" s="57"/>
      <c r="R19" s="57"/>
      <c r="S19" s="57"/>
      <c r="T19" s="57"/>
      <c r="U19" s="57"/>
      <c r="V19" s="57"/>
      <c r="W19" s="57"/>
    </row>
    <row r="20" spans="1:23" s="23" customFormat="1" ht="26.4">
      <c r="A20" s="63">
        <v>21</v>
      </c>
      <c r="B20" s="189" t="s">
        <v>444</v>
      </c>
      <c r="C20" s="189" t="s">
        <v>431</v>
      </c>
      <c r="D20" s="25" t="s">
        <v>446</v>
      </c>
      <c r="E20" s="61">
        <v>44883.426701388889</v>
      </c>
      <c r="F20" s="62" t="s">
        <v>445</v>
      </c>
      <c r="G20" s="25" t="s">
        <v>20</v>
      </c>
      <c r="H20" s="20"/>
      <c r="I20" s="20"/>
      <c r="J20" s="20" t="s">
        <v>452</v>
      </c>
      <c r="K20" s="21">
        <v>44886.460381944446</v>
      </c>
      <c r="L20" s="20" t="s">
        <v>20</v>
      </c>
      <c r="M20" s="20" t="s">
        <v>28</v>
      </c>
      <c r="N20" s="54"/>
      <c r="O20" s="54"/>
      <c r="P20" s="54"/>
      <c r="Q20" s="57"/>
      <c r="R20" s="57"/>
      <c r="S20" s="57"/>
      <c r="T20" s="57"/>
      <c r="U20" s="57"/>
      <c r="V20" s="57"/>
      <c r="W20" s="57"/>
    </row>
    <row r="21" spans="1:23" s="23" customFormat="1" ht="26.4">
      <c r="A21" s="63">
        <v>22</v>
      </c>
      <c r="B21" s="189" t="s">
        <v>444</v>
      </c>
      <c r="C21" s="189" t="s">
        <v>431</v>
      </c>
      <c r="D21" s="25" t="s">
        <v>447</v>
      </c>
      <c r="E21" s="61">
        <v>44883.585300925923</v>
      </c>
      <c r="F21" s="62" t="s">
        <v>445</v>
      </c>
      <c r="G21" s="25" t="s">
        <v>20</v>
      </c>
      <c r="H21" s="20"/>
      <c r="I21" s="20"/>
      <c r="J21" s="20" t="s">
        <v>452</v>
      </c>
      <c r="K21" s="21">
        <v>44886.460405092592</v>
      </c>
      <c r="L21" s="20" t="s">
        <v>20</v>
      </c>
      <c r="M21" s="20" t="s">
        <v>28</v>
      </c>
      <c r="N21" s="54"/>
      <c r="O21" s="54"/>
      <c r="P21" s="54"/>
      <c r="Q21" s="57"/>
      <c r="R21" s="57"/>
      <c r="S21" s="57"/>
      <c r="T21" s="57"/>
      <c r="U21" s="57"/>
      <c r="V21" s="57"/>
      <c r="W21" s="57"/>
    </row>
    <row r="22" spans="1:23" s="23" customFormat="1" ht="52.8">
      <c r="A22" s="63">
        <v>28</v>
      </c>
      <c r="B22" s="189" t="s">
        <v>444</v>
      </c>
      <c r="C22" s="189" t="s">
        <v>431</v>
      </c>
      <c r="D22" s="25" t="s">
        <v>451</v>
      </c>
      <c r="E22" s="61">
        <v>44883.669791666667</v>
      </c>
      <c r="F22" s="62" t="s">
        <v>445</v>
      </c>
      <c r="G22" s="25" t="s">
        <v>460</v>
      </c>
      <c r="H22" s="20">
        <v>815278</v>
      </c>
      <c r="I22" s="20" t="s">
        <v>26</v>
      </c>
      <c r="J22" s="20" t="s">
        <v>452</v>
      </c>
      <c r="K22" s="21"/>
      <c r="L22" s="20" t="s">
        <v>21</v>
      </c>
      <c r="M22" s="20" t="s">
        <v>28</v>
      </c>
      <c r="N22" s="54"/>
      <c r="O22" s="54"/>
      <c r="P22" s="54"/>
      <c r="Q22" s="57"/>
      <c r="R22" s="57"/>
      <c r="S22" s="57"/>
      <c r="T22" s="57"/>
      <c r="U22" s="57"/>
      <c r="V22" s="57"/>
      <c r="W22" s="57"/>
    </row>
    <row r="23" spans="1:23" s="23" customFormat="1" ht="26.4">
      <c r="A23" s="63">
        <v>30</v>
      </c>
      <c r="B23" s="189" t="s">
        <v>461</v>
      </c>
      <c r="C23" s="189" t="s">
        <v>423</v>
      </c>
      <c r="D23" s="25" t="s">
        <v>462</v>
      </c>
      <c r="E23" s="61">
        <v>44886.653425925928</v>
      </c>
      <c r="F23" s="62" t="s">
        <v>414</v>
      </c>
      <c r="G23" s="16" t="s">
        <v>473</v>
      </c>
      <c r="H23" s="20"/>
      <c r="I23" s="20" t="s">
        <v>26</v>
      </c>
      <c r="J23" s="20" t="s">
        <v>452</v>
      </c>
      <c r="K23" s="21">
        <v>44887.666932870372</v>
      </c>
      <c r="L23" s="20" t="s">
        <v>20</v>
      </c>
      <c r="M23" s="20" t="s">
        <v>28</v>
      </c>
      <c r="N23" s="54"/>
      <c r="O23" s="54"/>
      <c r="P23" s="54"/>
      <c r="Q23" s="57"/>
      <c r="R23" s="57"/>
      <c r="S23" s="57"/>
      <c r="T23" s="57"/>
      <c r="U23" s="57"/>
      <c r="V23" s="57"/>
      <c r="W23" s="57"/>
    </row>
    <row r="24" spans="1:23" s="23" customFormat="1" ht="26.4">
      <c r="A24" s="63">
        <v>31</v>
      </c>
      <c r="B24" s="189" t="s">
        <v>461</v>
      </c>
      <c r="C24" s="189" t="s">
        <v>423</v>
      </c>
      <c r="D24" s="16" t="s">
        <v>463</v>
      </c>
      <c r="E24" s="61">
        <v>44887.36546296296</v>
      </c>
      <c r="F24" s="62" t="s">
        <v>414</v>
      </c>
      <c r="G24" s="16" t="s">
        <v>474</v>
      </c>
      <c r="H24" s="20"/>
      <c r="I24" s="20" t="s">
        <v>26</v>
      </c>
      <c r="J24" s="20" t="s">
        <v>452</v>
      </c>
      <c r="K24" s="21">
        <v>44887.643275462964</v>
      </c>
      <c r="L24" s="20" t="s">
        <v>20</v>
      </c>
      <c r="M24" s="20" t="s">
        <v>28</v>
      </c>
      <c r="N24" s="54"/>
      <c r="O24" s="54"/>
      <c r="P24" s="54"/>
      <c r="Q24" s="57"/>
      <c r="R24" s="57"/>
      <c r="S24" s="57"/>
      <c r="T24" s="57"/>
      <c r="U24" s="57"/>
      <c r="V24" s="57"/>
      <c r="W24" s="57"/>
    </row>
    <row r="25" spans="1:23" s="23" customFormat="1" ht="26.4">
      <c r="A25" s="63">
        <v>32</v>
      </c>
      <c r="B25" s="189" t="s">
        <v>461</v>
      </c>
      <c r="C25" s="189" t="s">
        <v>423</v>
      </c>
      <c r="D25" s="16" t="s">
        <v>464</v>
      </c>
      <c r="E25" s="61">
        <v>44887.368796296294</v>
      </c>
      <c r="F25" s="62" t="s">
        <v>414</v>
      </c>
      <c r="G25" s="16" t="s">
        <v>20</v>
      </c>
      <c r="H25" s="20"/>
      <c r="I25" s="20" t="s">
        <v>26</v>
      </c>
      <c r="J25" s="20" t="s">
        <v>452</v>
      </c>
      <c r="K25" s="21">
        <v>44887.654745370368</v>
      </c>
      <c r="L25" s="20" t="s">
        <v>20</v>
      </c>
      <c r="M25" s="20" t="s">
        <v>28</v>
      </c>
      <c r="N25" s="54"/>
      <c r="O25" s="54"/>
      <c r="P25" s="54"/>
      <c r="Q25" s="57"/>
      <c r="R25" s="57"/>
      <c r="S25" s="57"/>
      <c r="T25" s="57"/>
      <c r="U25" s="57"/>
      <c r="V25" s="57"/>
      <c r="W25" s="57"/>
    </row>
    <row r="26" spans="1:23" s="23" customFormat="1" ht="39.6">
      <c r="A26" s="63">
        <v>33</v>
      </c>
      <c r="B26" s="189" t="s">
        <v>461</v>
      </c>
      <c r="C26" s="189" t="s">
        <v>423</v>
      </c>
      <c r="D26" s="16" t="s">
        <v>467</v>
      </c>
      <c r="E26" s="61">
        <v>44887.369085648148</v>
      </c>
      <c r="F26" s="62" t="s">
        <v>414</v>
      </c>
      <c r="G26" s="16" t="s">
        <v>475</v>
      </c>
      <c r="H26" s="20"/>
      <c r="I26" s="20" t="s">
        <v>26</v>
      </c>
      <c r="J26" s="20" t="s">
        <v>452</v>
      </c>
      <c r="K26" s="21">
        <v>44887.636562500003</v>
      </c>
      <c r="L26" s="20" t="s">
        <v>20</v>
      </c>
      <c r="M26" s="20" t="s">
        <v>28</v>
      </c>
      <c r="N26" s="54"/>
      <c r="O26" s="54"/>
      <c r="P26" s="54"/>
      <c r="Q26" s="57"/>
      <c r="R26" s="57"/>
      <c r="S26" s="57"/>
      <c r="T26" s="57"/>
      <c r="U26" s="57"/>
      <c r="V26" s="57"/>
      <c r="W26" s="57"/>
    </row>
    <row r="27" spans="1:23" s="23" customFormat="1" ht="26.4">
      <c r="A27" s="63">
        <v>34</v>
      </c>
      <c r="B27" s="189" t="s">
        <v>461</v>
      </c>
      <c r="C27" s="189" t="s">
        <v>423</v>
      </c>
      <c r="D27" s="16" t="s">
        <v>465</v>
      </c>
      <c r="E27" s="61">
        <v>44887.371770833335</v>
      </c>
      <c r="F27" s="62" t="s">
        <v>414</v>
      </c>
      <c r="G27" s="16" t="s">
        <v>476</v>
      </c>
      <c r="H27" s="20"/>
      <c r="I27" s="20" t="s">
        <v>26</v>
      </c>
      <c r="J27" s="20" t="s">
        <v>452</v>
      </c>
      <c r="K27" s="21">
        <v>44887.654768518521</v>
      </c>
      <c r="L27" s="20" t="s">
        <v>20</v>
      </c>
      <c r="M27" s="20" t="s">
        <v>28</v>
      </c>
      <c r="N27" s="54"/>
      <c r="O27" s="54"/>
      <c r="P27" s="54"/>
      <c r="Q27" s="57"/>
      <c r="R27" s="57"/>
      <c r="S27" s="57"/>
      <c r="T27" s="57"/>
      <c r="U27" s="57"/>
      <c r="V27" s="57"/>
      <c r="W27" s="57"/>
    </row>
    <row r="28" spans="1:23" s="23" customFormat="1" ht="26.4">
      <c r="A28" s="63">
        <v>35</v>
      </c>
      <c r="B28" s="189" t="s">
        <v>461</v>
      </c>
      <c r="C28" s="189" t="s">
        <v>423</v>
      </c>
      <c r="D28" s="16" t="s">
        <v>466</v>
      </c>
      <c r="E28" s="61">
        <v>44887.372881944444</v>
      </c>
      <c r="F28" s="62" t="s">
        <v>414</v>
      </c>
      <c r="G28" s="16" t="s">
        <v>477</v>
      </c>
      <c r="H28" s="20"/>
      <c r="I28" s="20" t="s">
        <v>26</v>
      </c>
      <c r="J28" s="20" t="s">
        <v>452</v>
      </c>
      <c r="K28" s="21">
        <v>44887.639814814815</v>
      </c>
      <c r="L28" s="20" t="s">
        <v>20</v>
      </c>
      <c r="M28" s="20" t="s">
        <v>28</v>
      </c>
      <c r="N28" s="54"/>
      <c r="O28" s="54"/>
      <c r="P28" s="54"/>
      <c r="Q28" s="57"/>
      <c r="R28" s="57"/>
      <c r="S28" s="57"/>
      <c r="T28" s="57"/>
      <c r="U28" s="57"/>
      <c r="V28" s="57"/>
      <c r="W28" s="57"/>
    </row>
    <row r="29" spans="1:23" s="23" customFormat="1" ht="26.4">
      <c r="A29" s="63">
        <v>36</v>
      </c>
      <c r="B29" s="189" t="s">
        <v>461</v>
      </c>
      <c r="C29" s="189" t="s">
        <v>423</v>
      </c>
      <c r="D29" s="16" t="s">
        <v>468</v>
      </c>
      <c r="E29" s="61">
        <v>44887.375659722224</v>
      </c>
      <c r="F29" s="62" t="s">
        <v>414</v>
      </c>
      <c r="G29" s="16" t="s">
        <v>478</v>
      </c>
      <c r="H29" s="20"/>
      <c r="I29" s="20" t="s">
        <v>26</v>
      </c>
      <c r="J29" s="20" t="s">
        <v>452</v>
      </c>
      <c r="K29" s="21">
        <v>44887.639537037037</v>
      </c>
      <c r="L29" s="20" t="s">
        <v>20</v>
      </c>
      <c r="M29" s="20" t="s">
        <v>28</v>
      </c>
      <c r="N29" s="54"/>
      <c r="O29" s="54"/>
      <c r="P29" s="54"/>
      <c r="Q29" s="57"/>
      <c r="R29" s="57"/>
      <c r="S29" s="57"/>
      <c r="T29" s="57"/>
      <c r="U29" s="57"/>
      <c r="V29" s="57"/>
      <c r="W29" s="57"/>
    </row>
    <row r="30" spans="1:23" s="23" customFormat="1" ht="26.4">
      <c r="A30" s="63">
        <v>37</v>
      </c>
      <c r="B30" s="189" t="s">
        <v>461</v>
      </c>
      <c r="C30" s="189" t="s">
        <v>423</v>
      </c>
      <c r="D30" s="16" t="s">
        <v>469</v>
      </c>
      <c r="E30" s="61">
        <v>44887.379027777781</v>
      </c>
      <c r="F30" s="62" t="s">
        <v>414</v>
      </c>
      <c r="G30" s="16" t="s">
        <v>474</v>
      </c>
      <c r="H30" s="20"/>
      <c r="I30" s="20" t="s">
        <v>26</v>
      </c>
      <c r="J30" s="20" t="s">
        <v>452</v>
      </c>
      <c r="K30" s="21">
        <v>44887.638912037037</v>
      </c>
      <c r="L30" s="20" t="s">
        <v>20</v>
      </c>
      <c r="M30" s="20" t="s">
        <v>28</v>
      </c>
      <c r="N30" s="54"/>
      <c r="O30" s="54"/>
      <c r="P30" s="54"/>
      <c r="Q30" s="57"/>
      <c r="R30" s="57"/>
      <c r="S30" s="57"/>
      <c r="T30" s="57"/>
      <c r="U30" s="57"/>
      <c r="V30" s="57"/>
      <c r="W30" s="57"/>
    </row>
    <row r="31" spans="1:23" s="23" customFormat="1" ht="52.8">
      <c r="A31" s="63">
        <v>38</v>
      </c>
      <c r="B31" s="189" t="s">
        <v>461</v>
      </c>
      <c r="C31" s="189" t="s">
        <v>423</v>
      </c>
      <c r="D31" s="16" t="s">
        <v>470</v>
      </c>
      <c r="E31" s="61">
        <v>44887.38140046296</v>
      </c>
      <c r="F31" s="62" t="s">
        <v>414</v>
      </c>
      <c r="G31" s="16" t="s">
        <v>479</v>
      </c>
      <c r="H31" s="20"/>
      <c r="I31" s="20" t="s">
        <v>26</v>
      </c>
      <c r="J31" s="20" t="s">
        <v>452</v>
      </c>
      <c r="K31" s="21">
        <v>44887.636932870373</v>
      </c>
      <c r="L31" s="20" t="s">
        <v>20</v>
      </c>
      <c r="M31" s="20" t="s">
        <v>28</v>
      </c>
      <c r="N31" s="54"/>
      <c r="O31" s="54"/>
      <c r="P31" s="54"/>
      <c r="Q31" s="57"/>
      <c r="R31" s="57"/>
      <c r="S31" s="57"/>
      <c r="T31" s="57"/>
      <c r="U31" s="57"/>
      <c r="V31" s="57"/>
      <c r="W31" s="57"/>
    </row>
    <row r="32" spans="1:23" s="23" customFormat="1" ht="26.4">
      <c r="A32" s="63">
        <v>39</v>
      </c>
      <c r="B32" s="189" t="s">
        <v>480</v>
      </c>
      <c r="C32" s="189" t="s">
        <v>423</v>
      </c>
      <c r="D32" s="25" t="s">
        <v>411</v>
      </c>
      <c r="E32" s="61">
        <v>44888.432430555556</v>
      </c>
      <c r="F32" s="62" t="s">
        <v>414</v>
      </c>
      <c r="G32" s="16"/>
      <c r="H32" s="20"/>
      <c r="I32" s="20"/>
      <c r="J32" s="20" t="s">
        <v>414</v>
      </c>
      <c r="K32" s="21">
        <v>44888.432488425926</v>
      </c>
      <c r="L32" s="20" t="s">
        <v>27</v>
      </c>
      <c r="M32" s="20" t="s">
        <v>28</v>
      </c>
      <c r="N32" s="54"/>
      <c r="O32" s="54"/>
      <c r="P32" s="54"/>
      <c r="Q32" s="57"/>
      <c r="R32" s="57"/>
      <c r="S32" s="57"/>
      <c r="T32" s="57"/>
      <c r="U32" s="57"/>
      <c r="V32" s="57"/>
      <c r="W32" s="57"/>
    </row>
    <row r="33" spans="1:23" s="23" customFormat="1" ht="26.4">
      <c r="A33" s="63">
        <v>40</v>
      </c>
      <c r="B33" s="189" t="s">
        <v>483</v>
      </c>
      <c r="C33" s="189" t="s">
        <v>431</v>
      </c>
      <c r="D33" s="25" t="s">
        <v>411</v>
      </c>
      <c r="E33" s="61">
        <v>44888</v>
      </c>
      <c r="F33" s="49" t="s">
        <v>445</v>
      </c>
      <c r="G33" s="16"/>
      <c r="H33" s="20"/>
      <c r="I33" s="20"/>
      <c r="J33" s="20" t="s">
        <v>414</v>
      </c>
      <c r="K33" s="21">
        <v>44888.432488425926</v>
      </c>
      <c r="L33" s="20" t="s">
        <v>27</v>
      </c>
      <c r="M33" s="20" t="s">
        <v>28</v>
      </c>
      <c r="N33" s="54"/>
      <c r="O33" s="54"/>
      <c r="P33" s="54"/>
      <c r="Q33" s="57"/>
      <c r="R33" s="57"/>
      <c r="S33" s="57"/>
      <c r="T33" s="57"/>
      <c r="U33" s="57"/>
      <c r="V33" s="57"/>
      <c r="W33" s="57"/>
    </row>
    <row r="34" spans="1:23" s="23" customFormat="1">
      <c r="A34" s="63">
        <v>41</v>
      </c>
      <c r="B34" s="19">
        <v>1.2</v>
      </c>
      <c r="C34" s="189" t="s">
        <v>426</v>
      </c>
      <c r="D34" s="25" t="s">
        <v>411</v>
      </c>
      <c r="E34" s="61">
        <v>44904</v>
      </c>
      <c r="F34" s="49" t="s">
        <v>485</v>
      </c>
      <c r="G34" s="16"/>
      <c r="H34" s="20"/>
      <c r="I34" s="20"/>
      <c r="J34" s="186" t="s">
        <v>486</v>
      </c>
      <c r="K34" s="21">
        <v>44904</v>
      </c>
      <c r="L34" s="20" t="s">
        <v>27</v>
      </c>
      <c r="M34" s="20" t="s">
        <v>28</v>
      </c>
      <c r="N34" s="54"/>
      <c r="O34" s="54"/>
      <c r="P34" s="54"/>
      <c r="Q34" s="57"/>
      <c r="R34" s="57"/>
      <c r="S34" s="57"/>
      <c r="T34" s="57"/>
      <c r="U34" s="57"/>
      <c r="V34" s="57"/>
      <c r="W34" s="57"/>
    </row>
    <row r="35" spans="1:23" s="23" customFormat="1">
      <c r="A35" s="63">
        <v>42</v>
      </c>
      <c r="B35" s="19">
        <v>1.1000000000000001</v>
      </c>
      <c r="C35" s="189" t="s">
        <v>489</v>
      </c>
      <c r="D35" s="25" t="s">
        <v>411</v>
      </c>
      <c r="E35" s="61">
        <v>44907.47587962963</v>
      </c>
      <c r="F35" s="62" t="s">
        <v>485</v>
      </c>
      <c r="G35" s="16"/>
      <c r="H35" s="20"/>
      <c r="I35" s="20"/>
      <c r="J35" s="186" t="s">
        <v>409</v>
      </c>
      <c r="K35" s="21">
        <v>44907.475925925923</v>
      </c>
      <c r="L35" s="20" t="s">
        <v>27</v>
      </c>
      <c r="M35" s="20" t="s">
        <v>28</v>
      </c>
      <c r="N35" s="54"/>
      <c r="O35" s="54"/>
      <c r="P35" s="54"/>
      <c r="Q35" s="57"/>
      <c r="R35" s="57"/>
      <c r="S35" s="57"/>
      <c r="T35" s="57"/>
      <c r="U35" s="57"/>
      <c r="V35" s="57"/>
      <c r="W35" s="57"/>
    </row>
    <row r="36" spans="1:23" s="23" customFormat="1">
      <c r="A36" s="63">
        <v>43</v>
      </c>
      <c r="B36" s="19">
        <v>1.1000000000000001</v>
      </c>
      <c r="C36" s="189" t="s">
        <v>492</v>
      </c>
      <c r="D36" s="25" t="s">
        <v>411</v>
      </c>
      <c r="E36" s="61">
        <v>44953.64371527778</v>
      </c>
      <c r="F36" s="62" t="s">
        <v>485</v>
      </c>
      <c r="G36" s="16"/>
      <c r="H36" s="20"/>
      <c r="I36" s="20"/>
      <c r="J36" s="186" t="s">
        <v>409</v>
      </c>
      <c r="K36" s="21">
        <v>44953.644155092596</v>
      </c>
      <c r="L36" s="20" t="s">
        <v>27</v>
      </c>
      <c r="M36" s="20" t="s">
        <v>28</v>
      </c>
      <c r="N36" s="54"/>
      <c r="O36" s="54"/>
      <c r="P36" s="54"/>
      <c r="Q36" s="57"/>
      <c r="R36" s="57"/>
      <c r="S36" s="57"/>
      <c r="T36" s="57"/>
      <c r="U36" s="57"/>
      <c r="V36" s="57"/>
      <c r="W36" s="57"/>
    </row>
    <row r="37" spans="1:23" s="23" customFormat="1">
      <c r="A37" s="63">
        <v>44</v>
      </c>
      <c r="B37" s="19">
        <v>1.1000000000000001</v>
      </c>
      <c r="C37" s="189" t="s">
        <v>493</v>
      </c>
      <c r="D37" s="25" t="s">
        <v>411</v>
      </c>
      <c r="E37" s="61">
        <v>44953.643738425926</v>
      </c>
      <c r="F37" s="62" t="s">
        <v>485</v>
      </c>
      <c r="G37" s="16"/>
      <c r="H37" s="20"/>
      <c r="I37" s="20"/>
      <c r="J37" s="186" t="s">
        <v>409</v>
      </c>
      <c r="K37" s="21">
        <v>44953.644178240742</v>
      </c>
      <c r="L37" s="20" t="s">
        <v>27</v>
      </c>
      <c r="M37" s="20" t="s">
        <v>28</v>
      </c>
      <c r="N37" s="54"/>
      <c r="O37" s="54"/>
      <c r="P37" s="54"/>
      <c r="Q37" s="57"/>
      <c r="R37" s="57"/>
      <c r="S37" s="57"/>
      <c r="T37" s="57"/>
      <c r="U37" s="57"/>
      <c r="V37" s="57"/>
      <c r="W37" s="57"/>
    </row>
    <row r="38" spans="1:23" s="23" customFormat="1" ht="26.4">
      <c r="A38" s="63">
        <v>45</v>
      </c>
      <c r="B38" s="19">
        <v>1.1000000000000001</v>
      </c>
      <c r="C38" s="189" t="s">
        <v>494</v>
      </c>
      <c r="D38" s="25" t="s">
        <v>411</v>
      </c>
      <c r="E38" s="61">
        <v>44953.643761574072</v>
      </c>
      <c r="F38" s="62" t="s">
        <v>485</v>
      </c>
      <c r="G38" s="16"/>
      <c r="H38" s="20"/>
      <c r="I38" s="20"/>
      <c r="J38" s="186" t="s">
        <v>409</v>
      </c>
      <c r="K38" s="21">
        <v>44953.644201388888</v>
      </c>
      <c r="L38" s="20" t="s">
        <v>27</v>
      </c>
      <c r="M38" s="20" t="s">
        <v>28</v>
      </c>
      <c r="N38" s="54"/>
      <c r="O38" s="54"/>
      <c r="P38" s="54"/>
      <c r="Q38" s="57"/>
      <c r="R38" s="57"/>
      <c r="S38" s="57"/>
      <c r="T38" s="57"/>
      <c r="U38" s="57"/>
      <c r="V38" s="57"/>
      <c r="W38" s="57"/>
    </row>
    <row r="39" spans="1:23" s="23" customFormat="1" ht="26.4">
      <c r="A39" s="63">
        <v>46</v>
      </c>
      <c r="B39" s="189" t="s">
        <v>499</v>
      </c>
      <c r="C39" s="189" t="s">
        <v>423</v>
      </c>
      <c r="D39" s="25" t="s">
        <v>500</v>
      </c>
      <c r="E39" s="61">
        <v>44971.449421296296</v>
      </c>
      <c r="F39" s="62" t="s">
        <v>414</v>
      </c>
      <c r="G39" s="16"/>
      <c r="H39" s="20"/>
      <c r="I39" s="20"/>
      <c r="J39" s="20" t="s">
        <v>445</v>
      </c>
      <c r="K39" s="21">
        <v>44973.461157407408</v>
      </c>
      <c r="L39" s="20" t="s">
        <v>20</v>
      </c>
      <c r="M39" s="20" t="s">
        <v>28</v>
      </c>
      <c r="N39" s="54"/>
      <c r="O39" s="54"/>
      <c r="P39" s="54"/>
      <c r="Q39" s="57"/>
      <c r="R39" s="57"/>
      <c r="S39" s="57"/>
      <c r="T39" s="57"/>
      <c r="U39" s="57"/>
      <c r="V39" s="57"/>
      <c r="W39" s="57"/>
    </row>
    <row r="40" spans="1:23" s="23" customFormat="1" ht="26.4">
      <c r="A40" s="63">
        <v>47</v>
      </c>
      <c r="B40" s="189" t="s">
        <v>499</v>
      </c>
      <c r="C40" s="189" t="s">
        <v>423</v>
      </c>
      <c r="D40" s="25" t="s">
        <v>501</v>
      </c>
      <c r="E40" s="61">
        <v>44971.568078703705</v>
      </c>
      <c r="F40" s="62" t="s">
        <v>414</v>
      </c>
      <c r="G40" s="16"/>
      <c r="H40" s="20"/>
      <c r="I40" s="20"/>
      <c r="J40" s="20" t="s">
        <v>445</v>
      </c>
      <c r="K40" s="21">
        <v>44973.461157407408</v>
      </c>
      <c r="L40" s="20" t="s">
        <v>20</v>
      </c>
      <c r="M40" s="20" t="s">
        <v>28</v>
      </c>
      <c r="N40" s="54"/>
      <c r="O40" s="54"/>
      <c r="P40" s="54"/>
      <c r="Q40" s="57"/>
      <c r="R40" s="57"/>
      <c r="S40" s="57"/>
      <c r="T40" s="57"/>
      <c r="U40" s="57"/>
      <c r="V40" s="57"/>
      <c r="W40" s="57"/>
    </row>
    <row r="41" spans="1:23" s="23" customFormat="1" ht="26.4">
      <c r="A41" s="63">
        <v>48</v>
      </c>
      <c r="B41" s="189" t="s">
        <v>499</v>
      </c>
      <c r="C41" s="189" t="s">
        <v>423</v>
      </c>
      <c r="D41" s="16" t="s">
        <v>502</v>
      </c>
      <c r="E41" s="61">
        <v>44971.572314814817</v>
      </c>
      <c r="F41" s="62" t="s">
        <v>414</v>
      </c>
      <c r="G41" s="16"/>
      <c r="H41" s="20"/>
      <c r="I41" s="20"/>
      <c r="J41" s="20" t="s">
        <v>445</v>
      </c>
      <c r="K41" s="21">
        <v>44973.461157407408</v>
      </c>
      <c r="L41" s="20" t="s">
        <v>20</v>
      </c>
      <c r="M41" s="20" t="s">
        <v>28</v>
      </c>
      <c r="N41" s="54"/>
      <c r="O41" s="54"/>
      <c r="P41" s="54"/>
      <c r="Q41" s="57"/>
      <c r="R41" s="57"/>
      <c r="S41" s="57"/>
      <c r="T41" s="57"/>
      <c r="U41" s="57"/>
      <c r="V41" s="57"/>
      <c r="W41" s="57"/>
    </row>
    <row r="42" spans="1:23" s="23" customFormat="1" ht="26.4">
      <c r="A42" s="63">
        <v>49</v>
      </c>
      <c r="B42" s="189" t="s">
        <v>499</v>
      </c>
      <c r="C42" s="189" t="s">
        <v>423</v>
      </c>
      <c r="D42" s="16" t="s">
        <v>503</v>
      </c>
      <c r="E42" s="61">
        <v>44971.573240740741</v>
      </c>
      <c r="F42" s="62" t="s">
        <v>414</v>
      </c>
      <c r="G42" s="16"/>
      <c r="H42" s="20"/>
      <c r="I42" s="20"/>
      <c r="J42" s="20" t="s">
        <v>445</v>
      </c>
      <c r="K42" s="21">
        <v>44973.461157407408</v>
      </c>
      <c r="L42" s="20" t="s">
        <v>20</v>
      </c>
      <c r="M42" s="20" t="s">
        <v>28</v>
      </c>
      <c r="N42" s="54"/>
      <c r="O42" s="54"/>
      <c r="P42" s="54"/>
      <c r="Q42" s="57"/>
      <c r="R42" s="57"/>
      <c r="S42" s="57"/>
      <c r="T42" s="57"/>
      <c r="U42" s="57"/>
      <c r="V42" s="57"/>
      <c r="W42" s="57"/>
    </row>
    <row r="43" spans="1:23" s="23" customFormat="1">
      <c r="A43" s="63">
        <v>50</v>
      </c>
      <c r="B43" s="189" t="s">
        <v>506</v>
      </c>
      <c r="C43" s="189" t="s">
        <v>431</v>
      </c>
      <c r="D43" s="25" t="s">
        <v>508</v>
      </c>
      <c r="E43" s="61">
        <v>44972.555011574077</v>
      </c>
      <c r="F43" s="62" t="s">
        <v>414</v>
      </c>
      <c r="G43" s="25" t="s">
        <v>453</v>
      </c>
      <c r="H43" s="20"/>
      <c r="I43" s="20"/>
      <c r="J43" s="20" t="s">
        <v>414</v>
      </c>
      <c r="K43" s="21">
        <v>44973.476817129631</v>
      </c>
      <c r="L43" s="20" t="s">
        <v>27</v>
      </c>
      <c r="M43" s="20" t="s">
        <v>28</v>
      </c>
      <c r="N43" s="54"/>
      <c r="O43" s="54"/>
      <c r="P43" s="54"/>
      <c r="Q43" s="57"/>
      <c r="R43" s="57"/>
      <c r="S43" s="57"/>
      <c r="T43" s="57"/>
      <c r="U43" s="57"/>
      <c r="V43" s="57"/>
      <c r="W43" s="57"/>
    </row>
    <row r="44" spans="1:23" s="23" customFormat="1" ht="26.4">
      <c r="A44" s="63">
        <v>51</v>
      </c>
      <c r="B44" s="189" t="s">
        <v>512</v>
      </c>
      <c r="C44" s="189" t="s">
        <v>423</v>
      </c>
      <c r="D44" s="25" t="s">
        <v>411</v>
      </c>
      <c r="E44" s="61">
        <v>44973.473275462966</v>
      </c>
      <c r="F44" s="62" t="s">
        <v>414</v>
      </c>
      <c r="G44" s="16"/>
      <c r="H44" s="20"/>
      <c r="I44" s="20"/>
      <c r="J44" s="20" t="s">
        <v>414</v>
      </c>
      <c r="K44" s="21">
        <v>44973.473321759258</v>
      </c>
      <c r="L44" s="20" t="s">
        <v>27</v>
      </c>
      <c r="M44" s="20" t="s">
        <v>28</v>
      </c>
      <c r="N44" s="54"/>
      <c r="O44" s="54"/>
      <c r="P44" s="54"/>
      <c r="Q44" s="57"/>
      <c r="R44" s="57"/>
      <c r="S44" s="57"/>
      <c r="T44" s="57"/>
      <c r="U44" s="57"/>
      <c r="V44" s="57"/>
      <c r="W44" s="57"/>
    </row>
    <row r="45" spans="1:23" s="23" customFormat="1">
      <c r="A45" s="63">
        <v>52</v>
      </c>
      <c r="B45" s="19">
        <v>1.3</v>
      </c>
      <c r="C45" s="189" t="s">
        <v>426</v>
      </c>
      <c r="D45" s="201" t="s">
        <v>518</v>
      </c>
      <c r="E45" s="61">
        <v>44973.65934027778</v>
      </c>
      <c r="F45" s="62" t="s">
        <v>517</v>
      </c>
      <c r="G45" s="25" t="s">
        <v>520</v>
      </c>
      <c r="H45" s="20"/>
      <c r="I45" s="20"/>
      <c r="J45" s="186" t="s">
        <v>485</v>
      </c>
      <c r="K45" s="21">
        <v>44992.373460648145</v>
      </c>
      <c r="L45" s="20" t="s">
        <v>20</v>
      </c>
      <c r="M45" s="20" t="s">
        <v>28</v>
      </c>
      <c r="N45" s="54"/>
      <c r="O45" s="54"/>
      <c r="P45" s="54"/>
      <c r="Q45" s="57"/>
      <c r="R45" s="57"/>
      <c r="S45" s="57"/>
      <c r="T45" s="57"/>
      <c r="U45" s="57"/>
      <c r="V45" s="57"/>
      <c r="W45" s="57"/>
    </row>
    <row r="46" spans="1:23" s="23" customFormat="1">
      <c r="A46" s="63">
        <v>53</v>
      </c>
      <c r="B46" s="19">
        <v>1.3</v>
      </c>
      <c r="C46" s="189" t="s">
        <v>426</v>
      </c>
      <c r="D46" s="201" t="s">
        <v>519</v>
      </c>
      <c r="E46" s="61">
        <v>44973.65934027778</v>
      </c>
      <c r="F46" s="62" t="s">
        <v>517</v>
      </c>
      <c r="G46" s="25" t="s">
        <v>520</v>
      </c>
      <c r="H46" s="20"/>
      <c r="I46" s="20"/>
      <c r="J46" s="186" t="s">
        <v>485</v>
      </c>
      <c r="K46" s="21">
        <v>44992.373483796298</v>
      </c>
      <c r="L46" s="20" t="s">
        <v>20</v>
      </c>
      <c r="M46" s="20" t="s">
        <v>28</v>
      </c>
      <c r="N46" s="54"/>
      <c r="O46" s="54"/>
      <c r="P46" s="54"/>
      <c r="Q46" s="57"/>
      <c r="R46" s="57"/>
      <c r="S46" s="57"/>
      <c r="T46" s="57"/>
      <c r="U46" s="57"/>
      <c r="V46" s="57"/>
      <c r="W46" s="57"/>
    </row>
    <row r="47" spans="1:23" s="23" customFormat="1">
      <c r="A47" s="63">
        <v>54</v>
      </c>
      <c r="B47" s="19">
        <v>1.4</v>
      </c>
      <c r="C47" s="189" t="s">
        <v>426</v>
      </c>
      <c r="D47" s="25" t="s">
        <v>411</v>
      </c>
      <c r="E47" s="61">
        <v>44992.372430555559</v>
      </c>
      <c r="F47" s="62" t="s">
        <v>485</v>
      </c>
      <c r="G47" s="16"/>
      <c r="H47" s="20"/>
      <c r="I47" s="20"/>
      <c r="J47" s="186" t="s">
        <v>521</v>
      </c>
      <c r="K47" s="21">
        <v>44992.373402777775</v>
      </c>
      <c r="L47" s="20" t="s">
        <v>27</v>
      </c>
      <c r="M47" s="20" t="s">
        <v>28</v>
      </c>
      <c r="N47" s="54"/>
      <c r="O47" s="54"/>
      <c r="P47" s="54"/>
      <c r="Q47" s="57"/>
      <c r="R47" s="57"/>
      <c r="S47" s="57"/>
      <c r="T47" s="57"/>
      <c r="U47" s="57"/>
      <c r="V47" s="57"/>
      <c r="W47" s="57"/>
    </row>
    <row r="48" spans="1:23" s="23" customFormat="1" ht="66">
      <c r="A48" s="63">
        <v>56</v>
      </c>
      <c r="B48" s="189" t="s">
        <v>528</v>
      </c>
      <c r="C48" s="189" t="s">
        <v>527</v>
      </c>
      <c r="D48" s="25" t="s">
        <v>526</v>
      </c>
      <c r="E48" s="61">
        <v>44993.551655092589</v>
      </c>
      <c r="F48" s="62" t="s">
        <v>525</v>
      </c>
      <c r="G48" s="25" t="s">
        <v>535</v>
      </c>
      <c r="H48" s="20"/>
      <c r="I48" s="20" t="s">
        <v>26</v>
      </c>
      <c r="J48" s="20" t="s">
        <v>452</v>
      </c>
      <c r="K48" s="21">
        <v>44993.593738425923</v>
      </c>
      <c r="L48" s="20" t="s">
        <v>20</v>
      </c>
      <c r="M48" s="20" t="s">
        <v>28</v>
      </c>
      <c r="N48" s="54"/>
      <c r="O48" s="54"/>
      <c r="P48" s="54"/>
      <c r="Q48" s="57"/>
      <c r="R48" s="57"/>
      <c r="S48" s="57"/>
      <c r="T48" s="57"/>
      <c r="U48" s="57"/>
      <c r="V48" s="57"/>
      <c r="W48" s="57"/>
    </row>
    <row r="49" spans="1:23" s="23" customFormat="1" ht="26.4">
      <c r="A49" s="63">
        <v>57</v>
      </c>
      <c r="B49" s="189" t="s">
        <v>531</v>
      </c>
      <c r="C49" s="189" t="s">
        <v>431</v>
      </c>
      <c r="D49" s="25" t="s">
        <v>532</v>
      </c>
      <c r="E49" s="61">
        <v>44993.560601851852</v>
      </c>
      <c r="F49" s="62" t="s">
        <v>525</v>
      </c>
      <c r="G49" s="25" t="s">
        <v>534</v>
      </c>
      <c r="H49" s="20"/>
      <c r="I49" s="20" t="s">
        <v>26</v>
      </c>
      <c r="J49" s="20" t="s">
        <v>452</v>
      </c>
      <c r="K49" s="21">
        <v>44993.593530092592</v>
      </c>
      <c r="L49" s="20" t="s">
        <v>20</v>
      </c>
      <c r="M49" s="20" t="s">
        <v>28</v>
      </c>
      <c r="N49" s="54"/>
      <c r="O49" s="54"/>
      <c r="P49" s="54"/>
      <c r="Q49" s="57"/>
      <c r="R49" s="57"/>
      <c r="S49" s="57"/>
      <c r="T49" s="57"/>
      <c r="U49" s="57"/>
      <c r="V49" s="57"/>
      <c r="W49" s="57"/>
    </row>
    <row r="50" spans="1:23" s="23" customFormat="1" ht="26.4">
      <c r="A50" s="63">
        <v>58</v>
      </c>
      <c r="B50" s="189" t="s">
        <v>536</v>
      </c>
      <c r="C50" s="189" t="s">
        <v>527</v>
      </c>
      <c r="D50" s="25" t="s">
        <v>411</v>
      </c>
      <c r="E50" s="61">
        <v>44993.637118055558</v>
      </c>
      <c r="F50" s="62" t="s">
        <v>525</v>
      </c>
      <c r="G50" s="16"/>
      <c r="H50" s="20"/>
      <c r="I50" s="20" t="s">
        <v>26</v>
      </c>
      <c r="J50" s="20" t="s">
        <v>525</v>
      </c>
      <c r="K50" s="21">
        <v>44993.63722222222</v>
      </c>
      <c r="L50" s="20" t="s">
        <v>27</v>
      </c>
      <c r="M50" s="20" t="s">
        <v>28</v>
      </c>
      <c r="N50" s="54"/>
      <c r="O50" s="54"/>
      <c r="P50" s="54"/>
      <c r="Q50" s="57"/>
      <c r="R50" s="57"/>
      <c r="S50" s="57"/>
      <c r="T50" s="57"/>
      <c r="U50" s="57"/>
      <c r="V50" s="57"/>
      <c r="W50" s="57"/>
    </row>
    <row r="51" spans="1:23" s="23" customFormat="1">
      <c r="A51" s="63">
        <v>59</v>
      </c>
      <c r="B51" s="189" t="s">
        <v>537</v>
      </c>
      <c r="C51" s="189" t="s">
        <v>431</v>
      </c>
      <c r="D51" s="25" t="s">
        <v>411</v>
      </c>
      <c r="E51" s="61">
        <v>44993.637465277781</v>
      </c>
      <c r="F51" s="62" t="s">
        <v>525</v>
      </c>
      <c r="G51" s="16"/>
      <c r="H51" s="20"/>
      <c r="I51" s="20" t="s">
        <v>26</v>
      </c>
      <c r="J51" s="20" t="s">
        <v>525</v>
      </c>
      <c r="K51" s="21">
        <v>44993.63758101852</v>
      </c>
      <c r="L51" s="20" t="s">
        <v>27</v>
      </c>
      <c r="M51" s="20" t="s">
        <v>28</v>
      </c>
      <c r="N51" s="54"/>
      <c r="O51" s="54"/>
      <c r="P51" s="54"/>
      <c r="Q51" s="57"/>
      <c r="R51" s="57"/>
      <c r="S51" s="57"/>
      <c r="T51" s="57"/>
      <c r="U51" s="57"/>
      <c r="V51" s="57"/>
      <c r="W51" s="57"/>
    </row>
    <row r="52" spans="1:23" s="23" customFormat="1">
      <c r="A52" s="63">
        <v>60</v>
      </c>
      <c r="B52" s="19">
        <v>1.1000000000000001</v>
      </c>
      <c r="C52" s="204" t="s">
        <v>540</v>
      </c>
      <c r="D52" s="25" t="s">
        <v>411</v>
      </c>
      <c r="E52" s="61">
        <v>44993.844895833332</v>
      </c>
      <c r="F52" s="62" t="s">
        <v>485</v>
      </c>
      <c r="G52" s="16"/>
      <c r="H52" s="20"/>
      <c r="I52" s="20"/>
      <c r="J52" s="186" t="s">
        <v>409</v>
      </c>
      <c r="K52" s="21">
        <v>44993.84542824074</v>
      </c>
      <c r="L52" s="20" t="s">
        <v>27</v>
      </c>
      <c r="M52" s="20" t="s">
        <v>28</v>
      </c>
      <c r="N52" s="54"/>
      <c r="O52" s="54"/>
      <c r="P52" s="54"/>
      <c r="Q52" s="57"/>
      <c r="R52" s="57"/>
      <c r="S52" s="57"/>
      <c r="T52" s="57"/>
      <c r="U52" s="57"/>
      <c r="V52" s="57"/>
      <c r="W52" s="57"/>
    </row>
    <row r="53" spans="1:23" s="23" customFormat="1" ht="26.4">
      <c r="A53" s="63">
        <v>61</v>
      </c>
      <c r="B53" s="19">
        <v>1.2</v>
      </c>
      <c r="C53" s="204" t="s">
        <v>541</v>
      </c>
      <c r="D53" s="25" t="s">
        <v>566</v>
      </c>
      <c r="E53" s="61">
        <v>44993.842326388891</v>
      </c>
      <c r="F53" s="62" t="s">
        <v>485</v>
      </c>
      <c r="G53" s="25" t="s">
        <v>597</v>
      </c>
      <c r="H53" s="20"/>
      <c r="I53" s="20"/>
      <c r="J53" s="186" t="s">
        <v>409</v>
      </c>
      <c r="K53" s="21"/>
      <c r="L53" s="20" t="s">
        <v>20</v>
      </c>
      <c r="M53" s="20" t="s">
        <v>28</v>
      </c>
      <c r="N53" s="54"/>
      <c r="O53" s="54"/>
      <c r="P53" s="54"/>
      <c r="Q53" s="57"/>
      <c r="R53" s="57"/>
      <c r="S53" s="57"/>
      <c r="T53" s="57"/>
      <c r="U53" s="57"/>
      <c r="V53" s="57"/>
      <c r="W53" s="57"/>
    </row>
    <row r="54" spans="1:23" s="23" customFormat="1">
      <c r="A54" s="63">
        <v>62</v>
      </c>
      <c r="B54" s="19">
        <v>1.2</v>
      </c>
      <c r="C54" s="204" t="s">
        <v>492</v>
      </c>
      <c r="D54" s="25" t="s">
        <v>411</v>
      </c>
      <c r="E54" s="61">
        <v>44993.844930555555</v>
      </c>
      <c r="F54" s="62" t="s">
        <v>485</v>
      </c>
      <c r="G54" s="16"/>
      <c r="H54" s="20"/>
      <c r="I54" s="20"/>
      <c r="J54" s="186" t="s">
        <v>409</v>
      </c>
      <c r="K54" s="21">
        <v>44993.845636574071</v>
      </c>
      <c r="L54" s="20" t="s">
        <v>27</v>
      </c>
      <c r="M54" s="20" t="s">
        <v>28</v>
      </c>
      <c r="N54" s="54"/>
      <c r="O54" s="54"/>
      <c r="P54" s="54"/>
      <c r="Q54" s="57"/>
      <c r="R54" s="57"/>
      <c r="S54" s="57"/>
      <c r="T54" s="57"/>
      <c r="U54" s="57"/>
      <c r="V54" s="57"/>
      <c r="W54" s="57"/>
    </row>
    <row r="55" spans="1:23" s="23" customFormat="1">
      <c r="A55" s="63">
        <v>63</v>
      </c>
      <c r="B55" s="19">
        <v>1.1000000000000001</v>
      </c>
      <c r="C55" s="204" t="s">
        <v>493</v>
      </c>
      <c r="D55" s="25" t="s">
        <v>411</v>
      </c>
      <c r="E55" s="61">
        <v>44993.844953703701</v>
      </c>
      <c r="F55" s="62" t="s">
        <v>485</v>
      </c>
      <c r="G55" s="16"/>
      <c r="H55" s="20"/>
      <c r="I55" s="20"/>
      <c r="J55" s="186" t="s">
        <v>409</v>
      </c>
      <c r="K55" s="21">
        <v>44993.845636574071</v>
      </c>
      <c r="L55" s="20" t="s">
        <v>27</v>
      </c>
      <c r="M55" s="20" t="s">
        <v>28</v>
      </c>
      <c r="N55" s="54"/>
      <c r="O55" s="54"/>
      <c r="P55" s="54"/>
      <c r="Q55" s="57"/>
      <c r="R55" s="57"/>
      <c r="S55" s="57"/>
      <c r="T55" s="57"/>
      <c r="U55" s="57"/>
      <c r="V55" s="57"/>
      <c r="W55" s="57"/>
    </row>
    <row r="56" spans="1:23" s="23" customFormat="1">
      <c r="A56" s="63">
        <v>64</v>
      </c>
      <c r="B56" s="19">
        <v>1.1000000000000001</v>
      </c>
      <c r="C56" s="204" t="s">
        <v>542</v>
      </c>
      <c r="D56" s="25" t="s">
        <v>411</v>
      </c>
      <c r="E56" s="61">
        <v>44993.844976851855</v>
      </c>
      <c r="F56" s="62" t="s">
        <v>485</v>
      </c>
      <c r="G56" s="16"/>
      <c r="H56" s="20"/>
      <c r="I56" s="20"/>
      <c r="J56" s="186" t="s">
        <v>409</v>
      </c>
      <c r="K56" s="21">
        <v>44993.845636574071</v>
      </c>
      <c r="L56" s="20" t="s">
        <v>27</v>
      </c>
      <c r="M56" s="20" t="s">
        <v>28</v>
      </c>
      <c r="N56" s="54"/>
      <c r="O56" s="54"/>
      <c r="P56" s="54"/>
      <c r="Q56" s="57"/>
      <c r="R56" s="57"/>
      <c r="S56" s="57"/>
      <c r="T56" s="57"/>
      <c r="U56" s="57"/>
      <c r="V56" s="57"/>
      <c r="W56" s="57"/>
    </row>
    <row r="57" spans="1:23" s="23" customFormat="1">
      <c r="A57" s="63">
        <v>65</v>
      </c>
      <c r="B57" s="19">
        <v>1.1000000000000001</v>
      </c>
      <c r="C57" s="204" t="s">
        <v>543</v>
      </c>
      <c r="D57" s="25" t="s">
        <v>411</v>
      </c>
      <c r="E57" s="61">
        <v>44993.845000000001</v>
      </c>
      <c r="F57" s="62" t="s">
        <v>485</v>
      </c>
      <c r="G57" s="16"/>
      <c r="H57" s="20"/>
      <c r="I57" s="20"/>
      <c r="J57" s="186" t="s">
        <v>409</v>
      </c>
      <c r="K57" s="21">
        <v>44993.845636574071</v>
      </c>
      <c r="L57" s="20" t="s">
        <v>27</v>
      </c>
      <c r="M57" s="20" t="s">
        <v>28</v>
      </c>
      <c r="N57" s="54"/>
      <c r="O57" s="54"/>
      <c r="P57" s="54"/>
      <c r="Q57" s="57"/>
      <c r="R57" s="57"/>
      <c r="S57" s="57"/>
      <c r="T57" s="57"/>
      <c r="U57" s="57"/>
      <c r="V57" s="57"/>
      <c r="W57" s="57"/>
    </row>
    <row r="58" spans="1:23" s="23" customFormat="1">
      <c r="A58" s="63">
        <v>66</v>
      </c>
      <c r="B58" s="19">
        <v>1.1000000000000001</v>
      </c>
      <c r="C58" s="204" t="s">
        <v>544</v>
      </c>
      <c r="D58" s="25" t="s">
        <v>411</v>
      </c>
      <c r="E58" s="61">
        <v>44993.845023148147</v>
      </c>
      <c r="F58" s="62" t="s">
        <v>485</v>
      </c>
      <c r="G58" s="16"/>
      <c r="H58" s="20"/>
      <c r="I58" s="20"/>
      <c r="J58" s="186" t="s">
        <v>409</v>
      </c>
      <c r="K58" s="21">
        <v>44993.845636574071</v>
      </c>
      <c r="L58" s="20" t="s">
        <v>27</v>
      </c>
      <c r="M58" s="20" t="s">
        <v>28</v>
      </c>
      <c r="N58" s="54"/>
      <c r="O58" s="54"/>
      <c r="P58" s="54"/>
      <c r="Q58" s="57"/>
      <c r="R58" s="57"/>
      <c r="S58" s="57"/>
      <c r="T58" s="57"/>
      <c r="U58" s="57"/>
      <c r="V58" s="57"/>
      <c r="W58" s="57"/>
    </row>
    <row r="59" spans="1:23" s="23" customFormat="1">
      <c r="A59" s="63">
        <v>67</v>
      </c>
      <c r="B59" s="19">
        <v>1.1000000000000001</v>
      </c>
      <c r="C59" s="204" t="s">
        <v>545</v>
      </c>
      <c r="D59" s="25" t="s">
        <v>411</v>
      </c>
      <c r="E59" s="61">
        <v>44993.845034722224</v>
      </c>
      <c r="F59" s="62" t="s">
        <v>485</v>
      </c>
      <c r="G59" s="16"/>
      <c r="H59" s="20"/>
      <c r="I59" s="20"/>
      <c r="J59" s="186" t="s">
        <v>409</v>
      </c>
      <c r="K59" s="21">
        <v>44993.845636574071</v>
      </c>
      <c r="L59" s="20" t="s">
        <v>27</v>
      </c>
      <c r="M59" s="20" t="s">
        <v>28</v>
      </c>
      <c r="N59" s="54"/>
      <c r="O59" s="54"/>
      <c r="P59" s="54"/>
      <c r="Q59" s="57"/>
      <c r="R59" s="57"/>
      <c r="S59" s="57"/>
      <c r="T59" s="57"/>
      <c r="U59" s="57"/>
      <c r="V59" s="57"/>
      <c r="W59" s="57"/>
    </row>
    <row r="60" spans="1:23" s="23" customFormat="1" ht="26.4">
      <c r="A60" s="63">
        <v>68</v>
      </c>
      <c r="B60" s="19">
        <v>1.1000000000000001</v>
      </c>
      <c r="C60" s="204" t="s">
        <v>546</v>
      </c>
      <c r="D60" s="25" t="s">
        <v>567</v>
      </c>
      <c r="E60" s="61">
        <v>44993.843298611115</v>
      </c>
      <c r="F60" s="62" t="s">
        <v>485</v>
      </c>
      <c r="G60" s="25" t="s">
        <v>598</v>
      </c>
      <c r="H60" s="20"/>
      <c r="I60" s="20"/>
      <c r="J60" s="186" t="s">
        <v>409</v>
      </c>
      <c r="K60" s="21"/>
      <c r="L60" s="20" t="s">
        <v>20</v>
      </c>
      <c r="M60" s="20" t="s">
        <v>28</v>
      </c>
      <c r="N60" s="54"/>
      <c r="O60" s="54"/>
      <c r="P60" s="54"/>
      <c r="Q60" s="57"/>
      <c r="R60" s="57"/>
      <c r="S60" s="57"/>
      <c r="T60" s="57"/>
      <c r="U60" s="57"/>
      <c r="V60" s="57"/>
      <c r="W60" s="57"/>
    </row>
    <row r="61" spans="1:23" s="23" customFormat="1">
      <c r="A61" s="63">
        <v>69</v>
      </c>
      <c r="B61" s="19">
        <v>1.1000000000000001</v>
      </c>
      <c r="C61" s="204" t="s">
        <v>547</v>
      </c>
      <c r="D61" s="25" t="s">
        <v>411</v>
      </c>
      <c r="E61" s="61">
        <v>44993.845046296294</v>
      </c>
      <c r="F61" s="62" t="s">
        <v>485</v>
      </c>
      <c r="G61" s="16"/>
      <c r="H61" s="20"/>
      <c r="I61" s="20"/>
      <c r="J61" s="186" t="s">
        <v>409</v>
      </c>
      <c r="K61" s="21">
        <v>44993.845636574071</v>
      </c>
      <c r="L61" s="20" t="s">
        <v>27</v>
      </c>
      <c r="M61" s="20" t="s">
        <v>28</v>
      </c>
      <c r="N61" s="54"/>
      <c r="O61" s="54"/>
      <c r="P61" s="54"/>
      <c r="Q61" s="57"/>
      <c r="R61" s="57"/>
      <c r="S61" s="57"/>
      <c r="T61" s="57"/>
      <c r="U61" s="57"/>
      <c r="V61" s="57"/>
      <c r="W61" s="57"/>
    </row>
    <row r="62" spans="1:23" s="23" customFormat="1">
      <c r="A62" s="63">
        <v>70</v>
      </c>
      <c r="B62" s="19">
        <v>1.1000000000000001</v>
      </c>
      <c r="C62" s="204" t="s">
        <v>548</v>
      </c>
      <c r="D62" s="25" t="s">
        <v>411</v>
      </c>
      <c r="E62" s="61">
        <v>44993.845057870371</v>
      </c>
      <c r="F62" s="62" t="s">
        <v>485</v>
      </c>
      <c r="G62" s="16"/>
      <c r="H62" s="20"/>
      <c r="I62" s="20"/>
      <c r="J62" s="186" t="s">
        <v>409</v>
      </c>
      <c r="K62" s="21">
        <v>44993.845636574071</v>
      </c>
      <c r="L62" s="20" t="s">
        <v>27</v>
      </c>
      <c r="M62" s="20" t="s">
        <v>28</v>
      </c>
      <c r="N62" s="54"/>
      <c r="O62" s="54"/>
      <c r="P62" s="54"/>
      <c r="Q62" s="57"/>
      <c r="R62" s="57"/>
      <c r="S62" s="57"/>
      <c r="T62" s="57"/>
      <c r="U62" s="57"/>
      <c r="V62" s="57"/>
      <c r="W62" s="57"/>
    </row>
    <row r="63" spans="1:23" s="23" customFormat="1">
      <c r="A63" s="63">
        <v>71</v>
      </c>
      <c r="B63" s="19">
        <v>1.1000000000000001</v>
      </c>
      <c r="C63" s="204" t="s">
        <v>549</v>
      </c>
      <c r="D63" s="25" t="s">
        <v>411</v>
      </c>
      <c r="E63" s="61">
        <v>44993.845081018517</v>
      </c>
      <c r="F63" s="62" t="s">
        <v>485</v>
      </c>
      <c r="G63" s="16"/>
      <c r="H63" s="20"/>
      <c r="I63" s="20"/>
      <c r="J63" s="186" t="s">
        <v>409</v>
      </c>
      <c r="K63" s="21">
        <v>44993.845636574071</v>
      </c>
      <c r="L63" s="20" t="s">
        <v>27</v>
      </c>
      <c r="M63" s="20" t="s">
        <v>28</v>
      </c>
      <c r="N63" s="54"/>
      <c r="O63" s="54"/>
      <c r="P63" s="54"/>
      <c r="Q63" s="57"/>
      <c r="R63" s="57"/>
      <c r="S63" s="57"/>
      <c r="T63" s="57"/>
      <c r="U63" s="57"/>
      <c r="V63" s="57"/>
      <c r="W63" s="57"/>
    </row>
    <row r="64" spans="1:23" s="23" customFormat="1">
      <c r="A64" s="63">
        <v>72</v>
      </c>
      <c r="B64" s="19">
        <v>1.1000000000000001</v>
      </c>
      <c r="C64" s="204" t="s">
        <v>550</v>
      </c>
      <c r="D64" s="25" t="s">
        <v>411</v>
      </c>
      <c r="E64" s="61">
        <v>44993.845092592594</v>
      </c>
      <c r="F64" s="62" t="s">
        <v>485</v>
      </c>
      <c r="G64" s="16"/>
      <c r="H64" s="20"/>
      <c r="I64" s="20"/>
      <c r="J64" s="186" t="s">
        <v>409</v>
      </c>
      <c r="K64" s="21">
        <v>44993.845636574071</v>
      </c>
      <c r="L64" s="20" t="s">
        <v>27</v>
      </c>
      <c r="M64" s="20" t="s">
        <v>28</v>
      </c>
      <c r="N64" s="54"/>
      <c r="O64" s="54"/>
      <c r="P64" s="54"/>
      <c r="Q64" s="57"/>
      <c r="R64" s="57"/>
      <c r="S64" s="57"/>
      <c r="T64" s="57"/>
      <c r="U64" s="57"/>
      <c r="V64" s="57"/>
      <c r="W64" s="57"/>
    </row>
    <row r="65" spans="1:23" s="23" customFormat="1">
      <c r="A65" s="63">
        <v>73</v>
      </c>
      <c r="B65" s="19">
        <v>1.1000000000000001</v>
      </c>
      <c r="C65" s="204" t="s">
        <v>551</v>
      </c>
      <c r="D65" s="25" t="s">
        <v>411</v>
      </c>
      <c r="E65" s="61">
        <v>44993.845104166663</v>
      </c>
      <c r="F65" s="62" t="s">
        <v>485</v>
      </c>
      <c r="G65" s="16"/>
      <c r="H65" s="20"/>
      <c r="I65" s="20"/>
      <c r="J65" s="186" t="s">
        <v>409</v>
      </c>
      <c r="K65" s="21">
        <v>44993.845636574071</v>
      </c>
      <c r="L65" s="20" t="s">
        <v>27</v>
      </c>
      <c r="M65" s="20" t="s">
        <v>28</v>
      </c>
      <c r="N65" s="54"/>
      <c r="O65" s="54"/>
      <c r="P65" s="54"/>
      <c r="Q65" s="57"/>
      <c r="R65" s="57"/>
      <c r="S65" s="57"/>
      <c r="T65" s="57"/>
      <c r="U65" s="57"/>
      <c r="V65" s="57"/>
      <c r="W65" s="57"/>
    </row>
    <row r="66" spans="1:23" s="23" customFormat="1">
      <c r="A66" s="63">
        <v>74</v>
      </c>
      <c r="B66" s="19">
        <v>1.1000000000000001</v>
      </c>
      <c r="C66" s="204" t="s">
        <v>552</v>
      </c>
      <c r="D66" s="25" t="s">
        <v>411</v>
      </c>
      <c r="E66" s="61">
        <v>44993.845127314817</v>
      </c>
      <c r="F66" s="62" t="s">
        <v>485</v>
      </c>
      <c r="G66" s="16"/>
      <c r="H66" s="20"/>
      <c r="I66" s="20"/>
      <c r="J66" s="186" t="s">
        <v>409</v>
      </c>
      <c r="K66" s="21">
        <v>44993.845636574071</v>
      </c>
      <c r="L66" s="20" t="s">
        <v>27</v>
      </c>
      <c r="M66" s="20" t="s">
        <v>28</v>
      </c>
      <c r="N66" s="54"/>
      <c r="O66" s="54"/>
      <c r="P66" s="54"/>
      <c r="Q66" s="57"/>
      <c r="R66" s="57"/>
      <c r="S66" s="57"/>
      <c r="T66" s="57"/>
      <c r="U66" s="57"/>
      <c r="V66" s="57"/>
      <c r="W66" s="57"/>
    </row>
    <row r="67" spans="1:23" s="23" customFormat="1">
      <c r="A67" s="63">
        <v>75</v>
      </c>
      <c r="B67" s="19">
        <v>1.1000000000000001</v>
      </c>
      <c r="C67" s="204" t="s">
        <v>553</v>
      </c>
      <c r="D67" s="25" t="s">
        <v>411</v>
      </c>
      <c r="E67" s="61">
        <v>44993.845138888886</v>
      </c>
      <c r="F67" s="62" t="s">
        <v>485</v>
      </c>
      <c r="G67" s="16"/>
      <c r="H67" s="20"/>
      <c r="I67" s="20"/>
      <c r="J67" s="186" t="s">
        <v>409</v>
      </c>
      <c r="K67" s="21">
        <v>44993.845636574071</v>
      </c>
      <c r="L67" s="20" t="s">
        <v>27</v>
      </c>
      <c r="M67" s="20" t="s">
        <v>28</v>
      </c>
      <c r="N67" s="54"/>
      <c r="O67" s="54"/>
      <c r="P67" s="54"/>
      <c r="Q67" s="57"/>
      <c r="R67" s="57"/>
      <c r="S67" s="57"/>
      <c r="T67" s="57"/>
      <c r="U67" s="57"/>
      <c r="V67" s="57"/>
      <c r="W67" s="57"/>
    </row>
    <row r="68" spans="1:23" s="23" customFormat="1">
      <c r="A68" s="63">
        <v>76</v>
      </c>
      <c r="B68" s="19">
        <v>1.1000000000000001</v>
      </c>
      <c r="C68" s="204" t="s">
        <v>554</v>
      </c>
      <c r="D68" s="25" t="s">
        <v>411</v>
      </c>
      <c r="E68" s="61">
        <v>44993.84516203704</v>
      </c>
      <c r="F68" s="62" t="s">
        <v>485</v>
      </c>
      <c r="G68" s="16"/>
      <c r="H68" s="20"/>
      <c r="I68" s="20"/>
      <c r="J68" s="186" t="s">
        <v>409</v>
      </c>
      <c r="K68" s="21">
        <v>44993.845636574071</v>
      </c>
      <c r="L68" s="20" t="s">
        <v>27</v>
      </c>
      <c r="M68" s="20" t="s">
        <v>28</v>
      </c>
      <c r="N68" s="54"/>
      <c r="O68" s="54"/>
      <c r="P68" s="54"/>
      <c r="Q68" s="57"/>
      <c r="R68" s="57"/>
      <c r="S68" s="57"/>
      <c r="T68" s="57"/>
      <c r="U68" s="57"/>
      <c r="V68" s="57"/>
      <c r="W68" s="57"/>
    </row>
    <row r="69" spans="1:23">
      <c r="A69" s="63">
        <v>77</v>
      </c>
      <c r="B69" s="19">
        <v>1.1000000000000001</v>
      </c>
      <c r="C69" s="204" t="s">
        <v>555</v>
      </c>
      <c r="D69" s="25" t="s">
        <v>411</v>
      </c>
      <c r="E69" s="61">
        <v>44993.845173611109</v>
      </c>
      <c r="F69" s="62" t="s">
        <v>485</v>
      </c>
      <c r="G69" s="16"/>
      <c r="H69" s="20"/>
      <c r="I69" s="20"/>
      <c r="J69" s="186" t="s">
        <v>409</v>
      </c>
      <c r="K69" s="21">
        <v>44993.845636574071</v>
      </c>
      <c r="L69" s="20" t="s">
        <v>27</v>
      </c>
      <c r="M69" s="20" t="s">
        <v>28</v>
      </c>
      <c r="N69" s="54"/>
      <c r="O69" s="54"/>
      <c r="P69" s="54"/>
    </row>
    <row r="70" spans="1:23">
      <c r="A70" s="63">
        <v>78</v>
      </c>
      <c r="B70" s="19">
        <v>1.1000000000000001</v>
      </c>
      <c r="C70" s="204" t="s">
        <v>556</v>
      </c>
      <c r="D70" s="16" t="s">
        <v>411</v>
      </c>
      <c r="E70" s="61">
        <v>44993.845173611109</v>
      </c>
      <c r="F70" s="62" t="s">
        <v>485</v>
      </c>
      <c r="G70" s="16"/>
      <c r="H70" s="20"/>
      <c r="I70" s="20"/>
      <c r="J70" s="186" t="s">
        <v>409</v>
      </c>
      <c r="K70" s="21">
        <v>44993.845636574071</v>
      </c>
      <c r="L70" s="20" t="s">
        <v>27</v>
      </c>
      <c r="M70" s="20" t="s">
        <v>28</v>
      </c>
      <c r="N70" s="54"/>
      <c r="O70" s="54"/>
      <c r="P70" s="54"/>
    </row>
    <row r="71" spans="1:23">
      <c r="A71" s="63">
        <v>79</v>
      </c>
      <c r="B71" s="19">
        <v>1.1000000000000001</v>
      </c>
      <c r="C71" s="204" t="s">
        <v>557</v>
      </c>
      <c r="D71" s="25" t="s">
        <v>411</v>
      </c>
      <c r="E71" s="61">
        <v>44993.845208333332</v>
      </c>
      <c r="F71" s="62" t="s">
        <v>485</v>
      </c>
      <c r="G71" s="16"/>
      <c r="H71" s="20"/>
      <c r="I71" s="20"/>
      <c r="J71" s="186" t="s">
        <v>409</v>
      </c>
      <c r="K71" s="21">
        <v>44993.845636574071</v>
      </c>
      <c r="L71" s="20" t="s">
        <v>27</v>
      </c>
      <c r="M71" s="20" t="s">
        <v>28</v>
      </c>
      <c r="N71" s="54"/>
      <c r="O71" s="54"/>
      <c r="P71" s="54"/>
    </row>
    <row r="72" spans="1:23">
      <c r="A72" s="63">
        <v>80</v>
      </c>
      <c r="B72" s="19">
        <v>1.1000000000000001</v>
      </c>
      <c r="C72" s="204" t="s">
        <v>558</v>
      </c>
      <c r="D72" s="25" t="s">
        <v>411</v>
      </c>
      <c r="E72" s="61">
        <v>44993.845219907409</v>
      </c>
      <c r="F72" s="62" t="s">
        <v>485</v>
      </c>
      <c r="G72" s="16"/>
      <c r="H72" s="20"/>
      <c r="I72" s="20"/>
      <c r="J72" s="186" t="s">
        <v>409</v>
      </c>
      <c r="K72" s="21">
        <v>44993.845636574071</v>
      </c>
      <c r="L72" s="20" t="s">
        <v>27</v>
      </c>
      <c r="M72" s="20" t="s">
        <v>28</v>
      </c>
      <c r="N72" s="54"/>
      <c r="O72" s="54"/>
      <c r="P72" s="54"/>
    </row>
    <row r="73" spans="1:23">
      <c r="A73" s="63">
        <v>81</v>
      </c>
      <c r="B73" s="19">
        <v>1.1000000000000001</v>
      </c>
      <c r="C73" s="204" t="s">
        <v>559</v>
      </c>
      <c r="D73" s="25" t="s">
        <v>411</v>
      </c>
      <c r="E73" s="61">
        <v>44993.845231481479</v>
      </c>
      <c r="F73" s="62" t="s">
        <v>485</v>
      </c>
      <c r="G73" s="16"/>
      <c r="H73" s="20"/>
      <c r="I73" s="20"/>
      <c r="J73" s="186" t="s">
        <v>409</v>
      </c>
      <c r="K73" s="21">
        <v>44993.845636574071</v>
      </c>
      <c r="L73" s="20" t="s">
        <v>27</v>
      </c>
      <c r="M73" s="20" t="s">
        <v>28</v>
      </c>
      <c r="N73" s="54"/>
      <c r="O73" s="54"/>
      <c r="P73" s="54"/>
    </row>
    <row r="74" spans="1:23">
      <c r="A74" s="63">
        <v>82</v>
      </c>
      <c r="B74" s="19">
        <v>1.1000000000000001</v>
      </c>
      <c r="C74" s="204" t="s">
        <v>560</v>
      </c>
      <c r="D74" s="25" t="s">
        <v>411</v>
      </c>
      <c r="E74" s="61">
        <v>44993.845243055555</v>
      </c>
      <c r="F74" s="62" t="s">
        <v>485</v>
      </c>
      <c r="G74" s="16"/>
      <c r="H74" s="20"/>
      <c r="I74" s="20"/>
      <c r="J74" s="186" t="s">
        <v>409</v>
      </c>
      <c r="K74" s="21">
        <v>44993.845636574071</v>
      </c>
      <c r="L74" s="20" t="s">
        <v>27</v>
      </c>
      <c r="M74" s="20" t="s">
        <v>28</v>
      </c>
      <c r="N74" s="54"/>
      <c r="O74" s="54"/>
      <c r="P74" s="54"/>
    </row>
    <row r="75" spans="1:23">
      <c r="A75" s="63">
        <v>83</v>
      </c>
      <c r="B75" s="19">
        <v>1.1000000000000001</v>
      </c>
      <c r="C75" s="204" t="s">
        <v>561</v>
      </c>
      <c r="D75" s="25" t="s">
        <v>411</v>
      </c>
      <c r="E75" s="61">
        <v>44993.845254629632</v>
      </c>
      <c r="F75" s="62" t="s">
        <v>485</v>
      </c>
      <c r="G75" s="16"/>
      <c r="H75" s="20"/>
      <c r="I75" s="20"/>
      <c r="J75" s="186" t="s">
        <v>409</v>
      </c>
      <c r="K75" s="21">
        <v>44993.845636574071</v>
      </c>
      <c r="L75" s="20" t="s">
        <v>27</v>
      </c>
      <c r="M75" s="20" t="s">
        <v>28</v>
      </c>
      <c r="N75" s="54"/>
      <c r="O75" s="54"/>
      <c r="P75" s="54"/>
    </row>
    <row r="76" spans="1:23">
      <c r="A76" s="63">
        <v>84</v>
      </c>
      <c r="B76" s="19">
        <v>1.1000000000000001</v>
      </c>
      <c r="C76" s="204" t="s">
        <v>562</v>
      </c>
      <c r="D76" s="25" t="s">
        <v>411</v>
      </c>
      <c r="E76" s="61">
        <v>44993.845277777778</v>
      </c>
      <c r="F76" s="62" t="s">
        <v>485</v>
      </c>
      <c r="G76" s="16"/>
      <c r="H76" s="20"/>
      <c r="I76" s="20"/>
      <c r="J76" s="186" t="s">
        <v>409</v>
      </c>
      <c r="K76" s="21">
        <v>44993.845636574071</v>
      </c>
      <c r="L76" s="20" t="s">
        <v>27</v>
      </c>
      <c r="M76" s="20" t="s">
        <v>28</v>
      </c>
      <c r="N76" s="54"/>
      <c r="O76" s="54"/>
      <c r="P76" s="54"/>
    </row>
    <row r="77" spans="1:23">
      <c r="A77" s="63">
        <v>85</v>
      </c>
      <c r="B77" s="19">
        <v>1.1000000000000001</v>
      </c>
      <c r="C77" s="204" t="s">
        <v>563</v>
      </c>
      <c r="D77" s="25" t="s">
        <v>411</v>
      </c>
      <c r="E77" s="61">
        <v>44993.845289351855</v>
      </c>
      <c r="F77" s="62" t="s">
        <v>485</v>
      </c>
      <c r="G77" s="16"/>
      <c r="H77" s="20"/>
      <c r="I77" s="20"/>
      <c r="J77" s="186" t="s">
        <v>409</v>
      </c>
      <c r="K77" s="21">
        <v>44993.845636574071</v>
      </c>
      <c r="L77" s="20" t="s">
        <v>27</v>
      </c>
      <c r="M77" s="20" t="s">
        <v>28</v>
      </c>
      <c r="N77" s="54"/>
      <c r="O77" s="54"/>
      <c r="P77" s="54"/>
    </row>
    <row r="78" spans="1:23">
      <c r="A78" s="63">
        <v>86</v>
      </c>
      <c r="B78" s="19">
        <v>1.1000000000000001</v>
      </c>
      <c r="C78" s="204" t="s">
        <v>564</v>
      </c>
      <c r="D78" s="25" t="s">
        <v>411</v>
      </c>
      <c r="E78" s="61">
        <v>44993.845300925925</v>
      </c>
      <c r="F78" s="62" t="s">
        <v>485</v>
      </c>
      <c r="G78" s="16"/>
      <c r="H78" s="20"/>
      <c r="I78" s="20"/>
      <c r="J78" s="186" t="s">
        <v>409</v>
      </c>
      <c r="K78" s="21">
        <v>44993.845636574071</v>
      </c>
      <c r="L78" s="20" t="s">
        <v>27</v>
      </c>
      <c r="M78" s="20" t="s">
        <v>28</v>
      </c>
      <c r="N78" s="54"/>
      <c r="O78" s="54"/>
      <c r="P78" s="54"/>
    </row>
    <row r="79" spans="1:23">
      <c r="A79" s="63">
        <v>87</v>
      </c>
      <c r="B79" s="19">
        <v>1.1000000000000001</v>
      </c>
      <c r="C79" s="204" t="s">
        <v>565</v>
      </c>
      <c r="D79" s="25" t="s">
        <v>411</v>
      </c>
      <c r="E79" s="61">
        <v>44993.845312500001</v>
      </c>
      <c r="F79" s="62" t="s">
        <v>485</v>
      </c>
      <c r="G79" s="16"/>
      <c r="H79" s="20"/>
      <c r="I79" s="20"/>
      <c r="J79" s="186" t="s">
        <v>409</v>
      </c>
      <c r="K79" s="21">
        <v>44993.845636574071</v>
      </c>
      <c r="L79" s="20" t="s">
        <v>27</v>
      </c>
      <c r="M79" s="20" t="s">
        <v>28</v>
      </c>
      <c r="N79" s="54"/>
      <c r="O79" s="54"/>
      <c r="P79" s="54"/>
    </row>
    <row r="80" spans="1:23">
      <c r="A80" s="63">
        <v>88</v>
      </c>
      <c r="B80" s="19">
        <v>1.5</v>
      </c>
      <c r="C80" s="189" t="s">
        <v>426</v>
      </c>
      <c r="D80" s="25" t="s">
        <v>411</v>
      </c>
      <c r="E80" s="61">
        <v>45036</v>
      </c>
      <c r="F80" s="49" t="s">
        <v>599</v>
      </c>
      <c r="G80" s="16"/>
      <c r="H80" s="20"/>
      <c r="I80" s="20"/>
      <c r="J80" s="186" t="s">
        <v>521</v>
      </c>
      <c r="K80" s="21">
        <v>45036</v>
      </c>
      <c r="L80" s="20" t="s">
        <v>27</v>
      </c>
      <c r="M80" s="20" t="s">
        <v>28</v>
      </c>
      <c r="N80" s="54"/>
      <c r="O80" s="54"/>
      <c r="P80" s="54"/>
    </row>
    <row r="81" spans="1:13" ht="26.4">
      <c r="A81" s="63">
        <v>89</v>
      </c>
      <c r="B81" s="189" t="s">
        <v>604</v>
      </c>
      <c r="C81" s="189" t="s">
        <v>431</v>
      </c>
      <c r="D81" s="25" t="s">
        <v>411</v>
      </c>
      <c r="E81" s="61">
        <v>45048.575474537036</v>
      </c>
      <c r="F81" s="62" t="s">
        <v>445</v>
      </c>
      <c r="G81" s="16"/>
      <c r="H81" s="20"/>
      <c r="I81" s="20"/>
      <c r="J81" s="186" t="s">
        <v>452</v>
      </c>
      <c r="K81" s="21">
        <v>45048.575555555559</v>
      </c>
      <c r="L81" s="20" t="s">
        <v>27</v>
      </c>
      <c r="M81" s="20" t="s">
        <v>28</v>
      </c>
    </row>
    <row r="82" spans="1:13" ht="26.4">
      <c r="A82" s="63">
        <v>90</v>
      </c>
      <c r="B82" s="19" t="s">
        <v>607</v>
      </c>
      <c r="C82" s="19" t="s">
        <v>527</v>
      </c>
      <c r="D82" s="25" t="s">
        <v>411</v>
      </c>
      <c r="E82" s="61">
        <v>45055.605740740742</v>
      </c>
      <c r="F82" s="62" t="s">
        <v>445</v>
      </c>
      <c r="G82" s="16"/>
      <c r="H82" s="20"/>
      <c r="I82" s="20"/>
      <c r="J82" s="20" t="s">
        <v>452</v>
      </c>
      <c r="K82" s="21">
        <v>45055.605868055558</v>
      </c>
      <c r="L82" s="20" t="s">
        <v>27</v>
      </c>
      <c r="M82" s="20" t="s">
        <v>28</v>
      </c>
    </row>
    <row r="83" spans="1:13" ht="26.4">
      <c r="A83" s="63">
        <v>91</v>
      </c>
      <c r="B83" s="19" t="s">
        <v>610</v>
      </c>
      <c r="C83" s="19" t="s">
        <v>527</v>
      </c>
      <c r="D83" s="25" t="s">
        <v>411</v>
      </c>
      <c r="E83" s="61">
        <v>45061.543113425927</v>
      </c>
      <c r="F83" s="62" t="s">
        <v>445</v>
      </c>
      <c r="G83" s="16"/>
      <c r="H83" s="20"/>
      <c r="I83" s="20"/>
      <c r="J83" s="186" t="s">
        <v>452</v>
      </c>
      <c r="K83" s="21">
        <v>45061.545185185183</v>
      </c>
      <c r="L83" s="20" t="s">
        <v>27</v>
      </c>
      <c r="M83" s="20" t="s">
        <v>28</v>
      </c>
    </row>
    <row r="84" spans="1:13">
      <c r="A84" s="63">
        <v>92</v>
      </c>
      <c r="B84" s="19">
        <v>1.6</v>
      </c>
      <c r="C84" s="189" t="s">
        <v>426</v>
      </c>
      <c r="D84" s="25" t="s">
        <v>411</v>
      </c>
      <c r="E84" s="61">
        <v>45069.571099537039</v>
      </c>
      <c r="F84" s="62" t="s">
        <v>517</v>
      </c>
      <c r="G84" s="16"/>
      <c r="H84" s="20"/>
      <c r="I84" s="20"/>
      <c r="J84" s="186" t="s">
        <v>614</v>
      </c>
      <c r="K84" s="21">
        <v>45069.571446759262</v>
      </c>
      <c r="L84" s="20" t="s">
        <v>27</v>
      </c>
      <c r="M84" s="20" t="s">
        <v>28</v>
      </c>
    </row>
    <row r="85" spans="1:13">
      <c r="A85" s="63">
        <v>93</v>
      </c>
      <c r="B85" s="189" t="s">
        <v>616</v>
      </c>
      <c r="C85" s="189" t="s">
        <v>431</v>
      </c>
      <c r="D85" s="25" t="s">
        <v>411</v>
      </c>
      <c r="E85" s="61">
        <v>45092.664652777778</v>
      </c>
      <c r="F85" s="62" t="s">
        <v>452</v>
      </c>
      <c r="G85" s="16"/>
      <c r="H85" s="20"/>
      <c r="I85" s="20"/>
      <c r="J85" s="20" t="s">
        <v>452</v>
      </c>
      <c r="K85" s="21">
        <v>45092.665706018517</v>
      </c>
      <c r="L85" s="20" t="s">
        <v>27</v>
      </c>
      <c r="M85" s="20" t="s">
        <v>28</v>
      </c>
    </row>
    <row r="86" spans="1:13">
      <c r="A86" s="63">
        <v>94</v>
      </c>
      <c r="B86" s="19">
        <v>1.7</v>
      </c>
      <c r="C86" s="189" t="s">
        <v>426</v>
      </c>
      <c r="D86" s="25" t="s">
        <v>411</v>
      </c>
      <c r="E86" s="61">
        <v>45099.443935185183</v>
      </c>
      <c r="F86" s="62" t="s">
        <v>485</v>
      </c>
      <c r="G86" s="16"/>
      <c r="H86" s="20"/>
      <c r="I86" s="20"/>
      <c r="J86" s="186" t="s">
        <v>614</v>
      </c>
      <c r="K86" s="21">
        <v>45099.444004629629</v>
      </c>
      <c r="L86" s="20" t="s">
        <v>27</v>
      </c>
      <c r="M86" s="20" t="s">
        <v>28</v>
      </c>
    </row>
    <row r="87" spans="1:13" ht="26.4">
      <c r="A87" s="63">
        <v>95</v>
      </c>
      <c r="B87" s="189" t="s">
        <v>621</v>
      </c>
      <c r="C87" s="19" t="s">
        <v>527</v>
      </c>
      <c r="D87" s="25" t="s">
        <v>411</v>
      </c>
      <c r="E87" s="61">
        <v>45099.591516203705</v>
      </c>
      <c r="F87" s="62" t="s">
        <v>452</v>
      </c>
      <c r="G87" s="16"/>
      <c r="H87" s="20"/>
      <c r="I87" s="20"/>
      <c r="J87" s="20" t="s">
        <v>452</v>
      </c>
      <c r="K87" s="21">
        <v>45099.591597222221</v>
      </c>
      <c r="L87" s="20" t="s">
        <v>27</v>
      </c>
      <c r="M87" s="20" t="s">
        <v>28</v>
      </c>
    </row>
    <row r="88" spans="1:13">
      <c r="A88" s="63">
        <v>96</v>
      </c>
      <c r="B88" s="189" t="s">
        <v>624</v>
      </c>
      <c r="C88" s="189" t="s">
        <v>623</v>
      </c>
      <c r="D88" s="25" t="s">
        <v>411</v>
      </c>
      <c r="E88" s="61">
        <v>45142.619363425925</v>
      </c>
      <c r="F88" s="62" t="s">
        <v>525</v>
      </c>
      <c r="G88" s="16"/>
      <c r="H88" s="20"/>
      <c r="I88" s="20" t="s">
        <v>26</v>
      </c>
      <c r="J88" s="20" t="s">
        <v>525</v>
      </c>
      <c r="K88" s="21">
        <v>45142.619699074072</v>
      </c>
      <c r="L88" s="20" t="s">
        <v>27</v>
      </c>
      <c r="M88" s="20" t="s">
        <v>28</v>
      </c>
    </row>
    <row r="89" spans="1:13" ht="26.4">
      <c r="A89" s="63">
        <v>97</v>
      </c>
      <c r="B89" s="189" t="s">
        <v>626</v>
      </c>
      <c r="C89" s="189" t="s">
        <v>623</v>
      </c>
      <c r="D89" s="25" t="s">
        <v>627</v>
      </c>
      <c r="E89" s="61">
        <v>45148.550335648149</v>
      </c>
      <c r="F89" s="62" t="s">
        <v>525</v>
      </c>
      <c r="G89" s="16"/>
      <c r="H89" s="20"/>
      <c r="I89" s="20" t="s">
        <v>26</v>
      </c>
      <c r="J89" s="186" t="s">
        <v>445</v>
      </c>
      <c r="K89" s="21">
        <v>45170.674120370371</v>
      </c>
      <c r="L89" s="20" t="s">
        <v>20</v>
      </c>
      <c r="M89" s="20" t="s">
        <v>28</v>
      </c>
    </row>
    <row r="90" spans="1:13" ht="52.8">
      <c r="A90" s="63">
        <v>98</v>
      </c>
      <c r="B90" s="189" t="s">
        <v>629</v>
      </c>
      <c r="C90" s="19" t="s">
        <v>527</v>
      </c>
      <c r="D90" s="25" t="s">
        <v>630</v>
      </c>
      <c r="E90" s="61">
        <v>45169.539629629631</v>
      </c>
      <c r="F90" s="62" t="s">
        <v>525</v>
      </c>
      <c r="G90" s="25" t="s">
        <v>474</v>
      </c>
      <c r="H90" s="20"/>
      <c r="I90" s="20" t="s">
        <v>26</v>
      </c>
      <c r="J90" s="20" t="s">
        <v>452</v>
      </c>
      <c r="K90" s="21">
        <v>45170.620578703703</v>
      </c>
      <c r="L90" s="20" t="s">
        <v>20</v>
      </c>
      <c r="M90" s="20" t="s">
        <v>28</v>
      </c>
    </row>
    <row r="91" spans="1:13" ht="26.4">
      <c r="A91" s="63">
        <v>99</v>
      </c>
      <c r="B91" s="189" t="s">
        <v>629</v>
      </c>
      <c r="C91" s="19" t="s">
        <v>527</v>
      </c>
      <c r="D91" s="25" t="s">
        <v>631</v>
      </c>
      <c r="E91" s="61">
        <v>45169.541365740741</v>
      </c>
      <c r="F91" s="62" t="s">
        <v>525</v>
      </c>
      <c r="G91" s="25" t="s">
        <v>474</v>
      </c>
      <c r="H91" s="20"/>
      <c r="I91" s="20" t="s">
        <v>26</v>
      </c>
      <c r="J91" s="20" t="s">
        <v>452</v>
      </c>
      <c r="K91" s="21">
        <v>45170.621979166666</v>
      </c>
      <c r="L91" s="186" t="s">
        <v>20</v>
      </c>
      <c r="M91" s="20" t="s">
        <v>28</v>
      </c>
    </row>
    <row r="92" spans="1:13" ht="39.6">
      <c r="A92" s="63">
        <v>100</v>
      </c>
      <c r="B92" s="189" t="s">
        <v>629</v>
      </c>
      <c r="C92" s="19" t="s">
        <v>527</v>
      </c>
      <c r="D92" s="25" t="s">
        <v>632</v>
      </c>
      <c r="E92" s="61">
        <v>45169.542256944442</v>
      </c>
      <c r="F92" s="62" t="s">
        <v>525</v>
      </c>
      <c r="G92" s="25" t="s">
        <v>474</v>
      </c>
      <c r="H92" s="20"/>
      <c r="I92" s="20" t="s">
        <v>26</v>
      </c>
      <c r="J92" s="20" t="s">
        <v>452</v>
      </c>
      <c r="K92" s="21">
        <v>45170.646701388891</v>
      </c>
      <c r="L92" s="20" t="s">
        <v>20</v>
      </c>
      <c r="M92" s="20" t="s">
        <v>28</v>
      </c>
    </row>
    <row r="93" spans="1:13" ht="52.8">
      <c r="A93" s="63">
        <v>101</v>
      </c>
      <c r="B93" s="189" t="s">
        <v>635</v>
      </c>
      <c r="C93" s="189" t="s">
        <v>634</v>
      </c>
      <c r="D93" s="25" t="s">
        <v>633</v>
      </c>
      <c r="E93" s="61">
        <v>45169.546354166669</v>
      </c>
      <c r="F93" s="62" t="s">
        <v>525</v>
      </c>
      <c r="G93" s="25" t="s">
        <v>460</v>
      </c>
      <c r="H93" s="20">
        <v>819347</v>
      </c>
      <c r="I93" s="20" t="s">
        <v>26</v>
      </c>
      <c r="J93" s="186" t="s">
        <v>452</v>
      </c>
      <c r="K93" s="21"/>
      <c r="L93" s="20" t="s">
        <v>21</v>
      </c>
      <c r="M93" s="20" t="s">
        <v>28</v>
      </c>
    </row>
    <row r="94" spans="1:13">
      <c r="A94" s="63">
        <v>102</v>
      </c>
      <c r="B94" s="189" t="s">
        <v>635</v>
      </c>
      <c r="C94" s="189" t="s">
        <v>634</v>
      </c>
      <c r="D94" s="25" t="s">
        <v>636</v>
      </c>
      <c r="E94" s="61">
        <v>45169.551087962966</v>
      </c>
      <c r="F94" s="62" t="s">
        <v>525</v>
      </c>
      <c r="G94" s="16"/>
      <c r="H94" s="20"/>
      <c r="I94" s="20" t="s">
        <v>26</v>
      </c>
      <c r="J94" s="186" t="s">
        <v>445</v>
      </c>
      <c r="K94" s="21">
        <v>45170.674120370371</v>
      </c>
      <c r="L94" s="20" t="s">
        <v>20</v>
      </c>
      <c r="M94" s="20" t="s">
        <v>28</v>
      </c>
    </row>
    <row r="95" spans="1:13" ht="26.4">
      <c r="A95" s="63">
        <v>103</v>
      </c>
      <c r="B95" s="189" t="s">
        <v>639</v>
      </c>
      <c r="C95" s="19" t="s">
        <v>527</v>
      </c>
      <c r="D95" s="25" t="s">
        <v>411</v>
      </c>
      <c r="E95" s="61">
        <v>45170.677118055559</v>
      </c>
      <c r="F95" s="62" t="s">
        <v>525</v>
      </c>
      <c r="G95" s="16"/>
      <c r="H95" s="20"/>
      <c r="I95" s="20" t="s">
        <v>26</v>
      </c>
      <c r="J95" s="20" t="s">
        <v>525</v>
      </c>
      <c r="K95" s="21">
        <v>45170.677199074074</v>
      </c>
      <c r="L95" s="20" t="s">
        <v>27</v>
      </c>
      <c r="M95" s="20" t="s">
        <v>28</v>
      </c>
    </row>
    <row r="96" spans="1:13">
      <c r="A96" s="63">
        <v>104</v>
      </c>
      <c r="B96" s="19">
        <v>1.8</v>
      </c>
      <c r="C96" s="189" t="s">
        <v>426</v>
      </c>
      <c r="D96" s="25" t="s">
        <v>411</v>
      </c>
      <c r="E96" s="61">
        <v>45179.45894675926</v>
      </c>
      <c r="F96" s="62" t="s">
        <v>485</v>
      </c>
      <c r="G96" s="16"/>
      <c r="H96" s="20"/>
      <c r="I96" s="20"/>
      <c r="J96" s="186" t="s">
        <v>614</v>
      </c>
      <c r="K96" s="21">
        <v>45179.459027777775</v>
      </c>
      <c r="L96" s="20" t="s">
        <v>27</v>
      </c>
      <c r="M96" s="20" t="s">
        <v>28</v>
      </c>
    </row>
    <row r="97" spans="1:13" ht="26.4">
      <c r="A97" s="63">
        <v>105</v>
      </c>
      <c r="B97" s="189" t="s">
        <v>643</v>
      </c>
      <c r="C97" s="189" t="s">
        <v>634</v>
      </c>
      <c r="D97" s="25" t="s">
        <v>645</v>
      </c>
      <c r="E97" s="61">
        <v>45226.406851851854</v>
      </c>
      <c r="F97" s="62" t="s">
        <v>445</v>
      </c>
      <c r="G97" s="16"/>
      <c r="H97" s="20"/>
      <c r="I97" s="20" t="s">
        <v>26</v>
      </c>
      <c r="J97" s="186" t="s">
        <v>452</v>
      </c>
      <c r="K97" s="21">
        <v>45226.407118055555</v>
      </c>
      <c r="L97" s="20" t="s">
        <v>20</v>
      </c>
      <c r="M97" s="20" t="s">
        <v>28</v>
      </c>
    </row>
    <row r="98" spans="1:13" ht="26.4">
      <c r="A98" s="63">
        <v>106</v>
      </c>
      <c r="B98" s="189" t="s">
        <v>648</v>
      </c>
      <c r="C98" s="19" t="s">
        <v>527</v>
      </c>
      <c r="D98" s="25" t="s">
        <v>411</v>
      </c>
      <c r="E98" s="61">
        <v>45316.508402777778</v>
      </c>
      <c r="F98" s="62" t="s">
        <v>649</v>
      </c>
      <c r="G98" s="16"/>
      <c r="H98" s="20"/>
      <c r="I98" s="20" t="s">
        <v>26</v>
      </c>
      <c r="J98" s="20" t="s">
        <v>649</v>
      </c>
      <c r="K98" s="21">
        <v>45316.508506944447</v>
      </c>
      <c r="L98" s="20" t="s">
        <v>27</v>
      </c>
      <c r="M98" s="20" t="s">
        <v>28</v>
      </c>
    </row>
    <row r="99" spans="1:13">
      <c r="A99" s="63">
        <v>107</v>
      </c>
      <c r="B99" s="19" t="s">
        <v>650</v>
      </c>
      <c r="C99" s="189" t="s">
        <v>634</v>
      </c>
      <c r="D99" s="25" t="s">
        <v>411</v>
      </c>
      <c r="E99" s="61">
        <v>45334.491342592592</v>
      </c>
      <c r="F99" s="62" t="s">
        <v>649</v>
      </c>
      <c r="G99" s="16"/>
      <c r="H99" s="20"/>
      <c r="I99" s="20" t="s">
        <v>26</v>
      </c>
      <c r="J99" s="186" t="s">
        <v>452</v>
      </c>
      <c r="K99" s="21">
        <v>45334.491400462961</v>
      </c>
      <c r="L99" s="20" t="s">
        <v>27</v>
      </c>
      <c r="M99" s="20" t="s">
        <v>28</v>
      </c>
    </row>
    <row r="100" spans="1:13">
      <c r="A100" s="63">
        <v>108</v>
      </c>
      <c r="B100" s="19">
        <v>1.9</v>
      </c>
      <c r="C100" s="189" t="s">
        <v>426</v>
      </c>
      <c r="D100" s="25" t="s">
        <v>411</v>
      </c>
      <c r="E100" s="61">
        <v>45350</v>
      </c>
      <c r="F100" s="49" t="s">
        <v>517</v>
      </c>
      <c r="G100" s="16"/>
      <c r="H100" s="20"/>
      <c r="I100" s="20"/>
      <c r="J100" s="186" t="s">
        <v>521</v>
      </c>
      <c r="K100" s="61">
        <v>45350</v>
      </c>
      <c r="L100" s="20" t="s">
        <v>27</v>
      </c>
      <c r="M100" s="20" t="s">
        <v>28</v>
      </c>
    </row>
    <row r="101" spans="1:13" ht="26.4">
      <c r="A101" s="63">
        <v>109</v>
      </c>
      <c r="B101" s="189" t="s">
        <v>654</v>
      </c>
      <c r="C101" s="189" t="s">
        <v>634</v>
      </c>
      <c r="D101" s="25" t="s">
        <v>656</v>
      </c>
      <c r="E101" s="61">
        <v>45379.434525462966</v>
      </c>
      <c r="F101" s="62" t="s">
        <v>445</v>
      </c>
      <c r="G101" s="16"/>
      <c r="H101" s="20"/>
      <c r="I101" s="20"/>
      <c r="J101" s="186" t="s">
        <v>452</v>
      </c>
      <c r="K101" s="21">
        <v>45379.434664351851</v>
      </c>
      <c r="L101" s="20" t="s">
        <v>21</v>
      </c>
      <c r="M101" s="20" t="s">
        <v>28</v>
      </c>
    </row>
    <row r="102" spans="1:13" ht="26.4">
      <c r="A102" s="63">
        <v>110</v>
      </c>
      <c r="B102" s="189" t="s">
        <v>657</v>
      </c>
      <c r="C102" s="19" t="s">
        <v>527</v>
      </c>
      <c r="D102" s="25" t="s">
        <v>411</v>
      </c>
      <c r="E102" s="61">
        <v>45386.553472222222</v>
      </c>
      <c r="F102" s="62" t="s">
        <v>649</v>
      </c>
      <c r="G102" s="16"/>
      <c r="H102" s="20"/>
      <c r="I102" s="20"/>
      <c r="J102" s="186" t="s">
        <v>452</v>
      </c>
      <c r="K102" s="21">
        <v>45386.553564814814</v>
      </c>
      <c r="L102" s="20" t="s">
        <v>27</v>
      </c>
      <c r="M102" s="20" t="s">
        <v>28</v>
      </c>
    </row>
    <row r="103" spans="1:13">
      <c r="A103" s="63">
        <v>111</v>
      </c>
      <c r="B103" s="19"/>
      <c r="C103" s="19"/>
      <c r="D103" s="16"/>
      <c r="E103" s="61"/>
      <c r="F103" s="62"/>
      <c r="G103" s="16"/>
      <c r="H103" s="20"/>
      <c r="I103" s="20"/>
      <c r="J103" s="20"/>
      <c r="K103" s="21"/>
      <c r="L103" s="20"/>
      <c r="M103" s="20"/>
    </row>
    <row r="104" spans="1:13">
      <c r="A104" s="63">
        <v>112</v>
      </c>
      <c r="B104" s="19"/>
      <c r="C104" s="19"/>
      <c r="D104" s="16"/>
      <c r="E104" s="61"/>
      <c r="F104" s="62"/>
      <c r="G104" s="16"/>
      <c r="H104" s="20"/>
      <c r="I104" s="20"/>
      <c r="J104" s="20"/>
      <c r="K104" s="21"/>
      <c r="L104" s="20"/>
      <c r="M104" s="20"/>
    </row>
    <row r="105" spans="1:13">
      <c r="A105" s="63">
        <v>113</v>
      </c>
      <c r="B105" s="19"/>
      <c r="C105" s="19"/>
      <c r="D105" s="16"/>
      <c r="E105" s="61"/>
      <c r="F105" s="62"/>
      <c r="G105" s="16"/>
      <c r="H105" s="20"/>
      <c r="I105" s="20"/>
      <c r="J105" s="20"/>
      <c r="K105" s="21"/>
      <c r="L105" s="20"/>
      <c r="M105" s="20"/>
    </row>
    <row r="106" spans="1:13">
      <c r="A106" s="63">
        <v>114</v>
      </c>
      <c r="B106" s="19"/>
      <c r="C106" s="19"/>
      <c r="D106" s="16"/>
      <c r="E106" s="61"/>
      <c r="F106" s="62"/>
      <c r="G106" s="16"/>
      <c r="H106" s="20"/>
      <c r="I106" s="20"/>
      <c r="J106" s="20"/>
      <c r="K106" s="21"/>
      <c r="L106" s="20"/>
      <c r="M106" s="20"/>
    </row>
    <row r="107" spans="1:13">
      <c r="A107" s="63">
        <v>115</v>
      </c>
      <c r="B107" s="19"/>
      <c r="C107" s="19"/>
      <c r="D107" s="16"/>
      <c r="E107" s="61"/>
      <c r="F107" s="62"/>
      <c r="G107" s="16"/>
      <c r="H107" s="20"/>
      <c r="I107" s="20"/>
      <c r="J107" s="20"/>
      <c r="K107" s="21"/>
      <c r="L107" s="20"/>
      <c r="M107" s="20"/>
    </row>
    <row r="108" spans="1:13">
      <c r="A108" s="63">
        <v>116</v>
      </c>
      <c r="B108" s="19"/>
      <c r="C108" s="19"/>
      <c r="D108" s="16"/>
      <c r="E108" s="61"/>
      <c r="F108" s="62"/>
      <c r="G108" s="16"/>
      <c r="H108" s="20"/>
      <c r="I108" s="20"/>
      <c r="J108" s="20"/>
      <c r="K108" s="21"/>
      <c r="L108" s="20"/>
      <c r="M108" s="20"/>
    </row>
    <row r="109" spans="1:13">
      <c r="A109" s="63">
        <v>117</v>
      </c>
      <c r="B109" s="19"/>
      <c r="C109" s="19"/>
      <c r="D109" s="16"/>
      <c r="E109" s="61"/>
      <c r="F109" s="62"/>
      <c r="G109" s="16"/>
      <c r="H109" s="20"/>
      <c r="I109" s="20"/>
      <c r="J109" s="20"/>
      <c r="K109" s="21"/>
      <c r="L109" s="20"/>
      <c r="M109" s="20"/>
    </row>
    <row r="110" spans="1:13">
      <c r="A110" s="63">
        <v>118</v>
      </c>
      <c r="B110" s="19"/>
      <c r="C110" s="19"/>
      <c r="D110" s="16"/>
      <c r="E110" s="61"/>
      <c r="F110" s="62"/>
      <c r="G110" s="16"/>
      <c r="H110" s="20"/>
      <c r="I110" s="20"/>
      <c r="J110" s="20"/>
      <c r="K110" s="21"/>
      <c r="L110" s="20"/>
      <c r="M110" s="20"/>
    </row>
    <row r="111" spans="1:13">
      <c r="A111" s="63">
        <v>119</v>
      </c>
      <c r="B111" s="19"/>
      <c r="C111" s="19"/>
      <c r="D111" s="16"/>
      <c r="E111" s="61"/>
      <c r="F111" s="62"/>
      <c r="G111" s="16"/>
      <c r="H111" s="20"/>
      <c r="I111" s="20"/>
      <c r="J111" s="20"/>
      <c r="K111" s="21"/>
      <c r="L111" s="20"/>
      <c r="M111" s="20"/>
    </row>
    <row r="112" spans="1:13">
      <c r="A112" s="63">
        <v>120</v>
      </c>
      <c r="B112" s="19"/>
      <c r="C112" s="19"/>
      <c r="D112" s="16"/>
      <c r="E112" s="61"/>
      <c r="F112" s="62"/>
      <c r="G112" s="16"/>
      <c r="H112" s="20"/>
      <c r="I112" s="20"/>
      <c r="J112" s="20"/>
      <c r="K112" s="21"/>
      <c r="L112" s="20"/>
      <c r="M112" s="20"/>
    </row>
    <row r="113" spans="1:13">
      <c r="A113" s="63">
        <v>121</v>
      </c>
      <c r="B113" s="19"/>
      <c r="C113" s="19"/>
      <c r="D113" s="16"/>
      <c r="E113" s="61"/>
      <c r="F113" s="62"/>
      <c r="G113" s="16"/>
      <c r="H113" s="20"/>
      <c r="I113" s="20"/>
      <c r="J113" s="20"/>
      <c r="K113" s="21"/>
      <c r="L113" s="20"/>
      <c r="M113" s="20"/>
    </row>
    <row r="114" spans="1:13">
      <c r="A114" s="63">
        <v>122</v>
      </c>
      <c r="B114" s="19"/>
      <c r="C114" s="19"/>
      <c r="D114" s="16"/>
      <c r="E114" s="61"/>
      <c r="F114" s="62"/>
      <c r="G114" s="16"/>
      <c r="H114" s="20"/>
      <c r="I114" s="20"/>
      <c r="J114" s="20"/>
      <c r="K114" s="21"/>
      <c r="L114" s="20"/>
      <c r="M114" s="20"/>
    </row>
    <row r="115" spans="1:13">
      <c r="A115" s="63">
        <v>123</v>
      </c>
      <c r="B115" s="19"/>
      <c r="C115" s="19"/>
      <c r="D115" s="16"/>
      <c r="E115" s="61"/>
      <c r="F115" s="62"/>
      <c r="G115" s="16"/>
      <c r="H115" s="20"/>
      <c r="I115" s="20"/>
      <c r="J115" s="20"/>
      <c r="K115" s="21"/>
      <c r="L115" s="20"/>
      <c r="M115" s="20"/>
    </row>
    <row r="116" spans="1:13">
      <c r="A116" s="63">
        <v>124</v>
      </c>
      <c r="B116" s="19"/>
      <c r="C116" s="19"/>
      <c r="D116" s="16"/>
      <c r="E116" s="61"/>
      <c r="F116" s="62"/>
      <c r="G116" s="16"/>
      <c r="H116" s="20"/>
      <c r="I116" s="20"/>
      <c r="J116" s="20"/>
      <c r="K116" s="21"/>
      <c r="L116" s="20"/>
      <c r="M116" s="20"/>
    </row>
    <row r="117" spans="1:13">
      <c r="A117" s="63">
        <v>125</v>
      </c>
      <c r="B117" s="19"/>
      <c r="C117" s="19"/>
      <c r="D117" s="16"/>
      <c r="E117" s="61"/>
      <c r="F117" s="62"/>
      <c r="G117" s="16"/>
      <c r="H117" s="20"/>
      <c r="I117" s="20"/>
      <c r="J117" s="20"/>
      <c r="K117" s="21"/>
      <c r="L117" s="20"/>
      <c r="M117" s="20"/>
    </row>
    <row r="118" spans="1:13">
      <c r="A118" s="63">
        <v>126</v>
      </c>
      <c r="B118" s="19"/>
      <c r="C118" s="19"/>
      <c r="D118" s="16"/>
      <c r="E118" s="61"/>
      <c r="F118" s="62"/>
      <c r="G118" s="16"/>
      <c r="H118" s="20"/>
      <c r="I118" s="20"/>
      <c r="J118" s="20"/>
      <c r="K118" s="21"/>
      <c r="L118" s="20"/>
      <c r="M118" s="20"/>
    </row>
    <row r="119" spans="1:13">
      <c r="A119" s="63">
        <v>127</v>
      </c>
      <c r="B119" s="19"/>
      <c r="C119" s="19"/>
      <c r="D119" s="16"/>
      <c r="E119" s="61"/>
      <c r="F119" s="62"/>
      <c r="G119" s="16"/>
      <c r="H119" s="20"/>
      <c r="I119" s="20"/>
      <c r="J119" s="20"/>
      <c r="K119" s="21"/>
      <c r="L119" s="20"/>
      <c r="M119" s="20"/>
    </row>
    <row r="120" spans="1:13">
      <c r="A120" s="63">
        <v>128</v>
      </c>
      <c r="B120" s="19"/>
      <c r="C120" s="19"/>
      <c r="D120" s="16"/>
      <c r="E120" s="61"/>
      <c r="F120" s="62"/>
      <c r="G120" s="16"/>
      <c r="H120" s="20"/>
      <c r="I120" s="20"/>
      <c r="J120" s="20"/>
      <c r="K120" s="21"/>
      <c r="L120" s="20"/>
      <c r="M120" s="20"/>
    </row>
    <row r="121" spans="1:13">
      <c r="A121" s="63">
        <v>129</v>
      </c>
      <c r="B121" s="19"/>
      <c r="C121" s="19"/>
      <c r="D121" s="16"/>
      <c r="E121" s="61"/>
      <c r="F121" s="62"/>
      <c r="G121" s="16"/>
      <c r="H121" s="20"/>
      <c r="I121" s="20"/>
      <c r="J121" s="20"/>
      <c r="K121" s="21"/>
      <c r="L121" s="20"/>
      <c r="M121" s="20"/>
    </row>
    <row r="122" spans="1:13">
      <c r="A122" s="63">
        <v>130</v>
      </c>
      <c r="B122" s="19"/>
      <c r="C122" s="19"/>
      <c r="D122" s="16"/>
      <c r="E122" s="61"/>
      <c r="F122" s="62"/>
      <c r="G122" s="16"/>
      <c r="H122" s="20"/>
      <c r="I122" s="20"/>
      <c r="J122" s="20"/>
      <c r="K122" s="21"/>
      <c r="L122" s="20"/>
      <c r="M122" s="20"/>
    </row>
    <row r="123" spans="1:13">
      <c r="A123" s="63">
        <v>131</v>
      </c>
      <c r="B123" s="19"/>
      <c r="C123" s="19"/>
      <c r="D123" s="16"/>
      <c r="E123" s="61"/>
      <c r="F123" s="62"/>
      <c r="G123" s="16"/>
      <c r="H123" s="20"/>
      <c r="I123" s="20"/>
      <c r="J123" s="20"/>
      <c r="K123" s="21"/>
      <c r="L123" s="20"/>
      <c r="M123" s="20"/>
    </row>
    <row r="124" spans="1:13">
      <c r="A124" s="63">
        <v>132</v>
      </c>
      <c r="B124" s="19"/>
      <c r="C124" s="19"/>
      <c r="D124" s="16"/>
      <c r="E124" s="61"/>
      <c r="F124" s="62"/>
      <c r="G124" s="16"/>
      <c r="H124" s="20"/>
      <c r="I124" s="20"/>
      <c r="J124" s="20"/>
      <c r="K124" s="21"/>
      <c r="L124" s="20"/>
      <c r="M124" s="20"/>
    </row>
    <row r="125" spans="1:13">
      <c r="A125" s="63">
        <v>133</v>
      </c>
      <c r="B125" s="19"/>
      <c r="C125" s="19"/>
      <c r="D125" s="16"/>
      <c r="E125" s="61"/>
      <c r="F125" s="62"/>
      <c r="G125" s="16"/>
      <c r="H125" s="20"/>
      <c r="I125" s="20"/>
      <c r="J125" s="20"/>
      <c r="K125" s="21"/>
      <c r="L125" s="20"/>
      <c r="M125" s="20"/>
    </row>
    <row r="126" spans="1:13">
      <c r="A126" s="63">
        <v>134</v>
      </c>
      <c r="B126" s="19"/>
      <c r="C126" s="19"/>
      <c r="D126" s="16"/>
      <c r="E126" s="61"/>
      <c r="F126" s="62"/>
      <c r="G126" s="16"/>
      <c r="H126" s="20"/>
      <c r="I126" s="20"/>
      <c r="J126" s="20"/>
      <c r="K126" s="21"/>
      <c r="L126" s="20"/>
      <c r="M126" s="20"/>
    </row>
    <row r="127" spans="1:13">
      <c r="A127" s="63">
        <v>135</v>
      </c>
      <c r="B127" s="19"/>
      <c r="C127" s="19"/>
      <c r="D127" s="16"/>
      <c r="E127" s="61"/>
      <c r="F127" s="62"/>
      <c r="G127" s="16"/>
      <c r="H127" s="20"/>
      <c r="I127" s="20"/>
      <c r="J127" s="20"/>
      <c r="K127" s="21"/>
      <c r="L127" s="20"/>
      <c r="M127" s="20"/>
    </row>
    <row r="128" spans="1:13">
      <c r="A128" s="63">
        <v>136</v>
      </c>
      <c r="B128" s="19"/>
      <c r="C128" s="19"/>
      <c r="D128" s="16"/>
      <c r="E128" s="61"/>
      <c r="F128" s="62"/>
      <c r="G128" s="16"/>
      <c r="H128" s="20"/>
      <c r="I128" s="20"/>
      <c r="J128" s="20"/>
      <c r="K128" s="21"/>
      <c r="L128" s="20"/>
      <c r="M128" s="20"/>
    </row>
    <row r="129" spans="1:13">
      <c r="A129" s="63">
        <v>137</v>
      </c>
      <c r="B129" s="19"/>
      <c r="C129" s="19"/>
      <c r="D129" s="16"/>
      <c r="E129" s="61"/>
      <c r="F129" s="62"/>
      <c r="G129" s="16"/>
      <c r="H129" s="20"/>
      <c r="I129" s="20"/>
      <c r="J129" s="20"/>
      <c r="K129" s="21"/>
      <c r="L129" s="20"/>
      <c r="M129" s="20"/>
    </row>
    <row r="130" spans="1:13">
      <c r="A130" s="63">
        <v>138</v>
      </c>
      <c r="B130" s="19"/>
      <c r="C130" s="19"/>
      <c r="D130" s="16"/>
      <c r="E130" s="61"/>
      <c r="F130" s="62"/>
      <c r="G130" s="16"/>
      <c r="H130" s="20"/>
      <c r="I130" s="20"/>
      <c r="J130" s="20"/>
      <c r="K130" s="21"/>
      <c r="L130" s="20"/>
      <c r="M130" s="20"/>
    </row>
    <row r="131" spans="1:13">
      <c r="A131" s="63">
        <v>139</v>
      </c>
      <c r="B131" s="19"/>
      <c r="C131" s="19"/>
      <c r="D131" s="16"/>
      <c r="E131" s="61"/>
      <c r="F131" s="62"/>
      <c r="G131" s="16"/>
      <c r="H131" s="20"/>
      <c r="I131" s="20"/>
      <c r="J131" s="20"/>
      <c r="K131" s="21"/>
      <c r="L131" s="20"/>
      <c r="M131" s="20"/>
    </row>
    <row r="132" spans="1:13">
      <c r="A132" s="63">
        <v>140</v>
      </c>
      <c r="B132" s="19"/>
      <c r="C132" s="19"/>
      <c r="D132" s="16"/>
      <c r="E132" s="61"/>
      <c r="F132" s="62"/>
      <c r="G132" s="16"/>
      <c r="H132" s="20"/>
      <c r="I132" s="20"/>
      <c r="J132" s="20"/>
      <c r="K132" s="21"/>
      <c r="L132" s="20"/>
      <c r="M132" s="20"/>
    </row>
    <row r="133" spans="1:13">
      <c r="A133" s="63">
        <v>141</v>
      </c>
      <c r="B133" s="19"/>
      <c r="C133" s="19"/>
      <c r="D133" s="16"/>
      <c r="E133" s="61"/>
      <c r="F133" s="62"/>
      <c r="G133" s="16"/>
      <c r="H133" s="20"/>
      <c r="I133" s="20"/>
      <c r="J133" s="20"/>
      <c r="K133" s="21"/>
      <c r="L133" s="20"/>
      <c r="M133" s="20"/>
    </row>
    <row r="134" spans="1:13">
      <c r="A134" s="63">
        <v>142</v>
      </c>
      <c r="B134" s="19"/>
      <c r="C134" s="19"/>
      <c r="D134" s="16"/>
      <c r="E134" s="61"/>
      <c r="F134" s="62"/>
      <c r="G134" s="16"/>
      <c r="H134" s="20"/>
      <c r="I134" s="20"/>
      <c r="J134" s="20"/>
      <c r="K134" s="21"/>
      <c r="L134" s="20"/>
      <c r="M134" s="20"/>
    </row>
    <row r="135" spans="1:13">
      <c r="A135" s="63">
        <v>143</v>
      </c>
      <c r="B135" s="19"/>
      <c r="C135" s="19"/>
      <c r="D135" s="16"/>
      <c r="E135" s="61"/>
      <c r="F135" s="62"/>
      <c r="G135" s="16"/>
      <c r="H135" s="20"/>
      <c r="I135" s="20"/>
      <c r="J135" s="20"/>
      <c r="K135" s="21"/>
      <c r="L135" s="20"/>
      <c r="M135" s="20"/>
    </row>
    <row r="136" spans="1:13">
      <c r="A136" s="63">
        <v>144</v>
      </c>
      <c r="B136" s="19"/>
      <c r="C136" s="19"/>
      <c r="D136" s="16"/>
      <c r="E136" s="61"/>
      <c r="F136" s="62"/>
      <c r="G136" s="16"/>
      <c r="H136" s="20"/>
      <c r="I136" s="20"/>
      <c r="J136" s="20"/>
      <c r="K136" s="21"/>
      <c r="L136" s="20"/>
      <c r="M136" s="20"/>
    </row>
    <row r="137" spans="1:13">
      <c r="A137" s="63">
        <v>145</v>
      </c>
      <c r="B137" s="19"/>
      <c r="C137" s="19"/>
      <c r="D137" s="16"/>
      <c r="E137" s="61"/>
      <c r="F137" s="62"/>
      <c r="G137" s="16"/>
      <c r="H137" s="20"/>
      <c r="I137" s="20"/>
      <c r="J137" s="20"/>
      <c r="K137" s="21"/>
      <c r="L137" s="20"/>
      <c r="M137" s="20"/>
    </row>
    <row r="138" spans="1:13">
      <c r="A138" s="63">
        <v>146</v>
      </c>
      <c r="B138" s="19"/>
      <c r="C138" s="19"/>
      <c r="D138" s="16"/>
      <c r="E138" s="61"/>
      <c r="F138" s="62"/>
      <c r="G138" s="16"/>
      <c r="H138" s="20"/>
      <c r="I138" s="20"/>
      <c r="J138" s="20"/>
      <c r="K138" s="21"/>
      <c r="L138" s="20"/>
      <c r="M138" s="20"/>
    </row>
    <row r="139" spans="1:13">
      <c r="A139" s="63">
        <v>147</v>
      </c>
      <c r="B139" s="19"/>
      <c r="C139" s="19"/>
      <c r="D139" s="16"/>
      <c r="E139" s="61"/>
      <c r="F139" s="62"/>
      <c r="G139" s="16"/>
      <c r="H139" s="20"/>
      <c r="I139" s="20"/>
      <c r="J139" s="20"/>
      <c r="K139" s="21"/>
      <c r="L139" s="20"/>
      <c r="M139" s="20"/>
    </row>
    <row r="140" spans="1:13">
      <c r="A140" s="63">
        <v>148</v>
      </c>
      <c r="B140" s="19"/>
      <c r="C140" s="19"/>
      <c r="D140" s="16"/>
      <c r="E140" s="61"/>
      <c r="F140" s="62"/>
      <c r="G140" s="16"/>
      <c r="H140" s="20"/>
      <c r="I140" s="20"/>
      <c r="J140" s="20"/>
      <c r="K140" s="21"/>
      <c r="L140" s="20"/>
      <c r="M140" s="20"/>
    </row>
    <row r="141" spans="1:13">
      <c r="A141" s="63">
        <v>149</v>
      </c>
      <c r="B141" s="19"/>
      <c r="C141" s="19"/>
      <c r="D141" s="16"/>
      <c r="E141" s="61"/>
      <c r="F141" s="62"/>
      <c r="G141" s="16"/>
      <c r="H141" s="20"/>
      <c r="I141" s="20"/>
      <c r="J141" s="20"/>
      <c r="K141" s="21"/>
      <c r="L141" s="20"/>
      <c r="M141" s="20"/>
    </row>
    <row r="142" spans="1:13">
      <c r="A142" s="63">
        <v>150</v>
      </c>
      <c r="B142" s="19"/>
      <c r="C142" s="19"/>
      <c r="D142" s="16"/>
      <c r="E142" s="61"/>
      <c r="F142" s="62"/>
      <c r="G142" s="16"/>
      <c r="H142" s="20"/>
      <c r="I142" s="20"/>
      <c r="J142" s="20"/>
      <c r="K142" s="21"/>
      <c r="L142" s="20"/>
      <c r="M142" s="20"/>
    </row>
    <row r="143" spans="1:13">
      <c r="A143" s="63">
        <v>151</v>
      </c>
      <c r="B143" s="19"/>
      <c r="C143" s="19"/>
      <c r="D143" s="16"/>
      <c r="E143" s="61"/>
      <c r="F143" s="62"/>
      <c r="G143" s="16"/>
      <c r="H143" s="20"/>
      <c r="I143" s="20"/>
      <c r="J143" s="20"/>
      <c r="K143" s="21"/>
      <c r="L143" s="20"/>
      <c r="M143" s="20"/>
    </row>
    <row r="144" spans="1:13">
      <c r="A144" s="63">
        <v>152</v>
      </c>
      <c r="B144" s="19"/>
      <c r="C144" s="19"/>
      <c r="D144" s="16"/>
      <c r="E144" s="61"/>
      <c r="F144" s="62"/>
      <c r="G144" s="16"/>
      <c r="H144" s="20"/>
      <c r="I144" s="20"/>
      <c r="J144" s="20"/>
      <c r="K144" s="21"/>
      <c r="L144" s="20"/>
      <c r="M144" s="20"/>
    </row>
    <row r="145" spans="1:13">
      <c r="A145" s="63">
        <v>153</v>
      </c>
      <c r="B145" s="19"/>
      <c r="C145" s="19"/>
      <c r="D145" s="16"/>
      <c r="E145" s="61"/>
      <c r="F145" s="62"/>
      <c r="G145" s="16"/>
      <c r="H145" s="20"/>
      <c r="I145" s="20"/>
      <c r="J145" s="20"/>
      <c r="K145" s="21"/>
      <c r="L145" s="20"/>
      <c r="M145" s="20"/>
    </row>
    <row r="146" spans="1:13">
      <c r="A146" s="63">
        <v>154</v>
      </c>
      <c r="B146" s="19"/>
      <c r="C146" s="19"/>
      <c r="D146" s="16"/>
      <c r="E146" s="61"/>
      <c r="F146" s="62"/>
      <c r="G146" s="16"/>
      <c r="H146" s="20"/>
      <c r="I146" s="20"/>
      <c r="J146" s="20"/>
      <c r="K146" s="21"/>
      <c r="L146" s="20"/>
      <c r="M146" s="20"/>
    </row>
    <row r="147" spans="1:13">
      <c r="A147" s="63">
        <v>155</v>
      </c>
      <c r="B147" s="19"/>
      <c r="C147" s="19"/>
      <c r="D147" s="16"/>
      <c r="E147" s="61"/>
      <c r="F147" s="62"/>
      <c r="G147" s="16"/>
      <c r="H147" s="20"/>
      <c r="I147" s="20"/>
      <c r="J147" s="20"/>
      <c r="K147" s="21"/>
      <c r="L147" s="20"/>
      <c r="M147" s="20"/>
    </row>
    <row r="148" spans="1:13">
      <c r="A148" s="63">
        <v>156</v>
      </c>
      <c r="B148" s="19"/>
      <c r="C148" s="19"/>
      <c r="D148" s="16"/>
      <c r="E148" s="61"/>
      <c r="F148" s="62"/>
      <c r="G148" s="16"/>
      <c r="H148" s="20"/>
      <c r="I148" s="20"/>
      <c r="J148" s="20"/>
      <c r="K148" s="21"/>
      <c r="L148" s="20"/>
      <c r="M148" s="20"/>
    </row>
    <row r="149" spans="1:13">
      <c r="A149" s="63">
        <v>157</v>
      </c>
      <c r="B149" s="19"/>
      <c r="C149" s="19"/>
      <c r="D149" s="16"/>
      <c r="E149" s="61"/>
      <c r="F149" s="62"/>
      <c r="G149" s="16"/>
      <c r="H149" s="20"/>
      <c r="I149" s="20"/>
      <c r="J149" s="20"/>
      <c r="K149" s="21"/>
      <c r="L149" s="20"/>
      <c r="M149" s="20"/>
    </row>
    <row r="150" spans="1:13">
      <c r="A150" s="63">
        <v>158</v>
      </c>
      <c r="B150" s="19"/>
      <c r="C150" s="19"/>
      <c r="D150" s="16"/>
      <c r="E150" s="61"/>
      <c r="F150" s="62"/>
      <c r="G150" s="16"/>
      <c r="H150" s="20"/>
      <c r="I150" s="20"/>
      <c r="J150" s="20"/>
      <c r="K150" s="21"/>
      <c r="L150" s="20"/>
      <c r="M150" s="20"/>
    </row>
    <row r="151" spans="1:13">
      <c r="A151" s="63">
        <v>159</v>
      </c>
      <c r="B151" s="19"/>
      <c r="C151" s="19"/>
      <c r="D151" s="16"/>
      <c r="E151" s="61"/>
      <c r="F151" s="62"/>
      <c r="G151" s="16"/>
      <c r="H151" s="20"/>
      <c r="I151" s="20"/>
      <c r="J151" s="20"/>
      <c r="K151" s="21"/>
      <c r="L151" s="20"/>
      <c r="M151" s="20"/>
    </row>
    <row r="152" spans="1:13">
      <c r="A152" s="63">
        <v>160</v>
      </c>
      <c r="B152" s="19"/>
      <c r="C152" s="19"/>
      <c r="D152" s="16"/>
      <c r="E152" s="61"/>
      <c r="F152" s="62"/>
      <c r="G152" s="16"/>
      <c r="H152" s="20"/>
      <c r="I152" s="20"/>
      <c r="J152" s="20"/>
      <c r="K152" s="21"/>
      <c r="L152" s="20"/>
      <c r="M152" s="20"/>
    </row>
    <row r="153" spans="1:13">
      <c r="A153" s="63">
        <v>161</v>
      </c>
      <c r="B153" s="19"/>
      <c r="C153" s="19"/>
      <c r="D153" s="16"/>
      <c r="E153" s="61"/>
      <c r="F153" s="62"/>
      <c r="G153" s="16"/>
      <c r="H153" s="20"/>
      <c r="I153" s="20"/>
      <c r="J153" s="20"/>
      <c r="K153" s="21"/>
      <c r="L153" s="20"/>
      <c r="M153" s="20"/>
    </row>
    <row r="154" spans="1:13">
      <c r="A154" s="63">
        <v>162</v>
      </c>
      <c r="B154" s="19"/>
      <c r="C154" s="19"/>
      <c r="D154" s="16"/>
      <c r="E154" s="61"/>
      <c r="F154" s="62"/>
      <c r="G154" s="16"/>
      <c r="H154" s="20"/>
      <c r="I154" s="20"/>
      <c r="J154" s="20"/>
      <c r="K154" s="21"/>
      <c r="L154" s="20"/>
      <c r="M154" s="20"/>
    </row>
    <row r="155" spans="1:13">
      <c r="A155" s="63">
        <v>163</v>
      </c>
      <c r="B155" s="19"/>
      <c r="C155" s="19"/>
      <c r="D155" s="16"/>
      <c r="E155" s="61"/>
      <c r="F155" s="62"/>
      <c r="G155" s="16"/>
      <c r="H155" s="20"/>
      <c r="I155" s="20"/>
      <c r="J155" s="20"/>
      <c r="K155" s="21"/>
      <c r="L155" s="20"/>
      <c r="M155" s="20"/>
    </row>
    <row r="156" spans="1:13">
      <c r="A156" s="63">
        <v>164</v>
      </c>
      <c r="B156" s="19"/>
      <c r="C156" s="19"/>
      <c r="D156" s="16"/>
      <c r="E156" s="61"/>
      <c r="F156" s="62"/>
      <c r="G156" s="16"/>
      <c r="H156" s="20"/>
      <c r="I156" s="20"/>
      <c r="J156" s="20"/>
      <c r="K156" s="21"/>
      <c r="L156" s="20"/>
      <c r="M156" s="20"/>
    </row>
    <row r="157" spans="1:13">
      <c r="A157" s="63">
        <v>165</v>
      </c>
      <c r="B157" s="19"/>
      <c r="C157" s="19"/>
      <c r="D157" s="16"/>
      <c r="E157" s="61"/>
      <c r="F157" s="62"/>
      <c r="G157" s="16"/>
      <c r="H157" s="20"/>
      <c r="I157" s="20"/>
      <c r="J157" s="20"/>
      <c r="K157" s="21"/>
      <c r="L157" s="20"/>
      <c r="M157" s="20"/>
    </row>
    <row r="158" spans="1:13">
      <c r="A158" s="63">
        <v>166</v>
      </c>
      <c r="B158" s="19"/>
      <c r="C158" s="19"/>
      <c r="D158" s="16"/>
      <c r="E158" s="61"/>
      <c r="F158" s="62"/>
      <c r="G158" s="16"/>
      <c r="H158" s="20"/>
      <c r="I158" s="20"/>
      <c r="J158" s="20"/>
      <c r="K158" s="21"/>
      <c r="L158" s="20"/>
      <c r="M158" s="20"/>
    </row>
    <row r="159" spans="1:13">
      <c r="A159" s="63">
        <v>167</v>
      </c>
      <c r="B159" s="19"/>
      <c r="C159" s="19"/>
      <c r="D159" s="16"/>
      <c r="E159" s="61"/>
      <c r="F159" s="62"/>
      <c r="G159" s="16"/>
      <c r="H159" s="20"/>
      <c r="I159" s="20"/>
      <c r="J159" s="20"/>
      <c r="K159" s="21"/>
      <c r="L159" s="20"/>
      <c r="M159" s="20"/>
    </row>
    <row r="160" spans="1:13">
      <c r="A160" s="63">
        <v>168</v>
      </c>
      <c r="B160" s="19"/>
      <c r="C160" s="19"/>
      <c r="D160" s="16"/>
      <c r="E160" s="61"/>
      <c r="F160" s="62"/>
      <c r="G160" s="16"/>
      <c r="H160" s="20"/>
      <c r="I160" s="20"/>
      <c r="J160" s="20"/>
      <c r="K160" s="21"/>
      <c r="L160" s="20"/>
      <c r="M160" s="20"/>
    </row>
    <row r="161" spans="1:13">
      <c r="A161" s="63">
        <v>169</v>
      </c>
      <c r="B161" s="19"/>
      <c r="C161" s="19"/>
      <c r="D161" s="16"/>
      <c r="E161" s="61"/>
      <c r="F161" s="62"/>
      <c r="G161" s="16"/>
      <c r="H161" s="20"/>
      <c r="I161" s="20"/>
      <c r="J161" s="20"/>
      <c r="K161" s="21"/>
      <c r="L161" s="20"/>
      <c r="M161" s="20"/>
    </row>
    <row r="162" spans="1:13">
      <c r="A162" s="63">
        <v>170</v>
      </c>
      <c r="B162" s="19"/>
      <c r="C162" s="19"/>
      <c r="D162" s="16"/>
      <c r="E162" s="61"/>
      <c r="F162" s="62"/>
      <c r="G162" s="16"/>
      <c r="H162" s="20"/>
      <c r="I162" s="20"/>
      <c r="J162" s="20"/>
      <c r="K162" s="21"/>
      <c r="L162" s="20"/>
      <c r="M162" s="20"/>
    </row>
    <row r="163" spans="1:13">
      <c r="A163" s="63">
        <v>171</v>
      </c>
      <c r="B163" s="19"/>
      <c r="C163" s="19"/>
      <c r="D163" s="16"/>
      <c r="E163" s="61"/>
      <c r="F163" s="62"/>
      <c r="G163" s="16"/>
      <c r="H163" s="20"/>
      <c r="I163" s="20"/>
      <c r="J163" s="20"/>
      <c r="K163" s="21"/>
      <c r="L163" s="20"/>
      <c r="M163" s="20"/>
    </row>
    <row r="164" spans="1:13">
      <c r="A164" s="63">
        <v>172</v>
      </c>
      <c r="B164" s="19"/>
      <c r="C164" s="19"/>
      <c r="D164" s="16"/>
      <c r="E164" s="61"/>
      <c r="F164" s="62"/>
      <c r="G164" s="16"/>
      <c r="H164" s="20"/>
      <c r="I164" s="20"/>
      <c r="J164" s="20"/>
      <c r="K164" s="21"/>
      <c r="L164" s="20"/>
      <c r="M164" s="20"/>
    </row>
    <row r="165" spans="1:13">
      <c r="A165" s="63">
        <v>173</v>
      </c>
      <c r="B165" s="19"/>
      <c r="C165" s="19"/>
      <c r="D165" s="16"/>
      <c r="E165" s="61"/>
      <c r="F165" s="62"/>
      <c r="G165" s="16"/>
      <c r="H165" s="20"/>
      <c r="I165" s="20"/>
      <c r="J165" s="20"/>
      <c r="K165" s="21"/>
      <c r="L165" s="20"/>
      <c r="M165" s="20"/>
    </row>
    <row r="166" spans="1:13">
      <c r="A166" s="63">
        <v>174</v>
      </c>
      <c r="B166" s="19"/>
      <c r="C166" s="19"/>
      <c r="D166" s="16"/>
      <c r="E166" s="61"/>
      <c r="F166" s="62"/>
      <c r="G166" s="16"/>
      <c r="H166" s="20"/>
      <c r="I166" s="20"/>
      <c r="J166" s="20"/>
      <c r="K166" s="21"/>
      <c r="L166" s="20"/>
      <c r="M166" s="20"/>
    </row>
    <row r="167" spans="1:13">
      <c r="A167" s="63">
        <v>175</v>
      </c>
      <c r="B167" s="19"/>
      <c r="C167" s="19"/>
      <c r="D167" s="16"/>
      <c r="E167" s="61"/>
      <c r="F167" s="62"/>
      <c r="G167" s="16"/>
      <c r="H167" s="20"/>
      <c r="I167" s="20"/>
      <c r="J167" s="20"/>
      <c r="K167" s="21"/>
      <c r="L167" s="20"/>
      <c r="M167" s="20"/>
    </row>
    <row r="168" spans="1:13">
      <c r="A168" s="63">
        <v>176</v>
      </c>
      <c r="B168" s="19"/>
      <c r="C168" s="19"/>
      <c r="D168" s="16"/>
      <c r="E168" s="61"/>
      <c r="F168" s="62"/>
      <c r="G168" s="16"/>
      <c r="H168" s="20"/>
      <c r="I168" s="20"/>
      <c r="J168" s="20"/>
      <c r="K168" s="21"/>
      <c r="L168" s="20"/>
      <c r="M168" s="20"/>
    </row>
    <row r="169" spans="1:13">
      <c r="A169" s="63">
        <v>177</v>
      </c>
      <c r="B169" s="19"/>
      <c r="C169" s="19"/>
      <c r="D169" s="16"/>
      <c r="E169" s="61"/>
      <c r="F169" s="62"/>
      <c r="G169" s="16"/>
      <c r="H169" s="20"/>
      <c r="I169" s="20"/>
      <c r="J169" s="20"/>
      <c r="K169" s="21"/>
      <c r="L169" s="20"/>
      <c r="M169" s="20"/>
    </row>
    <row r="170" spans="1:13">
      <c r="A170" s="63">
        <v>178</v>
      </c>
      <c r="B170" s="19"/>
      <c r="C170" s="19"/>
      <c r="D170" s="16"/>
      <c r="E170" s="61"/>
      <c r="F170" s="62"/>
      <c r="G170" s="16"/>
      <c r="H170" s="20"/>
      <c r="I170" s="20"/>
      <c r="J170" s="20"/>
      <c r="K170" s="21"/>
      <c r="L170" s="20"/>
      <c r="M170" s="20"/>
    </row>
    <row r="171" spans="1:13">
      <c r="A171" s="63">
        <v>179</v>
      </c>
      <c r="B171" s="19"/>
      <c r="C171" s="19"/>
      <c r="D171" s="16"/>
      <c r="E171" s="61"/>
      <c r="F171" s="62"/>
      <c r="G171" s="16"/>
      <c r="H171" s="20"/>
      <c r="I171" s="20"/>
      <c r="J171" s="20"/>
      <c r="K171" s="21"/>
      <c r="L171" s="20"/>
      <c r="M171" s="20"/>
    </row>
    <row r="172" spans="1:13">
      <c r="A172" s="63">
        <v>180</v>
      </c>
      <c r="B172" s="19"/>
      <c r="C172" s="19"/>
      <c r="D172" s="16"/>
      <c r="E172" s="61"/>
      <c r="F172" s="62"/>
      <c r="G172" s="16"/>
      <c r="H172" s="20"/>
      <c r="I172" s="20"/>
      <c r="J172" s="20"/>
      <c r="K172" s="21"/>
      <c r="L172" s="20"/>
      <c r="M172" s="20"/>
    </row>
    <row r="173" spans="1:13">
      <c r="A173" s="63">
        <v>181</v>
      </c>
      <c r="B173" s="19"/>
      <c r="C173" s="19"/>
      <c r="D173" s="16"/>
      <c r="E173" s="61"/>
      <c r="F173" s="62"/>
      <c r="G173" s="16"/>
      <c r="H173" s="20"/>
      <c r="I173" s="20"/>
      <c r="J173" s="20"/>
      <c r="K173" s="21"/>
      <c r="L173" s="20"/>
      <c r="M173" s="20"/>
    </row>
    <row r="174" spans="1:13">
      <c r="A174" s="63">
        <v>182</v>
      </c>
      <c r="B174" s="19"/>
      <c r="C174" s="19"/>
      <c r="D174" s="16"/>
      <c r="E174" s="61"/>
      <c r="F174" s="62"/>
      <c r="G174" s="16"/>
      <c r="H174" s="20"/>
      <c r="I174" s="20"/>
      <c r="J174" s="20"/>
      <c r="K174" s="21"/>
      <c r="L174" s="20"/>
      <c r="M174" s="20"/>
    </row>
    <row r="175" spans="1:13">
      <c r="A175" s="63">
        <v>183</v>
      </c>
      <c r="B175" s="19"/>
      <c r="C175" s="19"/>
      <c r="D175" s="16"/>
      <c r="E175" s="61"/>
      <c r="F175" s="62"/>
      <c r="G175" s="16"/>
      <c r="H175" s="20"/>
      <c r="I175" s="20"/>
      <c r="J175" s="20"/>
      <c r="K175" s="21"/>
      <c r="L175" s="20"/>
      <c r="M175" s="20"/>
    </row>
    <row r="176" spans="1:13">
      <c r="A176" s="63">
        <v>184</v>
      </c>
      <c r="B176" s="19"/>
      <c r="C176" s="19"/>
      <c r="D176" s="16"/>
      <c r="E176" s="61"/>
      <c r="F176" s="62"/>
      <c r="G176" s="16"/>
      <c r="H176" s="20"/>
      <c r="I176" s="20"/>
      <c r="J176" s="20"/>
      <c r="K176" s="21"/>
      <c r="L176" s="20"/>
      <c r="M176" s="20"/>
    </row>
    <row r="177" spans="1:13">
      <c r="A177" s="63">
        <v>185</v>
      </c>
      <c r="B177" s="19"/>
      <c r="C177" s="19"/>
      <c r="D177" s="16"/>
      <c r="E177" s="61"/>
      <c r="F177" s="62"/>
      <c r="G177" s="16"/>
      <c r="H177" s="20"/>
      <c r="I177" s="20"/>
      <c r="J177" s="20"/>
      <c r="K177" s="21"/>
      <c r="L177" s="20"/>
      <c r="M177" s="20"/>
    </row>
    <row r="178" spans="1:13">
      <c r="A178" s="63">
        <v>186</v>
      </c>
      <c r="B178" s="19"/>
      <c r="C178" s="19"/>
      <c r="D178" s="16"/>
      <c r="E178" s="61"/>
      <c r="F178" s="62"/>
      <c r="G178" s="16"/>
      <c r="H178" s="20"/>
      <c r="I178" s="20"/>
      <c r="J178" s="20"/>
      <c r="K178" s="21"/>
      <c r="L178" s="20"/>
      <c r="M178" s="20"/>
    </row>
    <row r="179" spans="1:13">
      <c r="A179" s="63">
        <v>187</v>
      </c>
      <c r="B179" s="19"/>
      <c r="C179" s="19"/>
      <c r="D179" s="16"/>
      <c r="E179" s="61"/>
      <c r="F179" s="62"/>
      <c r="G179" s="16"/>
      <c r="H179" s="20"/>
      <c r="I179" s="20"/>
      <c r="J179" s="20"/>
      <c r="K179" s="21"/>
      <c r="L179" s="20"/>
      <c r="M179" s="20"/>
    </row>
    <row r="180" spans="1:13">
      <c r="D180" s="51"/>
    </row>
  </sheetData>
  <autoFilter ref="A4:M179" xr:uid="{00000000-0009-0000-0000-000003000000}"/>
  <dataConsolidate/>
  <mergeCells count="2">
    <mergeCell ref="E3:G3"/>
    <mergeCell ref="A3:C3"/>
  </mergeCells>
  <phoneticPr fontId="48" type="noConversion"/>
  <conditionalFormatting sqref="L180:L65511 P1:P2">
    <cfRule type="cellIs" dxfId="70" priority="75" stopIfTrue="1" operator="equal">
      <formula>"Fixed"</formula>
    </cfRule>
    <cfRule type="cellIs" dxfId="69" priority="76" stopIfTrue="1" operator="equal">
      <formula>"Open"</formula>
    </cfRule>
  </conditionalFormatting>
  <conditionalFormatting sqref="L4">
    <cfRule type="cellIs" dxfId="68" priority="77" stopIfTrue="1" operator="equal">
      <formula>"Open"</formula>
    </cfRule>
    <cfRule type="cellIs" dxfId="67" priority="78" stopIfTrue="1" operator="equal">
      <formula>"Fixed"</formula>
    </cfRule>
  </conditionalFormatting>
  <conditionalFormatting sqref="L6:L12 L14:L45 L47:L54 L60 L80:L179">
    <cfRule type="expression" dxfId="66" priority="79" stopIfTrue="1">
      <formula>AND($M6="Approved",$L6="Fixed")</formula>
    </cfRule>
    <cfRule type="cellIs" dxfId="65" priority="80" stopIfTrue="1" operator="equal">
      <formula>"Fixed"</formula>
    </cfRule>
    <cfRule type="cellIs" dxfId="64" priority="81" stopIfTrue="1" operator="equal">
      <formula>"Open"</formula>
    </cfRule>
  </conditionalFormatting>
  <conditionalFormatting sqref="M19:M45 M47:M54 M60 M80:M179">
    <cfRule type="expression" dxfId="63" priority="82" stopIfTrue="1">
      <formula>OR(M19="Fixed",M19="Approved")</formula>
    </cfRule>
    <cfRule type="cellIs" dxfId="62" priority="83" stopIfTrue="1" operator="equal">
      <formula>"Rejected"</formula>
    </cfRule>
  </conditionalFormatting>
  <conditionalFormatting sqref="A3">
    <cfRule type="expression" dxfId="61" priority="69" stopIfTrue="1">
      <formula>$X$2=1</formula>
    </cfRule>
    <cfRule type="expression" dxfId="60" priority="70" stopIfTrue="1">
      <formula>$Y$2=1</formula>
    </cfRule>
    <cfRule type="expression" dxfId="59" priority="72" stopIfTrue="1">
      <formula>$AA$2=1</formula>
    </cfRule>
  </conditionalFormatting>
  <conditionalFormatting sqref="A3:C3">
    <cfRule type="expression" dxfId="58" priority="71" stopIfTrue="1">
      <formula>$Z$2=1</formula>
    </cfRule>
  </conditionalFormatting>
  <conditionalFormatting sqref="A6:K12 A14:C15 E14:K15 A16:K44 A45:C45 E45:K45 A47:K54 A60:K60 A55:J59 A61:J79 A80:K179">
    <cfRule type="expression" dxfId="57" priority="253" stopIfTrue="1">
      <formula>AND($M6="Approved",OR($L6=$R$1,$L6=$T$1))</formula>
    </cfRule>
  </conditionalFormatting>
  <conditionalFormatting sqref="L5">
    <cfRule type="expression" dxfId="56" priority="52" stopIfTrue="1">
      <formula>AND($M5="Approved",$L5="Fixed")</formula>
    </cfRule>
    <cfRule type="cellIs" dxfId="55" priority="53" stopIfTrue="1" operator="equal">
      <formula>"Fixed"</formula>
    </cfRule>
    <cfRule type="cellIs" dxfId="54" priority="54" stopIfTrue="1" operator="equal">
      <formula>"Open"</formula>
    </cfRule>
  </conditionalFormatting>
  <conditionalFormatting sqref="M5">
    <cfRule type="expression" dxfId="53" priority="55" stopIfTrue="1">
      <formula>OR(M5="Fixed",M5="Approved")</formula>
    </cfRule>
    <cfRule type="cellIs" dxfId="52" priority="56" stopIfTrue="1" operator="equal">
      <formula>"Rejected"</formula>
    </cfRule>
  </conditionalFormatting>
  <conditionalFormatting sqref="A5:B5 D5:K5">
    <cfRule type="expression" dxfId="51" priority="57" stopIfTrue="1">
      <formula>AND($M5="Approved",OR($L5=$R$1,$L5=$T$1))</formula>
    </cfRule>
  </conditionalFormatting>
  <conditionalFormatting sqref="C5">
    <cfRule type="expression" dxfId="50" priority="51" stopIfTrue="1">
      <formula>AND($M5="Approved",OR($L5=$R$1,$L5=$T$1))</formula>
    </cfRule>
  </conditionalFormatting>
  <conditionalFormatting sqref="L13">
    <cfRule type="expression" dxfId="49" priority="45" stopIfTrue="1">
      <formula>AND($M13="Approved",$L13="Fixed")</formula>
    </cfRule>
    <cfRule type="cellIs" dxfId="48" priority="46" stopIfTrue="1" operator="equal">
      <formula>"Fixed"</formula>
    </cfRule>
    <cfRule type="cellIs" dxfId="47" priority="47" stopIfTrue="1" operator="equal">
      <formula>"Open"</formula>
    </cfRule>
  </conditionalFormatting>
  <conditionalFormatting sqref="M13">
    <cfRule type="expression" dxfId="46" priority="48" stopIfTrue="1">
      <formula>OR(M13="Fixed",M13="Approved")</formula>
    </cfRule>
    <cfRule type="cellIs" dxfId="45" priority="49" stopIfTrue="1" operator="equal">
      <formula>"Rejected"</formula>
    </cfRule>
  </conditionalFormatting>
  <conditionalFormatting sqref="A13:K13">
    <cfRule type="expression" dxfId="44" priority="50" stopIfTrue="1">
      <formula>AND($M13="Approved",OR($L13=$R$1,$L13=$T$1))</formula>
    </cfRule>
  </conditionalFormatting>
  <conditionalFormatting sqref="D14">
    <cfRule type="expression" dxfId="43" priority="44" stopIfTrue="1">
      <formula>AND($M14="Approved",OR($L14=$R$1,$L14=$T$1))</formula>
    </cfRule>
  </conditionalFormatting>
  <conditionalFormatting sqref="D15">
    <cfRule type="expression" dxfId="42" priority="43" stopIfTrue="1">
      <formula>AND($M15="Approved",OR($L15=$R$1,$L15=$T$1))</formula>
    </cfRule>
  </conditionalFormatting>
  <conditionalFormatting sqref="M6">
    <cfRule type="expression" dxfId="41" priority="41" stopIfTrue="1">
      <formula>OR(M6="Fixed",M6="Approved")</formula>
    </cfRule>
    <cfRule type="cellIs" dxfId="40" priority="42" stopIfTrue="1" operator="equal">
      <formula>"Rejected"</formula>
    </cfRule>
  </conditionalFormatting>
  <conditionalFormatting sqref="M7">
    <cfRule type="expression" dxfId="39" priority="39" stopIfTrue="1">
      <formula>OR(M7="Fixed",M7="Approved")</formula>
    </cfRule>
    <cfRule type="cellIs" dxfId="38" priority="40" stopIfTrue="1" operator="equal">
      <formula>"Rejected"</formula>
    </cfRule>
  </conditionalFormatting>
  <conditionalFormatting sqref="M8">
    <cfRule type="expression" dxfId="37" priority="37" stopIfTrue="1">
      <formula>OR(M8="Fixed",M8="Approved")</formula>
    </cfRule>
    <cfRule type="cellIs" dxfId="36" priority="38" stopIfTrue="1" operator="equal">
      <formula>"Rejected"</formula>
    </cfRule>
  </conditionalFormatting>
  <conditionalFormatting sqref="M9">
    <cfRule type="expression" dxfId="35" priority="35" stopIfTrue="1">
      <formula>OR(M9="Fixed",M9="Approved")</formula>
    </cfRule>
    <cfRule type="cellIs" dxfId="34" priority="36" stopIfTrue="1" operator="equal">
      <formula>"Rejected"</formula>
    </cfRule>
  </conditionalFormatting>
  <conditionalFormatting sqref="M10">
    <cfRule type="expression" dxfId="33" priority="33" stopIfTrue="1">
      <formula>OR(M10="Fixed",M10="Approved")</formula>
    </cfRule>
    <cfRule type="cellIs" dxfId="32" priority="34" stopIfTrue="1" operator="equal">
      <formula>"Rejected"</formula>
    </cfRule>
  </conditionalFormatting>
  <conditionalFormatting sqref="M11">
    <cfRule type="expression" dxfId="31" priority="31" stopIfTrue="1">
      <formula>OR(M11="Fixed",M11="Approved")</formula>
    </cfRule>
    <cfRule type="cellIs" dxfId="30" priority="32" stopIfTrue="1" operator="equal">
      <formula>"Rejected"</formula>
    </cfRule>
  </conditionalFormatting>
  <conditionalFormatting sqref="M12">
    <cfRule type="expression" dxfId="29" priority="29" stopIfTrue="1">
      <formula>OR(M12="Fixed",M12="Approved")</formula>
    </cfRule>
    <cfRule type="cellIs" dxfId="28" priority="30" stopIfTrue="1" operator="equal">
      <formula>"Rejected"</formula>
    </cfRule>
  </conditionalFormatting>
  <conditionalFormatting sqref="M16">
    <cfRule type="expression" dxfId="27" priority="27" stopIfTrue="1">
      <formula>OR(M16="Fixed",M16="Approved")</formula>
    </cfRule>
    <cfRule type="cellIs" dxfId="26" priority="28" stopIfTrue="1" operator="equal">
      <formula>"Rejected"</formula>
    </cfRule>
  </conditionalFormatting>
  <conditionalFormatting sqref="M17">
    <cfRule type="expression" dxfId="25" priority="25" stopIfTrue="1">
      <formula>OR(M17="Fixed",M17="Approved")</formula>
    </cfRule>
    <cfRule type="cellIs" dxfId="24" priority="26" stopIfTrue="1" operator="equal">
      <formula>"Rejected"</formula>
    </cfRule>
  </conditionalFormatting>
  <conditionalFormatting sqref="M15">
    <cfRule type="expression" dxfId="23" priority="23" stopIfTrue="1">
      <formula>OR(M15="Fixed",M15="Approved")</formula>
    </cfRule>
    <cfRule type="cellIs" dxfId="22" priority="24" stopIfTrue="1" operator="equal">
      <formula>"Rejected"</formula>
    </cfRule>
  </conditionalFormatting>
  <conditionalFormatting sqref="M14">
    <cfRule type="expression" dxfId="21" priority="21" stopIfTrue="1">
      <formula>OR(M14="Fixed",M14="Approved")</formula>
    </cfRule>
    <cfRule type="cellIs" dxfId="20" priority="22" stopIfTrue="1" operator="equal">
      <formula>"Rejected"</formula>
    </cfRule>
  </conditionalFormatting>
  <conditionalFormatting sqref="M18">
    <cfRule type="expression" dxfId="19" priority="19" stopIfTrue="1">
      <formula>OR(M18="Fixed",M18="Approved")</formula>
    </cfRule>
    <cfRule type="cellIs" dxfId="18" priority="20" stopIfTrue="1" operator="equal">
      <formula>"Rejected"</formula>
    </cfRule>
  </conditionalFormatting>
  <conditionalFormatting sqref="L46">
    <cfRule type="expression" dxfId="17" priority="13" stopIfTrue="1">
      <formula>AND($M46="Approved",$L46="Fixed")</formula>
    </cfRule>
    <cfRule type="cellIs" dxfId="16" priority="14" stopIfTrue="1" operator="equal">
      <formula>"Fixed"</formula>
    </cfRule>
    <cfRule type="cellIs" dxfId="15" priority="15" stopIfTrue="1" operator="equal">
      <formula>"Open"</formula>
    </cfRule>
  </conditionalFormatting>
  <conditionalFormatting sqref="M46">
    <cfRule type="expression" dxfId="14" priority="16" stopIfTrue="1">
      <formula>OR(M46="Fixed",M46="Approved")</formula>
    </cfRule>
    <cfRule type="cellIs" dxfId="13" priority="17" stopIfTrue="1" operator="equal">
      <formula>"Rejected"</formula>
    </cfRule>
  </conditionalFormatting>
  <conditionalFormatting sqref="A46:C46 E46:K46">
    <cfRule type="expression" dxfId="12" priority="18" stopIfTrue="1">
      <formula>AND($M46="Approved",OR($L46=$R$1,$L46=$T$1))</formula>
    </cfRule>
  </conditionalFormatting>
  <conditionalFormatting sqref="L55:L59">
    <cfRule type="expression" dxfId="11" priority="7" stopIfTrue="1">
      <formula>AND($M55="Approved",$L55="Fixed")</formula>
    </cfRule>
    <cfRule type="cellIs" dxfId="10" priority="8" stopIfTrue="1" operator="equal">
      <formula>"Fixed"</formula>
    </cfRule>
    <cfRule type="cellIs" dxfId="9" priority="9" stopIfTrue="1" operator="equal">
      <formula>"Open"</formula>
    </cfRule>
  </conditionalFormatting>
  <conditionalFormatting sqref="M55:M59">
    <cfRule type="expression" dxfId="8" priority="10" stopIfTrue="1">
      <formula>OR(M55="Fixed",M55="Approved")</formula>
    </cfRule>
    <cfRule type="cellIs" dxfId="7" priority="11" stopIfTrue="1" operator="equal">
      <formula>"Rejected"</formula>
    </cfRule>
  </conditionalFormatting>
  <conditionalFormatting sqref="K55:K59">
    <cfRule type="expression" dxfId="6" priority="12" stopIfTrue="1">
      <formula>AND($M55="Approved",OR($L55=$R$1,$L55=$T$1))</formula>
    </cfRule>
  </conditionalFormatting>
  <conditionalFormatting sqref="L61:L79">
    <cfRule type="expression" dxfId="5" priority="1" stopIfTrue="1">
      <formula>AND($M61="Approved",$L61="Fixed")</formula>
    </cfRule>
    <cfRule type="cellIs" dxfId="4" priority="2" stopIfTrue="1" operator="equal">
      <formula>"Fixed"</formula>
    </cfRule>
    <cfRule type="cellIs" dxfId="3" priority="3" stopIfTrue="1" operator="equal">
      <formula>"Open"</formula>
    </cfRule>
  </conditionalFormatting>
  <conditionalFormatting sqref="M61:M79">
    <cfRule type="expression" dxfId="2" priority="4" stopIfTrue="1">
      <formula>OR(M61="Fixed",M61="Approved")</formula>
    </cfRule>
    <cfRule type="cellIs" dxfId="1" priority="5" stopIfTrue="1" operator="equal">
      <formula>"Rejected"</formula>
    </cfRule>
  </conditionalFormatting>
  <conditionalFormatting sqref="K61:K79">
    <cfRule type="expression" dxfId="0" priority="6" stopIfTrue="1">
      <formula>AND($M61="Approved",OR($L61=$R$1,$L61=$T$1))</formula>
    </cfRule>
  </conditionalFormatting>
  <dataValidations count="3">
    <dataValidation type="list" allowBlank="1" showInputMessage="1" showErrorMessage="1" sqref="L5:L179" xr:uid="{00000000-0002-0000-0300-000000000000}">
      <formula1>$Q$1:$U$1</formula1>
    </dataValidation>
    <dataValidation type="list" allowBlank="1" showInputMessage="1" showErrorMessage="1" sqref="M5:M179" xr:uid="{00000000-0002-0000-0300-000001000000}">
      <formula1>$AH$1:$AI$1</formula1>
    </dataValidation>
    <dataValidation type="list" allowBlank="1" showInputMessage="1" showErrorMessage="1" sqref="I5:I179"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566C9-AFF2-4FA6-A9CD-8B2E7616D2C7}">
  <sheetPr codeName="Feuil35">
    <tabColor theme="7"/>
    <pageSetUpPr fitToPage="1"/>
  </sheetPr>
  <dimension ref="A2:V33"/>
  <sheetViews>
    <sheetView zoomScaleNormal="100" workbookViewId="0">
      <pane xSplit="1" ySplit="3" topLeftCell="B4" activePane="bottomRight" state="frozen"/>
      <selection pane="topRight" activeCell="B1" sqref="B1"/>
      <selection pane="bottomLeft" activeCell="A4" sqref="A4"/>
      <selection pane="bottomRight" activeCell="P2" sqref="P2"/>
    </sheetView>
  </sheetViews>
  <sheetFormatPr defaultColWidth="9.21875" defaultRowHeight="13.2"/>
  <cols>
    <col min="1" max="1" width="11" style="149" bestFit="1" customWidth="1"/>
    <col min="2" max="2" width="61" style="147" customWidth="1"/>
    <col min="3" max="18" width="4.44140625" style="146" bestFit="1" customWidth="1"/>
    <col min="19" max="19" width="30.77734375" style="146" customWidth="1"/>
    <col min="20" max="21" width="27.77734375" style="146" customWidth="1"/>
    <col min="22" max="16384" width="9.21875" style="146"/>
  </cols>
  <sheetData>
    <row r="2" spans="1:22" ht="85.95" customHeight="1">
      <c r="A2" s="162" t="s">
        <v>227</v>
      </c>
      <c r="B2" s="163" t="s">
        <v>261</v>
      </c>
      <c r="C2" s="164" t="s">
        <v>424</v>
      </c>
      <c r="D2" s="164" t="s">
        <v>472</v>
      </c>
      <c r="E2" s="164" t="s">
        <v>481</v>
      </c>
      <c r="F2" s="164" t="s">
        <v>505</v>
      </c>
      <c r="G2" s="164" t="s">
        <v>513</v>
      </c>
      <c r="H2" s="164" t="s">
        <v>530</v>
      </c>
      <c r="I2" s="164" t="s">
        <v>538</v>
      </c>
      <c r="J2" s="164" t="s">
        <v>608</v>
      </c>
      <c r="K2" s="164" t="s">
        <v>611</v>
      </c>
      <c r="L2" s="164" t="s">
        <v>622</v>
      </c>
      <c r="M2" s="164" t="s">
        <v>637</v>
      </c>
      <c r="N2" s="164" t="s">
        <v>640</v>
      </c>
      <c r="O2" s="164" t="s">
        <v>647</v>
      </c>
      <c r="P2" s="164" t="s">
        <v>658</v>
      </c>
      <c r="Q2" s="164" t="s">
        <v>399</v>
      </c>
      <c r="R2" s="164" t="s">
        <v>399</v>
      </c>
      <c r="S2" s="165" t="s">
        <v>242</v>
      </c>
      <c r="T2" s="321" t="s">
        <v>187</v>
      </c>
      <c r="U2" s="322"/>
    </row>
    <row r="3" spans="1:22" ht="36">
      <c r="A3" s="166"/>
      <c r="B3" s="167"/>
      <c r="C3" s="167">
        <f t="shared" ref="C3:F3" si="0">COUNTIF(C5:C33,"Yes")</f>
        <v>11</v>
      </c>
      <c r="D3" s="167">
        <f t="shared" si="0"/>
        <v>12</v>
      </c>
      <c r="E3" s="167">
        <f t="shared" si="0"/>
        <v>14</v>
      </c>
      <c r="F3" s="167">
        <f t="shared" si="0"/>
        <v>13</v>
      </c>
      <c r="G3" s="167">
        <f t="shared" ref="G3:R3" si="1">COUNTIF(G5:G33,"Yes")</f>
        <v>14</v>
      </c>
      <c r="H3" s="167">
        <f t="shared" ref="H3:I3" si="2">COUNTIF(H5:H33,"Yes")</f>
        <v>13</v>
      </c>
      <c r="I3" s="167">
        <f t="shared" si="2"/>
        <v>14</v>
      </c>
      <c r="J3" s="167">
        <f t="shared" si="1"/>
        <v>14</v>
      </c>
      <c r="K3" s="167">
        <f t="shared" si="1"/>
        <v>14</v>
      </c>
      <c r="L3" s="167">
        <f t="shared" ref="L3:M3" si="3">COUNTIF(L5:L33,"Yes")</f>
        <v>14</v>
      </c>
      <c r="M3" s="167">
        <f t="shared" si="3"/>
        <v>12</v>
      </c>
      <c r="N3" s="167">
        <f t="shared" ref="N3" si="4">COUNTIF(N5:N33,"Yes")</f>
        <v>14</v>
      </c>
      <c r="O3" s="167">
        <f t="shared" si="1"/>
        <v>14</v>
      </c>
      <c r="P3" s="167">
        <f t="shared" si="1"/>
        <v>14</v>
      </c>
      <c r="Q3" s="167">
        <f t="shared" si="1"/>
        <v>0</v>
      </c>
      <c r="R3" s="167">
        <f t="shared" si="1"/>
        <v>0</v>
      </c>
      <c r="S3" s="154"/>
      <c r="T3" s="178" t="s">
        <v>233</v>
      </c>
      <c r="U3" s="178" t="s">
        <v>234</v>
      </c>
      <c r="V3" s="155"/>
    </row>
    <row r="4" spans="1:22" ht="17.399999999999999">
      <c r="A4" s="168"/>
      <c r="B4" s="169" t="s">
        <v>246</v>
      </c>
      <c r="C4" s="170"/>
      <c r="D4" s="170"/>
      <c r="E4" s="170"/>
      <c r="F4" s="170"/>
      <c r="G4" s="170"/>
      <c r="H4" s="170"/>
      <c r="I4" s="170"/>
      <c r="J4" s="170"/>
      <c r="K4" s="170"/>
      <c r="L4" s="170"/>
      <c r="M4" s="170"/>
      <c r="N4" s="170"/>
      <c r="O4" s="170"/>
      <c r="P4" s="170"/>
      <c r="Q4" s="170"/>
      <c r="R4" s="170"/>
      <c r="S4" s="170"/>
      <c r="T4" s="170"/>
      <c r="U4" s="171"/>
      <c r="V4" s="85"/>
    </row>
    <row r="5" spans="1:22" ht="13.8">
      <c r="A5" s="150"/>
      <c r="B5" s="172" t="s">
        <v>245</v>
      </c>
      <c r="C5" s="151"/>
      <c r="D5" s="151"/>
      <c r="E5" s="151"/>
      <c r="F5" s="151"/>
      <c r="G5" s="151"/>
      <c r="H5" s="151"/>
      <c r="I5" s="151"/>
      <c r="J5" s="151"/>
      <c r="K5" s="151"/>
      <c r="L5" s="151"/>
      <c r="M5" s="151"/>
      <c r="N5" s="151"/>
      <c r="O5" s="151"/>
      <c r="P5" s="151"/>
      <c r="Q5" s="151"/>
      <c r="R5" s="151"/>
      <c r="S5" s="151"/>
      <c r="T5" s="151"/>
      <c r="U5" s="152"/>
    </row>
    <row r="6" spans="1:22" ht="39.6">
      <c r="A6" s="156" t="s">
        <v>244</v>
      </c>
      <c r="B6" s="175" t="s">
        <v>260</v>
      </c>
      <c r="C6" s="148"/>
      <c r="D6" s="148"/>
      <c r="E6" s="148"/>
      <c r="F6" s="148"/>
      <c r="G6" s="148"/>
      <c r="H6" s="148"/>
      <c r="I6" s="148"/>
      <c r="J6" s="148"/>
      <c r="K6" s="148"/>
      <c r="L6" s="148"/>
      <c r="M6" s="148"/>
      <c r="N6" s="148"/>
      <c r="O6" s="148"/>
      <c r="P6" s="148"/>
      <c r="Q6" s="148"/>
      <c r="R6" s="148"/>
      <c r="S6" s="148"/>
      <c r="T6" s="153"/>
      <c r="U6" s="153"/>
    </row>
    <row r="7" spans="1:22" ht="13.8">
      <c r="A7" s="150"/>
      <c r="B7" s="172" t="s">
        <v>317</v>
      </c>
      <c r="C7" s="151"/>
      <c r="D7" s="151"/>
      <c r="E7" s="151"/>
      <c r="F7" s="151"/>
      <c r="G7" s="151"/>
      <c r="H7" s="151"/>
      <c r="I7" s="151"/>
      <c r="J7" s="151"/>
      <c r="K7" s="151"/>
      <c r="L7" s="151"/>
      <c r="M7" s="151"/>
      <c r="N7" s="151"/>
      <c r="O7" s="151"/>
      <c r="P7" s="151"/>
      <c r="Q7" s="151"/>
      <c r="R7" s="151"/>
      <c r="S7" s="151"/>
      <c r="T7" s="151"/>
      <c r="U7" s="152"/>
    </row>
    <row r="8" spans="1:22" ht="39.6">
      <c r="A8" s="156" t="s">
        <v>318</v>
      </c>
      <c r="B8" s="175" t="s">
        <v>319</v>
      </c>
      <c r="C8" s="148" t="s">
        <v>226</v>
      </c>
      <c r="D8" s="148" t="s">
        <v>226</v>
      </c>
      <c r="E8" s="148" t="s">
        <v>226</v>
      </c>
      <c r="F8" s="148" t="s">
        <v>226</v>
      </c>
      <c r="G8" s="148" t="s">
        <v>226</v>
      </c>
      <c r="H8" s="148" t="s">
        <v>23</v>
      </c>
      <c r="I8" s="148" t="s">
        <v>226</v>
      </c>
      <c r="J8" s="148" t="s">
        <v>226</v>
      </c>
      <c r="K8" s="148" t="s">
        <v>226</v>
      </c>
      <c r="L8" s="148" t="s">
        <v>226</v>
      </c>
      <c r="M8" s="148" t="s">
        <v>226</v>
      </c>
      <c r="N8" s="148" t="s">
        <v>226</v>
      </c>
      <c r="O8" s="148" t="s">
        <v>226</v>
      </c>
      <c r="P8" s="148" t="s">
        <v>226</v>
      </c>
      <c r="Q8" s="148"/>
      <c r="R8" s="148"/>
      <c r="S8" s="148"/>
      <c r="T8" s="153"/>
      <c r="U8" s="153"/>
    </row>
    <row r="9" spans="1:22" ht="26.4">
      <c r="A9" s="156" t="s">
        <v>320</v>
      </c>
      <c r="B9" s="175" t="s">
        <v>321</v>
      </c>
      <c r="C9" s="148" t="s">
        <v>23</v>
      </c>
      <c r="D9" s="148" t="s">
        <v>226</v>
      </c>
      <c r="E9" s="148" t="s">
        <v>226</v>
      </c>
      <c r="F9" s="148" t="s">
        <v>226</v>
      </c>
      <c r="G9" s="148" t="s">
        <v>226</v>
      </c>
      <c r="H9" s="148" t="s">
        <v>226</v>
      </c>
      <c r="I9" s="148" t="s">
        <v>226</v>
      </c>
      <c r="J9" s="148" t="s">
        <v>226</v>
      </c>
      <c r="K9" s="148" t="s">
        <v>226</v>
      </c>
      <c r="L9" s="148" t="s">
        <v>226</v>
      </c>
      <c r="M9" s="148" t="s">
        <v>226</v>
      </c>
      <c r="N9" s="148" t="s">
        <v>226</v>
      </c>
      <c r="O9" s="148" t="s">
        <v>226</v>
      </c>
      <c r="P9" s="148" t="s">
        <v>226</v>
      </c>
      <c r="Q9" s="148"/>
      <c r="R9" s="148"/>
      <c r="S9" s="148"/>
      <c r="T9" s="153"/>
      <c r="U9" s="153"/>
    </row>
    <row r="10" spans="1:22" ht="39.6">
      <c r="A10" s="156" t="s">
        <v>322</v>
      </c>
      <c r="B10" s="175" t="s">
        <v>323</v>
      </c>
      <c r="C10" s="148" t="s">
        <v>226</v>
      </c>
      <c r="D10" s="148" t="s">
        <v>226</v>
      </c>
      <c r="E10" s="148" t="s">
        <v>226</v>
      </c>
      <c r="F10" s="148" t="s">
        <v>226</v>
      </c>
      <c r="G10" s="148" t="s">
        <v>226</v>
      </c>
      <c r="H10" s="148" t="s">
        <v>226</v>
      </c>
      <c r="I10" s="148" t="s">
        <v>226</v>
      </c>
      <c r="J10" s="148" t="s">
        <v>226</v>
      </c>
      <c r="K10" s="148" t="s">
        <v>226</v>
      </c>
      <c r="L10" s="148" t="s">
        <v>226</v>
      </c>
      <c r="M10" s="148" t="s">
        <v>23</v>
      </c>
      <c r="N10" s="148" t="s">
        <v>226</v>
      </c>
      <c r="O10" s="148" t="s">
        <v>226</v>
      </c>
      <c r="P10" s="148" t="s">
        <v>226</v>
      </c>
      <c r="Q10" s="148"/>
      <c r="R10" s="148"/>
      <c r="S10" s="148"/>
      <c r="T10" s="153"/>
      <c r="U10" s="153"/>
    </row>
    <row r="11" spans="1:22" ht="26.4">
      <c r="A11" s="156" t="s">
        <v>324</v>
      </c>
      <c r="B11" s="175" t="s">
        <v>325</v>
      </c>
      <c r="C11" s="148" t="s">
        <v>226</v>
      </c>
      <c r="D11" s="148" t="s">
        <v>23</v>
      </c>
      <c r="E11" s="148" t="s">
        <v>226</v>
      </c>
      <c r="F11" s="148" t="s">
        <v>226</v>
      </c>
      <c r="G11" s="148" t="s">
        <v>226</v>
      </c>
      <c r="H11" s="148" t="s">
        <v>226</v>
      </c>
      <c r="I11" s="148" t="s">
        <v>226</v>
      </c>
      <c r="J11" s="148" t="s">
        <v>226</v>
      </c>
      <c r="K11" s="148" t="s">
        <v>226</v>
      </c>
      <c r="L11" s="148" t="s">
        <v>226</v>
      </c>
      <c r="M11" s="148" t="s">
        <v>226</v>
      </c>
      <c r="N11" s="148" t="s">
        <v>226</v>
      </c>
      <c r="O11" s="148" t="s">
        <v>226</v>
      </c>
      <c r="P11" s="148" t="s">
        <v>226</v>
      </c>
      <c r="Q11" s="148"/>
      <c r="R11" s="148"/>
      <c r="S11" s="148"/>
      <c r="T11" s="153"/>
      <c r="U11" s="153"/>
    </row>
    <row r="12" spans="1:22" ht="52.8">
      <c r="A12" s="156" t="s">
        <v>326</v>
      </c>
      <c r="B12" s="175" t="s">
        <v>327</v>
      </c>
      <c r="C12" s="148" t="s">
        <v>11</v>
      </c>
      <c r="D12" s="148" t="s">
        <v>11</v>
      </c>
      <c r="E12" s="148" t="s">
        <v>11</v>
      </c>
      <c r="F12" s="148" t="s">
        <v>11</v>
      </c>
      <c r="G12" s="148" t="s">
        <v>11</v>
      </c>
      <c r="H12" s="148" t="s">
        <v>11</v>
      </c>
      <c r="I12" s="148" t="s">
        <v>11</v>
      </c>
      <c r="J12" s="148" t="s">
        <v>11</v>
      </c>
      <c r="K12" s="148" t="s">
        <v>11</v>
      </c>
      <c r="L12" s="148" t="s">
        <v>11</v>
      </c>
      <c r="M12" s="148" t="s">
        <v>11</v>
      </c>
      <c r="N12" s="148" t="s">
        <v>11</v>
      </c>
      <c r="O12" s="148" t="s">
        <v>11</v>
      </c>
      <c r="P12" s="148" t="s">
        <v>11</v>
      </c>
      <c r="Q12" s="148"/>
      <c r="R12" s="148"/>
      <c r="S12" s="148"/>
      <c r="T12" s="153"/>
      <c r="U12" s="153"/>
    </row>
    <row r="13" spans="1:22" ht="26.4">
      <c r="A13" s="156" t="s">
        <v>328</v>
      </c>
      <c r="B13" s="175" t="s">
        <v>329</v>
      </c>
      <c r="C13" s="148" t="s">
        <v>226</v>
      </c>
      <c r="D13" s="148" t="s">
        <v>226</v>
      </c>
      <c r="E13" s="148" t="s">
        <v>226</v>
      </c>
      <c r="F13" s="148" t="s">
        <v>226</v>
      </c>
      <c r="G13" s="148" t="s">
        <v>226</v>
      </c>
      <c r="H13" s="148" t="s">
        <v>226</v>
      </c>
      <c r="I13" s="148" t="s">
        <v>226</v>
      </c>
      <c r="J13" s="148" t="s">
        <v>226</v>
      </c>
      <c r="K13" s="148" t="s">
        <v>226</v>
      </c>
      <c r="L13" s="148" t="s">
        <v>226</v>
      </c>
      <c r="M13" s="148" t="s">
        <v>226</v>
      </c>
      <c r="N13" s="148" t="s">
        <v>226</v>
      </c>
      <c r="O13" s="148" t="s">
        <v>226</v>
      </c>
      <c r="P13" s="148" t="s">
        <v>226</v>
      </c>
      <c r="Q13" s="148"/>
      <c r="R13" s="148"/>
      <c r="S13" s="148"/>
      <c r="T13" s="153"/>
      <c r="U13" s="153"/>
    </row>
    <row r="14" spans="1:22" ht="26.4">
      <c r="A14" s="156" t="s">
        <v>330</v>
      </c>
      <c r="B14" s="175" t="s">
        <v>331</v>
      </c>
      <c r="C14" s="148" t="s">
        <v>226</v>
      </c>
      <c r="D14" s="148" t="s">
        <v>226</v>
      </c>
      <c r="E14" s="148" t="s">
        <v>226</v>
      </c>
      <c r="F14" s="148" t="s">
        <v>226</v>
      </c>
      <c r="G14" s="148" t="s">
        <v>226</v>
      </c>
      <c r="H14" s="148" t="s">
        <v>226</v>
      </c>
      <c r="I14" s="148" t="s">
        <v>226</v>
      </c>
      <c r="J14" s="148" t="s">
        <v>226</v>
      </c>
      <c r="K14" s="148" t="s">
        <v>226</v>
      </c>
      <c r="L14" s="148" t="s">
        <v>226</v>
      </c>
      <c r="M14" s="148" t="s">
        <v>226</v>
      </c>
      <c r="N14" s="148" t="s">
        <v>226</v>
      </c>
      <c r="O14" s="148" t="s">
        <v>226</v>
      </c>
      <c r="P14" s="148" t="s">
        <v>226</v>
      </c>
      <c r="Q14" s="148"/>
      <c r="R14" s="148"/>
      <c r="S14" s="148"/>
      <c r="T14" s="153"/>
      <c r="U14" s="153"/>
    </row>
    <row r="15" spans="1:22" ht="39.6">
      <c r="A15" s="156" t="s">
        <v>332</v>
      </c>
      <c r="B15" s="175" t="s">
        <v>333</v>
      </c>
      <c r="C15" s="148" t="s">
        <v>226</v>
      </c>
      <c r="D15" s="148" t="s">
        <v>226</v>
      </c>
      <c r="E15" s="148" t="s">
        <v>226</v>
      </c>
      <c r="F15" s="148" t="s">
        <v>23</v>
      </c>
      <c r="G15" s="148" t="s">
        <v>226</v>
      </c>
      <c r="H15" s="148" t="s">
        <v>226</v>
      </c>
      <c r="I15" s="148" t="s">
        <v>226</v>
      </c>
      <c r="J15" s="148" t="s">
        <v>226</v>
      </c>
      <c r="K15" s="148" t="s">
        <v>226</v>
      </c>
      <c r="L15" s="148" t="s">
        <v>226</v>
      </c>
      <c r="M15" s="148" t="s">
        <v>226</v>
      </c>
      <c r="N15" s="148" t="s">
        <v>226</v>
      </c>
      <c r="O15" s="148" t="s">
        <v>226</v>
      </c>
      <c r="P15" s="148" t="s">
        <v>226</v>
      </c>
      <c r="Q15" s="148"/>
      <c r="R15" s="148"/>
      <c r="S15" s="148"/>
      <c r="T15" s="153"/>
      <c r="U15" s="153"/>
    </row>
    <row r="16" spans="1:22" ht="26.4">
      <c r="A16" s="156" t="s">
        <v>334</v>
      </c>
      <c r="B16" s="175" t="s">
        <v>335</v>
      </c>
      <c r="C16" s="148" t="s">
        <v>226</v>
      </c>
      <c r="D16" s="148" t="s">
        <v>226</v>
      </c>
      <c r="E16" s="148" t="s">
        <v>226</v>
      </c>
      <c r="F16" s="148" t="s">
        <v>226</v>
      </c>
      <c r="G16" s="148" t="s">
        <v>226</v>
      </c>
      <c r="H16" s="148" t="s">
        <v>226</v>
      </c>
      <c r="I16" s="148" t="s">
        <v>226</v>
      </c>
      <c r="J16" s="148" t="s">
        <v>226</v>
      </c>
      <c r="K16" s="148" t="s">
        <v>226</v>
      </c>
      <c r="L16" s="148" t="s">
        <v>226</v>
      </c>
      <c r="M16" s="148" t="s">
        <v>23</v>
      </c>
      <c r="N16" s="148" t="s">
        <v>226</v>
      </c>
      <c r="O16" s="148" t="s">
        <v>226</v>
      </c>
      <c r="P16" s="148" t="s">
        <v>226</v>
      </c>
      <c r="Q16" s="148"/>
      <c r="R16" s="148"/>
      <c r="S16" s="148"/>
      <c r="T16" s="153"/>
      <c r="U16" s="153"/>
    </row>
    <row r="17" spans="1:21" ht="39.6">
      <c r="A17" s="156" t="s">
        <v>336</v>
      </c>
      <c r="B17" s="175" t="s">
        <v>337</v>
      </c>
      <c r="C17" s="148" t="s">
        <v>23</v>
      </c>
      <c r="D17" s="148" t="s">
        <v>23</v>
      </c>
      <c r="E17" s="148" t="s">
        <v>226</v>
      </c>
      <c r="F17" s="148" t="s">
        <v>226</v>
      </c>
      <c r="G17" s="148" t="s">
        <v>226</v>
      </c>
      <c r="H17" s="148" t="s">
        <v>226</v>
      </c>
      <c r="I17" s="148" t="s">
        <v>226</v>
      </c>
      <c r="J17" s="148" t="s">
        <v>226</v>
      </c>
      <c r="K17" s="148" t="s">
        <v>226</v>
      </c>
      <c r="L17" s="148" t="s">
        <v>226</v>
      </c>
      <c r="M17" s="148" t="s">
        <v>226</v>
      </c>
      <c r="N17" s="148" t="s">
        <v>226</v>
      </c>
      <c r="O17" s="148" t="s">
        <v>226</v>
      </c>
      <c r="P17" s="148" t="s">
        <v>226</v>
      </c>
      <c r="Q17" s="148"/>
      <c r="R17" s="148"/>
      <c r="S17" s="148"/>
      <c r="T17" s="153"/>
      <c r="U17" s="153"/>
    </row>
    <row r="18" spans="1:21" ht="39.6">
      <c r="A18" s="156" t="s">
        <v>338</v>
      </c>
      <c r="B18" s="175" t="s">
        <v>339</v>
      </c>
      <c r="C18" s="148" t="s">
        <v>11</v>
      </c>
      <c r="D18" s="148" t="s">
        <v>11</v>
      </c>
      <c r="E18" s="148" t="s">
        <v>11</v>
      </c>
      <c r="F18" s="148" t="s">
        <v>11</v>
      </c>
      <c r="G18" s="148" t="s">
        <v>11</v>
      </c>
      <c r="H18" s="148" t="s">
        <v>11</v>
      </c>
      <c r="I18" s="148" t="s">
        <v>11</v>
      </c>
      <c r="J18" s="148" t="s">
        <v>11</v>
      </c>
      <c r="K18" s="148" t="s">
        <v>11</v>
      </c>
      <c r="L18" s="148" t="s">
        <v>11</v>
      </c>
      <c r="M18" s="148" t="s">
        <v>11</v>
      </c>
      <c r="N18" s="148" t="s">
        <v>11</v>
      </c>
      <c r="O18" s="148" t="s">
        <v>11</v>
      </c>
      <c r="P18" s="148" t="s">
        <v>11</v>
      </c>
      <c r="Q18" s="148"/>
      <c r="R18" s="148"/>
      <c r="S18" s="148"/>
      <c r="T18" s="153"/>
      <c r="U18" s="153"/>
    </row>
    <row r="19" spans="1:21" ht="26.4">
      <c r="A19" s="156" t="s">
        <v>340</v>
      </c>
      <c r="B19" s="175" t="s">
        <v>341</v>
      </c>
      <c r="C19" s="148" t="s">
        <v>11</v>
      </c>
      <c r="D19" s="148" t="s">
        <v>11</v>
      </c>
      <c r="E19" s="148" t="s">
        <v>11</v>
      </c>
      <c r="F19" s="148" t="s">
        <v>11</v>
      </c>
      <c r="G19" s="148" t="s">
        <v>11</v>
      </c>
      <c r="H19" s="148" t="s">
        <v>11</v>
      </c>
      <c r="I19" s="148" t="s">
        <v>11</v>
      </c>
      <c r="J19" s="148" t="s">
        <v>11</v>
      </c>
      <c r="K19" s="148" t="s">
        <v>11</v>
      </c>
      <c r="L19" s="148" t="s">
        <v>11</v>
      </c>
      <c r="M19" s="148" t="s">
        <v>11</v>
      </c>
      <c r="N19" s="148" t="s">
        <v>11</v>
      </c>
      <c r="O19" s="148" t="s">
        <v>11</v>
      </c>
      <c r="P19" s="148" t="s">
        <v>11</v>
      </c>
      <c r="Q19" s="148"/>
      <c r="R19" s="148"/>
      <c r="S19" s="148"/>
      <c r="T19" s="153"/>
      <c r="U19" s="153"/>
    </row>
    <row r="20" spans="1:21" ht="26.4">
      <c r="A20" s="156" t="s">
        <v>342</v>
      </c>
      <c r="B20" s="175" t="s">
        <v>343</v>
      </c>
      <c r="C20" s="148" t="s">
        <v>11</v>
      </c>
      <c r="D20" s="148" t="s">
        <v>11</v>
      </c>
      <c r="E20" s="148" t="s">
        <v>11</v>
      </c>
      <c r="F20" s="148" t="s">
        <v>11</v>
      </c>
      <c r="G20" s="148" t="s">
        <v>11</v>
      </c>
      <c r="H20" s="148" t="s">
        <v>11</v>
      </c>
      <c r="I20" s="148" t="s">
        <v>11</v>
      </c>
      <c r="J20" s="148" t="s">
        <v>11</v>
      </c>
      <c r="K20" s="148" t="s">
        <v>11</v>
      </c>
      <c r="L20" s="148" t="s">
        <v>11</v>
      </c>
      <c r="M20" s="148" t="s">
        <v>11</v>
      </c>
      <c r="N20" s="148" t="s">
        <v>11</v>
      </c>
      <c r="O20" s="148" t="s">
        <v>11</v>
      </c>
      <c r="P20" s="148" t="s">
        <v>11</v>
      </c>
      <c r="Q20" s="148"/>
      <c r="R20" s="148"/>
      <c r="S20" s="148"/>
      <c r="T20" s="153"/>
      <c r="U20" s="153"/>
    </row>
    <row r="21" spans="1:21" ht="39.6">
      <c r="A21" s="156" t="s">
        <v>344</v>
      </c>
      <c r="B21" s="175" t="s">
        <v>345</v>
      </c>
      <c r="C21" s="148" t="s">
        <v>11</v>
      </c>
      <c r="D21" s="148" t="s">
        <v>11</v>
      </c>
      <c r="E21" s="148" t="s">
        <v>11</v>
      </c>
      <c r="F21" s="148" t="s">
        <v>11</v>
      </c>
      <c r="G21" s="148" t="s">
        <v>11</v>
      </c>
      <c r="H21" s="148" t="s">
        <v>11</v>
      </c>
      <c r="I21" s="148" t="s">
        <v>11</v>
      </c>
      <c r="J21" s="148" t="s">
        <v>11</v>
      </c>
      <c r="K21" s="148" t="s">
        <v>11</v>
      </c>
      <c r="L21" s="148" t="s">
        <v>11</v>
      </c>
      <c r="M21" s="148" t="s">
        <v>11</v>
      </c>
      <c r="N21" s="148" t="s">
        <v>11</v>
      </c>
      <c r="O21" s="148" t="s">
        <v>11</v>
      </c>
      <c r="P21" s="148" t="s">
        <v>11</v>
      </c>
      <c r="Q21" s="148"/>
      <c r="R21" s="148"/>
      <c r="S21" s="148"/>
      <c r="T21" s="153"/>
      <c r="U21" s="153"/>
    </row>
    <row r="22" spans="1:21" ht="39.6">
      <c r="A22" s="156" t="s">
        <v>346</v>
      </c>
      <c r="B22" s="175" t="s">
        <v>347</v>
      </c>
      <c r="C22" s="148" t="s">
        <v>11</v>
      </c>
      <c r="D22" s="148" t="s">
        <v>11</v>
      </c>
      <c r="E22" s="148" t="s">
        <v>11</v>
      </c>
      <c r="F22" s="148" t="s">
        <v>11</v>
      </c>
      <c r="G22" s="148" t="s">
        <v>11</v>
      </c>
      <c r="H22" s="148" t="s">
        <v>11</v>
      </c>
      <c r="I22" s="148" t="s">
        <v>11</v>
      </c>
      <c r="J22" s="148" t="s">
        <v>11</v>
      </c>
      <c r="K22" s="148" t="s">
        <v>11</v>
      </c>
      <c r="L22" s="148" t="s">
        <v>11</v>
      </c>
      <c r="M22" s="148" t="s">
        <v>11</v>
      </c>
      <c r="N22" s="148" t="s">
        <v>11</v>
      </c>
      <c r="O22" s="148" t="s">
        <v>11</v>
      </c>
      <c r="P22" s="148" t="s">
        <v>11</v>
      </c>
      <c r="Q22" s="148"/>
      <c r="R22" s="148"/>
      <c r="S22" s="148"/>
      <c r="T22" s="153"/>
      <c r="U22" s="153"/>
    </row>
    <row r="23" spans="1:21" ht="13.8">
      <c r="A23" s="150"/>
      <c r="B23" s="172" t="s">
        <v>230</v>
      </c>
      <c r="C23" s="151"/>
      <c r="D23" s="151"/>
      <c r="E23" s="151"/>
      <c r="F23" s="151"/>
      <c r="G23" s="151"/>
      <c r="H23" s="151"/>
      <c r="I23" s="151"/>
      <c r="J23" s="151"/>
      <c r="K23" s="151"/>
      <c r="L23" s="151"/>
      <c r="M23" s="151"/>
      <c r="N23" s="151"/>
      <c r="O23" s="151"/>
      <c r="P23" s="151"/>
      <c r="Q23" s="151"/>
      <c r="R23" s="151"/>
      <c r="S23" s="151"/>
      <c r="T23" s="151"/>
      <c r="U23" s="152"/>
    </row>
    <row r="24" spans="1:21" ht="39.6">
      <c r="A24" s="156" t="s">
        <v>235</v>
      </c>
      <c r="B24" s="175" t="s">
        <v>220</v>
      </c>
      <c r="C24" s="148" t="s">
        <v>226</v>
      </c>
      <c r="D24" s="148" t="s">
        <v>226</v>
      </c>
      <c r="E24" s="148" t="s">
        <v>226</v>
      </c>
      <c r="F24" s="148" t="s">
        <v>226</v>
      </c>
      <c r="G24" s="148" t="s">
        <v>226</v>
      </c>
      <c r="H24" s="148" t="s">
        <v>226</v>
      </c>
      <c r="I24" s="148" t="s">
        <v>226</v>
      </c>
      <c r="J24" s="148" t="s">
        <v>226</v>
      </c>
      <c r="K24" s="148" t="s">
        <v>226</v>
      </c>
      <c r="L24" s="148" t="s">
        <v>226</v>
      </c>
      <c r="M24" s="148" t="s">
        <v>226</v>
      </c>
      <c r="N24" s="148" t="s">
        <v>226</v>
      </c>
      <c r="O24" s="148" t="s">
        <v>226</v>
      </c>
      <c r="P24" s="148" t="s">
        <v>226</v>
      </c>
      <c r="Q24" s="148"/>
      <c r="R24" s="148"/>
      <c r="S24" s="148"/>
      <c r="T24" s="153"/>
      <c r="U24" s="153"/>
    </row>
    <row r="25" spans="1:21" ht="26.4">
      <c r="A25" s="156" t="s">
        <v>236</v>
      </c>
      <c r="B25" s="175" t="s">
        <v>221</v>
      </c>
      <c r="C25" s="148" t="s">
        <v>226</v>
      </c>
      <c r="D25" s="148" t="s">
        <v>226</v>
      </c>
      <c r="E25" s="148" t="s">
        <v>226</v>
      </c>
      <c r="F25" s="148" t="s">
        <v>226</v>
      </c>
      <c r="G25" s="148" t="s">
        <v>226</v>
      </c>
      <c r="H25" s="148" t="s">
        <v>226</v>
      </c>
      <c r="I25" s="148" t="s">
        <v>226</v>
      </c>
      <c r="J25" s="148" t="s">
        <v>226</v>
      </c>
      <c r="K25" s="148" t="s">
        <v>226</v>
      </c>
      <c r="L25" s="148" t="s">
        <v>226</v>
      </c>
      <c r="M25" s="148" t="s">
        <v>226</v>
      </c>
      <c r="N25" s="148" t="s">
        <v>226</v>
      </c>
      <c r="O25" s="148" t="s">
        <v>226</v>
      </c>
      <c r="P25" s="148" t="s">
        <v>226</v>
      </c>
      <c r="Q25" s="148"/>
      <c r="R25" s="148"/>
      <c r="S25" s="148"/>
      <c r="T25" s="153"/>
      <c r="U25" s="153"/>
    </row>
    <row r="26" spans="1:21" ht="39.6">
      <c r="A26" s="156" t="s">
        <v>237</v>
      </c>
      <c r="B26" s="175" t="s">
        <v>222</v>
      </c>
      <c r="C26" s="148" t="s">
        <v>226</v>
      </c>
      <c r="D26" s="148" t="s">
        <v>226</v>
      </c>
      <c r="E26" s="148" t="s">
        <v>226</v>
      </c>
      <c r="F26" s="148" t="s">
        <v>226</v>
      </c>
      <c r="G26" s="148" t="s">
        <v>226</v>
      </c>
      <c r="H26" s="148" t="s">
        <v>226</v>
      </c>
      <c r="I26" s="148" t="s">
        <v>226</v>
      </c>
      <c r="J26" s="148" t="s">
        <v>226</v>
      </c>
      <c r="K26" s="148" t="s">
        <v>226</v>
      </c>
      <c r="L26" s="148" t="s">
        <v>226</v>
      </c>
      <c r="M26" s="148" t="s">
        <v>226</v>
      </c>
      <c r="N26" s="148" t="s">
        <v>226</v>
      </c>
      <c r="O26" s="148" t="s">
        <v>226</v>
      </c>
      <c r="P26" s="148" t="s">
        <v>226</v>
      </c>
      <c r="Q26" s="148"/>
      <c r="R26" s="148"/>
      <c r="S26" s="148"/>
      <c r="T26" s="153"/>
      <c r="U26" s="153"/>
    </row>
    <row r="27" spans="1:21" ht="39.6">
      <c r="A27" s="156" t="s">
        <v>238</v>
      </c>
      <c r="B27" s="175" t="s">
        <v>223</v>
      </c>
      <c r="C27" s="148" t="s">
        <v>23</v>
      </c>
      <c r="D27" s="148" t="s">
        <v>226</v>
      </c>
      <c r="E27" s="148" t="s">
        <v>226</v>
      </c>
      <c r="F27" s="148" t="s">
        <v>226</v>
      </c>
      <c r="G27" s="148" t="s">
        <v>226</v>
      </c>
      <c r="H27" s="148" t="s">
        <v>226</v>
      </c>
      <c r="I27" s="148" t="s">
        <v>226</v>
      </c>
      <c r="J27" s="148" t="s">
        <v>226</v>
      </c>
      <c r="K27" s="148" t="s">
        <v>226</v>
      </c>
      <c r="L27" s="148" t="s">
        <v>226</v>
      </c>
      <c r="M27" s="148" t="s">
        <v>226</v>
      </c>
      <c r="N27" s="148" t="s">
        <v>226</v>
      </c>
      <c r="O27" s="148" t="s">
        <v>226</v>
      </c>
      <c r="P27" s="148" t="s">
        <v>226</v>
      </c>
      <c r="Q27" s="148"/>
      <c r="R27" s="148"/>
      <c r="S27" s="148"/>
      <c r="T27" s="153"/>
      <c r="U27" s="153"/>
    </row>
    <row r="28" spans="1:21" ht="13.8">
      <c r="A28" s="150"/>
      <c r="B28" s="172" t="s">
        <v>231</v>
      </c>
      <c r="C28" s="151"/>
      <c r="D28" s="151"/>
      <c r="E28" s="151"/>
      <c r="F28" s="151"/>
      <c r="G28" s="151"/>
      <c r="H28" s="151"/>
      <c r="I28" s="151"/>
      <c r="J28" s="151"/>
      <c r="K28" s="151"/>
      <c r="L28" s="151"/>
      <c r="M28" s="151"/>
      <c r="N28" s="151"/>
      <c r="O28" s="151"/>
      <c r="P28" s="151"/>
      <c r="Q28" s="151"/>
      <c r="R28" s="151"/>
      <c r="S28" s="151"/>
      <c r="T28" s="151"/>
      <c r="U28" s="152"/>
    </row>
    <row r="29" spans="1:21" ht="39.6">
      <c r="A29" s="156" t="s">
        <v>239</v>
      </c>
      <c r="B29" s="175" t="s">
        <v>224</v>
      </c>
      <c r="C29" s="148" t="s">
        <v>226</v>
      </c>
      <c r="D29" s="148" t="s">
        <v>226</v>
      </c>
      <c r="E29" s="148" t="s">
        <v>226</v>
      </c>
      <c r="F29" s="148" t="s">
        <v>226</v>
      </c>
      <c r="G29" s="148" t="s">
        <v>226</v>
      </c>
      <c r="H29" s="148" t="s">
        <v>226</v>
      </c>
      <c r="I29" s="148" t="s">
        <v>226</v>
      </c>
      <c r="J29" s="148" t="s">
        <v>226</v>
      </c>
      <c r="K29" s="148" t="s">
        <v>226</v>
      </c>
      <c r="L29" s="148" t="s">
        <v>226</v>
      </c>
      <c r="M29" s="148" t="s">
        <v>226</v>
      </c>
      <c r="N29" s="148" t="s">
        <v>226</v>
      </c>
      <c r="O29" s="148" t="s">
        <v>226</v>
      </c>
      <c r="P29" s="148" t="s">
        <v>226</v>
      </c>
      <c r="Q29" s="148"/>
      <c r="R29" s="148"/>
      <c r="S29" s="148"/>
      <c r="T29" s="153"/>
      <c r="U29" s="153"/>
    </row>
    <row r="30" spans="1:21" ht="39.6">
      <c r="A30" s="156" t="s">
        <v>240</v>
      </c>
      <c r="B30" s="175" t="s">
        <v>225</v>
      </c>
      <c r="C30" s="148" t="s">
        <v>11</v>
      </c>
      <c r="D30" s="148" t="s">
        <v>11</v>
      </c>
      <c r="E30" s="148" t="s">
        <v>11</v>
      </c>
      <c r="F30" s="148" t="s">
        <v>11</v>
      </c>
      <c r="G30" s="148" t="s">
        <v>11</v>
      </c>
      <c r="H30" s="148" t="s">
        <v>11</v>
      </c>
      <c r="I30" s="148" t="s">
        <v>11</v>
      </c>
      <c r="J30" s="148" t="s">
        <v>11</v>
      </c>
      <c r="K30" s="148" t="s">
        <v>11</v>
      </c>
      <c r="L30" s="148" t="s">
        <v>11</v>
      </c>
      <c r="M30" s="148" t="s">
        <v>11</v>
      </c>
      <c r="N30" s="148" t="s">
        <v>11</v>
      </c>
      <c r="O30" s="148" t="s">
        <v>11</v>
      </c>
      <c r="P30" s="148" t="s">
        <v>11</v>
      </c>
      <c r="Q30" s="148"/>
      <c r="R30" s="148"/>
      <c r="S30" s="148"/>
      <c r="T30" s="153"/>
      <c r="U30" s="153"/>
    </row>
    <row r="31" spans="1:21" ht="13.8">
      <c r="A31" s="150"/>
      <c r="B31" s="172" t="s">
        <v>217</v>
      </c>
      <c r="C31" s="151"/>
      <c r="D31" s="151"/>
      <c r="E31" s="151"/>
      <c r="F31" s="151"/>
      <c r="G31" s="151"/>
      <c r="H31" s="151"/>
      <c r="I31" s="151"/>
      <c r="J31" s="151"/>
      <c r="K31" s="151"/>
      <c r="L31" s="151"/>
      <c r="M31" s="151"/>
      <c r="N31" s="151"/>
      <c r="O31" s="151"/>
      <c r="P31" s="151"/>
      <c r="Q31" s="151"/>
      <c r="R31" s="151"/>
      <c r="S31" s="151"/>
      <c r="T31" s="151"/>
      <c r="U31" s="152"/>
    </row>
    <row r="32" spans="1:21" ht="52.8">
      <c r="A32" s="156" t="s">
        <v>218</v>
      </c>
      <c r="B32" s="175" t="s">
        <v>219</v>
      </c>
      <c r="C32" s="148"/>
      <c r="D32" s="148"/>
      <c r="E32" s="148"/>
      <c r="F32" s="148"/>
      <c r="G32" s="148"/>
      <c r="H32" s="148"/>
      <c r="I32" s="148"/>
      <c r="J32" s="148"/>
      <c r="K32" s="148"/>
      <c r="L32" s="148"/>
      <c r="M32" s="148"/>
      <c r="N32" s="148"/>
      <c r="O32" s="148"/>
      <c r="P32" s="148"/>
      <c r="Q32" s="148"/>
      <c r="R32" s="148"/>
      <c r="S32" s="148"/>
      <c r="T32" s="153"/>
      <c r="U32" s="153"/>
    </row>
    <row r="33" spans="1:21" ht="17.399999999999999">
      <c r="A33" s="176"/>
      <c r="B33" s="177" t="s">
        <v>241</v>
      </c>
      <c r="C33" s="176"/>
      <c r="D33" s="176"/>
      <c r="E33" s="176"/>
      <c r="F33" s="176"/>
      <c r="G33" s="176"/>
      <c r="H33" s="176"/>
      <c r="I33" s="176"/>
      <c r="J33" s="176"/>
      <c r="K33" s="176"/>
      <c r="L33" s="176"/>
      <c r="M33" s="176"/>
      <c r="N33" s="176"/>
      <c r="O33" s="176"/>
      <c r="P33" s="176"/>
      <c r="Q33" s="176"/>
      <c r="R33" s="176"/>
      <c r="S33" s="176"/>
      <c r="T33" s="176"/>
      <c r="U33" s="176"/>
    </row>
  </sheetData>
  <mergeCells count="1">
    <mergeCell ref="T2:U2"/>
  </mergeCells>
  <dataValidations count="1">
    <dataValidation type="list" allowBlank="1" showInputMessage="1" showErrorMessage="1" sqref="C29:R30 C6:R6 C32:R32 C24:R27 C8:R22" xr:uid="{E52B5CE3-7E01-462B-A4E6-4F4CA79C163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6CBF9-3589-4B30-A97E-BE85D80D9479}">
  <sheetPr codeName="Feuil45">
    <tabColor theme="7"/>
    <pageSetUpPr fitToPage="1"/>
  </sheetPr>
  <dimension ref="A2:U33"/>
  <sheetViews>
    <sheetView zoomScale="80" zoomScaleNormal="80" workbookViewId="0">
      <pane xSplit="1" ySplit="3" topLeftCell="B18" activePane="bottomRight" state="frozen"/>
      <selection pane="topRight" activeCell="B1" sqref="B1"/>
      <selection pane="bottomLeft" activeCell="A4" sqref="A4"/>
      <selection pane="bottomRight" activeCell="Q30" sqref="Q30:Q31"/>
    </sheetView>
  </sheetViews>
  <sheetFormatPr defaultColWidth="9.21875" defaultRowHeight="13.2"/>
  <cols>
    <col min="1" max="1" width="11" style="149" bestFit="1" customWidth="1"/>
    <col min="2" max="2" width="61" style="147" customWidth="1"/>
    <col min="3" max="15" width="4.44140625" style="146" bestFit="1" customWidth="1"/>
    <col min="16" max="17" width="4.44140625" style="146" customWidth="1"/>
    <col min="18" max="18" width="30.77734375" style="146" customWidth="1"/>
    <col min="19" max="20" width="27.77734375" style="146" customWidth="1"/>
    <col min="21" max="16384" width="9.21875" style="146"/>
  </cols>
  <sheetData>
    <row r="2" spans="1:21" ht="105.6" customHeight="1">
      <c r="A2" s="162" t="s">
        <v>227</v>
      </c>
      <c r="B2" s="163" t="s">
        <v>262</v>
      </c>
      <c r="C2" s="164" t="s">
        <v>430</v>
      </c>
      <c r="D2" s="164" t="s">
        <v>443</v>
      </c>
      <c r="E2" s="164" t="s">
        <v>450</v>
      </c>
      <c r="F2" s="164" t="s">
        <v>484</v>
      </c>
      <c r="G2" s="164" t="s">
        <v>507</v>
      </c>
      <c r="H2" s="164" t="s">
        <v>533</v>
      </c>
      <c r="I2" s="164" t="s">
        <v>539</v>
      </c>
      <c r="J2" s="164" t="s">
        <v>605</v>
      </c>
      <c r="K2" s="212" t="s">
        <v>617</v>
      </c>
      <c r="L2" s="164" t="s">
        <v>625</v>
      </c>
      <c r="M2" s="164" t="s">
        <v>628</v>
      </c>
      <c r="N2" s="212" t="s">
        <v>638</v>
      </c>
      <c r="O2" s="164" t="s">
        <v>644</v>
      </c>
      <c r="P2" s="164" t="s">
        <v>651</v>
      </c>
      <c r="Q2" s="164" t="s">
        <v>655</v>
      </c>
      <c r="R2" s="165" t="s">
        <v>242</v>
      </c>
      <c r="S2" s="321" t="s">
        <v>187</v>
      </c>
      <c r="T2" s="322"/>
    </row>
    <row r="3" spans="1:21" ht="23.7" customHeight="1">
      <c r="A3" s="166"/>
      <c r="B3" s="167"/>
      <c r="C3" s="167">
        <f t="shared" ref="C3:Q3" si="0">COUNTIF(C5:C32,"Yes")</f>
        <v>12</v>
      </c>
      <c r="D3" s="167">
        <f t="shared" si="0"/>
        <v>13</v>
      </c>
      <c r="E3" s="167">
        <f t="shared" ref="E3" si="1">COUNTIF(E5:E32,"Yes")</f>
        <v>10</v>
      </c>
      <c r="F3" s="167">
        <f t="shared" si="0"/>
        <v>6</v>
      </c>
      <c r="G3" s="167">
        <f>COUNTIF(G5:G32,"Yes")</f>
        <v>13</v>
      </c>
      <c r="H3" s="167">
        <f>COUNTIF(H5:H32,"Yes")</f>
        <v>13</v>
      </c>
      <c r="I3" s="167">
        <f>COUNTIF(I5:I32,"Yes")</f>
        <v>14</v>
      </c>
      <c r="J3" s="167">
        <f t="shared" si="0"/>
        <v>14</v>
      </c>
      <c r="K3" s="167">
        <f t="shared" ref="K3" si="2">COUNTIF(K5:K32,"Yes")</f>
        <v>14</v>
      </c>
      <c r="L3" s="167">
        <f t="shared" si="0"/>
        <v>11</v>
      </c>
      <c r="M3" s="167">
        <f t="shared" ref="M3:N3" si="3">COUNTIF(M5:M32,"Yes")</f>
        <v>11</v>
      </c>
      <c r="N3" s="167">
        <f t="shared" si="3"/>
        <v>10</v>
      </c>
      <c r="O3" s="167">
        <f t="shared" si="0"/>
        <v>12</v>
      </c>
      <c r="P3" s="167">
        <f t="shared" si="0"/>
        <v>12</v>
      </c>
      <c r="Q3" s="167">
        <f t="shared" si="0"/>
        <v>14</v>
      </c>
      <c r="R3" s="154"/>
      <c r="S3" s="178" t="s">
        <v>233</v>
      </c>
      <c r="T3" s="178" t="s">
        <v>234</v>
      </c>
      <c r="U3" s="155"/>
    </row>
    <row r="4" spans="1:21" ht="17.399999999999999">
      <c r="A4" s="168"/>
      <c r="B4" s="169" t="s">
        <v>246</v>
      </c>
      <c r="C4" s="170"/>
      <c r="D4" s="170"/>
      <c r="E4" s="170"/>
      <c r="F4" s="170"/>
      <c r="G4" s="170"/>
      <c r="H4" s="170"/>
      <c r="I4" s="170"/>
      <c r="J4" s="170"/>
      <c r="K4" s="170"/>
      <c r="L4" s="170"/>
      <c r="M4" s="170"/>
      <c r="N4" s="170"/>
      <c r="O4" s="170"/>
      <c r="P4" s="170"/>
      <c r="Q4" s="170"/>
      <c r="R4" s="170"/>
      <c r="S4" s="170"/>
      <c r="T4" s="171"/>
      <c r="U4" s="85"/>
    </row>
    <row r="5" spans="1:21" ht="13.8">
      <c r="A5" s="150"/>
      <c r="B5" s="172" t="s">
        <v>229</v>
      </c>
      <c r="C5" s="151"/>
      <c r="D5" s="151"/>
      <c r="E5" s="151"/>
      <c r="F5" s="151"/>
      <c r="G5" s="151"/>
      <c r="H5" s="151"/>
      <c r="I5" s="151"/>
      <c r="J5" s="151"/>
      <c r="K5" s="151"/>
      <c r="L5" s="151"/>
      <c r="M5" s="151"/>
      <c r="N5" s="151"/>
      <c r="O5" s="151"/>
      <c r="P5" s="151"/>
      <c r="Q5" s="151"/>
      <c r="R5" s="151"/>
      <c r="S5" s="151"/>
      <c r="T5" s="152"/>
    </row>
    <row r="6" spans="1:21" ht="39.6">
      <c r="A6" s="156" t="s">
        <v>263</v>
      </c>
      <c r="B6" s="175" t="s">
        <v>264</v>
      </c>
      <c r="C6" s="148" t="s">
        <v>23</v>
      </c>
      <c r="D6" s="148" t="s">
        <v>226</v>
      </c>
      <c r="E6" s="148" t="s">
        <v>23</v>
      </c>
      <c r="F6" s="148"/>
      <c r="G6" s="148" t="s">
        <v>226</v>
      </c>
      <c r="H6" s="148" t="s">
        <v>226</v>
      </c>
      <c r="I6" s="148" t="s">
        <v>226</v>
      </c>
      <c r="J6" s="148" t="s">
        <v>226</v>
      </c>
      <c r="K6" s="148" t="s">
        <v>226</v>
      </c>
      <c r="L6" s="148" t="s">
        <v>11</v>
      </c>
      <c r="M6" s="148" t="s">
        <v>11</v>
      </c>
      <c r="N6" s="148" t="s">
        <v>226</v>
      </c>
      <c r="O6" s="148" t="s">
        <v>226</v>
      </c>
      <c r="P6" s="148" t="s">
        <v>226</v>
      </c>
      <c r="Q6" s="148" t="s">
        <v>226</v>
      </c>
      <c r="R6" s="148"/>
      <c r="S6" s="153"/>
      <c r="T6" s="153"/>
    </row>
    <row r="7" spans="1:21" ht="26.4">
      <c r="A7" s="156" t="s">
        <v>265</v>
      </c>
      <c r="B7" s="175" t="s">
        <v>266</v>
      </c>
      <c r="C7" s="148" t="s">
        <v>226</v>
      </c>
      <c r="D7" s="148" t="s">
        <v>226</v>
      </c>
      <c r="E7" s="148" t="s">
        <v>226</v>
      </c>
      <c r="F7" s="148"/>
      <c r="G7" s="148" t="s">
        <v>226</v>
      </c>
      <c r="H7" s="148" t="s">
        <v>226</v>
      </c>
      <c r="I7" s="148" t="s">
        <v>226</v>
      </c>
      <c r="J7" s="148" t="s">
        <v>226</v>
      </c>
      <c r="K7" s="148" t="s">
        <v>226</v>
      </c>
      <c r="L7" s="148" t="s">
        <v>226</v>
      </c>
      <c r="M7" s="148" t="s">
        <v>226</v>
      </c>
      <c r="N7" s="148" t="s">
        <v>23</v>
      </c>
      <c r="O7" s="148" t="s">
        <v>226</v>
      </c>
      <c r="P7" s="148" t="s">
        <v>226</v>
      </c>
      <c r="Q7" s="148" t="s">
        <v>226</v>
      </c>
      <c r="R7" s="148"/>
      <c r="S7" s="153"/>
      <c r="T7" s="153"/>
    </row>
    <row r="8" spans="1:21" ht="13.8">
      <c r="A8" s="150"/>
      <c r="B8" s="172" t="s">
        <v>317</v>
      </c>
      <c r="C8" s="151"/>
      <c r="D8" s="151"/>
      <c r="E8" s="151"/>
      <c r="F8" s="151"/>
      <c r="G8" s="151"/>
      <c r="H8" s="151"/>
      <c r="I8" s="151"/>
      <c r="J8" s="151"/>
      <c r="K8" s="151"/>
      <c r="L8" s="151"/>
      <c r="M8" s="151"/>
      <c r="N8" s="151"/>
      <c r="O8" s="151"/>
      <c r="P8" s="151"/>
      <c r="Q8" s="151"/>
      <c r="R8" s="151"/>
      <c r="S8" s="151"/>
      <c r="T8" s="152"/>
    </row>
    <row r="9" spans="1:21" ht="26.4">
      <c r="A9" s="156" t="s">
        <v>348</v>
      </c>
      <c r="B9" s="175" t="s">
        <v>349</v>
      </c>
      <c r="C9" s="148" t="s">
        <v>226</v>
      </c>
      <c r="D9" s="148" t="s">
        <v>23</v>
      </c>
      <c r="E9" s="148" t="s">
        <v>23</v>
      </c>
      <c r="F9" s="148"/>
      <c r="G9" s="148" t="s">
        <v>226</v>
      </c>
      <c r="H9" s="148" t="s">
        <v>226</v>
      </c>
      <c r="I9" s="148" t="s">
        <v>226</v>
      </c>
      <c r="J9" s="148" t="s">
        <v>226</v>
      </c>
      <c r="K9" s="148" t="s">
        <v>226</v>
      </c>
      <c r="L9" s="148" t="s">
        <v>226</v>
      </c>
      <c r="M9" s="148" t="s">
        <v>226</v>
      </c>
      <c r="N9" s="148" t="s">
        <v>226</v>
      </c>
      <c r="O9" s="148" t="s">
        <v>226</v>
      </c>
      <c r="P9" s="148" t="s">
        <v>226</v>
      </c>
      <c r="Q9" s="148" t="s">
        <v>226</v>
      </c>
      <c r="R9" s="148"/>
      <c r="S9" s="153"/>
      <c r="T9" s="153"/>
    </row>
    <row r="10" spans="1:21" ht="39.6">
      <c r="A10" s="156" t="s">
        <v>350</v>
      </c>
      <c r="B10" s="175" t="s">
        <v>351</v>
      </c>
      <c r="C10" s="148" t="s">
        <v>226</v>
      </c>
      <c r="D10" s="148" t="s">
        <v>226</v>
      </c>
      <c r="E10" s="148" t="s">
        <v>226</v>
      </c>
      <c r="F10" s="148"/>
      <c r="G10" s="148" t="s">
        <v>226</v>
      </c>
      <c r="H10" s="148" t="s">
        <v>226</v>
      </c>
      <c r="I10" s="148" t="s">
        <v>226</v>
      </c>
      <c r="J10" s="148" t="s">
        <v>226</v>
      </c>
      <c r="K10" s="148" t="s">
        <v>226</v>
      </c>
      <c r="L10" s="148" t="s">
        <v>226</v>
      </c>
      <c r="M10" s="148" t="s">
        <v>226</v>
      </c>
      <c r="N10" s="148" t="s">
        <v>226</v>
      </c>
      <c r="O10" s="148" t="s">
        <v>226</v>
      </c>
      <c r="P10" s="148" t="s">
        <v>226</v>
      </c>
      <c r="Q10" s="148" t="s">
        <v>226</v>
      </c>
      <c r="R10" s="148"/>
      <c r="S10" s="153"/>
      <c r="T10" s="153"/>
    </row>
    <row r="11" spans="1:21" ht="26.4">
      <c r="A11" s="156" t="s">
        <v>352</v>
      </c>
      <c r="B11" s="175" t="s">
        <v>353</v>
      </c>
      <c r="C11" s="148" t="s">
        <v>226</v>
      </c>
      <c r="D11" s="148" t="s">
        <v>226</v>
      </c>
      <c r="E11" s="148" t="s">
        <v>226</v>
      </c>
      <c r="F11" s="148"/>
      <c r="G11" s="148" t="s">
        <v>226</v>
      </c>
      <c r="H11" s="148" t="s">
        <v>226</v>
      </c>
      <c r="I11" s="148" t="s">
        <v>226</v>
      </c>
      <c r="J11" s="148" t="s">
        <v>226</v>
      </c>
      <c r="K11" s="148" t="s">
        <v>226</v>
      </c>
      <c r="L11" s="148" t="s">
        <v>226</v>
      </c>
      <c r="M11" s="148" t="s">
        <v>226</v>
      </c>
      <c r="N11" s="148" t="s">
        <v>226</v>
      </c>
      <c r="O11" s="148" t="s">
        <v>226</v>
      </c>
      <c r="P11" s="148" t="s">
        <v>226</v>
      </c>
      <c r="Q11" s="148" t="s">
        <v>226</v>
      </c>
      <c r="R11" s="148"/>
      <c r="S11" s="153"/>
      <c r="T11" s="153"/>
    </row>
    <row r="12" spans="1:21" ht="26.4">
      <c r="A12" s="156" t="s">
        <v>354</v>
      </c>
      <c r="B12" s="175" t="s">
        <v>355</v>
      </c>
      <c r="C12" s="148" t="s">
        <v>226</v>
      </c>
      <c r="D12" s="148" t="s">
        <v>226</v>
      </c>
      <c r="E12" s="148" t="s">
        <v>226</v>
      </c>
      <c r="F12" s="148"/>
      <c r="G12" s="148" t="s">
        <v>226</v>
      </c>
      <c r="H12" s="148" t="s">
        <v>23</v>
      </c>
      <c r="I12" s="148" t="s">
        <v>226</v>
      </c>
      <c r="J12" s="148" t="s">
        <v>226</v>
      </c>
      <c r="K12" s="148" t="s">
        <v>226</v>
      </c>
      <c r="L12" s="148" t="s">
        <v>226</v>
      </c>
      <c r="M12" s="148" t="s">
        <v>226</v>
      </c>
      <c r="N12" s="148" t="s">
        <v>23</v>
      </c>
      <c r="O12" s="148" t="s">
        <v>226</v>
      </c>
      <c r="P12" s="148" t="s">
        <v>226</v>
      </c>
      <c r="Q12" s="148" t="s">
        <v>226</v>
      </c>
      <c r="R12" s="148"/>
      <c r="S12" s="153"/>
      <c r="T12" s="153"/>
    </row>
    <row r="13" spans="1:21" ht="26.4">
      <c r="A13" s="156" t="s">
        <v>356</v>
      </c>
      <c r="B13" s="175" t="s">
        <v>357</v>
      </c>
      <c r="C13" s="148" t="s">
        <v>226</v>
      </c>
      <c r="D13" s="148" t="s">
        <v>226</v>
      </c>
      <c r="E13" s="148" t="s">
        <v>226</v>
      </c>
      <c r="F13" s="148"/>
      <c r="G13" s="148" t="s">
        <v>226</v>
      </c>
      <c r="H13" s="148" t="s">
        <v>226</v>
      </c>
      <c r="I13" s="148" t="s">
        <v>226</v>
      </c>
      <c r="J13" s="148" t="s">
        <v>226</v>
      </c>
      <c r="K13" s="148" t="s">
        <v>226</v>
      </c>
      <c r="L13" s="148" t="s">
        <v>226</v>
      </c>
      <c r="M13" s="148" t="s">
        <v>226</v>
      </c>
      <c r="N13" s="148" t="s">
        <v>226</v>
      </c>
      <c r="O13" s="148" t="s">
        <v>226</v>
      </c>
      <c r="P13" s="148" t="s">
        <v>226</v>
      </c>
      <c r="Q13" s="148" t="s">
        <v>226</v>
      </c>
      <c r="R13" s="148"/>
      <c r="S13" s="153"/>
      <c r="T13" s="153"/>
    </row>
    <row r="14" spans="1:21" ht="52.8">
      <c r="A14" s="156" t="s">
        <v>358</v>
      </c>
      <c r="B14" s="175" t="s">
        <v>359</v>
      </c>
      <c r="C14" s="148" t="s">
        <v>11</v>
      </c>
      <c r="D14" s="148" t="s">
        <v>11</v>
      </c>
      <c r="E14" s="148" t="s">
        <v>11</v>
      </c>
      <c r="F14" s="148"/>
      <c r="G14" s="148" t="s">
        <v>11</v>
      </c>
      <c r="H14" s="148" t="s">
        <v>11</v>
      </c>
      <c r="I14" s="148" t="s">
        <v>11</v>
      </c>
      <c r="J14" s="148" t="s">
        <v>11</v>
      </c>
      <c r="K14" s="148" t="s">
        <v>11</v>
      </c>
      <c r="L14" s="148" t="s">
        <v>11</v>
      </c>
      <c r="M14" s="148" t="s">
        <v>11</v>
      </c>
      <c r="N14" s="148" t="s">
        <v>11</v>
      </c>
      <c r="O14" s="148" t="s">
        <v>11</v>
      </c>
      <c r="P14" s="148" t="s">
        <v>11</v>
      </c>
      <c r="Q14" s="148" t="s">
        <v>11</v>
      </c>
      <c r="R14" s="148"/>
      <c r="S14" s="153"/>
      <c r="T14" s="153"/>
    </row>
    <row r="15" spans="1:21" ht="39.6">
      <c r="A15" s="156" t="s">
        <v>360</v>
      </c>
      <c r="B15" s="175" t="s">
        <v>361</v>
      </c>
      <c r="C15" s="148" t="s">
        <v>226</v>
      </c>
      <c r="D15" s="148" t="s">
        <v>226</v>
      </c>
      <c r="E15" s="148" t="s">
        <v>226</v>
      </c>
      <c r="F15" s="148"/>
      <c r="G15" s="148" t="s">
        <v>226</v>
      </c>
      <c r="H15" s="148" t="s">
        <v>226</v>
      </c>
      <c r="I15" s="148" t="s">
        <v>226</v>
      </c>
      <c r="J15" s="148" t="s">
        <v>226</v>
      </c>
      <c r="K15" s="148" t="s">
        <v>226</v>
      </c>
      <c r="L15" s="148" t="s">
        <v>11</v>
      </c>
      <c r="M15" s="148" t="s">
        <v>11</v>
      </c>
      <c r="N15" s="148" t="s">
        <v>226</v>
      </c>
      <c r="O15" s="148" t="s">
        <v>226</v>
      </c>
      <c r="P15" s="148" t="s">
        <v>226</v>
      </c>
      <c r="Q15" s="148" t="s">
        <v>226</v>
      </c>
      <c r="R15" s="148"/>
      <c r="S15" s="153"/>
      <c r="T15" s="153"/>
    </row>
    <row r="16" spans="1:21" ht="52.8">
      <c r="A16" s="156" t="s">
        <v>362</v>
      </c>
      <c r="B16" s="175" t="s">
        <v>363</v>
      </c>
      <c r="C16" s="148" t="s">
        <v>226</v>
      </c>
      <c r="D16" s="148" t="s">
        <v>226</v>
      </c>
      <c r="E16" s="148" t="s">
        <v>226</v>
      </c>
      <c r="F16" s="148" t="s">
        <v>226</v>
      </c>
      <c r="G16" s="148" t="s">
        <v>226</v>
      </c>
      <c r="H16" s="148" t="s">
        <v>226</v>
      </c>
      <c r="I16" s="148" t="s">
        <v>226</v>
      </c>
      <c r="J16" s="148" t="s">
        <v>226</v>
      </c>
      <c r="K16" s="148" t="s">
        <v>226</v>
      </c>
      <c r="L16" s="148" t="s">
        <v>11</v>
      </c>
      <c r="M16" s="148" t="s">
        <v>11</v>
      </c>
      <c r="N16" s="148" t="s">
        <v>226</v>
      </c>
      <c r="O16" s="148" t="s">
        <v>226</v>
      </c>
      <c r="P16" s="148" t="s">
        <v>226</v>
      </c>
      <c r="Q16" s="148" t="s">
        <v>226</v>
      </c>
      <c r="R16" s="148"/>
      <c r="S16" s="153"/>
      <c r="T16" s="153"/>
    </row>
    <row r="17" spans="1:20" ht="39.6">
      <c r="A17" s="156" t="s">
        <v>364</v>
      </c>
      <c r="B17" s="175" t="s">
        <v>365</v>
      </c>
      <c r="C17" s="148" t="s">
        <v>11</v>
      </c>
      <c r="D17" s="148" t="s">
        <v>11</v>
      </c>
      <c r="E17" s="148" t="s">
        <v>11</v>
      </c>
      <c r="F17" s="148" t="s">
        <v>11</v>
      </c>
      <c r="G17" s="148" t="s">
        <v>11</v>
      </c>
      <c r="H17" s="148" t="s">
        <v>11</v>
      </c>
      <c r="I17" s="148" t="s">
        <v>11</v>
      </c>
      <c r="J17" s="148" t="s">
        <v>11</v>
      </c>
      <c r="K17" s="148" t="s">
        <v>11</v>
      </c>
      <c r="L17" s="148" t="s">
        <v>11</v>
      </c>
      <c r="M17" s="148" t="s">
        <v>11</v>
      </c>
      <c r="N17" s="148" t="s">
        <v>11</v>
      </c>
      <c r="O17" s="148" t="s">
        <v>11</v>
      </c>
      <c r="P17" s="148" t="s">
        <v>11</v>
      </c>
      <c r="Q17" s="148" t="s">
        <v>11</v>
      </c>
      <c r="R17" s="148"/>
      <c r="S17" s="153"/>
      <c r="T17" s="153"/>
    </row>
    <row r="18" spans="1:20" ht="26.4">
      <c r="A18" s="156" t="s">
        <v>366</v>
      </c>
      <c r="B18" s="175" t="s">
        <v>367</v>
      </c>
      <c r="C18" s="148" t="s">
        <v>226</v>
      </c>
      <c r="D18" s="148" t="s">
        <v>226</v>
      </c>
      <c r="E18" s="148" t="s">
        <v>226</v>
      </c>
      <c r="F18" s="148" t="s">
        <v>226</v>
      </c>
      <c r="G18" s="148" t="s">
        <v>226</v>
      </c>
      <c r="H18" s="148" t="s">
        <v>226</v>
      </c>
      <c r="I18" s="148" t="s">
        <v>226</v>
      </c>
      <c r="J18" s="148" t="s">
        <v>226</v>
      </c>
      <c r="K18" s="148" t="s">
        <v>226</v>
      </c>
      <c r="L18" s="148" t="s">
        <v>11</v>
      </c>
      <c r="M18" s="148" t="s">
        <v>11</v>
      </c>
      <c r="N18" s="148" t="s">
        <v>226</v>
      </c>
      <c r="O18" s="148" t="s">
        <v>226</v>
      </c>
      <c r="P18" s="148" t="s">
        <v>226</v>
      </c>
      <c r="Q18" s="148" t="s">
        <v>226</v>
      </c>
      <c r="R18" s="148"/>
      <c r="S18" s="153"/>
      <c r="T18" s="153"/>
    </row>
    <row r="19" spans="1:20" ht="39.6">
      <c r="A19" s="156" t="s">
        <v>389</v>
      </c>
      <c r="B19" s="175" t="s">
        <v>390</v>
      </c>
      <c r="C19" s="148" t="s">
        <v>11</v>
      </c>
      <c r="D19" s="148" t="s">
        <v>11</v>
      </c>
      <c r="E19" s="148" t="s">
        <v>11</v>
      </c>
      <c r="F19" s="148" t="s">
        <v>11</v>
      </c>
      <c r="G19" s="148" t="s">
        <v>11</v>
      </c>
      <c r="H19" s="148" t="s">
        <v>11</v>
      </c>
      <c r="I19" s="148" t="s">
        <v>11</v>
      </c>
      <c r="J19" s="148" t="s">
        <v>11</v>
      </c>
      <c r="K19" s="148" t="s">
        <v>11</v>
      </c>
      <c r="L19" s="148" t="s">
        <v>11</v>
      </c>
      <c r="M19" s="148" t="s">
        <v>11</v>
      </c>
      <c r="N19" s="148" t="s">
        <v>11</v>
      </c>
      <c r="O19" s="148" t="s">
        <v>11</v>
      </c>
      <c r="P19" s="148" t="s">
        <v>11</v>
      </c>
      <c r="Q19" s="148" t="s">
        <v>11</v>
      </c>
      <c r="R19" s="148"/>
      <c r="S19" s="153"/>
      <c r="T19" s="153"/>
    </row>
    <row r="20" spans="1:20" ht="26.4">
      <c r="A20" s="156" t="s">
        <v>391</v>
      </c>
      <c r="B20" s="175" t="s">
        <v>392</v>
      </c>
      <c r="C20" s="148" t="s">
        <v>11</v>
      </c>
      <c r="D20" s="148" t="s">
        <v>11</v>
      </c>
      <c r="E20" s="148" t="s">
        <v>11</v>
      </c>
      <c r="F20" s="148" t="s">
        <v>11</v>
      </c>
      <c r="G20" s="148" t="s">
        <v>11</v>
      </c>
      <c r="H20" s="148" t="s">
        <v>11</v>
      </c>
      <c r="I20" s="148" t="s">
        <v>11</v>
      </c>
      <c r="J20" s="148" t="s">
        <v>11</v>
      </c>
      <c r="K20" s="148" t="s">
        <v>11</v>
      </c>
      <c r="L20" s="148" t="s">
        <v>11</v>
      </c>
      <c r="M20" s="148" t="s">
        <v>11</v>
      </c>
      <c r="N20" s="148" t="s">
        <v>11</v>
      </c>
      <c r="O20" s="148" t="s">
        <v>11</v>
      </c>
      <c r="P20" s="148" t="s">
        <v>11</v>
      </c>
      <c r="Q20" s="148" t="s">
        <v>11</v>
      </c>
      <c r="R20" s="148"/>
      <c r="S20" s="153"/>
      <c r="T20" s="153"/>
    </row>
    <row r="21" spans="1:20" ht="13.8">
      <c r="A21" s="150"/>
      <c r="B21" s="172" t="s">
        <v>230</v>
      </c>
      <c r="C21" s="151"/>
      <c r="D21" s="151"/>
      <c r="E21" s="151"/>
      <c r="F21" s="151"/>
      <c r="G21" s="151"/>
      <c r="H21" s="151"/>
      <c r="I21" s="151"/>
      <c r="J21" s="151"/>
      <c r="K21" s="151"/>
      <c r="L21" s="151"/>
      <c r="M21" s="151"/>
      <c r="N21" s="151"/>
      <c r="O21" s="151"/>
      <c r="P21" s="151"/>
      <c r="Q21" s="151"/>
      <c r="R21" s="151"/>
      <c r="S21" s="151"/>
      <c r="T21" s="152"/>
    </row>
    <row r="22" spans="1:20" ht="39.6">
      <c r="A22" s="156" t="s">
        <v>235</v>
      </c>
      <c r="B22" s="175" t="s">
        <v>220</v>
      </c>
      <c r="C22" s="148" t="s">
        <v>23</v>
      </c>
      <c r="D22" s="148" t="s">
        <v>226</v>
      </c>
      <c r="E22" s="148" t="s">
        <v>226</v>
      </c>
      <c r="F22" s="148" t="s">
        <v>226</v>
      </c>
      <c r="G22" s="148" t="s">
        <v>226</v>
      </c>
      <c r="H22" s="148" t="s">
        <v>226</v>
      </c>
      <c r="I22" s="148" t="s">
        <v>226</v>
      </c>
      <c r="J22" s="148" t="s">
        <v>226</v>
      </c>
      <c r="K22" s="148" t="s">
        <v>226</v>
      </c>
      <c r="L22" s="148" t="s">
        <v>226</v>
      </c>
      <c r="M22" s="148" t="s">
        <v>226</v>
      </c>
      <c r="N22" s="148" t="s">
        <v>226</v>
      </c>
      <c r="O22" s="148" t="s">
        <v>226</v>
      </c>
      <c r="P22" s="148" t="s">
        <v>226</v>
      </c>
      <c r="Q22" s="148" t="s">
        <v>226</v>
      </c>
      <c r="R22" s="148"/>
      <c r="S22" s="153"/>
      <c r="T22" s="153"/>
    </row>
    <row r="23" spans="1:20" ht="26.4">
      <c r="A23" s="156" t="s">
        <v>236</v>
      </c>
      <c r="B23" s="175" t="s">
        <v>221</v>
      </c>
      <c r="C23" s="148" t="s">
        <v>11</v>
      </c>
      <c r="D23" s="148" t="s">
        <v>11</v>
      </c>
      <c r="E23" s="148" t="s">
        <v>11</v>
      </c>
      <c r="F23" s="148" t="s">
        <v>11</v>
      </c>
      <c r="G23" s="148" t="s">
        <v>11</v>
      </c>
      <c r="H23" s="148" t="s">
        <v>11</v>
      </c>
      <c r="I23" s="148" t="s">
        <v>11</v>
      </c>
      <c r="J23" s="148" t="s">
        <v>11</v>
      </c>
      <c r="K23" s="148" t="s">
        <v>11</v>
      </c>
      <c r="L23" s="148" t="s">
        <v>11</v>
      </c>
      <c r="M23" s="148" t="s">
        <v>11</v>
      </c>
      <c r="N23" s="148" t="s">
        <v>11</v>
      </c>
      <c r="O23" s="148" t="s">
        <v>11</v>
      </c>
      <c r="P23" s="148" t="s">
        <v>11</v>
      </c>
      <c r="Q23" s="148" t="s">
        <v>11</v>
      </c>
      <c r="R23" s="148"/>
      <c r="S23" s="153"/>
      <c r="T23" s="153"/>
    </row>
    <row r="24" spans="1:20" ht="39.6">
      <c r="A24" s="156" t="s">
        <v>237</v>
      </c>
      <c r="B24" s="175" t="s">
        <v>222</v>
      </c>
      <c r="C24" s="148" t="s">
        <v>11</v>
      </c>
      <c r="D24" s="148" t="s">
        <v>11</v>
      </c>
      <c r="E24" s="148" t="s">
        <v>11</v>
      </c>
      <c r="F24" s="148" t="s">
        <v>11</v>
      </c>
      <c r="G24" s="148" t="s">
        <v>11</v>
      </c>
      <c r="H24" s="148" t="s">
        <v>11</v>
      </c>
      <c r="I24" s="148" t="s">
        <v>11</v>
      </c>
      <c r="J24" s="148" t="s">
        <v>11</v>
      </c>
      <c r="K24" s="148" t="s">
        <v>11</v>
      </c>
      <c r="L24" s="148" t="s">
        <v>11</v>
      </c>
      <c r="M24" s="148" t="s">
        <v>11</v>
      </c>
      <c r="N24" s="148" t="s">
        <v>11</v>
      </c>
      <c r="O24" s="148" t="s">
        <v>11</v>
      </c>
      <c r="P24" s="148" t="s">
        <v>11</v>
      </c>
      <c r="Q24" s="148" t="s">
        <v>11</v>
      </c>
      <c r="R24" s="148"/>
      <c r="S24" s="153"/>
      <c r="T24" s="153"/>
    </row>
    <row r="25" spans="1:20" ht="39.6">
      <c r="A25" s="156" t="s">
        <v>238</v>
      </c>
      <c r="B25" s="175" t="s">
        <v>223</v>
      </c>
      <c r="C25" s="148" t="s">
        <v>11</v>
      </c>
      <c r="D25" s="148" t="s">
        <v>11</v>
      </c>
      <c r="E25" s="148" t="s">
        <v>11</v>
      </c>
      <c r="F25" s="148" t="s">
        <v>11</v>
      </c>
      <c r="G25" s="148" t="s">
        <v>11</v>
      </c>
      <c r="H25" s="148" t="s">
        <v>11</v>
      </c>
      <c r="I25" s="148" t="s">
        <v>11</v>
      </c>
      <c r="J25" s="148" t="s">
        <v>11</v>
      </c>
      <c r="K25" s="148" t="s">
        <v>11</v>
      </c>
      <c r="L25" s="148" t="s">
        <v>11</v>
      </c>
      <c r="M25" s="148" t="s">
        <v>11</v>
      </c>
      <c r="N25" s="148" t="s">
        <v>11</v>
      </c>
      <c r="O25" s="148" t="s">
        <v>11</v>
      </c>
      <c r="P25" s="148" t="s">
        <v>11</v>
      </c>
      <c r="Q25" s="148" t="s">
        <v>11</v>
      </c>
      <c r="R25" s="148"/>
      <c r="S25" s="153"/>
      <c r="T25" s="153"/>
    </row>
    <row r="26" spans="1:20" ht="13.8">
      <c r="A26" s="150"/>
      <c r="B26" s="172" t="s">
        <v>231</v>
      </c>
      <c r="C26" s="151"/>
      <c r="D26" s="151"/>
      <c r="E26" s="151"/>
      <c r="F26" s="151"/>
      <c r="G26" s="151"/>
      <c r="H26" s="151"/>
      <c r="I26" s="151"/>
      <c r="J26" s="151"/>
      <c r="K26" s="151"/>
      <c r="L26" s="151"/>
      <c r="M26" s="151"/>
      <c r="N26" s="151"/>
      <c r="O26" s="151"/>
      <c r="P26" s="151"/>
      <c r="Q26" s="151"/>
      <c r="R26" s="151"/>
      <c r="S26" s="151"/>
      <c r="T26" s="152"/>
    </row>
    <row r="27" spans="1:20" ht="39.6">
      <c r="A27" s="156" t="s">
        <v>239</v>
      </c>
      <c r="B27" s="175" t="s">
        <v>224</v>
      </c>
      <c r="C27" s="148" t="s">
        <v>226</v>
      </c>
      <c r="D27" s="148" t="s">
        <v>226</v>
      </c>
      <c r="E27" s="148" t="s">
        <v>226</v>
      </c>
      <c r="F27" s="148" t="s">
        <v>226</v>
      </c>
      <c r="G27" s="148" t="s">
        <v>226</v>
      </c>
      <c r="H27" s="148" t="s">
        <v>226</v>
      </c>
      <c r="I27" s="148" t="s">
        <v>226</v>
      </c>
      <c r="J27" s="148" t="s">
        <v>226</v>
      </c>
      <c r="K27" s="148" t="s">
        <v>226</v>
      </c>
      <c r="L27" s="148" t="s">
        <v>226</v>
      </c>
      <c r="M27" s="148" t="s">
        <v>226</v>
      </c>
      <c r="N27" s="148" t="s">
        <v>226</v>
      </c>
      <c r="O27" s="148" t="s">
        <v>226</v>
      </c>
      <c r="P27" s="148" t="s">
        <v>226</v>
      </c>
      <c r="Q27" s="148" t="s">
        <v>226</v>
      </c>
      <c r="R27" s="148"/>
      <c r="S27" s="153"/>
      <c r="T27" s="153"/>
    </row>
    <row r="28" spans="1:20" ht="39.6">
      <c r="A28" s="156" t="s">
        <v>240</v>
      </c>
      <c r="B28" s="175" t="s">
        <v>225</v>
      </c>
      <c r="C28" s="148" t="s">
        <v>11</v>
      </c>
      <c r="D28" s="148" t="s">
        <v>11</v>
      </c>
      <c r="E28" s="148" t="s">
        <v>11</v>
      </c>
      <c r="F28" s="148" t="s">
        <v>11</v>
      </c>
      <c r="G28" s="148" t="s">
        <v>11</v>
      </c>
      <c r="H28" s="148" t="s">
        <v>11</v>
      </c>
      <c r="I28" s="148" t="s">
        <v>11</v>
      </c>
      <c r="J28" s="148" t="s">
        <v>11</v>
      </c>
      <c r="K28" s="148" t="s">
        <v>11</v>
      </c>
      <c r="L28" s="148" t="s">
        <v>226</v>
      </c>
      <c r="M28" s="148" t="s">
        <v>226</v>
      </c>
      <c r="N28" s="148" t="s">
        <v>11</v>
      </c>
      <c r="O28" s="148" t="s">
        <v>11</v>
      </c>
      <c r="P28" s="148" t="s">
        <v>11</v>
      </c>
      <c r="Q28" s="148" t="s">
        <v>11</v>
      </c>
      <c r="R28" s="148"/>
      <c r="S28" s="153"/>
      <c r="T28" s="153"/>
    </row>
    <row r="29" spans="1:20" ht="13.8">
      <c r="A29" s="150"/>
      <c r="B29" s="172" t="s">
        <v>217</v>
      </c>
      <c r="C29" s="151"/>
      <c r="D29" s="151"/>
      <c r="E29" s="151"/>
      <c r="F29" s="151"/>
      <c r="G29" s="151"/>
      <c r="H29" s="151"/>
      <c r="I29" s="151"/>
      <c r="J29" s="151"/>
      <c r="K29" s="151"/>
      <c r="L29" s="151"/>
      <c r="M29" s="151"/>
      <c r="N29" s="151"/>
      <c r="O29" s="151"/>
      <c r="P29" s="151"/>
      <c r="Q29" s="151"/>
      <c r="R29" s="151"/>
      <c r="S29" s="151"/>
      <c r="T29" s="152"/>
    </row>
    <row r="30" spans="1:20" ht="26.4">
      <c r="A30" s="156" t="s">
        <v>402</v>
      </c>
      <c r="B30" s="175" t="s">
        <v>403</v>
      </c>
      <c r="C30" s="153" t="s">
        <v>226</v>
      </c>
      <c r="D30" s="148" t="s">
        <v>226</v>
      </c>
      <c r="E30" s="153" t="s">
        <v>23</v>
      </c>
      <c r="F30" s="153" t="s">
        <v>226</v>
      </c>
      <c r="G30" s="148" t="s">
        <v>226</v>
      </c>
      <c r="H30" s="148" t="s">
        <v>226</v>
      </c>
      <c r="I30" s="148" t="s">
        <v>226</v>
      </c>
      <c r="J30" s="153" t="s">
        <v>226</v>
      </c>
      <c r="K30" s="153" t="s">
        <v>226</v>
      </c>
      <c r="L30" s="148" t="s">
        <v>226</v>
      </c>
      <c r="M30" s="148" t="s">
        <v>226</v>
      </c>
      <c r="N30" s="153" t="s">
        <v>23</v>
      </c>
      <c r="O30" s="153" t="s">
        <v>23</v>
      </c>
      <c r="P30" s="153" t="s">
        <v>23</v>
      </c>
      <c r="Q30" s="153" t="s">
        <v>226</v>
      </c>
      <c r="R30" s="153"/>
      <c r="S30" s="153"/>
      <c r="T30" s="153"/>
    </row>
    <row r="31" spans="1:20" ht="39.6">
      <c r="A31" s="156" t="s">
        <v>404</v>
      </c>
      <c r="B31" s="175" t="s">
        <v>405</v>
      </c>
      <c r="C31" s="153" t="s">
        <v>226</v>
      </c>
      <c r="D31" s="148" t="s">
        <v>226</v>
      </c>
      <c r="E31" s="153" t="s">
        <v>11</v>
      </c>
      <c r="F31" s="153" t="s">
        <v>226</v>
      </c>
      <c r="G31" s="153" t="s">
        <v>11</v>
      </c>
      <c r="H31" s="148" t="s">
        <v>226</v>
      </c>
      <c r="I31" s="148" t="s">
        <v>226</v>
      </c>
      <c r="J31" s="153" t="s">
        <v>226</v>
      </c>
      <c r="K31" s="153" t="s">
        <v>226</v>
      </c>
      <c r="L31" s="148" t="s">
        <v>226</v>
      </c>
      <c r="M31" s="148" t="s">
        <v>226</v>
      </c>
      <c r="N31" s="153" t="s">
        <v>23</v>
      </c>
      <c r="O31" s="153" t="s">
        <v>23</v>
      </c>
      <c r="P31" s="153" t="s">
        <v>23</v>
      </c>
      <c r="Q31" s="153" t="s">
        <v>226</v>
      </c>
      <c r="R31" s="153"/>
      <c r="S31" s="153"/>
      <c r="T31" s="153"/>
    </row>
    <row r="32" spans="1:20" ht="17.399999999999999">
      <c r="A32" s="176"/>
      <c r="B32" s="177" t="s">
        <v>241</v>
      </c>
      <c r="C32" s="176"/>
      <c r="D32" s="176"/>
      <c r="E32" s="176"/>
      <c r="F32" s="176"/>
      <c r="G32" s="176"/>
      <c r="H32" s="176"/>
      <c r="I32" s="176"/>
      <c r="J32" s="176"/>
      <c r="K32" s="176"/>
      <c r="L32" s="176"/>
      <c r="M32" s="176"/>
      <c r="N32" s="176"/>
      <c r="O32" s="176"/>
      <c r="P32" s="176"/>
      <c r="Q32" s="176"/>
      <c r="R32" s="176"/>
      <c r="S32" s="176"/>
      <c r="T32" s="176"/>
    </row>
    <row r="33" spans="1:20" ht="13.8">
      <c r="A33" s="158"/>
      <c r="B33" s="159" t="s">
        <v>243</v>
      </c>
      <c r="C33" s="160"/>
      <c r="D33" s="160"/>
      <c r="E33" s="160"/>
      <c r="F33" s="160"/>
      <c r="G33" s="160"/>
      <c r="H33" s="160"/>
      <c r="I33" s="160"/>
      <c r="J33" s="160"/>
      <c r="K33" s="160"/>
      <c r="L33" s="160"/>
      <c r="M33" s="160"/>
      <c r="N33" s="160"/>
      <c r="O33" s="160"/>
      <c r="P33" s="160"/>
      <c r="Q33" s="160"/>
      <c r="R33" s="160"/>
      <c r="S33" s="160"/>
      <c r="T33" s="161"/>
    </row>
  </sheetData>
  <mergeCells count="1">
    <mergeCell ref="S2:T2"/>
  </mergeCells>
  <dataValidations count="1">
    <dataValidation type="list" allowBlank="1" showInputMessage="1" showErrorMessage="1" sqref="D30:D31 H31:I31 G30:I30 L30:M31 C9:Q20 C27:Q28 C6:Q7 C22:Q25" xr:uid="{C6280127-A494-496D-B8CF-3F4D00E3455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CCC0-FAE8-468F-92C3-B56164C3E4D5}">
  <sheetPr codeName="Feuil46">
    <tabColor theme="7"/>
    <pageSetUpPr fitToPage="1"/>
  </sheetPr>
  <dimension ref="A2:L34"/>
  <sheetViews>
    <sheetView zoomScale="110" zoomScaleNormal="110" workbookViewId="0">
      <pane xSplit="1" ySplit="3" topLeftCell="B4" activePane="bottomRight" state="frozen"/>
      <selection pane="topRight" activeCell="B1" sqref="B1"/>
      <selection pane="bottomLeft" activeCell="A4" sqref="A4"/>
      <selection pane="bottomRight" activeCell="H2" sqref="H2"/>
    </sheetView>
  </sheetViews>
  <sheetFormatPr defaultColWidth="9.21875" defaultRowHeight="13.2"/>
  <cols>
    <col min="1" max="1" width="10.77734375" style="149" bestFit="1" customWidth="1"/>
    <col min="2" max="2" width="61" style="147" customWidth="1"/>
    <col min="3" max="8" width="4.44140625" style="146" bestFit="1" customWidth="1"/>
    <col min="9" max="9" width="30.77734375" style="146" customWidth="1"/>
    <col min="10" max="11" width="27.77734375" style="146" customWidth="1"/>
    <col min="12" max="16384" width="9.21875" style="146"/>
  </cols>
  <sheetData>
    <row r="2" spans="1:12" ht="114.75" customHeight="1">
      <c r="A2" s="162" t="s">
        <v>227</v>
      </c>
      <c r="B2" s="163" t="s">
        <v>267</v>
      </c>
      <c r="C2" s="164" t="s">
        <v>428</v>
      </c>
      <c r="D2" s="164" t="s">
        <v>491</v>
      </c>
      <c r="E2" s="164" t="s">
        <v>495</v>
      </c>
      <c r="F2" s="164" t="s">
        <v>496</v>
      </c>
      <c r="G2" s="164" t="s">
        <v>497</v>
      </c>
      <c r="H2" s="205" t="s">
        <v>568</v>
      </c>
      <c r="I2" s="165" t="s">
        <v>242</v>
      </c>
      <c r="J2" s="321" t="s">
        <v>187</v>
      </c>
      <c r="K2" s="322"/>
    </row>
    <row r="3" spans="1:12" ht="18">
      <c r="A3" s="166"/>
      <c r="B3" s="167"/>
      <c r="C3" s="167">
        <f t="shared" ref="C3:H3" si="0">COUNTIF(C5:C34,"Yes")</f>
        <v>14</v>
      </c>
      <c r="D3" s="167">
        <f t="shared" si="0"/>
        <v>14</v>
      </c>
      <c r="E3" s="167">
        <f t="shared" si="0"/>
        <v>16</v>
      </c>
      <c r="F3" s="167">
        <f t="shared" si="0"/>
        <v>16</v>
      </c>
      <c r="G3" s="167">
        <f t="shared" si="0"/>
        <v>16</v>
      </c>
      <c r="H3" s="167">
        <f t="shared" si="0"/>
        <v>16</v>
      </c>
      <c r="I3" s="154"/>
      <c r="J3" s="178" t="s">
        <v>233</v>
      </c>
      <c r="K3" s="178" t="s">
        <v>234</v>
      </c>
      <c r="L3" s="155"/>
    </row>
    <row r="4" spans="1:12" ht="17.399999999999999">
      <c r="A4" s="168"/>
      <c r="B4" s="169" t="s">
        <v>246</v>
      </c>
      <c r="C4" s="170"/>
      <c r="D4" s="170"/>
      <c r="E4" s="170"/>
      <c r="F4" s="170"/>
      <c r="G4" s="170"/>
      <c r="H4" s="170"/>
      <c r="I4" s="170"/>
      <c r="J4" s="170"/>
      <c r="K4" s="171"/>
      <c r="L4" s="85"/>
    </row>
    <row r="5" spans="1:12" ht="13.8">
      <c r="A5" s="150"/>
      <c r="B5" s="172" t="s">
        <v>247</v>
      </c>
      <c r="C5" s="151"/>
      <c r="D5" s="151"/>
      <c r="E5" s="151"/>
      <c r="F5" s="151"/>
      <c r="G5" s="151"/>
      <c r="H5" s="151"/>
      <c r="I5" s="151"/>
      <c r="J5" s="151"/>
      <c r="K5" s="152"/>
    </row>
    <row r="6" spans="1:12" ht="26.4">
      <c r="A6" s="156" t="s">
        <v>268</v>
      </c>
      <c r="B6" s="175" t="s">
        <v>249</v>
      </c>
      <c r="C6" s="148" t="s">
        <v>226</v>
      </c>
      <c r="D6" s="148" t="s">
        <v>226</v>
      </c>
      <c r="E6" s="148" t="s">
        <v>226</v>
      </c>
      <c r="F6" s="148" t="s">
        <v>226</v>
      </c>
      <c r="G6" s="148" t="s">
        <v>226</v>
      </c>
      <c r="H6" s="148" t="s">
        <v>226</v>
      </c>
      <c r="I6" s="148"/>
      <c r="J6" s="153"/>
      <c r="K6" s="153"/>
    </row>
    <row r="7" spans="1:12" ht="39.6">
      <c r="A7" s="156" t="s">
        <v>269</v>
      </c>
      <c r="B7" s="175" t="s">
        <v>290</v>
      </c>
      <c r="C7" s="148" t="s">
        <v>226</v>
      </c>
      <c r="D7" s="148" t="s">
        <v>226</v>
      </c>
      <c r="E7" s="148" t="s">
        <v>226</v>
      </c>
      <c r="F7" s="148" t="s">
        <v>226</v>
      </c>
      <c r="G7" s="148" t="s">
        <v>226</v>
      </c>
      <c r="H7" s="148" t="s">
        <v>226</v>
      </c>
      <c r="I7" s="148"/>
      <c r="J7" s="157" t="s">
        <v>291</v>
      </c>
      <c r="K7" s="153"/>
    </row>
    <row r="8" spans="1:12" ht="39.6">
      <c r="A8" s="156" t="s">
        <v>253</v>
      </c>
      <c r="B8" s="175" t="s">
        <v>292</v>
      </c>
      <c r="C8" s="148" t="s">
        <v>226</v>
      </c>
      <c r="D8" s="148" t="s">
        <v>226</v>
      </c>
      <c r="E8" s="148" t="s">
        <v>226</v>
      </c>
      <c r="F8" s="148" t="s">
        <v>226</v>
      </c>
      <c r="G8" s="148" t="s">
        <v>226</v>
      </c>
      <c r="H8" s="148" t="s">
        <v>226</v>
      </c>
      <c r="I8" s="148"/>
      <c r="J8" s="153"/>
      <c r="K8" s="153"/>
    </row>
    <row r="9" spans="1:12" ht="39.6">
      <c r="A9" s="156" t="s">
        <v>254</v>
      </c>
      <c r="B9" s="175" t="s">
        <v>293</v>
      </c>
      <c r="C9" s="148" t="s">
        <v>226</v>
      </c>
      <c r="D9" s="148" t="s">
        <v>226</v>
      </c>
      <c r="E9" s="148" t="s">
        <v>226</v>
      </c>
      <c r="F9" s="148" t="s">
        <v>226</v>
      </c>
      <c r="G9" s="148" t="s">
        <v>226</v>
      </c>
      <c r="H9" s="148" t="s">
        <v>226</v>
      </c>
      <c r="I9" s="148"/>
      <c r="J9" s="153"/>
      <c r="K9" s="153"/>
    </row>
    <row r="10" spans="1:12" ht="26.4">
      <c r="A10" s="156" t="s">
        <v>294</v>
      </c>
      <c r="B10" s="175" t="s">
        <v>295</v>
      </c>
      <c r="C10" s="148" t="s">
        <v>226</v>
      </c>
      <c r="D10" s="148" t="s">
        <v>226</v>
      </c>
      <c r="E10" s="148" t="s">
        <v>226</v>
      </c>
      <c r="F10" s="148" t="s">
        <v>226</v>
      </c>
      <c r="G10" s="148" t="s">
        <v>226</v>
      </c>
      <c r="H10" s="148" t="s">
        <v>226</v>
      </c>
      <c r="I10" s="148"/>
      <c r="J10" s="153"/>
      <c r="K10" s="153"/>
    </row>
    <row r="11" spans="1:12" ht="26.4">
      <c r="A11" s="156" t="s">
        <v>270</v>
      </c>
      <c r="B11" s="175" t="s">
        <v>250</v>
      </c>
      <c r="C11" s="148" t="s">
        <v>226</v>
      </c>
      <c r="D11" s="148" t="s">
        <v>226</v>
      </c>
      <c r="E11" s="148" t="s">
        <v>226</v>
      </c>
      <c r="F11" s="148" t="s">
        <v>226</v>
      </c>
      <c r="G11" s="148" t="s">
        <v>226</v>
      </c>
      <c r="H11" s="148" t="s">
        <v>226</v>
      </c>
      <c r="I11" s="148"/>
      <c r="J11" s="153"/>
      <c r="K11" s="153"/>
    </row>
    <row r="12" spans="1:12" ht="52.8">
      <c r="A12" s="156" t="s">
        <v>255</v>
      </c>
      <c r="B12" s="175" t="s">
        <v>256</v>
      </c>
      <c r="C12" s="148" t="s">
        <v>226</v>
      </c>
      <c r="D12" s="148" t="s">
        <v>226</v>
      </c>
      <c r="E12" s="148" t="s">
        <v>226</v>
      </c>
      <c r="F12" s="148" t="s">
        <v>226</v>
      </c>
      <c r="G12" s="148" t="s">
        <v>226</v>
      </c>
      <c r="H12" s="148" t="s">
        <v>226</v>
      </c>
      <c r="I12" s="148"/>
      <c r="J12" s="153"/>
      <c r="K12" s="153"/>
    </row>
    <row r="13" spans="1:12" ht="26.4">
      <c r="A13" s="156" t="s">
        <v>271</v>
      </c>
      <c r="B13" s="175" t="s">
        <v>296</v>
      </c>
      <c r="C13" s="148" t="s">
        <v>226</v>
      </c>
      <c r="D13" s="148" t="s">
        <v>226</v>
      </c>
      <c r="E13" s="148" t="s">
        <v>226</v>
      </c>
      <c r="F13" s="148" t="s">
        <v>226</v>
      </c>
      <c r="G13" s="148" t="s">
        <v>226</v>
      </c>
      <c r="H13" s="148" t="s">
        <v>226</v>
      </c>
      <c r="I13" s="148"/>
      <c r="J13" s="153"/>
      <c r="K13" s="153"/>
    </row>
    <row r="14" spans="1:12" ht="39.6">
      <c r="A14" s="156" t="s">
        <v>297</v>
      </c>
      <c r="B14" s="175" t="s">
        <v>298</v>
      </c>
      <c r="C14" s="148" t="s">
        <v>226</v>
      </c>
      <c r="D14" s="148" t="s">
        <v>226</v>
      </c>
      <c r="E14" s="148" t="s">
        <v>226</v>
      </c>
      <c r="F14" s="148" t="s">
        <v>226</v>
      </c>
      <c r="G14" s="148" t="s">
        <v>226</v>
      </c>
      <c r="H14" s="148" t="s">
        <v>226</v>
      </c>
      <c r="I14" s="148"/>
      <c r="J14" s="153"/>
      <c r="K14" s="153"/>
    </row>
    <row r="15" spans="1:12" ht="13.8">
      <c r="A15" s="150"/>
      <c r="B15" s="172" t="s">
        <v>248</v>
      </c>
      <c r="C15" s="151"/>
      <c r="D15" s="151"/>
      <c r="E15" s="151"/>
      <c r="F15" s="151"/>
      <c r="G15" s="151"/>
      <c r="H15" s="151"/>
      <c r="I15" s="151"/>
      <c r="J15" s="151"/>
      <c r="K15" s="152"/>
    </row>
    <row r="16" spans="1:12" ht="66">
      <c r="A16" s="156" t="s">
        <v>272</v>
      </c>
      <c r="B16" s="175" t="s">
        <v>251</v>
      </c>
      <c r="C16" s="148" t="s">
        <v>11</v>
      </c>
      <c r="D16" s="148" t="s">
        <v>11</v>
      </c>
      <c r="E16" s="148" t="s">
        <v>11</v>
      </c>
      <c r="F16" s="148" t="s">
        <v>11</v>
      </c>
      <c r="G16" s="148" t="s">
        <v>11</v>
      </c>
      <c r="H16" s="148" t="s">
        <v>11</v>
      </c>
      <c r="I16" s="148"/>
      <c r="J16" s="153"/>
      <c r="K16" s="153"/>
    </row>
    <row r="17" spans="1:11" ht="66">
      <c r="A17" s="156" t="s">
        <v>257</v>
      </c>
      <c r="B17" s="175" t="s">
        <v>252</v>
      </c>
      <c r="C17" s="148" t="s">
        <v>11</v>
      </c>
      <c r="D17" s="148" t="s">
        <v>11</v>
      </c>
      <c r="E17" s="148" t="s">
        <v>11</v>
      </c>
      <c r="F17" s="148" t="s">
        <v>11</v>
      </c>
      <c r="G17" s="148" t="s">
        <v>11</v>
      </c>
      <c r="H17" s="148" t="s">
        <v>11</v>
      </c>
      <c r="I17" s="148"/>
      <c r="J17" s="153"/>
      <c r="K17" s="153"/>
    </row>
    <row r="18" spans="1:11" ht="52.8">
      <c r="A18" s="156" t="s">
        <v>273</v>
      </c>
      <c r="B18" s="175" t="s">
        <v>274</v>
      </c>
      <c r="C18" s="148" t="s">
        <v>226</v>
      </c>
      <c r="D18" s="148" t="s">
        <v>226</v>
      </c>
      <c r="E18" s="148" t="s">
        <v>226</v>
      </c>
      <c r="F18" s="148" t="s">
        <v>226</v>
      </c>
      <c r="G18" s="148" t="s">
        <v>226</v>
      </c>
      <c r="H18" s="148" t="s">
        <v>226</v>
      </c>
      <c r="I18" s="148"/>
      <c r="J18" s="153"/>
      <c r="K18" s="153"/>
    </row>
    <row r="19" spans="1:11" ht="26.4">
      <c r="A19" s="156" t="s">
        <v>258</v>
      </c>
      <c r="B19" s="175" t="s">
        <v>259</v>
      </c>
      <c r="C19" s="148" t="s">
        <v>11</v>
      </c>
      <c r="D19" s="148" t="s">
        <v>11</v>
      </c>
      <c r="E19" s="148" t="s">
        <v>11</v>
      </c>
      <c r="F19" s="148" t="s">
        <v>11</v>
      </c>
      <c r="G19" s="148" t="s">
        <v>11</v>
      </c>
      <c r="H19" s="148" t="s">
        <v>11</v>
      </c>
      <c r="I19" s="148"/>
      <c r="J19" s="153"/>
      <c r="K19" s="153"/>
    </row>
    <row r="20" spans="1:11" ht="13.8">
      <c r="A20" s="150"/>
      <c r="B20" s="172" t="s">
        <v>317</v>
      </c>
      <c r="C20" s="151"/>
      <c r="D20" s="151"/>
      <c r="E20" s="151"/>
      <c r="F20" s="151"/>
      <c r="G20" s="151"/>
      <c r="H20" s="151"/>
      <c r="I20" s="151"/>
      <c r="J20" s="151"/>
      <c r="K20" s="152"/>
    </row>
    <row r="21" spans="1:11" ht="39.6">
      <c r="A21" s="156" t="s">
        <v>368</v>
      </c>
      <c r="B21" s="175" t="s">
        <v>369</v>
      </c>
      <c r="C21" s="148" t="s">
        <v>11</v>
      </c>
      <c r="D21" s="148" t="s">
        <v>11</v>
      </c>
      <c r="E21" s="148" t="s">
        <v>11</v>
      </c>
      <c r="F21" s="148" t="s">
        <v>11</v>
      </c>
      <c r="G21" s="148" t="s">
        <v>11</v>
      </c>
      <c r="H21" s="148" t="s">
        <v>11</v>
      </c>
      <c r="I21" s="148"/>
      <c r="J21" s="153"/>
      <c r="K21" s="153"/>
    </row>
    <row r="22" spans="1:11" ht="39.6">
      <c r="A22" s="156" t="s">
        <v>370</v>
      </c>
      <c r="B22" s="175" t="s">
        <v>371</v>
      </c>
      <c r="C22" s="148" t="s">
        <v>11</v>
      </c>
      <c r="D22" s="148" t="s">
        <v>11</v>
      </c>
      <c r="E22" s="148" t="s">
        <v>11</v>
      </c>
      <c r="F22" s="148" t="s">
        <v>11</v>
      </c>
      <c r="G22" s="148" t="s">
        <v>11</v>
      </c>
      <c r="H22" s="148" t="s">
        <v>11</v>
      </c>
      <c r="I22" s="148"/>
      <c r="J22" s="153"/>
      <c r="K22" s="153"/>
    </row>
    <row r="23" spans="1:11" ht="52.8">
      <c r="A23" s="156" t="s">
        <v>372</v>
      </c>
      <c r="B23" s="175" t="s">
        <v>373</v>
      </c>
      <c r="C23" s="148" t="s">
        <v>11</v>
      </c>
      <c r="D23" s="148" t="s">
        <v>11</v>
      </c>
      <c r="E23" s="148" t="s">
        <v>11</v>
      </c>
      <c r="F23" s="148" t="s">
        <v>11</v>
      </c>
      <c r="G23" s="148" t="s">
        <v>11</v>
      </c>
      <c r="H23" s="148" t="s">
        <v>11</v>
      </c>
      <c r="I23" s="148"/>
      <c r="J23" s="153"/>
      <c r="K23" s="153"/>
    </row>
    <row r="24" spans="1:11" ht="13.8">
      <c r="A24" s="150"/>
      <c r="B24" s="172" t="s">
        <v>230</v>
      </c>
      <c r="C24" s="151"/>
      <c r="D24" s="151"/>
      <c r="E24" s="151"/>
      <c r="F24" s="151"/>
      <c r="G24" s="151"/>
      <c r="H24" s="151"/>
      <c r="I24" s="151"/>
      <c r="J24" s="151"/>
      <c r="K24" s="152"/>
    </row>
    <row r="25" spans="1:11" ht="39.6">
      <c r="A25" s="156" t="s">
        <v>235</v>
      </c>
      <c r="B25" s="175" t="s">
        <v>220</v>
      </c>
      <c r="C25" s="148" t="s">
        <v>226</v>
      </c>
      <c r="D25" s="148" t="s">
        <v>226</v>
      </c>
      <c r="E25" s="148" t="s">
        <v>226</v>
      </c>
      <c r="F25" s="148" t="s">
        <v>226</v>
      </c>
      <c r="G25" s="148" t="s">
        <v>226</v>
      </c>
      <c r="H25" s="148" t="s">
        <v>226</v>
      </c>
      <c r="I25" s="148"/>
      <c r="J25" s="153"/>
      <c r="K25" s="153"/>
    </row>
    <row r="26" spans="1:11" ht="26.4">
      <c r="A26" s="156" t="s">
        <v>236</v>
      </c>
      <c r="B26" s="175" t="s">
        <v>221</v>
      </c>
      <c r="C26" s="148" t="s">
        <v>226</v>
      </c>
      <c r="D26" s="148" t="s">
        <v>226</v>
      </c>
      <c r="E26" s="148" t="s">
        <v>226</v>
      </c>
      <c r="F26" s="148" t="s">
        <v>226</v>
      </c>
      <c r="G26" s="148" t="s">
        <v>226</v>
      </c>
      <c r="H26" s="148" t="s">
        <v>226</v>
      </c>
      <c r="I26" s="148"/>
      <c r="J26" s="153"/>
      <c r="K26" s="153"/>
    </row>
    <row r="27" spans="1:11" ht="39.6">
      <c r="A27" s="156" t="s">
        <v>237</v>
      </c>
      <c r="B27" s="175" t="s">
        <v>222</v>
      </c>
      <c r="C27" s="148" t="s">
        <v>23</v>
      </c>
      <c r="D27" s="148" t="s">
        <v>23</v>
      </c>
      <c r="E27" s="148" t="s">
        <v>226</v>
      </c>
      <c r="F27" s="148" t="s">
        <v>226</v>
      </c>
      <c r="G27" s="148" t="s">
        <v>226</v>
      </c>
      <c r="H27" s="148" t="s">
        <v>226</v>
      </c>
      <c r="I27" s="148"/>
      <c r="J27" s="153"/>
      <c r="K27" s="153"/>
    </row>
    <row r="28" spans="1:11" ht="39.6">
      <c r="A28" s="156" t="s">
        <v>238</v>
      </c>
      <c r="B28" s="175" t="s">
        <v>223</v>
      </c>
      <c r="C28" s="148" t="s">
        <v>23</v>
      </c>
      <c r="D28" s="148" t="s">
        <v>23</v>
      </c>
      <c r="E28" s="148" t="s">
        <v>226</v>
      </c>
      <c r="F28" s="148" t="s">
        <v>226</v>
      </c>
      <c r="G28" s="148" t="s">
        <v>226</v>
      </c>
      <c r="H28" s="148" t="s">
        <v>226</v>
      </c>
      <c r="I28" s="148"/>
      <c r="J28" s="153"/>
      <c r="K28" s="153"/>
    </row>
    <row r="29" spans="1:11" ht="13.8">
      <c r="A29" s="150"/>
      <c r="B29" s="172" t="s">
        <v>231</v>
      </c>
      <c r="C29" s="151"/>
      <c r="D29" s="151"/>
      <c r="E29" s="151"/>
      <c r="F29" s="151"/>
      <c r="G29" s="151"/>
      <c r="H29" s="151"/>
      <c r="I29" s="151"/>
      <c r="J29" s="151"/>
      <c r="K29" s="152"/>
    </row>
    <row r="30" spans="1:11" ht="39.6">
      <c r="A30" s="156" t="s">
        <v>239</v>
      </c>
      <c r="B30" s="175" t="s">
        <v>224</v>
      </c>
      <c r="C30" s="148" t="s">
        <v>226</v>
      </c>
      <c r="D30" s="148" t="s">
        <v>226</v>
      </c>
      <c r="E30" s="148" t="s">
        <v>226</v>
      </c>
      <c r="F30" s="148" t="s">
        <v>226</v>
      </c>
      <c r="G30" s="148" t="s">
        <v>226</v>
      </c>
      <c r="H30" s="148" t="s">
        <v>226</v>
      </c>
      <c r="I30" s="148"/>
      <c r="J30" s="153"/>
      <c r="K30" s="153"/>
    </row>
    <row r="31" spans="1:11" ht="39.6">
      <c r="A31" s="156" t="s">
        <v>240</v>
      </c>
      <c r="B31" s="175" t="s">
        <v>225</v>
      </c>
      <c r="C31" s="148" t="s">
        <v>226</v>
      </c>
      <c r="D31" s="148" t="s">
        <v>226</v>
      </c>
      <c r="E31" s="148" t="s">
        <v>226</v>
      </c>
      <c r="F31" s="148" t="s">
        <v>226</v>
      </c>
      <c r="G31" s="148" t="s">
        <v>226</v>
      </c>
      <c r="H31" s="148" t="s">
        <v>226</v>
      </c>
      <c r="I31" s="148"/>
      <c r="J31" s="153"/>
      <c r="K31" s="153"/>
    </row>
    <row r="32" spans="1:11" ht="13.8">
      <c r="A32" s="150"/>
      <c r="B32" s="172" t="s">
        <v>217</v>
      </c>
      <c r="C32" s="151"/>
      <c r="D32" s="151"/>
      <c r="E32" s="151"/>
      <c r="F32" s="151"/>
      <c r="G32" s="151"/>
      <c r="H32" s="151"/>
      <c r="I32" s="151"/>
      <c r="J32" s="151"/>
      <c r="K32" s="152"/>
    </row>
    <row r="33" spans="1:11" ht="52.8">
      <c r="A33" s="156" t="s">
        <v>218</v>
      </c>
      <c r="B33" s="175" t="s">
        <v>219</v>
      </c>
      <c r="C33" s="148" t="s">
        <v>11</v>
      </c>
      <c r="D33" s="148" t="s">
        <v>11</v>
      </c>
      <c r="E33" s="148" t="s">
        <v>11</v>
      </c>
      <c r="F33" s="148" t="s">
        <v>11</v>
      </c>
      <c r="G33" s="148" t="s">
        <v>11</v>
      </c>
      <c r="H33" s="148" t="s">
        <v>11</v>
      </c>
      <c r="I33" s="148"/>
      <c r="J33" s="153"/>
      <c r="K33" s="153"/>
    </row>
    <row r="34" spans="1:11" ht="17.399999999999999">
      <c r="A34" s="176"/>
      <c r="B34" s="177" t="s">
        <v>241</v>
      </c>
      <c r="C34" s="176"/>
      <c r="D34" s="176"/>
      <c r="E34" s="176"/>
      <c r="F34" s="176"/>
      <c r="G34" s="176"/>
      <c r="H34" s="176"/>
      <c r="I34" s="176"/>
      <c r="J34" s="176"/>
      <c r="K34" s="176"/>
    </row>
  </sheetData>
  <mergeCells count="1">
    <mergeCell ref="J2:K2"/>
  </mergeCells>
  <dataValidations count="1">
    <dataValidation type="list" allowBlank="1" showInputMessage="1" showErrorMessage="1" sqref="C16:H19 C6:H14 C33:H33 C25:H28 C21:H23 C30:H31" xr:uid="{1F788873-BFC1-49C0-BBDD-764AFE6E86A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5F9E3-AB38-419F-BB6A-D2C6D357E9BD}">
  <sheetPr codeName="Feuil39">
    <tabColor theme="7"/>
    <pageSetUpPr fitToPage="1"/>
  </sheetPr>
  <dimension ref="A2:Q31"/>
  <sheetViews>
    <sheetView zoomScale="85" zoomScaleNormal="85" workbookViewId="0">
      <pane xSplit="1" ySplit="3" topLeftCell="B16" activePane="bottomRight" state="frozen"/>
      <selection pane="topRight" activeCell="B1" sqref="B1"/>
      <selection pane="bottomLeft" activeCell="A4" sqref="A4"/>
      <selection pane="bottomRight" activeCell="N17" sqref="N17"/>
    </sheetView>
  </sheetViews>
  <sheetFormatPr defaultColWidth="9.21875" defaultRowHeight="13.2"/>
  <cols>
    <col min="1" max="1" width="10.77734375" style="149" bestFit="1" customWidth="1"/>
    <col min="2" max="2" width="61" style="147" customWidth="1"/>
    <col min="3" max="13" width="4.44140625" style="146" bestFit="1" customWidth="1"/>
    <col min="14" max="14" width="30.77734375" style="146" customWidth="1"/>
    <col min="15" max="16" width="27.77734375" style="146" customWidth="1"/>
    <col min="17" max="16384" width="9.21875" style="146"/>
  </cols>
  <sheetData>
    <row r="2" spans="1:17" ht="68.400000000000006">
      <c r="A2" s="162" t="s">
        <v>227</v>
      </c>
      <c r="B2" s="163" t="s">
        <v>275</v>
      </c>
      <c r="C2" s="164" t="s">
        <v>427</v>
      </c>
      <c r="D2" s="164" t="s">
        <v>487</v>
      </c>
      <c r="E2" s="164" t="s">
        <v>515</v>
      </c>
      <c r="F2" s="164" t="s">
        <v>522</v>
      </c>
      <c r="G2" s="164" t="s">
        <v>602</v>
      </c>
      <c r="H2" s="164" t="s">
        <v>615</v>
      </c>
      <c r="I2" s="164" t="s">
        <v>620</v>
      </c>
      <c r="J2" s="164" t="s">
        <v>642</v>
      </c>
      <c r="K2" s="164" t="s">
        <v>653</v>
      </c>
      <c r="L2" s="164" t="s">
        <v>399</v>
      </c>
      <c r="M2" s="164" t="s">
        <v>399</v>
      </c>
      <c r="N2" s="165" t="s">
        <v>242</v>
      </c>
      <c r="O2" s="321" t="s">
        <v>187</v>
      </c>
      <c r="P2" s="322"/>
    </row>
    <row r="3" spans="1:17" ht="36">
      <c r="A3" s="166"/>
      <c r="B3" s="167"/>
      <c r="C3" s="167">
        <f>COUNTIF(C5:C31,"Yes")</f>
        <v>6</v>
      </c>
      <c r="D3" s="167">
        <f>COUNTIF(D5:D31,"Yes")</f>
        <v>6</v>
      </c>
      <c r="E3" s="167">
        <f>COUNTIF(E5:E31,"Yes")</f>
        <v>6</v>
      </c>
      <c r="F3" s="167">
        <f>COUNTIF(F5:F31,"Yes")</f>
        <v>6</v>
      </c>
      <c r="G3" s="167">
        <f t="shared" ref="G3:M3" si="0">COUNTIF(G5:G31,"Yes")</f>
        <v>7</v>
      </c>
      <c r="H3" s="167">
        <f t="shared" ref="H3:I3" si="1">COUNTIF(H5:H31,"Yes")</f>
        <v>7</v>
      </c>
      <c r="I3" s="167">
        <f t="shared" si="1"/>
        <v>7</v>
      </c>
      <c r="J3" s="167">
        <f t="shared" ref="J3:K3" si="2">COUNTIF(J5:J31,"Yes")</f>
        <v>7</v>
      </c>
      <c r="K3" s="167">
        <f t="shared" si="2"/>
        <v>7</v>
      </c>
      <c r="L3" s="167">
        <f t="shared" si="0"/>
        <v>0</v>
      </c>
      <c r="M3" s="167">
        <f t="shared" si="0"/>
        <v>0</v>
      </c>
      <c r="N3" s="154"/>
      <c r="O3" s="178" t="s">
        <v>233</v>
      </c>
      <c r="P3" s="178" t="s">
        <v>234</v>
      </c>
      <c r="Q3" s="155"/>
    </row>
    <row r="4" spans="1:17" ht="17.399999999999999">
      <c r="A4" s="168"/>
      <c r="B4" s="169" t="s">
        <v>246</v>
      </c>
      <c r="C4" s="170"/>
      <c r="D4" s="170"/>
      <c r="E4" s="170"/>
      <c r="F4" s="170"/>
      <c r="G4" s="170"/>
      <c r="H4" s="170"/>
      <c r="I4" s="170"/>
      <c r="J4" s="170"/>
      <c r="K4" s="170"/>
      <c r="L4" s="170"/>
      <c r="M4" s="170"/>
      <c r="N4" s="170"/>
      <c r="O4" s="170"/>
      <c r="P4" s="171"/>
      <c r="Q4" s="85"/>
    </row>
    <row r="5" spans="1:17" ht="13.8">
      <c r="A5" s="150"/>
      <c r="B5" s="172" t="s">
        <v>247</v>
      </c>
      <c r="C5" s="151"/>
      <c r="D5" s="151"/>
      <c r="E5" s="151"/>
      <c r="F5" s="151"/>
      <c r="G5" s="151"/>
      <c r="H5" s="151"/>
      <c r="I5" s="151"/>
      <c r="J5" s="151"/>
      <c r="K5" s="151"/>
      <c r="L5" s="151"/>
      <c r="M5" s="151"/>
      <c r="N5" s="151"/>
      <c r="O5" s="151"/>
      <c r="P5" s="152"/>
    </row>
    <row r="6" spans="1:17" ht="26.4">
      <c r="A6" s="156" t="s">
        <v>268</v>
      </c>
      <c r="B6" s="175" t="s">
        <v>249</v>
      </c>
      <c r="C6" s="148" t="s">
        <v>226</v>
      </c>
      <c r="D6" s="148" t="s">
        <v>226</v>
      </c>
      <c r="E6" s="148" t="s">
        <v>226</v>
      </c>
      <c r="F6" s="148" t="s">
        <v>226</v>
      </c>
      <c r="G6" s="148" t="s">
        <v>226</v>
      </c>
      <c r="H6" s="148" t="s">
        <v>226</v>
      </c>
      <c r="I6" s="148" t="s">
        <v>226</v>
      </c>
      <c r="J6" s="148" t="s">
        <v>226</v>
      </c>
      <c r="K6" s="148" t="s">
        <v>226</v>
      </c>
      <c r="L6" s="148"/>
      <c r="M6" s="148"/>
      <c r="N6" s="148"/>
      <c r="O6" s="153"/>
      <c r="P6" s="153"/>
    </row>
    <row r="7" spans="1:17" ht="39.6">
      <c r="A7" s="156" t="s">
        <v>269</v>
      </c>
      <c r="B7" s="175" t="s">
        <v>290</v>
      </c>
      <c r="C7" s="148" t="s">
        <v>226</v>
      </c>
      <c r="D7" s="148" t="s">
        <v>226</v>
      </c>
      <c r="E7" s="148" t="s">
        <v>226</v>
      </c>
      <c r="F7" s="148" t="s">
        <v>226</v>
      </c>
      <c r="G7" s="148" t="s">
        <v>226</v>
      </c>
      <c r="H7" s="148" t="s">
        <v>226</v>
      </c>
      <c r="I7" s="148" t="s">
        <v>226</v>
      </c>
      <c r="J7" s="148" t="s">
        <v>226</v>
      </c>
      <c r="K7" s="148" t="s">
        <v>226</v>
      </c>
      <c r="L7" s="148"/>
      <c r="M7" s="148"/>
      <c r="N7" s="148"/>
      <c r="O7" s="157" t="s">
        <v>291</v>
      </c>
      <c r="P7" s="153"/>
    </row>
    <row r="8" spans="1:17" ht="26.4">
      <c r="A8" s="156" t="s">
        <v>270</v>
      </c>
      <c r="B8" s="175" t="s">
        <v>250</v>
      </c>
      <c r="C8" s="148" t="s">
        <v>226</v>
      </c>
      <c r="D8" s="148" t="s">
        <v>226</v>
      </c>
      <c r="E8" s="148" t="s">
        <v>226</v>
      </c>
      <c r="F8" s="148" t="s">
        <v>226</v>
      </c>
      <c r="G8" s="148" t="s">
        <v>226</v>
      </c>
      <c r="H8" s="148" t="s">
        <v>226</v>
      </c>
      <c r="I8" s="148" t="s">
        <v>226</v>
      </c>
      <c r="J8" s="148" t="s">
        <v>226</v>
      </c>
      <c r="K8" s="148" t="s">
        <v>226</v>
      </c>
      <c r="L8" s="148"/>
      <c r="M8" s="148"/>
      <c r="N8" s="148"/>
      <c r="O8" s="153"/>
      <c r="P8" s="153"/>
    </row>
    <row r="9" spans="1:17" ht="26.4">
      <c r="A9" s="156" t="s">
        <v>271</v>
      </c>
      <c r="B9" s="175" t="s">
        <v>296</v>
      </c>
      <c r="C9" s="148" t="s">
        <v>23</v>
      </c>
      <c r="D9" s="148" t="s">
        <v>23</v>
      </c>
      <c r="E9" s="148" t="s">
        <v>23</v>
      </c>
      <c r="F9" s="148" t="s">
        <v>23</v>
      </c>
      <c r="G9" s="148" t="s">
        <v>23</v>
      </c>
      <c r="H9" s="148" t="s">
        <v>23</v>
      </c>
      <c r="I9" s="148" t="s">
        <v>23</v>
      </c>
      <c r="J9" s="148" t="s">
        <v>23</v>
      </c>
      <c r="K9" s="148" t="s">
        <v>23</v>
      </c>
      <c r="L9" s="148"/>
      <c r="M9" s="148"/>
      <c r="N9" s="148"/>
      <c r="O9" s="153"/>
      <c r="P9" s="153"/>
    </row>
    <row r="10" spans="1:17" ht="39.6">
      <c r="A10" s="156" t="s">
        <v>297</v>
      </c>
      <c r="B10" s="175" t="s">
        <v>298</v>
      </c>
      <c r="C10" s="148" t="s">
        <v>11</v>
      </c>
      <c r="D10" s="148" t="s">
        <v>11</v>
      </c>
      <c r="E10" s="148" t="s">
        <v>11</v>
      </c>
      <c r="F10" s="148" t="s">
        <v>11</v>
      </c>
      <c r="G10" s="148" t="s">
        <v>11</v>
      </c>
      <c r="H10" s="148" t="s">
        <v>11</v>
      </c>
      <c r="I10" s="148" t="s">
        <v>11</v>
      </c>
      <c r="J10" s="148" t="s">
        <v>11</v>
      </c>
      <c r="K10" s="148" t="s">
        <v>11</v>
      </c>
      <c r="L10" s="148"/>
      <c r="M10" s="148"/>
      <c r="N10" s="148"/>
      <c r="O10" s="153"/>
      <c r="P10" s="153"/>
    </row>
    <row r="11" spans="1:17" ht="13.8">
      <c r="A11" s="150"/>
      <c r="B11" s="172" t="s">
        <v>276</v>
      </c>
      <c r="C11" s="151"/>
      <c r="D11" s="151"/>
      <c r="E11" s="151"/>
      <c r="F11" s="151"/>
      <c r="G11" s="151"/>
      <c r="H11" s="151"/>
      <c r="I11" s="151"/>
      <c r="J11" s="151"/>
      <c r="K11" s="151"/>
      <c r="L11" s="151"/>
      <c r="M11" s="151"/>
      <c r="N11" s="151"/>
      <c r="O11" s="151"/>
      <c r="P11" s="152"/>
    </row>
    <row r="12" spans="1:17" ht="39.6">
      <c r="A12" s="156" t="s">
        <v>374</v>
      </c>
      <c r="B12" s="175" t="s">
        <v>375</v>
      </c>
      <c r="C12" s="148" t="s">
        <v>226</v>
      </c>
      <c r="D12" s="148" t="s">
        <v>226</v>
      </c>
      <c r="E12" s="148" t="s">
        <v>226</v>
      </c>
      <c r="F12" s="148" t="s">
        <v>226</v>
      </c>
      <c r="G12" s="148" t="s">
        <v>226</v>
      </c>
      <c r="H12" s="148" t="s">
        <v>226</v>
      </c>
      <c r="I12" s="148" t="s">
        <v>226</v>
      </c>
      <c r="J12" s="148" t="s">
        <v>226</v>
      </c>
      <c r="K12" s="148" t="s">
        <v>226</v>
      </c>
      <c r="L12" s="148"/>
      <c r="M12" s="148"/>
      <c r="N12" s="148"/>
      <c r="O12" s="153"/>
      <c r="P12" s="153"/>
    </row>
    <row r="13" spans="1:17" ht="79.2">
      <c r="A13" s="156" t="s">
        <v>376</v>
      </c>
      <c r="B13" s="175" t="s">
        <v>377</v>
      </c>
      <c r="C13" s="148" t="s">
        <v>23</v>
      </c>
      <c r="D13" s="148" t="s">
        <v>23</v>
      </c>
      <c r="E13" s="148" t="s">
        <v>23</v>
      </c>
      <c r="F13" s="148" t="s">
        <v>23</v>
      </c>
      <c r="G13" s="148" t="s">
        <v>226</v>
      </c>
      <c r="H13" s="148" t="s">
        <v>226</v>
      </c>
      <c r="I13" s="148" t="s">
        <v>226</v>
      </c>
      <c r="J13" s="148" t="s">
        <v>226</v>
      </c>
      <c r="K13" s="148" t="s">
        <v>226</v>
      </c>
      <c r="L13" s="148"/>
      <c r="M13" s="148"/>
      <c r="N13" s="148"/>
      <c r="O13" s="153"/>
      <c r="P13" s="153"/>
    </row>
    <row r="14" spans="1:17" ht="13.8">
      <c r="A14" s="150"/>
      <c r="B14" s="172" t="s">
        <v>317</v>
      </c>
      <c r="C14" s="151"/>
      <c r="D14" s="151"/>
      <c r="E14" s="151"/>
      <c r="F14" s="151"/>
      <c r="G14" s="151"/>
      <c r="H14" s="151"/>
      <c r="I14" s="151"/>
      <c r="J14" s="151"/>
      <c r="K14" s="151"/>
      <c r="L14" s="151"/>
      <c r="M14" s="151"/>
      <c r="N14" s="151"/>
      <c r="O14" s="151"/>
      <c r="P14" s="152"/>
    </row>
    <row r="15" spans="1:17" ht="52.8">
      <c r="A15" s="156" t="s">
        <v>378</v>
      </c>
      <c r="B15" s="175" t="s">
        <v>373</v>
      </c>
      <c r="C15" s="148" t="s">
        <v>11</v>
      </c>
      <c r="D15" s="148" t="s">
        <v>11</v>
      </c>
      <c r="E15" s="148" t="s">
        <v>11</v>
      </c>
      <c r="F15" s="148" t="s">
        <v>11</v>
      </c>
      <c r="G15" s="148" t="s">
        <v>11</v>
      </c>
      <c r="H15" s="148" t="s">
        <v>11</v>
      </c>
      <c r="I15" s="148" t="s">
        <v>11</v>
      </c>
      <c r="J15" s="148" t="s">
        <v>11</v>
      </c>
      <c r="K15" s="148" t="s">
        <v>11</v>
      </c>
      <c r="L15" s="148"/>
      <c r="M15" s="148"/>
      <c r="N15" s="148"/>
      <c r="O15" s="153"/>
      <c r="P15" s="153"/>
    </row>
    <row r="16" spans="1:17" ht="52.8">
      <c r="A16" s="156" t="s">
        <v>379</v>
      </c>
      <c r="B16" s="175" t="s">
        <v>380</v>
      </c>
      <c r="C16" s="148" t="s">
        <v>11</v>
      </c>
      <c r="D16" s="148" t="s">
        <v>11</v>
      </c>
      <c r="E16" s="148" t="s">
        <v>11</v>
      </c>
      <c r="F16" s="148" t="s">
        <v>11</v>
      </c>
      <c r="G16" s="148" t="s">
        <v>11</v>
      </c>
      <c r="H16" s="148" t="s">
        <v>11</v>
      </c>
      <c r="I16" s="148" t="s">
        <v>11</v>
      </c>
      <c r="J16" s="148" t="s">
        <v>11</v>
      </c>
      <c r="K16" s="148" t="s">
        <v>11</v>
      </c>
      <c r="L16" s="148"/>
      <c r="M16" s="148"/>
      <c r="N16" s="148"/>
      <c r="O16" s="153"/>
      <c r="P16" s="153"/>
    </row>
    <row r="17" spans="1:16" ht="52.8">
      <c r="A17" s="156" t="s">
        <v>381</v>
      </c>
      <c r="B17" s="175" t="s">
        <v>382</v>
      </c>
      <c r="C17" s="148" t="s">
        <v>11</v>
      </c>
      <c r="D17" s="148" t="s">
        <v>11</v>
      </c>
      <c r="E17" s="148" t="s">
        <v>11</v>
      </c>
      <c r="F17" s="148" t="s">
        <v>11</v>
      </c>
      <c r="G17" s="148" t="s">
        <v>11</v>
      </c>
      <c r="H17" s="148" t="s">
        <v>11</v>
      </c>
      <c r="I17" s="148" t="s">
        <v>11</v>
      </c>
      <c r="J17" s="148" t="s">
        <v>11</v>
      </c>
      <c r="K17" s="148" t="s">
        <v>11</v>
      </c>
      <c r="L17" s="148"/>
      <c r="M17" s="148"/>
      <c r="N17" s="148"/>
      <c r="O17" s="153"/>
      <c r="P17" s="153"/>
    </row>
    <row r="18" spans="1:16" ht="26.4">
      <c r="A18" s="156" t="s">
        <v>383</v>
      </c>
      <c r="B18" s="175" t="s">
        <v>384</v>
      </c>
      <c r="C18" s="148" t="s">
        <v>11</v>
      </c>
      <c r="D18" s="148" t="s">
        <v>11</v>
      </c>
      <c r="E18" s="148" t="s">
        <v>11</v>
      </c>
      <c r="F18" s="148" t="s">
        <v>11</v>
      </c>
      <c r="G18" s="148" t="s">
        <v>11</v>
      </c>
      <c r="H18" s="148" t="s">
        <v>11</v>
      </c>
      <c r="I18" s="148" t="s">
        <v>11</v>
      </c>
      <c r="J18" s="148" t="s">
        <v>11</v>
      </c>
      <c r="K18" s="148" t="s">
        <v>11</v>
      </c>
      <c r="L18" s="148"/>
      <c r="M18" s="148"/>
      <c r="N18" s="148"/>
      <c r="O18" s="153"/>
      <c r="P18" s="153"/>
    </row>
    <row r="19" spans="1:16" ht="52.8">
      <c r="A19" s="156" t="s">
        <v>385</v>
      </c>
      <c r="B19" s="175" t="s">
        <v>386</v>
      </c>
      <c r="C19" s="148" t="s">
        <v>11</v>
      </c>
      <c r="D19" s="148" t="s">
        <v>11</v>
      </c>
      <c r="E19" s="148" t="s">
        <v>11</v>
      </c>
      <c r="F19" s="148" t="s">
        <v>11</v>
      </c>
      <c r="G19" s="148" t="s">
        <v>11</v>
      </c>
      <c r="H19" s="148" t="s">
        <v>11</v>
      </c>
      <c r="I19" s="148" t="s">
        <v>11</v>
      </c>
      <c r="J19" s="148" t="s">
        <v>11</v>
      </c>
      <c r="K19" s="148" t="s">
        <v>11</v>
      </c>
      <c r="L19" s="148"/>
      <c r="M19" s="148"/>
      <c r="N19" s="148"/>
      <c r="O19" s="153"/>
      <c r="P19" s="153"/>
    </row>
    <row r="20" spans="1:16" ht="26.4">
      <c r="A20" s="156" t="s">
        <v>387</v>
      </c>
      <c r="B20" s="175" t="s">
        <v>388</v>
      </c>
      <c r="C20" s="148" t="s">
        <v>11</v>
      </c>
      <c r="D20" s="148" t="s">
        <v>11</v>
      </c>
      <c r="E20" s="148" t="s">
        <v>11</v>
      </c>
      <c r="F20" s="148" t="s">
        <v>11</v>
      </c>
      <c r="G20" s="148" t="s">
        <v>11</v>
      </c>
      <c r="H20" s="148" t="s">
        <v>11</v>
      </c>
      <c r="I20" s="148" t="s">
        <v>11</v>
      </c>
      <c r="J20" s="148" t="s">
        <v>11</v>
      </c>
      <c r="K20" s="148" t="s">
        <v>11</v>
      </c>
      <c r="L20" s="148"/>
      <c r="M20" s="148"/>
      <c r="N20" s="148"/>
      <c r="O20" s="153"/>
      <c r="P20" s="153"/>
    </row>
    <row r="21" spans="1:16" ht="13.8">
      <c r="A21" s="150"/>
      <c r="B21" s="172" t="s">
        <v>230</v>
      </c>
      <c r="C21" s="151"/>
      <c r="D21" s="151"/>
      <c r="E21" s="151"/>
      <c r="F21" s="151"/>
      <c r="G21" s="151"/>
      <c r="H21" s="151"/>
      <c r="I21" s="151"/>
      <c r="J21" s="151"/>
      <c r="K21" s="151"/>
      <c r="L21" s="151"/>
      <c r="M21" s="151"/>
      <c r="N21" s="151"/>
      <c r="O21" s="151"/>
      <c r="P21" s="152"/>
    </row>
    <row r="22" spans="1:16" ht="39.6">
      <c r="A22" s="156" t="s">
        <v>235</v>
      </c>
      <c r="B22" s="175" t="s">
        <v>220</v>
      </c>
      <c r="C22" s="148" t="s">
        <v>11</v>
      </c>
      <c r="D22" s="148" t="s">
        <v>11</v>
      </c>
      <c r="E22" s="148" t="s">
        <v>11</v>
      </c>
      <c r="F22" s="148" t="s">
        <v>11</v>
      </c>
      <c r="G22" s="148" t="s">
        <v>11</v>
      </c>
      <c r="H22" s="148" t="s">
        <v>11</v>
      </c>
      <c r="I22" s="148" t="s">
        <v>11</v>
      </c>
      <c r="J22" s="148" t="s">
        <v>11</v>
      </c>
      <c r="K22" s="148" t="s">
        <v>11</v>
      </c>
      <c r="L22" s="148"/>
      <c r="M22" s="148"/>
      <c r="N22" s="148"/>
      <c r="O22" s="153"/>
      <c r="P22" s="153"/>
    </row>
    <row r="23" spans="1:16" ht="26.4">
      <c r="A23" s="156" t="s">
        <v>236</v>
      </c>
      <c r="B23" s="175" t="s">
        <v>221</v>
      </c>
      <c r="C23" s="148" t="s">
        <v>11</v>
      </c>
      <c r="D23" s="148" t="s">
        <v>11</v>
      </c>
      <c r="E23" s="148" t="s">
        <v>11</v>
      </c>
      <c r="F23" s="148" t="s">
        <v>11</v>
      </c>
      <c r="G23" s="148" t="s">
        <v>11</v>
      </c>
      <c r="H23" s="148" t="s">
        <v>11</v>
      </c>
      <c r="I23" s="148" t="s">
        <v>11</v>
      </c>
      <c r="J23" s="148" t="s">
        <v>11</v>
      </c>
      <c r="K23" s="148" t="s">
        <v>11</v>
      </c>
      <c r="L23" s="148"/>
      <c r="M23" s="148"/>
      <c r="N23" s="148"/>
      <c r="O23" s="153"/>
      <c r="P23" s="153"/>
    </row>
    <row r="24" spans="1:16" ht="39.6">
      <c r="A24" s="156" t="s">
        <v>237</v>
      </c>
      <c r="B24" s="175" t="s">
        <v>222</v>
      </c>
      <c r="C24" s="148" t="s">
        <v>11</v>
      </c>
      <c r="D24" s="148" t="s">
        <v>11</v>
      </c>
      <c r="E24" s="148" t="s">
        <v>11</v>
      </c>
      <c r="F24" s="148" t="s">
        <v>11</v>
      </c>
      <c r="G24" s="148" t="s">
        <v>11</v>
      </c>
      <c r="H24" s="148" t="s">
        <v>11</v>
      </c>
      <c r="I24" s="148" t="s">
        <v>11</v>
      </c>
      <c r="J24" s="148" t="s">
        <v>11</v>
      </c>
      <c r="K24" s="148" t="s">
        <v>11</v>
      </c>
      <c r="L24" s="148"/>
      <c r="M24" s="148"/>
      <c r="N24" s="148"/>
      <c r="O24" s="153"/>
      <c r="P24" s="153"/>
    </row>
    <row r="25" spans="1:16" ht="39.6">
      <c r="A25" s="156" t="s">
        <v>238</v>
      </c>
      <c r="B25" s="175" t="s">
        <v>223</v>
      </c>
      <c r="C25" s="148" t="s">
        <v>11</v>
      </c>
      <c r="D25" s="148" t="s">
        <v>11</v>
      </c>
      <c r="E25" s="148" t="s">
        <v>11</v>
      </c>
      <c r="F25" s="148" t="s">
        <v>11</v>
      </c>
      <c r="G25" s="148" t="s">
        <v>11</v>
      </c>
      <c r="H25" s="148" t="s">
        <v>11</v>
      </c>
      <c r="I25" s="148" t="s">
        <v>11</v>
      </c>
      <c r="J25" s="148" t="s">
        <v>11</v>
      </c>
      <c r="K25" s="148" t="s">
        <v>11</v>
      </c>
      <c r="L25" s="148"/>
      <c r="M25" s="148"/>
      <c r="N25" s="148"/>
      <c r="O25" s="153"/>
      <c r="P25" s="153"/>
    </row>
    <row r="26" spans="1:16" ht="13.8">
      <c r="A26" s="150"/>
      <c r="B26" s="172" t="s">
        <v>231</v>
      </c>
      <c r="C26" s="151"/>
      <c r="D26" s="151"/>
      <c r="E26" s="151"/>
      <c r="F26" s="151"/>
      <c r="G26" s="151"/>
      <c r="H26" s="151"/>
      <c r="I26" s="151"/>
      <c r="J26" s="151"/>
      <c r="K26" s="151"/>
      <c r="L26" s="151"/>
      <c r="M26" s="151"/>
      <c r="N26" s="151"/>
      <c r="O26" s="151"/>
      <c r="P26" s="152"/>
    </row>
    <row r="27" spans="1:16" ht="39.6">
      <c r="A27" s="156" t="s">
        <v>239</v>
      </c>
      <c r="B27" s="175" t="s">
        <v>224</v>
      </c>
      <c r="C27" s="148" t="s">
        <v>226</v>
      </c>
      <c r="D27" s="148" t="s">
        <v>226</v>
      </c>
      <c r="E27" s="148" t="s">
        <v>226</v>
      </c>
      <c r="F27" s="148" t="s">
        <v>226</v>
      </c>
      <c r="G27" s="148" t="s">
        <v>226</v>
      </c>
      <c r="H27" s="148" t="s">
        <v>226</v>
      </c>
      <c r="I27" s="148" t="s">
        <v>226</v>
      </c>
      <c r="J27" s="148" t="s">
        <v>226</v>
      </c>
      <c r="K27" s="148" t="s">
        <v>226</v>
      </c>
      <c r="L27" s="148"/>
      <c r="M27" s="148"/>
      <c r="N27" s="148"/>
      <c r="O27" s="153"/>
      <c r="P27" s="153"/>
    </row>
    <row r="28" spans="1:16" ht="39.6">
      <c r="A28" s="156" t="s">
        <v>240</v>
      </c>
      <c r="B28" s="175" t="s">
        <v>225</v>
      </c>
      <c r="C28" s="148" t="s">
        <v>226</v>
      </c>
      <c r="D28" s="148" t="s">
        <v>226</v>
      </c>
      <c r="E28" s="148" t="s">
        <v>226</v>
      </c>
      <c r="F28" s="148" t="s">
        <v>226</v>
      </c>
      <c r="G28" s="148" t="s">
        <v>226</v>
      </c>
      <c r="H28" s="148" t="s">
        <v>226</v>
      </c>
      <c r="I28" s="148" t="s">
        <v>226</v>
      </c>
      <c r="J28" s="148" t="s">
        <v>226</v>
      </c>
      <c r="K28" s="148" t="s">
        <v>226</v>
      </c>
      <c r="L28" s="148"/>
      <c r="M28" s="148"/>
      <c r="N28" s="148"/>
      <c r="O28" s="153"/>
      <c r="P28" s="153"/>
    </row>
    <row r="29" spans="1:16" ht="13.8">
      <c r="A29" s="150"/>
      <c r="B29" s="172" t="s">
        <v>217</v>
      </c>
      <c r="C29" s="151"/>
      <c r="D29" s="151"/>
      <c r="E29" s="151"/>
      <c r="F29" s="151"/>
      <c r="G29" s="151"/>
      <c r="H29" s="151"/>
      <c r="I29" s="151"/>
      <c r="J29" s="151"/>
      <c r="K29" s="151"/>
      <c r="L29" s="151"/>
      <c r="M29" s="151"/>
      <c r="N29" s="151"/>
      <c r="O29" s="151"/>
      <c r="P29" s="152"/>
    </row>
    <row r="30" spans="1:16" ht="52.8">
      <c r="A30" s="156" t="s">
        <v>218</v>
      </c>
      <c r="B30" s="175" t="s">
        <v>219</v>
      </c>
      <c r="C30" s="148"/>
      <c r="D30" s="148"/>
      <c r="E30" s="148"/>
      <c r="F30" s="148"/>
      <c r="G30" s="148"/>
      <c r="H30" s="148"/>
      <c r="I30" s="148"/>
      <c r="J30" s="148"/>
      <c r="K30" s="148"/>
      <c r="L30" s="148"/>
      <c r="M30" s="148"/>
      <c r="N30" s="148"/>
      <c r="O30" s="153"/>
      <c r="P30" s="153"/>
    </row>
    <row r="31" spans="1:16" ht="17.399999999999999">
      <c r="A31" s="176"/>
      <c r="B31" s="177" t="s">
        <v>241</v>
      </c>
      <c r="C31" s="176"/>
      <c r="D31" s="176"/>
      <c r="E31" s="176"/>
      <c r="F31" s="176"/>
      <c r="G31" s="176"/>
      <c r="H31" s="176"/>
      <c r="I31" s="176"/>
      <c r="J31" s="176"/>
      <c r="K31" s="176"/>
      <c r="L31" s="176"/>
      <c r="M31" s="176"/>
      <c r="N31" s="176"/>
      <c r="O31" s="176"/>
      <c r="P31" s="176"/>
    </row>
  </sheetData>
  <mergeCells count="1">
    <mergeCell ref="O2:P2"/>
  </mergeCells>
  <dataValidations count="1">
    <dataValidation type="list" allowBlank="1" showInputMessage="1" showErrorMessage="1" sqref="C22:M25 C27:M28 C30:M30 C6:M10 C12:M13 C15:M20" xr:uid="{E3A7675E-4368-42FB-886A-6137BED53CC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LongProperties xmlns="http://schemas.microsoft.com/office/2006/metadata/long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3.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77</vt:i4>
      </vt:variant>
    </vt:vector>
  </HeadingPairs>
  <TitlesOfParts>
    <vt:vector size="87" baseType="lpstr">
      <vt:lpstr>FrontPage</vt:lpstr>
      <vt:lpstr>General info</vt:lpstr>
      <vt:lpstr>Help</vt:lpstr>
      <vt:lpstr>Synthesis Charts</vt:lpstr>
      <vt:lpstr>Overview</vt:lpstr>
      <vt:lpstr>Review</vt:lpstr>
      <vt:lpstr>SDD checklist</vt:lpstr>
      <vt:lpstr>CODE checklist</vt:lpstr>
      <vt:lpstr>ITSR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'CODE checklist'!Sheet.ReviewTempate</vt:lpstr>
      <vt:lpstr>'ITSR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'UTSR checklist'!Template.Name</vt:lpstr>
      <vt:lpstr>TemplateColumn</vt:lpstr>
      <vt:lpstr>TemplateRef</vt:lpstr>
      <vt:lpstr>Text_AllChecklists</vt:lpstr>
      <vt:lpstr>'CODE checklist'!Title.Checklist.Guide.HowToRate</vt:lpstr>
      <vt:lpstr>'ITSR checklist'!Title.Checklist.Guide.HowToRate</vt:lpstr>
      <vt:lpstr>'SDD checklist'!Title.Checklist.Guide.HowToRate</vt:lpstr>
      <vt:lpstr>'UTSR checklist'!Title.Checklist.Guide.HowToRate</vt:lpstr>
      <vt:lpstr>'CODE checklist'!Title.Checklist.Guide.WhatToCheck</vt:lpstr>
      <vt:lpstr>'ITSR checklist'!Title.Checklist.Guide.WhatToCheck</vt:lpstr>
      <vt:lpstr>'SDD checklist'!Title.Checklist.Guide.WhatToCheck</vt:lpstr>
      <vt:lpstr>'UTSR checklist'!Title.Checklist.Guide.WhatToCheck</vt:lpstr>
      <vt:lpstr>'CODE checklist'!Title.Checklist.ManualQuestion</vt:lpstr>
      <vt:lpstr>'ITSR checklist'!Title.Checklist.ManualQuestion</vt:lpstr>
      <vt:lpstr>'SDD checklist'!Title.Checklist.ManualQuestion</vt:lpstr>
      <vt:lpstr>'UTSR checklist'!Title.Checklist.ManualQuestion</vt:lpstr>
      <vt:lpstr>'CODE checklist'!Title.Checklist.NoteForAuditor</vt:lpstr>
      <vt:lpstr>'ITSR checklist'!Title.Checklist.NoteForAuditor</vt:lpstr>
      <vt:lpstr>'SDD checklist'!Title.Checklist.NoteForAuditor</vt:lpstr>
      <vt:lpstr>'UTSR checklist'!Title.Checklist.NoteForAuditor</vt:lpstr>
      <vt:lpstr>'CODE checklist'!Title.Checklist.Question</vt:lpstr>
      <vt:lpstr>'ITSR checklist'!Title.Checklist.Question</vt:lpstr>
      <vt:lpstr>'SDD checklist'!Title.Checklist.Question</vt:lpstr>
      <vt:lpstr>'UTSR checklist'!Title.Checklist.Question</vt:lpstr>
      <vt:lpstr>'CODE checklist'!Title.Checklist.QuestionReference</vt:lpstr>
      <vt:lpstr>'ITSR checklist'!Title.Checklist.QuestionReference</vt:lpstr>
      <vt:lpstr>'SDD checklist'!Title.Checklist.QuestionReference</vt:lpstr>
      <vt:lpstr>'UTSR checklist'!Title.Checklist.QuestionReference</vt:lpstr>
      <vt:lpstr>'CODE checklist'!TitleRow</vt:lpstr>
      <vt:lpstr>'ITSR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Tudor Gligor</cp:lastModifiedBy>
  <dcterms:created xsi:type="dcterms:W3CDTF">1996-10-21T11:03:58Z</dcterms:created>
  <dcterms:modified xsi:type="dcterms:W3CDTF">2024-04-04T10:18:58Z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