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EOL\Tests\"/>
    </mc:Choice>
  </mc:AlternateContent>
  <xr:revisionPtr revIDLastSave="0" documentId="13_ncr:1_{5943154E-F382-4618-BE95-B74C8BC34714}" xr6:coauthVersionLast="47" xr6:coauthVersionMax="47" xr10:uidLastSave="{00000000-0000-0000-0000-000000000000}"/>
  <bookViews>
    <workbookView xWindow="57480" yWindow="-120" windowWidth="29040" windowHeight="15840" tabRatio="921" activeTab="3" xr2:uid="{00000000-000D-0000-FFFF-FFFF00000000}"/>
  </bookViews>
  <sheets>
    <sheet name="FrontPage" sheetId="4" r:id="rId1"/>
    <sheet name="General info" sheetId="11" r:id="rId2"/>
    <sheet name="Guide (help)" sheetId="18" r:id="rId3"/>
    <sheet name="Tests Synthesis" sheetId="13" r:id="rId4"/>
    <sheet name="SW_IT_EOL_0001" sheetId="14" r:id="rId5"/>
    <sheet name="SW_IT_EOL_0002" sheetId="22" r:id="rId6"/>
    <sheet name="SW_IT_EOL_0003" sheetId="24" r:id="rId7"/>
    <sheet name="SW_IT_EOL_0004" sheetId="25" r:id="rId8"/>
    <sheet name="SW_IT_EOL_0005" sheetId="26" r:id="rId9"/>
    <sheet name="SW_IT_EOL_0006" sheetId="27" r:id="rId10"/>
    <sheet name="Metrics" sheetId="16" r:id="rId11"/>
  </sheet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5" i="11" l="1"/>
  <c r="A23" i="4"/>
  <c r="W7" i="4"/>
  <c r="F5" i="16"/>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AD3" i="4"/>
  <c r="AD3" i="11" s="1"/>
  <c r="F5" i="13"/>
  <c r="K7" i="13"/>
  <c r="E8" i="13"/>
  <c r="E5" i="13"/>
  <c r="D3" i="13"/>
  <c r="F3" i="13"/>
  <c r="D8" i="13"/>
  <c r="E7" i="13"/>
  <c r="F4" i="13"/>
  <c r="K3" i="13"/>
  <c r="F6" i="13"/>
  <c r="E4" i="13"/>
  <c r="F7" i="13"/>
  <c r="D7" i="13"/>
  <c r="D6" i="13"/>
  <c r="K6" i="13"/>
  <c r="E6" i="13"/>
  <c r="K4" i="13"/>
  <c r="K8" i="13"/>
  <c r="F8" i="13"/>
  <c r="K5" i="13"/>
  <c r="E3" i="13"/>
  <c r="D4" i="13"/>
  <c r="D5" i="13"/>
  <c r="W7" i="11" l="1"/>
  <c r="A7" i="11"/>
  <c r="W5" i="11"/>
  <c r="E7"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00000000-0006-0000-0300-00000C00000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CC2C27A-709D-4849-A78C-1EC3B4399999}">
      <text>
        <r>
          <rPr>
            <b/>
            <sz val="9"/>
            <color indexed="81"/>
            <rFont val="Tahoma"/>
            <family val="2"/>
          </rPr>
          <t xml:space="preserve">See Guide (help)
</t>
        </r>
        <r>
          <rPr>
            <sz val="9"/>
            <color indexed="81"/>
            <rFont val="Tahoma"/>
            <family val="2"/>
          </rPr>
          <t xml:space="preserve">
</t>
        </r>
      </text>
    </comment>
    <comment ref="A3" authorId="0" shapeId="0" xr:uid="{66CA5F7C-992C-4BD8-ABAF-8C059644C7CB}">
      <text>
        <r>
          <rPr>
            <b/>
            <sz val="9"/>
            <color indexed="81"/>
            <rFont val="Tahoma"/>
            <family val="2"/>
          </rPr>
          <t xml:space="preserve">See Guide (help)
</t>
        </r>
        <r>
          <rPr>
            <sz val="9"/>
            <color indexed="81"/>
            <rFont val="Tahoma"/>
            <family val="2"/>
          </rPr>
          <t xml:space="preserve">
</t>
        </r>
      </text>
    </comment>
    <comment ref="A5" authorId="0" shapeId="0" xr:uid="{0759E5CC-EA7B-4CF0-827F-65639556AF3F}">
      <text>
        <r>
          <rPr>
            <sz val="9"/>
            <color indexed="81"/>
            <rFont val="Tahoma"/>
            <family val="2"/>
          </rPr>
          <t>Definition is in the "General info" tab.
Use the dropdown list.</t>
        </r>
      </text>
    </comment>
    <comment ref="A9" authorId="0" shapeId="0" xr:uid="{BC4A15CD-4296-4AE0-B2A9-66595BC1FDA2}">
      <text>
        <r>
          <rPr>
            <b/>
            <sz val="9"/>
            <color indexed="81"/>
            <rFont val="Tahoma"/>
            <family val="2"/>
          </rPr>
          <t>See Guide (help)</t>
        </r>
        <r>
          <rPr>
            <sz val="9"/>
            <color indexed="81"/>
            <rFont val="Tahoma"/>
            <family val="2"/>
          </rPr>
          <t xml:space="preserve">
</t>
        </r>
      </text>
    </comment>
    <comment ref="A11" authorId="0" shapeId="0" xr:uid="{778C7603-9042-49B6-AAD7-9900EF6D8241}">
      <text>
        <r>
          <rPr>
            <b/>
            <sz val="9"/>
            <color indexed="81"/>
            <rFont val="Tahoma"/>
            <family val="2"/>
          </rPr>
          <t xml:space="preserve">Describe the test environment and setup.
</t>
        </r>
        <r>
          <rPr>
            <sz val="9"/>
            <color indexed="81"/>
            <rFont val="Tahoma"/>
            <family val="2"/>
          </rPr>
          <t xml:space="preserve">
</t>
        </r>
      </text>
    </comment>
    <comment ref="A16" authorId="0" shapeId="0" xr:uid="{31ADEBF0-AAD4-4DBE-A48E-CCCE9949DA3B}">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2FF02B3-A56D-43BC-A446-426084C4B6F8}">
      <text>
        <r>
          <rPr>
            <b/>
            <sz val="9"/>
            <color indexed="81"/>
            <rFont val="Tahoma"/>
            <family val="2"/>
          </rPr>
          <t xml:space="preserve">See Guide (help)
</t>
        </r>
        <r>
          <rPr>
            <sz val="9"/>
            <color indexed="81"/>
            <rFont val="Tahoma"/>
            <family val="2"/>
          </rPr>
          <t xml:space="preserve">
</t>
        </r>
      </text>
    </comment>
    <comment ref="A3" authorId="0" shapeId="0" xr:uid="{C18C15C4-8FAF-45EE-A31E-524909256CDE}">
      <text>
        <r>
          <rPr>
            <b/>
            <sz val="9"/>
            <color indexed="81"/>
            <rFont val="Tahoma"/>
            <family val="2"/>
          </rPr>
          <t xml:space="preserve">See Guide (help)
</t>
        </r>
        <r>
          <rPr>
            <sz val="9"/>
            <color indexed="81"/>
            <rFont val="Tahoma"/>
            <family val="2"/>
          </rPr>
          <t xml:space="preserve">
</t>
        </r>
      </text>
    </comment>
    <comment ref="A5" authorId="0" shapeId="0" xr:uid="{AF9E3565-89CF-4148-8148-1169B41F2F2B}">
      <text>
        <r>
          <rPr>
            <sz val="9"/>
            <color indexed="81"/>
            <rFont val="Tahoma"/>
            <family val="2"/>
          </rPr>
          <t>Definition is in the "General info" tab.
Use the dropdown list.</t>
        </r>
      </text>
    </comment>
    <comment ref="A9" authorId="0" shapeId="0" xr:uid="{DADA4153-EA9F-4E01-BB93-9FD455A9B830}">
      <text>
        <r>
          <rPr>
            <b/>
            <sz val="9"/>
            <color indexed="81"/>
            <rFont val="Tahoma"/>
            <family val="2"/>
          </rPr>
          <t>See Guide (help)</t>
        </r>
        <r>
          <rPr>
            <sz val="9"/>
            <color indexed="81"/>
            <rFont val="Tahoma"/>
            <family val="2"/>
          </rPr>
          <t xml:space="preserve">
</t>
        </r>
      </text>
    </comment>
    <comment ref="A11" authorId="0" shapeId="0" xr:uid="{127DEBCE-49EB-46EB-A1E1-FD7AD7157F75}">
      <text>
        <r>
          <rPr>
            <b/>
            <sz val="9"/>
            <color indexed="81"/>
            <rFont val="Tahoma"/>
            <family val="2"/>
          </rPr>
          <t xml:space="preserve">Describe the test environment and setup.
</t>
        </r>
        <r>
          <rPr>
            <sz val="9"/>
            <color indexed="81"/>
            <rFont val="Tahoma"/>
            <family val="2"/>
          </rPr>
          <t xml:space="preserve">
</t>
        </r>
      </text>
    </comment>
    <comment ref="A16" authorId="0" shapeId="0" xr:uid="{33AA7B48-5AC9-4F33-B482-4153B2E4D669}">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7000D4E-6D1B-478A-B176-906540F744A4}">
      <text>
        <r>
          <rPr>
            <b/>
            <sz val="9"/>
            <color indexed="81"/>
            <rFont val="Tahoma"/>
            <family val="2"/>
          </rPr>
          <t xml:space="preserve">See Guide (help)
</t>
        </r>
        <r>
          <rPr>
            <sz val="9"/>
            <color indexed="81"/>
            <rFont val="Tahoma"/>
            <family val="2"/>
          </rPr>
          <t xml:space="preserve">
</t>
        </r>
      </text>
    </comment>
    <comment ref="A3" authorId="0" shapeId="0" xr:uid="{172A4397-88B6-4218-B980-C49AEFC26F96}">
      <text>
        <r>
          <rPr>
            <b/>
            <sz val="9"/>
            <color indexed="81"/>
            <rFont val="Tahoma"/>
            <family val="2"/>
          </rPr>
          <t xml:space="preserve">See Guide (help)
</t>
        </r>
        <r>
          <rPr>
            <sz val="9"/>
            <color indexed="81"/>
            <rFont val="Tahoma"/>
            <family val="2"/>
          </rPr>
          <t xml:space="preserve">
</t>
        </r>
      </text>
    </comment>
    <comment ref="A5" authorId="0" shapeId="0" xr:uid="{776582A8-4765-4454-9DB2-344FB65E60A4}">
      <text>
        <r>
          <rPr>
            <sz val="9"/>
            <color indexed="81"/>
            <rFont val="Tahoma"/>
            <family val="2"/>
          </rPr>
          <t>Definition is in the "General info" tab.
Use the dropdown list.</t>
        </r>
      </text>
    </comment>
    <comment ref="A9" authorId="0" shapeId="0" xr:uid="{755BAD8B-9EA3-4B41-B528-D97FD8042F0A}">
      <text>
        <r>
          <rPr>
            <b/>
            <sz val="9"/>
            <color indexed="81"/>
            <rFont val="Tahoma"/>
            <family val="2"/>
          </rPr>
          <t>See Guide (help)</t>
        </r>
        <r>
          <rPr>
            <sz val="9"/>
            <color indexed="81"/>
            <rFont val="Tahoma"/>
            <family val="2"/>
          </rPr>
          <t xml:space="preserve">
</t>
        </r>
      </text>
    </comment>
    <comment ref="A11" authorId="0" shapeId="0" xr:uid="{07114A48-EF4A-4B4A-A4C1-F0693957A7DE}">
      <text>
        <r>
          <rPr>
            <b/>
            <sz val="9"/>
            <color indexed="81"/>
            <rFont val="Tahoma"/>
            <family val="2"/>
          </rPr>
          <t xml:space="preserve">Describe the test environment and setup.
</t>
        </r>
        <r>
          <rPr>
            <sz val="9"/>
            <color indexed="81"/>
            <rFont val="Tahoma"/>
            <family val="2"/>
          </rPr>
          <t xml:space="preserve">
</t>
        </r>
      </text>
    </comment>
    <comment ref="A16" authorId="0" shapeId="0" xr:uid="{BCF5FD74-8E0D-4B12-8DC5-8FD24F535699}">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A25A34A-A80F-4735-AB47-561F83B88B14}">
      <text>
        <r>
          <rPr>
            <b/>
            <sz val="9"/>
            <color indexed="81"/>
            <rFont val="Tahoma"/>
            <family val="2"/>
          </rPr>
          <t xml:space="preserve">See Guide (help)
</t>
        </r>
        <r>
          <rPr>
            <sz val="9"/>
            <color indexed="81"/>
            <rFont val="Tahoma"/>
            <family val="2"/>
          </rPr>
          <t xml:space="preserve">
</t>
        </r>
      </text>
    </comment>
    <comment ref="A3" authorId="0" shapeId="0" xr:uid="{17897598-8145-48E0-8D3E-3EE537D05DEF}">
      <text>
        <r>
          <rPr>
            <b/>
            <sz val="9"/>
            <color indexed="81"/>
            <rFont val="Tahoma"/>
            <family val="2"/>
          </rPr>
          <t xml:space="preserve">See Guide (help)
</t>
        </r>
        <r>
          <rPr>
            <sz val="9"/>
            <color indexed="81"/>
            <rFont val="Tahoma"/>
            <family val="2"/>
          </rPr>
          <t xml:space="preserve">
</t>
        </r>
      </text>
    </comment>
    <comment ref="A5" authorId="0" shapeId="0" xr:uid="{1BA94835-F88B-4B8B-9BDE-A4059A21B478}">
      <text>
        <r>
          <rPr>
            <sz val="9"/>
            <color indexed="81"/>
            <rFont val="Tahoma"/>
            <family val="2"/>
          </rPr>
          <t>Definition is in the "General info" tab.
Use the dropdown list.</t>
        </r>
      </text>
    </comment>
    <comment ref="A9" authorId="0" shapeId="0" xr:uid="{6426F382-1AB9-4F75-B98D-7270AB2F198B}">
      <text>
        <r>
          <rPr>
            <b/>
            <sz val="9"/>
            <color indexed="81"/>
            <rFont val="Tahoma"/>
            <family val="2"/>
          </rPr>
          <t>See Guide (help)</t>
        </r>
        <r>
          <rPr>
            <sz val="9"/>
            <color indexed="81"/>
            <rFont val="Tahoma"/>
            <family val="2"/>
          </rPr>
          <t xml:space="preserve">
</t>
        </r>
      </text>
    </comment>
    <comment ref="A11" authorId="0" shapeId="0" xr:uid="{4F7A80EB-092C-4C7A-858B-D0680A3FEB87}">
      <text>
        <r>
          <rPr>
            <b/>
            <sz val="9"/>
            <color indexed="81"/>
            <rFont val="Tahoma"/>
            <family val="2"/>
          </rPr>
          <t xml:space="preserve">Describe the test environment and setup.
</t>
        </r>
        <r>
          <rPr>
            <sz val="9"/>
            <color indexed="81"/>
            <rFont val="Tahoma"/>
            <family val="2"/>
          </rPr>
          <t xml:space="preserve">
</t>
        </r>
      </text>
    </comment>
    <comment ref="A16" authorId="0" shapeId="0" xr:uid="{F7EF2C60-B467-45DA-91BC-CEE51C68265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43B5144-A169-443F-B289-FBF0C92E1CDE}">
      <text>
        <r>
          <rPr>
            <b/>
            <sz val="9"/>
            <color indexed="81"/>
            <rFont val="Tahoma"/>
            <family val="2"/>
          </rPr>
          <t xml:space="preserve">See Guide (help)
</t>
        </r>
        <r>
          <rPr>
            <sz val="9"/>
            <color indexed="81"/>
            <rFont val="Tahoma"/>
            <family val="2"/>
          </rPr>
          <t xml:space="preserve">
</t>
        </r>
      </text>
    </comment>
    <comment ref="A3" authorId="0" shapeId="0" xr:uid="{C2DA208E-A99D-45B2-8CCB-7B3D4110B091}">
      <text>
        <r>
          <rPr>
            <b/>
            <sz val="9"/>
            <color indexed="81"/>
            <rFont val="Tahoma"/>
            <family val="2"/>
          </rPr>
          <t xml:space="preserve">See Guide (help)
</t>
        </r>
        <r>
          <rPr>
            <sz val="9"/>
            <color indexed="81"/>
            <rFont val="Tahoma"/>
            <family val="2"/>
          </rPr>
          <t xml:space="preserve">
</t>
        </r>
      </text>
    </comment>
    <comment ref="A5" authorId="0" shapeId="0" xr:uid="{A3754979-875D-4135-B945-6C79B7E6084C}">
      <text>
        <r>
          <rPr>
            <sz val="9"/>
            <color indexed="81"/>
            <rFont val="Tahoma"/>
            <family val="2"/>
          </rPr>
          <t>Definition is in the "General info" tab.
Use the dropdown list.</t>
        </r>
      </text>
    </comment>
    <comment ref="A9" authorId="0" shapeId="0" xr:uid="{C70F2941-E723-473F-9C37-AC7FC29E2A04}">
      <text>
        <r>
          <rPr>
            <b/>
            <sz val="9"/>
            <color indexed="81"/>
            <rFont val="Tahoma"/>
            <family val="2"/>
          </rPr>
          <t>See Guide (help)</t>
        </r>
        <r>
          <rPr>
            <sz val="9"/>
            <color indexed="81"/>
            <rFont val="Tahoma"/>
            <family val="2"/>
          </rPr>
          <t xml:space="preserve">
</t>
        </r>
      </text>
    </comment>
    <comment ref="A11" authorId="0" shapeId="0" xr:uid="{E16BEFB9-82CD-4439-8B1F-2E36D59B73B0}">
      <text>
        <r>
          <rPr>
            <b/>
            <sz val="9"/>
            <color indexed="81"/>
            <rFont val="Tahoma"/>
            <family val="2"/>
          </rPr>
          <t xml:space="preserve">Describe the test environment and setup.
</t>
        </r>
        <r>
          <rPr>
            <sz val="9"/>
            <color indexed="81"/>
            <rFont val="Tahoma"/>
            <family val="2"/>
          </rPr>
          <t xml:space="preserve">
</t>
        </r>
      </text>
    </comment>
    <comment ref="A16" authorId="0" shapeId="0" xr:uid="{DAE9424D-9B8D-49E4-8B6D-86A8BF3CA553}">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<sst xmlns="http://schemas.openxmlformats.org/spreadsheetml/2006/main" count="360" uniqueCount="194">
  <si>
    <t>Project Number &amp; Name</t>
  </si>
  <si>
    <t>Document state</t>
  </si>
  <si>
    <t>Document id</t>
  </si>
  <si>
    <t>Document title</t>
  </si>
  <si>
    <t>Version</t>
  </si>
  <si>
    <t>Description/comment</t>
  </si>
  <si>
    <t>Tab</t>
  </si>
  <si>
    <t>ID</t>
  </si>
  <si>
    <t>Title</t>
  </si>
  <si>
    <t>Reference &amp; revision</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</si>
  <si>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</si>
  <si>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</si>
  <si>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</si>
  <si>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</si>
  <si>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</si>
  <si>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</si>
  <si>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</si>
  <si>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</si>
  <si>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</si>
  <si>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</si>
  <si>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</si>
  <si>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</si>
  <si>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</si>
  <si>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</si>
  <si>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</si>
  <si>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</si>
  <si>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</si>
  <si>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</si>
  <si>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</si>
  <si>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</si>
  <si>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</si>
  <si>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</si>
  <si>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</si>
  <si>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</si>
  <si>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</si>
  <si>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</si>
  <si>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</si>
  <si>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</si>
  <si>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</si>
  <si>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</si>
  <si>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</si>
  <si>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</si>
  <si>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</si>
  <si>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</si>
  <si>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</si>
  <si>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</si>
  <si>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</si>
  <si>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</si>
  <si>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</si>
  <si>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</si>
  <si>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</si>
  <si>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</si>
  <si>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</si>
  <si>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</si>
  <si>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</si>
  <si>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</si>
  <si>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</si>
  <si>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</si>
  <si>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</si>
  <si>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</si>
  <si>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</si>
  <si>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</si>
  <si>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</si>
  <si>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</si>
  <si>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</si>
  <si>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</si>
  <si>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</si>
  <si>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</si>
  <si>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</si>
  <si>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</si>
  <si>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</si>
  <si>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</si>
  <si>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</si>
  <si>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</si>
  <si>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</si>
  <si>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</si>
  <si>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</si>
  <si>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</si>
  <si>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</si>
  <si>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</si>
  <si>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</si>
  <si>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</si>
  <si>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</si>
  <si>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</si>
  <si>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</si>
  <si>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</si>
  <si>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</si>
  <si>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</si>
  <si>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</si>
  <si>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</si>
  <si>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</si>
  <si>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</si>
  <si>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</si>
  <si>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</si>
  <si>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</si>
  <si>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</si>
  <si>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</si>
  <si>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</si>
  <si>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</si>
  <si>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</si>
  <si>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</si>
  <si>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</si>
  <si>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</si>
  <si>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</si>
  <si>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</si>
  <si>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</si>
  <si>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</si>
  <si>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</si>
  <si>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</si>
  <si>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</si>
  <si>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</si>
  <si>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</si>
  <si>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</si>
  <si>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</si>
  <si>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</si>
  <si>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</si>
  <si>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</si>
  <si>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</si>
  <si>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</si>
  <si>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</si>
  <si>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</si>
  <si>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</si>
  <si>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</si>
  <si>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DAIMLER MER W174W178 EL SB ECU</t>
  </si>
  <si>
    <t>Initial revision</t>
  </si>
  <si>
    <t>NA</t>
  </si>
  <si>
    <t xml:space="preserve">See Project Master Document for the roles and Project Members List for the name of people </t>
  </si>
  <si>
    <t>Stefan Dominte</t>
  </si>
  <si>
    <t>DAIMLER MER ECU or Mock-up board
Power supply connected
CAN case connected
CANoe for DAIMLER MER configuration
ic5000 debuger
WinIdea</t>
  </si>
  <si>
    <t>Ok</t>
  </si>
  <si>
    <t>Nominal</t>
  </si>
  <si>
    <t>Latest PTC SW flashed with application
Power On CANoe simulation and the power supply
Run the software</t>
  </si>
  <si>
    <t>EOL - Software Integration Test Specification Report.xls</t>
  </si>
  <si>
    <t>SW_IT_EOL_0001</t>
  </si>
  <si>
    <t>SW_IT_EOL_0002</t>
  </si>
  <si>
    <t>SW_IT_EOL_0003</t>
  </si>
  <si>
    <t>SW_IT_EOL_0004</t>
  </si>
  <si>
    <t>SW_IT_EOL_0005</t>
  </si>
  <si>
    <t>SW_IT_EOL_0006</t>
  </si>
  <si>
    <t>Testing the high force counter incrementation</t>
  </si>
  <si>
    <t>Testing the high force counter</t>
  </si>
  <si>
    <t xml:space="preserve">Testing the low force counter </t>
  </si>
  <si>
    <t>Testing the low force counter incrementation</t>
  </si>
  <si>
    <t>Testing the comfort counter</t>
  </si>
  <si>
    <t>Testing the comfort counter incrementation</t>
  </si>
  <si>
    <t>ARCH_SW_EOL_0001, ARCH_SW_EOL_0008, ARCH_SW_EOL_0007, ARCH_SW_EOL_0009</t>
  </si>
  <si>
    <t>ARCH_SW_EOL_0002, ARCH_SW_EOL_0007, ARCH_SW_EOL_0009</t>
  </si>
  <si>
    <t>ARCH_SW_EOL_0003, ARCH_SW_EOL_0007, ARCH_SW_EOL_0009</t>
  </si>
  <si>
    <t>Testing the high force counter threshold</t>
  </si>
  <si>
    <t>Testing the low force counter threshold</t>
  </si>
  <si>
    <t>Testing the comfort counter threshold</t>
  </si>
  <si>
    <t>ARCH_SW_EOL_0006</t>
  </si>
  <si>
    <t>ARCH_SW_EOL_0004</t>
  </si>
  <si>
    <t>ARCH_SW_EOL_0005</t>
  </si>
  <si>
    <t>In CANoe, set on TX channel the Presf_Lvl_V2 signal to 0x01(LVL_1) and watch the value of Meas_RBTM_02 signal.</t>
  </si>
  <si>
    <t>Add on WinIdea NVP_BLOCK_ID_EXECUTION_COUNTERS_RamBlockData.NVP_au32ExecutedCycleCounters[1] variable</t>
  </si>
  <si>
    <t>Add on WinIdea NVP_BLOCK_ID_EXECUTION_COUNTERS_RamBlockData.NVP_au32ExecutedCycleCounters[2] variable</t>
  </si>
  <si>
    <t xml:space="preserve">In CANoe, set on TX channel the Presf_Lvl_V2 signal to 0x04(LVL4) </t>
  </si>
  <si>
    <t>In CANoe, set signal Bckl Sw_FP = 0(OK) and than change the value to 1.</t>
  </si>
  <si>
    <t>In WinIdea add NVP_BLOCK_ID_ECU_LOCATION_RamBlockData.NVP_u8ECULocation and NVP_BLOCK_ID_EXECUTION_COUNTERS_RamBlockData.NVP_au32ExecutedCycleCounters[0]  variables to Watch and change the value of NVP_BLOCK_ID_ECU_LOCATION_RamBlockData.NVP_u8ECULocation to 0x99</t>
  </si>
  <si>
    <t>NVP_BLOCK_ID_EXECUTION_COUNTERS_RamBlockData.NVP_au32ExecutedCycleCounters[0] will be incremented.</t>
  </si>
  <si>
    <t>NVP_BLOCK_ID_EXECUTION_COUNTERS_RamBlockData.NVP_au32ExecutedCycleCounters[0] is incremented.</t>
  </si>
  <si>
    <t>NVP_BLOCK_ID_EXECUTION_COUNTERS_RamBlockData.NVP_au32ExecutedCycleCounters[1] will be incremented.</t>
  </si>
  <si>
    <t>NVP_BLOCK_ID_EXECUTION_COUNTERS_RamBlockData.NVP_au32ExecutedCycleCounters[1] is incremented.</t>
  </si>
  <si>
    <t>NVP_BLOCK_ID_EXECUTION_COUNTERS_RamBlockData.NVP_au32ExecutedCycleCounters[2] and NVP_BLOCK_ID_EXECUTION_COUNTERS_RamBlockData.NVP_au32ExecutedCycleCounters[1] will be incremented.</t>
  </si>
  <si>
    <t>NVP_BLOCK_ID_EXECUTION_COUNTERS_RamBlockData.NVP_au32ExecutedCycleCounters[2] and NVP_BLOCK_ID_EXECUTION_COUNTERS_RamBlockData.NVP_au32ExecutedCycleCounters[1] are incremented.</t>
  </si>
  <si>
    <t>Change NVP_BLOCK_ID_EXECUTION_COUNTERS_RamBlockData.NVP_au32ExecutedCycleCounters[2] to a higher value than CALIB_BLOCK_ID_EOL_PARAM_RomBlockData.NVP_u32HighForceEOLThrs</t>
  </si>
  <si>
    <t>Change NVP_BLOCK_ID_EXECUTION_COUNTERS_RamBlockData.NVP_au32ExecutedCycleCounters[0] to a higher value than CALIB_BLOCK_ID_EOL_PARAM_RomBlockData.NVP_u32ComfortCyclesEOLThrs</t>
  </si>
  <si>
    <t>Change NVP_BLOCK_ID_EXECUTION_COUNTERS_RamBlockData.NVP_au32ExecutedCycleCounters[1] to a higher value than CALIB_BLOCK_ID_EOL_PARAM_RomBlockData.NVP_u32LowForceEOLThrs</t>
  </si>
  <si>
    <t>Add on WinIdea NVP_BLOCK_ID_EXECUTION_COUNTERS_RamBlockData.NVP_au32ExecutedCycleCounters[0] and CALIB_BLOCK_ID_EOL_PARAM_RomBlockData.NVP_u32ComfortCyclesEOLThrs variables</t>
  </si>
  <si>
    <t>Add on WinIdea NVP_BLOCK_ID_EXECUTION_COUNTERS_RamBlockData.NVP_au32ExecutedCycleCounters[2] and CALIB_BLOCK_ID_EOL_PARAM_RomBlockData.NVP_u32HighForceEOLThrs variables</t>
  </si>
  <si>
    <t>23.06.2022</t>
  </si>
  <si>
    <t>1.1</t>
  </si>
  <si>
    <t>1.2</t>
  </si>
  <si>
    <t>Revision update</t>
  </si>
  <si>
    <t>Set a breakpoint at line "if (NVP_BLOCK_ID_EXECUTION_COUNTERS_RamBlockData.NVP_au32ExecutedCycleCounters[KU8_EOL_HIGH_FORCE_LEVEL] &gt;= CALIB_BLOCK_ID_EOL_PARAM_RomBlockData.NVP_u32HighForceEOLThrs )" in the function EOL_Autotest_CheckProductEndOfLifeHighForce() from EOL_autotest.c</t>
  </si>
  <si>
    <t>Breakpoint is reached</t>
  </si>
  <si>
    <t>Continue from Step 4 and step in</t>
  </si>
  <si>
    <t>Verify that *pu8TestResult is modified</t>
  </si>
  <si>
    <t>*pu8TestResult value is modified</t>
  </si>
  <si>
    <t>Add on WinIdea NVP_BLOCK_ID_EXECUTION_COUNTERS_RamBlockData.NVP_au32ExecutedCycleCounters[1] and CALIB_BLOCK_ID_EOL_PARAM_RomBlockData.NVP_u32LowForceEOLThrs variables</t>
  </si>
  <si>
    <t>Verify in WinIdea that CALIB_BLOCK_ID_EOL_PARAM_RomBlockData.NVP_u32LowForceEOLThrs coresponds with the NVP value</t>
  </si>
  <si>
    <t>Verify in WinIdea that CALIB_BLOCK_ID_EOL_PARAM_RomBlockData.NVP_u32HighForceEOLThrs coresponds with the NVP value</t>
  </si>
  <si>
    <t>Set a breakpoint at line "if (NVP_BLOCK_ID_EXECUTION_COUNTERS_RamBlockData.NVP_au32ExecutedCycleCounters[KU8_EOL_LOW_FORCE_LEVEL] &gt;= CALIB_BLOCK_ID_EOL_PARAM_RomBlockData.NVP_u32LowForceEOLThrs)" in the function EOL_Autotest_CheckProductEndOfLifeLowForce() from EOL_autotest.c</t>
  </si>
  <si>
    <t>Set a breakpoint at line "if (NVP_BLOCK_ID_EXECUTION_COUNTERS_RamBlockData.NVP_au32ExecutedCycleCounters[KU8_EOL_COMFORT_LEVEL] &gt;= CALIB_BLOCK_ID_EOL_PARAM_RomBlockData.NVP_u32ComfortCyclesEOLThrs)" in the function EOL_Autotest_CheckProductEndOfLifeComfort() from EOL_autotest.c</t>
  </si>
  <si>
    <t>Verify in WinIdea that CALIB_BLOCK_ID_EOL_PARAM_RomBlockData.NVP_u32ComfortCyclesEOLThrs coresponds with the NVP value</t>
  </si>
  <si>
    <t>Ciprian Galbau</t>
  </si>
  <si>
    <t>01.09.2022</t>
  </si>
  <si>
    <t>1.3</t>
  </si>
  <si>
    <t>Perform integration test for R3.0</t>
  </si>
  <si>
    <t>Applied from SW R3.0 release</t>
  </si>
  <si>
    <t>C. Galbau</t>
  </si>
  <si>
    <r>
      <t xml:space="preserve">Comment
</t>
    </r>
    <r>
      <rPr>
        <i/>
        <sz val="11"/>
        <rFont val="Calibri"/>
        <family val="2"/>
      </rPr>
      <t>(aplicable only if test not executed)</t>
    </r>
  </si>
  <si>
    <t>Test for Regression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</si>
</sst>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44"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39">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3" xfId="0" applyFont="1" applyBorder="1" applyAlignment="1" applyProtection="1">
      <alignment vertical="center"/>
      <protection locked="0"/>
    </xf>
    <xf numFmtId="0" fontId="0" fillId="0" borderId="43"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29" fillId="0" borderId="16" xfId="0" applyFont="1" applyBorder="1" applyAlignment="1">
      <alignment vertical="top"/>
    </xf>
    <xf numFmtId="0" fontId="35" fillId="0" borderId="10" xfId="0" applyFont="1" applyBorder="1" applyAlignment="1">
      <alignment horizontal="center" vertical="center"/>
    </xf>
    <xf numFmtId="0" fontId="0" fillId="5" borderId="0" xfId="0" applyFill="1"/>
    <xf numFmtId="0" fontId="35" fillId="5" borderId="0" xfId="0" applyFont="1" applyFill="1" applyBorder="1" applyAlignment="1">
      <alignment horizontal="center" vertical="center"/>
    </xf>
    <xf numFmtId="0" fontId="35" fillId="5" borderId="17" xfId="0" applyFont="1" applyFill="1" applyBorder="1" applyAlignment="1">
      <alignment horizontal="center" vertical="center"/>
    </xf>
    <xf numFmtId="0" fontId="35" fillId="5" borderId="18"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9" xfId="0" applyFont="1" applyFill="1" applyBorder="1" applyAlignment="1">
      <alignment vertical="center" wrapText="1"/>
    </xf>
    <xf numFmtId="0" fontId="37" fillId="7" borderId="20"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5" fillId="5" borderId="7" xfId="0" applyFont="1" applyFill="1" applyBorder="1" applyAlignment="1">
      <alignment horizontal="left" vertical="center"/>
    </xf>
    <xf numFmtId="0" fontId="23" fillId="0" borderId="10" xfId="1" applyBorder="1" applyAlignment="1">
      <alignment vertical="top"/>
    </xf>
    <xf numFmtId="0" fontId="36" fillId="0" borderId="11" xfId="0" applyFont="1" applyBorder="1" applyAlignment="1">
      <alignment vertical="top"/>
    </xf>
    <xf numFmtId="0" fontId="1" fillId="5" borderId="25" xfId="2" applyFill="1" applyBorder="1" applyAlignment="1">
      <alignment horizontal="left" vertical="center" wrapText="1" shrinkToFit="1"/>
    </xf>
    <xf numFmtId="0" fontId="1" fillId="5" borderId="26" xfId="2" applyFill="1" applyBorder="1" applyAlignment="1">
      <alignment horizontal="left" vertical="center" wrapText="1" shrinkToFit="1"/>
    </xf>
    <xf numFmtId="0" fontId="1" fillId="5" borderId="16" xfId="2" applyFill="1" applyBorder="1" applyAlignment="1">
      <alignment horizontal="left" vertical="center" wrapText="1" shrinkToFit="1"/>
    </xf>
    <xf numFmtId="0" fontId="0" fillId="5" borderId="25" xfId="0" applyFill="1" applyBorder="1"/>
    <xf numFmtId="0" fontId="0" fillId="5" borderId="26" xfId="0" applyFill="1" applyBorder="1"/>
    <xf numFmtId="0" fontId="0" fillId="5" borderId="16" xfId="0" applyFill="1" applyBorder="1"/>
    <xf numFmtId="0" fontId="35" fillId="0" borderId="44" xfId="0" applyFont="1" applyBorder="1" applyAlignment="1">
      <alignment horizontal="center" vertical="center"/>
    </xf>
    <xf numFmtId="0" fontId="34" fillId="6" borderId="24" xfId="0" applyFont="1" applyFill="1" applyBorder="1" applyAlignment="1">
      <alignment vertical="top"/>
    </xf>
    <xf numFmtId="0" fontId="31" fillId="0" borderId="10" xfId="0" applyFont="1" applyBorder="1" applyAlignment="1">
      <alignment vertical="top"/>
    </xf>
    <xf numFmtId="0" fontId="42" fillId="10" borderId="7" xfId="0" applyFont="1" applyFill="1" applyBorder="1" applyAlignment="1">
      <alignment horizontal="center" vertical="center" wrapText="1"/>
    </xf>
    <xf numFmtId="0" fontId="38" fillId="0" borderId="15"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1" xfId="0" applyFont="1" applyBorder="1" applyAlignment="1" applyProtection="1">
      <alignment horizontal="left" vertical="center" shrinkToFit="1"/>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39" fillId="9" borderId="24" xfId="0" applyFont="1" applyFill="1" applyBorder="1" applyAlignment="1" applyProtection="1">
      <alignment horizontal="center" vertical="center" shrinkToFit="1"/>
      <protection locked="0"/>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1"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1" xfId="0" applyFont="1" applyFill="1" applyBorder="1" applyAlignment="1" applyProtection="1">
      <alignment horizontal="left" vertical="top" shrinkToFit="1"/>
      <protection locked="0"/>
    </xf>
    <xf numFmtId="165" fontId="38" fillId="0" borderId="15" xfId="0" applyNumberFormat="1" applyFont="1" applyBorder="1" applyAlignment="1" applyProtection="1">
      <alignment horizontal="left" vertical="center" shrinkToFit="1"/>
    </xf>
    <xf numFmtId="165" fontId="38" fillId="0" borderId="1" xfId="0" applyNumberFormat="1" applyFont="1" applyBorder="1" applyAlignment="1" applyProtection="1">
      <alignment horizontal="left" vertical="center" shrinkToFit="1"/>
    </xf>
    <xf numFmtId="165" fontId="38" fillId="0" borderId="21" xfId="0" applyNumberFormat="1" applyFont="1" applyBorder="1" applyAlignment="1" applyProtection="1">
      <alignment horizontal="left" vertical="center" shrinkToFi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1" fillId="0" borderId="15"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5"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0" fontId="1"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39" fillId="9" borderId="23"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1" xfId="0" applyFont="1" applyFill="1" applyBorder="1" applyAlignment="1" applyProtection="1">
      <alignment horizontal="left" vertical="top" wrapText="1" shrinkToFit="1"/>
      <protection locked="0"/>
    </xf>
    <xf numFmtId="0" fontId="38" fillId="3" borderId="15"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49" fontId="1" fillId="0" borderId="25"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7" fillId="7" borderId="10" xfId="0" applyFont="1" applyFill="1" applyBorder="1" applyAlignment="1">
      <alignment horizontal="center"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5"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left" vertical="center" wrapText="1"/>
    </xf>
    <xf numFmtId="49" fontId="5" fillId="0" borderId="0" xfId="0" applyNumberFormat="1" applyFont="1" applyFill="1" applyAlignment="1" applyProtection="1">
      <alignment horizontal="left" vertical="top" wrapText="1"/>
      <protection locked="0"/>
    </xf>
    <xf numFmtId="49" fontId="1" fillId="0" borderId="10" xfId="0" applyNumberFormat="1" applyFont="1"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1" xfId="0" applyFont="1" applyFill="1" applyBorder="1" applyAlignment="1" applyProtection="1">
      <alignment horizontal="left" vertical="center" shrinkToFit="1"/>
    </xf>
    <xf numFmtId="165" fontId="38" fillId="3" borderId="15" xfId="0" applyNumberFormat="1" applyFont="1" applyFill="1" applyBorder="1" applyAlignment="1" applyProtection="1">
      <alignment horizontal="left" vertical="center" shrinkToFit="1"/>
    </xf>
    <xf numFmtId="165" fontId="38" fillId="3" borderId="1" xfId="0" applyNumberFormat="1" applyFont="1" applyFill="1" applyBorder="1" applyAlignment="1" applyProtection="1">
      <alignment horizontal="left" vertical="center" shrinkToFit="1"/>
    </xf>
    <xf numFmtId="165" fontId="38" fillId="3" borderId="21" xfId="0" applyNumberFormat="1"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37" fillId="7" borderId="31" xfId="0" applyFont="1" applyFill="1" applyBorder="1" applyAlignment="1">
      <alignment horizontal="center" wrapText="1"/>
    </xf>
    <xf numFmtId="0" fontId="1" fillId="5" borderId="10" xfId="2" applyFill="1" applyBorder="1" applyAlignment="1">
      <alignment horizontal="left" vertical="top" wrapText="1" shrinkToFit="1"/>
    </xf>
    <xf numFmtId="0" fontId="1" fillId="5" borderId="10" xfId="2" applyFont="1" applyFill="1" applyBorder="1" applyAlignment="1">
      <alignment horizontal="left" vertical="top" wrapText="1" shrinkToFit="1"/>
    </xf>
    <xf numFmtId="0" fontId="9" fillId="5" borderId="6" xfId="0" applyFont="1" applyFill="1" applyBorder="1" applyAlignment="1">
      <alignment horizontal="left"/>
    </xf>
    <xf numFmtId="0" fontId="1" fillId="5" borderId="27" xfId="0" applyFont="1" applyFill="1" applyBorder="1" applyAlignment="1">
      <alignment horizontal="left"/>
    </xf>
    <xf numFmtId="0" fontId="1" fillId="5" borderId="28" xfId="0" applyFont="1" applyFill="1" applyBorder="1" applyAlignment="1">
      <alignment horizontal="left"/>
    </xf>
    <xf numFmtId="0" fontId="1" fillId="5" borderId="6" xfId="0" applyFont="1" applyFill="1" applyBorder="1" applyAlignment="1">
      <alignment horizontal="left" vertical="top"/>
    </xf>
    <xf numFmtId="0" fontId="1" fillId="5" borderId="27" xfId="0" applyFont="1" applyFill="1" applyBorder="1" applyAlignment="1">
      <alignment horizontal="left" vertical="top"/>
    </xf>
    <xf numFmtId="0" fontId="1" fillId="5" borderId="28" xfId="0" applyFont="1" applyFill="1" applyBorder="1" applyAlignment="1">
      <alignment horizontal="left" vertical="top"/>
    </xf>
    <xf numFmtId="0" fontId="1" fillId="5" borderId="25"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37" fillId="7" borderId="34" xfId="0" applyFont="1" applyFill="1" applyBorder="1" applyAlignment="1">
      <alignment horizontal="left" vertical="center" wrapText="1"/>
    </xf>
    <xf numFmtId="0" fontId="37" fillId="7" borderId="36" xfId="0" applyFont="1" applyFill="1" applyBorder="1" applyAlignment="1">
      <alignment horizontal="left" vertical="center" wrapText="1"/>
    </xf>
    <xf numFmtId="49" fontId="1" fillId="5" borderId="25" xfId="2" applyNumberFormat="1" applyFill="1" applyBorder="1" applyAlignment="1">
      <alignment horizontal="left" vertical="center" wrapText="1" shrinkToFit="1"/>
    </xf>
    <xf numFmtId="49" fontId="1" fillId="5" borderId="26" xfId="2" applyNumberFormat="1" applyFill="1" applyBorder="1" applyAlignment="1">
      <alignment horizontal="left" vertical="center" wrapText="1" shrinkToFit="1"/>
    </xf>
    <xf numFmtId="49" fontId="1" fillId="5" borderId="16" xfId="2" applyNumberFormat="1" applyFill="1" applyBorder="1" applyAlignment="1">
      <alignment horizontal="left" vertical="center"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40"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42"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25" xfId="2" applyFill="1" applyBorder="1" applyAlignment="1">
      <alignment horizontal="left" vertical="top" wrapText="1" shrinkToFit="1"/>
    </xf>
    <xf numFmtId="0" fontId="1" fillId="5" borderId="26" xfId="2" applyFill="1" applyBorder="1" applyAlignment="1">
      <alignment horizontal="left" vertical="top" wrapText="1" shrinkToFit="1"/>
    </xf>
    <xf numFmtId="0" fontId="1" fillId="5" borderId="16" xfId="2" applyFill="1" applyBorder="1" applyAlignment="1">
      <alignment horizontal="left" vertical="top" wrapText="1" shrinkToFit="1"/>
    </xf>
    <xf numFmtId="49" fontId="1" fillId="5" borderId="25" xfId="2" applyNumberFormat="1" applyFill="1" applyBorder="1" applyAlignment="1">
      <alignment horizontal="left" vertical="top" wrapText="1" shrinkToFit="1"/>
    </xf>
    <xf numFmtId="49" fontId="1" fillId="5" borderId="26" xfId="2" applyNumberFormat="1" applyFill="1" applyBorder="1" applyAlignment="1">
      <alignment horizontal="left" vertical="top" wrapText="1" shrinkToFit="1"/>
    </xf>
    <xf numFmtId="49" fontId="1" fillId="5" borderId="16" xfId="2" applyNumberFormat="1" applyFill="1" applyBorder="1" applyAlignment="1">
      <alignment horizontal="left" vertical="top" wrapText="1" shrinkToFit="1"/>
    </xf>
    <xf numFmtId="0" fontId="0" fillId="5" borderId="25" xfId="0" applyFill="1" applyBorder="1" applyAlignment="1">
      <alignment horizontal="left" vertical="top"/>
    </xf>
    <xf numFmtId="0" fontId="0" fillId="5" borderId="26" xfId="0" applyFill="1" applyBorder="1" applyAlignment="1">
      <alignment horizontal="left" vertical="top"/>
    </xf>
    <xf numFmtId="0" fontId="0" fillId="5" borderId="16" xfId="0" applyFill="1" applyBorder="1" applyAlignment="1">
      <alignment horizontal="left" vertical="top"/>
    </xf>
    <xf numFmtId="0" fontId="9" fillId="5" borderId="27" xfId="0" applyFont="1" applyFill="1" applyBorder="1" applyAlignment="1">
      <alignment horizontal="left"/>
    </xf>
    <xf numFmtId="0" fontId="9" fillId="5" borderId="28" xfId="0" applyFont="1" applyFill="1" applyBorder="1" applyAlignment="1">
      <alignment horizontal="left"/>
    </xf>
  </cellXfs>
  <cellStyles count="3">
    <cellStyle name="Hyperlink" xfId="1" builtinId="8"/>
    <cellStyle name="Normal" xfId="0" builtinId="0"/>
    <cellStyle name="Normal 2" xfId="2" xr:uid="{00000000-0005-0000-0000-000002000000}"/>
  </cellStyles>
  <dxfs count="122">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1</c:v>
                </c:pt>
                <c:pt idx="1">
                  <c:v>0</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15" sqref="E15:AG15"/>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EOL - Software Integration Test Specification Report.xlsm</v>
      </c>
      <c r="AE3" s="8"/>
      <c r="AF3" s="8"/>
      <c r="AG3" s="8"/>
      <c r="AH3" s="8"/>
      <c r="AI3" s="8"/>
      <c r="AJ3" s="8"/>
      <c r="AK3" s="8"/>
    </row>
    <row r="4" spans="1:37" s="7" customFormat="1" ht="11.1" customHeight="1" x14ac:dyDescent="0.25">
      <c r="A4" s="124" t="s">
        <v>0</v>
      </c>
      <c r="B4" s="125"/>
      <c r="C4" s="125"/>
      <c r="D4" s="125"/>
      <c r="E4" s="125"/>
      <c r="F4" s="125"/>
      <c r="G4" s="125"/>
      <c r="H4" s="125"/>
      <c r="I4" s="125"/>
      <c r="J4" s="125"/>
      <c r="K4" s="125"/>
      <c r="L4" s="125"/>
      <c r="M4" s="125"/>
      <c r="N4" s="125"/>
      <c r="O4" s="125"/>
      <c r="P4" s="125"/>
      <c r="Q4" s="125"/>
      <c r="R4" s="125"/>
      <c r="S4" s="125"/>
      <c r="T4" s="125"/>
      <c r="U4" s="125"/>
      <c r="V4" s="126"/>
      <c r="W4" s="138" t="s">
        <v>1</v>
      </c>
      <c r="X4" s="139"/>
      <c r="Y4" s="139"/>
      <c r="Z4" s="139"/>
      <c r="AA4" s="140"/>
      <c r="AB4" s="141" t="s">
        <v>19</v>
      </c>
      <c r="AC4" s="142"/>
      <c r="AD4" s="142"/>
      <c r="AE4" s="142"/>
      <c r="AF4" s="142"/>
      <c r="AG4" s="143"/>
      <c r="AH4" s="10"/>
      <c r="AI4" s="10"/>
      <c r="AJ4" s="10"/>
      <c r="AK4" s="8"/>
    </row>
    <row r="5" spans="1:37" s="12" customFormat="1" ht="12.75" customHeight="1" x14ac:dyDescent="0.25">
      <c r="A5" s="118" t="s">
        <v>123</v>
      </c>
      <c r="B5" s="119"/>
      <c r="C5" s="119"/>
      <c r="D5" s="119"/>
      <c r="E5" s="119"/>
      <c r="F5" s="119"/>
      <c r="G5" s="119"/>
      <c r="H5" s="119"/>
      <c r="I5" s="119"/>
      <c r="J5" s="119"/>
      <c r="K5" s="119"/>
      <c r="L5" s="119"/>
      <c r="M5" s="119"/>
      <c r="N5" s="119"/>
      <c r="O5" s="119"/>
      <c r="P5" s="119"/>
      <c r="Q5" s="119"/>
      <c r="R5" s="119"/>
      <c r="S5" s="119"/>
      <c r="T5" s="119"/>
      <c r="U5" s="119"/>
      <c r="V5" s="120"/>
      <c r="W5" s="118" t="s">
        <v>124</v>
      </c>
      <c r="X5" s="119"/>
      <c r="Y5" s="119"/>
      <c r="Z5" s="119"/>
      <c r="AA5" s="120"/>
      <c r="AB5" s="118" t="s">
        <v>187</v>
      </c>
      <c r="AC5" s="119"/>
      <c r="AD5" s="119"/>
      <c r="AE5" s="119"/>
      <c r="AF5" s="119"/>
      <c r="AG5" s="120"/>
      <c r="AH5" s="11"/>
      <c r="AI5" s="11"/>
      <c r="AJ5" s="11"/>
      <c r="AK5" s="11"/>
    </row>
    <row r="6" spans="1:37" s="45" customFormat="1" ht="11.1" customHeight="1" x14ac:dyDescent="0.25">
      <c r="A6" s="138" t="s">
        <v>2</v>
      </c>
      <c r="B6" s="139"/>
      <c r="C6" s="139"/>
      <c r="D6" s="140"/>
      <c r="E6" s="138" t="s">
        <v>3</v>
      </c>
      <c r="F6" s="139"/>
      <c r="G6" s="139"/>
      <c r="H6" s="139"/>
      <c r="I6" s="139"/>
      <c r="J6" s="139"/>
      <c r="K6" s="139"/>
      <c r="L6" s="139"/>
      <c r="M6" s="139"/>
      <c r="N6" s="139"/>
      <c r="O6" s="139"/>
      <c r="P6" s="139"/>
      <c r="Q6" s="139"/>
      <c r="R6" s="139"/>
      <c r="S6" s="139"/>
      <c r="T6" s="139"/>
      <c r="U6" s="139"/>
      <c r="V6" s="140"/>
      <c r="W6" s="124" t="s">
        <v>14</v>
      </c>
      <c r="X6" s="125"/>
      <c r="Y6" s="125"/>
      <c r="Z6" s="125"/>
      <c r="AA6" s="126"/>
      <c r="AB6" s="138"/>
      <c r="AC6" s="139"/>
      <c r="AD6" s="140"/>
      <c r="AE6" s="138" t="s">
        <v>4</v>
      </c>
      <c r="AF6" s="139"/>
      <c r="AG6" s="140"/>
      <c r="AH6" s="44"/>
      <c r="AI6" s="44"/>
      <c r="AJ6" s="44"/>
      <c r="AK6" s="44"/>
    </row>
    <row r="7" spans="1:37" s="14" customFormat="1" ht="12.75" customHeight="1" x14ac:dyDescent="0.25">
      <c r="A7" s="118" t="s">
        <v>125</v>
      </c>
      <c r="B7" s="119"/>
      <c r="C7" s="119"/>
      <c r="D7" s="120"/>
      <c r="E7" s="118" t="s">
        <v>132</v>
      </c>
      <c r="F7" s="119"/>
      <c r="G7" s="119"/>
      <c r="H7" s="119"/>
      <c r="I7" s="119"/>
      <c r="J7" s="119"/>
      <c r="K7" s="119"/>
      <c r="L7" s="119"/>
      <c r="M7" s="119"/>
      <c r="N7" s="119"/>
      <c r="O7" s="119"/>
      <c r="P7" s="119"/>
      <c r="Q7" s="119"/>
      <c r="R7" s="119"/>
      <c r="S7" s="119"/>
      <c r="T7" s="119"/>
      <c r="U7" s="119"/>
      <c r="V7" s="120"/>
      <c r="W7" s="118" t="str">
        <f ca="1" xml:space="preserve"> IFERROR(IF(alvDocProperty("MXDocTemplate_Name")="","SW04TEM001",alvDocProperty("MXDocTemplate_Name")),"SW04TEM001")</f>
        <v>SW04TEM001</v>
      </c>
      <c r="X7" s="119"/>
      <c r="Y7" s="119"/>
      <c r="Z7" s="119"/>
      <c r="AA7" s="120"/>
      <c r="AB7" s="118"/>
      <c r="AC7" s="119"/>
      <c r="AD7" s="120"/>
      <c r="AE7" s="135">
        <v>1.3</v>
      </c>
      <c r="AF7" s="136"/>
      <c r="AG7" s="137"/>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9" t="s">
        <v>20</v>
      </c>
      <c r="B9" s="130"/>
      <c r="C9" s="130"/>
      <c r="D9" s="130"/>
      <c r="E9" s="130"/>
      <c r="F9" s="130"/>
      <c r="G9" s="130"/>
      <c r="H9" s="130"/>
      <c r="I9" s="130"/>
      <c r="J9" s="130"/>
      <c r="K9" s="131"/>
      <c r="L9" s="129" t="s">
        <v>21</v>
      </c>
      <c r="M9" s="130"/>
      <c r="N9" s="130"/>
      <c r="O9" s="130"/>
      <c r="P9" s="130"/>
      <c r="Q9" s="130"/>
      <c r="R9" s="130"/>
      <c r="S9" s="130"/>
      <c r="T9" s="130"/>
      <c r="U9" s="130"/>
      <c r="V9" s="131"/>
      <c r="W9" s="129" t="s">
        <v>22</v>
      </c>
      <c r="X9" s="130"/>
      <c r="Y9" s="130"/>
      <c r="Z9" s="130"/>
      <c r="AA9" s="130"/>
      <c r="AB9" s="130"/>
      <c r="AC9" s="130"/>
      <c r="AD9" s="130"/>
      <c r="AE9" s="130"/>
      <c r="AF9" s="130"/>
      <c r="AG9" s="131"/>
      <c r="AH9" s="15"/>
      <c r="AI9" s="15"/>
    </row>
    <row r="10" spans="1:37" s="49" customFormat="1" ht="28.5" customHeight="1" x14ac:dyDescent="0.25">
      <c r="A10" s="127" t="s">
        <v>32</v>
      </c>
      <c r="B10" s="128"/>
      <c r="C10" s="128"/>
      <c r="D10" s="128"/>
      <c r="E10" s="128"/>
      <c r="F10" s="158" t="s">
        <v>186</v>
      </c>
      <c r="G10" s="158"/>
      <c r="H10" s="158"/>
      <c r="I10" s="158"/>
      <c r="J10" s="158"/>
      <c r="K10" s="159"/>
      <c r="L10" s="132" t="s">
        <v>126</v>
      </c>
      <c r="M10" s="133"/>
      <c r="N10" s="133"/>
      <c r="O10" s="133"/>
      <c r="P10" s="133"/>
      <c r="Q10" s="133"/>
      <c r="R10" s="133"/>
      <c r="S10" s="133"/>
      <c r="T10" s="133"/>
      <c r="U10" s="133"/>
      <c r="V10" s="134"/>
      <c r="W10" s="144" t="s">
        <v>126</v>
      </c>
      <c r="X10" s="133"/>
      <c r="Y10" s="133"/>
      <c r="Z10" s="133"/>
      <c r="AA10" s="133"/>
      <c r="AB10" s="133"/>
      <c r="AC10" s="133"/>
      <c r="AD10" s="133"/>
      <c r="AE10" s="133"/>
      <c r="AF10" s="133"/>
      <c r="AG10" s="134"/>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21" t="s">
        <v>23</v>
      </c>
      <c r="B12" s="122"/>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3"/>
      <c r="AH12" s="15"/>
      <c r="AI12" s="15"/>
      <c r="AJ12" s="15"/>
      <c r="AK12" s="15"/>
    </row>
    <row r="13" spans="1:37" s="49" customFormat="1" ht="28.5" customHeight="1" x14ac:dyDescent="0.25">
      <c r="A13" s="147" t="s">
        <v>126</v>
      </c>
      <c r="B13" s="148"/>
      <c r="C13" s="148"/>
      <c r="D13" s="148"/>
      <c r="E13" s="148"/>
      <c r="F13" s="148"/>
      <c r="G13" s="148"/>
      <c r="H13" s="148"/>
      <c r="I13" s="148"/>
      <c r="J13" s="148"/>
      <c r="K13" s="149"/>
      <c r="L13" s="144" t="s">
        <v>126</v>
      </c>
      <c r="M13" s="133"/>
      <c r="N13" s="133"/>
      <c r="O13" s="133"/>
      <c r="P13" s="133"/>
      <c r="Q13" s="133"/>
      <c r="R13" s="133"/>
      <c r="S13" s="133"/>
      <c r="T13" s="133"/>
      <c r="U13" s="133"/>
      <c r="V13" s="134"/>
      <c r="W13" s="147" t="s">
        <v>126</v>
      </c>
      <c r="X13" s="148"/>
      <c r="Y13" s="148"/>
      <c r="Z13" s="148"/>
      <c r="AA13" s="148"/>
      <c r="AB13" s="148"/>
      <c r="AC13" s="148"/>
      <c r="AD13" s="148"/>
      <c r="AE13" s="148"/>
      <c r="AF13" s="148"/>
      <c r="AG13" s="149"/>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53" t="s">
        <v>24</v>
      </c>
      <c r="B15" s="153"/>
      <c r="C15" s="153"/>
      <c r="D15" s="153"/>
      <c r="E15" s="150" t="s">
        <v>190</v>
      </c>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2"/>
      <c r="AH15" s="17"/>
      <c r="AI15" s="17"/>
      <c r="AJ15" s="17"/>
      <c r="AK15" s="17"/>
    </row>
    <row r="16" spans="1:37" s="18" customFormat="1" ht="37.5" customHeight="1" x14ac:dyDescent="0.25">
      <c r="A16" s="154"/>
      <c r="B16" s="154"/>
      <c r="C16" s="154"/>
      <c r="D16" s="154"/>
      <c r="E16" s="155"/>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7"/>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45" t="str">
        <f>MXTitle</f>
        <v>EOL - Software Integration Test Specification Report.xls</v>
      </c>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121" priority="1" operator="equal">
      <formula>"In-Work"</formula>
    </cfRule>
    <cfRule type="cellIs" dxfId="120" priority="2" stopIfTrue="1" operator="equal">
      <formula>"draft"</formula>
    </cfRule>
    <cfRule type="cellIs" dxfId="119" priority="3" operator="equal">
      <formula>"In-Work"</formula>
    </cfRule>
    <cfRule type="cellIs" dxfId="118" priority="4" stopIfTrue="1" operator="equal">
      <formula>"draft"</formula>
    </cfRule>
    <cfRule type="cellIs" dxfId="117" priority="5" operator="equal">
      <formula>"In-Work"</formula>
    </cfRule>
    <cfRule type="cellIs" dxfId="116" priority="6" stopIfTrue="1" operator="equal">
      <formula>"draft"</formula>
    </cfRule>
    <cfRule type="cellIs" dxfId="115" priority="7" operator="equal">
      <formula>"In-Work"</formula>
    </cfRule>
    <cfRule type="cellIs" dxfId="114" priority="8" stopIfTrue="1" operator="equal">
      <formula>"draft"</formula>
    </cfRule>
    <cfRule type="cellIs" dxfId="113" priority="9" operator="equal">
      <formula>"In-Work"</formula>
    </cfRule>
    <cfRule type="cellIs" dxfId="112" priority="10" stopIfTrue="1" operator="equal">
      <formula>"draft"</formula>
    </cfRule>
    <cfRule type="cellIs" dxfId="111" priority="11" operator="equal">
      <formula>"In-Work"</formula>
    </cfRule>
    <cfRule type="cellIs" dxfId="110" priority="12" stopIfTrue="1" operator="equal">
      <formula>"draft"</formula>
    </cfRule>
    <cfRule type="cellIs" dxfId="109" priority="13" operator="equal">
      <formula>"In-Work"</formula>
    </cfRule>
    <cfRule type="cellIs" dxfId="108" priority="14" stopIfTrue="1" operator="equal">
      <formula>"draft"</formula>
    </cfRule>
    <cfRule type="cellIs" dxfId="107" priority="15" operator="equal">
      <formula>"In-Work"</formula>
    </cfRule>
    <cfRule type="cellIs" dxfId="106" priority="16" stopIfTrue="1" operator="equal">
      <formula>"draft"</formula>
    </cfRule>
    <cfRule type="cellIs" dxfId="105" priority="17" operator="equal">
      <formula>"In-Work"</formula>
    </cfRule>
    <cfRule type="cellIs" dxfId="104" priority="18" stopIfTrue="1" operator="equal">
      <formula>"draft"</formula>
    </cfRule>
    <cfRule type="cellIs" dxfId="103" priority="19" operator="equal">
      <formula>"In-Work"</formula>
    </cfRule>
    <cfRule type="cellIs" dxfId="102" priority="20" stopIfTrue="1" operator="equal">
      <formula>"draft"</formula>
    </cfRule>
    <cfRule type="cellIs" dxfId="101" priority="21" operator="equal">
      <formula>"In-Work"</formula>
    </cfRule>
    <cfRule type="cellIs" dxfId="100" priority="22" stopIfTrue="1" operator="equal">
      <formula>"draft"</formula>
    </cfRule>
    <cfRule type="cellIs" dxfId="99" priority="23" operator="equal">
      <formula>"In-Work"</formula>
    </cfRule>
    <cfRule type="cellIs" dxfId="98" priority="24" stopIfTrue="1" operator="equal">
      <formula>"draft"</formula>
    </cfRule>
    <cfRule type="cellIs" dxfId="97" priority="25" operator="equal">
      <formula>"In-Work"</formula>
    </cfRule>
    <cfRule type="cellIs" dxfId="96" priority="26" stopIfTrue="1" operator="equal">
      <formula>"draft"</formula>
    </cfRule>
    <cfRule type="cellIs" dxfId="95" priority="27" operator="equal">
      <formula>"In-Work"</formula>
    </cfRule>
    <cfRule type="cellIs" dxfId="94" priority="28" stopIfTrue="1" operator="equal">
      <formula>"draft"</formula>
    </cfRule>
    <cfRule type="cellIs" dxfId="93" priority="29" operator="equal">
      <formula>"In-Work"</formula>
    </cfRule>
    <cfRule type="cellIs" dxfId="92" priority="30" stopIfTrue="1" operator="equal">
      <formula>"draft"</formula>
    </cfRule>
    <cfRule type="cellIs" dxfId="91" priority="31" operator="equal">
      <formula>"In-Work"</formula>
    </cfRule>
    <cfRule type="cellIs" dxfId="90" priority="32" stopIfTrue="1" operator="equal">
      <formula>"draft"</formula>
    </cfRule>
    <cfRule type="cellIs" dxfId="89" priority="33" operator="equal">
      <formula>"In-Work"</formula>
    </cfRule>
    <cfRule type="cellIs" dxfId="88" priority="34" stopIfTrue="1" operator="equal">
      <formula>"draft"</formula>
    </cfRule>
    <cfRule type="cellIs" dxfId="87" priority="35" operator="equal">
      <formula>"In-Work"</formula>
    </cfRule>
    <cfRule type="cellIs" dxfId="86"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ignoredErrors>
    <ignoredError sqref="B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topLeftCell="A13" zoomScaleNormal="100" workbookViewId="0">
      <selection activeCell="R27" sqref="R27:AF27"/>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EOL - Software Integration Test Specification Report.xlsm</v>
      </c>
      <c r="AE3" s="8"/>
      <c r="AF3" s="8"/>
      <c r="AG3" s="8"/>
      <c r="AH3" s="8"/>
      <c r="AI3" s="8"/>
      <c r="AJ3" s="8"/>
      <c r="AK3" s="8"/>
    </row>
    <row r="4" spans="1:37" s="7" customFormat="1" ht="11.1" customHeight="1" x14ac:dyDescent="0.25">
      <c r="A4" s="124" t="s">
        <v>0</v>
      </c>
      <c r="B4" s="125"/>
      <c r="C4" s="125"/>
      <c r="D4" s="125"/>
      <c r="E4" s="125"/>
      <c r="F4" s="125"/>
      <c r="G4" s="125"/>
      <c r="H4" s="125"/>
      <c r="I4" s="125"/>
      <c r="J4" s="125"/>
      <c r="K4" s="125"/>
      <c r="L4" s="125"/>
      <c r="M4" s="125"/>
      <c r="N4" s="125"/>
      <c r="O4" s="125"/>
      <c r="P4" s="125"/>
      <c r="Q4" s="125"/>
      <c r="R4" s="125"/>
      <c r="S4" s="125"/>
      <c r="T4" s="125"/>
      <c r="U4" s="125"/>
      <c r="V4" s="126"/>
      <c r="W4" s="163" t="s">
        <v>1</v>
      </c>
      <c r="X4" s="164"/>
      <c r="Y4" s="164"/>
      <c r="Z4" s="164"/>
      <c r="AA4" s="165"/>
      <c r="AB4" s="141" t="s">
        <v>19</v>
      </c>
      <c r="AC4" s="142"/>
      <c r="AD4" s="142"/>
      <c r="AE4" s="142"/>
      <c r="AF4" s="142"/>
      <c r="AG4" s="143"/>
      <c r="AH4" s="10"/>
      <c r="AI4" s="10"/>
      <c r="AJ4" s="10"/>
      <c r="AK4" s="8"/>
    </row>
    <row r="5" spans="1:37" s="12" customFormat="1" x14ac:dyDescent="0.25">
      <c r="A5" s="118" t="s">
        <v>123</v>
      </c>
      <c r="B5" s="119"/>
      <c r="C5" s="119"/>
      <c r="D5" s="119"/>
      <c r="E5" s="119"/>
      <c r="F5" s="119"/>
      <c r="G5" s="119"/>
      <c r="H5" s="119"/>
      <c r="I5" s="119"/>
      <c r="J5" s="119"/>
      <c r="K5" s="119"/>
      <c r="L5" s="119"/>
      <c r="M5" s="119"/>
      <c r="N5" s="119"/>
      <c r="O5" s="119"/>
      <c r="P5" s="119"/>
      <c r="Q5" s="119"/>
      <c r="R5" s="119"/>
      <c r="S5" s="119"/>
      <c r="T5" s="119"/>
      <c r="U5" s="119"/>
      <c r="V5" s="120"/>
      <c r="W5" s="160" t="str">
        <f>MXCurrent.Localized</f>
        <v>Initial revision</v>
      </c>
      <c r="X5" s="161"/>
      <c r="Y5" s="161"/>
      <c r="Z5" s="161"/>
      <c r="AA5" s="162"/>
      <c r="AB5" s="118" t="str">
        <f>MXActual_state_Released</f>
        <v>01.09.2022</v>
      </c>
      <c r="AC5" s="119"/>
      <c r="AD5" s="119"/>
      <c r="AE5" s="119"/>
      <c r="AF5" s="119"/>
      <c r="AG5" s="120"/>
      <c r="AH5" s="11"/>
      <c r="AI5" s="11"/>
      <c r="AJ5" s="11"/>
      <c r="AK5" s="11"/>
    </row>
    <row r="6" spans="1:37" s="1" customFormat="1" ht="11.1" customHeight="1" x14ac:dyDescent="0.25">
      <c r="A6" s="166" t="s">
        <v>2</v>
      </c>
      <c r="B6" s="167"/>
      <c r="C6" s="167"/>
      <c r="D6" s="168"/>
      <c r="E6" s="166" t="s">
        <v>3</v>
      </c>
      <c r="F6" s="167"/>
      <c r="G6" s="167"/>
      <c r="H6" s="167"/>
      <c r="I6" s="167"/>
      <c r="J6" s="167"/>
      <c r="K6" s="167"/>
      <c r="L6" s="167"/>
      <c r="M6" s="167"/>
      <c r="N6" s="167"/>
      <c r="O6" s="167"/>
      <c r="P6" s="167"/>
      <c r="Q6" s="167"/>
      <c r="R6" s="167"/>
      <c r="S6" s="167"/>
      <c r="T6" s="167"/>
      <c r="U6" s="167"/>
      <c r="V6" s="168"/>
      <c r="W6" s="124" t="s">
        <v>14</v>
      </c>
      <c r="X6" s="125"/>
      <c r="Y6" s="125"/>
      <c r="Z6" s="125"/>
      <c r="AA6" s="126"/>
      <c r="AB6" s="163"/>
      <c r="AC6" s="164"/>
      <c r="AD6" s="165"/>
      <c r="AE6" s="163" t="s">
        <v>4</v>
      </c>
      <c r="AF6" s="164"/>
      <c r="AG6" s="165"/>
      <c r="AH6" s="6"/>
      <c r="AI6" s="6"/>
      <c r="AJ6" s="6"/>
      <c r="AK6" s="6"/>
    </row>
    <row r="7" spans="1:37" s="14" customFormat="1" x14ac:dyDescent="0.25">
      <c r="A7" s="160" t="str">
        <f>MXName</f>
        <v>NA</v>
      </c>
      <c r="B7" s="161"/>
      <c r="C7" s="161"/>
      <c r="D7" s="162"/>
      <c r="E7" s="160" t="str">
        <f>MXTitle</f>
        <v>EOL - Software Integration Test Specification Report.xls</v>
      </c>
      <c r="F7" s="161"/>
      <c r="G7" s="161"/>
      <c r="H7" s="161"/>
      <c r="I7" s="161"/>
      <c r="J7" s="161"/>
      <c r="K7" s="161"/>
      <c r="L7" s="161"/>
      <c r="M7" s="161"/>
      <c r="N7" s="161"/>
      <c r="O7" s="161"/>
      <c r="P7" s="161"/>
      <c r="Q7" s="161"/>
      <c r="R7" s="161"/>
      <c r="S7" s="161"/>
      <c r="T7" s="161"/>
      <c r="U7" s="161"/>
      <c r="V7" s="162"/>
      <c r="W7" s="160" t="str">
        <f ca="1">TemplateRef</f>
        <v>SW04TEM001</v>
      </c>
      <c r="X7" s="161"/>
      <c r="Y7" s="161"/>
      <c r="Z7" s="161"/>
      <c r="AA7" s="162"/>
      <c r="AB7" s="160"/>
      <c r="AC7" s="161"/>
      <c r="AD7" s="162"/>
      <c r="AE7" s="191">
        <v>1.2</v>
      </c>
      <c r="AF7" s="192"/>
      <c r="AG7" s="193"/>
      <c r="AH7" s="13"/>
      <c r="AI7" s="13"/>
      <c r="AJ7" s="13"/>
      <c r="AK7" s="13"/>
    </row>
    <row r="8" spans="1:37" ht="11.1" customHeight="1" x14ac:dyDescent="0.25">
      <c r="A8" s="166"/>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8"/>
      <c r="AH8" s="15"/>
      <c r="AI8" s="15"/>
      <c r="AJ8" s="15"/>
      <c r="AK8" s="15"/>
    </row>
    <row r="9" spans="1:37" s="18" customFormat="1" x14ac:dyDescent="0.25">
      <c r="A9" s="188" t="s">
        <v>13</v>
      </c>
      <c r="B9" s="189"/>
      <c r="C9" s="189"/>
      <c r="D9" s="189"/>
      <c r="E9" s="189"/>
      <c r="F9" s="189"/>
      <c r="G9" s="189"/>
      <c r="H9" s="189"/>
      <c r="I9" s="189"/>
      <c r="J9" s="189"/>
      <c r="K9" s="189"/>
      <c r="L9" s="189"/>
      <c r="M9" s="189"/>
      <c r="N9" s="189"/>
      <c r="O9" s="189"/>
      <c r="P9" s="189"/>
      <c r="Q9" s="189"/>
      <c r="R9" s="189"/>
      <c r="S9" s="189"/>
      <c r="T9" s="189"/>
      <c r="U9" s="189"/>
      <c r="V9" s="189"/>
      <c r="W9" s="189"/>
      <c r="X9" s="189"/>
      <c r="Y9" s="189"/>
      <c r="Z9" s="189"/>
      <c r="AA9" s="189"/>
      <c r="AB9" s="189"/>
      <c r="AC9" s="189"/>
      <c r="AD9" s="189"/>
      <c r="AE9" s="189"/>
      <c r="AF9" s="189"/>
      <c r="AG9" s="190"/>
      <c r="AH9" s="17"/>
      <c r="AI9" s="17"/>
      <c r="AJ9" s="17"/>
    </row>
    <row r="10" spans="1:37" x14ac:dyDescent="0.25"/>
    <row r="11" spans="1:37" x14ac:dyDescent="0.25"/>
    <row r="12" spans="1:37" ht="24.6" x14ac:dyDescent="0.25">
      <c r="B12" s="19" t="s">
        <v>15</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16</v>
      </c>
      <c r="C14" s="22"/>
    </row>
    <row r="15" spans="1:37" x14ac:dyDescent="0.25">
      <c r="B15" s="177" t="s">
        <v>6</v>
      </c>
      <c r="C15" s="194"/>
      <c r="D15" s="194"/>
      <c r="E15" s="194"/>
      <c r="F15" s="194"/>
      <c r="G15" s="177" t="s">
        <v>5</v>
      </c>
      <c r="H15" s="177"/>
      <c r="I15" s="177"/>
      <c r="J15" s="177"/>
      <c r="K15" s="177"/>
      <c r="L15" s="177"/>
      <c r="M15" s="177"/>
      <c r="N15" s="177"/>
      <c r="O15" s="177"/>
      <c r="P15" s="177"/>
      <c r="Q15" s="177"/>
      <c r="R15" s="177"/>
      <c r="S15" s="177"/>
      <c r="T15" s="177"/>
      <c r="U15" s="177"/>
      <c r="V15" s="177"/>
      <c r="W15" s="177"/>
      <c r="X15" s="177"/>
      <c r="Y15" s="177"/>
      <c r="Z15" s="177"/>
      <c r="AA15" s="177"/>
      <c r="AB15" s="177"/>
      <c r="AC15" s="177"/>
      <c r="AD15" s="177"/>
      <c r="AE15" s="177"/>
      <c r="AF15" s="177"/>
    </row>
    <row r="16" spans="1:37" ht="24" customHeight="1" x14ac:dyDescent="0.25">
      <c r="B16" s="182" t="s">
        <v>33</v>
      </c>
      <c r="C16" s="182"/>
      <c r="D16" s="182"/>
      <c r="E16" s="182"/>
      <c r="F16" s="182"/>
      <c r="G16" s="178" t="s">
        <v>35</v>
      </c>
      <c r="H16" s="178"/>
      <c r="I16" s="178"/>
      <c r="J16" s="178"/>
      <c r="K16" s="178"/>
      <c r="L16" s="178"/>
      <c r="M16" s="178"/>
      <c r="N16" s="178"/>
      <c r="O16" s="178"/>
      <c r="P16" s="178"/>
      <c r="Q16" s="178"/>
      <c r="R16" s="178"/>
      <c r="S16" s="178"/>
      <c r="T16" s="178"/>
      <c r="U16" s="178"/>
      <c r="V16" s="178"/>
      <c r="W16" s="178"/>
      <c r="X16" s="178"/>
      <c r="Y16" s="178"/>
      <c r="Z16" s="178"/>
      <c r="AA16" s="178"/>
      <c r="AB16" s="178"/>
      <c r="AC16" s="178"/>
      <c r="AD16" s="178"/>
      <c r="AE16" s="178"/>
      <c r="AF16" s="178"/>
    </row>
    <row r="17" spans="1:45" ht="24" customHeight="1" x14ac:dyDescent="0.25">
      <c r="B17" s="182" t="s">
        <v>34</v>
      </c>
      <c r="C17" s="182"/>
      <c r="D17" s="182"/>
      <c r="E17" s="182"/>
      <c r="F17" s="182"/>
      <c r="G17" s="184" t="s">
        <v>116</v>
      </c>
      <c r="H17" s="178"/>
      <c r="I17" s="178"/>
      <c r="J17" s="178"/>
      <c r="K17" s="178"/>
      <c r="L17" s="178"/>
      <c r="M17" s="178"/>
      <c r="N17" s="178"/>
      <c r="O17" s="178"/>
      <c r="P17" s="178"/>
      <c r="Q17" s="178"/>
      <c r="R17" s="178"/>
      <c r="S17" s="178"/>
      <c r="T17" s="178"/>
      <c r="U17" s="178"/>
      <c r="V17" s="178"/>
      <c r="W17" s="178"/>
      <c r="X17" s="178"/>
      <c r="Y17" s="178"/>
      <c r="Z17" s="178"/>
      <c r="AA17" s="178"/>
      <c r="AB17" s="178"/>
      <c r="AC17" s="178"/>
      <c r="AD17" s="178"/>
      <c r="AE17" s="178"/>
      <c r="AF17" s="178"/>
    </row>
    <row r="18" spans="1:45" ht="24" customHeight="1" x14ac:dyDescent="0.25">
      <c r="B18" s="187" t="s">
        <v>111</v>
      </c>
      <c r="C18" s="182"/>
      <c r="D18" s="182"/>
      <c r="E18" s="182"/>
      <c r="F18" s="182"/>
      <c r="G18" s="184" t="s">
        <v>122</v>
      </c>
      <c r="H18" s="178"/>
      <c r="I18" s="178"/>
      <c r="J18" s="178"/>
      <c r="K18" s="178"/>
      <c r="L18" s="178"/>
      <c r="M18" s="178"/>
      <c r="N18" s="178"/>
      <c r="O18" s="178"/>
      <c r="P18" s="178"/>
      <c r="Q18" s="178"/>
      <c r="R18" s="178"/>
      <c r="S18" s="178"/>
      <c r="T18" s="178"/>
      <c r="U18" s="178"/>
      <c r="V18" s="178"/>
      <c r="W18" s="178"/>
      <c r="X18" s="178"/>
      <c r="Y18" s="178"/>
      <c r="Z18" s="178"/>
      <c r="AA18" s="178"/>
      <c r="AB18" s="178"/>
      <c r="AC18" s="178"/>
      <c r="AD18" s="178"/>
      <c r="AE18" s="178"/>
      <c r="AF18" s="178"/>
    </row>
    <row r="19" spans="1:45" ht="24" customHeight="1" x14ac:dyDescent="0.25">
      <c r="B19" s="187" t="s">
        <v>112</v>
      </c>
      <c r="C19" s="182"/>
      <c r="D19" s="182"/>
      <c r="E19" s="182"/>
      <c r="F19" s="182"/>
      <c r="G19" s="184" t="s">
        <v>118</v>
      </c>
      <c r="H19" s="178"/>
      <c r="I19" s="178"/>
      <c r="J19" s="178"/>
      <c r="K19" s="178"/>
      <c r="L19" s="178"/>
      <c r="M19" s="178"/>
      <c r="N19" s="178"/>
      <c r="O19" s="178"/>
      <c r="P19" s="178"/>
      <c r="Q19" s="178"/>
      <c r="R19" s="178"/>
      <c r="S19" s="178"/>
      <c r="T19" s="178"/>
      <c r="U19" s="178"/>
      <c r="V19" s="178"/>
      <c r="W19" s="178"/>
      <c r="X19" s="178"/>
      <c r="Y19" s="178"/>
      <c r="Z19" s="178"/>
      <c r="AA19" s="178"/>
      <c r="AB19" s="178"/>
      <c r="AC19" s="178"/>
      <c r="AD19" s="178"/>
      <c r="AE19" s="178"/>
      <c r="AF19" s="178"/>
      <c r="AS19" s="23"/>
    </row>
    <row r="20" spans="1:45" ht="24" customHeight="1" x14ac:dyDescent="0.25">
      <c r="B20" s="187" t="s">
        <v>44</v>
      </c>
      <c r="C20" s="182"/>
      <c r="D20" s="182"/>
      <c r="E20" s="182"/>
      <c r="F20" s="182"/>
      <c r="G20" s="184" t="s">
        <v>119</v>
      </c>
      <c r="H20" s="178"/>
      <c r="I20" s="178"/>
      <c r="J20" s="178"/>
      <c r="K20" s="178"/>
      <c r="L20" s="178"/>
      <c r="M20" s="178"/>
      <c r="N20" s="178"/>
      <c r="O20" s="178"/>
      <c r="P20" s="178"/>
      <c r="Q20" s="178"/>
      <c r="R20" s="178"/>
      <c r="S20" s="178"/>
      <c r="T20" s="178"/>
      <c r="U20" s="178"/>
      <c r="V20" s="178"/>
      <c r="W20" s="178"/>
      <c r="X20" s="178"/>
      <c r="Y20" s="178"/>
      <c r="Z20" s="178"/>
      <c r="AA20" s="178"/>
      <c r="AB20" s="178"/>
      <c r="AC20" s="178"/>
      <c r="AD20" s="178"/>
      <c r="AE20" s="178"/>
      <c r="AF20" s="178"/>
      <c r="AS20" s="23"/>
    </row>
    <row r="21" spans="1:45" ht="24" customHeight="1" x14ac:dyDescent="0.25">
      <c r="B21" s="187" t="s">
        <v>113</v>
      </c>
      <c r="C21" s="182"/>
      <c r="D21" s="182"/>
      <c r="E21" s="182"/>
      <c r="F21" s="182"/>
      <c r="G21" s="184" t="s">
        <v>117</v>
      </c>
      <c r="H21" s="178"/>
      <c r="I21" s="178"/>
      <c r="J21" s="178"/>
      <c r="K21" s="178"/>
      <c r="L21" s="178"/>
      <c r="M21" s="178"/>
      <c r="N21" s="178"/>
      <c r="O21" s="178"/>
      <c r="P21" s="178"/>
      <c r="Q21" s="178"/>
      <c r="R21" s="178"/>
      <c r="S21" s="178"/>
      <c r="T21" s="178"/>
      <c r="U21" s="178"/>
      <c r="V21" s="178"/>
      <c r="W21" s="178"/>
      <c r="X21" s="178"/>
      <c r="Y21" s="178"/>
      <c r="Z21" s="178"/>
      <c r="AA21" s="178"/>
      <c r="AB21" s="178"/>
      <c r="AC21" s="178"/>
      <c r="AD21" s="178"/>
      <c r="AE21" s="178"/>
      <c r="AF21" s="178"/>
      <c r="AS21" s="23"/>
    </row>
    <row r="22" spans="1:45" x14ac:dyDescent="0.25">
      <c r="C22" s="24"/>
      <c r="I22" s="25"/>
    </row>
    <row r="23" spans="1:45" ht="20.399999999999999" x14ac:dyDescent="0.25">
      <c r="A23" s="21"/>
      <c r="B23" s="21" t="s">
        <v>26</v>
      </c>
      <c r="C23" s="24"/>
      <c r="I23" s="25"/>
    </row>
    <row r="24" spans="1:45" x14ac:dyDescent="0.25">
      <c r="B24" s="177" t="s">
        <v>4</v>
      </c>
      <c r="C24" s="181"/>
      <c r="D24" s="181"/>
      <c r="E24" s="177" t="s">
        <v>10</v>
      </c>
      <c r="F24" s="177"/>
      <c r="G24" s="177"/>
      <c r="H24" s="177"/>
      <c r="I24" s="177" t="s">
        <v>11</v>
      </c>
      <c r="J24" s="181"/>
      <c r="K24" s="181"/>
      <c r="L24" s="181"/>
      <c r="M24" s="181"/>
      <c r="N24" s="181"/>
      <c r="O24" s="181"/>
      <c r="P24" s="181"/>
      <c r="Q24" s="181"/>
      <c r="R24" s="177" t="s">
        <v>12</v>
      </c>
      <c r="S24" s="177"/>
      <c r="T24" s="177"/>
      <c r="U24" s="177"/>
      <c r="V24" s="177"/>
      <c r="W24" s="177"/>
      <c r="X24" s="177"/>
      <c r="Y24" s="177"/>
      <c r="Z24" s="177"/>
      <c r="AA24" s="177"/>
      <c r="AB24" s="177"/>
      <c r="AC24" s="177"/>
      <c r="AD24" s="177"/>
      <c r="AE24" s="177"/>
      <c r="AF24" s="177"/>
    </row>
    <row r="25" spans="1:45" x14ac:dyDescent="0.25">
      <c r="B25" s="187" t="s">
        <v>172</v>
      </c>
      <c r="C25" s="183"/>
      <c r="D25" s="183"/>
      <c r="E25" s="184" t="s">
        <v>171</v>
      </c>
      <c r="F25" s="178"/>
      <c r="G25" s="178"/>
      <c r="H25" s="178"/>
      <c r="I25" s="184" t="s">
        <v>127</v>
      </c>
      <c r="J25" s="185"/>
      <c r="K25" s="185"/>
      <c r="L25" s="185"/>
      <c r="M25" s="185"/>
      <c r="N25" s="185"/>
      <c r="O25" s="185"/>
      <c r="P25" s="185"/>
      <c r="Q25" s="185"/>
      <c r="R25" s="184" t="s">
        <v>124</v>
      </c>
      <c r="S25" s="178"/>
      <c r="T25" s="178"/>
      <c r="U25" s="178"/>
      <c r="V25" s="178"/>
      <c r="W25" s="178"/>
      <c r="X25" s="178"/>
      <c r="Y25" s="178"/>
      <c r="Z25" s="178"/>
      <c r="AA25" s="178"/>
      <c r="AB25" s="178"/>
      <c r="AC25" s="178"/>
      <c r="AD25" s="178"/>
      <c r="AE25" s="178"/>
      <c r="AF25" s="178"/>
    </row>
    <row r="26" spans="1:45" x14ac:dyDescent="0.25">
      <c r="B26" s="187" t="s">
        <v>173</v>
      </c>
      <c r="C26" s="183"/>
      <c r="D26" s="183"/>
      <c r="E26" s="184" t="s">
        <v>171</v>
      </c>
      <c r="F26" s="178"/>
      <c r="G26" s="178"/>
      <c r="H26" s="178"/>
      <c r="I26" s="184" t="s">
        <v>127</v>
      </c>
      <c r="J26" s="185"/>
      <c r="K26" s="185"/>
      <c r="L26" s="185"/>
      <c r="M26" s="185"/>
      <c r="N26" s="185"/>
      <c r="O26" s="185"/>
      <c r="P26" s="185"/>
      <c r="Q26" s="185"/>
      <c r="R26" s="184" t="s">
        <v>174</v>
      </c>
      <c r="S26" s="178"/>
      <c r="T26" s="178"/>
      <c r="U26" s="178"/>
      <c r="V26" s="178"/>
      <c r="W26" s="178"/>
      <c r="X26" s="178"/>
      <c r="Y26" s="178"/>
      <c r="Z26" s="178"/>
      <c r="AA26" s="178"/>
      <c r="AB26" s="178"/>
      <c r="AC26" s="178"/>
      <c r="AD26" s="178"/>
      <c r="AE26" s="178"/>
      <c r="AF26" s="178"/>
    </row>
    <row r="27" spans="1:45" x14ac:dyDescent="0.25">
      <c r="B27" s="187" t="s">
        <v>188</v>
      </c>
      <c r="C27" s="183"/>
      <c r="D27" s="183"/>
      <c r="E27" s="184" t="s">
        <v>187</v>
      </c>
      <c r="F27" s="178"/>
      <c r="G27" s="178"/>
      <c r="H27" s="178"/>
      <c r="I27" s="184" t="s">
        <v>186</v>
      </c>
      <c r="J27" s="185"/>
      <c r="K27" s="185"/>
      <c r="L27" s="185"/>
      <c r="M27" s="185"/>
      <c r="N27" s="185"/>
      <c r="O27" s="185"/>
      <c r="P27" s="185"/>
      <c r="Q27" s="185"/>
      <c r="R27" s="184" t="s">
        <v>189</v>
      </c>
      <c r="S27" s="178"/>
      <c r="T27" s="178"/>
      <c r="U27" s="178"/>
      <c r="V27" s="178"/>
      <c r="W27" s="178"/>
      <c r="X27" s="178"/>
      <c r="Y27" s="178"/>
      <c r="Z27" s="178"/>
      <c r="AA27" s="178"/>
      <c r="AB27" s="178"/>
      <c r="AC27" s="178"/>
      <c r="AD27" s="178"/>
      <c r="AE27" s="178"/>
      <c r="AF27" s="178"/>
    </row>
    <row r="28" spans="1:45" x14ac:dyDescent="0.25">
      <c r="B28" s="182"/>
      <c r="C28" s="183"/>
      <c r="D28" s="183"/>
      <c r="E28" s="178"/>
      <c r="F28" s="178"/>
      <c r="G28" s="178"/>
      <c r="H28" s="178"/>
      <c r="I28" s="178"/>
      <c r="J28" s="185"/>
      <c r="K28" s="185"/>
      <c r="L28" s="185"/>
      <c r="M28" s="185"/>
      <c r="N28" s="185"/>
      <c r="O28" s="185"/>
      <c r="P28" s="185"/>
      <c r="Q28" s="185"/>
      <c r="R28" s="178"/>
      <c r="S28" s="178"/>
      <c r="T28" s="178"/>
      <c r="U28" s="178"/>
      <c r="V28" s="178"/>
      <c r="W28" s="178"/>
      <c r="X28" s="178"/>
      <c r="Y28" s="178"/>
      <c r="Z28" s="178"/>
      <c r="AA28" s="178"/>
      <c r="AB28" s="178"/>
      <c r="AC28" s="178"/>
      <c r="AD28" s="178"/>
      <c r="AE28" s="178"/>
      <c r="AF28" s="178"/>
    </row>
    <row r="29" spans="1:45" x14ac:dyDescent="0.25">
      <c r="B29" s="26" t="s">
        <v>25</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17</v>
      </c>
      <c r="I31" s="25"/>
    </row>
    <row r="32" spans="1:45" ht="66.75" customHeight="1" x14ac:dyDescent="0.25">
      <c r="B32" s="186" t="s">
        <v>121</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30"/>
    </row>
    <row r="33" spans="2:32" x14ac:dyDescent="0.25">
      <c r="J33" s="31"/>
    </row>
    <row r="34" spans="2:32" ht="20.399999999999999" x14ac:dyDescent="0.25">
      <c r="B34" s="21" t="s">
        <v>18</v>
      </c>
      <c r="C34" s="22"/>
      <c r="I34" s="25"/>
    </row>
    <row r="35" spans="2:32" ht="24.75" customHeight="1" x14ac:dyDescent="0.25">
      <c r="B35" s="32" t="s">
        <v>27</v>
      </c>
      <c r="C35" s="22"/>
      <c r="I35" s="25"/>
    </row>
    <row r="36" spans="2:32" ht="12.75" customHeight="1" x14ac:dyDescent="0.25">
      <c r="B36" s="177" t="s">
        <v>7</v>
      </c>
      <c r="C36" s="177"/>
      <c r="D36" s="177"/>
      <c r="E36" s="177" t="s">
        <v>8</v>
      </c>
      <c r="F36" s="181"/>
      <c r="G36" s="181"/>
      <c r="H36" s="181"/>
      <c r="I36" s="181"/>
      <c r="J36" s="181"/>
      <c r="K36" s="181"/>
      <c r="L36" s="181"/>
      <c r="M36" s="181"/>
      <c r="N36" s="181"/>
      <c r="O36" s="181"/>
      <c r="P36" s="181"/>
      <c r="Q36" s="181"/>
      <c r="R36" s="181"/>
      <c r="S36" s="181"/>
      <c r="T36" s="181"/>
      <c r="U36" s="181"/>
      <c r="V36" s="181"/>
      <c r="W36" s="181"/>
      <c r="X36" s="181"/>
      <c r="Y36" s="177" t="s">
        <v>9</v>
      </c>
      <c r="Z36" s="177"/>
      <c r="AA36" s="177"/>
      <c r="AB36" s="177"/>
      <c r="AC36" s="177"/>
      <c r="AD36" s="177"/>
      <c r="AE36" s="177"/>
      <c r="AF36" s="177"/>
    </row>
    <row r="37" spans="2:32" x14ac:dyDescent="0.25">
      <c r="B37" s="180"/>
      <c r="C37" s="180"/>
      <c r="D37" s="180"/>
      <c r="E37" s="178"/>
      <c r="F37" s="179"/>
      <c r="G37" s="179"/>
      <c r="H37" s="179"/>
      <c r="I37" s="179"/>
      <c r="J37" s="179"/>
      <c r="K37" s="179"/>
      <c r="L37" s="179"/>
      <c r="M37" s="179"/>
      <c r="N37" s="179"/>
      <c r="O37" s="179"/>
      <c r="P37" s="179"/>
      <c r="Q37" s="179"/>
      <c r="R37" s="179"/>
      <c r="S37" s="179"/>
      <c r="T37" s="179"/>
      <c r="U37" s="179"/>
      <c r="V37" s="179"/>
      <c r="W37" s="179"/>
      <c r="X37" s="179"/>
      <c r="Y37" s="178"/>
      <c r="Z37" s="179"/>
      <c r="AA37" s="179"/>
      <c r="AB37" s="179"/>
      <c r="AC37" s="179"/>
      <c r="AD37" s="179"/>
      <c r="AE37" s="179"/>
      <c r="AF37" s="179"/>
    </row>
    <row r="38" spans="2:32" x14ac:dyDescent="0.25">
      <c r="B38" s="180"/>
      <c r="C38" s="180"/>
      <c r="D38" s="180"/>
      <c r="E38" s="178"/>
      <c r="F38" s="179"/>
      <c r="G38" s="179"/>
      <c r="H38" s="179"/>
      <c r="I38" s="179"/>
      <c r="J38" s="179"/>
      <c r="K38" s="179"/>
      <c r="L38" s="179"/>
      <c r="M38" s="179"/>
      <c r="N38" s="179"/>
      <c r="O38" s="179"/>
      <c r="P38" s="179"/>
      <c r="Q38" s="179"/>
      <c r="R38" s="179"/>
      <c r="S38" s="179"/>
      <c r="T38" s="179"/>
      <c r="U38" s="179"/>
      <c r="V38" s="179"/>
      <c r="W38" s="179"/>
      <c r="X38" s="179"/>
      <c r="Y38" s="178"/>
      <c r="Z38" s="179"/>
      <c r="AA38" s="179"/>
      <c r="AB38" s="179"/>
      <c r="AC38" s="179"/>
      <c r="AD38" s="179"/>
      <c r="AE38" s="179"/>
      <c r="AF38" s="179"/>
    </row>
    <row r="39" spans="2:32" x14ac:dyDescent="0.25">
      <c r="B39" s="180"/>
      <c r="C39" s="180"/>
      <c r="D39" s="180"/>
      <c r="E39" s="178"/>
      <c r="F39" s="179"/>
      <c r="G39" s="179"/>
      <c r="H39" s="179"/>
      <c r="I39" s="179"/>
      <c r="J39" s="179"/>
      <c r="K39" s="179"/>
      <c r="L39" s="179"/>
      <c r="M39" s="179"/>
      <c r="N39" s="179"/>
      <c r="O39" s="179"/>
      <c r="P39" s="179"/>
      <c r="Q39" s="179"/>
      <c r="R39" s="179"/>
      <c r="S39" s="179"/>
      <c r="T39" s="179"/>
      <c r="U39" s="179"/>
      <c r="V39" s="179"/>
      <c r="W39" s="179"/>
      <c r="X39" s="179"/>
      <c r="Y39" s="178"/>
      <c r="Z39" s="179"/>
      <c r="AA39" s="179"/>
      <c r="AB39" s="179"/>
      <c r="AC39" s="179"/>
      <c r="AD39" s="179"/>
      <c r="AE39" s="179"/>
      <c r="AF39" s="179"/>
    </row>
    <row r="40" spans="2:32" x14ac:dyDescent="0.25">
      <c r="B40" s="180"/>
      <c r="C40" s="180"/>
      <c r="D40" s="180"/>
      <c r="E40" s="178"/>
      <c r="F40" s="179"/>
      <c r="G40" s="179"/>
      <c r="H40" s="179"/>
      <c r="I40" s="179"/>
      <c r="J40" s="179"/>
      <c r="K40" s="179"/>
      <c r="L40" s="179"/>
      <c r="M40" s="179"/>
      <c r="N40" s="179"/>
      <c r="O40" s="179"/>
      <c r="P40" s="179"/>
      <c r="Q40" s="179"/>
      <c r="R40" s="179"/>
      <c r="S40" s="179"/>
      <c r="T40" s="179"/>
      <c r="U40" s="179"/>
      <c r="V40" s="179"/>
      <c r="W40" s="179"/>
      <c r="X40" s="179"/>
      <c r="Y40" s="178"/>
      <c r="Z40" s="179"/>
      <c r="AA40" s="179"/>
      <c r="AB40" s="179"/>
      <c r="AC40" s="179"/>
      <c r="AD40" s="179"/>
      <c r="AE40" s="179"/>
      <c r="AF40" s="179"/>
    </row>
    <row r="41" spans="2:32" ht="24.75" customHeight="1" x14ac:dyDescent="0.25">
      <c r="B41" s="32" t="s">
        <v>28</v>
      </c>
      <c r="C41" s="22"/>
      <c r="I41" s="25"/>
    </row>
    <row r="42" spans="2:32" ht="12.75" customHeight="1" x14ac:dyDescent="0.25">
      <c r="B42" s="177" t="s">
        <v>7</v>
      </c>
      <c r="C42" s="177"/>
      <c r="D42" s="177"/>
      <c r="E42" s="177" t="s">
        <v>8</v>
      </c>
      <c r="F42" s="181"/>
      <c r="G42" s="181"/>
      <c r="H42" s="181"/>
      <c r="I42" s="181"/>
      <c r="J42" s="181"/>
      <c r="K42" s="181"/>
      <c r="L42" s="181"/>
      <c r="M42" s="181"/>
      <c r="N42" s="181"/>
      <c r="O42" s="181"/>
      <c r="P42" s="181"/>
      <c r="Q42" s="181"/>
      <c r="R42" s="181"/>
      <c r="S42" s="181"/>
      <c r="T42" s="181"/>
      <c r="U42" s="181"/>
      <c r="V42" s="181"/>
      <c r="W42" s="181"/>
      <c r="X42" s="181"/>
      <c r="Y42" s="177" t="s">
        <v>9</v>
      </c>
      <c r="Z42" s="177"/>
      <c r="AA42" s="177"/>
      <c r="AB42" s="177"/>
      <c r="AC42" s="177"/>
      <c r="AD42" s="177"/>
      <c r="AE42" s="177"/>
      <c r="AF42" s="177"/>
    </row>
    <row r="43" spans="2:32" x14ac:dyDescent="0.25">
      <c r="B43" s="180"/>
      <c r="C43" s="180"/>
      <c r="D43" s="180"/>
      <c r="E43" s="178"/>
      <c r="F43" s="179"/>
      <c r="G43" s="179"/>
      <c r="H43" s="179"/>
      <c r="I43" s="179"/>
      <c r="J43" s="179"/>
      <c r="K43" s="179"/>
      <c r="L43" s="179"/>
      <c r="M43" s="179"/>
      <c r="N43" s="179"/>
      <c r="O43" s="179"/>
      <c r="P43" s="179"/>
      <c r="Q43" s="179"/>
      <c r="R43" s="179"/>
      <c r="S43" s="179"/>
      <c r="T43" s="179"/>
      <c r="U43" s="179"/>
      <c r="V43" s="179"/>
      <c r="W43" s="179"/>
      <c r="X43" s="179"/>
      <c r="Y43" s="178"/>
      <c r="Z43" s="179"/>
      <c r="AA43" s="179"/>
      <c r="AB43" s="179"/>
      <c r="AC43" s="179"/>
      <c r="AD43" s="179"/>
      <c r="AE43" s="179"/>
      <c r="AF43" s="179"/>
    </row>
    <row r="44" spans="2:32" x14ac:dyDescent="0.25">
      <c r="B44" s="180"/>
      <c r="C44" s="180"/>
      <c r="D44" s="180"/>
      <c r="E44" s="178"/>
      <c r="F44" s="179"/>
      <c r="G44" s="179"/>
      <c r="H44" s="179"/>
      <c r="I44" s="179"/>
      <c r="J44" s="179"/>
      <c r="K44" s="179"/>
      <c r="L44" s="179"/>
      <c r="M44" s="179"/>
      <c r="N44" s="179"/>
      <c r="O44" s="179"/>
      <c r="P44" s="179"/>
      <c r="Q44" s="179"/>
      <c r="R44" s="179"/>
      <c r="S44" s="179"/>
      <c r="T44" s="179"/>
      <c r="U44" s="179"/>
      <c r="V44" s="179"/>
      <c r="W44" s="179"/>
      <c r="X44" s="179"/>
      <c r="Y44" s="178"/>
      <c r="Z44" s="179"/>
      <c r="AA44" s="179"/>
      <c r="AB44" s="179"/>
      <c r="AC44" s="179"/>
      <c r="AD44" s="179"/>
      <c r="AE44" s="179"/>
      <c r="AF44" s="179"/>
    </row>
    <row r="45" spans="2:32" x14ac:dyDescent="0.25">
      <c r="B45" s="180"/>
      <c r="C45" s="180"/>
      <c r="D45" s="180"/>
      <c r="E45" s="178"/>
      <c r="F45" s="179"/>
      <c r="G45" s="179"/>
      <c r="H45" s="179"/>
      <c r="I45" s="179"/>
      <c r="J45" s="179"/>
      <c r="K45" s="179"/>
      <c r="L45" s="179"/>
      <c r="M45" s="179"/>
      <c r="N45" s="179"/>
      <c r="O45" s="179"/>
      <c r="P45" s="179"/>
      <c r="Q45" s="179"/>
      <c r="R45" s="179"/>
      <c r="S45" s="179"/>
      <c r="T45" s="179"/>
      <c r="U45" s="179"/>
      <c r="V45" s="179"/>
      <c r="W45" s="179"/>
      <c r="X45" s="179"/>
      <c r="Y45" s="178"/>
      <c r="Z45" s="179"/>
      <c r="AA45" s="179"/>
      <c r="AB45" s="179"/>
      <c r="AC45" s="179"/>
      <c r="AD45" s="179"/>
      <c r="AE45" s="179"/>
      <c r="AF45" s="179"/>
    </row>
    <row r="46" spans="2:32" x14ac:dyDescent="0.25">
      <c r="B46" s="180"/>
      <c r="C46" s="180"/>
      <c r="D46" s="180"/>
      <c r="E46" s="178"/>
      <c r="F46" s="179"/>
      <c r="G46" s="179"/>
      <c r="H46" s="179"/>
      <c r="I46" s="179"/>
      <c r="J46" s="179"/>
      <c r="K46" s="179"/>
      <c r="L46" s="179"/>
      <c r="M46" s="179"/>
      <c r="N46" s="179"/>
      <c r="O46" s="179"/>
      <c r="P46" s="179"/>
      <c r="Q46" s="179"/>
      <c r="R46" s="179"/>
      <c r="S46" s="179"/>
      <c r="T46" s="179"/>
      <c r="U46" s="179"/>
      <c r="V46" s="179"/>
      <c r="W46" s="179"/>
      <c r="X46" s="179"/>
      <c r="Y46" s="178"/>
      <c r="Z46" s="179"/>
      <c r="AA46" s="179"/>
      <c r="AB46" s="179"/>
      <c r="AC46" s="179"/>
      <c r="AD46" s="179"/>
      <c r="AE46" s="179"/>
      <c r="AF46" s="179"/>
    </row>
    <row r="47" spans="2:32" x14ac:dyDescent="0.25">
      <c r="C47" s="24"/>
      <c r="I47" s="25"/>
    </row>
    <row r="48" spans="2:32" ht="20.399999999999999" x14ac:dyDescent="0.25">
      <c r="B48" s="21" t="s">
        <v>30</v>
      </c>
      <c r="C48" s="22"/>
      <c r="I48" s="25"/>
    </row>
    <row r="49" spans="2:32" ht="12.75" customHeight="1" x14ac:dyDescent="0.25">
      <c r="B49" s="177" t="s">
        <v>29</v>
      </c>
      <c r="C49" s="177"/>
      <c r="D49" s="177"/>
      <c r="E49" s="177"/>
      <c r="F49" s="177"/>
      <c r="G49" s="177"/>
      <c r="H49" s="172"/>
      <c r="I49" s="172"/>
      <c r="J49" s="172"/>
      <c r="K49" s="172"/>
      <c r="L49" s="172"/>
      <c r="M49" s="172"/>
      <c r="N49" s="172"/>
      <c r="O49" s="172"/>
      <c r="P49" s="172"/>
      <c r="Q49" s="172"/>
      <c r="R49" s="172"/>
      <c r="S49" s="172"/>
      <c r="T49" s="172"/>
      <c r="U49" s="172"/>
      <c r="V49" s="172"/>
      <c r="W49" s="172"/>
      <c r="X49" s="172"/>
      <c r="Y49" s="172"/>
      <c r="Z49" s="172"/>
      <c r="AA49" s="172"/>
      <c r="AB49" s="172"/>
      <c r="AC49" s="172"/>
      <c r="AD49" s="172"/>
      <c r="AE49" s="172"/>
      <c r="AF49" s="172"/>
    </row>
    <row r="50" spans="2:32" ht="33.75" customHeight="1" x14ac:dyDescent="0.25">
      <c r="B50" s="169" t="s">
        <v>106</v>
      </c>
      <c r="C50" s="170"/>
      <c r="D50" s="170"/>
      <c r="E50" s="170"/>
      <c r="F50" s="170"/>
      <c r="G50" s="171"/>
      <c r="H50" s="176" t="s">
        <v>110</v>
      </c>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5"/>
    </row>
    <row r="51" spans="2:32" ht="36.75" customHeight="1" x14ac:dyDescent="0.25">
      <c r="B51" s="169" t="s">
        <v>69</v>
      </c>
      <c r="C51" s="170"/>
      <c r="D51" s="170"/>
      <c r="E51" s="170"/>
      <c r="F51" s="170"/>
      <c r="G51" s="171"/>
      <c r="H51" s="173" t="s">
        <v>70</v>
      </c>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5"/>
    </row>
    <row r="52" spans="2:32" ht="45.75" customHeight="1" x14ac:dyDescent="0.25">
      <c r="B52" s="169" t="s">
        <v>71</v>
      </c>
      <c r="C52" s="170"/>
      <c r="D52" s="170"/>
      <c r="E52" s="170"/>
      <c r="F52" s="170"/>
      <c r="G52" s="171"/>
      <c r="H52" s="173" t="s">
        <v>76</v>
      </c>
      <c r="I52" s="174"/>
      <c r="J52" s="174"/>
      <c r="K52" s="174"/>
      <c r="L52" s="174"/>
      <c r="M52" s="174"/>
      <c r="N52" s="174"/>
      <c r="O52" s="174"/>
      <c r="P52" s="174"/>
      <c r="Q52" s="174"/>
      <c r="R52" s="174"/>
      <c r="S52" s="174"/>
      <c r="T52" s="174"/>
      <c r="U52" s="174"/>
      <c r="V52" s="174"/>
      <c r="W52" s="174"/>
      <c r="X52" s="174"/>
      <c r="Y52" s="174"/>
      <c r="Z52" s="174"/>
      <c r="AA52" s="174"/>
      <c r="AB52" s="174"/>
      <c r="AC52" s="174"/>
      <c r="AD52" s="174"/>
      <c r="AE52" s="174"/>
      <c r="AF52" s="175"/>
    </row>
    <row r="53" spans="2:32" ht="45.75" customHeight="1" x14ac:dyDescent="0.25">
      <c r="B53" s="169" t="s">
        <v>72</v>
      </c>
      <c r="C53" s="170"/>
      <c r="D53" s="170"/>
      <c r="E53" s="170"/>
      <c r="F53" s="170"/>
      <c r="G53" s="171"/>
      <c r="H53" s="173" t="s">
        <v>75</v>
      </c>
      <c r="I53" s="174"/>
      <c r="J53" s="174"/>
      <c r="K53" s="174"/>
      <c r="L53" s="174"/>
      <c r="M53" s="174"/>
      <c r="N53" s="174"/>
      <c r="O53" s="174"/>
      <c r="P53" s="174"/>
      <c r="Q53" s="174"/>
      <c r="R53" s="174"/>
      <c r="S53" s="174"/>
      <c r="T53" s="174"/>
      <c r="U53" s="174"/>
      <c r="V53" s="174"/>
      <c r="W53" s="174"/>
      <c r="X53" s="174"/>
      <c r="Y53" s="174"/>
      <c r="Z53" s="174"/>
      <c r="AA53" s="174"/>
      <c r="AB53" s="174"/>
      <c r="AC53" s="174"/>
      <c r="AD53" s="174"/>
      <c r="AE53" s="174"/>
      <c r="AF53" s="175"/>
    </row>
    <row r="54" spans="2:32" ht="37.5" customHeight="1" x14ac:dyDescent="0.25">
      <c r="B54" s="169" t="s">
        <v>73</v>
      </c>
      <c r="C54" s="170"/>
      <c r="D54" s="170"/>
      <c r="E54" s="170"/>
      <c r="F54" s="170"/>
      <c r="G54" s="171"/>
      <c r="H54" s="173" t="s">
        <v>74</v>
      </c>
      <c r="I54" s="174"/>
      <c r="J54" s="174"/>
      <c r="K54" s="174"/>
      <c r="L54" s="174"/>
      <c r="M54" s="174"/>
      <c r="N54" s="174"/>
      <c r="O54" s="174"/>
      <c r="P54" s="174"/>
      <c r="Q54" s="174"/>
      <c r="R54" s="174"/>
      <c r="S54" s="174"/>
      <c r="T54" s="174"/>
      <c r="U54" s="174"/>
      <c r="V54" s="174"/>
      <c r="W54" s="174"/>
      <c r="X54" s="174"/>
      <c r="Y54" s="174"/>
      <c r="Z54" s="174"/>
      <c r="AA54" s="174"/>
      <c r="AB54" s="174"/>
      <c r="AC54" s="174"/>
      <c r="AD54" s="174"/>
      <c r="AE54" s="174"/>
      <c r="AF54" s="175"/>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31</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92" t="s">
        <v>77</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92" t="s">
        <v>108</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78</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79</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80</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81</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82</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83</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84</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85</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86</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87</v>
      </c>
    </row>
    <row r="83" spans="2:34" ht="12.75" hidden="1" customHeight="1" x14ac:dyDescent="0.25">
      <c r="B83" s="16" t="s">
        <v>88</v>
      </c>
    </row>
    <row r="84" spans="2:34" ht="12.75" hidden="1" customHeight="1" x14ac:dyDescent="0.25">
      <c r="B84" s="16" t="s">
        <v>89</v>
      </c>
    </row>
    <row r="85" spans="2:34" ht="12.75" hidden="1" customHeight="1" x14ac:dyDescent="0.25">
      <c r="B85" s="16" t="s">
        <v>90</v>
      </c>
    </row>
    <row r="86" spans="2:34" ht="12.75" hidden="1" customHeight="1" x14ac:dyDescent="0.25">
      <c r="B86" s="16" t="s">
        <v>91</v>
      </c>
    </row>
    <row r="87" spans="2:34" ht="12.75" hidden="1" customHeight="1" x14ac:dyDescent="0.25">
      <c r="B87" s="16" t="s">
        <v>92</v>
      </c>
    </row>
    <row r="88" spans="2:34" ht="12.75" hidden="1" customHeight="1" x14ac:dyDescent="0.25">
      <c r="B88" s="16" t="s">
        <v>93</v>
      </c>
    </row>
    <row r="89" spans="2:34" ht="12.75" hidden="1" customHeight="1" x14ac:dyDescent="0.25">
      <c r="B89" s="16" t="s">
        <v>94</v>
      </c>
    </row>
    <row r="90" spans="2:34" ht="12.75" hidden="1" customHeight="1" x14ac:dyDescent="0.25">
      <c r="B90" s="16" t="s">
        <v>95</v>
      </c>
    </row>
    <row r="91" spans="2:34" ht="12.75" hidden="1" customHeight="1" x14ac:dyDescent="0.25">
      <c r="B91" s="16" t="s">
        <v>96</v>
      </c>
    </row>
    <row r="92" spans="2:34" ht="12.75" hidden="1" customHeight="1" x14ac:dyDescent="0.25">
      <c r="B92" s="16" t="s">
        <v>97</v>
      </c>
    </row>
    <row r="93" spans="2:34" ht="12.75" hidden="1" customHeight="1" x14ac:dyDescent="0.25">
      <c r="B93" s="16" t="s">
        <v>98</v>
      </c>
    </row>
    <row r="94" spans="2:34" ht="12.75" hidden="1" customHeight="1" x14ac:dyDescent="0.25">
      <c r="B94" s="16" t="s">
        <v>99</v>
      </c>
    </row>
    <row r="95" spans="2:34" ht="12.75" hidden="1" customHeight="1" x14ac:dyDescent="0.25">
      <c r="B95" s="16" t="s">
        <v>100</v>
      </c>
    </row>
    <row r="96" spans="2:34" ht="12.75" hidden="1" customHeight="1" x14ac:dyDescent="0.25">
      <c r="B96" s="16" t="s">
        <v>101</v>
      </c>
    </row>
    <row r="97" spans="2:2" ht="12.75" hidden="1" customHeight="1" x14ac:dyDescent="0.25">
      <c r="B97" s="16" t="s">
        <v>102</v>
      </c>
    </row>
    <row r="98" spans="2:2" ht="12.75" hidden="1" customHeight="1" x14ac:dyDescent="0.25">
      <c r="B98" s="16" t="s">
        <v>103</v>
      </c>
    </row>
    <row r="99" spans="2:2" ht="12.75" hidden="1" customHeight="1" x14ac:dyDescent="0.25">
      <c r="B99" s="16" t="s">
        <v>104</v>
      </c>
    </row>
    <row r="100" spans="2:2" ht="12.75" hidden="1" customHeight="1" x14ac:dyDescent="0.25">
      <c r="B100" s="16" t="s">
        <v>105</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28:Q28"/>
    <mergeCell ref="B26:D26"/>
    <mergeCell ref="I26:Q26"/>
    <mergeCell ref="B40:D40"/>
    <mergeCell ref="E40:X40"/>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Y45:AF45"/>
    <mergeCell ref="Y46:AF46"/>
    <mergeCell ref="B44:D44"/>
    <mergeCell ref="B46:D46"/>
    <mergeCell ref="B43:D43"/>
    <mergeCell ref="B45:D45"/>
    <mergeCell ref="Y44:AF44"/>
    <mergeCell ref="E44:X44"/>
    <mergeCell ref="E46:X46"/>
    <mergeCell ref="Y43:AF43"/>
    <mergeCell ref="E45:X45"/>
    <mergeCell ref="B54:G54"/>
    <mergeCell ref="H49:AF49"/>
    <mergeCell ref="H54:AF54"/>
    <mergeCell ref="B52:G52"/>
    <mergeCell ref="H52:AF52"/>
    <mergeCell ref="B51:G51"/>
    <mergeCell ref="H51:AF51"/>
    <mergeCell ref="H53:AF53"/>
    <mergeCell ref="B53:G53"/>
    <mergeCell ref="B50:G50"/>
    <mergeCell ref="H50:AF50"/>
    <mergeCell ref="B49:G49"/>
    <mergeCell ref="E7:V7"/>
    <mergeCell ref="A4:V4"/>
    <mergeCell ref="A5:V5"/>
    <mergeCell ref="W4:AA4"/>
    <mergeCell ref="W5:AA5"/>
    <mergeCell ref="A6:D6"/>
    <mergeCell ref="A7:D7"/>
    <mergeCell ref="W6:AA6"/>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heetViews>
  <sheetFormatPr defaultColWidth="0" defaultRowHeight="12.75" customHeight="1" zeroHeight="1" x14ac:dyDescent="0.25"/>
  <cols>
    <col min="1" max="33" width="2.6640625" style="16" customWidth="1"/>
    <col min="34" max="34" width="1.33203125" style="16" customWidth="1"/>
    <col min="35" max="60" width="3.33203125" style="16" hidden="1" customWidth="1"/>
    <col min="61" max="16384" width="0" style="16" hidden="1"/>
  </cols>
  <sheetData>
    <row r="1" spans="2:34" ht="13.2" x14ac:dyDescent="0.25">
      <c r="B1" s="195" t="s">
        <v>120</v>
      </c>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row>
    <row r="2" spans="2:34" ht="20.25" customHeight="1" x14ac:dyDescent="0.25">
      <c r="B2" s="195"/>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row>
    <row r="3" spans="2:34" ht="13.2" x14ac:dyDescent="0.25">
      <c r="B3" s="195"/>
      <c r="C3" s="195"/>
      <c r="D3" s="195"/>
      <c r="E3" s="195"/>
      <c r="F3" s="195"/>
      <c r="G3" s="195"/>
      <c r="H3" s="195"/>
      <c r="I3" s="195"/>
      <c r="J3" s="195"/>
      <c r="K3" s="195"/>
      <c r="L3" s="195"/>
      <c r="M3" s="195"/>
      <c r="N3" s="195"/>
      <c r="O3" s="195"/>
      <c r="P3" s="195"/>
      <c r="Q3" s="195"/>
      <c r="R3" s="195"/>
      <c r="S3" s="195"/>
      <c r="T3" s="195"/>
      <c r="U3" s="195"/>
      <c r="V3" s="195"/>
      <c r="W3" s="195"/>
      <c r="X3" s="195"/>
      <c r="Y3" s="195"/>
      <c r="Z3" s="195"/>
      <c r="AA3" s="195"/>
      <c r="AB3" s="195"/>
      <c r="AC3" s="195"/>
      <c r="AD3" s="195"/>
      <c r="AE3" s="195"/>
      <c r="AF3" s="195"/>
      <c r="AG3" s="195"/>
    </row>
    <row r="4" spans="2:34" ht="13.2" x14ac:dyDescent="0.25">
      <c r="B4" s="195"/>
      <c r="C4" s="195"/>
      <c r="D4" s="195"/>
      <c r="E4" s="195"/>
      <c r="F4" s="195"/>
      <c r="G4" s="195"/>
      <c r="H4" s="195"/>
      <c r="I4" s="195"/>
      <c r="J4" s="195"/>
      <c r="K4" s="195"/>
      <c r="L4" s="195"/>
      <c r="M4" s="195"/>
      <c r="N4" s="195"/>
      <c r="O4" s="195"/>
      <c r="P4" s="195"/>
      <c r="Q4" s="195"/>
      <c r="R4" s="195"/>
      <c r="S4" s="195"/>
      <c r="T4" s="195"/>
      <c r="U4" s="195"/>
      <c r="V4" s="195"/>
      <c r="W4" s="195"/>
      <c r="X4" s="195"/>
      <c r="Y4" s="195"/>
      <c r="Z4" s="195"/>
      <c r="AA4" s="195"/>
      <c r="AB4" s="195"/>
      <c r="AC4" s="195"/>
      <c r="AD4" s="195"/>
      <c r="AE4" s="195"/>
      <c r="AF4" s="195"/>
      <c r="AG4" s="195"/>
    </row>
    <row r="5" spans="2:34" ht="13.2" x14ac:dyDescent="0.25">
      <c r="B5" s="195"/>
      <c r="C5" s="195"/>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row>
    <row r="6" spans="2:34" ht="13.2" x14ac:dyDescent="0.25">
      <c r="B6" s="195"/>
      <c r="C6" s="195"/>
      <c r="D6" s="195"/>
      <c r="E6" s="195"/>
      <c r="F6" s="195"/>
      <c r="G6" s="195"/>
      <c r="H6" s="195"/>
      <c r="I6" s="195"/>
      <c r="J6" s="195"/>
      <c r="K6" s="195"/>
      <c r="L6" s="195"/>
      <c r="M6" s="195"/>
      <c r="N6" s="195"/>
      <c r="O6" s="195"/>
      <c r="P6" s="195"/>
      <c r="Q6" s="195"/>
      <c r="R6" s="195"/>
      <c r="S6" s="195"/>
      <c r="T6" s="195"/>
      <c r="U6" s="195"/>
      <c r="V6" s="195"/>
      <c r="W6" s="195"/>
      <c r="X6" s="195"/>
      <c r="Y6" s="195"/>
      <c r="Z6" s="195"/>
      <c r="AA6" s="195"/>
      <c r="AB6" s="195"/>
      <c r="AC6" s="195"/>
      <c r="AD6" s="195"/>
      <c r="AE6" s="195"/>
      <c r="AF6" s="195"/>
      <c r="AG6" s="195"/>
    </row>
    <row r="7" spans="2:34" ht="13.2" x14ac:dyDescent="0.25">
      <c r="B7" s="195"/>
      <c r="C7" s="195"/>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c r="AE7" s="195"/>
      <c r="AF7" s="195"/>
      <c r="AG7" s="195"/>
    </row>
    <row r="8" spans="2:34" ht="13.2" x14ac:dyDescent="0.25">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row>
    <row r="9" spans="2:34" ht="13.2" x14ac:dyDescent="0.25">
      <c r="B9" s="195"/>
      <c r="C9" s="195"/>
      <c r="D9" s="195"/>
      <c r="E9" s="195"/>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c r="AE9" s="195"/>
      <c r="AF9" s="195"/>
      <c r="AG9" s="195"/>
    </row>
    <row r="10" spans="2:34" ht="13.2" x14ac:dyDescent="0.2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row>
    <row r="11" spans="2:34" ht="13.2" x14ac:dyDescent="0.2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row>
    <row r="12" spans="2:34" ht="13.2" x14ac:dyDescent="0.25">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row>
    <row r="13" spans="2:34" ht="13.2" x14ac:dyDescent="0.25">
      <c r="B13" s="195"/>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row>
    <row r="14" spans="2:34" ht="13.2" x14ac:dyDescent="0.25">
      <c r="B14" s="195"/>
      <c r="C14" s="195"/>
      <c r="D14" s="195"/>
      <c r="E14" s="195"/>
      <c r="F14" s="195"/>
      <c r="G14" s="195"/>
      <c r="H14" s="195"/>
      <c r="I14" s="195"/>
      <c r="J14" s="195"/>
      <c r="K14" s="195"/>
      <c r="L14" s="195"/>
      <c r="M14" s="195"/>
      <c r="N14" s="195"/>
      <c r="O14" s="195"/>
      <c r="P14" s="195"/>
      <c r="Q14" s="195"/>
      <c r="R14" s="195"/>
      <c r="S14" s="195"/>
      <c r="T14" s="195"/>
      <c r="U14" s="195"/>
      <c r="V14" s="195"/>
      <c r="W14" s="195"/>
      <c r="X14" s="195"/>
      <c r="Y14" s="195"/>
      <c r="Z14" s="195"/>
      <c r="AA14" s="195"/>
      <c r="AB14" s="195"/>
      <c r="AC14" s="195"/>
      <c r="AD14" s="195"/>
      <c r="AE14" s="195"/>
      <c r="AF14" s="195"/>
      <c r="AG14" s="195"/>
      <c r="AH14" s="40"/>
    </row>
    <row r="15" spans="2:34" ht="13.2" x14ac:dyDescent="0.25">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40"/>
    </row>
    <row r="16" spans="2:34" ht="13.2" x14ac:dyDescent="0.2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40"/>
    </row>
    <row r="17" spans="2:34" ht="13.2" x14ac:dyDescent="0.25">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40"/>
    </row>
    <row r="18" spans="2:34" ht="13.2" x14ac:dyDescent="0.2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40"/>
    </row>
    <row r="19" spans="2:34" ht="13.2" x14ac:dyDescent="0.25">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40"/>
    </row>
    <row r="20" spans="2:34" ht="13.2" x14ac:dyDescent="0.2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43"/>
    </row>
    <row r="21" spans="2:34" ht="13.2" x14ac:dyDescent="0.2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43"/>
    </row>
    <row r="22" spans="2:34" ht="13.2" x14ac:dyDescent="0.25">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43"/>
    </row>
    <row r="23" spans="2:34" ht="13.2" x14ac:dyDescent="0.2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row>
    <row r="24" spans="2:34" ht="13.2" x14ac:dyDescent="0.2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row>
    <row r="25" spans="2:34" ht="13.2" x14ac:dyDescent="0.25">
      <c r="B25" s="195"/>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row>
    <row r="26" spans="2:34" ht="13.2" x14ac:dyDescent="0.25">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c r="Z26" s="195"/>
      <c r="AA26" s="195"/>
      <c r="AB26" s="195"/>
      <c r="AC26" s="195"/>
      <c r="AD26" s="195"/>
      <c r="AE26" s="195"/>
      <c r="AF26" s="195"/>
      <c r="AG26" s="195"/>
    </row>
    <row r="27" spans="2:34" ht="13.2" x14ac:dyDescent="0.2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c r="Z27" s="195"/>
      <c r="AA27" s="195"/>
      <c r="AB27" s="195"/>
      <c r="AC27" s="195"/>
      <c r="AD27" s="195"/>
      <c r="AE27" s="195"/>
      <c r="AF27" s="195"/>
      <c r="AG27" s="195"/>
    </row>
    <row r="28" spans="2:34" ht="13.2" x14ac:dyDescent="0.25">
      <c r="B28" s="195"/>
      <c r="C28" s="195"/>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c r="AE28" s="195"/>
      <c r="AF28" s="195"/>
      <c r="AG28" s="195"/>
    </row>
    <row r="29" spans="2:34" ht="13.2" x14ac:dyDescent="0.25">
      <c r="B29" s="195"/>
      <c r="C29" s="195"/>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c r="AE29" s="195"/>
      <c r="AF29" s="195"/>
      <c r="AG29" s="195"/>
    </row>
    <row r="30" spans="2:34" ht="13.2" x14ac:dyDescent="0.25">
      <c r="B30" s="195"/>
      <c r="C30" s="195"/>
      <c r="D30" s="195"/>
      <c r="E30" s="195"/>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c r="AE30" s="195"/>
      <c r="AF30" s="195"/>
      <c r="AG30" s="195"/>
    </row>
    <row r="31" spans="2:34" ht="13.2" x14ac:dyDescent="0.25">
      <c r="B31" s="195"/>
      <c r="C31" s="195"/>
      <c r="D31" s="195"/>
      <c r="E31" s="195"/>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c r="AE31" s="195"/>
      <c r="AF31" s="195"/>
      <c r="AG31" s="195"/>
    </row>
    <row r="32" spans="2:34" ht="13.2" x14ac:dyDescent="0.25">
      <c r="B32" s="195"/>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95"/>
      <c r="AG32" s="195"/>
    </row>
    <row r="33" spans="2:33" ht="13.2" x14ac:dyDescent="0.25">
      <c r="B33" s="195"/>
      <c r="C33" s="195"/>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c r="AE33" s="195"/>
      <c r="AF33" s="195"/>
      <c r="AG33" s="195"/>
    </row>
    <row r="34" spans="2:33" ht="13.2" x14ac:dyDescent="0.25">
      <c r="B34" s="195"/>
      <c r="C34" s="195"/>
      <c r="D34" s="195"/>
      <c r="E34" s="195"/>
      <c r="F34" s="195"/>
      <c r="G34" s="195"/>
      <c r="H34" s="195"/>
      <c r="I34" s="195"/>
      <c r="J34" s="195"/>
      <c r="K34" s="195"/>
      <c r="L34" s="195"/>
      <c r="M34" s="195"/>
      <c r="N34" s="195"/>
      <c r="O34" s="195"/>
      <c r="P34" s="195"/>
      <c r="Q34" s="195"/>
      <c r="R34" s="195"/>
      <c r="S34" s="195"/>
      <c r="T34" s="195"/>
      <c r="U34" s="195"/>
      <c r="V34" s="195"/>
      <c r="W34" s="195"/>
      <c r="X34" s="195"/>
      <c r="Y34" s="195"/>
      <c r="Z34" s="195"/>
      <c r="AA34" s="195"/>
      <c r="AB34" s="195"/>
      <c r="AC34" s="195"/>
      <c r="AD34" s="195"/>
      <c r="AE34" s="195"/>
      <c r="AF34" s="195"/>
      <c r="AG34" s="195"/>
    </row>
    <row r="35" spans="2:33" ht="12.75" customHeight="1" x14ac:dyDescent="0.25">
      <c r="B35" s="195"/>
      <c r="C35" s="195"/>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95"/>
      <c r="AG35" s="195"/>
    </row>
    <row r="36" spans="2:33" ht="12.75" customHeight="1" x14ac:dyDescent="0.25">
      <c r="B36" s="195"/>
      <c r="C36" s="19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195"/>
      <c r="AB36" s="195"/>
      <c r="AC36" s="195"/>
      <c r="AD36" s="195"/>
      <c r="AE36" s="195"/>
      <c r="AF36" s="195"/>
      <c r="AG36" s="195"/>
    </row>
    <row r="37" spans="2:33" ht="12.75" customHeight="1" x14ac:dyDescent="0.25">
      <c r="B37" s="195"/>
      <c r="C37" s="195"/>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zoomScaleNormal="100" workbookViewId="0">
      <selection activeCell="G6" sqref="G6"/>
    </sheetView>
  </sheetViews>
  <sheetFormatPr defaultRowHeight="13.2" x14ac:dyDescent="0.25"/>
  <cols>
    <col min="1" max="1" width="2.5546875" customWidth="1"/>
    <col min="2" max="2" width="5.33203125" customWidth="1"/>
    <col min="3" max="3" width="17.88671875" customWidth="1"/>
    <col min="4" max="4" width="53.33203125" customWidth="1"/>
    <col min="5" max="5" width="14" customWidth="1"/>
    <col min="6" max="6" width="53.6640625" bestFit="1" customWidth="1"/>
    <col min="7" max="7" width="11.6640625" customWidth="1"/>
    <col min="8" max="8" width="7.5546875" bestFit="1" customWidth="1"/>
    <col min="9" max="9" width="10.33203125" customWidth="1"/>
    <col min="10" max="10" width="18.44140625" customWidth="1"/>
    <col min="12" max="13" width="11.44140625" customWidth="1"/>
    <col min="14" max="14" width="18.33203125" customWidth="1"/>
  </cols>
  <sheetData>
    <row r="1" spans="2:14" ht="13.8" thickBot="1" x14ac:dyDescent="0.3"/>
    <row r="2" spans="2:14" ht="43.8" thickBot="1" x14ac:dyDescent="0.3">
      <c r="B2" s="59" t="s">
        <v>36</v>
      </c>
      <c r="C2" s="60" t="s">
        <v>37</v>
      </c>
      <c r="D2" s="61" t="s">
        <v>65</v>
      </c>
      <c r="E2" s="61" t="s">
        <v>106</v>
      </c>
      <c r="F2" s="61" t="s">
        <v>38</v>
      </c>
      <c r="G2" s="61" t="s">
        <v>193</v>
      </c>
      <c r="H2" s="61" t="s">
        <v>67</v>
      </c>
      <c r="I2" s="60" t="s">
        <v>10</v>
      </c>
      <c r="J2" s="60" t="s">
        <v>66</v>
      </c>
      <c r="K2" s="60" t="s">
        <v>56</v>
      </c>
      <c r="L2" s="62" t="s">
        <v>39</v>
      </c>
      <c r="M2" s="62" t="s">
        <v>68</v>
      </c>
      <c r="N2" s="117" t="s">
        <v>192</v>
      </c>
    </row>
    <row r="3" spans="2:14" s="85" customFormat="1" ht="28.8" x14ac:dyDescent="0.25">
      <c r="B3" s="84">
        <v>1</v>
      </c>
      <c r="C3" s="106" t="s">
        <v>133</v>
      </c>
      <c r="D3" s="107" t="str">
        <f t="shared" ref="D3:D8" ca="1" si="0">IF(C3&lt;&gt;"",INDIRECT(C3&amp;"!B3"),"")</f>
        <v>ARCH_SW_EOL_0001, ARCH_SW_EOL_0008, ARCH_SW_EOL_0007, ARCH_SW_EOL_0009</v>
      </c>
      <c r="E3" s="66" t="str">
        <f t="shared" ref="E3:E8" ca="1" si="1">IF(C3&lt;&gt;"",INDIRECT(C3&amp;"!B5"),"")</f>
        <v>Nominal</v>
      </c>
      <c r="F3" s="66" t="str">
        <f t="shared" ref="F3:F8" ca="1" si="2">IF(C3&lt;&gt;"",INDIRECT(C3&amp;"!B1"),"")</f>
        <v>Testing the high force counter</v>
      </c>
      <c r="G3" s="86"/>
      <c r="H3" s="87">
        <v>1</v>
      </c>
      <c r="I3" s="88" t="s">
        <v>187</v>
      </c>
      <c r="J3" s="89"/>
      <c r="K3" s="114" t="str">
        <f t="shared" ref="K3:K8" ca="1" si="3">IF(C3&lt;&gt;"",INDIRECT(C3&amp;"!B9"),"")</f>
        <v>Ok</v>
      </c>
      <c r="L3" s="115" t="s">
        <v>191</v>
      </c>
      <c r="M3" s="90"/>
      <c r="N3" s="91"/>
    </row>
    <row r="4" spans="2:14" ht="28.8" x14ac:dyDescent="0.25">
      <c r="B4" s="64">
        <v>2</v>
      </c>
      <c r="C4" s="106" t="s">
        <v>134</v>
      </c>
      <c r="D4" s="107" t="str">
        <f t="shared" ca="1" si="0"/>
        <v>ARCH_SW_EOL_0002, ARCH_SW_EOL_0007, ARCH_SW_EOL_0009</v>
      </c>
      <c r="E4" s="66" t="str">
        <f t="shared" ca="1" si="1"/>
        <v>Nominal</v>
      </c>
      <c r="F4" s="66" t="str">
        <f t="shared" ca="1" si="2"/>
        <v xml:space="preserve">Testing the low force counter </v>
      </c>
      <c r="G4" s="86"/>
      <c r="H4" s="87">
        <v>1</v>
      </c>
      <c r="I4" s="88" t="s">
        <v>187</v>
      </c>
      <c r="J4" s="89"/>
      <c r="K4" s="94" t="str">
        <f t="shared" ca="1" si="3"/>
        <v>Ok</v>
      </c>
      <c r="L4" s="115" t="s">
        <v>191</v>
      </c>
      <c r="M4" s="90"/>
      <c r="N4" s="91"/>
    </row>
    <row r="5" spans="2:14" ht="28.8" x14ac:dyDescent="0.25">
      <c r="B5" s="64">
        <v>3</v>
      </c>
      <c r="C5" s="106" t="s">
        <v>135</v>
      </c>
      <c r="D5" s="107" t="str">
        <f t="shared" ca="1" si="0"/>
        <v>ARCH_SW_EOL_0003, ARCH_SW_EOL_0007, ARCH_SW_EOL_0009</v>
      </c>
      <c r="E5" s="66" t="str">
        <f t="shared" ca="1" si="1"/>
        <v>Nominal</v>
      </c>
      <c r="F5" s="66" t="str">
        <f t="shared" ca="1" si="2"/>
        <v>Testing the comfort counter</v>
      </c>
      <c r="G5" s="86"/>
      <c r="H5" s="87">
        <v>1</v>
      </c>
      <c r="I5" s="88" t="s">
        <v>187</v>
      </c>
      <c r="J5" s="89"/>
      <c r="K5" s="94" t="str">
        <f t="shared" ca="1" si="3"/>
        <v>Ok</v>
      </c>
      <c r="L5" s="115" t="s">
        <v>191</v>
      </c>
      <c r="M5" s="90"/>
      <c r="N5" s="91"/>
    </row>
    <row r="6" spans="2:14" ht="28.8" x14ac:dyDescent="0.25">
      <c r="B6" s="64">
        <v>4</v>
      </c>
      <c r="C6" s="106" t="s">
        <v>136</v>
      </c>
      <c r="D6" s="107" t="str">
        <f t="shared" ca="1" si="0"/>
        <v>ARCH_SW_EOL_0005</v>
      </c>
      <c r="E6" s="66" t="str">
        <f t="shared" ca="1" si="1"/>
        <v>Nominal</v>
      </c>
      <c r="F6" s="66" t="str">
        <f t="shared" ca="1" si="2"/>
        <v>Testing the high force counter threshold</v>
      </c>
      <c r="G6" s="86"/>
      <c r="H6" s="87">
        <v>1</v>
      </c>
      <c r="I6" s="88" t="s">
        <v>187</v>
      </c>
      <c r="J6" s="89"/>
      <c r="K6" s="94" t="str">
        <f t="shared" ca="1" si="3"/>
        <v>Ok</v>
      </c>
      <c r="L6" s="115" t="s">
        <v>191</v>
      </c>
      <c r="M6" s="90"/>
      <c r="N6" s="91"/>
    </row>
    <row r="7" spans="2:14" ht="28.8" x14ac:dyDescent="0.25">
      <c r="B7" s="64">
        <v>5</v>
      </c>
      <c r="C7" s="106" t="s">
        <v>137</v>
      </c>
      <c r="D7" s="107" t="str">
        <f t="shared" ca="1" si="0"/>
        <v>ARCH_SW_EOL_0004</v>
      </c>
      <c r="E7" s="66" t="str">
        <f t="shared" ca="1" si="1"/>
        <v>Nominal</v>
      </c>
      <c r="F7" s="66" t="str">
        <f t="shared" ca="1" si="2"/>
        <v>Testing the low force counter threshold</v>
      </c>
      <c r="G7" s="86"/>
      <c r="H7" s="87">
        <v>1</v>
      </c>
      <c r="I7" s="88" t="s">
        <v>187</v>
      </c>
      <c r="J7" s="89"/>
      <c r="K7" s="94" t="str">
        <f t="shared" ca="1" si="3"/>
        <v>Ok</v>
      </c>
      <c r="L7" s="115" t="s">
        <v>191</v>
      </c>
      <c r="M7" s="90"/>
      <c r="N7" s="91"/>
    </row>
    <row r="8" spans="2:14" ht="28.8" x14ac:dyDescent="0.25">
      <c r="B8" s="64">
        <v>6</v>
      </c>
      <c r="C8" s="106" t="s">
        <v>138</v>
      </c>
      <c r="D8" s="107" t="str">
        <f t="shared" ca="1" si="0"/>
        <v>ARCH_SW_EOL_0006</v>
      </c>
      <c r="E8" s="66" t="str">
        <f t="shared" ca="1" si="1"/>
        <v>Nominal</v>
      </c>
      <c r="F8" s="66" t="str">
        <f t="shared" ca="1" si="2"/>
        <v>Testing the comfort counter threshold</v>
      </c>
      <c r="G8" s="86"/>
      <c r="H8" s="87">
        <v>1</v>
      </c>
      <c r="I8" s="88" t="s">
        <v>187</v>
      </c>
      <c r="J8" s="89"/>
      <c r="K8" s="94" t="str">
        <f t="shared" ca="1" si="3"/>
        <v>Ok</v>
      </c>
      <c r="L8" s="115" t="s">
        <v>191</v>
      </c>
      <c r="M8" s="90"/>
      <c r="N8" s="91"/>
    </row>
    <row r="9" spans="2:14" ht="14.4" x14ac:dyDescent="0.25">
      <c r="B9" s="64">
        <v>7</v>
      </c>
      <c r="C9" s="106"/>
      <c r="D9" s="107"/>
      <c r="E9" s="66"/>
      <c r="F9" s="66"/>
      <c r="G9" s="66"/>
      <c r="H9" s="66"/>
      <c r="I9" s="66"/>
      <c r="J9" s="66"/>
      <c r="K9" s="116"/>
      <c r="L9" s="116"/>
      <c r="M9" s="66"/>
      <c r="N9" s="66"/>
    </row>
    <row r="10" spans="2:14" ht="14.4" x14ac:dyDescent="0.25">
      <c r="B10" s="64">
        <v>8</v>
      </c>
      <c r="C10" s="106"/>
      <c r="D10" s="107"/>
      <c r="E10" s="66"/>
      <c r="F10" s="66"/>
      <c r="G10" s="66"/>
      <c r="H10" s="66"/>
      <c r="I10" s="66"/>
      <c r="J10" s="66"/>
      <c r="K10" s="66"/>
      <c r="L10" s="66"/>
      <c r="M10" s="66"/>
      <c r="N10" s="66"/>
    </row>
    <row r="11" spans="2:14" ht="14.4" x14ac:dyDescent="0.25">
      <c r="B11" s="64">
        <v>9</v>
      </c>
      <c r="C11" s="106"/>
      <c r="D11" s="107"/>
      <c r="E11" s="66"/>
      <c r="F11" s="66"/>
      <c r="G11" s="66"/>
      <c r="H11" s="66"/>
      <c r="I11" s="66"/>
      <c r="J11" s="66"/>
      <c r="K11" s="66"/>
      <c r="L11" s="66"/>
      <c r="M11" s="66"/>
      <c r="N11" s="66"/>
    </row>
    <row r="12" spans="2:14" ht="14.4" x14ac:dyDescent="0.25">
      <c r="B12" s="63">
        <v>10</v>
      </c>
      <c r="C12" s="106"/>
      <c r="D12" s="107"/>
      <c r="E12" s="66"/>
      <c r="F12" s="66"/>
      <c r="G12" s="66"/>
      <c r="H12" s="66"/>
      <c r="I12" s="66"/>
      <c r="J12" s="66"/>
      <c r="K12" s="66"/>
      <c r="L12" s="66"/>
      <c r="M12" s="66"/>
      <c r="N12" s="66"/>
    </row>
    <row r="13" spans="2:14" ht="14.4" x14ac:dyDescent="0.25">
      <c r="B13" s="64">
        <v>11</v>
      </c>
      <c r="C13" s="106"/>
      <c r="D13" s="107"/>
      <c r="E13" s="66"/>
      <c r="F13" s="66"/>
      <c r="G13" s="66"/>
      <c r="H13" s="66"/>
      <c r="I13" s="66"/>
      <c r="J13" s="66"/>
      <c r="K13" s="66"/>
      <c r="L13" s="66"/>
      <c r="M13" s="66"/>
      <c r="N13" s="66"/>
    </row>
    <row r="14" spans="2:14" ht="14.4" x14ac:dyDescent="0.25">
      <c r="B14" s="64">
        <v>12</v>
      </c>
      <c r="C14" s="106"/>
      <c r="D14" s="107"/>
      <c r="E14" s="66"/>
      <c r="F14" s="66"/>
      <c r="G14" s="66"/>
      <c r="H14" s="66"/>
      <c r="I14" s="66"/>
      <c r="J14" s="66"/>
      <c r="K14" s="66"/>
      <c r="L14" s="66"/>
      <c r="M14" s="66"/>
      <c r="N14" s="66"/>
    </row>
    <row r="15" spans="2:14" ht="14.4" x14ac:dyDescent="0.25">
      <c r="B15" s="64">
        <v>13</v>
      </c>
      <c r="C15" s="106"/>
      <c r="D15" s="107"/>
      <c r="E15" s="66"/>
      <c r="F15" s="66"/>
      <c r="G15" s="66"/>
      <c r="H15" s="66"/>
      <c r="I15" s="66"/>
      <c r="J15" s="66"/>
      <c r="K15" s="66"/>
      <c r="L15" s="66"/>
      <c r="M15" s="66"/>
      <c r="N15" s="66"/>
    </row>
    <row r="16" spans="2:14" ht="14.4" x14ac:dyDescent="0.25">
      <c r="B16" s="64">
        <v>14</v>
      </c>
      <c r="C16" s="106"/>
      <c r="D16" s="107"/>
      <c r="E16" s="66"/>
      <c r="F16" s="66"/>
      <c r="G16" s="66"/>
      <c r="H16" s="66"/>
      <c r="I16" s="66"/>
      <c r="J16" s="66"/>
      <c r="K16" s="66"/>
      <c r="L16" s="66"/>
      <c r="M16" s="66"/>
      <c r="N16" s="66"/>
    </row>
    <row r="17" spans="2:14" ht="14.4" x14ac:dyDescent="0.25">
      <c r="B17" s="64">
        <v>14</v>
      </c>
      <c r="C17" s="106"/>
      <c r="D17" s="107"/>
      <c r="E17" s="66"/>
      <c r="F17" s="66"/>
      <c r="G17" s="66"/>
      <c r="H17" s="66"/>
      <c r="I17" s="66"/>
      <c r="J17" s="66"/>
      <c r="K17" s="66"/>
      <c r="L17" s="66"/>
      <c r="M17" s="66"/>
      <c r="N17" s="66"/>
    </row>
    <row r="18" spans="2:14" ht="14.4" x14ac:dyDescent="0.25">
      <c r="B18" s="64">
        <v>14</v>
      </c>
      <c r="C18" s="106"/>
      <c r="D18" s="107"/>
      <c r="E18" s="66"/>
      <c r="F18" s="66"/>
      <c r="G18" s="66"/>
      <c r="H18" s="66"/>
      <c r="I18" s="66"/>
      <c r="J18" s="66"/>
      <c r="K18" s="66"/>
      <c r="L18" s="66"/>
      <c r="M18" s="66"/>
      <c r="N18" s="66"/>
    </row>
    <row r="19" spans="2:14" ht="14.4" x14ac:dyDescent="0.25">
      <c r="B19" s="64">
        <v>14</v>
      </c>
      <c r="C19" s="106"/>
      <c r="D19" s="107"/>
      <c r="E19" s="66"/>
      <c r="F19" s="66"/>
      <c r="G19" s="66"/>
      <c r="H19" s="66"/>
      <c r="I19" s="66"/>
      <c r="J19" s="66"/>
      <c r="K19" s="66"/>
      <c r="L19" s="66"/>
      <c r="M19" s="66"/>
      <c r="N19" s="66"/>
    </row>
    <row r="20" spans="2:14" ht="14.4" x14ac:dyDescent="0.25">
      <c r="B20" s="64">
        <v>14</v>
      </c>
      <c r="C20" s="106"/>
      <c r="D20" s="107"/>
      <c r="E20" s="66"/>
      <c r="F20" s="66"/>
      <c r="G20" s="66"/>
      <c r="H20" s="66"/>
      <c r="I20" s="66"/>
      <c r="J20" s="66"/>
      <c r="K20" s="66"/>
      <c r="L20" s="66"/>
      <c r="M20" s="66"/>
      <c r="N20" s="66"/>
    </row>
    <row r="21" spans="2:14" ht="14.4" x14ac:dyDescent="0.25">
      <c r="B21" s="64">
        <v>14</v>
      </c>
      <c r="C21" s="106"/>
      <c r="D21" s="107"/>
      <c r="E21" s="66"/>
      <c r="F21" s="66"/>
      <c r="G21" s="66"/>
      <c r="H21" s="66"/>
      <c r="I21" s="66"/>
      <c r="J21" s="66"/>
      <c r="K21" s="66"/>
      <c r="L21" s="66"/>
      <c r="M21" s="66"/>
      <c r="N21" s="66"/>
    </row>
    <row r="22" spans="2:14" ht="14.4" x14ac:dyDescent="0.25">
      <c r="B22" s="64">
        <v>14</v>
      </c>
      <c r="C22" s="106"/>
      <c r="D22" s="107"/>
      <c r="E22" s="66"/>
      <c r="F22" s="66"/>
      <c r="G22" s="66"/>
      <c r="H22" s="66"/>
      <c r="I22" s="66"/>
      <c r="J22" s="66"/>
      <c r="K22" s="66"/>
      <c r="L22" s="66"/>
      <c r="M22" s="66"/>
      <c r="N22" s="66"/>
    </row>
    <row r="23" spans="2:14" ht="14.4" x14ac:dyDescent="0.25">
      <c r="B23" s="64">
        <v>21</v>
      </c>
      <c r="C23" s="106"/>
      <c r="D23" s="107"/>
      <c r="E23" s="66"/>
      <c r="F23" s="66"/>
      <c r="G23" s="66"/>
      <c r="H23" s="66"/>
      <c r="I23" s="66"/>
      <c r="J23" s="66"/>
      <c r="K23" s="66"/>
      <c r="L23" s="66"/>
      <c r="M23" s="66"/>
      <c r="N23" s="66"/>
    </row>
    <row r="24" spans="2:14" ht="14.4" x14ac:dyDescent="0.25">
      <c r="B24" s="64">
        <v>22</v>
      </c>
      <c r="C24" s="106"/>
      <c r="D24" s="107"/>
      <c r="E24" s="66"/>
      <c r="F24" s="66"/>
      <c r="G24" s="66"/>
      <c r="H24" s="66"/>
      <c r="I24" s="66"/>
      <c r="J24" s="66"/>
      <c r="K24" s="66"/>
      <c r="L24" s="66"/>
      <c r="M24" s="66"/>
      <c r="N24" s="66"/>
    </row>
    <row r="25" spans="2:14" ht="14.4" x14ac:dyDescent="0.25">
      <c r="B25" s="64">
        <v>23</v>
      </c>
      <c r="C25" s="65"/>
      <c r="D25" s="66" t="str">
        <f t="shared" ref="D25:D47" ca="1" si="4">IF(C25&lt;&gt;"",INDIRECT(C25&amp;"!B5"),"")</f>
        <v/>
      </c>
      <c r="E25" s="66" t="str">
        <f t="shared" ref="E25:E47" ca="1" si="5">IF(C25&lt;&gt;"",INDIRECT(C25&amp;"!B7"),"")</f>
        <v/>
      </c>
      <c r="F25" s="66" t="str">
        <f t="shared" ref="F25:F47" ca="1" si="6">IF(C25&lt;&gt;"",INDIRECT(C25&amp;"!B1"),"")</f>
        <v/>
      </c>
      <c r="G25" s="66"/>
      <c r="H25" s="66"/>
      <c r="I25" s="67"/>
      <c r="J25" s="68"/>
      <c r="K25" s="94" t="str">
        <f t="shared" ref="K25:K47" ca="1" si="7">IF(C25&lt;&gt;"",INDIRECT(C25&amp;"!B11"),"")</f>
        <v/>
      </c>
      <c r="L25" s="93"/>
      <c r="M25" s="83"/>
      <c r="N25" s="69"/>
    </row>
    <row r="26" spans="2:14" ht="14.4" x14ac:dyDescent="0.25">
      <c r="B26" s="64">
        <v>24</v>
      </c>
      <c r="C26" s="65"/>
      <c r="D26" s="66" t="str">
        <f t="shared" ca="1" si="4"/>
        <v/>
      </c>
      <c r="E26" s="66" t="str">
        <f t="shared" ca="1" si="5"/>
        <v/>
      </c>
      <c r="F26" s="66" t="str">
        <f t="shared" ca="1" si="6"/>
        <v/>
      </c>
      <c r="G26" s="66"/>
      <c r="H26" s="66"/>
      <c r="I26" s="67"/>
      <c r="J26" s="68"/>
      <c r="K26" s="94" t="str">
        <f t="shared" ca="1" si="7"/>
        <v/>
      </c>
      <c r="L26" s="93"/>
      <c r="M26" s="83"/>
      <c r="N26" s="69"/>
    </row>
    <row r="27" spans="2:14" ht="14.4" x14ac:dyDescent="0.25">
      <c r="B27" s="64">
        <v>25</v>
      </c>
      <c r="C27" s="65"/>
      <c r="D27" s="66" t="str">
        <f t="shared" ca="1" si="4"/>
        <v/>
      </c>
      <c r="E27" s="66" t="str">
        <f t="shared" ca="1" si="5"/>
        <v/>
      </c>
      <c r="F27" s="66" t="str">
        <f t="shared" ca="1" si="6"/>
        <v/>
      </c>
      <c r="G27" s="66"/>
      <c r="H27" s="66"/>
      <c r="I27" s="67"/>
      <c r="J27" s="68"/>
      <c r="K27" s="94" t="str">
        <f t="shared" ca="1" si="7"/>
        <v/>
      </c>
      <c r="L27" s="93"/>
      <c r="M27" s="83"/>
      <c r="N27" s="69"/>
    </row>
    <row r="28" spans="2:14" ht="14.4" x14ac:dyDescent="0.25">
      <c r="B28" s="64">
        <v>26</v>
      </c>
      <c r="C28" s="65"/>
      <c r="D28" s="66" t="str">
        <f t="shared" ca="1" si="4"/>
        <v/>
      </c>
      <c r="E28" s="66" t="str">
        <f t="shared" ca="1" si="5"/>
        <v/>
      </c>
      <c r="F28" s="66" t="str">
        <f t="shared" ca="1" si="6"/>
        <v/>
      </c>
      <c r="G28" s="66"/>
      <c r="H28" s="66"/>
      <c r="I28" s="67"/>
      <c r="J28" s="68"/>
      <c r="K28" s="94" t="str">
        <f t="shared" ca="1" si="7"/>
        <v/>
      </c>
      <c r="L28" s="93"/>
      <c r="M28" s="83"/>
      <c r="N28" s="69"/>
    </row>
    <row r="29" spans="2:14" ht="14.4" x14ac:dyDescent="0.25">
      <c r="B29" s="64">
        <v>27</v>
      </c>
      <c r="C29" s="65"/>
      <c r="D29" s="66" t="str">
        <f t="shared" ca="1" si="4"/>
        <v/>
      </c>
      <c r="E29" s="66" t="str">
        <f t="shared" ca="1" si="5"/>
        <v/>
      </c>
      <c r="F29" s="66" t="str">
        <f t="shared" ca="1" si="6"/>
        <v/>
      </c>
      <c r="G29" s="66"/>
      <c r="H29" s="66"/>
      <c r="I29" s="67"/>
      <c r="J29" s="68"/>
      <c r="K29" s="94" t="str">
        <f t="shared" ca="1" si="7"/>
        <v/>
      </c>
      <c r="L29" s="93"/>
      <c r="M29" s="83"/>
      <c r="N29" s="69"/>
    </row>
    <row r="30" spans="2:14" ht="14.4" x14ac:dyDescent="0.25">
      <c r="B30" s="63">
        <v>28</v>
      </c>
      <c r="C30" s="65"/>
      <c r="D30" s="66" t="str">
        <f t="shared" ca="1" si="4"/>
        <v/>
      </c>
      <c r="E30" s="66" t="str">
        <f t="shared" ca="1" si="5"/>
        <v/>
      </c>
      <c r="F30" s="66" t="str">
        <f t="shared" ca="1" si="6"/>
        <v/>
      </c>
      <c r="G30" s="66"/>
      <c r="H30" s="66"/>
      <c r="I30" s="67"/>
      <c r="J30" s="68"/>
      <c r="K30" s="94" t="str">
        <f t="shared" ca="1" si="7"/>
        <v/>
      </c>
      <c r="L30" s="93"/>
      <c r="M30" s="83"/>
      <c r="N30" s="69"/>
    </row>
    <row r="31" spans="2:14" ht="14.4" x14ac:dyDescent="0.25">
      <c r="B31" s="64">
        <v>29</v>
      </c>
      <c r="C31" s="65"/>
      <c r="D31" s="66" t="str">
        <f t="shared" ca="1" si="4"/>
        <v/>
      </c>
      <c r="E31" s="66" t="str">
        <f t="shared" ca="1" si="5"/>
        <v/>
      </c>
      <c r="F31" s="66" t="str">
        <f t="shared" ca="1" si="6"/>
        <v/>
      </c>
      <c r="G31" s="66"/>
      <c r="H31" s="66"/>
      <c r="I31" s="67"/>
      <c r="J31" s="68"/>
      <c r="K31" s="94" t="str">
        <f t="shared" ca="1" si="7"/>
        <v/>
      </c>
      <c r="L31" s="93"/>
      <c r="M31" s="83"/>
      <c r="N31" s="69"/>
    </row>
    <row r="32" spans="2:14" ht="14.4" x14ac:dyDescent="0.25">
      <c r="B32" s="64">
        <v>30</v>
      </c>
      <c r="C32" s="65"/>
      <c r="D32" s="66" t="str">
        <f t="shared" ca="1" si="4"/>
        <v/>
      </c>
      <c r="E32" s="66" t="str">
        <f t="shared" ca="1" si="5"/>
        <v/>
      </c>
      <c r="F32" s="66" t="str">
        <f t="shared" ca="1" si="6"/>
        <v/>
      </c>
      <c r="G32" s="66"/>
      <c r="H32" s="66"/>
      <c r="I32" s="67"/>
      <c r="J32" s="68"/>
      <c r="K32" s="94" t="str">
        <f t="shared" ca="1" si="7"/>
        <v/>
      </c>
      <c r="L32" s="93"/>
      <c r="M32" s="83"/>
      <c r="N32" s="69"/>
    </row>
    <row r="33" spans="2:14" ht="14.4" x14ac:dyDescent="0.25">
      <c r="B33" s="64">
        <v>31</v>
      </c>
      <c r="C33" s="65"/>
      <c r="D33" s="66" t="str">
        <f t="shared" ca="1" si="4"/>
        <v/>
      </c>
      <c r="E33" s="66" t="str">
        <f t="shared" ca="1" si="5"/>
        <v/>
      </c>
      <c r="F33" s="66" t="str">
        <f t="shared" ca="1" si="6"/>
        <v/>
      </c>
      <c r="G33" s="66"/>
      <c r="H33" s="66"/>
      <c r="I33" s="67"/>
      <c r="J33" s="68"/>
      <c r="K33" s="94" t="str">
        <f t="shared" ca="1" si="7"/>
        <v/>
      </c>
      <c r="L33" s="93"/>
      <c r="M33" s="83"/>
      <c r="N33" s="69"/>
    </row>
    <row r="34" spans="2:14" ht="14.4" x14ac:dyDescent="0.25">
      <c r="B34" s="64">
        <v>32</v>
      </c>
      <c r="C34" s="65"/>
      <c r="D34" s="66" t="str">
        <f t="shared" ca="1" si="4"/>
        <v/>
      </c>
      <c r="E34" s="66" t="str">
        <f t="shared" ca="1" si="5"/>
        <v/>
      </c>
      <c r="F34" s="66" t="str">
        <f t="shared" ca="1" si="6"/>
        <v/>
      </c>
      <c r="G34" s="66"/>
      <c r="H34" s="66"/>
      <c r="I34" s="67"/>
      <c r="J34" s="68"/>
      <c r="K34" s="94" t="str">
        <f t="shared" ca="1" si="7"/>
        <v/>
      </c>
      <c r="L34" s="93"/>
      <c r="M34" s="83"/>
      <c r="N34" s="69"/>
    </row>
    <row r="35" spans="2:14" ht="14.4" x14ac:dyDescent="0.25">
      <c r="B35" s="64">
        <v>33</v>
      </c>
      <c r="C35" s="65"/>
      <c r="D35" s="66" t="str">
        <f t="shared" ca="1" si="4"/>
        <v/>
      </c>
      <c r="E35" s="66" t="str">
        <f t="shared" ca="1" si="5"/>
        <v/>
      </c>
      <c r="F35" s="66" t="str">
        <f t="shared" ca="1" si="6"/>
        <v/>
      </c>
      <c r="G35" s="66"/>
      <c r="H35" s="66"/>
      <c r="I35" s="67"/>
      <c r="J35" s="68"/>
      <c r="K35" s="94" t="str">
        <f t="shared" ca="1" si="7"/>
        <v/>
      </c>
      <c r="L35" s="93"/>
      <c r="M35" s="83"/>
      <c r="N35" s="69"/>
    </row>
    <row r="36" spans="2:14" ht="14.4" x14ac:dyDescent="0.25">
      <c r="B36" s="64">
        <v>34</v>
      </c>
      <c r="C36" s="65"/>
      <c r="D36" s="66" t="str">
        <f t="shared" ca="1" si="4"/>
        <v/>
      </c>
      <c r="E36" s="66" t="str">
        <f t="shared" ca="1" si="5"/>
        <v/>
      </c>
      <c r="F36" s="66" t="str">
        <f t="shared" ca="1" si="6"/>
        <v/>
      </c>
      <c r="G36" s="66"/>
      <c r="H36" s="66"/>
      <c r="I36" s="67"/>
      <c r="J36" s="68"/>
      <c r="K36" s="94" t="str">
        <f t="shared" ca="1" si="7"/>
        <v/>
      </c>
      <c r="L36" s="93"/>
      <c r="M36" s="83"/>
      <c r="N36" s="69"/>
    </row>
    <row r="37" spans="2:14" ht="14.4" x14ac:dyDescent="0.25">
      <c r="B37" s="64">
        <v>35</v>
      </c>
      <c r="C37" s="65"/>
      <c r="D37" s="66" t="str">
        <f t="shared" ca="1" si="4"/>
        <v/>
      </c>
      <c r="E37" s="66" t="str">
        <f t="shared" ca="1" si="5"/>
        <v/>
      </c>
      <c r="F37" s="66" t="str">
        <f t="shared" ca="1" si="6"/>
        <v/>
      </c>
      <c r="G37" s="66"/>
      <c r="H37" s="66"/>
      <c r="I37" s="67"/>
      <c r="J37" s="68"/>
      <c r="K37" s="94" t="str">
        <f t="shared" ca="1" si="7"/>
        <v/>
      </c>
      <c r="L37" s="93"/>
      <c r="M37" s="83"/>
      <c r="N37" s="69"/>
    </row>
    <row r="38" spans="2:14" ht="14.4" x14ac:dyDescent="0.25">
      <c r="B38" s="64">
        <v>36</v>
      </c>
      <c r="C38" s="65"/>
      <c r="D38" s="66" t="str">
        <f t="shared" ca="1" si="4"/>
        <v/>
      </c>
      <c r="E38" s="66" t="str">
        <f t="shared" ca="1" si="5"/>
        <v/>
      </c>
      <c r="F38" s="66" t="str">
        <f t="shared" ca="1" si="6"/>
        <v/>
      </c>
      <c r="G38" s="66"/>
      <c r="H38" s="66"/>
      <c r="I38" s="67"/>
      <c r="J38" s="68"/>
      <c r="K38" s="94" t="str">
        <f t="shared" ca="1" si="7"/>
        <v/>
      </c>
      <c r="L38" s="93"/>
      <c r="M38" s="83"/>
      <c r="N38" s="69"/>
    </row>
    <row r="39" spans="2:14" ht="14.4" x14ac:dyDescent="0.25">
      <c r="B39" s="63">
        <v>37</v>
      </c>
      <c r="C39" s="65"/>
      <c r="D39" s="66" t="str">
        <f t="shared" ca="1" si="4"/>
        <v/>
      </c>
      <c r="E39" s="66" t="str">
        <f t="shared" ca="1" si="5"/>
        <v/>
      </c>
      <c r="F39" s="66" t="str">
        <f t="shared" ca="1" si="6"/>
        <v/>
      </c>
      <c r="G39" s="66"/>
      <c r="H39" s="66"/>
      <c r="I39" s="67"/>
      <c r="J39" s="68"/>
      <c r="K39" s="94" t="str">
        <f t="shared" ca="1" si="7"/>
        <v/>
      </c>
      <c r="L39" s="93"/>
      <c r="M39" s="83"/>
      <c r="N39" s="69"/>
    </row>
    <row r="40" spans="2:14" ht="14.4" x14ac:dyDescent="0.25">
      <c r="B40" s="64">
        <v>38</v>
      </c>
      <c r="C40" s="65"/>
      <c r="D40" s="66" t="str">
        <f t="shared" ca="1" si="4"/>
        <v/>
      </c>
      <c r="E40" s="66" t="str">
        <f t="shared" ca="1" si="5"/>
        <v/>
      </c>
      <c r="F40" s="66" t="str">
        <f t="shared" ca="1" si="6"/>
        <v/>
      </c>
      <c r="G40" s="66"/>
      <c r="H40" s="66"/>
      <c r="I40" s="67"/>
      <c r="J40" s="68"/>
      <c r="K40" s="94" t="str">
        <f t="shared" ca="1" si="7"/>
        <v/>
      </c>
      <c r="L40" s="93"/>
      <c r="M40" s="83"/>
      <c r="N40" s="69"/>
    </row>
    <row r="41" spans="2:14" ht="14.4" x14ac:dyDescent="0.25">
      <c r="B41" s="64">
        <v>39</v>
      </c>
      <c r="C41" s="65"/>
      <c r="D41" s="66" t="str">
        <f t="shared" ca="1" si="4"/>
        <v/>
      </c>
      <c r="E41" s="66" t="str">
        <f t="shared" ca="1" si="5"/>
        <v/>
      </c>
      <c r="F41" s="66" t="str">
        <f t="shared" ca="1" si="6"/>
        <v/>
      </c>
      <c r="G41" s="66"/>
      <c r="H41" s="66"/>
      <c r="I41" s="67"/>
      <c r="J41" s="68"/>
      <c r="K41" s="94" t="str">
        <f t="shared" ca="1" si="7"/>
        <v/>
      </c>
      <c r="L41" s="93"/>
      <c r="M41" s="83"/>
      <c r="N41" s="69"/>
    </row>
    <row r="42" spans="2:14" ht="14.4" x14ac:dyDescent="0.25">
      <c r="B42" s="64">
        <v>40</v>
      </c>
      <c r="C42" s="65"/>
      <c r="D42" s="66" t="str">
        <f t="shared" ca="1" si="4"/>
        <v/>
      </c>
      <c r="E42" s="66" t="str">
        <f t="shared" ca="1" si="5"/>
        <v/>
      </c>
      <c r="F42" s="66" t="str">
        <f t="shared" ca="1" si="6"/>
        <v/>
      </c>
      <c r="G42" s="66"/>
      <c r="H42" s="66"/>
      <c r="I42" s="67"/>
      <c r="J42" s="68"/>
      <c r="K42" s="94" t="str">
        <f t="shared" ca="1" si="7"/>
        <v/>
      </c>
      <c r="L42" s="93"/>
      <c r="M42" s="83"/>
      <c r="N42" s="69"/>
    </row>
    <row r="43" spans="2:14" ht="14.4" x14ac:dyDescent="0.25">
      <c r="B43" s="64">
        <v>41</v>
      </c>
      <c r="C43" s="65"/>
      <c r="D43" s="66" t="str">
        <f t="shared" ca="1" si="4"/>
        <v/>
      </c>
      <c r="E43" s="66" t="str">
        <f t="shared" ca="1" si="5"/>
        <v/>
      </c>
      <c r="F43" s="66" t="str">
        <f t="shared" ca="1" si="6"/>
        <v/>
      </c>
      <c r="G43" s="66"/>
      <c r="H43" s="66"/>
      <c r="I43" s="67"/>
      <c r="J43" s="68"/>
      <c r="K43" s="94" t="str">
        <f t="shared" ca="1" si="7"/>
        <v/>
      </c>
      <c r="L43" s="93"/>
      <c r="M43" s="83"/>
      <c r="N43" s="69"/>
    </row>
    <row r="44" spans="2:14" ht="14.4" x14ac:dyDescent="0.25">
      <c r="B44" s="64">
        <v>42</v>
      </c>
      <c r="C44" s="65"/>
      <c r="D44" s="66" t="str">
        <f t="shared" ca="1" si="4"/>
        <v/>
      </c>
      <c r="E44" s="66" t="str">
        <f t="shared" ca="1" si="5"/>
        <v/>
      </c>
      <c r="F44" s="66" t="str">
        <f t="shared" ca="1" si="6"/>
        <v/>
      </c>
      <c r="G44" s="66"/>
      <c r="H44" s="66"/>
      <c r="I44" s="67"/>
      <c r="J44" s="68"/>
      <c r="K44" s="94" t="str">
        <f t="shared" ca="1" si="7"/>
        <v/>
      </c>
      <c r="L44" s="93"/>
      <c r="M44" s="83"/>
      <c r="N44" s="69"/>
    </row>
    <row r="45" spans="2:14" ht="14.4" x14ac:dyDescent="0.25">
      <c r="B45" s="64">
        <v>43</v>
      </c>
      <c r="C45" s="65"/>
      <c r="D45" s="66" t="str">
        <f t="shared" ca="1" si="4"/>
        <v/>
      </c>
      <c r="E45" s="66" t="str">
        <f t="shared" ca="1" si="5"/>
        <v/>
      </c>
      <c r="F45" s="66" t="str">
        <f t="shared" ca="1" si="6"/>
        <v/>
      </c>
      <c r="G45" s="66"/>
      <c r="H45" s="66"/>
      <c r="I45" s="67"/>
      <c r="J45" s="68"/>
      <c r="K45" s="94" t="str">
        <f t="shared" ca="1" si="7"/>
        <v/>
      </c>
      <c r="L45" s="93"/>
      <c r="M45" s="83"/>
      <c r="N45" s="69"/>
    </row>
    <row r="46" spans="2:14" ht="14.4" x14ac:dyDescent="0.25">
      <c r="B46" s="64">
        <v>44</v>
      </c>
      <c r="C46" s="65"/>
      <c r="D46" s="66" t="str">
        <f t="shared" ca="1" si="4"/>
        <v/>
      </c>
      <c r="E46" s="66" t="str">
        <f t="shared" ca="1" si="5"/>
        <v/>
      </c>
      <c r="F46" s="66" t="str">
        <f t="shared" ca="1" si="6"/>
        <v/>
      </c>
      <c r="G46" s="66"/>
      <c r="H46" s="66"/>
      <c r="I46" s="67"/>
      <c r="J46" s="68"/>
      <c r="K46" s="94" t="str">
        <f t="shared" ca="1" si="7"/>
        <v/>
      </c>
      <c r="L46" s="93"/>
      <c r="M46" s="83"/>
      <c r="N46" s="69"/>
    </row>
    <row r="47" spans="2:14" ht="15" thickBot="1" x14ac:dyDescent="0.3">
      <c r="B47" s="70">
        <v>45</v>
      </c>
      <c r="C47" s="71"/>
      <c r="D47" s="66" t="str">
        <f t="shared" ca="1" si="4"/>
        <v/>
      </c>
      <c r="E47" s="66" t="str">
        <f t="shared" ca="1" si="5"/>
        <v/>
      </c>
      <c r="F47" s="66" t="str">
        <f t="shared" ca="1" si="6"/>
        <v/>
      </c>
      <c r="G47" s="66"/>
      <c r="H47" s="66"/>
      <c r="I47" s="67"/>
      <c r="J47" s="68"/>
      <c r="K47" s="94" t="str">
        <f t="shared" ca="1" si="7"/>
        <v/>
      </c>
      <c r="L47" s="93"/>
      <c r="M47" s="83"/>
      <c r="N47" s="69"/>
    </row>
  </sheetData>
  <phoneticPr fontId="41" type="noConversion"/>
  <conditionalFormatting sqref="K25:K47">
    <cfRule type="cellIs" dxfId="85" priority="31" operator="equal">
      <formula>"Nok"</formula>
    </cfRule>
    <cfRule type="cellIs" dxfId="84" priority="32" operator="equal">
      <formula>"Ok"</formula>
    </cfRule>
  </conditionalFormatting>
  <conditionalFormatting sqref="K3">
    <cfRule type="cellIs" dxfId="83" priority="29" operator="equal">
      <formula>"Nok"</formula>
    </cfRule>
    <cfRule type="cellIs" dxfId="82" priority="30" operator="equal">
      <formula>"Ok"</formula>
    </cfRule>
  </conditionalFormatting>
  <conditionalFormatting sqref="K4">
    <cfRule type="cellIs" dxfId="81" priority="27" operator="equal">
      <formula>"Nok"</formula>
    </cfRule>
    <cfRule type="cellIs" dxfId="80" priority="28" operator="equal">
      <formula>"Ok"</formula>
    </cfRule>
  </conditionalFormatting>
  <conditionalFormatting sqref="K5">
    <cfRule type="cellIs" dxfId="79" priority="25" operator="equal">
      <formula>"Nok"</formula>
    </cfRule>
    <cfRule type="cellIs" dxfId="78" priority="26" operator="equal">
      <formula>"Ok"</formula>
    </cfRule>
  </conditionalFormatting>
  <conditionalFormatting sqref="K6">
    <cfRule type="cellIs" dxfId="77" priority="23" operator="equal">
      <formula>"Nok"</formula>
    </cfRule>
    <cfRule type="cellIs" dxfId="76" priority="24" operator="equal">
      <formula>"Ok"</formula>
    </cfRule>
  </conditionalFormatting>
  <conditionalFormatting sqref="K7">
    <cfRule type="cellIs" dxfId="75" priority="21" operator="equal">
      <formula>"Nok"</formula>
    </cfRule>
    <cfRule type="cellIs" dxfId="74" priority="22" operator="equal">
      <formula>"Ok"</formula>
    </cfRule>
  </conditionalFormatting>
  <conditionalFormatting sqref="K8">
    <cfRule type="cellIs" dxfId="73" priority="19" operator="equal">
      <formula>"Nok"</formula>
    </cfRule>
    <cfRule type="cellIs" dxfId="72" priority="20" operator="equal">
      <formula>"Ok"</formula>
    </cfRule>
  </conditionalFormatting>
  <dataValidations count="3">
    <dataValidation type="list" allowBlank="1" showInputMessage="1" showErrorMessage="1" sqref="E25:E47" xr:uid="{00000000-0002-0000-0300-000000000000}">
      <formula1>"Nominal, Robustness, Endurance, Qualification, Other"</formula1>
    </dataValidation>
    <dataValidation type="list" allowBlank="1" showInputMessage="1" showErrorMessage="1" sqref="G3:G8" xr:uid="{32962E0A-C472-462C-8C4B-AA8F2A6FDCE7}">
      <formula1>",X,"</formula1>
    </dataValidation>
    <dataValidation type="list" allowBlank="1" showInputMessage="1" showErrorMessage="1" sqref="H3:H8" xr:uid="{450F32B0-BEFE-4CE1-86BE-E6829A783650}">
      <formula1>"1,2,3,"</formula1>
    </dataValidation>
  </dataValidations>
  <hyperlinks>
    <hyperlink ref="C3" location="SW_IT_EOL_0001!A1" display="SW_IT_EOL_0001" xr:uid="{00000000-0004-0000-0300-000000000000}"/>
    <hyperlink ref="C4" location="SW_IT_EOL_0002!A1" display="SW_IT_EOL_0002" xr:uid="{12B1B525-C685-487F-9B58-D9BA439944B1}"/>
    <hyperlink ref="C5" location="SW_IT_EOL_0003!A1" display="SW_IT_EOL_0003" xr:uid="{ECCA7D67-556B-49EB-8359-56AFB54D4B24}"/>
    <hyperlink ref="C6" location="SW_IT_EOL_0004!A1" display="SW_IT_EOL_0004" xr:uid="{0D982692-7E4F-4E74-AC1F-F68929649B1C}"/>
    <hyperlink ref="C7" location="SW_IT_EOL_0005!A1" display="SW_IT_EOL_0005" xr:uid="{D648EC95-4F45-4B7D-8846-592C0D7F9ED3}"/>
    <hyperlink ref="C8" location="SW_IT_EOL_0006!A1" display="SW_IT_EOL_0006" xr:uid="{8B063775-CA34-4158-BECC-FACA0314EBC2}"/>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0"/>
  <sheetViews>
    <sheetView workbookViewId="0"/>
  </sheetViews>
  <sheetFormatPr defaultColWidth="9.33203125" defaultRowHeight="13.2" x14ac:dyDescent="0.25"/>
  <cols>
    <col min="1" max="1" width="20.33203125" style="99" customWidth="1"/>
    <col min="2" max="2" width="18.44140625" style="95" customWidth="1"/>
    <col min="3" max="5" width="9.33203125" style="95"/>
    <col min="6" max="6" width="3.6640625" style="95" customWidth="1"/>
    <col min="7" max="7" width="24.109375" style="95" customWidth="1"/>
    <col min="8" max="15" width="9.5546875" style="95" customWidth="1"/>
    <col min="16" max="16384" width="9.33203125" style="95"/>
  </cols>
  <sheetData>
    <row r="1" spans="1:15" ht="13.8" thickBot="1" x14ac:dyDescent="0.3">
      <c r="A1" s="100" t="s">
        <v>40</v>
      </c>
      <c r="B1" s="201" t="s">
        <v>140</v>
      </c>
      <c r="C1" s="202"/>
      <c r="D1" s="202"/>
      <c r="E1" s="202"/>
      <c r="F1" s="202"/>
      <c r="G1" s="20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04" t="s">
        <v>145</v>
      </c>
      <c r="C3" s="205"/>
      <c r="D3" s="205"/>
      <c r="E3" s="205"/>
      <c r="F3" s="205"/>
      <c r="G3" s="20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130</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04" t="s">
        <v>139</v>
      </c>
      <c r="C7" s="205"/>
      <c r="D7" s="205"/>
      <c r="E7" s="205"/>
      <c r="F7" s="205"/>
      <c r="G7" s="20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5" t="s">
        <v>129</v>
      </c>
      <c r="C9" s="73"/>
      <c r="D9" s="74"/>
      <c r="E9" s="74"/>
      <c r="F9" s="74"/>
      <c r="G9" s="74"/>
      <c r="H9" s="74"/>
      <c r="I9" s="74"/>
      <c r="J9" s="74"/>
      <c r="K9" s="74"/>
      <c r="L9" s="74"/>
      <c r="M9" s="74"/>
      <c r="N9" s="74"/>
      <c r="O9" s="74"/>
    </row>
    <row r="10" spans="1:15" ht="13.8" thickBot="1" x14ac:dyDescent="0.3">
      <c r="A10" s="76"/>
      <c r="B10" s="96"/>
      <c r="C10" s="73"/>
      <c r="D10" s="74"/>
      <c r="E10" s="74"/>
      <c r="F10" s="74"/>
      <c r="G10" s="74"/>
      <c r="H10" s="74"/>
      <c r="I10" s="74"/>
      <c r="J10" s="74"/>
      <c r="K10" s="74"/>
      <c r="L10" s="74"/>
      <c r="M10" s="74"/>
      <c r="N10" s="74"/>
      <c r="O10" s="74"/>
    </row>
    <row r="11" spans="1:15" ht="12" customHeight="1" x14ac:dyDescent="0.25">
      <c r="A11" s="210" t="s">
        <v>109</v>
      </c>
      <c r="B11" s="215" t="s">
        <v>128</v>
      </c>
      <c r="C11" s="216"/>
      <c r="D11" s="216"/>
      <c r="E11" s="216"/>
      <c r="F11" s="216"/>
      <c r="G11" s="217"/>
      <c r="H11" s="74"/>
      <c r="I11" s="74"/>
      <c r="J11" s="74"/>
      <c r="K11" s="74"/>
      <c r="L11" s="74"/>
      <c r="M11" s="74"/>
      <c r="N11" s="74"/>
      <c r="O11" s="74"/>
    </row>
    <row r="12" spans="1:15" x14ac:dyDescent="0.25">
      <c r="A12" s="211"/>
      <c r="B12" s="218"/>
      <c r="C12" s="219"/>
      <c r="D12" s="219"/>
      <c r="E12" s="219"/>
      <c r="F12" s="219"/>
      <c r="G12" s="220"/>
      <c r="H12" s="74"/>
      <c r="I12" s="74"/>
      <c r="J12" s="74"/>
      <c r="K12" s="74"/>
      <c r="L12" s="74"/>
      <c r="M12" s="74"/>
      <c r="N12" s="74"/>
      <c r="O12" s="74"/>
    </row>
    <row r="13" spans="1:15" x14ac:dyDescent="0.25">
      <c r="A13" s="211"/>
      <c r="B13" s="218"/>
      <c r="C13" s="219"/>
      <c r="D13" s="219"/>
      <c r="E13" s="219"/>
      <c r="F13" s="219"/>
      <c r="G13" s="220"/>
      <c r="H13" s="72"/>
      <c r="I13" s="74"/>
      <c r="J13" s="74"/>
      <c r="K13" s="74"/>
      <c r="L13" s="74"/>
      <c r="M13" s="74"/>
      <c r="N13" s="74"/>
      <c r="O13" s="74"/>
    </row>
    <row r="14" spans="1:15" ht="13.8" thickBot="1" x14ac:dyDescent="0.3">
      <c r="A14" s="211"/>
      <c r="B14" s="221"/>
      <c r="C14" s="222"/>
      <c r="D14" s="222"/>
      <c r="E14" s="222"/>
      <c r="F14" s="222"/>
      <c r="G14" s="223"/>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0" t="s">
        <v>43</v>
      </c>
      <c r="B16" s="215" t="s">
        <v>131</v>
      </c>
      <c r="C16" s="216"/>
      <c r="D16" s="216"/>
      <c r="E16" s="216"/>
      <c r="F16" s="216"/>
      <c r="G16" s="217"/>
      <c r="H16" s="74"/>
      <c r="I16" s="74"/>
      <c r="J16" s="74"/>
      <c r="K16" s="74"/>
      <c r="L16" s="74"/>
      <c r="M16" s="74"/>
      <c r="N16" s="74"/>
      <c r="O16" s="74"/>
    </row>
    <row r="17" spans="1:16" x14ac:dyDescent="0.25">
      <c r="A17" s="211"/>
      <c r="B17" s="218"/>
      <c r="C17" s="219"/>
      <c r="D17" s="219"/>
      <c r="E17" s="219"/>
      <c r="F17" s="219"/>
      <c r="G17" s="220"/>
      <c r="H17" s="74"/>
      <c r="I17" s="74"/>
      <c r="J17" s="74"/>
      <c r="K17" s="74"/>
      <c r="L17" s="74"/>
      <c r="M17" s="74"/>
      <c r="N17" s="74"/>
      <c r="O17" s="74"/>
    </row>
    <row r="18" spans="1:16" x14ac:dyDescent="0.25">
      <c r="A18" s="211"/>
      <c r="B18" s="218"/>
      <c r="C18" s="219"/>
      <c r="D18" s="219"/>
      <c r="E18" s="219"/>
      <c r="F18" s="219"/>
      <c r="G18" s="220"/>
      <c r="H18" s="72"/>
      <c r="I18" s="74"/>
      <c r="J18" s="74"/>
      <c r="K18" s="74"/>
      <c r="L18" s="74"/>
      <c r="M18" s="74"/>
      <c r="N18" s="74"/>
      <c r="O18" s="74"/>
    </row>
    <row r="19" spans="1:16" ht="13.8" thickBot="1" x14ac:dyDescent="0.3">
      <c r="A19" s="211"/>
      <c r="B19" s="221"/>
      <c r="C19" s="222"/>
      <c r="D19" s="222"/>
      <c r="E19" s="222"/>
      <c r="F19" s="222"/>
      <c r="G19" s="223"/>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6" t="s">
        <v>47</v>
      </c>
      <c r="B21" s="197"/>
      <c r="C21" s="197"/>
      <c r="D21" s="197"/>
      <c r="E21" s="197"/>
      <c r="F21" s="197"/>
      <c r="G21" s="198"/>
      <c r="H21" s="196" t="s">
        <v>48</v>
      </c>
      <c r="I21" s="197"/>
      <c r="J21" s="197"/>
      <c r="K21" s="198"/>
      <c r="L21" s="196" t="s">
        <v>57</v>
      </c>
      <c r="M21" s="197"/>
      <c r="N21" s="197"/>
      <c r="O21" s="198"/>
      <c r="P21" s="102" t="s">
        <v>46</v>
      </c>
    </row>
    <row r="22" spans="1:16" ht="55.2" customHeight="1" x14ac:dyDescent="0.25">
      <c r="A22" s="103" t="s">
        <v>49</v>
      </c>
      <c r="B22" s="207" t="s">
        <v>156</v>
      </c>
      <c r="C22" s="208"/>
      <c r="D22" s="208"/>
      <c r="E22" s="208"/>
      <c r="F22" s="208"/>
      <c r="G22" s="209"/>
      <c r="H22" s="199"/>
      <c r="I22" s="199"/>
      <c r="J22" s="199"/>
      <c r="K22" s="199"/>
      <c r="L22" s="199"/>
      <c r="M22" s="199"/>
      <c r="N22" s="199"/>
      <c r="O22" s="199"/>
      <c r="P22" s="97"/>
    </row>
    <row r="23" spans="1:16" ht="88.95" customHeight="1" x14ac:dyDescent="0.25">
      <c r="A23" s="103" t="s">
        <v>50</v>
      </c>
      <c r="B23" s="212" t="s">
        <v>157</v>
      </c>
      <c r="C23" s="213"/>
      <c r="D23" s="213"/>
      <c r="E23" s="213"/>
      <c r="F23" s="213"/>
      <c r="G23" s="214"/>
      <c r="H23" s="199" t="s">
        <v>164</v>
      </c>
      <c r="I23" s="199"/>
      <c r="J23" s="199"/>
      <c r="K23" s="199"/>
      <c r="L23" s="199" t="s">
        <v>165</v>
      </c>
      <c r="M23" s="199"/>
      <c r="N23" s="199"/>
      <c r="O23" s="199"/>
      <c r="P23" s="97" t="s">
        <v>129</v>
      </c>
    </row>
    <row r="24" spans="1:16" ht="40.950000000000003" customHeight="1" x14ac:dyDescent="0.25">
      <c r="A24" s="103" t="s">
        <v>51</v>
      </c>
      <c r="B24" s="212"/>
      <c r="C24" s="213"/>
      <c r="D24" s="213"/>
      <c r="E24" s="213"/>
      <c r="F24" s="213"/>
      <c r="G24" s="214"/>
      <c r="H24" s="200"/>
      <c r="I24" s="200"/>
      <c r="J24" s="200"/>
      <c r="K24" s="200"/>
      <c r="L24" s="200"/>
      <c r="M24" s="200"/>
      <c r="N24" s="200"/>
      <c r="O24" s="200"/>
      <c r="P24" s="97"/>
    </row>
    <row r="25" spans="1:16" ht="39.450000000000003" customHeight="1" x14ac:dyDescent="0.25">
      <c r="A25" s="103" t="s">
        <v>52</v>
      </c>
      <c r="B25" s="212"/>
      <c r="C25" s="213"/>
      <c r="D25" s="213"/>
      <c r="E25" s="213"/>
      <c r="F25" s="213"/>
      <c r="G25" s="214"/>
      <c r="H25" s="200"/>
      <c r="I25" s="200"/>
      <c r="J25" s="200"/>
      <c r="K25" s="200"/>
      <c r="L25" s="200"/>
      <c r="M25" s="200"/>
      <c r="N25" s="200"/>
      <c r="O25" s="200"/>
      <c r="P25" s="97"/>
    </row>
    <row r="26" spans="1:16" ht="39.450000000000003" customHeight="1" x14ac:dyDescent="0.25">
      <c r="A26" s="103" t="s">
        <v>53</v>
      </c>
      <c r="B26" s="212"/>
      <c r="C26" s="213"/>
      <c r="D26" s="213"/>
      <c r="E26" s="213"/>
      <c r="F26" s="213"/>
      <c r="G26" s="214"/>
      <c r="H26" s="200"/>
      <c r="I26" s="200"/>
      <c r="J26" s="200"/>
      <c r="K26" s="200"/>
      <c r="L26" s="200"/>
      <c r="M26" s="200"/>
      <c r="N26" s="200"/>
      <c r="O26" s="200"/>
      <c r="P26" s="97"/>
    </row>
    <row r="27" spans="1:16" ht="27" customHeight="1" x14ac:dyDescent="0.25">
      <c r="A27" s="103" t="s">
        <v>54</v>
      </c>
      <c r="B27" s="212"/>
      <c r="C27" s="213"/>
      <c r="D27" s="213"/>
      <c r="E27" s="213"/>
      <c r="F27" s="213"/>
      <c r="G27" s="214"/>
      <c r="H27" s="200"/>
      <c r="I27" s="200"/>
      <c r="J27" s="200"/>
      <c r="K27" s="200"/>
      <c r="L27" s="200"/>
      <c r="M27" s="200"/>
      <c r="N27" s="200"/>
      <c r="O27" s="200"/>
      <c r="P27" s="97"/>
    </row>
    <row r="28" spans="1:16" ht="33.6" customHeight="1" x14ac:dyDescent="0.25">
      <c r="A28" s="103" t="s">
        <v>55</v>
      </c>
      <c r="B28" s="212"/>
      <c r="C28" s="213"/>
      <c r="D28" s="213"/>
      <c r="E28" s="213"/>
      <c r="F28" s="213"/>
      <c r="G28" s="214"/>
      <c r="H28" s="200"/>
      <c r="I28" s="200"/>
      <c r="J28" s="200"/>
      <c r="K28" s="200"/>
      <c r="L28" s="200"/>
      <c r="M28" s="200"/>
      <c r="N28" s="200"/>
      <c r="O28" s="200"/>
      <c r="P28" s="97"/>
    </row>
    <row r="29" spans="1:16" x14ac:dyDescent="0.25">
      <c r="B29" s="99"/>
      <c r="C29" s="99"/>
      <c r="D29" s="99"/>
      <c r="E29" s="99"/>
      <c r="F29" s="99"/>
      <c r="G29" s="99"/>
      <c r="H29" s="99"/>
    </row>
    <row r="30" spans="1:16" x14ac:dyDescent="0.25">
      <c r="B30" s="99"/>
      <c r="C30" s="99"/>
      <c r="D30" s="99"/>
      <c r="E30" s="99"/>
      <c r="F30" s="99"/>
      <c r="G30" s="99"/>
      <c r="H30" s="99"/>
    </row>
  </sheetData>
  <mergeCells count="31">
    <mergeCell ref="L28:O28"/>
    <mergeCell ref="B27:G27"/>
    <mergeCell ref="B28:G28"/>
    <mergeCell ref="H28:K28"/>
    <mergeCell ref="L25:O25"/>
    <mergeCell ref="L26:O26"/>
    <mergeCell ref="L27:O27"/>
    <mergeCell ref="H25:K25"/>
    <mergeCell ref="A11:A14"/>
    <mergeCell ref="A16:A19"/>
    <mergeCell ref="B26:G26"/>
    <mergeCell ref="H26:K26"/>
    <mergeCell ref="H27:K27"/>
    <mergeCell ref="A21:G21"/>
    <mergeCell ref="B23:G23"/>
    <mergeCell ref="B25:G25"/>
    <mergeCell ref="B11:G14"/>
    <mergeCell ref="B16:G19"/>
    <mergeCell ref="B24:G24"/>
    <mergeCell ref="H24:K24"/>
    <mergeCell ref="L21:O21"/>
    <mergeCell ref="L23:O23"/>
    <mergeCell ref="L24:O24"/>
    <mergeCell ref="B1:G1"/>
    <mergeCell ref="B3:G3"/>
    <mergeCell ref="B7:G7"/>
    <mergeCell ref="H21:K21"/>
    <mergeCell ref="H23:K23"/>
    <mergeCell ref="B22:G22"/>
    <mergeCell ref="H22:K22"/>
    <mergeCell ref="L22:O22"/>
  </mergeCells>
  <conditionalFormatting sqref="B9:B10">
    <cfRule type="cellIs" dxfId="71" priority="19" operator="equal">
      <formula>"Nok"</formula>
    </cfRule>
    <cfRule type="cellIs" dxfId="70" priority="20" operator="equal">
      <formula>"Ok"</formula>
    </cfRule>
  </conditionalFormatting>
  <conditionalFormatting sqref="P25">
    <cfRule type="cellIs" dxfId="69" priority="17" operator="equal">
      <formula>"Nok"</formula>
    </cfRule>
    <cfRule type="cellIs" dxfId="68" priority="18" operator="equal">
      <formula>"Ok"</formula>
    </cfRule>
  </conditionalFormatting>
  <conditionalFormatting sqref="P24">
    <cfRule type="cellIs" dxfId="67" priority="13" operator="equal">
      <formula>"Nok"</formula>
    </cfRule>
    <cfRule type="cellIs" dxfId="66" priority="14" operator="equal">
      <formula>"Ok"</formula>
    </cfRule>
  </conditionalFormatting>
  <conditionalFormatting sqref="P23">
    <cfRule type="cellIs" dxfId="65" priority="11" operator="equal">
      <formula>"Nok"</formula>
    </cfRule>
    <cfRule type="cellIs" dxfId="64" priority="12" operator="equal">
      <formula>"Ok"</formula>
    </cfRule>
  </conditionalFormatting>
  <conditionalFormatting sqref="P26">
    <cfRule type="cellIs" dxfId="63" priority="7" operator="equal">
      <formula>"Nok"</formula>
    </cfRule>
    <cfRule type="cellIs" dxfId="62" priority="8" operator="equal">
      <formula>"Ok"</formula>
    </cfRule>
  </conditionalFormatting>
  <conditionalFormatting sqref="P27">
    <cfRule type="cellIs" dxfId="61" priority="5" operator="equal">
      <formula>"Nok"</formula>
    </cfRule>
    <cfRule type="cellIs" dxfId="60" priority="6" operator="equal">
      <formula>"Ok"</formula>
    </cfRule>
  </conditionalFormatting>
  <conditionalFormatting sqref="P28">
    <cfRule type="cellIs" dxfId="59" priority="3" operator="equal">
      <formula>"Nok"</formula>
    </cfRule>
    <cfRule type="cellIs" dxfId="58" priority="4" operator="equal">
      <formula>"Ok"</formula>
    </cfRule>
  </conditionalFormatting>
  <conditionalFormatting sqref="P22">
    <cfRule type="cellIs" dxfId="57" priority="1" operator="equal">
      <formula>"Nok"</formula>
    </cfRule>
    <cfRule type="cellIs" dxfId="56"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28" xr:uid="{00000000-0002-0000-0400-00000200000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60122-A8FC-451F-B013-1EFC16B3F2D2}">
  <sheetPr codeName="Sheet10"/>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01" t="s">
        <v>141</v>
      </c>
      <c r="C1" s="202"/>
      <c r="D1" s="202"/>
      <c r="E1" s="202"/>
      <c r="F1" s="202"/>
      <c r="G1" s="20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04" t="s">
        <v>146</v>
      </c>
      <c r="C3" s="205"/>
      <c r="D3" s="205"/>
      <c r="E3" s="205"/>
      <c r="F3" s="205"/>
      <c r="G3" s="20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130</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04" t="s">
        <v>142</v>
      </c>
      <c r="C7" s="205"/>
      <c r="D7" s="205"/>
      <c r="E7" s="205"/>
      <c r="F7" s="205"/>
      <c r="G7" s="20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5" t="s">
        <v>129</v>
      </c>
      <c r="C9" s="73"/>
      <c r="D9" s="74"/>
      <c r="E9" s="74"/>
      <c r="F9" s="74"/>
      <c r="G9" s="74"/>
      <c r="H9" s="74"/>
      <c r="I9" s="74"/>
      <c r="J9" s="74"/>
      <c r="K9" s="74"/>
      <c r="L9" s="74"/>
      <c r="M9" s="74"/>
      <c r="N9" s="74"/>
      <c r="O9" s="74"/>
    </row>
    <row r="10" spans="1:15" ht="13.8" thickBot="1" x14ac:dyDescent="0.3">
      <c r="A10" s="76"/>
      <c r="B10" s="96"/>
      <c r="C10" s="73"/>
      <c r="D10" s="74"/>
      <c r="E10" s="74"/>
      <c r="F10" s="74"/>
      <c r="G10" s="74"/>
      <c r="H10" s="74"/>
      <c r="I10" s="74"/>
      <c r="J10" s="74"/>
      <c r="K10" s="74"/>
      <c r="L10" s="74"/>
      <c r="M10" s="74"/>
      <c r="N10" s="74"/>
      <c r="O10" s="74"/>
    </row>
    <row r="11" spans="1:15" ht="12" customHeight="1" x14ac:dyDescent="0.25">
      <c r="A11" s="210" t="s">
        <v>109</v>
      </c>
      <c r="B11" s="215" t="s">
        <v>128</v>
      </c>
      <c r="C11" s="216"/>
      <c r="D11" s="216"/>
      <c r="E11" s="216"/>
      <c r="F11" s="216"/>
      <c r="G11" s="217"/>
      <c r="H11" s="74"/>
      <c r="I11" s="74"/>
      <c r="J11" s="74"/>
      <c r="K11" s="74"/>
      <c r="L11" s="74"/>
      <c r="M11" s="74"/>
      <c r="N11" s="74"/>
      <c r="O11" s="74"/>
    </row>
    <row r="12" spans="1:15" x14ac:dyDescent="0.25">
      <c r="A12" s="211"/>
      <c r="B12" s="218"/>
      <c r="C12" s="219"/>
      <c r="D12" s="219"/>
      <c r="E12" s="219"/>
      <c r="F12" s="219"/>
      <c r="G12" s="220"/>
      <c r="H12" s="74"/>
      <c r="I12" s="74"/>
      <c r="J12" s="74"/>
      <c r="K12" s="74"/>
      <c r="L12" s="74"/>
      <c r="M12" s="74"/>
      <c r="N12" s="74"/>
      <c r="O12" s="74"/>
    </row>
    <row r="13" spans="1:15" x14ac:dyDescent="0.25">
      <c r="A13" s="211"/>
      <c r="B13" s="218"/>
      <c r="C13" s="219"/>
      <c r="D13" s="219"/>
      <c r="E13" s="219"/>
      <c r="F13" s="219"/>
      <c r="G13" s="220"/>
      <c r="H13" s="72"/>
      <c r="I13" s="74"/>
      <c r="J13" s="74"/>
      <c r="K13" s="74"/>
      <c r="L13" s="74"/>
      <c r="M13" s="74"/>
      <c r="N13" s="74"/>
      <c r="O13" s="74"/>
    </row>
    <row r="14" spans="1:15" ht="13.8" thickBot="1" x14ac:dyDescent="0.3">
      <c r="A14" s="211"/>
      <c r="B14" s="221"/>
      <c r="C14" s="222"/>
      <c r="D14" s="222"/>
      <c r="E14" s="222"/>
      <c r="F14" s="222"/>
      <c r="G14" s="223"/>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0" t="s">
        <v>43</v>
      </c>
      <c r="B16" s="215" t="s">
        <v>131</v>
      </c>
      <c r="C16" s="216"/>
      <c r="D16" s="216"/>
      <c r="E16" s="216"/>
      <c r="F16" s="216"/>
      <c r="G16" s="217"/>
      <c r="H16" s="74"/>
      <c r="I16" s="74"/>
      <c r="J16" s="74"/>
      <c r="K16" s="74"/>
      <c r="L16" s="74"/>
      <c r="M16" s="74"/>
      <c r="N16" s="74"/>
      <c r="O16" s="74"/>
    </row>
    <row r="17" spans="1:16" x14ac:dyDescent="0.25">
      <c r="A17" s="211"/>
      <c r="B17" s="218"/>
      <c r="C17" s="219"/>
      <c r="D17" s="219"/>
      <c r="E17" s="219"/>
      <c r="F17" s="219"/>
      <c r="G17" s="220"/>
      <c r="H17" s="74"/>
      <c r="I17" s="74"/>
      <c r="J17" s="74"/>
      <c r="K17" s="74"/>
      <c r="L17" s="74"/>
      <c r="M17" s="74"/>
      <c r="N17" s="74"/>
      <c r="O17" s="74"/>
    </row>
    <row r="18" spans="1:16" x14ac:dyDescent="0.25">
      <c r="A18" s="211"/>
      <c r="B18" s="218"/>
      <c r="C18" s="219"/>
      <c r="D18" s="219"/>
      <c r="E18" s="219"/>
      <c r="F18" s="219"/>
      <c r="G18" s="220"/>
      <c r="H18" s="72"/>
      <c r="I18" s="74"/>
      <c r="J18" s="74"/>
      <c r="K18" s="74"/>
      <c r="L18" s="74"/>
      <c r="M18" s="74"/>
      <c r="N18" s="74"/>
      <c r="O18" s="74"/>
    </row>
    <row r="19" spans="1:16" ht="13.8" thickBot="1" x14ac:dyDescent="0.3">
      <c r="A19" s="211"/>
      <c r="B19" s="221"/>
      <c r="C19" s="222"/>
      <c r="D19" s="222"/>
      <c r="E19" s="222"/>
      <c r="F19" s="222"/>
      <c r="G19" s="223"/>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6" t="s">
        <v>47</v>
      </c>
      <c r="B21" s="197"/>
      <c r="C21" s="197"/>
      <c r="D21" s="197"/>
      <c r="E21" s="197"/>
      <c r="F21" s="197"/>
      <c r="G21" s="198"/>
      <c r="H21" s="196" t="s">
        <v>48</v>
      </c>
      <c r="I21" s="197"/>
      <c r="J21" s="197"/>
      <c r="K21" s="198"/>
      <c r="L21" s="196" t="s">
        <v>57</v>
      </c>
      <c r="M21" s="197"/>
      <c r="N21" s="197"/>
      <c r="O21" s="198"/>
      <c r="P21" s="102" t="s">
        <v>46</v>
      </c>
    </row>
    <row r="22" spans="1:16" ht="57" customHeight="1" x14ac:dyDescent="0.25">
      <c r="A22" s="103" t="s">
        <v>49</v>
      </c>
      <c r="B22" s="207" t="s">
        <v>155</v>
      </c>
      <c r="C22" s="208"/>
      <c r="D22" s="208"/>
      <c r="E22" s="208"/>
      <c r="F22" s="208"/>
      <c r="G22" s="209"/>
      <c r="H22" s="199"/>
      <c r="I22" s="199"/>
      <c r="J22" s="199"/>
      <c r="K22" s="199"/>
      <c r="L22" s="199"/>
      <c r="M22" s="199"/>
      <c r="N22" s="199"/>
      <c r="O22" s="199"/>
      <c r="P22" s="97"/>
    </row>
    <row r="23" spans="1:16" ht="41.7" customHeight="1" x14ac:dyDescent="0.25">
      <c r="A23" s="103" t="s">
        <v>50</v>
      </c>
      <c r="B23" s="212" t="s">
        <v>154</v>
      </c>
      <c r="C23" s="213"/>
      <c r="D23" s="213"/>
      <c r="E23" s="213"/>
      <c r="F23" s="213"/>
      <c r="G23" s="214"/>
      <c r="H23" s="199" t="s">
        <v>162</v>
      </c>
      <c r="I23" s="199"/>
      <c r="J23" s="199"/>
      <c r="K23" s="199"/>
      <c r="L23" s="199" t="s">
        <v>163</v>
      </c>
      <c r="M23" s="199"/>
      <c r="N23" s="199"/>
      <c r="O23" s="199"/>
      <c r="P23" s="97" t="s">
        <v>129</v>
      </c>
    </row>
    <row r="24" spans="1:16" ht="39.450000000000003" customHeight="1" x14ac:dyDescent="0.25">
      <c r="A24" s="103" t="s">
        <v>51</v>
      </c>
      <c r="B24" s="212"/>
      <c r="C24" s="213"/>
      <c r="D24" s="213"/>
      <c r="E24" s="213"/>
      <c r="F24" s="213"/>
      <c r="G24" s="214"/>
      <c r="H24" s="200"/>
      <c r="I24" s="200"/>
      <c r="J24" s="200"/>
      <c r="K24" s="200"/>
      <c r="L24" s="200"/>
      <c r="M24" s="200"/>
      <c r="N24" s="200"/>
      <c r="O24" s="200"/>
      <c r="P24" s="97"/>
    </row>
    <row r="25" spans="1:16" ht="39" customHeight="1" x14ac:dyDescent="0.25">
      <c r="A25" s="103" t="s">
        <v>52</v>
      </c>
      <c r="B25" s="212"/>
      <c r="C25" s="213"/>
      <c r="D25" s="213"/>
      <c r="E25" s="213"/>
      <c r="F25" s="213"/>
      <c r="G25" s="214"/>
      <c r="H25" s="200"/>
      <c r="I25" s="200"/>
      <c r="J25" s="200"/>
      <c r="K25" s="200"/>
      <c r="L25" s="200"/>
      <c r="M25" s="200"/>
      <c r="N25" s="200"/>
      <c r="O25" s="200"/>
      <c r="P25" s="97"/>
    </row>
    <row r="26" spans="1:16" ht="39" customHeight="1" x14ac:dyDescent="0.25">
      <c r="A26" s="103" t="s">
        <v>53</v>
      </c>
      <c r="B26" s="212"/>
      <c r="C26" s="213"/>
      <c r="D26" s="213"/>
      <c r="E26" s="213"/>
      <c r="F26" s="213"/>
      <c r="G26" s="214"/>
      <c r="H26" s="200"/>
      <c r="I26" s="200"/>
      <c r="J26" s="200"/>
      <c r="K26" s="200"/>
      <c r="L26" s="200"/>
      <c r="M26" s="200"/>
      <c r="N26" s="200"/>
      <c r="O26" s="200"/>
      <c r="P26" s="97"/>
    </row>
    <row r="27" spans="1:16" ht="38.700000000000003" customHeight="1" x14ac:dyDescent="0.25">
      <c r="A27" s="103" t="s">
        <v>54</v>
      </c>
      <c r="B27" s="212"/>
      <c r="C27" s="213"/>
      <c r="D27" s="213"/>
      <c r="E27" s="213"/>
      <c r="F27" s="213"/>
      <c r="G27" s="214"/>
      <c r="H27" s="200"/>
      <c r="I27" s="200"/>
      <c r="J27" s="200"/>
      <c r="K27" s="200"/>
      <c r="L27" s="200"/>
      <c r="M27" s="200"/>
      <c r="N27" s="200"/>
      <c r="O27" s="200"/>
      <c r="P27" s="97"/>
    </row>
    <row r="28" spans="1:16" ht="38.700000000000003" customHeight="1" x14ac:dyDescent="0.25">
      <c r="A28" s="103" t="s">
        <v>55</v>
      </c>
      <c r="B28" s="212"/>
      <c r="C28" s="213"/>
      <c r="D28" s="213"/>
      <c r="E28" s="213"/>
      <c r="F28" s="213"/>
      <c r="G28" s="214"/>
      <c r="H28" s="200"/>
      <c r="I28" s="200"/>
      <c r="J28" s="200"/>
      <c r="K28" s="200"/>
      <c r="L28" s="200"/>
      <c r="M28" s="200"/>
      <c r="N28" s="200"/>
      <c r="O28" s="200"/>
      <c r="P28" s="97"/>
    </row>
    <row r="29" spans="1:16" x14ac:dyDescent="0.25">
      <c r="A29" s="103"/>
      <c r="B29" s="207"/>
      <c r="C29" s="208"/>
      <c r="D29" s="208"/>
      <c r="E29" s="208"/>
      <c r="F29" s="208"/>
      <c r="G29" s="209"/>
      <c r="H29" s="200"/>
      <c r="I29" s="200"/>
      <c r="J29" s="200"/>
      <c r="K29" s="200"/>
      <c r="L29" s="200"/>
      <c r="M29" s="200"/>
      <c r="N29" s="200"/>
      <c r="O29" s="200"/>
      <c r="P29" s="97"/>
    </row>
    <row r="30" spans="1:16" ht="13.8" thickBot="1" x14ac:dyDescent="0.3">
      <c r="A30" s="104"/>
      <c r="B30" s="224"/>
      <c r="C30" s="225"/>
      <c r="D30" s="225"/>
      <c r="E30" s="225"/>
      <c r="F30" s="225"/>
      <c r="G30" s="226"/>
      <c r="H30" s="227"/>
      <c r="I30" s="227"/>
      <c r="J30" s="227"/>
      <c r="K30" s="227"/>
      <c r="L30" s="227"/>
      <c r="M30" s="227"/>
      <c r="N30" s="227"/>
      <c r="O30" s="227"/>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H23:K23"/>
    <mergeCell ref="L23:O23"/>
    <mergeCell ref="B1:G1"/>
    <mergeCell ref="B3:G3"/>
    <mergeCell ref="B7:G7"/>
    <mergeCell ref="A21:G21"/>
    <mergeCell ref="H21:K21"/>
    <mergeCell ref="L21:O21"/>
    <mergeCell ref="B23:G23"/>
    <mergeCell ref="A11:A14"/>
    <mergeCell ref="B11:G14"/>
    <mergeCell ref="A16:A19"/>
    <mergeCell ref="B16:G19"/>
    <mergeCell ref="B22:G22"/>
    <mergeCell ref="H22:K22"/>
    <mergeCell ref="L22:O22"/>
    <mergeCell ref="L27:O27"/>
    <mergeCell ref="B24:G24"/>
    <mergeCell ref="H24:K24"/>
    <mergeCell ref="L24:O24"/>
    <mergeCell ref="B25:G25"/>
    <mergeCell ref="H25:K25"/>
    <mergeCell ref="L25:O25"/>
    <mergeCell ref="B26:G26"/>
    <mergeCell ref="H26:K26"/>
    <mergeCell ref="L26:O26"/>
    <mergeCell ref="B27:G27"/>
    <mergeCell ref="H27:K27"/>
    <mergeCell ref="B30:G30"/>
    <mergeCell ref="H30:K30"/>
    <mergeCell ref="L30:O30"/>
    <mergeCell ref="B28:G28"/>
    <mergeCell ref="H28:K28"/>
    <mergeCell ref="L28:O28"/>
    <mergeCell ref="B29:G29"/>
    <mergeCell ref="H29:K29"/>
    <mergeCell ref="L29:O29"/>
  </mergeCells>
  <conditionalFormatting sqref="B9:B10">
    <cfRule type="cellIs" dxfId="55" priority="13" operator="equal">
      <formula>"Nok"</formula>
    </cfRule>
    <cfRule type="cellIs" dxfId="54" priority="14" operator="equal">
      <formula>"Ok"</formula>
    </cfRule>
  </conditionalFormatting>
  <conditionalFormatting sqref="P29:P30">
    <cfRule type="cellIs" dxfId="53" priority="11" operator="equal">
      <formula>"Nok"</formula>
    </cfRule>
    <cfRule type="cellIs" dxfId="52" priority="12" operator="equal">
      <formula>"Ok"</formula>
    </cfRule>
  </conditionalFormatting>
  <conditionalFormatting sqref="P25:P28">
    <cfRule type="cellIs" dxfId="51" priority="7" operator="equal">
      <formula>"Nok"</formula>
    </cfRule>
    <cfRule type="cellIs" dxfId="50" priority="8" operator="equal">
      <formula>"Ok"</formula>
    </cfRule>
  </conditionalFormatting>
  <conditionalFormatting sqref="P24">
    <cfRule type="cellIs" dxfId="49" priority="5" operator="equal">
      <formula>"Nok"</formula>
    </cfRule>
    <cfRule type="cellIs" dxfId="48" priority="6" operator="equal">
      <formula>"Ok"</formula>
    </cfRule>
  </conditionalFormatting>
  <conditionalFormatting sqref="P22">
    <cfRule type="cellIs" dxfId="47" priority="3" operator="equal">
      <formula>"Nok"</formula>
    </cfRule>
    <cfRule type="cellIs" dxfId="46" priority="4" operator="equal">
      <formula>"Ok"</formula>
    </cfRule>
  </conditionalFormatting>
  <conditionalFormatting sqref="P23">
    <cfRule type="cellIs" dxfId="45" priority="1" operator="equal">
      <formula>"Nok"</formula>
    </cfRule>
    <cfRule type="cellIs" dxfId="44" priority="2" operator="equal">
      <formula>"Ok"</formula>
    </cfRule>
  </conditionalFormatting>
  <dataValidations count="3">
    <dataValidation type="list" allowBlank="1" showInputMessage="1" showErrorMessage="1" sqref="B5" xr:uid="{3A3C226A-EA9C-41B4-A9B9-8221B14CFE84}">
      <formula1>"Nominal, Robustness, Endurance, Qualification"</formula1>
    </dataValidation>
    <dataValidation type="list" allowBlank="1" showInputMessage="1" showErrorMessage="1" sqref="B9" xr:uid="{79514B4A-7124-44D3-B477-0DEC69A51191}">
      <formula1>"Ok, Nok, Not run, NA"</formula1>
    </dataValidation>
    <dataValidation type="list" allowBlank="1" showInputMessage="1" showErrorMessage="1" sqref="P22:P30" xr:uid="{8D25E97D-250A-4F6E-A31E-C63873669B6D}">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5D58-93BA-413B-9F27-839491D0705B}">
  <sheetPr codeName="Sheet12"/>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01" t="s">
        <v>143</v>
      </c>
      <c r="C1" s="202"/>
      <c r="D1" s="202"/>
      <c r="E1" s="202"/>
      <c r="F1" s="202"/>
      <c r="G1" s="20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04" t="s">
        <v>147</v>
      </c>
      <c r="C3" s="205"/>
      <c r="D3" s="205"/>
      <c r="E3" s="205"/>
      <c r="F3" s="205"/>
      <c r="G3" s="20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130</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04" t="s">
        <v>144</v>
      </c>
      <c r="C7" s="205"/>
      <c r="D7" s="205"/>
      <c r="E7" s="205"/>
      <c r="F7" s="205"/>
      <c r="G7" s="20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5" t="s">
        <v>129</v>
      </c>
      <c r="C9" s="73"/>
      <c r="D9" s="74"/>
      <c r="E9" s="74"/>
      <c r="F9" s="74"/>
      <c r="G9" s="74"/>
      <c r="H9" s="74"/>
      <c r="I9" s="74"/>
      <c r="J9" s="74"/>
      <c r="K9" s="74"/>
      <c r="L9" s="74"/>
      <c r="M9" s="74"/>
      <c r="N9" s="74"/>
      <c r="O9" s="74"/>
    </row>
    <row r="10" spans="1:15" ht="13.8" thickBot="1" x14ac:dyDescent="0.3">
      <c r="A10" s="76"/>
      <c r="B10" s="96"/>
      <c r="C10" s="73"/>
      <c r="D10" s="74"/>
      <c r="E10" s="74"/>
      <c r="F10" s="74"/>
      <c r="G10" s="74"/>
      <c r="H10" s="74"/>
      <c r="I10" s="74"/>
      <c r="J10" s="74"/>
      <c r="K10" s="74"/>
      <c r="L10" s="74"/>
      <c r="M10" s="74"/>
      <c r="N10" s="74"/>
      <c r="O10" s="74"/>
    </row>
    <row r="11" spans="1:15" ht="12" customHeight="1" x14ac:dyDescent="0.25">
      <c r="A11" s="210" t="s">
        <v>109</v>
      </c>
      <c r="B11" s="215" t="s">
        <v>128</v>
      </c>
      <c r="C11" s="216"/>
      <c r="D11" s="216"/>
      <c r="E11" s="216"/>
      <c r="F11" s="216"/>
      <c r="G11" s="217"/>
      <c r="H11" s="74"/>
      <c r="I11" s="74"/>
      <c r="J11" s="74"/>
      <c r="K11" s="74"/>
      <c r="L11" s="74"/>
      <c r="M11" s="74"/>
      <c r="N11" s="74"/>
      <c r="O11" s="74"/>
    </row>
    <row r="12" spans="1:15" x14ac:dyDescent="0.25">
      <c r="A12" s="211"/>
      <c r="B12" s="218"/>
      <c r="C12" s="219"/>
      <c r="D12" s="219"/>
      <c r="E12" s="219"/>
      <c r="F12" s="219"/>
      <c r="G12" s="220"/>
      <c r="H12" s="74"/>
      <c r="I12" s="74"/>
      <c r="J12" s="74"/>
      <c r="K12" s="74"/>
      <c r="L12" s="74"/>
      <c r="M12" s="74"/>
      <c r="N12" s="74"/>
      <c r="O12" s="74"/>
    </row>
    <row r="13" spans="1:15" x14ac:dyDescent="0.25">
      <c r="A13" s="211"/>
      <c r="B13" s="218"/>
      <c r="C13" s="219"/>
      <c r="D13" s="219"/>
      <c r="E13" s="219"/>
      <c r="F13" s="219"/>
      <c r="G13" s="220"/>
      <c r="H13" s="72"/>
      <c r="I13" s="74"/>
      <c r="J13" s="74"/>
      <c r="K13" s="74"/>
      <c r="L13" s="74"/>
      <c r="M13" s="74"/>
      <c r="N13" s="74"/>
      <c r="O13" s="74"/>
    </row>
    <row r="14" spans="1:15" ht="13.8" thickBot="1" x14ac:dyDescent="0.3">
      <c r="A14" s="211"/>
      <c r="B14" s="221"/>
      <c r="C14" s="222"/>
      <c r="D14" s="222"/>
      <c r="E14" s="222"/>
      <c r="F14" s="222"/>
      <c r="G14" s="223"/>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0" t="s">
        <v>43</v>
      </c>
      <c r="B16" s="215" t="s">
        <v>131</v>
      </c>
      <c r="C16" s="216"/>
      <c r="D16" s="216"/>
      <c r="E16" s="216"/>
      <c r="F16" s="216"/>
      <c r="G16" s="217"/>
      <c r="H16" s="74"/>
      <c r="I16" s="74"/>
      <c r="J16" s="74"/>
      <c r="K16" s="74"/>
      <c r="L16" s="74"/>
      <c r="M16" s="74"/>
      <c r="N16" s="74"/>
      <c r="O16" s="74"/>
    </row>
    <row r="17" spans="1:16" x14ac:dyDescent="0.25">
      <c r="A17" s="211"/>
      <c r="B17" s="218"/>
      <c r="C17" s="219"/>
      <c r="D17" s="219"/>
      <c r="E17" s="219"/>
      <c r="F17" s="219"/>
      <c r="G17" s="220"/>
      <c r="H17" s="74"/>
      <c r="I17" s="74"/>
      <c r="J17" s="74"/>
      <c r="K17" s="74"/>
      <c r="L17" s="74"/>
      <c r="M17" s="74"/>
      <c r="N17" s="74"/>
      <c r="O17" s="74"/>
    </row>
    <row r="18" spans="1:16" x14ac:dyDescent="0.25">
      <c r="A18" s="211"/>
      <c r="B18" s="218"/>
      <c r="C18" s="219"/>
      <c r="D18" s="219"/>
      <c r="E18" s="219"/>
      <c r="F18" s="219"/>
      <c r="G18" s="220"/>
      <c r="H18" s="72"/>
      <c r="I18" s="74"/>
      <c r="J18" s="74"/>
      <c r="K18" s="74"/>
      <c r="L18" s="74"/>
      <c r="M18" s="74"/>
      <c r="N18" s="74"/>
      <c r="O18" s="74"/>
    </row>
    <row r="19" spans="1:16" ht="13.8" thickBot="1" x14ac:dyDescent="0.3">
      <c r="A19" s="211"/>
      <c r="B19" s="221"/>
      <c r="C19" s="222"/>
      <c r="D19" s="222"/>
      <c r="E19" s="222"/>
      <c r="F19" s="222"/>
      <c r="G19" s="223"/>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6" t="s">
        <v>47</v>
      </c>
      <c r="B21" s="197"/>
      <c r="C21" s="197"/>
      <c r="D21" s="197"/>
      <c r="E21" s="197"/>
      <c r="F21" s="197"/>
      <c r="G21" s="198"/>
      <c r="H21" s="196" t="s">
        <v>48</v>
      </c>
      <c r="I21" s="197"/>
      <c r="J21" s="197"/>
      <c r="K21" s="198"/>
      <c r="L21" s="196" t="s">
        <v>57</v>
      </c>
      <c r="M21" s="197"/>
      <c r="N21" s="197"/>
      <c r="O21" s="198"/>
      <c r="P21" s="102" t="s">
        <v>46</v>
      </c>
    </row>
    <row r="22" spans="1:16" ht="91.2" customHeight="1" x14ac:dyDescent="0.25">
      <c r="A22" s="103" t="s">
        <v>49</v>
      </c>
      <c r="B22" s="228" t="s">
        <v>159</v>
      </c>
      <c r="C22" s="229"/>
      <c r="D22" s="229"/>
      <c r="E22" s="229"/>
      <c r="F22" s="229"/>
      <c r="G22" s="230"/>
      <c r="H22" s="108"/>
      <c r="I22" s="109"/>
      <c r="J22" s="109"/>
      <c r="K22" s="110"/>
      <c r="L22" s="108"/>
      <c r="M22" s="109"/>
      <c r="N22" s="109"/>
      <c r="O22" s="110"/>
      <c r="P22" s="97"/>
    </row>
    <row r="23" spans="1:16" ht="41.7" customHeight="1" x14ac:dyDescent="0.25">
      <c r="A23" s="103" t="s">
        <v>50</v>
      </c>
      <c r="B23" s="228" t="s">
        <v>158</v>
      </c>
      <c r="C23" s="229"/>
      <c r="D23" s="229"/>
      <c r="E23" s="229"/>
      <c r="F23" s="229"/>
      <c r="G23" s="230"/>
      <c r="H23" s="199" t="s">
        <v>160</v>
      </c>
      <c r="I23" s="199"/>
      <c r="J23" s="199"/>
      <c r="K23" s="199"/>
      <c r="L23" s="199" t="s">
        <v>161</v>
      </c>
      <c r="M23" s="199"/>
      <c r="N23" s="199"/>
      <c r="O23" s="199"/>
      <c r="P23" s="97" t="s">
        <v>129</v>
      </c>
    </row>
    <row r="24" spans="1:16" ht="39.450000000000003" customHeight="1" x14ac:dyDescent="0.25">
      <c r="A24" s="103" t="s">
        <v>51</v>
      </c>
      <c r="B24" s="207"/>
      <c r="C24" s="208"/>
      <c r="D24" s="208"/>
      <c r="E24" s="208"/>
      <c r="F24" s="208"/>
      <c r="G24" s="209"/>
      <c r="H24" s="207"/>
      <c r="I24" s="208"/>
      <c r="J24" s="208"/>
      <c r="K24" s="209"/>
      <c r="L24" s="207"/>
      <c r="M24" s="208"/>
      <c r="N24" s="208"/>
      <c r="O24" s="209"/>
      <c r="P24" s="97"/>
    </row>
    <row r="25" spans="1:16" ht="39" customHeight="1" x14ac:dyDescent="0.25">
      <c r="A25" s="103" t="s">
        <v>52</v>
      </c>
      <c r="B25" s="231"/>
      <c r="C25" s="232"/>
      <c r="D25" s="232"/>
      <c r="E25" s="232"/>
      <c r="F25" s="232"/>
      <c r="G25" s="233"/>
      <c r="H25" s="207"/>
      <c r="I25" s="208"/>
      <c r="J25" s="208"/>
      <c r="K25" s="209"/>
      <c r="L25" s="207"/>
      <c r="M25" s="208"/>
      <c r="N25" s="208"/>
      <c r="O25" s="209"/>
      <c r="P25" s="97"/>
    </row>
    <row r="26" spans="1:16" ht="39" customHeight="1" x14ac:dyDescent="0.25">
      <c r="A26" s="103" t="s">
        <v>53</v>
      </c>
      <c r="B26" s="231"/>
      <c r="C26" s="232"/>
      <c r="D26" s="232"/>
      <c r="E26" s="232"/>
      <c r="F26" s="232"/>
      <c r="G26" s="233"/>
      <c r="H26" s="207"/>
      <c r="I26" s="208"/>
      <c r="J26" s="208"/>
      <c r="K26" s="209"/>
      <c r="L26" s="207"/>
      <c r="M26" s="208"/>
      <c r="N26" s="208"/>
      <c r="O26" s="209"/>
      <c r="P26" s="97"/>
    </row>
    <row r="27" spans="1:16" ht="42.45" customHeight="1" x14ac:dyDescent="0.25">
      <c r="A27" s="103" t="s">
        <v>54</v>
      </c>
      <c r="B27" s="231"/>
      <c r="C27" s="232"/>
      <c r="D27" s="232"/>
      <c r="E27" s="232"/>
      <c r="F27" s="232"/>
      <c r="G27" s="233"/>
      <c r="H27" s="207"/>
      <c r="I27" s="208"/>
      <c r="J27" s="208"/>
      <c r="K27" s="209"/>
      <c r="L27" s="207"/>
      <c r="M27" s="208"/>
      <c r="N27" s="208"/>
      <c r="O27" s="209"/>
      <c r="P27" s="97"/>
    </row>
    <row r="28" spans="1:16" ht="26.7" customHeight="1" x14ac:dyDescent="0.25">
      <c r="A28" s="103"/>
      <c r="B28" s="231"/>
      <c r="C28" s="232"/>
      <c r="D28" s="232"/>
      <c r="E28" s="232"/>
      <c r="F28" s="232"/>
      <c r="G28" s="233"/>
      <c r="H28" s="200"/>
      <c r="I28" s="200"/>
      <c r="J28" s="200"/>
      <c r="K28" s="200"/>
      <c r="L28" s="200"/>
      <c r="M28" s="200"/>
      <c r="N28" s="200"/>
      <c r="O28" s="200"/>
      <c r="P28" s="97"/>
    </row>
    <row r="29" spans="1:16" x14ac:dyDescent="0.25">
      <c r="A29" s="103"/>
      <c r="B29" s="207"/>
      <c r="C29" s="208"/>
      <c r="D29" s="208"/>
      <c r="E29" s="208"/>
      <c r="F29" s="208"/>
      <c r="G29" s="209"/>
      <c r="H29" s="200"/>
      <c r="I29" s="200"/>
      <c r="J29" s="200"/>
      <c r="K29" s="200"/>
      <c r="L29" s="200"/>
      <c r="M29" s="200"/>
      <c r="N29" s="200"/>
      <c r="O29" s="200"/>
      <c r="P29" s="97"/>
    </row>
    <row r="30" spans="1:16" ht="13.8" thickBot="1" x14ac:dyDescent="0.3">
      <c r="A30" s="104"/>
      <c r="B30" s="224"/>
      <c r="C30" s="225"/>
      <c r="D30" s="225"/>
      <c r="E30" s="225"/>
      <c r="F30" s="225"/>
      <c r="G30" s="226"/>
      <c r="H30" s="227"/>
      <c r="I30" s="227"/>
      <c r="J30" s="227"/>
      <c r="K30" s="227"/>
      <c r="L30" s="227"/>
      <c r="M30" s="227"/>
      <c r="N30" s="227"/>
      <c r="O30" s="227"/>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28:G28"/>
    <mergeCell ref="H28:K28"/>
    <mergeCell ref="L28:O28"/>
    <mergeCell ref="L27:O27"/>
    <mergeCell ref="H27:K27"/>
    <mergeCell ref="B27:G27"/>
    <mergeCell ref="B30:G30"/>
    <mergeCell ref="H30:K30"/>
    <mergeCell ref="L30:O30"/>
    <mergeCell ref="B29:G29"/>
    <mergeCell ref="H29:K29"/>
    <mergeCell ref="L29:O29"/>
    <mergeCell ref="B25:G25"/>
    <mergeCell ref="H25:K25"/>
    <mergeCell ref="L25:O25"/>
    <mergeCell ref="B26:G26"/>
    <mergeCell ref="H26:K26"/>
    <mergeCell ref="L26:O26"/>
    <mergeCell ref="B22:G22"/>
    <mergeCell ref="H23:K23"/>
    <mergeCell ref="L23:O23"/>
    <mergeCell ref="B24:G24"/>
    <mergeCell ref="H24:K24"/>
    <mergeCell ref="L24:O24"/>
    <mergeCell ref="B23:G23"/>
    <mergeCell ref="A21:G21"/>
    <mergeCell ref="H21:K21"/>
    <mergeCell ref="L21:O21"/>
    <mergeCell ref="A16:A19"/>
    <mergeCell ref="B16:G19"/>
    <mergeCell ref="B1:G1"/>
    <mergeCell ref="B3:G3"/>
    <mergeCell ref="B7:G7"/>
    <mergeCell ref="A11:A14"/>
    <mergeCell ref="B11:G14"/>
  </mergeCells>
  <conditionalFormatting sqref="B9:B10">
    <cfRule type="cellIs" dxfId="43" priority="19" operator="equal">
      <formula>"Nok"</formula>
    </cfRule>
    <cfRule type="cellIs" dxfId="42" priority="20" operator="equal">
      <formula>"Ok"</formula>
    </cfRule>
  </conditionalFormatting>
  <conditionalFormatting sqref="P29:P30">
    <cfRule type="cellIs" dxfId="41" priority="17" operator="equal">
      <formula>"Nok"</formula>
    </cfRule>
    <cfRule type="cellIs" dxfId="40" priority="18" operator="equal">
      <formula>"Ok"</formula>
    </cfRule>
  </conditionalFormatting>
  <conditionalFormatting sqref="P28">
    <cfRule type="cellIs" dxfId="39" priority="15" operator="equal">
      <formula>"Nok"</formula>
    </cfRule>
    <cfRule type="cellIs" dxfId="38" priority="16" operator="equal">
      <formula>"Ok"</formula>
    </cfRule>
  </conditionalFormatting>
  <conditionalFormatting sqref="P22">
    <cfRule type="cellIs" dxfId="37" priority="5" operator="equal">
      <formula>"Nok"</formula>
    </cfRule>
    <cfRule type="cellIs" dxfId="36" priority="6" operator="equal">
      <formula>"Ok"</formula>
    </cfRule>
  </conditionalFormatting>
  <conditionalFormatting sqref="P24:P27">
    <cfRule type="cellIs" dxfId="35" priority="3" operator="equal">
      <formula>"Nok"</formula>
    </cfRule>
    <cfRule type="cellIs" dxfId="34" priority="4" operator="equal">
      <formula>"Ok"</formula>
    </cfRule>
  </conditionalFormatting>
  <conditionalFormatting sqref="P23">
    <cfRule type="cellIs" dxfId="33" priority="1" operator="equal">
      <formula>"Nok"</formula>
    </cfRule>
    <cfRule type="cellIs" dxfId="32" priority="2" operator="equal">
      <formula>"Ok"</formula>
    </cfRule>
  </conditionalFormatting>
  <dataValidations count="3">
    <dataValidation type="list" allowBlank="1" showInputMessage="1" showErrorMessage="1" sqref="B9" xr:uid="{2788F234-6FFF-439C-963D-EB3793585000}">
      <formula1>"Ok, Nok, Not run, NA"</formula1>
    </dataValidation>
    <dataValidation type="list" allowBlank="1" showInputMessage="1" showErrorMessage="1" sqref="B5" xr:uid="{3F341500-6ABF-4B48-B0CF-6CBB59B99875}">
      <formula1>"Nominal, Robustness, Endurance, Qualification"</formula1>
    </dataValidation>
    <dataValidation type="list" allowBlank="1" showInputMessage="1" showErrorMessage="1" sqref="P22:P30" xr:uid="{58CF8AB5-B7E0-44CB-B046-9946A651B11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83927-3F69-42AD-B1C8-5CE470149887}">
  <sheetPr codeName="Sheet13"/>
  <dimension ref="A1:P32"/>
  <sheetViews>
    <sheetView topLeftCell="A7" workbookViewId="0"/>
  </sheetViews>
  <sheetFormatPr defaultColWidth="9.33203125" defaultRowHeight="13.2" x14ac:dyDescent="0.25"/>
  <cols>
    <col min="1" max="1" width="20.33203125" style="99" customWidth="1"/>
    <col min="2" max="2" width="18.44140625" style="95" customWidth="1"/>
    <col min="3" max="6" width="9.33203125" style="95"/>
    <col min="7" max="7" width="12" style="95" customWidth="1"/>
    <col min="8" max="15" width="9.5546875" style="95" customWidth="1"/>
    <col min="16" max="16384" width="9.33203125" style="95"/>
  </cols>
  <sheetData>
    <row r="1" spans="1:15" ht="13.8" thickBot="1" x14ac:dyDescent="0.3">
      <c r="A1" s="100" t="s">
        <v>40</v>
      </c>
      <c r="B1" s="201" t="s">
        <v>148</v>
      </c>
      <c r="C1" s="237"/>
      <c r="D1" s="237"/>
      <c r="E1" s="237"/>
      <c r="F1" s="237"/>
      <c r="G1" s="238"/>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04" t="s">
        <v>153</v>
      </c>
      <c r="C3" s="205"/>
      <c r="D3" s="205"/>
      <c r="E3" s="205"/>
      <c r="F3" s="205"/>
      <c r="G3" s="20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130</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04" t="s">
        <v>148</v>
      </c>
      <c r="C7" s="205"/>
      <c r="D7" s="205"/>
      <c r="E7" s="205"/>
      <c r="F7" s="205"/>
      <c r="G7" s="20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5" t="s">
        <v>129</v>
      </c>
      <c r="C9" s="73"/>
      <c r="D9" s="74"/>
      <c r="E9" s="74"/>
      <c r="F9" s="74"/>
      <c r="G9" s="74"/>
      <c r="H9" s="74"/>
      <c r="I9" s="74"/>
      <c r="J9" s="74"/>
      <c r="K9" s="74"/>
      <c r="L9" s="74"/>
      <c r="M9" s="74"/>
      <c r="N9" s="74"/>
      <c r="O9" s="74"/>
    </row>
    <row r="10" spans="1:15" ht="13.8" thickBot="1" x14ac:dyDescent="0.3">
      <c r="A10" s="76"/>
      <c r="B10" s="96"/>
      <c r="C10" s="73"/>
      <c r="D10" s="74"/>
      <c r="E10" s="74"/>
      <c r="F10" s="74"/>
      <c r="G10" s="74"/>
      <c r="H10" s="74"/>
      <c r="I10" s="74"/>
      <c r="J10" s="74"/>
      <c r="K10" s="74"/>
      <c r="L10" s="74"/>
      <c r="M10" s="74"/>
      <c r="N10" s="74"/>
      <c r="O10" s="74"/>
    </row>
    <row r="11" spans="1:15" ht="12" customHeight="1" x14ac:dyDescent="0.25">
      <c r="A11" s="210" t="s">
        <v>109</v>
      </c>
      <c r="B11" s="215" t="s">
        <v>128</v>
      </c>
      <c r="C11" s="216"/>
      <c r="D11" s="216"/>
      <c r="E11" s="216"/>
      <c r="F11" s="216"/>
      <c r="G11" s="217"/>
      <c r="H11" s="74"/>
      <c r="I11" s="74"/>
      <c r="J11" s="74"/>
      <c r="K11" s="74"/>
      <c r="L11" s="74"/>
      <c r="M11" s="74"/>
      <c r="N11" s="74"/>
      <c r="O11" s="74"/>
    </row>
    <row r="12" spans="1:15" x14ac:dyDescent="0.25">
      <c r="A12" s="211"/>
      <c r="B12" s="218"/>
      <c r="C12" s="219"/>
      <c r="D12" s="219"/>
      <c r="E12" s="219"/>
      <c r="F12" s="219"/>
      <c r="G12" s="220"/>
      <c r="H12" s="74"/>
      <c r="I12" s="74"/>
      <c r="J12" s="74"/>
      <c r="K12" s="74"/>
      <c r="L12" s="74"/>
      <c r="M12" s="74"/>
      <c r="N12" s="74"/>
      <c r="O12" s="74"/>
    </row>
    <row r="13" spans="1:15" x14ac:dyDescent="0.25">
      <c r="A13" s="211"/>
      <c r="B13" s="218"/>
      <c r="C13" s="219"/>
      <c r="D13" s="219"/>
      <c r="E13" s="219"/>
      <c r="F13" s="219"/>
      <c r="G13" s="220"/>
      <c r="H13" s="72"/>
      <c r="I13" s="74"/>
      <c r="J13" s="74"/>
      <c r="K13" s="74"/>
      <c r="L13" s="74"/>
      <c r="M13" s="74"/>
      <c r="N13" s="74"/>
      <c r="O13" s="74"/>
    </row>
    <row r="14" spans="1:15" ht="13.8" thickBot="1" x14ac:dyDescent="0.3">
      <c r="A14" s="211"/>
      <c r="B14" s="221"/>
      <c r="C14" s="222"/>
      <c r="D14" s="222"/>
      <c r="E14" s="222"/>
      <c r="F14" s="222"/>
      <c r="G14" s="223"/>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10" t="s">
        <v>43</v>
      </c>
      <c r="B16" s="215" t="s">
        <v>131</v>
      </c>
      <c r="C16" s="216"/>
      <c r="D16" s="216"/>
      <c r="E16" s="216"/>
      <c r="F16" s="216"/>
      <c r="G16" s="217"/>
      <c r="H16" s="74"/>
      <c r="I16" s="74"/>
      <c r="J16" s="74"/>
      <c r="K16" s="74"/>
      <c r="L16" s="74"/>
      <c r="M16" s="74"/>
      <c r="N16" s="74"/>
      <c r="O16" s="74"/>
    </row>
    <row r="17" spans="1:16" ht="13.2" customHeight="1" x14ac:dyDescent="0.25">
      <c r="A17" s="211"/>
      <c r="B17" s="218"/>
      <c r="C17" s="219"/>
      <c r="D17" s="219"/>
      <c r="E17" s="219"/>
      <c r="F17" s="219"/>
      <c r="G17" s="220"/>
      <c r="H17" s="74"/>
      <c r="I17" s="74"/>
      <c r="J17" s="74"/>
      <c r="K17" s="74"/>
      <c r="L17" s="74"/>
      <c r="M17" s="74"/>
      <c r="N17" s="74"/>
      <c r="O17" s="74"/>
    </row>
    <row r="18" spans="1:16" x14ac:dyDescent="0.25">
      <c r="A18" s="211"/>
      <c r="B18" s="218"/>
      <c r="C18" s="219"/>
      <c r="D18" s="219"/>
      <c r="E18" s="219"/>
      <c r="F18" s="219"/>
      <c r="G18" s="220"/>
      <c r="H18" s="72"/>
      <c r="I18" s="74"/>
      <c r="J18" s="74"/>
      <c r="K18" s="74"/>
      <c r="L18" s="74"/>
      <c r="M18" s="74"/>
      <c r="N18" s="74"/>
      <c r="O18" s="74"/>
    </row>
    <row r="19" spans="1:16" ht="13.8" thickBot="1" x14ac:dyDescent="0.3">
      <c r="A19" s="211"/>
      <c r="B19" s="221"/>
      <c r="C19" s="222"/>
      <c r="D19" s="222"/>
      <c r="E19" s="222"/>
      <c r="F19" s="222"/>
      <c r="G19" s="223"/>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6" t="s">
        <v>47</v>
      </c>
      <c r="B21" s="197"/>
      <c r="C21" s="197"/>
      <c r="D21" s="197"/>
      <c r="E21" s="197"/>
      <c r="F21" s="197"/>
      <c r="G21" s="198"/>
      <c r="H21" s="196" t="s">
        <v>48</v>
      </c>
      <c r="I21" s="197"/>
      <c r="J21" s="197"/>
      <c r="K21" s="198"/>
      <c r="L21" s="196" t="s">
        <v>57</v>
      </c>
      <c r="M21" s="197"/>
      <c r="N21" s="197"/>
      <c r="O21" s="198"/>
      <c r="P21" s="102" t="s">
        <v>46</v>
      </c>
    </row>
    <row r="22" spans="1:16" ht="70.95" customHeight="1" x14ac:dyDescent="0.25">
      <c r="A22" s="103" t="s">
        <v>49</v>
      </c>
      <c r="B22" s="207" t="s">
        <v>170</v>
      </c>
      <c r="C22" s="208"/>
      <c r="D22" s="208"/>
      <c r="E22" s="208"/>
      <c r="F22" s="208"/>
      <c r="G22" s="209"/>
      <c r="H22" s="207"/>
      <c r="I22" s="208"/>
      <c r="J22" s="208"/>
      <c r="K22" s="209"/>
      <c r="L22" s="207"/>
      <c r="M22" s="208"/>
      <c r="N22" s="208"/>
      <c r="O22" s="209"/>
      <c r="P22" s="97"/>
    </row>
    <row r="23" spans="1:16" ht="20.25" customHeight="1" x14ac:dyDescent="0.25">
      <c r="A23" s="103" t="s">
        <v>50</v>
      </c>
      <c r="B23" s="234" t="s">
        <v>182</v>
      </c>
      <c r="C23" s="235"/>
      <c r="D23" s="235"/>
      <c r="E23" s="235"/>
      <c r="F23" s="235"/>
      <c r="G23" s="236"/>
      <c r="H23" s="200"/>
      <c r="I23" s="200"/>
      <c r="J23" s="200"/>
      <c r="K23" s="200"/>
      <c r="L23" s="200"/>
      <c r="M23" s="200"/>
      <c r="N23" s="200"/>
      <c r="O23" s="200"/>
      <c r="P23" s="97"/>
    </row>
    <row r="24" spans="1:16" ht="54.75" customHeight="1" x14ac:dyDescent="0.25">
      <c r="A24" s="103" t="s">
        <v>51</v>
      </c>
      <c r="B24" s="207" t="s">
        <v>166</v>
      </c>
      <c r="C24" s="208"/>
      <c r="D24" s="208"/>
      <c r="E24" s="208"/>
      <c r="F24" s="208"/>
      <c r="G24" s="209"/>
      <c r="H24" s="111"/>
      <c r="I24" s="112"/>
      <c r="J24" s="112"/>
      <c r="K24" s="113"/>
      <c r="O24" s="113"/>
      <c r="P24" s="97"/>
    </row>
    <row r="25" spans="1:16" ht="83.25" customHeight="1" x14ac:dyDescent="0.25">
      <c r="A25" s="103" t="s">
        <v>52</v>
      </c>
      <c r="B25" s="207" t="s">
        <v>175</v>
      </c>
      <c r="C25" s="208"/>
      <c r="D25" s="208"/>
      <c r="E25" s="208"/>
      <c r="F25" s="208"/>
      <c r="G25" s="209"/>
      <c r="H25" s="207" t="s">
        <v>176</v>
      </c>
      <c r="I25" s="208"/>
      <c r="J25" s="208"/>
      <c r="K25" s="209"/>
      <c r="L25" s="207" t="s">
        <v>176</v>
      </c>
      <c r="M25" s="208"/>
      <c r="N25" s="208"/>
      <c r="O25" s="209"/>
      <c r="P25" s="97" t="s">
        <v>129</v>
      </c>
    </row>
    <row r="26" spans="1:16" ht="26.25" customHeight="1" x14ac:dyDescent="0.25">
      <c r="A26" s="103" t="s">
        <v>53</v>
      </c>
      <c r="B26" s="231" t="s">
        <v>177</v>
      </c>
      <c r="C26" s="232"/>
      <c r="D26" s="232"/>
      <c r="E26" s="232"/>
      <c r="F26" s="232"/>
      <c r="G26" s="233"/>
      <c r="H26" s="207"/>
      <c r="I26" s="208"/>
      <c r="J26" s="208"/>
      <c r="K26" s="209"/>
      <c r="L26" s="207"/>
      <c r="M26" s="208"/>
      <c r="N26" s="208"/>
      <c r="O26" s="209"/>
      <c r="P26" s="97"/>
    </row>
    <row r="27" spans="1:16" ht="23.25" customHeight="1" x14ac:dyDescent="0.25">
      <c r="A27" s="103" t="s">
        <v>54</v>
      </c>
      <c r="B27" s="207" t="s">
        <v>178</v>
      </c>
      <c r="C27" s="208"/>
      <c r="D27" s="208"/>
      <c r="E27" s="208"/>
      <c r="F27" s="208"/>
      <c r="G27" s="209"/>
      <c r="H27" s="207" t="s">
        <v>179</v>
      </c>
      <c r="I27" s="208"/>
      <c r="J27" s="208"/>
      <c r="K27" s="209"/>
      <c r="L27" s="207" t="s">
        <v>179</v>
      </c>
      <c r="M27" s="208"/>
      <c r="N27" s="208"/>
      <c r="O27" s="209"/>
      <c r="P27" s="97" t="s">
        <v>129</v>
      </c>
    </row>
    <row r="28" spans="1:16" ht="13.2" customHeight="1" x14ac:dyDescent="0.25">
      <c r="A28" s="103"/>
      <c r="B28" s="207"/>
      <c r="C28" s="208"/>
      <c r="D28" s="208"/>
      <c r="E28" s="208"/>
      <c r="F28" s="208"/>
      <c r="G28" s="209"/>
      <c r="H28" s="207"/>
      <c r="I28" s="208"/>
      <c r="J28" s="208"/>
      <c r="K28" s="209"/>
      <c r="L28" s="207"/>
      <c r="M28" s="208"/>
      <c r="N28" s="208"/>
      <c r="O28" s="209"/>
      <c r="P28" s="97"/>
    </row>
    <row r="29" spans="1:16" ht="13.2" customHeight="1" x14ac:dyDescent="0.25">
      <c r="A29" s="103"/>
      <c r="B29" s="207"/>
      <c r="C29" s="208"/>
      <c r="D29" s="208"/>
      <c r="E29" s="208"/>
      <c r="F29" s="208"/>
      <c r="G29" s="209"/>
      <c r="H29" s="207"/>
      <c r="I29" s="208"/>
      <c r="J29" s="208"/>
      <c r="K29" s="209"/>
      <c r="L29" s="207"/>
      <c r="M29" s="208"/>
      <c r="N29" s="208"/>
      <c r="O29" s="209"/>
      <c r="P29" s="97"/>
    </row>
    <row r="30" spans="1:16" ht="13.2" customHeight="1" thickBot="1" x14ac:dyDescent="0.3">
      <c r="A30" s="104"/>
      <c r="B30" s="224"/>
      <c r="C30" s="225"/>
      <c r="D30" s="225"/>
      <c r="E30" s="225"/>
      <c r="F30" s="225"/>
      <c r="G30" s="226"/>
      <c r="H30" s="224"/>
      <c r="I30" s="225"/>
      <c r="J30" s="225"/>
      <c r="K30" s="226"/>
      <c r="L30" s="224"/>
      <c r="M30" s="225"/>
      <c r="N30" s="225"/>
      <c r="O30" s="226"/>
      <c r="P30" s="98"/>
    </row>
    <row r="31" spans="1:16" ht="13.2" customHeight="1" x14ac:dyDescent="0.25">
      <c r="B31" s="99"/>
      <c r="C31" s="99"/>
      <c r="D31" s="99"/>
      <c r="E31" s="99"/>
      <c r="F31" s="99"/>
      <c r="G31" s="99"/>
      <c r="H31" s="99"/>
    </row>
    <row r="32" spans="1:16" ht="13.2" customHeight="1" x14ac:dyDescent="0.25">
      <c r="B32" s="99"/>
      <c r="C32" s="99"/>
      <c r="D32" s="99"/>
      <c r="E32" s="99"/>
      <c r="F32" s="99"/>
      <c r="G32" s="99"/>
      <c r="H32" s="99"/>
    </row>
  </sheetData>
  <mergeCells count="35">
    <mergeCell ref="B26:G26"/>
    <mergeCell ref="H26:K26"/>
    <mergeCell ref="L26:O26"/>
    <mergeCell ref="B30:G30"/>
    <mergeCell ref="H30:K30"/>
    <mergeCell ref="L30:O30"/>
    <mergeCell ref="B27:G27"/>
    <mergeCell ref="H27:K27"/>
    <mergeCell ref="L27:O27"/>
    <mergeCell ref="B28:G28"/>
    <mergeCell ref="H28:K28"/>
    <mergeCell ref="L28:O28"/>
    <mergeCell ref="B29:G29"/>
    <mergeCell ref="H29:K29"/>
    <mergeCell ref="L29:O29"/>
    <mergeCell ref="A11:A14"/>
    <mergeCell ref="B11:G14"/>
    <mergeCell ref="A21:G21"/>
    <mergeCell ref="H21:K21"/>
    <mergeCell ref="L21:O21"/>
    <mergeCell ref="A16:A19"/>
    <mergeCell ref="B16:G19"/>
    <mergeCell ref="L25:O25"/>
    <mergeCell ref="H25:K25"/>
    <mergeCell ref="B25:G25"/>
    <mergeCell ref="B23:G23"/>
    <mergeCell ref="B1:G1"/>
    <mergeCell ref="B3:G3"/>
    <mergeCell ref="B7:G7"/>
    <mergeCell ref="B22:G22"/>
    <mergeCell ref="H22:K22"/>
    <mergeCell ref="L22:O22"/>
    <mergeCell ref="B24:G24"/>
    <mergeCell ref="H23:K23"/>
    <mergeCell ref="L23:O23"/>
  </mergeCells>
  <conditionalFormatting sqref="B9:B10">
    <cfRule type="cellIs" dxfId="31" priority="13" operator="equal">
      <formula>"Nok"</formula>
    </cfRule>
    <cfRule type="cellIs" dxfId="30" priority="14" operator="equal">
      <formula>"Ok"</formula>
    </cfRule>
  </conditionalFormatting>
  <conditionalFormatting sqref="P26:P30">
    <cfRule type="cellIs" dxfId="29" priority="11" operator="equal">
      <formula>"Nok"</formula>
    </cfRule>
    <cfRule type="cellIs" dxfId="28" priority="12" operator="equal">
      <formula>"Ok"</formula>
    </cfRule>
  </conditionalFormatting>
  <conditionalFormatting sqref="P22:P23 P25">
    <cfRule type="cellIs" dxfId="27" priority="3" operator="equal">
      <formula>"Nok"</formula>
    </cfRule>
    <cfRule type="cellIs" dxfId="26" priority="4" operator="equal">
      <formula>"Ok"</formula>
    </cfRule>
  </conditionalFormatting>
  <conditionalFormatting sqref="P24">
    <cfRule type="cellIs" dxfId="25" priority="1" operator="equal">
      <formula>"Nok"</formula>
    </cfRule>
    <cfRule type="cellIs" dxfId="24" priority="2" operator="equal">
      <formula>"Ok"</formula>
    </cfRule>
  </conditionalFormatting>
  <dataValidations count="3">
    <dataValidation type="list" allowBlank="1" showInputMessage="1" showErrorMessage="1" sqref="B5" xr:uid="{50247EC4-B133-4102-AFF5-0C6878F537FB}">
      <formula1>"Nominal, Robustness, Endurance, Qualification"</formula1>
    </dataValidation>
    <dataValidation type="list" allowBlank="1" showInputMessage="1" showErrorMessage="1" sqref="B9" xr:uid="{6BC5609D-7A46-4B37-88DE-7001C937A95E}">
      <formula1>"Ok, Nok, Not run, NA"</formula1>
    </dataValidation>
    <dataValidation type="list" allowBlank="1" showInputMessage="1" showErrorMessage="1" sqref="P22:P30" xr:uid="{0D43A695-4655-4FE5-BFF4-99DA0F2BBE9E}">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2F99B-5BD3-48D3-9C40-E07CFB3C1219}">
  <sheetPr codeName="Sheet14"/>
  <dimension ref="A1:P32"/>
  <sheetViews>
    <sheetView topLeftCell="A7"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01" t="s">
        <v>149</v>
      </c>
      <c r="C1" s="202"/>
      <c r="D1" s="202"/>
      <c r="E1" s="202"/>
      <c r="F1" s="202"/>
      <c r="G1" s="20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04" t="s">
        <v>152</v>
      </c>
      <c r="C3" s="205"/>
      <c r="D3" s="205"/>
      <c r="E3" s="205"/>
      <c r="F3" s="205"/>
      <c r="G3" s="20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130</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04" t="s">
        <v>149</v>
      </c>
      <c r="C7" s="205"/>
      <c r="D7" s="205"/>
      <c r="E7" s="205"/>
      <c r="F7" s="205"/>
      <c r="G7" s="20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5" t="s">
        <v>129</v>
      </c>
      <c r="C9" s="73"/>
      <c r="D9" s="74"/>
      <c r="E9" s="74"/>
      <c r="F9" s="74"/>
      <c r="G9" s="74"/>
      <c r="H9" s="74"/>
      <c r="I9" s="74"/>
      <c r="J9" s="74"/>
      <c r="K9" s="74"/>
      <c r="L9" s="74"/>
      <c r="M9" s="74"/>
      <c r="N9" s="74"/>
      <c r="O9" s="74"/>
    </row>
    <row r="10" spans="1:15" ht="13.8" thickBot="1" x14ac:dyDescent="0.3">
      <c r="A10" s="76"/>
      <c r="B10" s="96"/>
      <c r="C10" s="73"/>
      <c r="D10" s="74"/>
      <c r="E10" s="74"/>
      <c r="F10" s="74"/>
      <c r="G10" s="74"/>
      <c r="H10" s="74"/>
      <c r="I10" s="74"/>
      <c r="J10" s="74"/>
      <c r="K10" s="74"/>
      <c r="L10" s="74"/>
      <c r="M10" s="74"/>
      <c r="N10" s="74"/>
      <c r="O10" s="74"/>
    </row>
    <row r="11" spans="1:15" ht="12" customHeight="1" x14ac:dyDescent="0.25">
      <c r="A11" s="210" t="s">
        <v>109</v>
      </c>
      <c r="B11" s="215" t="s">
        <v>128</v>
      </c>
      <c r="C11" s="216"/>
      <c r="D11" s="216"/>
      <c r="E11" s="216"/>
      <c r="F11" s="216"/>
      <c r="G11" s="217"/>
      <c r="H11" s="74"/>
      <c r="I11" s="74"/>
      <c r="J11" s="74"/>
      <c r="K11" s="74"/>
      <c r="L11" s="74"/>
      <c r="M11" s="74"/>
      <c r="N11" s="74"/>
      <c r="O11" s="74"/>
    </row>
    <row r="12" spans="1:15" x14ac:dyDescent="0.25">
      <c r="A12" s="211"/>
      <c r="B12" s="218"/>
      <c r="C12" s="219"/>
      <c r="D12" s="219"/>
      <c r="E12" s="219"/>
      <c r="F12" s="219"/>
      <c r="G12" s="220"/>
      <c r="H12" s="74"/>
      <c r="I12" s="74"/>
      <c r="J12" s="74"/>
      <c r="K12" s="74"/>
      <c r="L12" s="74"/>
      <c r="M12" s="74"/>
      <c r="N12" s="74"/>
      <c r="O12" s="74"/>
    </row>
    <row r="13" spans="1:15" x14ac:dyDescent="0.25">
      <c r="A13" s="211"/>
      <c r="B13" s="218"/>
      <c r="C13" s="219"/>
      <c r="D13" s="219"/>
      <c r="E13" s="219"/>
      <c r="F13" s="219"/>
      <c r="G13" s="220"/>
      <c r="H13" s="72"/>
      <c r="I13" s="74"/>
      <c r="J13" s="74"/>
      <c r="K13" s="74"/>
      <c r="L13" s="74"/>
      <c r="M13" s="74"/>
      <c r="N13" s="74"/>
      <c r="O13" s="74"/>
    </row>
    <row r="14" spans="1:15" ht="13.8" thickBot="1" x14ac:dyDescent="0.3">
      <c r="A14" s="211"/>
      <c r="B14" s="221"/>
      <c r="C14" s="222"/>
      <c r="D14" s="222"/>
      <c r="E14" s="222"/>
      <c r="F14" s="222"/>
      <c r="G14" s="223"/>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0" t="s">
        <v>43</v>
      </c>
      <c r="B16" s="215" t="s">
        <v>131</v>
      </c>
      <c r="C16" s="216"/>
      <c r="D16" s="216"/>
      <c r="E16" s="216"/>
      <c r="F16" s="216"/>
      <c r="G16" s="217"/>
      <c r="H16" s="74"/>
      <c r="I16" s="74"/>
      <c r="J16" s="74"/>
      <c r="K16" s="74"/>
      <c r="L16" s="74"/>
      <c r="M16" s="74"/>
      <c r="N16" s="74"/>
      <c r="O16" s="74"/>
    </row>
    <row r="17" spans="1:16" x14ac:dyDescent="0.25">
      <c r="A17" s="211"/>
      <c r="B17" s="218"/>
      <c r="C17" s="219"/>
      <c r="D17" s="219"/>
      <c r="E17" s="219"/>
      <c r="F17" s="219"/>
      <c r="G17" s="220"/>
      <c r="H17" s="74"/>
      <c r="I17" s="74"/>
      <c r="J17" s="74"/>
      <c r="K17" s="74"/>
      <c r="L17" s="74"/>
      <c r="M17" s="74"/>
      <c r="N17" s="74"/>
      <c r="O17" s="74"/>
    </row>
    <row r="18" spans="1:16" x14ac:dyDescent="0.25">
      <c r="A18" s="211"/>
      <c r="B18" s="218"/>
      <c r="C18" s="219"/>
      <c r="D18" s="219"/>
      <c r="E18" s="219"/>
      <c r="F18" s="219"/>
      <c r="G18" s="220"/>
      <c r="H18" s="72"/>
      <c r="I18" s="74"/>
      <c r="J18" s="74"/>
      <c r="K18" s="74"/>
      <c r="L18" s="74"/>
      <c r="M18" s="74"/>
      <c r="N18" s="74"/>
      <c r="O18" s="74"/>
    </row>
    <row r="19" spans="1:16" ht="13.8" thickBot="1" x14ac:dyDescent="0.3">
      <c r="A19" s="211"/>
      <c r="B19" s="221"/>
      <c r="C19" s="222"/>
      <c r="D19" s="222"/>
      <c r="E19" s="222"/>
      <c r="F19" s="222"/>
      <c r="G19" s="223"/>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6" t="s">
        <v>47</v>
      </c>
      <c r="B21" s="197"/>
      <c r="C21" s="197"/>
      <c r="D21" s="197"/>
      <c r="E21" s="197"/>
      <c r="F21" s="197"/>
      <c r="G21" s="198"/>
      <c r="H21" s="196" t="s">
        <v>48</v>
      </c>
      <c r="I21" s="197"/>
      <c r="J21" s="197"/>
      <c r="K21" s="198"/>
      <c r="L21" s="196" t="s">
        <v>57</v>
      </c>
      <c r="M21" s="197"/>
      <c r="N21" s="197"/>
      <c r="O21" s="198"/>
      <c r="P21" s="102" t="s">
        <v>46</v>
      </c>
    </row>
    <row r="22" spans="1:16" ht="68.400000000000006" customHeight="1" x14ac:dyDescent="0.25">
      <c r="A22" s="103" t="s">
        <v>49</v>
      </c>
      <c r="B22" s="207" t="s">
        <v>180</v>
      </c>
      <c r="C22" s="208"/>
      <c r="D22" s="208"/>
      <c r="E22" s="208"/>
      <c r="F22" s="208"/>
      <c r="G22" s="209"/>
      <c r="H22" s="200"/>
      <c r="I22" s="200"/>
      <c r="J22" s="200"/>
      <c r="K22" s="200"/>
      <c r="L22" s="200"/>
      <c r="M22" s="200"/>
      <c r="N22" s="200"/>
      <c r="O22" s="200"/>
      <c r="P22" s="97"/>
    </row>
    <row r="23" spans="1:16" ht="20.25" customHeight="1" x14ac:dyDescent="0.25">
      <c r="A23" s="103" t="s">
        <v>50</v>
      </c>
      <c r="B23" s="234" t="s">
        <v>181</v>
      </c>
      <c r="C23" s="235"/>
      <c r="D23" s="235"/>
      <c r="E23" s="235"/>
      <c r="F23" s="235"/>
      <c r="G23" s="236"/>
      <c r="H23" s="200"/>
      <c r="I23" s="200"/>
      <c r="J23" s="200"/>
      <c r="K23" s="200"/>
      <c r="L23" s="200"/>
      <c r="M23" s="200"/>
      <c r="N23" s="200"/>
      <c r="O23" s="200"/>
      <c r="P23" s="97"/>
    </row>
    <row r="24" spans="1:16" ht="73.5" customHeight="1" x14ac:dyDescent="0.25">
      <c r="A24" s="103" t="s">
        <v>51</v>
      </c>
      <c r="B24" s="207" t="s">
        <v>168</v>
      </c>
      <c r="C24" s="208"/>
      <c r="D24" s="208"/>
      <c r="E24" s="208"/>
      <c r="F24" s="208"/>
      <c r="G24" s="209"/>
      <c r="H24" s="207"/>
      <c r="I24" s="208"/>
      <c r="J24" s="208"/>
      <c r="K24" s="209"/>
      <c r="L24" s="207"/>
      <c r="M24" s="208"/>
      <c r="N24" s="208"/>
      <c r="O24" s="209"/>
      <c r="P24" s="97"/>
    </row>
    <row r="25" spans="1:16" ht="76.5" customHeight="1" x14ac:dyDescent="0.25">
      <c r="A25" s="103" t="s">
        <v>52</v>
      </c>
      <c r="B25" s="207" t="s">
        <v>183</v>
      </c>
      <c r="C25" s="208"/>
      <c r="D25" s="208"/>
      <c r="E25" s="208"/>
      <c r="F25" s="208"/>
      <c r="G25" s="209"/>
      <c r="H25" s="207" t="s">
        <v>176</v>
      </c>
      <c r="I25" s="208"/>
      <c r="J25" s="208"/>
      <c r="K25" s="209"/>
      <c r="L25" s="207" t="s">
        <v>176</v>
      </c>
      <c r="M25" s="208"/>
      <c r="N25" s="208"/>
      <c r="O25" s="209"/>
      <c r="P25" s="97" t="s">
        <v>129</v>
      </c>
    </row>
    <row r="26" spans="1:16" ht="30" customHeight="1" x14ac:dyDescent="0.25">
      <c r="A26" s="103" t="s">
        <v>53</v>
      </c>
      <c r="B26" s="231" t="s">
        <v>177</v>
      </c>
      <c r="C26" s="232"/>
      <c r="D26" s="232"/>
      <c r="E26" s="232"/>
      <c r="F26" s="232"/>
      <c r="G26" s="233"/>
      <c r="H26" s="200"/>
      <c r="I26" s="200"/>
      <c r="J26" s="200"/>
      <c r="K26" s="200"/>
      <c r="L26" s="207"/>
      <c r="M26" s="208"/>
      <c r="N26" s="208"/>
      <c r="O26" s="209"/>
      <c r="P26" s="97"/>
    </row>
    <row r="27" spans="1:16" ht="36" customHeight="1" x14ac:dyDescent="0.25">
      <c r="A27" s="103" t="s">
        <v>54</v>
      </c>
      <c r="B27" s="207" t="s">
        <v>178</v>
      </c>
      <c r="C27" s="208"/>
      <c r="D27" s="208"/>
      <c r="E27" s="208"/>
      <c r="F27" s="208"/>
      <c r="G27" s="209"/>
      <c r="H27" s="207" t="s">
        <v>179</v>
      </c>
      <c r="I27" s="208"/>
      <c r="J27" s="208"/>
      <c r="K27" s="209"/>
      <c r="L27" s="207" t="s">
        <v>179</v>
      </c>
      <c r="M27" s="208"/>
      <c r="N27" s="208"/>
      <c r="O27" s="209"/>
      <c r="P27" s="97" t="s">
        <v>129</v>
      </c>
    </row>
    <row r="28" spans="1:16" x14ac:dyDescent="0.25">
      <c r="A28" s="103"/>
      <c r="B28" s="207"/>
      <c r="C28" s="208"/>
      <c r="D28" s="208"/>
      <c r="E28" s="208"/>
      <c r="F28" s="208"/>
      <c r="G28" s="209"/>
      <c r="H28" s="200"/>
      <c r="I28" s="200"/>
      <c r="J28" s="200"/>
      <c r="K28" s="200"/>
      <c r="L28" s="200"/>
      <c r="M28" s="200"/>
      <c r="N28" s="200"/>
      <c r="O28" s="200"/>
      <c r="P28" s="97"/>
    </row>
    <row r="29" spans="1:16" x14ac:dyDescent="0.25">
      <c r="A29" s="103"/>
      <c r="B29" s="207"/>
      <c r="C29" s="208"/>
      <c r="D29" s="208"/>
      <c r="E29" s="208"/>
      <c r="F29" s="208"/>
      <c r="G29" s="209"/>
      <c r="H29" s="200"/>
      <c r="I29" s="200"/>
      <c r="J29" s="200"/>
      <c r="K29" s="200"/>
      <c r="L29" s="200"/>
      <c r="M29" s="200"/>
      <c r="N29" s="200"/>
      <c r="O29" s="200"/>
      <c r="P29" s="97"/>
    </row>
    <row r="30" spans="1:16" ht="13.8" thickBot="1" x14ac:dyDescent="0.3">
      <c r="A30" s="104"/>
      <c r="B30" s="224"/>
      <c r="C30" s="225"/>
      <c r="D30" s="225"/>
      <c r="E30" s="225"/>
      <c r="F30" s="225"/>
      <c r="G30" s="226"/>
      <c r="H30" s="227"/>
      <c r="I30" s="227"/>
      <c r="J30" s="227"/>
      <c r="K30" s="227"/>
      <c r="L30" s="227"/>
      <c r="M30" s="227"/>
      <c r="N30" s="227"/>
      <c r="O30" s="227"/>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2:G22"/>
    <mergeCell ref="H22:K22"/>
    <mergeCell ref="L22:O22"/>
    <mergeCell ref="B25:G25"/>
    <mergeCell ref="H24:K24"/>
    <mergeCell ref="L24:O24"/>
    <mergeCell ref="B24:G24"/>
    <mergeCell ref="H23:K23"/>
    <mergeCell ref="L23:O23"/>
    <mergeCell ref="B23:G23"/>
    <mergeCell ref="H25:K25"/>
    <mergeCell ref="L25:O25"/>
    <mergeCell ref="A21:G21"/>
    <mergeCell ref="H21:K21"/>
    <mergeCell ref="L21:O21"/>
    <mergeCell ref="A16:A19"/>
    <mergeCell ref="B16:G19"/>
    <mergeCell ref="B1:G1"/>
    <mergeCell ref="B3:G3"/>
    <mergeCell ref="B7:G7"/>
    <mergeCell ref="A11:A14"/>
    <mergeCell ref="B11:G14"/>
  </mergeCells>
  <conditionalFormatting sqref="B9:B10">
    <cfRule type="cellIs" dxfId="23" priority="21" operator="equal">
      <formula>"Nok"</formula>
    </cfRule>
    <cfRule type="cellIs" dxfId="22" priority="22" operator="equal">
      <formula>"Ok"</formula>
    </cfRule>
  </conditionalFormatting>
  <conditionalFormatting sqref="P26:P30">
    <cfRule type="cellIs" dxfId="21" priority="19" operator="equal">
      <formula>"Nok"</formula>
    </cfRule>
    <cfRule type="cellIs" dxfId="20" priority="20" operator="equal">
      <formula>"Ok"</formula>
    </cfRule>
  </conditionalFormatting>
  <conditionalFormatting sqref="P22">
    <cfRule type="cellIs" dxfId="19" priority="11" operator="equal">
      <formula>"Nok"</formula>
    </cfRule>
    <cfRule type="cellIs" dxfId="18" priority="12" operator="equal">
      <formula>"Ok"</formula>
    </cfRule>
  </conditionalFormatting>
  <conditionalFormatting sqref="P25">
    <cfRule type="cellIs" dxfId="17" priority="7" operator="equal">
      <formula>"Nok"</formula>
    </cfRule>
    <cfRule type="cellIs" dxfId="16" priority="8" operator="equal">
      <formula>"Ok"</formula>
    </cfRule>
  </conditionalFormatting>
  <conditionalFormatting sqref="P23">
    <cfRule type="cellIs" dxfId="15" priority="5" operator="equal">
      <formula>"Nok"</formula>
    </cfRule>
    <cfRule type="cellIs" dxfId="14" priority="6" operator="equal">
      <formula>"Ok"</formula>
    </cfRule>
  </conditionalFormatting>
  <conditionalFormatting sqref="P24">
    <cfRule type="cellIs" dxfId="13" priority="1" operator="equal">
      <formula>"Nok"</formula>
    </cfRule>
    <cfRule type="cellIs" dxfId="12" priority="2" operator="equal">
      <formula>"Ok"</formula>
    </cfRule>
  </conditionalFormatting>
  <dataValidations count="3">
    <dataValidation type="list" allowBlank="1" showInputMessage="1" showErrorMessage="1" sqref="B9" xr:uid="{E43B832A-3E8E-422B-A972-230FB1127667}">
      <formula1>"Ok, Nok, Not run, NA"</formula1>
    </dataValidation>
    <dataValidation type="list" allowBlank="1" showInputMessage="1" showErrorMessage="1" sqref="B5" xr:uid="{0EF50487-A696-468F-BBAE-A6117BE4AD45}">
      <formula1>"Nominal, Robustness, Endurance, Qualification"</formula1>
    </dataValidation>
    <dataValidation type="list" allowBlank="1" showInputMessage="1" showErrorMessage="1" sqref="P22:P30" xr:uid="{00108437-E203-48EA-8F5B-1FF3A2A0772F}">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5819-1A82-417B-A739-3F62BEC4034C}">
  <sheetPr codeName="Sheet15"/>
  <dimension ref="A1:P32"/>
  <sheetViews>
    <sheetView topLeftCell="A7"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01" t="s">
        <v>150</v>
      </c>
      <c r="C1" s="202"/>
      <c r="D1" s="202"/>
      <c r="E1" s="202"/>
      <c r="F1" s="202"/>
      <c r="G1" s="203"/>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04" t="s">
        <v>151</v>
      </c>
      <c r="C3" s="205"/>
      <c r="D3" s="205"/>
      <c r="E3" s="205"/>
      <c r="F3" s="205"/>
      <c r="G3" s="206"/>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130</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04" t="s">
        <v>150</v>
      </c>
      <c r="C7" s="205"/>
      <c r="D7" s="205"/>
      <c r="E7" s="205"/>
      <c r="F7" s="205"/>
      <c r="G7" s="206"/>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5" t="s">
        <v>129</v>
      </c>
      <c r="C9" s="73"/>
      <c r="D9" s="74"/>
      <c r="E9" s="74"/>
      <c r="F9" s="74"/>
      <c r="G9" s="74"/>
      <c r="H9" s="74"/>
      <c r="I9" s="74"/>
      <c r="J9" s="74"/>
      <c r="K9" s="74"/>
      <c r="L9" s="74"/>
      <c r="M9" s="74"/>
      <c r="N9" s="74"/>
      <c r="O9" s="74"/>
    </row>
    <row r="10" spans="1:15" ht="13.8" thickBot="1" x14ac:dyDescent="0.3">
      <c r="A10" s="76"/>
      <c r="B10" s="96"/>
      <c r="C10" s="73"/>
      <c r="D10" s="74"/>
      <c r="E10" s="74"/>
      <c r="F10" s="74"/>
      <c r="G10" s="74"/>
      <c r="H10" s="74"/>
      <c r="I10" s="74"/>
      <c r="J10" s="74"/>
      <c r="K10" s="74"/>
      <c r="L10" s="74"/>
      <c r="M10" s="74"/>
      <c r="N10" s="74"/>
      <c r="O10" s="74"/>
    </row>
    <row r="11" spans="1:15" ht="12" customHeight="1" x14ac:dyDescent="0.25">
      <c r="A11" s="210" t="s">
        <v>109</v>
      </c>
      <c r="B11" s="215" t="s">
        <v>128</v>
      </c>
      <c r="C11" s="216"/>
      <c r="D11" s="216"/>
      <c r="E11" s="216"/>
      <c r="F11" s="216"/>
      <c r="G11" s="217"/>
      <c r="H11" s="74"/>
      <c r="I11" s="74"/>
      <c r="J11" s="74"/>
      <c r="K11" s="74"/>
      <c r="L11" s="74"/>
      <c r="M11" s="74"/>
      <c r="N11" s="74"/>
      <c r="O11" s="74"/>
    </row>
    <row r="12" spans="1:15" x14ac:dyDescent="0.25">
      <c r="A12" s="211"/>
      <c r="B12" s="218"/>
      <c r="C12" s="219"/>
      <c r="D12" s="219"/>
      <c r="E12" s="219"/>
      <c r="F12" s="219"/>
      <c r="G12" s="220"/>
      <c r="H12" s="74"/>
      <c r="I12" s="74"/>
      <c r="J12" s="74"/>
      <c r="K12" s="74"/>
      <c r="L12" s="74"/>
      <c r="M12" s="74"/>
      <c r="N12" s="74"/>
      <c r="O12" s="74"/>
    </row>
    <row r="13" spans="1:15" x14ac:dyDescent="0.25">
      <c r="A13" s="211"/>
      <c r="B13" s="218"/>
      <c r="C13" s="219"/>
      <c r="D13" s="219"/>
      <c r="E13" s="219"/>
      <c r="F13" s="219"/>
      <c r="G13" s="220"/>
      <c r="H13" s="72"/>
      <c r="I13" s="74"/>
      <c r="J13" s="74"/>
      <c r="K13" s="74"/>
      <c r="L13" s="74"/>
      <c r="M13" s="74"/>
      <c r="N13" s="74"/>
      <c r="O13" s="74"/>
    </row>
    <row r="14" spans="1:15" ht="13.8" thickBot="1" x14ac:dyDescent="0.3">
      <c r="A14" s="211"/>
      <c r="B14" s="221"/>
      <c r="C14" s="222"/>
      <c r="D14" s="222"/>
      <c r="E14" s="222"/>
      <c r="F14" s="222"/>
      <c r="G14" s="223"/>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0" t="s">
        <v>43</v>
      </c>
      <c r="B16" s="215" t="s">
        <v>131</v>
      </c>
      <c r="C16" s="216"/>
      <c r="D16" s="216"/>
      <c r="E16" s="216"/>
      <c r="F16" s="216"/>
      <c r="G16" s="217"/>
      <c r="H16" s="74"/>
      <c r="I16" s="74"/>
      <c r="J16" s="74"/>
      <c r="K16" s="74"/>
      <c r="L16" s="74"/>
      <c r="M16" s="74"/>
      <c r="N16" s="74"/>
      <c r="O16" s="74"/>
    </row>
    <row r="17" spans="1:16" x14ac:dyDescent="0.25">
      <c r="A17" s="211"/>
      <c r="B17" s="218"/>
      <c r="C17" s="219"/>
      <c r="D17" s="219"/>
      <c r="E17" s="219"/>
      <c r="F17" s="219"/>
      <c r="G17" s="220"/>
      <c r="H17" s="74"/>
      <c r="I17" s="74"/>
      <c r="J17" s="74"/>
      <c r="K17" s="74"/>
      <c r="L17" s="74"/>
      <c r="M17" s="74"/>
      <c r="N17" s="74"/>
      <c r="O17" s="74"/>
    </row>
    <row r="18" spans="1:16" x14ac:dyDescent="0.25">
      <c r="A18" s="211"/>
      <c r="B18" s="218"/>
      <c r="C18" s="219"/>
      <c r="D18" s="219"/>
      <c r="E18" s="219"/>
      <c r="F18" s="219"/>
      <c r="G18" s="220"/>
      <c r="H18" s="72"/>
      <c r="I18" s="74"/>
      <c r="J18" s="74"/>
      <c r="K18" s="74"/>
      <c r="L18" s="74"/>
      <c r="M18" s="74"/>
      <c r="N18" s="74"/>
      <c r="O18" s="74"/>
    </row>
    <row r="19" spans="1:16" ht="13.8" thickBot="1" x14ac:dyDescent="0.3">
      <c r="A19" s="211"/>
      <c r="B19" s="221"/>
      <c r="C19" s="222"/>
      <c r="D19" s="222"/>
      <c r="E19" s="222"/>
      <c r="F19" s="222"/>
      <c r="G19" s="223"/>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6" t="s">
        <v>47</v>
      </c>
      <c r="B21" s="197"/>
      <c r="C21" s="197"/>
      <c r="D21" s="197"/>
      <c r="E21" s="197"/>
      <c r="F21" s="197"/>
      <c r="G21" s="198"/>
      <c r="H21" s="196" t="s">
        <v>48</v>
      </c>
      <c r="I21" s="197"/>
      <c r="J21" s="197"/>
      <c r="K21" s="198"/>
      <c r="L21" s="196" t="s">
        <v>57</v>
      </c>
      <c r="M21" s="197"/>
      <c r="N21" s="197"/>
      <c r="O21" s="198"/>
      <c r="P21" s="102" t="s">
        <v>46</v>
      </c>
    </row>
    <row r="22" spans="1:16" ht="76.95" customHeight="1" x14ac:dyDescent="0.25">
      <c r="A22" s="103" t="s">
        <v>49</v>
      </c>
      <c r="B22" s="207" t="s">
        <v>169</v>
      </c>
      <c r="C22" s="208"/>
      <c r="D22" s="208"/>
      <c r="E22" s="208"/>
      <c r="F22" s="208"/>
      <c r="G22" s="209"/>
      <c r="H22" s="200"/>
      <c r="I22" s="200"/>
      <c r="J22" s="200"/>
      <c r="K22" s="200"/>
      <c r="L22" s="200"/>
      <c r="M22" s="200"/>
      <c r="N22" s="200"/>
      <c r="O22" s="200"/>
      <c r="P22" s="97"/>
    </row>
    <row r="23" spans="1:16" ht="30" customHeight="1" x14ac:dyDescent="0.25">
      <c r="A23" s="103" t="s">
        <v>50</v>
      </c>
      <c r="B23" s="234" t="s">
        <v>185</v>
      </c>
      <c r="C23" s="235"/>
      <c r="D23" s="235"/>
      <c r="E23" s="235"/>
      <c r="F23" s="235"/>
      <c r="G23" s="236"/>
      <c r="H23" s="200"/>
      <c r="I23" s="200"/>
      <c r="J23" s="200"/>
      <c r="K23" s="200"/>
      <c r="L23" s="200"/>
      <c r="M23" s="200"/>
      <c r="N23" s="200"/>
      <c r="O23" s="200"/>
      <c r="P23" s="97"/>
    </row>
    <row r="24" spans="1:16" ht="72" customHeight="1" x14ac:dyDescent="0.25">
      <c r="A24" s="103" t="s">
        <v>51</v>
      </c>
      <c r="B24" s="207" t="s">
        <v>167</v>
      </c>
      <c r="C24" s="208"/>
      <c r="D24" s="208"/>
      <c r="E24" s="208"/>
      <c r="F24" s="208"/>
      <c r="G24" s="209"/>
      <c r="K24" s="113"/>
      <c r="O24" s="113"/>
      <c r="P24" s="97"/>
    </row>
    <row r="25" spans="1:16" ht="81.75" customHeight="1" x14ac:dyDescent="0.25">
      <c r="A25" s="103" t="s">
        <v>52</v>
      </c>
      <c r="B25" s="207" t="s">
        <v>184</v>
      </c>
      <c r="C25" s="208"/>
      <c r="D25" s="208"/>
      <c r="E25" s="208"/>
      <c r="F25" s="208"/>
      <c r="G25" s="209"/>
      <c r="H25" s="207" t="s">
        <v>176</v>
      </c>
      <c r="I25" s="208"/>
      <c r="J25" s="208"/>
      <c r="K25" s="209"/>
      <c r="L25" s="207" t="s">
        <v>176</v>
      </c>
      <c r="M25" s="208"/>
      <c r="N25" s="208"/>
      <c r="O25" s="209"/>
      <c r="P25" s="97" t="s">
        <v>129</v>
      </c>
    </row>
    <row r="26" spans="1:16" ht="29.25" customHeight="1" x14ac:dyDescent="0.25">
      <c r="A26" s="103" t="s">
        <v>53</v>
      </c>
      <c r="B26" s="231" t="s">
        <v>177</v>
      </c>
      <c r="C26" s="232"/>
      <c r="D26" s="232"/>
      <c r="E26" s="232"/>
      <c r="F26" s="232"/>
      <c r="G26" s="233"/>
      <c r="H26" s="200"/>
      <c r="I26" s="200"/>
      <c r="J26" s="200"/>
      <c r="K26" s="200"/>
      <c r="L26" s="207"/>
      <c r="M26" s="208"/>
      <c r="N26" s="208"/>
      <c r="O26" s="209"/>
      <c r="P26" s="97"/>
    </row>
    <row r="27" spans="1:16" ht="31.5" customHeight="1" x14ac:dyDescent="0.25">
      <c r="A27" s="103" t="s">
        <v>54</v>
      </c>
      <c r="B27" s="207" t="s">
        <v>178</v>
      </c>
      <c r="C27" s="208"/>
      <c r="D27" s="208"/>
      <c r="E27" s="208"/>
      <c r="F27" s="208"/>
      <c r="G27" s="209"/>
      <c r="H27" s="200" t="s">
        <v>179</v>
      </c>
      <c r="I27" s="200"/>
      <c r="J27" s="200"/>
      <c r="K27" s="200"/>
      <c r="L27" s="200" t="s">
        <v>179</v>
      </c>
      <c r="M27" s="200"/>
      <c r="N27" s="200"/>
      <c r="O27" s="200"/>
      <c r="P27" s="97" t="s">
        <v>129</v>
      </c>
    </row>
    <row r="28" spans="1:16" x14ac:dyDescent="0.25">
      <c r="A28" s="103"/>
      <c r="B28" s="207"/>
      <c r="C28" s="208"/>
      <c r="D28" s="208"/>
      <c r="E28" s="208"/>
      <c r="F28" s="208"/>
      <c r="G28" s="209"/>
      <c r="H28" s="200"/>
      <c r="I28" s="200"/>
      <c r="J28" s="200"/>
      <c r="K28" s="200"/>
      <c r="L28" s="200"/>
      <c r="M28" s="200"/>
      <c r="N28" s="200"/>
      <c r="O28" s="200"/>
      <c r="P28" s="97"/>
    </row>
    <row r="29" spans="1:16" x14ac:dyDescent="0.25">
      <c r="A29" s="103"/>
      <c r="B29" s="207"/>
      <c r="C29" s="208"/>
      <c r="D29" s="208"/>
      <c r="E29" s="208"/>
      <c r="F29" s="208"/>
      <c r="G29" s="209"/>
      <c r="H29" s="200"/>
      <c r="I29" s="200"/>
      <c r="J29" s="200"/>
      <c r="K29" s="200"/>
      <c r="L29" s="200"/>
      <c r="M29" s="200"/>
      <c r="N29" s="200"/>
      <c r="O29" s="200"/>
      <c r="P29" s="97"/>
    </row>
    <row r="30" spans="1:16" ht="13.8" thickBot="1" x14ac:dyDescent="0.3">
      <c r="A30" s="104"/>
      <c r="B30" s="224"/>
      <c r="C30" s="225"/>
      <c r="D30" s="225"/>
      <c r="E30" s="225"/>
      <c r="F30" s="225"/>
      <c r="G30" s="226"/>
      <c r="H30" s="227"/>
      <c r="I30" s="227"/>
      <c r="J30" s="227"/>
      <c r="K30" s="227"/>
      <c r="L30" s="227"/>
      <c r="M30" s="227"/>
      <c r="N30" s="227"/>
      <c r="O30" s="227"/>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2:G22"/>
    <mergeCell ref="H22:K22"/>
    <mergeCell ref="L22:O22"/>
    <mergeCell ref="B25:G25"/>
    <mergeCell ref="H25:K25"/>
    <mergeCell ref="L25:O25"/>
    <mergeCell ref="B24:G24"/>
    <mergeCell ref="H23:K23"/>
    <mergeCell ref="L23:O23"/>
    <mergeCell ref="B23:G23"/>
    <mergeCell ref="A21:G21"/>
    <mergeCell ref="H21:K21"/>
    <mergeCell ref="L21:O21"/>
    <mergeCell ref="A16:A19"/>
    <mergeCell ref="B16:G19"/>
    <mergeCell ref="B1:G1"/>
    <mergeCell ref="B3:G3"/>
    <mergeCell ref="B7:G7"/>
    <mergeCell ref="A11:A14"/>
    <mergeCell ref="B11:G14"/>
  </mergeCells>
  <conditionalFormatting sqref="B9:B10">
    <cfRule type="cellIs" dxfId="11" priority="21" operator="equal">
      <formula>"Nok"</formula>
    </cfRule>
    <cfRule type="cellIs" dxfId="10" priority="22" operator="equal">
      <formula>"Ok"</formula>
    </cfRule>
  </conditionalFormatting>
  <conditionalFormatting sqref="P26:P30">
    <cfRule type="cellIs" dxfId="9" priority="19" operator="equal">
      <formula>"Nok"</formula>
    </cfRule>
    <cfRule type="cellIs" dxfId="8" priority="20" operator="equal">
      <formula>"Ok"</formula>
    </cfRule>
  </conditionalFormatting>
  <conditionalFormatting sqref="P22">
    <cfRule type="cellIs" dxfId="7" priority="11" operator="equal">
      <formula>"Nok"</formula>
    </cfRule>
    <cfRule type="cellIs" dxfId="6" priority="12" operator="equal">
      <formula>"Ok"</formula>
    </cfRule>
  </conditionalFormatting>
  <conditionalFormatting sqref="P25">
    <cfRule type="cellIs" dxfId="5" priority="7" operator="equal">
      <formula>"Nok"</formula>
    </cfRule>
    <cfRule type="cellIs" dxfId="4" priority="8" operator="equal">
      <formula>"Ok"</formula>
    </cfRule>
  </conditionalFormatting>
  <conditionalFormatting sqref="P23">
    <cfRule type="cellIs" dxfId="3" priority="5" operator="equal">
      <formula>"Nok"</formula>
    </cfRule>
    <cfRule type="cellIs" dxfId="2" priority="6" operator="equal">
      <formula>"Ok"</formula>
    </cfRule>
  </conditionalFormatting>
  <conditionalFormatting sqref="P24">
    <cfRule type="cellIs" dxfId="1" priority="1" operator="equal">
      <formula>"Nok"</formula>
    </cfRule>
    <cfRule type="cellIs" dxfId="0" priority="2" operator="equal">
      <formula>"Ok"</formula>
    </cfRule>
  </conditionalFormatting>
  <dataValidations count="3">
    <dataValidation type="list" allowBlank="1" showInputMessage="1" showErrorMessage="1" sqref="B5" xr:uid="{9EE6E12E-CC70-44D1-97B4-2271FFC5A830}">
      <formula1>"Nominal, Robustness, Endurance, Qualification"</formula1>
    </dataValidation>
    <dataValidation type="list" allowBlank="1" showInputMessage="1" showErrorMessage="1" sqref="B9" xr:uid="{C102A559-E6DB-4B4E-9F6F-4DD74BA70834}">
      <formula1>"Ok, Nok, Not run, NA"</formula1>
    </dataValidation>
    <dataValidation type="list" allowBlank="1" showInputMessage="1" showErrorMessage="1" sqref="P22:P30" xr:uid="{ED85DD66-2218-41FB-9F7D-F3F129406B9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33203125" defaultRowHeight="14.4" x14ac:dyDescent="0.3"/>
  <cols>
    <col min="1" max="1" width="4.33203125" style="79" customWidth="1"/>
    <col min="2" max="2" width="24.6640625" style="79" customWidth="1"/>
    <col min="3" max="3" width="4.5546875" style="79" customWidth="1"/>
    <col min="4" max="4" width="4.44140625" style="79" customWidth="1"/>
    <col min="5" max="5" width="29.6640625" style="79" bestFit="1" customWidth="1"/>
    <col min="6" max="6" width="7.6640625" style="79" bestFit="1" customWidth="1"/>
    <col min="7" max="16384" width="9.33203125" style="79"/>
  </cols>
  <sheetData>
    <row r="2" spans="2:6" x14ac:dyDescent="0.3">
      <c r="B2" s="80" t="s">
        <v>58</v>
      </c>
      <c r="C2" s="80">
        <f ca="1">COUNTIF('Tests Synthesis'!K3:K47, "Ok")</f>
        <v>6</v>
      </c>
      <c r="E2" s="81" t="s">
        <v>59</v>
      </c>
      <c r="F2" s="82">
        <f ca="1">IF(C6=0,0,C2/C6)</f>
        <v>1</v>
      </c>
    </row>
    <row r="3" spans="2:6" x14ac:dyDescent="0.3">
      <c r="B3" s="80" t="s">
        <v>60</v>
      </c>
      <c r="C3" s="80">
        <f ca="1">COUNTIF('Tests Synthesis'!K3:K47, "Nok")</f>
        <v>0</v>
      </c>
      <c r="E3" s="81" t="s">
        <v>61</v>
      </c>
      <c r="F3" s="82">
        <f ca="1">IF(C6=0,0,C3/C6)</f>
        <v>0</v>
      </c>
    </row>
    <row r="4" spans="2:6" x14ac:dyDescent="0.3">
      <c r="B4" s="80" t="s">
        <v>62</v>
      </c>
      <c r="C4" s="80">
        <f ca="1">COUNTIF('Tests Synthesis'!K3:K47, "not run")</f>
        <v>0</v>
      </c>
      <c r="E4" s="80" t="s">
        <v>63</v>
      </c>
      <c r="F4" s="82">
        <f ca="1">IF(C6=0,0,C4/C6)</f>
        <v>0</v>
      </c>
    </row>
    <row r="5" spans="2:6" x14ac:dyDescent="0.3">
      <c r="B5" s="80" t="s">
        <v>114</v>
      </c>
      <c r="C5" s="80">
        <f ca="1">COUNTIF('Tests Synthesis'!K4:K48, "NA")</f>
        <v>0</v>
      </c>
      <c r="E5" s="80" t="s">
        <v>115</v>
      </c>
      <c r="F5" s="82">
        <f>IF(C7=0,0,C5/C7)</f>
        <v>0</v>
      </c>
    </row>
    <row r="6" spans="2:6" x14ac:dyDescent="0.3">
      <c r="B6" s="80" t="s">
        <v>64</v>
      </c>
      <c r="C6" s="80">
        <f ca="1">SUM(C2:C4)</f>
        <v>6</v>
      </c>
    </row>
  </sheetData>
  <pageMargins left="0.7" right="0.7" top="0.75" bottom="0.75" header="0.3" footer="0.3"/>
  <pageSetup paperSize="9" orientation="portrait" r:id="rId1"/>
  <headerFooter>
    <oddFooter>&amp;LNA ver 1.3&amp;R&amp;P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FrontPage</vt:lpstr>
      <vt:lpstr>General info</vt:lpstr>
      <vt:lpstr>Guide (help)</vt:lpstr>
      <vt:lpstr>Tests Synthesis</vt:lpstr>
      <vt:lpstr>SW_IT_EOL_0001</vt:lpstr>
      <vt:lpstr>SW_IT_EOL_0002</vt:lpstr>
      <vt:lpstr>SW_IT_EOL_0003</vt:lpstr>
      <vt:lpstr>SW_IT_EOL_0004</vt:lpstr>
      <vt:lpstr>SW_IT_EOL_0005</vt:lpstr>
      <vt:lpstr>SW_IT_EOL_0006</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Ciprian Galbau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