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PAL\Tests\"/>
    </mc:Choice>
  </mc:AlternateContent>
  <xr:revisionPtr revIDLastSave="0" documentId="13_ncr:1_{A9DF099E-01D2-4CFF-9742-C3EE62A2F796}" xr6:coauthVersionLast="47" xr6:coauthVersionMax="47" xr10:uidLastSave="{00000000-0000-0000-0000-000000000000}"/>
  <bookViews>
    <workbookView xWindow="57480" yWindow="-120" windowWidth="29040" windowHeight="15840" tabRatio="574" activeTab="3" xr2:uid="{00000000-000D-0000-FFFF-FFFF00000000}"/>
  </bookViews>
  <sheets>
    <sheet name="FrontPage" sheetId="4" r:id="rId1"/>
    <sheet name="General info" sheetId="11" r:id="rId2"/>
    <sheet name="Guide (help)" sheetId="18" r:id="rId3"/>
    <sheet name="Tests Synthesis" sheetId="13" r:id="rId4"/>
    <sheet name="SW_IT_PAL_001" sheetId="20" r:id="rId5"/>
    <sheet name="SW_IT_PAL_002" sheetId="21" r:id="rId6"/>
    <sheet name="SW_IT_PAL_003" sheetId="23" r:id="rId7"/>
    <sheet name="SW_IT_PAL_004" sheetId="24" r:id="rId8"/>
    <sheet name="SW_IT_PAL_005" sheetId="25" r:id="rId9"/>
    <sheet name="SW_IT_PAL_006" sheetId="26" r:id="rId10"/>
    <sheet name="SW_IT_PAL_007" sheetId="27" r:id="rId11"/>
    <sheet name="SW_IT_PAL_008" sheetId="28" r:id="rId12"/>
    <sheet name="SW_IT_PAL_009" sheetId="29" r:id="rId13"/>
    <sheet name="SW_IT_PAL_010" sheetId="30" r:id="rId14"/>
    <sheet name="SW_IT_PAL_011" sheetId="32" r:id="rId15"/>
    <sheet name="SW_IT_PAL_013" sheetId="33" r:id="rId16"/>
    <sheet name="SW_IT_PAL_014" sheetId="34" r:id="rId17"/>
    <sheet name="SW_IT_PAL_015" sheetId="35" r:id="rId18"/>
    <sheet name="SW_IT_PAL_016" sheetId="36" r:id="rId19"/>
    <sheet name="SW_IT_PAL_017" sheetId="37" r:id="rId20"/>
    <sheet name="SW_IT_PAL_018" sheetId="38" r:id="rId21"/>
    <sheet name="Metrics" sheetId="16" r:id="rId22"/>
  </sheets>
  <externalReferences>
    <externalReference r:id="rId23"/>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6" l="1"/>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K24" i="13"/>
  <c r="F24" i="13"/>
  <c r="E24" i="13"/>
  <c r="D24" i="13"/>
  <c r="K23" i="13"/>
  <c r="F23" i="13"/>
  <c r="E23" i="13"/>
  <c r="D23" i="13"/>
  <c r="K22" i="13"/>
  <c r="F22" i="13"/>
  <c r="E22" i="13"/>
  <c r="D22" i="13"/>
  <c r="K21" i="13"/>
  <c r="F21" i="13"/>
  <c r="E21" i="13"/>
  <c r="D21" i="13"/>
  <c r="K20" i="13"/>
  <c r="F20" i="13"/>
  <c r="E20" i="13"/>
  <c r="D20" i="13"/>
  <c r="K19" i="13"/>
  <c r="F19" i="13"/>
  <c r="E19" i="13"/>
  <c r="D19" i="13"/>
  <c r="AD3" i="4"/>
  <c r="AD3" i="11" s="1"/>
  <c r="F10" i="4"/>
  <c r="W7" i="4"/>
  <c r="W5" i="4"/>
  <c r="A7" i="4"/>
  <c r="E7" i="4"/>
  <c r="A5" i="4"/>
  <c r="D8" i="13"/>
  <c r="E13" i="13"/>
  <c r="K13" i="13"/>
  <c r="K7" i="13"/>
  <c r="F9" i="13"/>
  <c r="K14" i="13"/>
  <c r="D18" i="13"/>
  <c r="F13" i="13"/>
  <c r="F17" i="13"/>
  <c r="K11" i="13"/>
  <c r="E10" i="13"/>
  <c r="K12" i="13"/>
  <c r="D11" i="13"/>
  <c r="K17" i="13"/>
  <c r="F11" i="13"/>
  <c r="F3" i="13"/>
  <c r="F5" i="13"/>
  <c r="D16" i="13"/>
  <c r="F10" i="13"/>
  <c r="F12" i="13"/>
  <c r="E18" i="13"/>
  <c r="D3" i="13"/>
  <c r="F14" i="13"/>
  <c r="D10" i="13"/>
  <c r="E5" i="13"/>
  <c r="D6" i="13"/>
  <c r="D12" i="13"/>
  <c r="E16" i="13"/>
  <c r="K18" i="13"/>
  <c r="K9" i="13"/>
  <c r="K6" i="13"/>
  <c r="E7" i="13"/>
  <c r="K15" i="13"/>
  <c r="E6" i="13"/>
  <c r="E11" i="13"/>
  <c r="F7" i="13"/>
  <c r="D15" i="13"/>
  <c r="E3" i="13"/>
  <c r="D9" i="13"/>
  <c r="D14" i="13"/>
  <c r="K8" i="13"/>
  <c r="K16" i="13"/>
  <c r="E8" i="13"/>
  <c r="D13" i="13"/>
  <c r="K3" i="13"/>
  <c r="K5" i="13"/>
  <c r="D4" i="13"/>
  <c r="K4" i="13"/>
  <c r="F6" i="13"/>
  <c r="D17" i="13"/>
  <c r="K10" i="13"/>
  <c r="F4" i="13"/>
  <c r="F16" i="13"/>
  <c r="E12" i="13"/>
  <c r="F8" i="13"/>
  <c r="E14" i="13"/>
  <c r="E4" i="13"/>
  <c r="D5" i="13"/>
  <c r="E15" i="13"/>
  <c r="F18" i="13"/>
  <c r="D7" i="13"/>
  <c r="E17" i="13"/>
  <c r="E9" i="13"/>
  <c r="F15" i="13"/>
  <c r="AB5" i="11" l="1"/>
  <c r="A23" i="4"/>
  <c r="A5" i="11"/>
  <c r="W7" i="11"/>
  <c r="AE7" i="11"/>
  <c r="A7" i="11"/>
  <c r="W5" i="11"/>
  <c r="E7"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92E764BD-27C8-4E25-9F79-98AD5FEC4391}">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4F209DD-1C34-4A37-BE7C-A6D9AF6799D0}">
      <text>
        <r>
          <rPr>
            <b/>
            <sz val="9"/>
            <color indexed="81"/>
            <rFont val="Tahoma"/>
            <family val="2"/>
          </rPr>
          <t xml:space="preserve">See Guide (help)
</t>
        </r>
        <r>
          <rPr>
            <sz val="9"/>
            <color indexed="81"/>
            <rFont val="Tahoma"/>
            <family val="2"/>
          </rPr>
          <t xml:space="preserve">
</t>
        </r>
      </text>
    </comment>
    <comment ref="A3" authorId="0" shapeId="0" xr:uid="{516DD0B4-A3D9-4434-AC1E-FC8F019D93F1}">
      <text>
        <r>
          <rPr>
            <b/>
            <sz val="9"/>
            <color indexed="81"/>
            <rFont val="Tahoma"/>
            <family val="2"/>
          </rPr>
          <t xml:space="preserve">See Guide (help)
</t>
        </r>
        <r>
          <rPr>
            <sz val="9"/>
            <color indexed="81"/>
            <rFont val="Tahoma"/>
            <family val="2"/>
          </rPr>
          <t xml:space="preserve">
</t>
        </r>
      </text>
    </comment>
    <comment ref="A5" authorId="0" shapeId="0" xr:uid="{07C1478F-BA70-4443-878D-63A311B27924}">
      <text>
        <r>
          <rPr>
            <sz val="9"/>
            <color indexed="81"/>
            <rFont val="Tahoma"/>
            <family val="2"/>
          </rPr>
          <t>Definition is in the "General info" tab.
Use the dropdown list.</t>
        </r>
      </text>
    </comment>
    <comment ref="A9" authorId="0" shapeId="0" xr:uid="{905D02A2-7ECF-404F-A9C2-839FF48AAF0D}">
      <text>
        <r>
          <rPr>
            <b/>
            <sz val="9"/>
            <color indexed="81"/>
            <rFont val="Tahoma"/>
            <family val="2"/>
          </rPr>
          <t>See Guide (help)</t>
        </r>
        <r>
          <rPr>
            <sz val="9"/>
            <color indexed="81"/>
            <rFont val="Tahoma"/>
            <family val="2"/>
          </rPr>
          <t xml:space="preserve">
</t>
        </r>
      </text>
    </comment>
    <comment ref="A11" authorId="0" shapeId="0" xr:uid="{F21339B6-B351-4BE9-AE51-E89AB81E0091}">
      <text>
        <r>
          <rPr>
            <b/>
            <sz val="9"/>
            <color indexed="81"/>
            <rFont val="Tahoma"/>
            <family val="2"/>
          </rPr>
          <t xml:space="preserve">Describe the test environment and setup.
</t>
        </r>
        <r>
          <rPr>
            <sz val="9"/>
            <color indexed="81"/>
            <rFont val="Tahoma"/>
            <family val="2"/>
          </rPr>
          <t xml:space="preserve">
</t>
        </r>
      </text>
    </comment>
    <comment ref="A16" authorId="0" shapeId="0" xr:uid="{DB2A284B-70BB-46B3-8834-32F33BCB63E2}">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30D15B-CA3E-4B2F-9036-8916A493B4FC}">
      <text>
        <r>
          <rPr>
            <b/>
            <sz val="9"/>
            <color indexed="81"/>
            <rFont val="Tahoma"/>
            <family val="2"/>
          </rPr>
          <t xml:space="preserve">See Guide (help)
</t>
        </r>
        <r>
          <rPr>
            <sz val="9"/>
            <color indexed="81"/>
            <rFont val="Tahoma"/>
            <family val="2"/>
          </rPr>
          <t xml:space="preserve">
</t>
        </r>
      </text>
    </comment>
    <comment ref="A3" authorId="0" shapeId="0" xr:uid="{B8DD503F-BCB2-47B1-AA16-1EDF6D589CE7}">
      <text>
        <r>
          <rPr>
            <b/>
            <sz val="9"/>
            <color indexed="81"/>
            <rFont val="Tahoma"/>
            <family val="2"/>
          </rPr>
          <t xml:space="preserve">See Guide (help)
</t>
        </r>
        <r>
          <rPr>
            <sz val="9"/>
            <color indexed="81"/>
            <rFont val="Tahoma"/>
            <family val="2"/>
          </rPr>
          <t xml:space="preserve">
</t>
        </r>
      </text>
    </comment>
    <comment ref="A5" authorId="0" shapeId="0" xr:uid="{F8B4CF25-FA5A-4010-8090-103B388978E8}">
      <text>
        <r>
          <rPr>
            <sz val="9"/>
            <color indexed="81"/>
            <rFont val="Tahoma"/>
            <family val="2"/>
          </rPr>
          <t>Definition is in the "General info" tab.
Use the dropdown list.</t>
        </r>
      </text>
    </comment>
    <comment ref="A9" authorId="0" shapeId="0" xr:uid="{9239AF17-DA4F-4318-8B6F-00D5D1862966}">
      <text>
        <r>
          <rPr>
            <b/>
            <sz val="9"/>
            <color indexed="81"/>
            <rFont val="Tahoma"/>
            <family val="2"/>
          </rPr>
          <t>See Guide (help)</t>
        </r>
        <r>
          <rPr>
            <sz val="9"/>
            <color indexed="81"/>
            <rFont val="Tahoma"/>
            <family val="2"/>
          </rPr>
          <t xml:space="preserve">
</t>
        </r>
      </text>
    </comment>
    <comment ref="A11" authorId="0" shapeId="0" xr:uid="{67047F77-1938-4684-9702-7CD4D89CEDE8}">
      <text>
        <r>
          <rPr>
            <b/>
            <sz val="9"/>
            <color indexed="81"/>
            <rFont val="Tahoma"/>
            <family val="2"/>
          </rPr>
          <t xml:space="preserve">Describe the test environment and setup.
</t>
        </r>
        <r>
          <rPr>
            <sz val="9"/>
            <color indexed="81"/>
            <rFont val="Tahoma"/>
            <family val="2"/>
          </rPr>
          <t xml:space="preserve">
</t>
        </r>
      </text>
    </comment>
    <comment ref="A16" authorId="0" shapeId="0" xr:uid="{7CFC0D0C-C518-4402-8876-3401527ADA45}">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71BFB4B-A12C-4480-8890-8243972FB822}">
      <text>
        <r>
          <rPr>
            <b/>
            <sz val="9"/>
            <color indexed="81"/>
            <rFont val="Tahoma"/>
            <family val="2"/>
          </rPr>
          <t xml:space="preserve">See Guide (help)
</t>
        </r>
        <r>
          <rPr>
            <sz val="9"/>
            <color indexed="81"/>
            <rFont val="Tahoma"/>
            <family val="2"/>
          </rPr>
          <t xml:space="preserve">
</t>
        </r>
      </text>
    </comment>
    <comment ref="A3" authorId="0" shapeId="0" xr:uid="{340C4E76-8A6A-4B3F-9A1C-D54D9184084E}">
      <text>
        <r>
          <rPr>
            <b/>
            <sz val="9"/>
            <color indexed="81"/>
            <rFont val="Tahoma"/>
            <family val="2"/>
          </rPr>
          <t xml:space="preserve">See Guide (help)
</t>
        </r>
        <r>
          <rPr>
            <sz val="9"/>
            <color indexed="81"/>
            <rFont val="Tahoma"/>
            <family val="2"/>
          </rPr>
          <t xml:space="preserve">
</t>
        </r>
      </text>
    </comment>
    <comment ref="A5" authorId="0" shapeId="0" xr:uid="{AB2A78DA-C453-4F2A-9D3D-7F0023DDEDC0}">
      <text>
        <r>
          <rPr>
            <sz val="9"/>
            <color indexed="81"/>
            <rFont val="Tahoma"/>
            <family val="2"/>
          </rPr>
          <t>Definition is in the "General info" tab.
Use the dropdown list.</t>
        </r>
      </text>
    </comment>
    <comment ref="A9" authorId="0" shapeId="0" xr:uid="{662A1AB3-385D-4F76-8579-896A8D5C439A}">
      <text>
        <r>
          <rPr>
            <b/>
            <sz val="9"/>
            <color indexed="81"/>
            <rFont val="Tahoma"/>
            <family val="2"/>
          </rPr>
          <t>See Guide (help)</t>
        </r>
        <r>
          <rPr>
            <sz val="9"/>
            <color indexed="81"/>
            <rFont val="Tahoma"/>
            <family val="2"/>
          </rPr>
          <t xml:space="preserve">
</t>
        </r>
      </text>
    </comment>
    <comment ref="A11" authorId="0" shapeId="0" xr:uid="{EE7C495E-0B8D-40BF-92DF-AAE662F8C171}">
      <text>
        <r>
          <rPr>
            <b/>
            <sz val="9"/>
            <color indexed="81"/>
            <rFont val="Tahoma"/>
            <family val="2"/>
          </rPr>
          <t xml:space="preserve">Describe the test environment and setup.
</t>
        </r>
        <r>
          <rPr>
            <sz val="9"/>
            <color indexed="81"/>
            <rFont val="Tahoma"/>
            <family val="2"/>
          </rPr>
          <t xml:space="preserve">
</t>
        </r>
      </text>
    </comment>
    <comment ref="A16" authorId="0" shapeId="0" xr:uid="{701FA065-97F0-4B95-869C-FC49A904DC6E}">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185552C-3F7D-401C-AF30-6EA3E06A47EA}">
      <text>
        <r>
          <rPr>
            <b/>
            <sz val="9"/>
            <color indexed="81"/>
            <rFont val="Tahoma"/>
            <family val="2"/>
          </rPr>
          <t xml:space="preserve">See Guide (help)
</t>
        </r>
        <r>
          <rPr>
            <sz val="9"/>
            <color indexed="81"/>
            <rFont val="Tahoma"/>
            <family val="2"/>
          </rPr>
          <t xml:space="preserve">
</t>
        </r>
      </text>
    </comment>
    <comment ref="A3" authorId="0" shapeId="0" xr:uid="{4CE3F670-6A96-4F1C-9B79-49CA710FA1A5}">
      <text>
        <r>
          <rPr>
            <b/>
            <sz val="9"/>
            <color indexed="81"/>
            <rFont val="Tahoma"/>
            <family val="2"/>
          </rPr>
          <t xml:space="preserve">See Guide (help)
</t>
        </r>
        <r>
          <rPr>
            <sz val="9"/>
            <color indexed="81"/>
            <rFont val="Tahoma"/>
            <family val="2"/>
          </rPr>
          <t xml:space="preserve">
</t>
        </r>
      </text>
    </comment>
    <comment ref="A5" authorId="0" shapeId="0" xr:uid="{5DAA1252-1B6B-4BD9-8100-BCE2F953F0BB}">
      <text>
        <r>
          <rPr>
            <sz val="9"/>
            <color indexed="81"/>
            <rFont val="Tahoma"/>
            <family val="2"/>
          </rPr>
          <t>Definition is in the "General info" tab.
Use the dropdown list.</t>
        </r>
      </text>
    </comment>
    <comment ref="A9" authorId="0" shapeId="0" xr:uid="{16CCA623-523D-4816-A248-680C75837606}">
      <text>
        <r>
          <rPr>
            <b/>
            <sz val="9"/>
            <color indexed="81"/>
            <rFont val="Tahoma"/>
            <family val="2"/>
          </rPr>
          <t>See Guide (help)</t>
        </r>
        <r>
          <rPr>
            <sz val="9"/>
            <color indexed="81"/>
            <rFont val="Tahoma"/>
            <family val="2"/>
          </rPr>
          <t xml:space="preserve">
</t>
        </r>
      </text>
    </comment>
    <comment ref="A11" authorId="0" shapeId="0" xr:uid="{22DA4399-B7AC-4648-A2B5-09098F020E3D}">
      <text>
        <r>
          <rPr>
            <b/>
            <sz val="9"/>
            <color indexed="81"/>
            <rFont val="Tahoma"/>
            <family val="2"/>
          </rPr>
          <t xml:space="preserve">Describe the test environment and setup.
</t>
        </r>
        <r>
          <rPr>
            <sz val="9"/>
            <color indexed="81"/>
            <rFont val="Tahoma"/>
            <family val="2"/>
          </rPr>
          <t xml:space="preserve">
</t>
        </r>
      </text>
    </comment>
    <comment ref="A16" authorId="0" shapeId="0" xr:uid="{7A1520A8-F023-4489-ABC8-A3ACBA829EC0}">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51186C1-7AF7-430B-B981-07A6D6E1057F}">
      <text>
        <r>
          <rPr>
            <b/>
            <sz val="9"/>
            <color indexed="81"/>
            <rFont val="Tahoma"/>
            <family val="2"/>
          </rPr>
          <t xml:space="preserve">See Guide (help)
</t>
        </r>
        <r>
          <rPr>
            <sz val="9"/>
            <color indexed="81"/>
            <rFont val="Tahoma"/>
            <family val="2"/>
          </rPr>
          <t xml:space="preserve">
</t>
        </r>
      </text>
    </comment>
    <comment ref="A3" authorId="0" shapeId="0" xr:uid="{EE3E1853-B354-4365-B556-A6247C0741E5}">
      <text>
        <r>
          <rPr>
            <b/>
            <sz val="9"/>
            <color indexed="81"/>
            <rFont val="Tahoma"/>
            <family val="2"/>
          </rPr>
          <t xml:space="preserve">See Guide (help)
</t>
        </r>
        <r>
          <rPr>
            <sz val="9"/>
            <color indexed="81"/>
            <rFont val="Tahoma"/>
            <family val="2"/>
          </rPr>
          <t xml:space="preserve">
</t>
        </r>
      </text>
    </comment>
    <comment ref="A5" authorId="0" shapeId="0" xr:uid="{A0436F95-153D-44D9-88C4-E97DABEBCD07}">
      <text>
        <r>
          <rPr>
            <sz val="9"/>
            <color indexed="81"/>
            <rFont val="Tahoma"/>
            <family val="2"/>
          </rPr>
          <t>Definition is in the "General info" tab.
Use the dropdown list.</t>
        </r>
      </text>
    </comment>
    <comment ref="A9" authorId="0" shapeId="0" xr:uid="{B9F7BD54-CF32-4257-A096-423C690EFF31}">
      <text>
        <r>
          <rPr>
            <b/>
            <sz val="9"/>
            <color indexed="81"/>
            <rFont val="Tahoma"/>
            <family val="2"/>
          </rPr>
          <t>See Guide (help)</t>
        </r>
        <r>
          <rPr>
            <sz val="9"/>
            <color indexed="81"/>
            <rFont val="Tahoma"/>
            <family val="2"/>
          </rPr>
          <t xml:space="preserve">
</t>
        </r>
      </text>
    </comment>
    <comment ref="A11" authorId="0" shapeId="0" xr:uid="{73471BFF-831A-440E-A11B-5B11BF1C1CC3}">
      <text>
        <r>
          <rPr>
            <b/>
            <sz val="9"/>
            <color indexed="81"/>
            <rFont val="Tahoma"/>
            <family val="2"/>
          </rPr>
          <t xml:space="preserve">Describe the test environment and setup.
</t>
        </r>
        <r>
          <rPr>
            <sz val="9"/>
            <color indexed="81"/>
            <rFont val="Tahoma"/>
            <family val="2"/>
          </rPr>
          <t xml:space="preserve">
</t>
        </r>
      </text>
    </comment>
    <comment ref="A16" authorId="0" shapeId="0" xr:uid="{131704EB-8C7A-41A1-8039-0E6362E9DC01}">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88CCFA4-C62B-4141-B86D-4BC109CFA5F8}">
      <text>
        <r>
          <rPr>
            <b/>
            <sz val="9"/>
            <color indexed="81"/>
            <rFont val="Tahoma"/>
            <family val="2"/>
          </rPr>
          <t xml:space="preserve">See Guide (help)
</t>
        </r>
        <r>
          <rPr>
            <sz val="9"/>
            <color indexed="81"/>
            <rFont val="Tahoma"/>
            <family val="2"/>
          </rPr>
          <t xml:space="preserve">
</t>
        </r>
      </text>
    </comment>
    <comment ref="A3" authorId="0" shapeId="0" xr:uid="{EF165B1F-818A-4AC3-9226-F6CC0F240F0B}">
      <text>
        <r>
          <rPr>
            <b/>
            <sz val="9"/>
            <color indexed="81"/>
            <rFont val="Tahoma"/>
            <family val="2"/>
          </rPr>
          <t xml:space="preserve">See Guide (help)
</t>
        </r>
        <r>
          <rPr>
            <sz val="9"/>
            <color indexed="81"/>
            <rFont val="Tahoma"/>
            <family val="2"/>
          </rPr>
          <t xml:space="preserve">
</t>
        </r>
      </text>
    </comment>
    <comment ref="A5" authorId="0" shapeId="0" xr:uid="{0C8C10C9-0F65-4BF4-B933-25797A3245D6}">
      <text>
        <r>
          <rPr>
            <sz val="9"/>
            <color indexed="81"/>
            <rFont val="Tahoma"/>
            <family val="2"/>
          </rPr>
          <t>Definition is in the "General info" tab.
Use the dropdown list.</t>
        </r>
      </text>
    </comment>
    <comment ref="A9" authorId="0" shapeId="0" xr:uid="{B808095D-51B4-43D9-807C-F2CB13F60198}">
      <text>
        <r>
          <rPr>
            <b/>
            <sz val="9"/>
            <color indexed="81"/>
            <rFont val="Tahoma"/>
            <family val="2"/>
          </rPr>
          <t>See Guide (help)</t>
        </r>
        <r>
          <rPr>
            <sz val="9"/>
            <color indexed="81"/>
            <rFont val="Tahoma"/>
            <family val="2"/>
          </rPr>
          <t xml:space="preserve">
</t>
        </r>
      </text>
    </comment>
    <comment ref="A11" authorId="0" shapeId="0" xr:uid="{134D8B23-0745-478D-8ACD-D3ECDE0AEFA0}">
      <text>
        <r>
          <rPr>
            <b/>
            <sz val="9"/>
            <color indexed="81"/>
            <rFont val="Tahoma"/>
            <family val="2"/>
          </rPr>
          <t xml:space="preserve">Describe the test environment and setup.
</t>
        </r>
        <r>
          <rPr>
            <sz val="9"/>
            <color indexed="81"/>
            <rFont val="Tahoma"/>
            <family val="2"/>
          </rPr>
          <t xml:space="preserve">
</t>
        </r>
      </text>
    </comment>
    <comment ref="A16" authorId="0" shapeId="0" xr:uid="{0997D2F8-110A-43FF-BEFB-430FC8A8AAC5}">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C9A3B5F-E773-44B9-A850-122C92FFEB12}">
      <text>
        <r>
          <rPr>
            <b/>
            <sz val="9"/>
            <color indexed="81"/>
            <rFont val="Tahoma"/>
            <family val="2"/>
          </rPr>
          <t xml:space="preserve">See Guide (help)
</t>
        </r>
        <r>
          <rPr>
            <sz val="9"/>
            <color indexed="81"/>
            <rFont val="Tahoma"/>
            <family val="2"/>
          </rPr>
          <t xml:space="preserve">
</t>
        </r>
      </text>
    </comment>
    <comment ref="A3" authorId="0" shapeId="0" xr:uid="{8287EAC9-8684-42AB-8803-906B868CCCB9}">
      <text>
        <r>
          <rPr>
            <b/>
            <sz val="9"/>
            <color indexed="81"/>
            <rFont val="Tahoma"/>
            <family val="2"/>
          </rPr>
          <t xml:space="preserve">See Guide (help)
</t>
        </r>
        <r>
          <rPr>
            <sz val="9"/>
            <color indexed="81"/>
            <rFont val="Tahoma"/>
            <family val="2"/>
          </rPr>
          <t xml:space="preserve">
</t>
        </r>
      </text>
    </comment>
    <comment ref="A5" authorId="0" shapeId="0" xr:uid="{7547B4B0-812A-4FBE-80C3-ED3981563B79}">
      <text>
        <r>
          <rPr>
            <sz val="9"/>
            <color indexed="81"/>
            <rFont val="Tahoma"/>
            <family val="2"/>
          </rPr>
          <t>Definition is in the "General info" tab.
Use the dropdown list.</t>
        </r>
      </text>
    </comment>
    <comment ref="A9" authorId="0" shapeId="0" xr:uid="{B01000ED-0EBF-4800-BCD3-6D1256995DE3}">
      <text>
        <r>
          <rPr>
            <b/>
            <sz val="9"/>
            <color indexed="81"/>
            <rFont val="Tahoma"/>
            <family val="2"/>
          </rPr>
          <t>See Guide (help)</t>
        </r>
        <r>
          <rPr>
            <sz val="9"/>
            <color indexed="81"/>
            <rFont val="Tahoma"/>
            <family val="2"/>
          </rPr>
          <t xml:space="preserve">
</t>
        </r>
      </text>
    </comment>
    <comment ref="A11" authorId="0" shapeId="0" xr:uid="{0784A0F9-35BC-47F5-8662-88BF6ABCCA6C}">
      <text>
        <r>
          <rPr>
            <b/>
            <sz val="9"/>
            <color indexed="81"/>
            <rFont val="Tahoma"/>
            <family val="2"/>
          </rPr>
          <t xml:space="preserve">Describe the test environment and setup.
</t>
        </r>
        <r>
          <rPr>
            <sz val="9"/>
            <color indexed="81"/>
            <rFont val="Tahoma"/>
            <family val="2"/>
          </rPr>
          <t xml:space="preserve">
</t>
        </r>
      </text>
    </comment>
    <comment ref="A16" authorId="0" shapeId="0" xr:uid="{07C4C699-F0B0-4669-BCAB-FAC52318958C}">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0089A5B-965E-4E68-91DA-9FC1A152B0F6}">
      <text>
        <r>
          <rPr>
            <b/>
            <sz val="9"/>
            <color indexed="81"/>
            <rFont val="Tahoma"/>
            <family val="2"/>
          </rPr>
          <t xml:space="preserve">See Guide (help)
</t>
        </r>
        <r>
          <rPr>
            <sz val="9"/>
            <color indexed="81"/>
            <rFont val="Tahoma"/>
            <family val="2"/>
          </rPr>
          <t xml:space="preserve">
</t>
        </r>
      </text>
    </comment>
    <comment ref="A3" authorId="0" shapeId="0" xr:uid="{1B2E3024-F0D4-4812-8E8B-4E82C011F677}">
      <text>
        <r>
          <rPr>
            <b/>
            <sz val="9"/>
            <color indexed="81"/>
            <rFont val="Tahoma"/>
            <family val="2"/>
          </rPr>
          <t xml:space="preserve">See Guide (help)
</t>
        </r>
        <r>
          <rPr>
            <sz val="9"/>
            <color indexed="81"/>
            <rFont val="Tahoma"/>
            <family val="2"/>
          </rPr>
          <t xml:space="preserve">
</t>
        </r>
      </text>
    </comment>
    <comment ref="A5" authorId="0" shapeId="0" xr:uid="{5C9421CA-396A-4E6F-9B52-D6363EC10190}">
      <text>
        <r>
          <rPr>
            <sz val="9"/>
            <color indexed="81"/>
            <rFont val="Tahoma"/>
            <family val="2"/>
          </rPr>
          <t>Definition is in the "General info" tab.
Use the dropdown list.</t>
        </r>
      </text>
    </comment>
    <comment ref="A9" authorId="0" shapeId="0" xr:uid="{EB0B9D07-BCB6-43EB-A716-594E69DA166C}">
      <text>
        <r>
          <rPr>
            <b/>
            <sz val="9"/>
            <color indexed="81"/>
            <rFont val="Tahoma"/>
            <family val="2"/>
          </rPr>
          <t>See Guide (help)</t>
        </r>
        <r>
          <rPr>
            <sz val="9"/>
            <color indexed="81"/>
            <rFont val="Tahoma"/>
            <family val="2"/>
          </rPr>
          <t xml:space="preserve">
</t>
        </r>
      </text>
    </comment>
    <comment ref="A11" authorId="0" shapeId="0" xr:uid="{48263337-3828-4A12-BB8C-8E3E47F793E5}">
      <text>
        <r>
          <rPr>
            <b/>
            <sz val="9"/>
            <color indexed="81"/>
            <rFont val="Tahoma"/>
            <family val="2"/>
          </rPr>
          <t xml:space="preserve">Describe the test environment and setup.
</t>
        </r>
        <r>
          <rPr>
            <sz val="9"/>
            <color indexed="81"/>
            <rFont val="Tahoma"/>
            <family val="2"/>
          </rPr>
          <t xml:space="preserve">
</t>
        </r>
      </text>
    </comment>
    <comment ref="A16" authorId="0" shapeId="0" xr:uid="{BEE77E76-B72A-46AC-A3DE-7C42C71A20E3}">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5908349-3A41-4CF7-B490-16D18F925ED8}">
      <text>
        <r>
          <rPr>
            <b/>
            <sz val="9"/>
            <color indexed="81"/>
            <rFont val="Tahoma"/>
            <family val="2"/>
          </rPr>
          <t xml:space="preserve">See Guide (help)
</t>
        </r>
        <r>
          <rPr>
            <sz val="9"/>
            <color indexed="81"/>
            <rFont val="Tahoma"/>
            <family val="2"/>
          </rPr>
          <t xml:space="preserve">
</t>
        </r>
      </text>
    </comment>
    <comment ref="A3" authorId="0" shapeId="0" xr:uid="{413E31CB-495A-4A04-86C7-C57985965AC0}">
      <text>
        <r>
          <rPr>
            <b/>
            <sz val="9"/>
            <color indexed="81"/>
            <rFont val="Tahoma"/>
            <family val="2"/>
          </rPr>
          <t xml:space="preserve">See Guide (help)
</t>
        </r>
        <r>
          <rPr>
            <sz val="9"/>
            <color indexed="81"/>
            <rFont val="Tahoma"/>
            <family val="2"/>
          </rPr>
          <t xml:space="preserve">
</t>
        </r>
      </text>
    </comment>
    <comment ref="A5" authorId="0" shapeId="0" xr:uid="{9CC52169-4FB9-4C69-BCF7-3F34519F3F0A}">
      <text>
        <r>
          <rPr>
            <sz val="9"/>
            <color indexed="81"/>
            <rFont val="Tahoma"/>
            <family val="2"/>
          </rPr>
          <t>Definition is in the "General info" tab.
Use the dropdown list.</t>
        </r>
      </text>
    </comment>
    <comment ref="A9" authorId="0" shapeId="0" xr:uid="{6B8E5F9F-AC5B-43B9-B81E-4FC222EEF64D}">
      <text>
        <r>
          <rPr>
            <b/>
            <sz val="9"/>
            <color indexed="81"/>
            <rFont val="Tahoma"/>
            <family val="2"/>
          </rPr>
          <t>See Guide (help)</t>
        </r>
        <r>
          <rPr>
            <sz val="9"/>
            <color indexed="81"/>
            <rFont val="Tahoma"/>
            <family val="2"/>
          </rPr>
          <t xml:space="preserve">
</t>
        </r>
      </text>
    </comment>
    <comment ref="A11" authorId="0" shapeId="0" xr:uid="{8AB9C53C-33AC-4660-8A33-ACF99DAD90D1}">
      <text>
        <r>
          <rPr>
            <b/>
            <sz val="9"/>
            <color indexed="81"/>
            <rFont val="Tahoma"/>
            <family val="2"/>
          </rPr>
          <t xml:space="preserve">Describe the test environment and setup.
</t>
        </r>
        <r>
          <rPr>
            <sz val="9"/>
            <color indexed="81"/>
            <rFont val="Tahoma"/>
            <family val="2"/>
          </rPr>
          <t xml:space="preserve">
</t>
        </r>
      </text>
    </comment>
    <comment ref="A16" authorId="0" shapeId="0" xr:uid="{7FA76B10-802D-4F26-97E1-3E319AC6C166}">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6D0F12A-5643-42E2-ACF1-34AEAAD61313}">
      <text>
        <r>
          <rPr>
            <b/>
            <sz val="9"/>
            <color indexed="81"/>
            <rFont val="Tahoma"/>
            <family val="2"/>
          </rPr>
          <t xml:space="preserve">See Guide (help)
</t>
        </r>
        <r>
          <rPr>
            <sz val="9"/>
            <color indexed="81"/>
            <rFont val="Tahoma"/>
            <family val="2"/>
          </rPr>
          <t xml:space="preserve">
</t>
        </r>
      </text>
    </comment>
    <comment ref="A3" authorId="0" shapeId="0" xr:uid="{91A70822-8BDC-4BEB-B04E-4253894D012F}">
      <text>
        <r>
          <rPr>
            <b/>
            <sz val="9"/>
            <color indexed="81"/>
            <rFont val="Tahoma"/>
            <family val="2"/>
          </rPr>
          <t xml:space="preserve">See Guide (help)
</t>
        </r>
        <r>
          <rPr>
            <sz val="9"/>
            <color indexed="81"/>
            <rFont val="Tahoma"/>
            <family val="2"/>
          </rPr>
          <t xml:space="preserve">
</t>
        </r>
      </text>
    </comment>
    <comment ref="A5" authorId="0" shapeId="0" xr:uid="{11C4A271-15FF-49C0-9D69-3525EC6748D7}">
      <text>
        <r>
          <rPr>
            <sz val="9"/>
            <color indexed="81"/>
            <rFont val="Tahoma"/>
            <family val="2"/>
          </rPr>
          <t>Definition is in the "General info" tab.
Use the dropdown list.</t>
        </r>
      </text>
    </comment>
    <comment ref="A9" authorId="0" shapeId="0" xr:uid="{3E8D9E9F-E4CF-4475-BEFE-78D36F9EE0C7}">
      <text>
        <r>
          <rPr>
            <b/>
            <sz val="9"/>
            <color indexed="81"/>
            <rFont val="Tahoma"/>
            <family val="2"/>
          </rPr>
          <t>See Guide (help)</t>
        </r>
        <r>
          <rPr>
            <sz val="9"/>
            <color indexed="81"/>
            <rFont val="Tahoma"/>
            <family val="2"/>
          </rPr>
          <t xml:space="preserve">
</t>
        </r>
      </text>
    </comment>
    <comment ref="A11" authorId="0" shapeId="0" xr:uid="{CEEE10A3-B0DA-4C08-B3DB-3E437081D65C}">
      <text>
        <r>
          <rPr>
            <b/>
            <sz val="9"/>
            <color indexed="81"/>
            <rFont val="Tahoma"/>
            <family val="2"/>
          </rPr>
          <t xml:space="preserve">Describe the test environment and setup.
</t>
        </r>
        <r>
          <rPr>
            <sz val="9"/>
            <color indexed="81"/>
            <rFont val="Tahoma"/>
            <family val="2"/>
          </rPr>
          <t xml:space="preserve">
</t>
        </r>
      </text>
    </comment>
    <comment ref="A16" authorId="0" shapeId="0" xr:uid="{E16811E5-0572-4838-9052-22AD764C9382}">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91699E3-C40E-4D3B-9A3C-426CF6D879B4}">
      <text>
        <r>
          <rPr>
            <b/>
            <sz val="9"/>
            <color indexed="81"/>
            <rFont val="Tahoma"/>
            <family val="2"/>
          </rPr>
          <t xml:space="preserve">See Guide (help)
</t>
        </r>
        <r>
          <rPr>
            <sz val="9"/>
            <color indexed="81"/>
            <rFont val="Tahoma"/>
            <family val="2"/>
          </rPr>
          <t xml:space="preserve">
</t>
        </r>
      </text>
    </comment>
    <comment ref="A3" authorId="0" shapeId="0" xr:uid="{0A48B83F-5207-49D1-85C0-102CA1FFC72D}">
      <text>
        <r>
          <rPr>
            <b/>
            <sz val="9"/>
            <color indexed="81"/>
            <rFont val="Tahoma"/>
            <family val="2"/>
          </rPr>
          <t xml:space="preserve">See Guide (help)
</t>
        </r>
        <r>
          <rPr>
            <sz val="9"/>
            <color indexed="81"/>
            <rFont val="Tahoma"/>
            <family val="2"/>
          </rPr>
          <t xml:space="preserve">
</t>
        </r>
      </text>
    </comment>
    <comment ref="A5" authorId="0" shapeId="0" xr:uid="{ECF4C1EC-3E0D-4C94-9D51-693A365FA040}">
      <text>
        <r>
          <rPr>
            <sz val="9"/>
            <color indexed="81"/>
            <rFont val="Tahoma"/>
            <family val="2"/>
          </rPr>
          <t>Definition is in the "General info" tab.
Use the dropdown list.</t>
        </r>
      </text>
    </comment>
    <comment ref="A9" authorId="0" shapeId="0" xr:uid="{FA827F1D-006E-4969-A9FE-BFAF735321D0}">
      <text>
        <r>
          <rPr>
            <b/>
            <sz val="9"/>
            <color indexed="81"/>
            <rFont val="Tahoma"/>
            <family val="2"/>
          </rPr>
          <t>See Guide (help)</t>
        </r>
        <r>
          <rPr>
            <sz val="9"/>
            <color indexed="81"/>
            <rFont val="Tahoma"/>
            <family val="2"/>
          </rPr>
          <t xml:space="preserve">
</t>
        </r>
      </text>
    </comment>
    <comment ref="A11" authorId="0" shapeId="0" xr:uid="{C8FD71E6-FFBE-465B-B43E-6606C81EB704}">
      <text>
        <r>
          <rPr>
            <b/>
            <sz val="9"/>
            <color indexed="81"/>
            <rFont val="Tahoma"/>
            <family val="2"/>
          </rPr>
          <t xml:space="preserve">Describe the test environment and setup.
</t>
        </r>
        <r>
          <rPr>
            <sz val="9"/>
            <color indexed="81"/>
            <rFont val="Tahoma"/>
            <family val="2"/>
          </rPr>
          <t xml:space="preserve">
</t>
        </r>
      </text>
    </comment>
    <comment ref="A16" authorId="0" shapeId="0" xr:uid="{11A9FF12-E911-484A-B218-E64F6BE9FBB4}">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D32468E-73F7-4394-B632-D90CA3FE6785}">
      <text>
        <r>
          <rPr>
            <b/>
            <sz val="9"/>
            <color indexed="81"/>
            <rFont val="Tahoma"/>
            <family val="2"/>
          </rPr>
          <t xml:space="preserve">See Guide (help)
</t>
        </r>
        <r>
          <rPr>
            <sz val="9"/>
            <color indexed="81"/>
            <rFont val="Tahoma"/>
            <family val="2"/>
          </rPr>
          <t xml:space="preserve">
</t>
        </r>
      </text>
    </comment>
    <comment ref="A3" authorId="0" shapeId="0" xr:uid="{AD3E8828-7B6E-437D-8345-49C9C09C8029}">
      <text>
        <r>
          <rPr>
            <b/>
            <sz val="9"/>
            <color indexed="81"/>
            <rFont val="Tahoma"/>
            <family val="2"/>
          </rPr>
          <t xml:space="preserve">See Guide (help)
</t>
        </r>
        <r>
          <rPr>
            <sz val="9"/>
            <color indexed="81"/>
            <rFont val="Tahoma"/>
            <family val="2"/>
          </rPr>
          <t xml:space="preserve">
</t>
        </r>
      </text>
    </comment>
    <comment ref="A5" authorId="0" shapeId="0" xr:uid="{22838793-F19A-4E7A-8CCB-D9E03FB60267}">
      <text>
        <r>
          <rPr>
            <sz val="9"/>
            <color indexed="81"/>
            <rFont val="Tahoma"/>
            <family val="2"/>
          </rPr>
          <t>Definition is in the "General info" tab.
Use the dropdown list.</t>
        </r>
      </text>
    </comment>
    <comment ref="A9" authorId="0" shapeId="0" xr:uid="{CC22C632-1056-42E1-93DC-0769AF08F684}">
      <text>
        <r>
          <rPr>
            <b/>
            <sz val="9"/>
            <color indexed="81"/>
            <rFont val="Tahoma"/>
            <family val="2"/>
          </rPr>
          <t>See Guide (help)</t>
        </r>
        <r>
          <rPr>
            <sz val="9"/>
            <color indexed="81"/>
            <rFont val="Tahoma"/>
            <family val="2"/>
          </rPr>
          <t xml:space="preserve">
</t>
        </r>
      </text>
    </comment>
    <comment ref="A11" authorId="0" shapeId="0" xr:uid="{7F54080D-193D-4676-855C-996D8FE84D7E}">
      <text>
        <r>
          <rPr>
            <b/>
            <sz val="9"/>
            <color indexed="81"/>
            <rFont val="Tahoma"/>
            <family val="2"/>
          </rPr>
          <t xml:space="preserve">Describe the test environment and setup.
</t>
        </r>
        <r>
          <rPr>
            <sz val="9"/>
            <color indexed="81"/>
            <rFont val="Tahoma"/>
            <family val="2"/>
          </rPr>
          <t xml:space="preserve">
</t>
        </r>
      </text>
    </comment>
    <comment ref="A16" authorId="0" shapeId="0" xr:uid="{5CCCA4B6-7AD5-4512-8FF7-CAE7B38605B6}">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9E10DD9-3807-43BE-83B1-AE2D31A9462F}">
      <text>
        <r>
          <rPr>
            <b/>
            <sz val="9"/>
            <color indexed="81"/>
            <rFont val="Tahoma"/>
            <family val="2"/>
          </rPr>
          <t xml:space="preserve">See Guide (help)
</t>
        </r>
        <r>
          <rPr>
            <sz val="9"/>
            <color indexed="81"/>
            <rFont val="Tahoma"/>
            <family val="2"/>
          </rPr>
          <t xml:space="preserve">
</t>
        </r>
      </text>
    </comment>
    <comment ref="A3" authorId="0" shapeId="0" xr:uid="{7AFAF281-7C5B-4488-9942-A83EB3CB11CE}">
      <text>
        <r>
          <rPr>
            <b/>
            <sz val="9"/>
            <color indexed="81"/>
            <rFont val="Tahoma"/>
            <family val="2"/>
          </rPr>
          <t xml:space="preserve">See Guide (help)
</t>
        </r>
        <r>
          <rPr>
            <sz val="9"/>
            <color indexed="81"/>
            <rFont val="Tahoma"/>
            <family val="2"/>
          </rPr>
          <t xml:space="preserve">
</t>
        </r>
      </text>
    </comment>
    <comment ref="A5" authorId="0" shapeId="0" xr:uid="{DE5E62D6-6023-4130-980E-405881B5ABBC}">
      <text>
        <r>
          <rPr>
            <sz val="9"/>
            <color indexed="81"/>
            <rFont val="Tahoma"/>
            <family val="2"/>
          </rPr>
          <t>Definition is in the "General info" tab.
Use the dropdown list.</t>
        </r>
      </text>
    </comment>
    <comment ref="A9" authorId="0" shapeId="0" xr:uid="{210D697C-1EE5-48A9-9DF4-BF8D2B93F924}">
      <text>
        <r>
          <rPr>
            <b/>
            <sz val="9"/>
            <color indexed="81"/>
            <rFont val="Tahoma"/>
            <family val="2"/>
          </rPr>
          <t>See Guide (help)</t>
        </r>
        <r>
          <rPr>
            <sz val="9"/>
            <color indexed="81"/>
            <rFont val="Tahoma"/>
            <family val="2"/>
          </rPr>
          <t xml:space="preserve">
</t>
        </r>
      </text>
    </comment>
    <comment ref="A11" authorId="0" shapeId="0" xr:uid="{FA44169F-1691-4F2B-9388-3A041F70A37B}">
      <text>
        <r>
          <rPr>
            <b/>
            <sz val="9"/>
            <color indexed="81"/>
            <rFont val="Tahoma"/>
            <family val="2"/>
          </rPr>
          <t xml:space="preserve">Describe the test environment and setup.
</t>
        </r>
        <r>
          <rPr>
            <sz val="9"/>
            <color indexed="81"/>
            <rFont val="Tahoma"/>
            <family val="2"/>
          </rPr>
          <t xml:space="preserve">
</t>
        </r>
      </text>
    </comment>
    <comment ref="A16" authorId="0" shapeId="0" xr:uid="{4D877891-5F83-499D-84D9-4F427758115C}">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DF9BEC1-A70D-4BFF-94F6-F5652784C1DE}">
      <text>
        <r>
          <rPr>
            <b/>
            <sz val="9"/>
            <color indexed="81"/>
            <rFont val="Tahoma"/>
            <family val="2"/>
          </rPr>
          <t xml:space="preserve">See Guide (help)
</t>
        </r>
        <r>
          <rPr>
            <sz val="9"/>
            <color indexed="81"/>
            <rFont val="Tahoma"/>
            <family val="2"/>
          </rPr>
          <t xml:space="preserve">
</t>
        </r>
      </text>
    </comment>
    <comment ref="A3" authorId="0" shapeId="0" xr:uid="{EFCE5A78-7BA0-4BF8-9D45-A4C8C9683C0A}">
      <text>
        <r>
          <rPr>
            <b/>
            <sz val="9"/>
            <color indexed="81"/>
            <rFont val="Tahoma"/>
            <family val="2"/>
          </rPr>
          <t xml:space="preserve">See Guide (help)
</t>
        </r>
        <r>
          <rPr>
            <sz val="9"/>
            <color indexed="81"/>
            <rFont val="Tahoma"/>
            <family val="2"/>
          </rPr>
          <t xml:space="preserve">
</t>
        </r>
      </text>
    </comment>
    <comment ref="A5" authorId="0" shapeId="0" xr:uid="{8589FAEA-9AD6-4362-89E6-280B24E26436}">
      <text>
        <r>
          <rPr>
            <sz val="9"/>
            <color indexed="81"/>
            <rFont val="Tahoma"/>
            <family val="2"/>
          </rPr>
          <t>Definition is in the "General info" tab.
Use the dropdown list.</t>
        </r>
      </text>
    </comment>
    <comment ref="A9" authorId="0" shapeId="0" xr:uid="{51A71F27-0C53-48CC-8FCD-5FB31E7C0C12}">
      <text>
        <r>
          <rPr>
            <b/>
            <sz val="9"/>
            <color indexed="81"/>
            <rFont val="Tahoma"/>
            <family val="2"/>
          </rPr>
          <t>See Guide (help)</t>
        </r>
        <r>
          <rPr>
            <sz val="9"/>
            <color indexed="81"/>
            <rFont val="Tahoma"/>
            <family val="2"/>
          </rPr>
          <t xml:space="preserve">
</t>
        </r>
      </text>
    </comment>
    <comment ref="A11" authorId="0" shapeId="0" xr:uid="{316B03A6-05E2-40BC-81F5-53CBCC4C8EBF}">
      <text>
        <r>
          <rPr>
            <b/>
            <sz val="9"/>
            <color indexed="81"/>
            <rFont val="Tahoma"/>
            <family val="2"/>
          </rPr>
          <t xml:space="preserve">Describe the test environment and setup.
</t>
        </r>
        <r>
          <rPr>
            <sz val="9"/>
            <color indexed="81"/>
            <rFont val="Tahoma"/>
            <family val="2"/>
          </rPr>
          <t xml:space="preserve">
</t>
        </r>
      </text>
    </comment>
    <comment ref="A16" authorId="0" shapeId="0" xr:uid="{45542823-150C-49B8-AA9C-520FC768904A}">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7C95FFE-8422-46BF-BC95-7A8E2EEFBC18}">
      <text>
        <r>
          <rPr>
            <b/>
            <sz val="9"/>
            <color indexed="81"/>
            <rFont val="Tahoma"/>
            <family val="2"/>
          </rPr>
          <t xml:space="preserve">See Guide (help)
</t>
        </r>
        <r>
          <rPr>
            <sz val="9"/>
            <color indexed="81"/>
            <rFont val="Tahoma"/>
            <family val="2"/>
          </rPr>
          <t xml:space="preserve">
</t>
        </r>
      </text>
    </comment>
    <comment ref="A3" authorId="0" shapeId="0" xr:uid="{D36FD02E-F9A0-4A90-A022-3604A4EDB319}">
      <text>
        <r>
          <rPr>
            <b/>
            <sz val="9"/>
            <color indexed="81"/>
            <rFont val="Tahoma"/>
            <family val="2"/>
          </rPr>
          <t xml:space="preserve">See Guide (help)
</t>
        </r>
        <r>
          <rPr>
            <sz val="9"/>
            <color indexed="81"/>
            <rFont val="Tahoma"/>
            <family val="2"/>
          </rPr>
          <t xml:space="preserve">
</t>
        </r>
      </text>
    </comment>
    <comment ref="A5" authorId="0" shapeId="0" xr:uid="{F5C8B3FF-F6BD-417E-86FA-3076024020FD}">
      <text>
        <r>
          <rPr>
            <sz val="9"/>
            <color indexed="81"/>
            <rFont val="Tahoma"/>
            <family val="2"/>
          </rPr>
          <t>Definition is in the "General info" tab.
Use the dropdown list.</t>
        </r>
      </text>
    </comment>
    <comment ref="A9" authorId="0" shapeId="0" xr:uid="{4EBA73F4-BB64-4EC0-BC42-8E665BD6D49F}">
      <text>
        <r>
          <rPr>
            <b/>
            <sz val="9"/>
            <color indexed="81"/>
            <rFont val="Tahoma"/>
            <family val="2"/>
          </rPr>
          <t>See Guide (help)</t>
        </r>
        <r>
          <rPr>
            <sz val="9"/>
            <color indexed="81"/>
            <rFont val="Tahoma"/>
            <family val="2"/>
          </rPr>
          <t xml:space="preserve">
</t>
        </r>
      </text>
    </comment>
    <comment ref="A11" authorId="0" shapeId="0" xr:uid="{F6A4EA3D-4F6F-478A-A84C-85EDADDA9A07}">
      <text>
        <r>
          <rPr>
            <b/>
            <sz val="9"/>
            <color indexed="81"/>
            <rFont val="Tahoma"/>
            <family val="2"/>
          </rPr>
          <t xml:space="preserve">Describe the test environment and setup.
</t>
        </r>
        <r>
          <rPr>
            <sz val="9"/>
            <color indexed="81"/>
            <rFont val="Tahoma"/>
            <family val="2"/>
          </rPr>
          <t xml:space="preserve">
</t>
        </r>
      </text>
    </comment>
    <comment ref="A16" authorId="0" shapeId="0" xr:uid="{1A69D80E-D3D9-497E-BDC8-E7656543C936}">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0873CA8-9018-47D3-9391-8E7488853AEA}">
      <text>
        <r>
          <rPr>
            <b/>
            <sz val="9"/>
            <color indexed="81"/>
            <rFont val="Tahoma"/>
            <family val="2"/>
          </rPr>
          <t xml:space="preserve">See Guide (help)
</t>
        </r>
        <r>
          <rPr>
            <sz val="9"/>
            <color indexed="81"/>
            <rFont val="Tahoma"/>
            <family val="2"/>
          </rPr>
          <t xml:space="preserve">
</t>
        </r>
      </text>
    </comment>
    <comment ref="A3" authorId="0" shapeId="0" xr:uid="{EB98CD01-74F1-4D81-A64A-9C777F928054}">
      <text>
        <r>
          <rPr>
            <b/>
            <sz val="9"/>
            <color indexed="81"/>
            <rFont val="Tahoma"/>
            <family val="2"/>
          </rPr>
          <t xml:space="preserve">See Guide (help)
</t>
        </r>
        <r>
          <rPr>
            <sz val="9"/>
            <color indexed="81"/>
            <rFont val="Tahoma"/>
            <family val="2"/>
          </rPr>
          <t xml:space="preserve">
</t>
        </r>
      </text>
    </comment>
    <comment ref="A5" authorId="0" shapeId="0" xr:uid="{4D869CCA-F5A0-40FC-AC7E-BD65A25C52EC}">
      <text>
        <r>
          <rPr>
            <sz val="9"/>
            <color indexed="81"/>
            <rFont val="Tahoma"/>
            <family val="2"/>
          </rPr>
          <t>Definition is in the "General info" tab.
Use the dropdown list.</t>
        </r>
      </text>
    </comment>
    <comment ref="A9" authorId="0" shapeId="0" xr:uid="{F253E172-8BB3-47C3-B926-0944CD713EF5}">
      <text>
        <r>
          <rPr>
            <b/>
            <sz val="9"/>
            <color indexed="81"/>
            <rFont val="Tahoma"/>
            <family val="2"/>
          </rPr>
          <t>See Guide (help)</t>
        </r>
        <r>
          <rPr>
            <sz val="9"/>
            <color indexed="81"/>
            <rFont val="Tahoma"/>
            <family val="2"/>
          </rPr>
          <t xml:space="preserve">
</t>
        </r>
      </text>
    </comment>
    <comment ref="A11" authorId="0" shapeId="0" xr:uid="{1E86098A-2C7D-4FBA-A6E9-594690EDDE65}">
      <text>
        <r>
          <rPr>
            <b/>
            <sz val="9"/>
            <color indexed="81"/>
            <rFont val="Tahoma"/>
            <family val="2"/>
          </rPr>
          <t xml:space="preserve">Describe the test environment and setup.
</t>
        </r>
        <r>
          <rPr>
            <sz val="9"/>
            <color indexed="81"/>
            <rFont val="Tahoma"/>
            <family val="2"/>
          </rPr>
          <t xml:space="preserve">
</t>
        </r>
      </text>
    </comment>
    <comment ref="A16" authorId="0" shapeId="0" xr:uid="{6B0602E4-15D4-447C-B5F4-3F55778BB208}">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4025587-F6D3-433E-9368-F44C720EDA40}">
      <text>
        <r>
          <rPr>
            <b/>
            <sz val="9"/>
            <color indexed="81"/>
            <rFont val="Tahoma"/>
            <family val="2"/>
          </rPr>
          <t xml:space="preserve">See Guide (help)
</t>
        </r>
        <r>
          <rPr>
            <sz val="9"/>
            <color indexed="81"/>
            <rFont val="Tahoma"/>
            <family val="2"/>
          </rPr>
          <t xml:space="preserve">
</t>
        </r>
      </text>
    </comment>
    <comment ref="A3" authorId="0" shapeId="0" xr:uid="{A248A273-911B-443B-8F29-CE3D65FF39DB}">
      <text>
        <r>
          <rPr>
            <b/>
            <sz val="9"/>
            <color indexed="81"/>
            <rFont val="Tahoma"/>
            <family val="2"/>
          </rPr>
          <t xml:space="preserve">See Guide (help)
</t>
        </r>
        <r>
          <rPr>
            <sz val="9"/>
            <color indexed="81"/>
            <rFont val="Tahoma"/>
            <family val="2"/>
          </rPr>
          <t xml:space="preserve">
</t>
        </r>
      </text>
    </comment>
    <comment ref="A5" authorId="0" shapeId="0" xr:uid="{14AF688E-DBFB-47CF-A2C9-34099075BECD}">
      <text>
        <r>
          <rPr>
            <sz val="9"/>
            <color indexed="81"/>
            <rFont val="Tahoma"/>
            <family val="2"/>
          </rPr>
          <t>Definition is in the "General info" tab.
Use the dropdown list.</t>
        </r>
      </text>
    </comment>
    <comment ref="A9" authorId="0" shapeId="0" xr:uid="{B98224C6-A3DE-4723-8595-8D2DD3003F36}">
      <text>
        <r>
          <rPr>
            <b/>
            <sz val="9"/>
            <color indexed="81"/>
            <rFont val="Tahoma"/>
            <family val="2"/>
          </rPr>
          <t>See Guide (help)</t>
        </r>
        <r>
          <rPr>
            <sz val="9"/>
            <color indexed="81"/>
            <rFont val="Tahoma"/>
            <family val="2"/>
          </rPr>
          <t xml:space="preserve">
</t>
        </r>
      </text>
    </comment>
    <comment ref="A11" authorId="0" shapeId="0" xr:uid="{C13B3757-8124-4B60-ABCF-319B1B2B825C}">
      <text>
        <r>
          <rPr>
            <b/>
            <sz val="9"/>
            <color indexed="81"/>
            <rFont val="Tahoma"/>
            <family val="2"/>
          </rPr>
          <t xml:space="preserve">Describe the test environment and setup.
</t>
        </r>
        <r>
          <rPr>
            <sz val="9"/>
            <color indexed="81"/>
            <rFont val="Tahoma"/>
            <family val="2"/>
          </rPr>
          <t xml:space="preserve">
</t>
        </r>
      </text>
    </comment>
    <comment ref="A16" authorId="0" shapeId="0" xr:uid="{B469D083-7AFE-4D9E-80B1-8960939E956E}">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<sst xmlns="http://schemas.openxmlformats.org/spreadsheetml/2006/main" count="1365" uniqueCount="384">
  <si>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</si>
  <si>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</si>
  <si>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</si>
  <si>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</si>
  <si>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</si>
  <si>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</si>
  <si>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</si>
  <si>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</si>
  <si>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</si>
  <si>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</si>
  <si>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</si>
  <si>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</si>
  <si>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</si>
  <si>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</si>
  <si>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</si>
  <si>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</si>
  <si>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</si>
  <si>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</si>
  <si>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</si>
  <si>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</si>
  <si>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</si>
  <si>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</si>
  <si>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</si>
  <si>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</si>
  <si>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</si>
  <si>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</si>
  <si>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</si>
  <si>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</si>
  <si>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</si>
  <si>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</si>
  <si>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</si>
  <si>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</si>
  <si>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</si>
  <si>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</si>
  <si>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</si>
  <si>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</si>
  <si>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</si>
  <si>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</si>
  <si>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</si>
  <si>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</si>
  <si>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</si>
  <si>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</si>
  <si>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</si>
  <si>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</si>
  <si>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</si>
  <si>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</si>
  <si>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</si>
  <si>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</si>
  <si>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</si>
  <si>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</si>
  <si>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</si>
  <si>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</si>
  <si>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</si>
  <si>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</si>
  <si>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</si>
  <si>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</si>
  <si>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</si>
  <si>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</si>
  <si>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</si>
  <si>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</si>
  <si>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</si>
  <si>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</si>
  <si>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</si>
  <si>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</si>
  <si>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</si>
  <si>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</si>
  <si>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</si>
  <si>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</si>
  <si>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</si>
  <si>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</si>
  <si>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</si>
  <si>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</si>
  <si>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</si>
  <si>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</si>
  <si>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</si>
  <si>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</si>
  <si>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</si>
  <si>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</si>
  <si>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</si>
  <si>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</si>
  <si>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</si>
  <si>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</si>
  <si>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</si>
  <si>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</si>
  <si>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</si>
  <si>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</si>
  <si>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</si>
  <si>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</si>
  <si>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</si>
  <si>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</si>
  <si>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</si>
  <si>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</si>
  <si>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</si>
  <si>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</si>
  <si>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</si>
  <si>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</si>
  <si>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</si>
  <si>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</si>
  <si>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</si>
  <si>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</si>
  <si>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</si>
  <si>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</si>
  <si>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</si>
  <si>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</si>
  <si>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</si>
  <si>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</si>
  <si>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</si>
  <si>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</si>
  <si>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</si>
  <si>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</si>
  <si>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</si>
  <si>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</si>
  <si>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</si>
  <si>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</si>
  <si>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</si>
  <si>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</si>
  <si>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</si>
  <si>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</si>
  <si>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</si>
  <si>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</si>
  <si>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</si>
  <si>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</si>
  <si>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</si>
  <si>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</si>
  <si>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</si>
  <si>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</si>
  <si>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Nominal</t>
  </si>
  <si>
    <t>Ok</t>
  </si>
  <si>
    <t>Running software (hsm+bm+fbl+app), no DET, traps, etc</t>
  </si>
  <si>
    <t>Step 10</t>
  </si>
  <si>
    <t>Step 11</t>
  </si>
  <si>
    <t>Functionality of identification diagnostic services (22/2E 03 40, F1 8C, FD 03)</t>
  </si>
  <si>
    <t>1.1</t>
  </si>
  <si>
    <t>WinIdea + IC5000
Canoe + CANcase VN1160</t>
  </si>
  <si>
    <t>Set a breakpoint inside PAI_Init() function</t>
  </si>
  <si>
    <t>Issue debugger reset</t>
  </si>
  <si>
    <t>Run the debugger</t>
  </si>
  <si>
    <t>Breakpoint set</t>
  </si>
  <si>
    <t>Reset</t>
  </si>
  <si>
    <t>Stop the debuger in BP</t>
  </si>
  <si>
    <t>Remove breakpoint</t>
  </si>
  <si>
    <t>Breakpoint removed</t>
  </si>
  <si>
    <t>05.04.2022</t>
  </si>
  <si>
    <t xml:space="preserve">Component Initialization </t>
  </si>
  <si>
    <t>Call of the PAL_Init and PAL_Main functions</t>
  </si>
  <si>
    <t>Set a breakpoint inside PAI_runMainFunction()</t>
  </si>
  <si>
    <t>Control Motor Power Order</t>
  </si>
  <si>
    <t>Functionality of the motor according to power order</t>
  </si>
  <si>
    <t>ARCH_SW_PAL_0020, ARCH_SW_PAL_0025, ARCH_SW_PAL_0026, ARCH_SW_PAL_0027, ARCH_SW_PAL_0028, ARCH_SW_PAL_0029</t>
  </si>
  <si>
    <t xml:space="preserve">Set a BP in BFE_runExecuteStandardSteps Rte_Call_pclMotor_P_SetPowerOrder(Sa34_Saturation, KU16_ZERO); line(3949) </t>
  </si>
  <si>
    <t>Set a BP in PAL_runSetPowerOrder() at line "if ( KU16_ZERO == pal_u16AbsoluteMotorCommand )" line number (330)</t>
  </si>
  <si>
    <t>Set a BP in pal_StopMotorRotation</t>
  </si>
  <si>
    <t>Half Bridge activation/deactivation reached</t>
  </si>
  <si>
    <t>Step Over</t>
  </si>
  <si>
    <t>Step In</t>
  </si>
  <si>
    <t>Modify the s16MotorPowerOrder to 0</t>
  </si>
  <si>
    <t>Stop the motor function called</t>
  </si>
  <si>
    <t>Remove prevoius BPs</t>
  </si>
  <si>
    <t>Set a BP at  pal_u16AbsoluteMotorCommand = U16_GET_ABSOLUTE_VALUE_FROM_S16 ( s16MotorPowerOrder );</t>
  </si>
  <si>
    <t>Modify the s16MotorPowerOrder to a negative numeber</t>
  </si>
  <si>
    <t>Modify the s16MotorPowerOrder to a pozitive numeber greater than 0</t>
  </si>
  <si>
    <t>BP set</t>
  </si>
  <si>
    <t>Debugger stopped in BP</t>
  </si>
  <si>
    <t>Jump in reset function</t>
  </si>
  <si>
    <t>BP removed</t>
  </si>
  <si>
    <t>Variable modified</t>
  </si>
  <si>
    <t>Stopped in the release section</t>
  </si>
  <si>
    <t>Step over</t>
  </si>
  <si>
    <t>Stopped in the tensioning section</t>
  </si>
  <si>
    <t>Step 12</t>
  </si>
  <si>
    <t>Step 13</t>
  </si>
  <si>
    <t>Step 14</t>
  </si>
  <si>
    <t>Step 15</t>
  </si>
  <si>
    <t>Step 16</t>
  </si>
  <si>
    <t>Step 17</t>
  </si>
  <si>
    <t>Step 18</t>
  </si>
  <si>
    <t>Step 19</t>
  </si>
  <si>
    <t>All BPs removed</t>
  </si>
  <si>
    <t>Run</t>
  </si>
  <si>
    <t>V. Chioveanu</t>
  </si>
  <si>
    <t>ARCH_SW_PAL_0070, ARCH_SW_PAL_0075, ARCH_SW_PAL_0076</t>
  </si>
  <si>
    <t>Set a BP in Dio_WriteChannel function</t>
  </si>
  <si>
    <t>Set a BP in PwmIf_SetDutyCycle</t>
  </si>
  <si>
    <t>Remove all BPs</t>
  </si>
  <si>
    <t>PwmIf_SetDutyCycle function reached</t>
  </si>
  <si>
    <t>Dio_WriteChannel  function reached</t>
  </si>
  <si>
    <t>Step 20</t>
  </si>
  <si>
    <t>Step 21</t>
  </si>
  <si>
    <t>Step 22</t>
  </si>
  <si>
    <t>Set the Power to IDLE</t>
  </si>
  <si>
    <t>Verify that IDLE is set by deactivating HB</t>
  </si>
  <si>
    <t>Set a BP in PAL_DisablePowerStage (void) function</t>
  </si>
  <si>
    <t>Debugger reaches the BP</t>
  </si>
  <si>
    <t>Dio_WriteChannel is called to deactivate Vp</t>
  </si>
  <si>
    <t>Dio_WriteChannel is called to deactivate Vn</t>
  </si>
  <si>
    <t>BPs removed</t>
  </si>
  <si>
    <t>Initialization of PAL configuration</t>
  </si>
  <si>
    <t>Dio_WriteChannel is called to deactivate HB</t>
  </si>
  <si>
    <t>Set a breakpoint inside pal_Cfg_Init() function</t>
  </si>
  <si>
    <t>Set a BP in pal_AT_Init()</t>
  </si>
  <si>
    <t>Provide the power consumption</t>
  </si>
  <si>
    <t>Functionality of PAL_runReadMotorCurrentInmA function</t>
  </si>
  <si>
    <t>Set a BP in PAL_runReadMotorCurrentInA funtion at PAL_runReadMotorCurrentInmA (&amp;pal_s32MotorCurrentInmA); line</t>
  </si>
  <si>
    <t>BP Set</t>
  </si>
  <si>
    <t>ARCH_SW_PAL_0085, ARCH_SW_PAL_0086, ARCH_SW_PAL_0080, ARCH_SW_PAL_0100, ARCH_SW_PAL_0105, ARCH_SW_PAL_0106</t>
  </si>
  <si>
    <t>Modify the PAL_Cfg_InternalData.s16RawDutyCycleCommand to a value greater than 0</t>
  </si>
  <si>
    <t>Set a BP in AdcIf_runGetMotor_Ip function</t>
  </si>
  <si>
    <t>Function AdcIf_runGetMotor_Ip is reached to read the Vp</t>
  </si>
  <si>
    <t>Set a BP in PAL_runReadMotorCurrentInmA funtion at pal_s16MotorPowerOrder = PAL_Cfg_InternalData.s16RawDutyCycleCommand; line</t>
  </si>
  <si>
    <t>Debugger stopped in BP in PAL_runReadMotorCurrentInmA</t>
  </si>
  <si>
    <t>Modify the PAL_Cfg_InternalData.s16RawDutyCycleCommand to a value smaller than 0</t>
  </si>
  <si>
    <t>Set a BP in AdcIf_runGetMotor_In function</t>
  </si>
  <si>
    <t>Function AdcIf_runGetMotor_In is reached to read the Vn</t>
  </si>
  <si>
    <t>Check the HW thermal protection availability</t>
  </si>
  <si>
    <t>ARCH_SW_PAL_0140, ARCH_SW_PAL_0141, ARCH_SW_PAL_0145, ARCH_SW_PAL_0146, ARCH_SW_PAL_0147</t>
  </si>
  <si>
    <t>Open the NVP configuration and search NVP_u16HWSelfProtectionCurrentThrs parameter</t>
  </si>
  <si>
    <t>Value 0x0FA0</t>
  </si>
  <si>
    <t>Add CALIB_BLOCK_ID_ECU_PROPERTIES_RomBlockData.NVP_u16HWSelfProtectionCurrentThrs into watch and check for the threshold value</t>
  </si>
  <si>
    <t>Same as in NVP configuration</t>
  </si>
  <si>
    <t xml:space="preserve">Set a BP in pal_bIsPowerStageInSelfProtection function at the first available BP place </t>
  </si>
  <si>
    <t xml:space="preserve">Set a BP1 in AdcIf_runGetMotor_In_10ms function </t>
  </si>
  <si>
    <t xml:space="preserve">Set a BP2 in AdcIf_runGetMotor_Ip_10ms function </t>
  </si>
  <si>
    <t>Set a BP3 in Pal_bIsPowerStageInSelfProtection function at the  if( (pal_u16InternalAnalogSignalIn &lt; pal_u16CurrentSenseThrs) &amp;&amp; line (168)</t>
  </si>
  <si>
    <t>Functionality of identification of HW self protection</t>
  </si>
  <si>
    <t>Nok</t>
  </si>
  <si>
    <t>BP1 reached</t>
  </si>
  <si>
    <t>BP2 reached</t>
  </si>
  <si>
    <t>Remove BP1 and BP2 and run the debugger</t>
  </si>
  <si>
    <t>BP3 reached</t>
  </si>
  <si>
    <t>Set a BP in MMG_runGetTestResult function at the self protection case</t>
  </si>
  <si>
    <t>Remove BP3</t>
  </si>
  <si>
    <t>BP3 removed</t>
  </si>
  <si>
    <t>Debugger reaches BP in MMG_runGetTestResult</t>
  </si>
  <si>
    <t>Check the motor current</t>
  </si>
  <si>
    <t>Functionality of the motor current check interfaces</t>
  </si>
  <si>
    <t>Open the NVP configuration and search NVP_u16MotorCurrentResetTime parameter</t>
  </si>
  <si>
    <t>Add NVP_BLOCK_ID_TESTS_PARAM_DefaultData.NVP_u16MotorCurrentResetTime into watch and check for the threshold value</t>
  </si>
  <si>
    <t>Value 0x0FA1</t>
  </si>
  <si>
    <t>No MMG function is called from pal_bIsPowerStageInSelfProtection</t>
  </si>
  <si>
    <t>BP reached</t>
  </si>
  <si>
    <t>No BFE funcion called by PAL_Autotest_CheckMotorCurrent</t>
  </si>
  <si>
    <t>Set a BP1 in PAL_Autotest_CheckMotorCurrent function at the first available BP place and run the debugger</t>
  </si>
  <si>
    <t>Set a BP2 in BFE to read the executed cycle number</t>
  </si>
  <si>
    <t>BP2 set</t>
  </si>
  <si>
    <t>Set a BP3 in MMG_runGetTestResult at the case ATM_KU8_ID_TEST_MOTOR_CURRENT</t>
  </si>
  <si>
    <t>BP3 set</t>
  </si>
  <si>
    <t>Set a BP4 in PAL_Autotest_CheckMotorCurrent function at the if((KU8_ATM_TEST_NOK == pal_tMotorCurrentEventStatus) line (527)</t>
  </si>
  <si>
    <t>BP4 set</t>
  </si>
  <si>
    <t>BP4 reached</t>
  </si>
  <si>
    <t>Debugger run continously</t>
  </si>
  <si>
    <t>Value 0xEA60</t>
  </si>
  <si>
    <t>04.04.2022</t>
  </si>
  <si>
    <t>Vlad Chioveanu</t>
  </si>
  <si>
    <t>Initial revision, test for PAL module</t>
  </si>
  <si>
    <t>Check the motor thermal protection</t>
  </si>
  <si>
    <t>Open the NVP configuration and search NVP_u32SWThermalProtectionDeskillingThrs parameter</t>
  </si>
  <si>
    <t>Value 0x7D00</t>
  </si>
  <si>
    <t>Set a BP1 in PAL_Autotest_CheckMotorThermalProctection function at the first available BP place and run the debugger</t>
  </si>
  <si>
    <t>Add NVP_BLOCK_ID_TESTS_PARAM_DefaultData.NVP_u32SWThermalProtectionDeskillingThrs into watch and check for the threshold value</t>
  </si>
  <si>
    <t xml:space="preserve">Set a BP2 in PMP_runGetDeficiencyLevel </t>
  </si>
  <si>
    <t>Set a BP3 in MMG_runGetTestResult at the case ATM_KU8_ID_TEST_MOTOR_TEMPERATURE</t>
  </si>
  <si>
    <t>Value 0xEA61</t>
  </si>
  <si>
    <t>Set BP4 in PAL_Autotest_CheckMotorThermalProctection at the if(KU8_ATM_TEST_NOK == pal_tSwThermalProtectionEventStatus) line (602)</t>
  </si>
  <si>
    <t>Remove al BPs</t>
  </si>
  <si>
    <t>Functionality of the motor thermal protection check interfaces</t>
  </si>
  <si>
    <t>Set a BP1 in PAL_Autotest_CheckMotorThermalProctection function at the return point and run the debugger</t>
  </si>
  <si>
    <t>Set a BP at the first possible place in MMG_runAutotestCall100ms function and run the debugger</t>
  </si>
  <si>
    <t>ARCH_SW_PAL_0090, ARCH_SW_PAL_0095,  ARCH_SW_PAL_0110</t>
  </si>
  <si>
    <t>ARCH_SW_PAL_0340, ARCH_SW_PAL_0341, ARCH_SW_PAL_0342, ARCH_SW_PAL_0345,  ARCH_SW_PAL_0346</t>
  </si>
  <si>
    <t>ARCH_SW_PAL_0360, ARCH_SW_PAL_0361, ARCH_SW_PAL_0365, ARCH_SW_PAL_0366, ARCH_SW_PAL_0367</t>
  </si>
  <si>
    <t>SW_IT_PAL_001</t>
  </si>
  <si>
    <t>SW_IT_PAL_002</t>
  </si>
  <si>
    <t>SW_IT_PAL_003</t>
  </si>
  <si>
    <t>Title1: Mihai Ianos</t>
  </si>
  <si>
    <t>Title1: Mihai Ianos
Title4: Name4</t>
  </si>
  <si>
    <t>Title2: Andreea Negrea
Title5: Name5</t>
  </si>
  <si>
    <t>Title3: Septimiu Vintila
Title6: Name6</t>
  </si>
  <si>
    <t>SW_IT_PAL_004</t>
  </si>
  <si>
    <t>SW_IT_PAL_005</t>
  </si>
  <si>
    <t>SW_IT_PAL_006</t>
  </si>
  <si>
    <t>SW_IT_PAL_007</t>
  </si>
  <si>
    <t>SW_IT_PAL_008</t>
  </si>
  <si>
    <t>Main functioality</t>
  </si>
  <si>
    <t>ARCH_SW_PAL_0456; ARCH_SW_PAL_0457</t>
  </si>
  <si>
    <t>Main functionality of PAL</t>
  </si>
  <si>
    <t>Set a BP in PAL_runMainFunction at the switch (PAL_u8ModeState) line</t>
  </si>
  <si>
    <t>Modify PAL_u8ModeState to enter PAL_KU8_IDLE_MODE_STATE case on else check</t>
  </si>
  <si>
    <t>Set a BP in pal_DisablePowerStage at the beginnig of the function</t>
  </si>
  <si>
    <t>Set a BP in PAL_runMainFunction at the switch (PAL_u8ModeState) at the end of the function</t>
  </si>
  <si>
    <t>SW_IT_PAL_009</t>
  </si>
  <si>
    <t>Applied from SW R03.0 release</t>
  </si>
  <si>
    <t>1.2</t>
  </si>
  <si>
    <t>01.09.2022</t>
  </si>
  <si>
    <t>Integration test for R3.0</t>
  </si>
  <si>
    <t>Check autotest functions calls</t>
  </si>
  <si>
    <t>ARCH_SW_PAL_0369, ARCH_SW_PAL_0370, ARCH_SW_PAL_0372, ARCH_SW_PAL_0373, ARCH_SW_PAL_0374, ARCH_SW_PAL_0376, ARCH_SW_PAL_0380, ARCH_SW_PAL_0382, ARCH_SW_PAL_0386</t>
  </si>
  <si>
    <t>One of the value 0x01, 0x02, 0x04</t>
  </si>
  <si>
    <t xml:space="preserve">Set a BP at the end of the function PAL_Autotest_CheckHighSideSwRegulation and evaluate the u8AutoTestResult variable </t>
  </si>
  <si>
    <t>BP not reached</t>
  </si>
  <si>
    <t>Value 0x01</t>
  </si>
  <si>
    <t xml:space="preserve">Set a BP at the end of the function PAL_Autotest_CheckMosfetOCAT and evaluate the u8AutoTestResult variable </t>
  </si>
  <si>
    <t xml:space="preserve">Set a BP at the end of the function PAL_Autotest_CheckMosfetHighSC and evaluate the u8AutoTestResult variable </t>
  </si>
  <si>
    <t xml:space="preserve">Set a BP at the end of the function PAL_Autotest_CheckMosfetLowSC and evaluate the u8AutoTestResult variable </t>
  </si>
  <si>
    <t>Set a BP at the begining  of the function PAL_Autotest_CheckMosfetOCAT, run the debugger and modity the PAL_Cfg_AT_InternalData.u8MosfetOC_State to enter the step 1 execution</t>
  </si>
  <si>
    <t>Set a BP at the begining  of the function PAL_Autotest_CheckMosfetOCAT, run the debugger and modity the PAL_Cfg_AT_InternalData.u8MosfetOC_State to enter the step 2 execution</t>
  </si>
  <si>
    <t>Set a BP at the begining  of the function PAL_Autotest_CheckMosfetOCAT, run the debugger and modity the PAL_Cfg_AT_InternalData.u8MosfetOC_State to enter the step 3 execution</t>
  </si>
  <si>
    <t>Set a BP at the begining  of the function PAL_Autotest_CheckMosfetOCAT, run the debugger and modity the PAL_Cfg_AT_InternalData.u8MosfetOC_State to enter the step 4 execution</t>
  </si>
  <si>
    <t xml:space="preserve">Set a BP at the end of the function PAL_Autotest_CheckMotorConnection and evaluate the u8AutoTestResult variable </t>
  </si>
  <si>
    <t>Value 0x04</t>
  </si>
  <si>
    <t xml:space="preserve">Set a BP at the end of the function PAL_Autotest_CheckMotorDisengagement and evaluate the u8AutoTestResult variable </t>
  </si>
  <si>
    <t xml:space="preserve">Set a BP at the end of the function PAL_Autotest_CheckMotorPowerOrder and evaluate the u8AutoTestResult variable </t>
  </si>
  <si>
    <t xml:space="preserve">Set a BP at the end of the function PAL_Autotest_CheckMotorSC and evaluate the u8AutoTestResult variable </t>
  </si>
  <si>
    <t>ARCH_SW_PAL_0010, ARCH_SW_PAL_0450, ARCH_SW_PAL_0456, ARCH_SW_PAL_0457</t>
  </si>
  <si>
    <t>Autotest MosfetLowSc interfaces</t>
  </si>
  <si>
    <t>Check interfaces of MosfetLowSc autotest</t>
  </si>
  <si>
    <t>ARCH_SW_PAL_0390; ARCH_SW_PAL_0391</t>
  </si>
  <si>
    <t>Set a BP in PAL_Autotest_CheckMosfetLowSC at the  Rte_Call_pclAutotestServices_GetTestResult call</t>
  </si>
  <si>
    <t>Step in</t>
  </si>
  <si>
    <t>Jump in ATM_runGetTestResult</t>
  </si>
  <si>
    <t>ATM_runGetTestResult not reached</t>
  </si>
  <si>
    <t>Set a BP in PAL_Autotest_CheckMosfetLowSC at the  Rte_Call_pclMotor_Vp_Get_100ms call</t>
  </si>
  <si>
    <t>Set a BP in PAL_Autotest_CheckMosfetLowSC at the  Rte_Call_pclMotor_Vn_Get_100ms call</t>
  </si>
  <si>
    <t>Autotest MosfetHighSc interfaces</t>
  </si>
  <si>
    <t>Check interfaces of MosfetHighSc autotest</t>
  </si>
  <si>
    <t>Set a BP in PAL_Autotest_CheckMosfetHighSC at the  Rte_Call_pclMotor_Vp_Get_100ms call</t>
  </si>
  <si>
    <t>Set a BP in PAL_Autotest_CheckMosfetHighSC at the  Rte_Call_pclMotor_Vn_Get_100ms call</t>
  </si>
  <si>
    <t>Set a BP in PAL_Autotest_CheckMosfetHighSC at the  Rte_Call_pclAutotestServices_GetTestResult call</t>
  </si>
  <si>
    <t>Jump in PMP_runGetMotorVn_100ms</t>
  </si>
  <si>
    <t>Jump in PMP_runGetBatteryVoltage_100ms</t>
  </si>
  <si>
    <t>Jump in PMP_runGetMotorVp_100ms</t>
  </si>
  <si>
    <t>Jupm in PMP_runGetBatteryVoltage_100ms</t>
  </si>
  <si>
    <t>Set a BP in PAL_Autotest_CheckMosfetOCAT at the  Rte_Call_pclAutotestServices_GetTestResult call</t>
  </si>
  <si>
    <t>Autotest Motor Connection interfaces</t>
  </si>
  <si>
    <t>Check interfaces of Motor Connection autotest</t>
  </si>
  <si>
    <t>Set a BP in PAL_Autotest_CheckMotorConnection at the  Rte_Call_pclMotor_Vp_Get_100ms call</t>
  </si>
  <si>
    <t>Set a BP in PAL_Autotest_CheckMotorConnection at the  Rte_Call_pclMotor_Vn_Get_100ms call</t>
  </si>
  <si>
    <t>Set a BP in PAL_Autotest_CheckMotorConnection at the  Rte_Call_pclAutotestServices_GetTestResult call</t>
  </si>
  <si>
    <t>Autotest Motor Disegagement interfaces</t>
  </si>
  <si>
    <t>Check interfaces of Motor Disegagement autotest</t>
  </si>
  <si>
    <t>Set a BP in PAL_Autotest_CheckMotorDisengagement at the  Rte_Call_pclAutotestServices_GetTestResult call</t>
  </si>
  <si>
    <t>Set a BP in PAL_Autotest_CheckMotorDisengagement at the  Rte_Call_pclECU_T_GetFiltered_deg call</t>
  </si>
  <si>
    <t>Jump in PMP_runGetFilteredTemperature_deg</t>
  </si>
  <si>
    <t>Set a BP in PAL_Autotest_CheckMotorDisengagement at the  Rte_Call_pclKL30_V_Get_10ms call</t>
  </si>
  <si>
    <t>Set a BP in PAL_Autotest_CheckMosfetHighSC at the  Rte_Call_pclKL30_V_Get_100ms call</t>
  </si>
  <si>
    <t>Set a BP in PAL_Autotest_CheckMotorDisengagement at the  Rte_Call_pclResistance_Get call</t>
  </si>
  <si>
    <t>Set a BP in  PAL_Autotest_CheckMotorDisengagement at the  PAL_runReadMotorCurrentInmAt call</t>
  </si>
  <si>
    <t>Jump in PAL_runReadMotorCurrentInmA</t>
  </si>
  <si>
    <t>Jump in PMP_runGetMotorResistance</t>
  </si>
  <si>
    <t>Autotest Motor Power Order interfaces</t>
  </si>
  <si>
    <t>ARCH_SW_PAL_0381, ARCH_SW_PAL_0390, ARCH_SW_PAL_0391, ARCH_SW_PAL_0392</t>
  </si>
  <si>
    <t>Check interfaces of Motor Power Order autotest</t>
  </si>
  <si>
    <t>Set a BP in PAL_Autotest_CheckMotorPowerOrder at the  Rte_Call_pclAutotestServices_GetTestResult call</t>
  </si>
  <si>
    <t>Set a BP in PAL_Autotest_CheckMotorPowerOrder at the  Rte_Call_pclAecStatus_GetAecStatus call</t>
  </si>
  <si>
    <t>Jump in ERH_runGetAecStatus</t>
  </si>
  <si>
    <t>ERH_runGetAecStatus not reached</t>
  </si>
  <si>
    <t>Set a BP in PAL_Autotest_CheckMotorPowerOrder at the Rte_Call_pclModeManagement_CheckModeStatus call</t>
  </si>
  <si>
    <t>Jump in MMG_runCheckModeStatus</t>
  </si>
  <si>
    <t>Autotest Motor in SC interfaces</t>
  </si>
  <si>
    <t>Check interfaces of Motor in SC autotest</t>
  </si>
  <si>
    <t>Set a BP in PAL_Autotest_CheckMotorSC at the  Rte_Call_pclAutotestServices_GetTestResult call</t>
  </si>
  <si>
    <t>Set a BP in PAL_Autotest_CheckMotorSC at the  Rte_Call_pclKL30_V_Get_10ms call</t>
  </si>
  <si>
    <t>Jump in PMP_runGetBatteryVoltage_10ms</t>
  </si>
  <si>
    <t xml:space="preserve"> ATM_runGetTestResult not reached</t>
  </si>
  <si>
    <t xml:space="preserve">Title1: Galbau Cipian
</t>
  </si>
  <si>
    <t>SW_IT_PAL_010</t>
  </si>
  <si>
    <t>SW_IT_PAL_011</t>
  </si>
  <si>
    <t>SW_IT_PAL_013</t>
  </si>
  <si>
    <t>SW_IT_PAL_014</t>
  </si>
  <si>
    <t>SW_IT_PAL_015</t>
  </si>
  <si>
    <t>SW_IT_PAL_016</t>
  </si>
  <si>
    <t>SW_IT_PAL_017</t>
  </si>
  <si>
    <t xml:space="preserve">PAL Autotests interfaces </t>
  </si>
  <si>
    <t xml:space="preserve">ARCH_SW_PAL_0368, </t>
  </si>
  <si>
    <t>Set a BP in PAL_Autotest_CheckHighSideSwRegulation at the  end of the function</t>
  </si>
  <si>
    <t>Evaluate u8AutoTestResult</t>
  </si>
  <si>
    <t>0x01, 0x02 or 0x04</t>
  </si>
  <si>
    <t>0x01</t>
  </si>
  <si>
    <t>ARCH_SW_PAL_0395, ARCH_SW_PAL_0396, ARCH_SW_PAL_0375</t>
  </si>
  <si>
    <t>ARCH_SW_PAL_0377, ARCH_SW_PAL_0410</t>
  </si>
  <si>
    <t>ARCH_SW_PAL_0378, ARCH_SW_PAL_0379, ARCH_SW_PAL_0380, ARCH_SW_PAL_0400, ARCH_SW_PAL_0401, ARCH_SW_PAL_0402, ARCH_SW_PAL_0403</t>
  </si>
  <si>
    <t>ARCH_SW_PAL_0383, ARCH_SW_PAL_0384, ARCH_SW_PAL_0385, ARCH_SW_PAL_0386, ARCH_SW_PAL_0387, ARCH_SW_PAL_0388, ARCH_SW_PAL_0389, RCH_SW_PAL_0384</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</si>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</sst>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6"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1">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25">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39" xfId="0" applyFont="1" applyBorder="1" applyAlignment="1" applyProtection="1">
      <alignment vertical="center"/>
      <protection locked="0"/>
    </xf>
    <xf numFmtId="0" fontId="0" fillId="0" borderId="39"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5" fillId="0" borderId="10" xfId="0" applyFont="1" applyBorder="1" applyAlignment="1">
      <alignment horizontal="center" vertical="center"/>
    </xf>
    <xf numFmtId="0" fontId="31" fillId="0" borderId="11" xfId="0" applyFont="1" applyFill="1" applyBorder="1" applyAlignment="1">
      <alignment vertical="top"/>
    </xf>
    <xf numFmtId="0" fontId="0" fillId="5" borderId="0" xfId="0" applyFill="1"/>
    <xf numFmtId="0" fontId="35" fillId="5" borderId="0" xfId="0" applyFont="1" applyFill="1" applyBorder="1" applyAlignment="1">
      <alignment horizontal="center" vertical="center"/>
    </xf>
    <xf numFmtId="0" fontId="35" fillId="5" borderId="17"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8" xfId="0" applyFont="1" applyFill="1" applyBorder="1" applyAlignment="1">
      <alignment vertical="center" wrapText="1"/>
    </xf>
    <xf numFmtId="0" fontId="37" fillId="7" borderId="19" xfId="0" applyFont="1" applyFill="1" applyBorder="1" applyAlignment="1">
      <alignment horizontal="center" wrapText="1"/>
    </xf>
    <xf numFmtId="0" fontId="1" fillId="8" borderId="9" xfId="2" applyFont="1" applyFill="1" applyBorder="1" applyAlignment="1">
      <alignment wrapText="1"/>
    </xf>
    <xf numFmtId="0" fontId="35" fillId="5" borderId="7" xfId="0" applyFont="1" applyFill="1" applyBorder="1" applyAlignment="1">
      <alignment horizontal="left" vertical="center"/>
    </xf>
    <xf numFmtId="0" fontId="23" fillId="6" borderId="11" xfId="1" applyFill="1" applyBorder="1" applyAlignment="1">
      <alignment vertical="top"/>
    </xf>
    <xf numFmtId="0" fontId="36" fillId="0" borderId="11" xfId="0" applyFont="1" applyFill="1" applyBorder="1" applyAlignment="1">
      <alignment vertical="top" wrapText="1"/>
    </xf>
    <xf numFmtId="0" fontId="1" fillId="5" borderId="24"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31" fillId="0" borderId="11" xfId="0" applyFont="1" applyFill="1" applyBorder="1" applyAlignment="1">
      <alignment vertical="top" wrapText="1"/>
    </xf>
    <xf numFmtId="0" fontId="31" fillId="0" borderId="11" xfId="0" applyFont="1" applyFill="1" applyBorder="1" applyAlignment="1">
      <alignment horizontal="left" vertical="top" wrapText="1"/>
    </xf>
    <xf numFmtId="0" fontId="35" fillId="0" borderId="40" xfId="0" applyFont="1" applyBorder="1" applyAlignment="1">
      <alignment horizontal="center" vertical="center"/>
    </xf>
    <xf numFmtId="0" fontId="44" fillId="10" borderId="7" xfId="0" applyFont="1" applyFill="1" applyBorder="1" applyAlignment="1">
      <alignment horizontal="center" vertical="center" wrapText="1"/>
    </xf>
    <xf numFmtId="0" fontId="6" fillId="0" borderId="21" xfId="0" applyFont="1" applyBorder="1" applyAlignment="1" applyProtection="1">
      <alignment horizontal="left"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0" xfId="0" applyFont="1" applyBorder="1" applyAlignment="1" applyProtection="1">
      <alignment horizontal="left" vertical="center" shrinkToFit="1"/>
    </xf>
    <xf numFmtId="0" fontId="1" fillId="0" borderId="15"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0" xfId="0" applyFont="1" applyFill="1" applyBorder="1" applyAlignment="1" applyProtection="1">
      <alignment horizontal="left" vertical="top"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4" xfId="0" applyFont="1" applyFill="1" applyBorder="1" applyAlignment="1" applyProtection="1">
      <alignment horizontal="left" vertical="top" wrapText="1" shrinkToFit="1"/>
      <protection locked="0"/>
    </xf>
    <xf numFmtId="0" fontId="2" fillId="0" borderId="25"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21" xfId="0" applyFont="1" applyFill="1" applyBorder="1" applyAlignment="1" applyProtection="1">
      <alignment horizontal="left" vertical="top"/>
      <protection locked="0"/>
    </xf>
    <xf numFmtId="0" fontId="4"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39" fillId="9" borderId="22"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0"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0" xfId="0" applyFont="1" applyFill="1" applyBorder="1" applyAlignment="1" applyProtection="1">
      <alignment horizontal="left" vertical="top" wrapText="1" shrinkToFit="1"/>
      <protection locked="0"/>
    </xf>
    <xf numFmtId="0" fontId="39" fillId="9" borderId="21" xfId="0" applyFont="1" applyFill="1" applyBorder="1" applyAlignment="1" applyProtection="1">
      <alignment horizontal="center" vertical="center" shrinkToFit="1"/>
      <protection locked="0"/>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6" fillId="0" borderId="21" xfId="0" applyFont="1" applyBorder="1" applyAlignment="1" applyProtection="1">
      <alignment horizontal="left" vertical="center" shrinkToFit="1"/>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1" fillId="0" borderId="1" xfId="0" applyFont="1" applyFill="1" applyBorder="1" applyAlignment="1" applyProtection="1">
      <alignment horizontal="left" vertical="top" wrapText="1" shrinkToFit="1"/>
      <protection locked="0"/>
    </xf>
    <xf numFmtId="0" fontId="6" fillId="0" borderId="21" xfId="0" applyFont="1" applyFill="1" applyBorder="1" applyAlignment="1" applyProtection="1">
      <alignment horizontal="left" vertical="center" shrinkToFi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8" fillId="2" borderId="10" xfId="0" applyFont="1"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0" fontId="6" fillId="3" borderId="21"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0" xfId="0" applyFont="1" applyFill="1" applyBorder="1" applyAlignment="1" applyProtection="1">
      <alignment horizontal="left" vertical="center" shrinkToFit="1"/>
    </xf>
    <xf numFmtId="0" fontId="6"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0" xfId="0" applyFont="1" applyFill="1" applyBorder="1" applyAlignment="1" applyProtection="1">
      <alignment horizontal="left" vertical="center" shrinkToFit="1"/>
    </xf>
    <xf numFmtId="49" fontId="1" fillId="0" borderId="24" xfId="0" applyNumberFormat="1" applyFont="1" applyFill="1" applyBorder="1" applyAlignment="1" applyProtection="1">
      <alignment horizontal="left" vertical="center" wrapText="1"/>
      <protection locked="0"/>
    </xf>
    <xf numFmtId="49" fontId="4" fillId="0" borderId="25"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5" fillId="0" borderId="0" xfId="0" applyNumberFormat="1" applyFont="1" applyFill="1" applyAlignment="1" applyProtection="1">
      <alignment horizontal="left" vertical="top" wrapText="1"/>
      <protection locked="0"/>
    </xf>
    <xf numFmtId="49" fontId="1" fillId="0" borderId="24" xfId="0" applyNumberFormat="1" applyFont="1" applyFill="1" applyBorder="1" applyAlignment="1" applyProtection="1">
      <alignment horizontal="center" vertical="center" wrapText="1"/>
      <protection locked="0"/>
    </xf>
    <xf numFmtId="49" fontId="4" fillId="0" borderId="25" xfId="0" applyNumberFormat="1" applyFont="1" applyFill="1" applyBorder="1" applyAlignment="1" applyProtection="1">
      <alignment horizontal="center" vertical="center" wrapText="1"/>
      <protection locked="0"/>
    </xf>
    <xf numFmtId="49" fontId="4" fillId="0" borderId="16" xfId="0" applyNumberFormat="1" applyFont="1" applyFill="1" applyBorder="1" applyAlignment="1" applyProtection="1">
      <alignment horizontal="center" vertical="center" wrapText="1"/>
      <protection locked="0"/>
    </xf>
    <xf numFmtId="49" fontId="1" fillId="0" borderId="25" xfId="0" applyNumberFormat="1" applyFont="1" applyFill="1" applyBorder="1" applyAlignment="1" applyProtection="1">
      <alignment horizontal="left" vertical="center" wrapText="1"/>
      <protection locked="0"/>
    </xf>
    <xf numFmtId="49" fontId="1" fillId="0" borderId="16"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16" xfId="0" applyBorder="1" applyAlignment="1">
      <alignment horizontal="left" vertical="center" wrapText="1"/>
    </xf>
    <xf numFmtId="0" fontId="1" fillId="0" borderId="24" xfId="0" applyFont="1" applyBorder="1" applyAlignment="1">
      <alignment horizontal="left" vertical="center" wrapText="1"/>
    </xf>
    <xf numFmtId="0" fontId="8" fillId="2" borderId="24" xfId="0" applyFont="1" applyFill="1" applyBorder="1" applyAlignment="1" applyProtection="1">
      <alignment horizontal="center" vertical="center" wrapText="1"/>
      <protection locked="0"/>
    </xf>
    <xf numFmtId="0" fontId="8" fillId="2" borderId="25" xfId="0" applyFont="1" applyFill="1" applyBorder="1" applyAlignment="1" applyProtection="1">
      <alignment horizontal="center" vertical="center" wrapText="1"/>
      <protection locked="0"/>
    </xf>
    <xf numFmtId="0" fontId="8" fillId="2" borderId="16" xfId="0"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1" fillId="5" borderId="24"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10" xfId="2" applyFont="1" applyFill="1" applyBorder="1" applyAlignment="1">
      <alignment horizontal="left" vertical="top" wrapText="1" shrinkToFit="1"/>
    </xf>
    <xf numFmtId="0" fontId="37" fillId="7" borderId="28" xfId="0" applyFont="1" applyFill="1" applyBorder="1" applyAlignment="1">
      <alignment horizontal="center" wrapText="1"/>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3" xfId="0" applyFont="1" applyFill="1" applyBorder="1" applyAlignment="1">
      <alignment horizontal="left" vertical="center" wrapText="1"/>
    </xf>
    <xf numFmtId="0" fontId="37" fillId="7" borderId="35" xfId="0" applyFont="1" applyFill="1" applyBorder="1" applyAlignment="1">
      <alignment horizontal="left" vertical="center" wrapText="1"/>
    </xf>
    <xf numFmtId="0" fontId="1" fillId="5" borderId="31" xfId="0" applyFont="1" applyFill="1" applyBorder="1" applyAlignment="1">
      <alignment horizontal="left" vertical="top"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9" fillId="5" borderId="6" xfId="0" applyFont="1" applyFill="1" applyBorder="1" applyAlignment="1">
      <alignment horizontal="left"/>
    </xf>
    <xf numFmtId="0" fontId="1" fillId="5" borderId="26" xfId="0" applyFont="1" applyFill="1" applyBorder="1" applyAlignment="1">
      <alignment horizontal="left"/>
    </xf>
    <xf numFmtId="0" fontId="1" fillId="5" borderId="27" xfId="0" applyFont="1" applyFill="1" applyBorder="1" applyAlignment="1">
      <alignment horizontal="left"/>
    </xf>
    <xf numFmtId="0" fontId="1" fillId="5" borderId="6" xfId="0" applyFont="1" applyFill="1" applyBorder="1" applyAlignment="1">
      <alignment horizontal="left" vertical="top"/>
    </xf>
    <xf numFmtId="0" fontId="1" fillId="5" borderId="26" xfId="0" applyFont="1" applyFill="1" applyBorder="1" applyAlignment="1">
      <alignment horizontal="left" vertical="top"/>
    </xf>
    <xf numFmtId="0" fontId="1" fillId="5" borderId="27" xfId="0" applyFont="1" applyFill="1" applyBorder="1" applyAlignment="1">
      <alignment horizontal="left" vertical="top"/>
    </xf>
    <xf numFmtId="0" fontId="1" fillId="5" borderId="6" xfId="0" applyFont="1" applyFill="1" applyBorder="1" applyAlignment="1">
      <alignment horizontal="left" vertical="top" wrapText="1"/>
    </xf>
    <xf numFmtId="0" fontId="1" fillId="5" borderId="26" xfId="0" applyFont="1" applyFill="1" applyBorder="1" applyAlignment="1">
      <alignment horizontal="left" vertical="top" wrapText="1"/>
    </xf>
    <xf numFmtId="0" fontId="1" fillId="5" borderId="27" xfId="0" applyFont="1" applyFill="1" applyBorder="1" applyAlignment="1">
      <alignment horizontal="left" vertical="top" wrapText="1"/>
    </xf>
    <xf numFmtId="0" fontId="1" fillId="5" borderId="24" xfId="2" applyFont="1" applyFill="1" applyBorder="1" applyAlignment="1">
      <alignment vertical="top" wrapText="1" shrinkToFit="1"/>
    </xf>
    <xf numFmtId="0" fontId="1" fillId="5" borderId="25" xfId="2" applyFont="1" applyFill="1" applyBorder="1" applyAlignment="1">
      <alignment vertical="top" wrapText="1" shrinkToFit="1"/>
    </xf>
    <xf numFmtId="0" fontId="1" fillId="5" borderId="16" xfId="2" applyFont="1" applyFill="1" applyBorder="1" applyAlignment="1">
      <alignment vertical="top" wrapText="1" shrinkToFit="1"/>
    </xf>
  </cellXfs>
  <cellStyles count="3">
    <cellStyle name="Hyperlink" xfId="1" builtinId="8"/>
    <cellStyle name="Normal" xfId="0" builtinId="0"/>
    <cellStyle name="Normal 2" xfId="2" xr:uid="{00000000-0005-0000-0000-000002000000}"/>
  </cellStyles>
  <dxfs count="220">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0.4375</c:v>
                </c:pt>
                <c:pt idx="1">
                  <c:v>0.5625</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B6" sqref="AB6:AD6"/>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PAL - Software Integration Test Specification Report.xlsm</v>
      </c>
      <c r="AE3" s="8"/>
      <c r="AF3" s="8"/>
      <c r="AG3" s="8"/>
      <c r="AH3" s="8"/>
      <c r="AI3" s="8"/>
      <c r="AJ3" s="8"/>
      <c r="AK3" s="8"/>
    </row>
    <row r="4" spans="1:37" s="7" customFormat="1" ht="11.1" customHeight="1" x14ac:dyDescent="0.25">
      <c r="A4" s="145" t="s">
        <v>0</v>
      </c>
      <c r="B4" s="146"/>
      <c r="C4" s="146"/>
      <c r="D4" s="146"/>
      <c r="E4" s="146"/>
      <c r="F4" s="146"/>
      <c r="G4" s="146"/>
      <c r="H4" s="146"/>
      <c r="I4" s="146"/>
      <c r="J4" s="146"/>
      <c r="K4" s="146"/>
      <c r="L4" s="146"/>
      <c r="M4" s="146"/>
      <c r="N4" s="146"/>
      <c r="O4" s="146"/>
      <c r="P4" s="146"/>
      <c r="Q4" s="146"/>
      <c r="R4" s="146"/>
      <c r="S4" s="146"/>
      <c r="T4" s="146"/>
      <c r="U4" s="146"/>
      <c r="V4" s="147"/>
      <c r="W4" s="115" t="s">
        <v>1</v>
      </c>
      <c r="X4" s="116"/>
      <c r="Y4" s="116"/>
      <c r="Z4" s="116"/>
      <c r="AA4" s="117"/>
      <c r="AB4" s="151" t="s">
        <v>20</v>
      </c>
      <c r="AC4" s="152"/>
      <c r="AD4" s="152"/>
      <c r="AE4" s="152"/>
      <c r="AF4" s="152"/>
      <c r="AG4" s="153"/>
      <c r="AH4" s="10"/>
      <c r="AI4" s="10"/>
      <c r="AJ4" s="10"/>
      <c r="AK4" s="8"/>
    </row>
    <row r="5" spans="1:37" s="12" customFormat="1" ht="12.75" customHeight="1" x14ac:dyDescent="0.25">
      <c r="A5" s="118" t="str">
        <f ca="1" xml:space="preserve"> IFERROR(IF([1]!alvDocProperty("MXAuthority")="","Process and method",[1]!alvDocProperty("MXAuthority")),"Process and method")</f>
        <v>Process and method</v>
      </c>
      <c r="B5" s="119"/>
      <c r="C5" s="119"/>
      <c r="D5" s="119"/>
      <c r="E5" s="119"/>
      <c r="F5" s="119"/>
      <c r="G5" s="119"/>
      <c r="H5" s="119"/>
      <c r="I5" s="119"/>
      <c r="J5" s="119"/>
      <c r="K5" s="119"/>
      <c r="L5" s="119"/>
      <c r="M5" s="119"/>
      <c r="N5" s="119"/>
      <c r="O5" s="119"/>
      <c r="P5" s="119"/>
      <c r="Q5" s="119"/>
      <c r="R5" s="119"/>
      <c r="S5" s="119"/>
      <c r="T5" s="119"/>
      <c r="U5" s="119"/>
      <c r="V5" s="120"/>
      <c r="W5" s="118" t="str">
        <f ca="1" xml:space="preserve"> IFERROR(IF([1]!alvDocProperty("MXCurrent.Localized")="","Template released",[1]!alvDocProperty("MXCurrent.Localized")),"Template released")</f>
        <v>Template released</v>
      </c>
      <c r="X5" s="119"/>
      <c r="Y5" s="119"/>
      <c r="Z5" s="119"/>
      <c r="AA5" s="120"/>
      <c r="AB5" s="118" t="s">
        <v>292</v>
      </c>
      <c r="AC5" s="119"/>
      <c r="AD5" s="119"/>
      <c r="AE5" s="119"/>
      <c r="AF5" s="119"/>
      <c r="AG5" s="120"/>
      <c r="AH5" s="11"/>
      <c r="AI5" s="11"/>
      <c r="AJ5" s="11"/>
      <c r="AK5" s="11"/>
    </row>
    <row r="6" spans="1:37" s="45" customFormat="1" ht="11.1" customHeight="1" x14ac:dyDescent="0.25">
      <c r="A6" s="115" t="s">
        <v>2</v>
      </c>
      <c r="B6" s="116"/>
      <c r="C6" s="116"/>
      <c r="D6" s="117"/>
      <c r="E6" s="115" t="s">
        <v>3</v>
      </c>
      <c r="F6" s="116"/>
      <c r="G6" s="116"/>
      <c r="H6" s="116"/>
      <c r="I6" s="116"/>
      <c r="J6" s="116"/>
      <c r="K6" s="116"/>
      <c r="L6" s="116"/>
      <c r="M6" s="116"/>
      <c r="N6" s="116"/>
      <c r="O6" s="116"/>
      <c r="P6" s="116"/>
      <c r="Q6" s="116"/>
      <c r="R6" s="116"/>
      <c r="S6" s="116"/>
      <c r="T6" s="116"/>
      <c r="U6" s="116"/>
      <c r="V6" s="117"/>
      <c r="W6" s="145" t="s">
        <v>15</v>
      </c>
      <c r="X6" s="146"/>
      <c r="Y6" s="146"/>
      <c r="Z6" s="146"/>
      <c r="AA6" s="147"/>
      <c r="AB6" s="115"/>
      <c r="AC6" s="116"/>
      <c r="AD6" s="117"/>
      <c r="AE6" s="115" t="s">
        <v>4</v>
      </c>
      <c r="AF6" s="116"/>
      <c r="AG6" s="117"/>
      <c r="AH6" s="44"/>
      <c r="AI6" s="44"/>
      <c r="AJ6" s="44"/>
      <c r="AK6" s="44"/>
    </row>
    <row r="7" spans="1:37" s="14" customFormat="1" ht="12.75" customHeight="1" x14ac:dyDescent="0.25">
      <c r="A7" s="118" t="str">
        <f ca="1" xml:space="preserve"> IFERROR(IF([1]!alvDocProperty("MXName")="","TBD",[1]!alvDocProperty("MXName")),"TBD")</f>
        <v>TBD</v>
      </c>
      <c r="B7" s="119"/>
      <c r="C7" s="119"/>
      <c r="D7" s="120"/>
      <c r="E7" s="118" t="str">
        <f ca="1" xml:space="preserve"> IFERROR(IF([1]!alvDocProperty("MXTitle")="","PAL - Software Integration Test Specification Report (SITS-SITR)",[1]!alvDocProperty("MXTitle")),"PAL - Software Integration Test Specification Report (SITS-SITR)")</f>
        <v>PAL - Software Integration Test Specification Report (SITS-SITR)</v>
      </c>
      <c r="F7" s="119"/>
      <c r="G7" s="119"/>
      <c r="H7" s="119"/>
      <c r="I7" s="119"/>
      <c r="J7" s="119"/>
      <c r="K7" s="119"/>
      <c r="L7" s="119"/>
      <c r="M7" s="119"/>
      <c r="N7" s="119"/>
      <c r="O7" s="119"/>
      <c r="P7" s="119"/>
      <c r="Q7" s="119"/>
      <c r="R7" s="119"/>
      <c r="S7" s="119"/>
      <c r="T7" s="119"/>
      <c r="U7" s="119"/>
      <c r="V7" s="120"/>
      <c r="W7" s="118" t="str">
        <f ca="1" xml:space="preserve"> IFERROR(IF([1]!alvDocProperty("MXDocTemplate_Name")="","SW04TEM001",[1]!alvDocProperty("MXDocTemplate_Name")),"SW04TEM001")</f>
        <v>SW04TEM001</v>
      </c>
      <c r="X7" s="119"/>
      <c r="Y7" s="119"/>
      <c r="Z7" s="119"/>
      <c r="AA7" s="120"/>
      <c r="AB7" s="118"/>
      <c r="AC7" s="119"/>
      <c r="AD7" s="120"/>
      <c r="AE7" s="118">
        <v>1.2</v>
      </c>
      <c r="AF7" s="119"/>
      <c r="AG7" s="120"/>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9" t="s">
        <v>21</v>
      </c>
      <c r="B9" s="130"/>
      <c r="C9" s="130"/>
      <c r="D9" s="130"/>
      <c r="E9" s="130"/>
      <c r="F9" s="130"/>
      <c r="G9" s="130"/>
      <c r="H9" s="130"/>
      <c r="I9" s="130"/>
      <c r="J9" s="130"/>
      <c r="K9" s="131"/>
      <c r="L9" s="129" t="s">
        <v>22</v>
      </c>
      <c r="M9" s="130"/>
      <c r="N9" s="130"/>
      <c r="O9" s="130"/>
      <c r="P9" s="130"/>
      <c r="Q9" s="130"/>
      <c r="R9" s="130"/>
      <c r="S9" s="130"/>
      <c r="T9" s="130"/>
      <c r="U9" s="130"/>
      <c r="V9" s="131"/>
      <c r="W9" s="129" t="s">
        <v>23</v>
      </c>
      <c r="X9" s="130"/>
      <c r="Y9" s="130"/>
      <c r="Z9" s="130"/>
      <c r="AA9" s="130"/>
      <c r="AB9" s="130"/>
      <c r="AC9" s="130"/>
      <c r="AD9" s="130"/>
      <c r="AE9" s="130"/>
      <c r="AF9" s="130"/>
      <c r="AG9" s="131"/>
      <c r="AH9" s="15"/>
      <c r="AI9" s="15"/>
    </row>
    <row r="10" spans="1:37" s="49" customFormat="1" ht="28.5" customHeight="1" x14ac:dyDescent="0.25">
      <c r="A10" s="148" t="s">
        <v>33</v>
      </c>
      <c r="B10" s="149"/>
      <c r="C10" s="149"/>
      <c r="D10" s="149"/>
      <c r="E10" s="149"/>
      <c r="F10" s="140" t="str">
        <f ca="1" xml:space="preserve"> IFERROR(IF([1]!alvDocProperty("MXUser")="","TBD",[1]!alvDocProperty("MXUser")),"Vlad Chioveanu")</f>
        <v>Vlad Chioveanu</v>
      </c>
      <c r="G10" s="140"/>
      <c r="H10" s="140"/>
      <c r="I10" s="140"/>
      <c r="J10" s="140"/>
      <c r="K10" s="141"/>
      <c r="L10" s="150" t="s">
        <v>363</v>
      </c>
      <c r="M10" s="122"/>
      <c r="N10" s="122"/>
      <c r="O10" s="122"/>
      <c r="P10" s="122"/>
      <c r="Q10" s="122"/>
      <c r="R10" s="122"/>
      <c r="S10" s="122"/>
      <c r="T10" s="122"/>
      <c r="U10" s="122"/>
      <c r="V10" s="123"/>
      <c r="W10" s="121" t="s">
        <v>273</v>
      </c>
      <c r="X10" s="122"/>
      <c r="Y10" s="122"/>
      <c r="Z10" s="122"/>
      <c r="AA10" s="122"/>
      <c r="AB10" s="122"/>
      <c r="AC10" s="122"/>
      <c r="AD10" s="122"/>
      <c r="AE10" s="122"/>
      <c r="AF10" s="122"/>
      <c r="AG10" s="123"/>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42" t="s">
        <v>24</v>
      </c>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c r="AA12" s="143"/>
      <c r="AB12" s="143"/>
      <c r="AC12" s="143"/>
      <c r="AD12" s="143"/>
      <c r="AE12" s="143"/>
      <c r="AF12" s="143"/>
      <c r="AG12" s="144"/>
      <c r="AH12" s="15"/>
      <c r="AI12" s="15"/>
      <c r="AJ12" s="15"/>
      <c r="AK12" s="15"/>
    </row>
    <row r="13" spans="1:37" s="49" customFormat="1" ht="28.5" customHeight="1" x14ac:dyDescent="0.25">
      <c r="A13" s="126" t="s">
        <v>274</v>
      </c>
      <c r="B13" s="127"/>
      <c r="C13" s="127"/>
      <c r="D13" s="127"/>
      <c r="E13" s="127"/>
      <c r="F13" s="127"/>
      <c r="G13" s="127"/>
      <c r="H13" s="127"/>
      <c r="I13" s="127"/>
      <c r="J13" s="127"/>
      <c r="K13" s="128"/>
      <c r="L13" s="121" t="s">
        <v>275</v>
      </c>
      <c r="M13" s="122"/>
      <c r="N13" s="122"/>
      <c r="O13" s="122"/>
      <c r="P13" s="122"/>
      <c r="Q13" s="122"/>
      <c r="R13" s="122"/>
      <c r="S13" s="122"/>
      <c r="T13" s="122"/>
      <c r="U13" s="122"/>
      <c r="V13" s="123"/>
      <c r="W13" s="126" t="s">
        <v>276</v>
      </c>
      <c r="X13" s="127"/>
      <c r="Y13" s="127"/>
      <c r="Z13" s="127"/>
      <c r="AA13" s="127"/>
      <c r="AB13" s="127"/>
      <c r="AC13" s="127"/>
      <c r="AD13" s="127"/>
      <c r="AE13" s="127"/>
      <c r="AF13" s="127"/>
      <c r="AG13" s="128"/>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35" t="s">
        <v>25</v>
      </c>
      <c r="B15" s="135"/>
      <c r="C15" s="135"/>
      <c r="D15" s="135"/>
      <c r="E15" s="132" t="s">
        <v>290</v>
      </c>
      <c r="F15" s="133"/>
      <c r="G15" s="133"/>
      <c r="H15" s="133"/>
      <c r="I15" s="133"/>
      <c r="J15" s="133"/>
      <c r="K15" s="133"/>
      <c r="L15" s="133"/>
      <c r="M15" s="133"/>
      <c r="N15" s="133"/>
      <c r="O15" s="133"/>
      <c r="P15" s="133"/>
      <c r="Q15" s="133"/>
      <c r="R15" s="133"/>
      <c r="S15" s="133"/>
      <c r="T15" s="133"/>
      <c r="U15" s="133"/>
      <c r="V15" s="133"/>
      <c r="W15" s="133"/>
      <c r="X15" s="133"/>
      <c r="Y15" s="133"/>
      <c r="Z15" s="133"/>
      <c r="AA15" s="133"/>
      <c r="AB15" s="133"/>
      <c r="AC15" s="133"/>
      <c r="AD15" s="133"/>
      <c r="AE15" s="133"/>
      <c r="AF15" s="133"/>
      <c r="AG15" s="134"/>
      <c r="AH15" s="17"/>
      <c r="AI15" s="17"/>
      <c r="AJ15" s="17"/>
      <c r="AK15" s="17"/>
    </row>
    <row r="16" spans="1:37" s="18" customFormat="1" ht="37.5" customHeight="1" x14ac:dyDescent="0.25">
      <c r="A16" s="136"/>
      <c r="B16" s="136"/>
      <c r="C16" s="136"/>
      <c r="D16" s="136"/>
      <c r="E16" s="137"/>
      <c r="F16" s="138"/>
      <c r="G16" s="138"/>
      <c r="H16" s="138"/>
      <c r="I16" s="138"/>
      <c r="J16" s="138"/>
      <c r="K16" s="138"/>
      <c r="L16" s="138"/>
      <c r="M16" s="138"/>
      <c r="N16" s="138"/>
      <c r="O16" s="138"/>
      <c r="P16" s="138"/>
      <c r="Q16" s="138"/>
      <c r="R16" s="138"/>
      <c r="S16" s="138"/>
      <c r="T16" s="138"/>
      <c r="U16" s="138"/>
      <c r="V16" s="138"/>
      <c r="W16" s="138"/>
      <c r="X16" s="138"/>
      <c r="Y16" s="138"/>
      <c r="Z16" s="138"/>
      <c r="AA16" s="138"/>
      <c r="AB16" s="138"/>
      <c r="AC16" s="138"/>
      <c r="AD16" s="138"/>
      <c r="AE16" s="138"/>
      <c r="AF16" s="138"/>
      <c r="AG16" s="139"/>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24" t="str">
        <f ca="1">MXTitle</f>
        <v>PAL - Software Integration Test Specification Report (SITS-SITR)</v>
      </c>
      <c r="B23" s="125"/>
      <c r="C23" s="1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s>
  <phoneticPr fontId="3" type="noConversion"/>
  <conditionalFormatting sqref="W5:AA5">
    <cfRule type="cellIs" dxfId="219" priority="1" operator="equal">
      <formula>"In-Work"</formula>
    </cfRule>
    <cfRule type="cellIs" dxfId="218" priority="2" stopIfTrue="1" operator="equal">
      <formula>"draft"</formula>
    </cfRule>
    <cfRule type="cellIs" dxfId="217" priority="3" operator="equal">
      <formula>"In-Work"</formula>
    </cfRule>
    <cfRule type="cellIs" dxfId="216" priority="4" stopIfTrue="1" operator="equal">
      <formula>"draft"</formula>
    </cfRule>
    <cfRule type="cellIs" dxfId="215" priority="5" operator="equal">
      <formula>"In-Work"</formula>
    </cfRule>
    <cfRule type="cellIs" dxfId="214" priority="6" stopIfTrue="1" operator="equal">
      <formula>"draft"</formula>
    </cfRule>
    <cfRule type="cellIs" dxfId="213" priority="7" operator="equal">
      <formula>"In-Work"</formula>
    </cfRule>
    <cfRule type="cellIs" dxfId="212" priority="8" stopIfTrue="1" operator="equal">
      <formula>"draft"</formula>
    </cfRule>
    <cfRule type="cellIs" dxfId="211" priority="9" operator="equal">
      <formula>"In-Work"</formula>
    </cfRule>
    <cfRule type="cellIs" dxfId="210" priority="10" stopIfTrue="1" operator="equal">
      <formula>"draft"</formula>
    </cfRule>
    <cfRule type="cellIs" dxfId="209" priority="11" operator="equal">
      <formula>"In-Work"</formula>
    </cfRule>
    <cfRule type="cellIs" dxfId="208" priority="12" stopIfTrue="1" operator="equal">
      <formula>"draft"</formula>
    </cfRule>
    <cfRule type="cellIs" dxfId="207" priority="13" operator="equal">
      <formula>"In-Work"</formula>
    </cfRule>
    <cfRule type="cellIs" dxfId="206" priority="14" stopIfTrue="1" operator="equal">
      <formula>"draft"</formula>
    </cfRule>
    <cfRule type="cellIs" dxfId="205" priority="15" operator="equal">
      <formula>"In-Work"</formula>
    </cfRule>
    <cfRule type="cellIs" dxfId="204" priority="16" stopIfTrue="1" operator="equal">
      <formula>"draft"</formula>
    </cfRule>
    <cfRule type="cellIs" dxfId="203" priority="17" operator="equal">
      <formula>"In-Work"</formula>
    </cfRule>
    <cfRule type="cellIs" dxfId="202" priority="18" stopIfTrue="1" operator="equal">
      <formula>"draft"</formula>
    </cfRule>
    <cfRule type="cellIs" dxfId="201" priority="19" operator="equal">
      <formula>"In-Work"</formula>
    </cfRule>
    <cfRule type="cellIs" dxfId="200" priority="20" stopIfTrue="1" operator="equal">
      <formula>"draft"</formula>
    </cfRule>
    <cfRule type="cellIs" dxfId="199" priority="21" operator="equal">
      <formula>"In-Work"</formula>
    </cfRule>
    <cfRule type="cellIs" dxfId="198" priority="22" stopIfTrue="1" operator="equal">
      <formula>"draft"</formula>
    </cfRule>
    <cfRule type="cellIs" dxfId="197" priority="23" operator="equal">
      <formula>"In-Work"</formula>
    </cfRule>
    <cfRule type="cellIs" dxfId="196" priority="24" stopIfTrue="1" operator="equal">
      <formula>"draft"</formula>
    </cfRule>
    <cfRule type="cellIs" dxfId="195" priority="25" operator="equal">
      <formula>"In-Work"</formula>
    </cfRule>
    <cfRule type="cellIs" dxfId="194" priority="26" stopIfTrue="1" operator="equal">
      <formula>"draft"</formula>
    </cfRule>
    <cfRule type="cellIs" dxfId="193" priority="27" operator="equal">
      <formula>"In-Work"</formula>
    </cfRule>
    <cfRule type="cellIs" dxfId="192" priority="28" stopIfTrue="1" operator="equal">
      <formula>"draft"</formula>
    </cfRule>
    <cfRule type="cellIs" dxfId="191" priority="29" operator="equal">
      <formula>"In-Work"</formula>
    </cfRule>
    <cfRule type="cellIs" dxfId="190" priority="30" stopIfTrue="1" operator="equal">
      <formula>"draft"</formula>
    </cfRule>
    <cfRule type="cellIs" dxfId="189" priority="31" operator="equal">
      <formula>"In-Work"</formula>
    </cfRule>
    <cfRule type="cellIs" dxfId="188" priority="32" stopIfTrue="1" operator="equal">
      <formula>"draft"</formula>
    </cfRule>
    <cfRule type="cellIs" dxfId="187" priority="33" operator="equal">
      <formula>"In-Work"</formula>
    </cfRule>
    <cfRule type="cellIs" dxfId="186" priority="34" stopIfTrue="1" operator="equal">
      <formula>"draft"</formula>
    </cfRule>
    <cfRule type="cellIs" dxfId="185" priority="35" operator="equal">
      <formula>"In-Work"</formula>
    </cfRule>
    <cfRule type="cellIs" dxfId="184"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1.2&amp;R&amp;P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AB5" sqref="AB5:AG5"/>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PAL - Software Integration Test Specification Report.xlsm</v>
      </c>
      <c r="AE3" s="8"/>
      <c r="AF3" s="8"/>
      <c r="AG3" s="8"/>
      <c r="AH3" s="8"/>
      <c r="AI3" s="8"/>
      <c r="AJ3" s="8"/>
      <c r="AK3" s="8"/>
    </row>
    <row r="4" spans="1:37" s="7" customFormat="1" ht="11.1" customHeight="1" x14ac:dyDescent="0.25">
      <c r="A4" s="145" t="s">
        <v>0</v>
      </c>
      <c r="B4" s="146"/>
      <c r="C4" s="146"/>
      <c r="D4" s="146"/>
      <c r="E4" s="146"/>
      <c r="F4" s="146"/>
      <c r="G4" s="146"/>
      <c r="H4" s="146"/>
      <c r="I4" s="146"/>
      <c r="J4" s="146"/>
      <c r="K4" s="146"/>
      <c r="L4" s="146"/>
      <c r="M4" s="146"/>
      <c r="N4" s="146"/>
      <c r="O4" s="146"/>
      <c r="P4" s="146"/>
      <c r="Q4" s="146"/>
      <c r="R4" s="146"/>
      <c r="S4" s="146"/>
      <c r="T4" s="146"/>
      <c r="U4" s="146"/>
      <c r="V4" s="147"/>
      <c r="W4" s="158" t="s">
        <v>1</v>
      </c>
      <c r="X4" s="159"/>
      <c r="Y4" s="159"/>
      <c r="Z4" s="159"/>
      <c r="AA4" s="160"/>
      <c r="AB4" s="151" t="s">
        <v>20</v>
      </c>
      <c r="AC4" s="152"/>
      <c r="AD4" s="152"/>
      <c r="AE4" s="152"/>
      <c r="AF4" s="152"/>
      <c r="AG4" s="153"/>
      <c r="AH4" s="10"/>
      <c r="AI4" s="10"/>
      <c r="AJ4" s="10"/>
      <c r="AK4" s="8"/>
    </row>
    <row r="5" spans="1:37" s="12" customFormat="1" x14ac:dyDescent="0.25">
      <c r="A5" s="118" t="str">
        <f ca="1">MXAuthority</f>
        <v>Process and method</v>
      </c>
      <c r="B5" s="119"/>
      <c r="C5" s="119"/>
      <c r="D5" s="119"/>
      <c r="E5" s="119"/>
      <c r="F5" s="119"/>
      <c r="G5" s="119"/>
      <c r="H5" s="119"/>
      <c r="I5" s="119"/>
      <c r="J5" s="119"/>
      <c r="K5" s="119"/>
      <c r="L5" s="119"/>
      <c r="M5" s="119"/>
      <c r="N5" s="119"/>
      <c r="O5" s="119"/>
      <c r="P5" s="119"/>
      <c r="Q5" s="119"/>
      <c r="R5" s="119"/>
      <c r="S5" s="119"/>
      <c r="T5" s="119"/>
      <c r="U5" s="119"/>
      <c r="V5" s="120"/>
      <c r="W5" s="161" t="str">
        <f ca="1">MXCurrent.Localized</f>
        <v>Template released</v>
      </c>
      <c r="X5" s="162"/>
      <c r="Y5" s="162"/>
      <c r="Z5" s="162"/>
      <c r="AA5" s="163"/>
      <c r="AB5" s="118" t="str">
        <f>MXActual_state_Released</f>
        <v>01.09.2022</v>
      </c>
      <c r="AC5" s="119"/>
      <c r="AD5" s="119"/>
      <c r="AE5" s="119"/>
      <c r="AF5" s="119"/>
      <c r="AG5" s="120"/>
      <c r="AH5" s="11"/>
      <c r="AI5" s="11"/>
      <c r="AJ5" s="11"/>
      <c r="AK5" s="11"/>
    </row>
    <row r="6" spans="1:37" s="1" customFormat="1" ht="11.1" customHeight="1" x14ac:dyDescent="0.25">
      <c r="A6" s="164" t="s">
        <v>2</v>
      </c>
      <c r="B6" s="165"/>
      <c r="C6" s="165"/>
      <c r="D6" s="166"/>
      <c r="E6" s="164" t="s">
        <v>3</v>
      </c>
      <c r="F6" s="165"/>
      <c r="G6" s="165"/>
      <c r="H6" s="165"/>
      <c r="I6" s="165"/>
      <c r="J6" s="165"/>
      <c r="K6" s="165"/>
      <c r="L6" s="165"/>
      <c r="M6" s="165"/>
      <c r="N6" s="165"/>
      <c r="O6" s="165"/>
      <c r="P6" s="165"/>
      <c r="Q6" s="165"/>
      <c r="R6" s="165"/>
      <c r="S6" s="165"/>
      <c r="T6" s="165"/>
      <c r="U6" s="165"/>
      <c r="V6" s="166"/>
      <c r="W6" s="145" t="s">
        <v>15</v>
      </c>
      <c r="X6" s="146"/>
      <c r="Y6" s="146"/>
      <c r="Z6" s="146"/>
      <c r="AA6" s="147"/>
      <c r="AB6" s="158"/>
      <c r="AC6" s="159"/>
      <c r="AD6" s="160"/>
      <c r="AE6" s="158" t="s">
        <v>4</v>
      </c>
      <c r="AF6" s="159"/>
      <c r="AG6" s="160"/>
      <c r="AH6" s="6"/>
      <c r="AI6" s="6"/>
      <c r="AJ6" s="6"/>
      <c r="AK6" s="6"/>
    </row>
    <row r="7" spans="1:37" s="14" customFormat="1" x14ac:dyDescent="0.25">
      <c r="A7" s="161" t="str">
        <f ca="1">MXName</f>
        <v>TBD</v>
      </c>
      <c r="B7" s="162"/>
      <c r="C7" s="162"/>
      <c r="D7" s="163"/>
      <c r="E7" s="161" t="str">
        <f ca="1">MXTitle</f>
        <v>PAL - Software Integration Test Specification Report (SITS-SITR)</v>
      </c>
      <c r="F7" s="162"/>
      <c r="G7" s="162"/>
      <c r="H7" s="162"/>
      <c r="I7" s="162"/>
      <c r="J7" s="162"/>
      <c r="K7" s="162"/>
      <c r="L7" s="162"/>
      <c r="M7" s="162"/>
      <c r="N7" s="162"/>
      <c r="O7" s="162"/>
      <c r="P7" s="162"/>
      <c r="Q7" s="162"/>
      <c r="R7" s="162"/>
      <c r="S7" s="162"/>
      <c r="T7" s="162"/>
      <c r="U7" s="162"/>
      <c r="V7" s="163"/>
      <c r="W7" s="161" t="str">
        <f ca="1">TemplateRef</f>
        <v>SW04TEM001</v>
      </c>
      <c r="X7" s="162"/>
      <c r="Y7" s="162"/>
      <c r="Z7" s="162"/>
      <c r="AA7" s="163"/>
      <c r="AB7" s="161"/>
      <c r="AC7" s="162"/>
      <c r="AD7" s="163"/>
      <c r="AE7" s="161">
        <f>MXVersion</f>
        <v>1.2</v>
      </c>
      <c r="AF7" s="162"/>
      <c r="AG7" s="163"/>
      <c r="AH7" s="13"/>
      <c r="AI7" s="13"/>
      <c r="AJ7" s="13"/>
      <c r="AK7" s="13"/>
    </row>
    <row r="8" spans="1:37" ht="11.1" customHeight="1" x14ac:dyDescent="0.25">
      <c r="A8" s="164" t="s">
        <v>10</v>
      </c>
      <c r="B8" s="165"/>
      <c r="C8" s="165"/>
      <c r="D8" s="165"/>
      <c r="E8" s="165"/>
      <c r="F8" s="165"/>
      <c r="G8" s="165"/>
      <c r="H8" s="165"/>
      <c r="I8" s="165"/>
      <c r="J8" s="165"/>
      <c r="K8" s="165"/>
      <c r="L8" s="165"/>
      <c r="M8" s="165"/>
      <c r="N8" s="165"/>
      <c r="O8" s="165"/>
      <c r="P8" s="165"/>
      <c r="Q8" s="165"/>
      <c r="R8" s="165"/>
      <c r="S8" s="165"/>
      <c r="T8" s="165"/>
      <c r="U8" s="165"/>
      <c r="V8" s="165"/>
      <c r="W8" s="165"/>
      <c r="X8" s="165"/>
      <c r="Y8" s="165"/>
      <c r="Z8" s="165"/>
      <c r="AA8" s="165"/>
      <c r="AB8" s="165"/>
      <c r="AC8" s="165"/>
      <c r="AD8" s="165"/>
      <c r="AE8" s="165"/>
      <c r="AF8" s="165"/>
      <c r="AG8" s="166"/>
      <c r="AH8" s="15"/>
      <c r="AI8" s="15"/>
      <c r="AJ8" s="15"/>
      <c r="AK8" s="15"/>
    </row>
    <row r="9" spans="1:37" s="18" customFormat="1" x14ac:dyDescent="0.25">
      <c r="A9" s="171" t="s">
        <v>14</v>
      </c>
      <c r="B9" s="172"/>
      <c r="C9" s="172"/>
      <c r="D9" s="172"/>
      <c r="E9" s="172"/>
      <c r="F9" s="172"/>
      <c r="G9" s="172"/>
      <c r="H9" s="172"/>
      <c r="I9" s="172"/>
      <c r="J9" s="172"/>
      <c r="K9" s="172"/>
      <c r="L9" s="172"/>
      <c r="M9" s="172"/>
      <c r="N9" s="172"/>
      <c r="O9" s="172"/>
      <c r="P9" s="172"/>
      <c r="Q9" s="172"/>
      <c r="R9" s="172"/>
      <c r="S9" s="172"/>
      <c r="T9" s="172"/>
      <c r="U9" s="172"/>
      <c r="V9" s="172"/>
      <c r="W9" s="172"/>
      <c r="X9" s="172"/>
      <c r="Y9" s="172"/>
      <c r="Z9" s="172"/>
      <c r="AA9" s="172"/>
      <c r="AB9" s="172"/>
      <c r="AC9" s="172"/>
      <c r="AD9" s="172"/>
      <c r="AE9" s="172"/>
      <c r="AF9" s="172"/>
      <c r="AG9" s="173"/>
      <c r="AH9" s="17"/>
      <c r="AI9" s="17"/>
      <c r="AJ9" s="17"/>
    </row>
    <row r="10" spans="1:37" x14ac:dyDescent="0.25"/>
    <row r="11" spans="1:37" x14ac:dyDescent="0.25"/>
    <row r="12" spans="1:37" ht="24.6" x14ac:dyDescent="0.25">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17</v>
      </c>
      <c r="C14" s="22"/>
    </row>
    <row r="15" spans="1:37" x14ac:dyDescent="0.25">
      <c r="B15" s="154" t="s">
        <v>6</v>
      </c>
      <c r="C15" s="167"/>
      <c r="D15" s="167"/>
      <c r="E15" s="167"/>
      <c r="F15" s="167"/>
      <c r="G15" s="154" t="s">
        <v>5</v>
      </c>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row>
    <row r="16" spans="1:37" ht="24" customHeight="1" x14ac:dyDescent="0.25">
      <c r="B16" s="169" t="s">
        <v>34</v>
      </c>
      <c r="C16" s="169"/>
      <c r="D16" s="169"/>
      <c r="E16" s="169"/>
      <c r="F16" s="169"/>
      <c r="G16" s="156" t="s">
        <v>36</v>
      </c>
      <c r="H16" s="156"/>
      <c r="I16" s="156"/>
      <c r="J16" s="156"/>
      <c r="K16" s="156"/>
      <c r="L16" s="156"/>
      <c r="M16" s="156"/>
      <c r="N16" s="156"/>
      <c r="O16" s="156"/>
      <c r="P16" s="156"/>
      <c r="Q16" s="156"/>
      <c r="R16" s="156"/>
      <c r="S16" s="156"/>
      <c r="T16" s="156"/>
      <c r="U16" s="156"/>
      <c r="V16" s="156"/>
      <c r="W16" s="156"/>
      <c r="X16" s="156"/>
      <c r="Y16" s="156"/>
      <c r="Z16" s="156"/>
      <c r="AA16" s="156"/>
      <c r="AB16" s="156"/>
      <c r="AC16" s="156"/>
      <c r="AD16" s="156"/>
      <c r="AE16" s="156"/>
      <c r="AF16" s="156"/>
    </row>
    <row r="17" spans="1:45" ht="24" customHeight="1" x14ac:dyDescent="0.25">
      <c r="B17" s="169" t="s">
        <v>35</v>
      </c>
      <c r="C17" s="169"/>
      <c r="D17" s="169"/>
      <c r="E17" s="169"/>
      <c r="F17" s="169"/>
      <c r="G17" s="170" t="s">
        <v>119</v>
      </c>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row>
    <row r="18" spans="1:45" ht="24" customHeight="1" x14ac:dyDescent="0.25">
      <c r="B18" s="168" t="s">
        <v>114</v>
      </c>
      <c r="C18" s="169"/>
      <c r="D18" s="169"/>
      <c r="E18" s="169"/>
      <c r="F18" s="169"/>
      <c r="G18" s="170" t="s">
        <v>125</v>
      </c>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c r="AF18" s="156"/>
    </row>
    <row r="19" spans="1:45" ht="24" customHeight="1" x14ac:dyDescent="0.25">
      <c r="B19" s="168" t="s">
        <v>115</v>
      </c>
      <c r="C19" s="169"/>
      <c r="D19" s="169"/>
      <c r="E19" s="169"/>
      <c r="F19" s="169"/>
      <c r="G19" s="170" t="s">
        <v>121</v>
      </c>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S19" s="23"/>
    </row>
    <row r="20" spans="1:45" ht="24" customHeight="1" x14ac:dyDescent="0.25">
      <c r="B20" s="168" t="s">
        <v>45</v>
      </c>
      <c r="C20" s="169"/>
      <c r="D20" s="169"/>
      <c r="E20" s="169"/>
      <c r="F20" s="169"/>
      <c r="G20" s="170" t="s">
        <v>122</v>
      </c>
      <c r="H20" s="156"/>
      <c r="I20" s="156"/>
      <c r="J20" s="156"/>
      <c r="K20" s="156"/>
      <c r="L20" s="156"/>
      <c r="M20" s="156"/>
      <c r="N20" s="156"/>
      <c r="O20" s="156"/>
      <c r="P20" s="156"/>
      <c r="Q20" s="156"/>
      <c r="R20" s="156"/>
      <c r="S20" s="156"/>
      <c r="T20" s="156"/>
      <c r="U20" s="156"/>
      <c r="V20" s="156"/>
      <c r="W20" s="156"/>
      <c r="X20" s="156"/>
      <c r="Y20" s="156"/>
      <c r="Z20" s="156"/>
      <c r="AA20" s="156"/>
      <c r="AB20" s="156"/>
      <c r="AC20" s="156"/>
      <c r="AD20" s="156"/>
      <c r="AE20" s="156"/>
      <c r="AF20" s="156"/>
      <c r="AS20" s="23"/>
    </row>
    <row r="21" spans="1:45" ht="24" customHeight="1" x14ac:dyDescent="0.25">
      <c r="B21" s="168" t="s">
        <v>116</v>
      </c>
      <c r="C21" s="169"/>
      <c r="D21" s="169"/>
      <c r="E21" s="169"/>
      <c r="F21" s="169"/>
      <c r="G21" s="170" t="s">
        <v>120</v>
      </c>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S21" s="23"/>
    </row>
    <row r="22" spans="1:45" x14ac:dyDescent="0.25">
      <c r="C22" s="24"/>
      <c r="I22" s="25"/>
    </row>
    <row r="23" spans="1:45" ht="20.399999999999999" x14ac:dyDescent="0.25">
      <c r="A23" s="21"/>
      <c r="B23" s="21" t="s">
        <v>27</v>
      </c>
      <c r="C23" s="24"/>
      <c r="I23" s="25"/>
    </row>
    <row r="24" spans="1:45" x14ac:dyDescent="0.25">
      <c r="B24" s="154" t="s">
        <v>4</v>
      </c>
      <c r="C24" s="155"/>
      <c r="D24" s="155"/>
      <c r="E24" s="154" t="s">
        <v>11</v>
      </c>
      <c r="F24" s="154"/>
      <c r="G24" s="154"/>
      <c r="H24" s="154"/>
      <c r="I24" s="154" t="s">
        <v>12</v>
      </c>
      <c r="J24" s="155"/>
      <c r="K24" s="155"/>
      <c r="L24" s="155"/>
      <c r="M24" s="155"/>
      <c r="N24" s="155"/>
      <c r="O24" s="155"/>
      <c r="P24" s="155"/>
      <c r="Q24" s="155"/>
      <c r="R24" s="154" t="s">
        <v>13</v>
      </c>
      <c r="S24" s="154"/>
      <c r="T24" s="154"/>
      <c r="U24" s="154"/>
      <c r="V24" s="154"/>
      <c r="W24" s="154"/>
      <c r="X24" s="154"/>
      <c r="Y24" s="154"/>
      <c r="Z24" s="154"/>
      <c r="AA24" s="154"/>
      <c r="AB24" s="154"/>
      <c r="AC24" s="154"/>
      <c r="AD24" s="154"/>
      <c r="AE24" s="154"/>
      <c r="AF24" s="154"/>
    </row>
    <row r="25" spans="1:45" x14ac:dyDescent="0.25">
      <c r="B25" s="168" t="s">
        <v>132</v>
      </c>
      <c r="C25" s="177"/>
      <c r="D25" s="177"/>
      <c r="E25" s="170" t="s">
        <v>251</v>
      </c>
      <c r="F25" s="156"/>
      <c r="G25" s="156"/>
      <c r="H25" s="156"/>
      <c r="I25" s="170" t="s">
        <v>252</v>
      </c>
      <c r="J25" s="178"/>
      <c r="K25" s="178"/>
      <c r="L25" s="178"/>
      <c r="M25" s="178"/>
      <c r="N25" s="178"/>
      <c r="O25" s="178"/>
      <c r="P25" s="178"/>
      <c r="Q25" s="178"/>
      <c r="R25" s="170" t="s">
        <v>253</v>
      </c>
      <c r="S25" s="156"/>
      <c r="T25" s="156"/>
      <c r="U25" s="156"/>
      <c r="V25" s="156"/>
      <c r="W25" s="156"/>
      <c r="X25" s="156"/>
      <c r="Y25" s="156"/>
      <c r="Z25" s="156"/>
      <c r="AA25" s="156"/>
      <c r="AB25" s="156"/>
      <c r="AC25" s="156"/>
      <c r="AD25" s="156"/>
      <c r="AE25" s="156"/>
      <c r="AF25" s="156"/>
    </row>
    <row r="26" spans="1:45" x14ac:dyDescent="0.25">
      <c r="B26" s="168" t="s">
        <v>291</v>
      </c>
      <c r="C26" s="177"/>
      <c r="D26" s="177"/>
      <c r="E26" s="170" t="s">
        <v>292</v>
      </c>
      <c r="F26" s="156"/>
      <c r="G26" s="156"/>
      <c r="H26" s="156"/>
      <c r="I26" s="170" t="s">
        <v>252</v>
      </c>
      <c r="J26" s="178"/>
      <c r="K26" s="178"/>
      <c r="L26" s="178"/>
      <c r="M26" s="178"/>
      <c r="N26" s="178"/>
      <c r="O26" s="178"/>
      <c r="P26" s="178"/>
      <c r="Q26" s="178"/>
      <c r="R26" s="170" t="s">
        <v>293</v>
      </c>
      <c r="S26" s="156"/>
      <c r="T26" s="156"/>
      <c r="U26" s="156"/>
      <c r="V26" s="156"/>
      <c r="W26" s="156"/>
      <c r="X26" s="156"/>
      <c r="Y26" s="156"/>
      <c r="Z26" s="156"/>
      <c r="AA26" s="156"/>
      <c r="AB26" s="156"/>
      <c r="AC26" s="156"/>
      <c r="AD26" s="156"/>
      <c r="AE26" s="156"/>
      <c r="AF26" s="156"/>
    </row>
    <row r="27" spans="1:45" x14ac:dyDescent="0.25">
      <c r="B27" s="168"/>
      <c r="C27" s="177"/>
      <c r="D27" s="177"/>
      <c r="E27" s="170"/>
      <c r="F27" s="156"/>
      <c r="G27" s="156"/>
      <c r="H27" s="156"/>
      <c r="I27" s="170"/>
      <c r="J27" s="178"/>
      <c r="K27" s="178"/>
      <c r="L27" s="178"/>
      <c r="M27" s="178"/>
      <c r="N27" s="178"/>
      <c r="O27" s="178"/>
      <c r="P27" s="178"/>
      <c r="Q27" s="178"/>
      <c r="R27" s="170"/>
      <c r="S27" s="156"/>
      <c r="T27" s="156"/>
      <c r="U27" s="156"/>
      <c r="V27" s="156"/>
      <c r="W27" s="156"/>
      <c r="X27" s="156"/>
      <c r="Y27" s="156"/>
      <c r="Z27" s="156"/>
      <c r="AA27" s="156"/>
      <c r="AB27" s="156"/>
      <c r="AC27" s="156"/>
      <c r="AD27" s="156"/>
      <c r="AE27" s="156"/>
      <c r="AF27" s="156"/>
    </row>
    <row r="28" spans="1:45" x14ac:dyDescent="0.25">
      <c r="B28" s="181"/>
      <c r="C28" s="182"/>
      <c r="D28" s="183"/>
      <c r="E28" s="174"/>
      <c r="F28" s="175"/>
      <c r="G28" s="175"/>
      <c r="H28" s="176"/>
      <c r="I28" s="174"/>
      <c r="J28" s="175"/>
      <c r="K28" s="175"/>
      <c r="L28" s="175"/>
      <c r="M28" s="175"/>
      <c r="N28" s="175"/>
      <c r="O28" s="175"/>
      <c r="P28" s="175"/>
      <c r="Q28" s="176"/>
      <c r="R28" s="174"/>
      <c r="S28" s="175"/>
      <c r="T28" s="175"/>
      <c r="U28" s="175"/>
      <c r="V28" s="175"/>
      <c r="W28" s="175"/>
      <c r="X28" s="175"/>
      <c r="Y28" s="175"/>
      <c r="Z28" s="175"/>
      <c r="AA28" s="175"/>
      <c r="AB28" s="175"/>
      <c r="AC28" s="175"/>
      <c r="AD28" s="175"/>
      <c r="AE28" s="175"/>
      <c r="AF28" s="176"/>
    </row>
    <row r="29" spans="1:45" x14ac:dyDescent="0.25">
      <c r="B29" s="26" t="s">
        <v>26</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18</v>
      </c>
      <c r="I31" s="25"/>
    </row>
    <row r="32" spans="1:45" ht="66.75" customHeight="1" x14ac:dyDescent="0.25">
      <c r="B32" s="180" t="s">
        <v>124</v>
      </c>
      <c r="C32" s="180"/>
      <c r="D32" s="180"/>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30"/>
    </row>
    <row r="33" spans="2:32" x14ac:dyDescent="0.25">
      <c r="J33" s="31"/>
    </row>
    <row r="34" spans="2:32" ht="20.399999999999999" x14ac:dyDescent="0.25">
      <c r="B34" s="21" t="s">
        <v>19</v>
      </c>
      <c r="C34" s="22"/>
      <c r="I34" s="25"/>
    </row>
    <row r="35" spans="2:32" ht="24.75" customHeight="1" x14ac:dyDescent="0.25">
      <c r="B35" s="32" t="s">
        <v>28</v>
      </c>
      <c r="C35" s="22"/>
      <c r="I35" s="25"/>
    </row>
    <row r="36" spans="2:32" ht="12.75" customHeight="1" x14ac:dyDescent="0.25">
      <c r="B36" s="154" t="s">
        <v>7</v>
      </c>
      <c r="C36" s="154"/>
      <c r="D36" s="154"/>
      <c r="E36" s="154" t="s">
        <v>8</v>
      </c>
      <c r="F36" s="155"/>
      <c r="G36" s="155"/>
      <c r="H36" s="155"/>
      <c r="I36" s="155"/>
      <c r="J36" s="155"/>
      <c r="K36" s="155"/>
      <c r="L36" s="155"/>
      <c r="M36" s="155"/>
      <c r="N36" s="155"/>
      <c r="O36" s="155"/>
      <c r="P36" s="155"/>
      <c r="Q36" s="155"/>
      <c r="R36" s="155"/>
      <c r="S36" s="155"/>
      <c r="T36" s="155"/>
      <c r="U36" s="155"/>
      <c r="V36" s="155"/>
      <c r="W36" s="155"/>
      <c r="X36" s="155"/>
      <c r="Y36" s="154" t="s">
        <v>9</v>
      </c>
      <c r="Z36" s="154"/>
      <c r="AA36" s="154"/>
      <c r="AB36" s="154"/>
      <c r="AC36" s="154"/>
      <c r="AD36" s="154"/>
      <c r="AE36" s="154"/>
      <c r="AF36" s="154"/>
    </row>
    <row r="37" spans="2:32" x14ac:dyDescent="0.25">
      <c r="B37" s="179"/>
      <c r="C37" s="179"/>
      <c r="D37" s="179"/>
      <c r="E37" s="156"/>
      <c r="F37" s="157"/>
      <c r="G37" s="157"/>
      <c r="H37" s="157"/>
      <c r="I37" s="157"/>
      <c r="J37" s="157"/>
      <c r="K37" s="157"/>
      <c r="L37" s="157"/>
      <c r="M37" s="157"/>
      <c r="N37" s="157"/>
      <c r="O37" s="157"/>
      <c r="P37" s="157"/>
      <c r="Q37" s="157"/>
      <c r="R37" s="157"/>
      <c r="S37" s="157"/>
      <c r="T37" s="157"/>
      <c r="U37" s="157"/>
      <c r="V37" s="157"/>
      <c r="W37" s="157"/>
      <c r="X37" s="157"/>
      <c r="Y37" s="156"/>
      <c r="Z37" s="157"/>
      <c r="AA37" s="157"/>
      <c r="AB37" s="157"/>
      <c r="AC37" s="157"/>
      <c r="AD37" s="157"/>
      <c r="AE37" s="157"/>
      <c r="AF37" s="157"/>
    </row>
    <row r="38" spans="2:32" x14ac:dyDescent="0.25">
      <c r="B38" s="179"/>
      <c r="C38" s="179"/>
      <c r="D38" s="179"/>
      <c r="E38" s="156"/>
      <c r="F38" s="157"/>
      <c r="G38" s="157"/>
      <c r="H38" s="157"/>
      <c r="I38" s="157"/>
      <c r="J38" s="157"/>
      <c r="K38" s="157"/>
      <c r="L38" s="157"/>
      <c r="M38" s="157"/>
      <c r="N38" s="157"/>
      <c r="O38" s="157"/>
      <c r="P38" s="157"/>
      <c r="Q38" s="157"/>
      <c r="R38" s="157"/>
      <c r="S38" s="157"/>
      <c r="T38" s="157"/>
      <c r="U38" s="157"/>
      <c r="V38" s="157"/>
      <c r="W38" s="157"/>
      <c r="X38" s="157"/>
      <c r="Y38" s="156"/>
      <c r="Z38" s="157"/>
      <c r="AA38" s="157"/>
      <c r="AB38" s="157"/>
      <c r="AC38" s="157"/>
      <c r="AD38" s="157"/>
      <c r="AE38" s="157"/>
      <c r="AF38" s="157"/>
    </row>
    <row r="39" spans="2:32" x14ac:dyDescent="0.25">
      <c r="B39" s="179"/>
      <c r="C39" s="179"/>
      <c r="D39" s="179"/>
      <c r="E39" s="156"/>
      <c r="F39" s="157"/>
      <c r="G39" s="157"/>
      <c r="H39" s="157"/>
      <c r="I39" s="157"/>
      <c r="J39" s="157"/>
      <c r="K39" s="157"/>
      <c r="L39" s="157"/>
      <c r="M39" s="157"/>
      <c r="N39" s="157"/>
      <c r="O39" s="157"/>
      <c r="P39" s="157"/>
      <c r="Q39" s="157"/>
      <c r="R39" s="157"/>
      <c r="S39" s="157"/>
      <c r="T39" s="157"/>
      <c r="U39" s="157"/>
      <c r="V39" s="157"/>
      <c r="W39" s="157"/>
      <c r="X39" s="157"/>
      <c r="Y39" s="156"/>
      <c r="Z39" s="157"/>
      <c r="AA39" s="157"/>
      <c r="AB39" s="157"/>
      <c r="AC39" s="157"/>
      <c r="AD39" s="157"/>
      <c r="AE39" s="157"/>
      <c r="AF39" s="157"/>
    </row>
    <row r="40" spans="2:32" x14ac:dyDescent="0.25">
      <c r="B40" s="179"/>
      <c r="C40" s="179"/>
      <c r="D40" s="179"/>
      <c r="E40" s="156"/>
      <c r="F40" s="157"/>
      <c r="G40" s="157"/>
      <c r="H40" s="157"/>
      <c r="I40" s="157"/>
      <c r="J40" s="157"/>
      <c r="K40" s="157"/>
      <c r="L40" s="157"/>
      <c r="M40" s="157"/>
      <c r="N40" s="157"/>
      <c r="O40" s="157"/>
      <c r="P40" s="157"/>
      <c r="Q40" s="157"/>
      <c r="R40" s="157"/>
      <c r="S40" s="157"/>
      <c r="T40" s="157"/>
      <c r="U40" s="157"/>
      <c r="V40" s="157"/>
      <c r="W40" s="157"/>
      <c r="X40" s="157"/>
      <c r="Y40" s="156"/>
      <c r="Z40" s="157"/>
      <c r="AA40" s="157"/>
      <c r="AB40" s="157"/>
      <c r="AC40" s="157"/>
      <c r="AD40" s="157"/>
      <c r="AE40" s="157"/>
      <c r="AF40" s="157"/>
    </row>
    <row r="41" spans="2:32" ht="24.75" customHeight="1" x14ac:dyDescent="0.25">
      <c r="B41" s="32" t="s">
        <v>29</v>
      </c>
      <c r="C41" s="22"/>
      <c r="I41" s="25"/>
    </row>
    <row r="42" spans="2:32" ht="12.75" customHeight="1" x14ac:dyDescent="0.25">
      <c r="B42" s="154" t="s">
        <v>7</v>
      </c>
      <c r="C42" s="154"/>
      <c r="D42" s="154"/>
      <c r="E42" s="154" t="s">
        <v>8</v>
      </c>
      <c r="F42" s="155"/>
      <c r="G42" s="155"/>
      <c r="H42" s="155"/>
      <c r="I42" s="155"/>
      <c r="J42" s="155"/>
      <c r="K42" s="155"/>
      <c r="L42" s="155"/>
      <c r="M42" s="155"/>
      <c r="N42" s="155"/>
      <c r="O42" s="155"/>
      <c r="P42" s="155"/>
      <c r="Q42" s="155"/>
      <c r="R42" s="155"/>
      <c r="S42" s="155"/>
      <c r="T42" s="155"/>
      <c r="U42" s="155"/>
      <c r="V42" s="155"/>
      <c r="W42" s="155"/>
      <c r="X42" s="155"/>
      <c r="Y42" s="154" t="s">
        <v>9</v>
      </c>
      <c r="Z42" s="154"/>
      <c r="AA42" s="154"/>
      <c r="AB42" s="154"/>
      <c r="AC42" s="154"/>
      <c r="AD42" s="154"/>
      <c r="AE42" s="154"/>
      <c r="AF42" s="154"/>
    </row>
    <row r="43" spans="2:32" x14ac:dyDescent="0.25">
      <c r="B43" s="179"/>
      <c r="C43" s="179"/>
      <c r="D43" s="179"/>
      <c r="E43" s="156"/>
      <c r="F43" s="157"/>
      <c r="G43" s="157"/>
      <c r="H43" s="157"/>
      <c r="I43" s="157"/>
      <c r="J43" s="157"/>
      <c r="K43" s="157"/>
      <c r="L43" s="157"/>
      <c r="M43" s="157"/>
      <c r="N43" s="157"/>
      <c r="O43" s="157"/>
      <c r="P43" s="157"/>
      <c r="Q43" s="157"/>
      <c r="R43" s="157"/>
      <c r="S43" s="157"/>
      <c r="T43" s="157"/>
      <c r="U43" s="157"/>
      <c r="V43" s="157"/>
      <c r="W43" s="157"/>
      <c r="X43" s="157"/>
      <c r="Y43" s="156"/>
      <c r="Z43" s="157"/>
      <c r="AA43" s="157"/>
      <c r="AB43" s="157"/>
      <c r="AC43" s="157"/>
      <c r="AD43" s="157"/>
      <c r="AE43" s="157"/>
      <c r="AF43" s="157"/>
    </row>
    <row r="44" spans="2:32" x14ac:dyDescent="0.25">
      <c r="B44" s="179"/>
      <c r="C44" s="179"/>
      <c r="D44" s="179"/>
      <c r="E44" s="156"/>
      <c r="F44" s="157"/>
      <c r="G44" s="157"/>
      <c r="H44" s="157"/>
      <c r="I44" s="157"/>
      <c r="J44" s="157"/>
      <c r="K44" s="157"/>
      <c r="L44" s="157"/>
      <c r="M44" s="157"/>
      <c r="N44" s="157"/>
      <c r="O44" s="157"/>
      <c r="P44" s="157"/>
      <c r="Q44" s="157"/>
      <c r="R44" s="157"/>
      <c r="S44" s="157"/>
      <c r="T44" s="157"/>
      <c r="U44" s="157"/>
      <c r="V44" s="157"/>
      <c r="W44" s="157"/>
      <c r="X44" s="157"/>
      <c r="Y44" s="156"/>
      <c r="Z44" s="157"/>
      <c r="AA44" s="157"/>
      <c r="AB44" s="157"/>
      <c r="AC44" s="157"/>
      <c r="AD44" s="157"/>
      <c r="AE44" s="157"/>
      <c r="AF44" s="157"/>
    </row>
    <row r="45" spans="2:32" x14ac:dyDescent="0.25">
      <c r="B45" s="179"/>
      <c r="C45" s="179"/>
      <c r="D45" s="179"/>
      <c r="E45" s="156"/>
      <c r="F45" s="157"/>
      <c r="G45" s="157"/>
      <c r="H45" s="157"/>
      <c r="I45" s="157"/>
      <c r="J45" s="157"/>
      <c r="K45" s="157"/>
      <c r="L45" s="157"/>
      <c r="M45" s="157"/>
      <c r="N45" s="157"/>
      <c r="O45" s="157"/>
      <c r="P45" s="157"/>
      <c r="Q45" s="157"/>
      <c r="R45" s="157"/>
      <c r="S45" s="157"/>
      <c r="T45" s="157"/>
      <c r="U45" s="157"/>
      <c r="V45" s="157"/>
      <c r="W45" s="157"/>
      <c r="X45" s="157"/>
      <c r="Y45" s="156"/>
      <c r="Z45" s="157"/>
      <c r="AA45" s="157"/>
      <c r="AB45" s="157"/>
      <c r="AC45" s="157"/>
      <c r="AD45" s="157"/>
      <c r="AE45" s="157"/>
      <c r="AF45" s="157"/>
    </row>
    <row r="46" spans="2:32" x14ac:dyDescent="0.25">
      <c r="B46" s="179"/>
      <c r="C46" s="179"/>
      <c r="D46" s="179"/>
      <c r="E46" s="156"/>
      <c r="F46" s="157"/>
      <c r="G46" s="157"/>
      <c r="H46" s="157"/>
      <c r="I46" s="157"/>
      <c r="J46" s="157"/>
      <c r="K46" s="157"/>
      <c r="L46" s="157"/>
      <c r="M46" s="157"/>
      <c r="N46" s="157"/>
      <c r="O46" s="157"/>
      <c r="P46" s="157"/>
      <c r="Q46" s="157"/>
      <c r="R46" s="157"/>
      <c r="S46" s="157"/>
      <c r="T46" s="157"/>
      <c r="U46" s="157"/>
      <c r="V46" s="157"/>
      <c r="W46" s="157"/>
      <c r="X46" s="157"/>
      <c r="Y46" s="156"/>
      <c r="Z46" s="157"/>
      <c r="AA46" s="157"/>
      <c r="AB46" s="157"/>
      <c r="AC46" s="157"/>
      <c r="AD46" s="157"/>
      <c r="AE46" s="157"/>
      <c r="AF46" s="157"/>
    </row>
    <row r="47" spans="2:32" x14ac:dyDescent="0.25">
      <c r="C47" s="24"/>
      <c r="I47" s="25"/>
    </row>
    <row r="48" spans="2:32" ht="20.399999999999999" x14ac:dyDescent="0.25">
      <c r="B48" s="21" t="s">
        <v>31</v>
      </c>
      <c r="C48" s="22"/>
      <c r="I48" s="25"/>
    </row>
    <row r="49" spans="2:32" ht="12.75" customHeight="1" x14ac:dyDescent="0.25">
      <c r="B49" s="191" t="s">
        <v>30</v>
      </c>
      <c r="C49" s="192"/>
      <c r="D49" s="192"/>
      <c r="E49" s="192"/>
      <c r="F49" s="192"/>
      <c r="G49" s="193"/>
      <c r="H49" s="186"/>
      <c r="I49" s="186"/>
      <c r="J49" s="186"/>
      <c r="K49" s="186"/>
      <c r="L49" s="186"/>
      <c r="M49" s="186"/>
      <c r="N49" s="186"/>
      <c r="O49" s="186"/>
      <c r="P49" s="186"/>
      <c r="Q49" s="186"/>
      <c r="R49" s="186"/>
      <c r="S49" s="186"/>
      <c r="T49" s="186"/>
      <c r="U49" s="186"/>
      <c r="V49" s="186"/>
      <c r="W49" s="186"/>
      <c r="X49" s="186"/>
      <c r="Y49" s="186"/>
      <c r="Z49" s="186"/>
      <c r="AA49" s="186"/>
      <c r="AB49" s="186"/>
      <c r="AC49" s="186"/>
      <c r="AD49" s="186"/>
      <c r="AE49" s="186"/>
      <c r="AF49" s="186"/>
    </row>
    <row r="50" spans="2:32" ht="33.75" customHeight="1" x14ac:dyDescent="0.25">
      <c r="B50" s="174" t="s">
        <v>109</v>
      </c>
      <c r="C50" s="184"/>
      <c r="D50" s="184"/>
      <c r="E50" s="184"/>
      <c r="F50" s="184"/>
      <c r="G50" s="185"/>
      <c r="H50" s="190" t="s">
        <v>113</v>
      </c>
      <c r="I50" s="188"/>
      <c r="J50" s="188"/>
      <c r="K50" s="188"/>
      <c r="L50" s="188"/>
      <c r="M50" s="188"/>
      <c r="N50" s="188"/>
      <c r="O50" s="188"/>
      <c r="P50" s="188"/>
      <c r="Q50" s="188"/>
      <c r="R50" s="188"/>
      <c r="S50" s="188"/>
      <c r="T50" s="188"/>
      <c r="U50" s="188"/>
      <c r="V50" s="188"/>
      <c r="W50" s="188"/>
      <c r="X50" s="188"/>
      <c r="Y50" s="188"/>
      <c r="Z50" s="188"/>
      <c r="AA50" s="188"/>
      <c r="AB50" s="188"/>
      <c r="AC50" s="188"/>
      <c r="AD50" s="188"/>
      <c r="AE50" s="188"/>
      <c r="AF50" s="189"/>
    </row>
    <row r="51" spans="2:32" ht="36.75" customHeight="1" x14ac:dyDescent="0.25">
      <c r="B51" s="174" t="s">
        <v>72</v>
      </c>
      <c r="C51" s="184"/>
      <c r="D51" s="184"/>
      <c r="E51" s="184"/>
      <c r="F51" s="184"/>
      <c r="G51" s="185"/>
      <c r="H51" s="187" t="s">
        <v>73</v>
      </c>
      <c r="I51" s="188"/>
      <c r="J51" s="188"/>
      <c r="K51" s="188"/>
      <c r="L51" s="188"/>
      <c r="M51" s="188"/>
      <c r="N51" s="188"/>
      <c r="O51" s="188"/>
      <c r="P51" s="188"/>
      <c r="Q51" s="188"/>
      <c r="R51" s="188"/>
      <c r="S51" s="188"/>
      <c r="T51" s="188"/>
      <c r="U51" s="188"/>
      <c r="V51" s="188"/>
      <c r="W51" s="188"/>
      <c r="X51" s="188"/>
      <c r="Y51" s="188"/>
      <c r="Z51" s="188"/>
      <c r="AA51" s="188"/>
      <c r="AB51" s="188"/>
      <c r="AC51" s="188"/>
      <c r="AD51" s="188"/>
      <c r="AE51" s="188"/>
      <c r="AF51" s="189"/>
    </row>
    <row r="52" spans="2:32" ht="45.75" customHeight="1" x14ac:dyDescent="0.25">
      <c r="B52" s="174" t="s">
        <v>74</v>
      </c>
      <c r="C52" s="184"/>
      <c r="D52" s="184"/>
      <c r="E52" s="184"/>
      <c r="F52" s="184"/>
      <c r="G52" s="185"/>
      <c r="H52" s="187" t="s">
        <v>79</v>
      </c>
      <c r="I52" s="188"/>
      <c r="J52" s="188"/>
      <c r="K52" s="188"/>
      <c r="L52" s="188"/>
      <c r="M52" s="188"/>
      <c r="N52" s="188"/>
      <c r="O52" s="188"/>
      <c r="P52" s="188"/>
      <c r="Q52" s="188"/>
      <c r="R52" s="188"/>
      <c r="S52" s="188"/>
      <c r="T52" s="188"/>
      <c r="U52" s="188"/>
      <c r="V52" s="188"/>
      <c r="W52" s="188"/>
      <c r="X52" s="188"/>
      <c r="Y52" s="188"/>
      <c r="Z52" s="188"/>
      <c r="AA52" s="188"/>
      <c r="AB52" s="188"/>
      <c r="AC52" s="188"/>
      <c r="AD52" s="188"/>
      <c r="AE52" s="188"/>
      <c r="AF52" s="189"/>
    </row>
    <row r="53" spans="2:32" ht="45.75" customHeight="1" x14ac:dyDescent="0.25">
      <c r="B53" s="174" t="s">
        <v>75</v>
      </c>
      <c r="C53" s="184"/>
      <c r="D53" s="184"/>
      <c r="E53" s="184"/>
      <c r="F53" s="184"/>
      <c r="G53" s="185"/>
      <c r="H53" s="187" t="s">
        <v>78</v>
      </c>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9"/>
    </row>
    <row r="54" spans="2:32" ht="37.5" customHeight="1" x14ac:dyDescent="0.25">
      <c r="B54" s="174" t="s">
        <v>76</v>
      </c>
      <c r="C54" s="184"/>
      <c r="D54" s="184"/>
      <c r="E54" s="184"/>
      <c r="F54" s="184"/>
      <c r="G54" s="185"/>
      <c r="H54" s="187" t="s">
        <v>77</v>
      </c>
      <c r="I54" s="188"/>
      <c r="J54" s="188"/>
      <c r="K54" s="188"/>
      <c r="L54" s="188"/>
      <c r="M54" s="188"/>
      <c r="N54" s="188"/>
      <c r="O54" s="188"/>
      <c r="P54" s="188"/>
      <c r="Q54" s="188"/>
      <c r="R54" s="188"/>
      <c r="S54" s="188"/>
      <c r="T54" s="188"/>
      <c r="U54" s="188"/>
      <c r="V54" s="188"/>
      <c r="W54" s="188"/>
      <c r="X54" s="188"/>
      <c r="Y54" s="188"/>
      <c r="Z54" s="188"/>
      <c r="AA54" s="188"/>
      <c r="AB54" s="188"/>
      <c r="AC54" s="188"/>
      <c r="AD54" s="188"/>
      <c r="AE54" s="188"/>
      <c r="AF54" s="189"/>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32</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92" t="s">
        <v>80</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92" t="s">
        <v>111</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81</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82</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83</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84</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85</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86</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87</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88</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89</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90</v>
      </c>
    </row>
    <row r="83" spans="2:34" ht="12.75" hidden="1" customHeight="1" x14ac:dyDescent="0.25">
      <c r="B83" s="16" t="s">
        <v>91</v>
      </c>
    </row>
    <row r="84" spans="2:34" ht="12.75" hidden="1" customHeight="1" x14ac:dyDescent="0.25">
      <c r="B84" s="16" t="s">
        <v>92</v>
      </c>
    </row>
    <row r="85" spans="2:34" ht="12.75" hidden="1" customHeight="1" x14ac:dyDescent="0.25">
      <c r="B85" s="16" t="s">
        <v>93</v>
      </c>
    </row>
    <row r="86" spans="2:34" ht="12.75" hidden="1" customHeight="1" x14ac:dyDescent="0.25">
      <c r="B86" s="16" t="s">
        <v>94</v>
      </c>
    </row>
    <row r="87" spans="2:34" ht="12.75" hidden="1" customHeight="1" x14ac:dyDescent="0.25">
      <c r="B87" s="16" t="s">
        <v>95</v>
      </c>
    </row>
    <row r="88" spans="2:34" ht="12.75" hidden="1" customHeight="1" x14ac:dyDescent="0.25">
      <c r="B88" s="16" t="s">
        <v>96</v>
      </c>
    </row>
    <row r="89" spans="2:34" ht="12.75" hidden="1" customHeight="1" x14ac:dyDescent="0.25">
      <c r="B89" s="16" t="s">
        <v>97</v>
      </c>
    </row>
    <row r="90" spans="2:34" ht="12.75" hidden="1" customHeight="1" x14ac:dyDescent="0.25">
      <c r="B90" s="16" t="s">
        <v>98</v>
      </c>
    </row>
    <row r="91" spans="2:34" ht="12.75" hidden="1" customHeight="1" x14ac:dyDescent="0.25">
      <c r="B91" s="16" t="s">
        <v>99</v>
      </c>
    </row>
    <row r="92" spans="2:34" ht="12.75" hidden="1" customHeight="1" x14ac:dyDescent="0.25">
      <c r="B92" s="16" t="s">
        <v>100</v>
      </c>
    </row>
    <row r="93" spans="2:34" ht="12.75" hidden="1" customHeight="1" x14ac:dyDescent="0.25">
      <c r="B93" s="16" t="s">
        <v>101</v>
      </c>
    </row>
    <row r="94" spans="2:34" ht="12.75" hidden="1" customHeight="1" x14ac:dyDescent="0.25">
      <c r="B94" s="16" t="s">
        <v>102</v>
      </c>
    </row>
    <row r="95" spans="2:34" ht="12.75" hidden="1" customHeight="1" x14ac:dyDescent="0.25">
      <c r="B95" s="16" t="s">
        <v>103</v>
      </c>
    </row>
    <row r="96" spans="2:34" ht="12.75" hidden="1" customHeight="1" x14ac:dyDescent="0.25">
      <c r="B96" s="16" t="s">
        <v>104</v>
      </c>
    </row>
    <row r="97" spans="2:2" ht="12.75" hidden="1" customHeight="1" x14ac:dyDescent="0.25">
      <c r="B97" s="16" t="s">
        <v>105</v>
      </c>
    </row>
    <row r="98" spans="2:2" ht="12.75" hidden="1" customHeight="1" x14ac:dyDescent="0.25">
      <c r="B98" s="16" t="s">
        <v>106</v>
      </c>
    </row>
    <row r="99" spans="2:2" ht="12.75" hidden="1" customHeight="1" x14ac:dyDescent="0.25">
      <c r="B99" s="16" t="s">
        <v>107</v>
      </c>
    </row>
    <row r="100" spans="2:2" ht="12.75" hidden="1" customHeight="1" x14ac:dyDescent="0.25">
      <c r="B100" s="16" t="s">
        <v>108</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7:V7"/>
    <mergeCell ref="A4:V4"/>
    <mergeCell ref="A5:V5"/>
    <mergeCell ref="W4:AA4"/>
    <mergeCell ref="W5:AA5"/>
    <mergeCell ref="A6:D6"/>
    <mergeCell ref="A7:D7"/>
    <mergeCell ref="W6:AA6"/>
    <mergeCell ref="B54:G54"/>
    <mergeCell ref="H49:AF49"/>
    <mergeCell ref="H54:AF54"/>
    <mergeCell ref="B52:G52"/>
    <mergeCell ref="H52:AF52"/>
    <mergeCell ref="B51:G51"/>
    <mergeCell ref="H51:AF51"/>
    <mergeCell ref="H53:AF53"/>
    <mergeCell ref="B53:G53"/>
    <mergeCell ref="B50:G50"/>
    <mergeCell ref="H50:AF50"/>
    <mergeCell ref="B49:G49"/>
    <mergeCell ref="Y45:AF45"/>
    <mergeCell ref="Y46:AF46"/>
    <mergeCell ref="B44:D44"/>
    <mergeCell ref="B46:D46"/>
    <mergeCell ref="B43:D43"/>
    <mergeCell ref="B45:D45"/>
    <mergeCell ref="Y44:AF44"/>
    <mergeCell ref="E44:X44"/>
    <mergeCell ref="E46:X46"/>
    <mergeCell ref="Y43:AF43"/>
    <mergeCell ref="E45:X4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I28:Q28"/>
    <mergeCell ref="B26:D26"/>
    <mergeCell ref="I26:Q26"/>
    <mergeCell ref="B40:D40"/>
    <mergeCell ref="E40:X40"/>
    <mergeCell ref="G16:AF16"/>
    <mergeCell ref="G21:AF21"/>
    <mergeCell ref="B21:F21"/>
    <mergeCell ref="G17:AF17"/>
    <mergeCell ref="A9:AG9"/>
    <mergeCell ref="B17:F17"/>
    <mergeCell ref="B16:F16"/>
    <mergeCell ref="B20:F20"/>
    <mergeCell ref="G20:AF20"/>
    <mergeCell ref="B19:F19"/>
    <mergeCell ref="G19:AF19"/>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1.2&amp;R&amp;P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88671875" style="16" customWidth="1"/>
    <col min="34" max="34" width="1.33203125" style="16" customWidth="1"/>
    <col min="35" max="60" width="3.33203125" style="16" hidden="1" customWidth="1"/>
    <col min="61" max="16384" width="0" style="16" hidden="1"/>
  </cols>
  <sheetData>
    <row r="1" spans="2:34" ht="13.2" x14ac:dyDescent="0.25">
      <c r="B1" s="194" t="s">
        <v>123</v>
      </c>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row>
    <row r="2" spans="2:34" ht="20.25" customHeight="1" x14ac:dyDescent="0.25">
      <c r="B2" s="194"/>
      <c r="C2" s="194"/>
      <c r="D2" s="194"/>
      <c r="E2" s="194"/>
      <c r="F2" s="194"/>
      <c r="G2" s="194"/>
      <c r="H2" s="194"/>
      <c r="I2" s="194"/>
      <c r="J2" s="194"/>
      <c r="K2" s="194"/>
      <c r="L2" s="194"/>
      <c r="M2" s="194"/>
      <c r="N2" s="194"/>
      <c r="O2" s="194"/>
      <c r="P2" s="194"/>
      <c r="Q2" s="194"/>
      <c r="R2" s="194"/>
      <c r="S2" s="194"/>
      <c r="T2" s="194"/>
      <c r="U2" s="194"/>
      <c r="V2" s="194"/>
      <c r="W2" s="194"/>
      <c r="X2" s="194"/>
      <c r="Y2" s="194"/>
      <c r="Z2" s="194"/>
      <c r="AA2" s="194"/>
      <c r="AB2" s="194"/>
      <c r="AC2" s="194"/>
      <c r="AD2" s="194"/>
      <c r="AE2" s="194"/>
      <c r="AF2" s="194"/>
      <c r="AG2" s="194"/>
    </row>
    <row r="3" spans="2:34" ht="13.2" x14ac:dyDescent="0.25">
      <c r="B3" s="194"/>
      <c r="C3" s="194"/>
      <c r="D3" s="194"/>
      <c r="E3" s="194"/>
      <c r="F3" s="194"/>
      <c r="G3" s="194"/>
      <c r="H3" s="194"/>
      <c r="I3" s="194"/>
      <c r="J3" s="194"/>
      <c r="K3" s="194"/>
      <c r="L3" s="194"/>
      <c r="M3" s="194"/>
      <c r="N3" s="194"/>
      <c r="O3" s="194"/>
      <c r="P3" s="194"/>
      <c r="Q3" s="194"/>
      <c r="R3" s="194"/>
      <c r="S3" s="194"/>
      <c r="T3" s="194"/>
      <c r="U3" s="194"/>
      <c r="V3" s="194"/>
      <c r="W3" s="194"/>
      <c r="X3" s="194"/>
      <c r="Y3" s="194"/>
      <c r="Z3" s="194"/>
      <c r="AA3" s="194"/>
      <c r="AB3" s="194"/>
      <c r="AC3" s="194"/>
      <c r="AD3" s="194"/>
      <c r="AE3" s="194"/>
      <c r="AF3" s="194"/>
      <c r="AG3" s="194"/>
    </row>
    <row r="4" spans="2:34" ht="13.2" x14ac:dyDescent="0.25">
      <c r="B4" s="194"/>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194"/>
      <c r="AG4" s="194"/>
    </row>
    <row r="5" spans="2:34" ht="13.2" x14ac:dyDescent="0.25">
      <c r="B5" s="194"/>
      <c r="C5" s="194"/>
      <c r="D5" s="194"/>
      <c r="E5" s="194"/>
      <c r="F5" s="194"/>
      <c r="G5" s="194"/>
      <c r="H5" s="194"/>
      <c r="I5" s="194"/>
      <c r="J5" s="194"/>
      <c r="K5" s="194"/>
      <c r="L5" s="194"/>
      <c r="M5" s="194"/>
      <c r="N5" s="194"/>
      <c r="O5" s="194"/>
      <c r="P5" s="194"/>
      <c r="Q5" s="194"/>
      <c r="R5" s="194"/>
      <c r="S5" s="194"/>
      <c r="T5" s="194"/>
      <c r="U5" s="194"/>
      <c r="V5" s="194"/>
      <c r="W5" s="194"/>
      <c r="X5" s="194"/>
      <c r="Y5" s="194"/>
      <c r="Z5" s="194"/>
      <c r="AA5" s="194"/>
      <c r="AB5" s="194"/>
      <c r="AC5" s="194"/>
      <c r="AD5" s="194"/>
      <c r="AE5" s="194"/>
      <c r="AF5" s="194"/>
      <c r="AG5" s="194"/>
    </row>
    <row r="6" spans="2:34" ht="13.2" x14ac:dyDescent="0.25">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row>
    <row r="7" spans="2:34" ht="13.2" x14ac:dyDescent="0.25">
      <c r="B7" s="194"/>
      <c r="C7" s="194"/>
      <c r="D7" s="194"/>
      <c r="E7" s="194"/>
      <c r="F7" s="194"/>
      <c r="G7" s="194"/>
      <c r="H7" s="194"/>
      <c r="I7" s="194"/>
      <c r="J7" s="194"/>
      <c r="K7" s="194"/>
      <c r="L7" s="194"/>
      <c r="M7" s="194"/>
      <c r="N7" s="194"/>
      <c r="O7" s="194"/>
      <c r="P7" s="194"/>
      <c r="Q7" s="194"/>
      <c r="R7" s="194"/>
      <c r="S7" s="194"/>
      <c r="T7" s="194"/>
      <c r="U7" s="194"/>
      <c r="V7" s="194"/>
      <c r="W7" s="194"/>
      <c r="X7" s="194"/>
      <c r="Y7" s="194"/>
      <c r="Z7" s="194"/>
      <c r="AA7" s="194"/>
      <c r="AB7" s="194"/>
      <c r="AC7" s="194"/>
      <c r="AD7" s="194"/>
      <c r="AE7" s="194"/>
      <c r="AF7" s="194"/>
      <c r="AG7" s="194"/>
    </row>
    <row r="8" spans="2:34" ht="13.2" x14ac:dyDescent="0.25">
      <c r="B8" s="194"/>
      <c r="C8" s="194"/>
      <c r="D8" s="194"/>
      <c r="E8" s="194"/>
      <c r="F8" s="194"/>
      <c r="G8" s="194"/>
      <c r="H8" s="194"/>
      <c r="I8" s="194"/>
      <c r="J8" s="194"/>
      <c r="K8" s="194"/>
      <c r="L8" s="194"/>
      <c r="M8" s="194"/>
      <c r="N8" s="194"/>
      <c r="O8" s="194"/>
      <c r="P8" s="194"/>
      <c r="Q8" s="194"/>
      <c r="R8" s="194"/>
      <c r="S8" s="194"/>
      <c r="T8" s="194"/>
      <c r="U8" s="194"/>
      <c r="V8" s="194"/>
      <c r="W8" s="194"/>
      <c r="X8" s="194"/>
      <c r="Y8" s="194"/>
      <c r="Z8" s="194"/>
      <c r="AA8" s="194"/>
      <c r="AB8" s="194"/>
      <c r="AC8" s="194"/>
      <c r="AD8" s="194"/>
      <c r="AE8" s="194"/>
      <c r="AF8" s="194"/>
      <c r="AG8" s="194"/>
    </row>
    <row r="9" spans="2:34" ht="13.2" x14ac:dyDescent="0.25">
      <c r="B9" s="194"/>
      <c r="C9" s="194"/>
      <c r="D9" s="194"/>
      <c r="E9" s="194"/>
      <c r="F9" s="194"/>
      <c r="G9" s="194"/>
      <c r="H9" s="194"/>
      <c r="I9" s="194"/>
      <c r="J9" s="194"/>
      <c r="K9" s="194"/>
      <c r="L9" s="194"/>
      <c r="M9" s="194"/>
      <c r="N9" s="194"/>
      <c r="O9" s="194"/>
      <c r="P9" s="194"/>
      <c r="Q9" s="194"/>
      <c r="R9" s="194"/>
      <c r="S9" s="194"/>
      <c r="T9" s="194"/>
      <c r="U9" s="194"/>
      <c r="V9" s="194"/>
      <c r="W9" s="194"/>
      <c r="X9" s="194"/>
      <c r="Y9" s="194"/>
      <c r="Z9" s="194"/>
      <c r="AA9" s="194"/>
      <c r="AB9" s="194"/>
      <c r="AC9" s="194"/>
      <c r="AD9" s="194"/>
      <c r="AE9" s="194"/>
      <c r="AF9" s="194"/>
      <c r="AG9" s="194"/>
    </row>
    <row r="10" spans="2:34" ht="13.2" x14ac:dyDescent="0.25">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row>
    <row r="11" spans="2:34" ht="13.2" x14ac:dyDescent="0.25">
      <c r="B11" s="194"/>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194"/>
      <c r="AG11" s="194"/>
    </row>
    <row r="12" spans="2:34" ht="13.2" x14ac:dyDescent="0.25">
      <c r="B12" s="194"/>
      <c r="C12" s="194"/>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row>
    <row r="13" spans="2:34" ht="13.2" x14ac:dyDescent="0.25">
      <c r="B13" s="194"/>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row>
    <row r="14" spans="2:34" ht="13.2" x14ac:dyDescent="0.25">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40"/>
    </row>
    <row r="15" spans="2:34" ht="13.2" x14ac:dyDescent="0.25">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40"/>
    </row>
    <row r="16" spans="2:34" ht="13.2" x14ac:dyDescent="0.25">
      <c r="B16" s="194"/>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40"/>
    </row>
    <row r="17" spans="2:34" ht="13.2" x14ac:dyDescent="0.25">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40"/>
    </row>
    <row r="18" spans="2:34" ht="13.2" x14ac:dyDescent="0.25">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40"/>
    </row>
    <row r="19" spans="2:34" ht="13.2" x14ac:dyDescent="0.25">
      <c r="B19" s="194"/>
      <c r="C19" s="194"/>
      <c r="D19" s="194"/>
      <c r="E19" s="194"/>
      <c r="F19" s="194"/>
      <c r="G19" s="194"/>
      <c r="H19" s="194"/>
      <c r="I19" s="194"/>
      <c r="J19" s="194"/>
      <c r="K19" s="194"/>
      <c r="L19" s="194"/>
      <c r="M19" s="194"/>
      <c r="N19" s="194"/>
      <c r="O19" s="194"/>
      <c r="P19" s="194"/>
      <c r="Q19" s="194"/>
      <c r="R19" s="194"/>
      <c r="S19" s="194"/>
      <c r="T19" s="194"/>
      <c r="U19" s="194"/>
      <c r="V19" s="194"/>
      <c r="W19" s="194"/>
      <c r="X19" s="194"/>
      <c r="Y19" s="194"/>
      <c r="Z19" s="194"/>
      <c r="AA19" s="194"/>
      <c r="AB19" s="194"/>
      <c r="AC19" s="194"/>
      <c r="AD19" s="194"/>
      <c r="AE19" s="194"/>
      <c r="AF19" s="194"/>
      <c r="AG19" s="194"/>
      <c r="AH19" s="40"/>
    </row>
    <row r="20" spans="2:34" ht="13.2" x14ac:dyDescent="0.25">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43"/>
    </row>
    <row r="21" spans="2:34" ht="13.2" x14ac:dyDescent="0.25">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43"/>
    </row>
    <row r="22" spans="2:34" ht="13.2" x14ac:dyDescent="0.25">
      <c r="B22" s="194"/>
      <c r="C22" s="194"/>
      <c r="D22" s="194"/>
      <c r="E22" s="194"/>
      <c r="F22" s="194"/>
      <c r="G22" s="194"/>
      <c r="H22" s="194"/>
      <c r="I22" s="194"/>
      <c r="J22" s="194"/>
      <c r="K22" s="194"/>
      <c r="L22" s="194"/>
      <c r="M22" s="194"/>
      <c r="N22" s="194"/>
      <c r="O22" s="194"/>
      <c r="P22" s="194"/>
      <c r="Q22" s="194"/>
      <c r="R22" s="194"/>
      <c r="S22" s="194"/>
      <c r="T22" s="194"/>
      <c r="U22" s="194"/>
      <c r="V22" s="194"/>
      <c r="W22" s="194"/>
      <c r="X22" s="194"/>
      <c r="Y22" s="194"/>
      <c r="Z22" s="194"/>
      <c r="AA22" s="194"/>
      <c r="AB22" s="194"/>
      <c r="AC22" s="194"/>
      <c r="AD22" s="194"/>
      <c r="AE22" s="194"/>
      <c r="AF22" s="194"/>
      <c r="AG22" s="194"/>
      <c r="AH22" s="43"/>
    </row>
    <row r="23" spans="2:34" ht="13.2" x14ac:dyDescent="0.25">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row>
    <row r="24" spans="2:34" ht="13.2" x14ac:dyDescent="0.25">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row>
    <row r="25" spans="2:34" ht="13.2" x14ac:dyDescent="0.25">
      <c r="B25" s="194"/>
      <c r="C25" s="194"/>
      <c r="D25" s="194"/>
      <c r="E25" s="194"/>
      <c r="F25" s="194"/>
      <c r="G25" s="194"/>
      <c r="H25" s="194"/>
      <c r="I25" s="194"/>
      <c r="J25" s="194"/>
      <c r="K25" s="194"/>
      <c r="L25" s="194"/>
      <c r="M25" s="194"/>
      <c r="N25" s="194"/>
      <c r="O25" s="194"/>
      <c r="P25" s="194"/>
      <c r="Q25" s="194"/>
      <c r="R25" s="194"/>
      <c r="S25" s="194"/>
      <c r="T25" s="194"/>
      <c r="U25" s="194"/>
      <c r="V25" s="194"/>
      <c r="W25" s="194"/>
      <c r="X25" s="194"/>
      <c r="Y25" s="194"/>
      <c r="Z25" s="194"/>
      <c r="AA25" s="194"/>
      <c r="AB25" s="194"/>
      <c r="AC25" s="194"/>
      <c r="AD25" s="194"/>
      <c r="AE25" s="194"/>
      <c r="AF25" s="194"/>
      <c r="AG25" s="194"/>
    </row>
    <row r="26" spans="2:34" ht="13.2" x14ac:dyDescent="0.25">
      <c r="B26" s="194"/>
      <c r="C26" s="194"/>
      <c r="D26" s="194"/>
      <c r="E26" s="194"/>
      <c r="F26" s="194"/>
      <c r="G26" s="194"/>
      <c r="H26" s="194"/>
      <c r="I26" s="194"/>
      <c r="J26" s="194"/>
      <c r="K26" s="194"/>
      <c r="L26" s="194"/>
      <c r="M26" s="194"/>
      <c r="N26" s="194"/>
      <c r="O26" s="194"/>
      <c r="P26" s="194"/>
      <c r="Q26" s="194"/>
      <c r="R26" s="194"/>
      <c r="S26" s="194"/>
      <c r="T26" s="194"/>
      <c r="U26" s="194"/>
      <c r="V26" s="194"/>
      <c r="W26" s="194"/>
      <c r="X26" s="194"/>
      <c r="Y26" s="194"/>
      <c r="Z26" s="194"/>
      <c r="AA26" s="194"/>
      <c r="AB26" s="194"/>
      <c r="AC26" s="194"/>
      <c r="AD26" s="194"/>
      <c r="AE26" s="194"/>
      <c r="AF26" s="194"/>
      <c r="AG26" s="194"/>
    </row>
    <row r="27" spans="2:34" ht="13.2" x14ac:dyDescent="0.25">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row>
    <row r="28" spans="2:34" ht="13.2" x14ac:dyDescent="0.25">
      <c r="B28" s="194"/>
      <c r="C28" s="194"/>
      <c r="D28" s="194"/>
      <c r="E28" s="194"/>
      <c r="F28" s="194"/>
      <c r="G28" s="194"/>
      <c r="H28" s="194"/>
      <c r="I28" s="194"/>
      <c r="J28" s="194"/>
      <c r="K28" s="194"/>
      <c r="L28" s="194"/>
      <c r="M28" s="194"/>
      <c r="N28" s="194"/>
      <c r="O28" s="194"/>
      <c r="P28" s="194"/>
      <c r="Q28" s="194"/>
      <c r="R28" s="194"/>
      <c r="S28" s="194"/>
      <c r="T28" s="194"/>
      <c r="U28" s="194"/>
      <c r="V28" s="194"/>
      <c r="W28" s="194"/>
      <c r="X28" s="194"/>
      <c r="Y28" s="194"/>
      <c r="Z28" s="194"/>
      <c r="AA28" s="194"/>
      <c r="AB28" s="194"/>
      <c r="AC28" s="194"/>
      <c r="AD28" s="194"/>
      <c r="AE28" s="194"/>
      <c r="AF28" s="194"/>
      <c r="AG28" s="194"/>
    </row>
    <row r="29" spans="2:34" ht="13.2" x14ac:dyDescent="0.25">
      <c r="B29" s="194"/>
      <c r="C29" s="194"/>
      <c r="D29" s="194"/>
      <c r="E29" s="194"/>
      <c r="F29" s="194"/>
      <c r="G29" s="194"/>
      <c r="H29" s="194"/>
      <c r="I29" s="194"/>
      <c r="J29" s="194"/>
      <c r="K29" s="194"/>
      <c r="L29" s="194"/>
      <c r="M29" s="194"/>
      <c r="N29" s="194"/>
      <c r="O29" s="194"/>
      <c r="P29" s="194"/>
      <c r="Q29" s="194"/>
      <c r="R29" s="194"/>
      <c r="S29" s="194"/>
      <c r="T29" s="194"/>
      <c r="U29" s="194"/>
      <c r="V29" s="194"/>
      <c r="W29" s="194"/>
      <c r="X29" s="194"/>
      <c r="Y29" s="194"/>
      <c r="Z29" s="194"/>
      <c r="AA29" s="194"/>
      <c r="AB29" s="194"/>
      <c r="AC29" s="194"/>
      <c r="AD29" s="194"/>
      <c r="AE29" s="194"/>
      <c r="AF29" s="194"/>
      <c r="AG29" s="194"/>
    </row>
    <row r="30" spans="2:34" ht="13.2" x14ac:dyDescent="0.25">
      <c r="B30" s="194"/>
      <c r="C30" s="194"/>
      <c r="D30" s="194"/>
      <c r="E30" s="194"/>
      <c r="F30" s="194"/>
      <c r="G30" s="194"/>
      <c r="H30" s="194"/>
      <c r="I30" s="194"/>
      <c r="J30" s="194"/>
      <c r="K30" s="194"/>
      <c r="L30" s="194"/>
      <c r="M30" s="194"/>
      <c r="N30" s="194"/>
      <c r="O30" s="194"/>
      <c r="P30" s="194"/>
      <c r="Q30" s="194"/>
      <c r="R30" s="194"/>
      <c r="S30" s="194"/>
      <c r="T30" s="194"/>
      <c r="U30" s="194"/>
      <c r="V30" s="194"/>
      <c r="W30" s="194"/>
      <c r="X30" s="194"/>
      <c r="Y30" s="194"/>
      <c r="Z30" s="194"/>
      <c r="AA30" s="194"/>
      <c r="AB30" s="194"/>
      <c r="AC30" s="194"/>
      <c r="AD30" s="194"/>
      <c r="AE30" s="194"/>
      <c r="AF30" s="194"/>
      <c r="AG30" s="194"/>
    </row>
    <row r="31" spans="2:34" ht="13.2" x14ac:dyDescent="0.25">
      <c r="B31" s="194"/>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194"/>
      <c r="AG31" s="194"/>
    </row>
    <row r="32" spans="2:34" ht="13.2" x14ac:dyDescent="0.25">
      <c r="B32" s="194"/>
      <c r="C32" s="194"/>
      <c r="D32" s="194"/>
      <c r="E32" s="194"/>
      <c r="F32" s="194"/>
      <c r="G32" s="194"/>
      <c r="H32" s="194"/>
      <c r="I32" s="194"/>
      <c r="J32" s="194"/>
      <c r="K32" s="194"/>
      <c r="L32" s="194"/>
      <c r="M32" s="194"/>
      <c r="N32" s="194"/>
      <c r="O32" s="194"/>
      <c r="P32" s="194"/>
      <c r="Q32" s="194"/>
      <c r="R32" s="194"/>
      <c r="S32" s="194"/>
      <c r="T32" s="194"/>
      <c r="U32" s="194"/>
      <c r="V32" s="194"/>
      <c r="W32" s="194"/>
      <c r="X32" s="194"/>
      <c r="Y32" s="194"/>
      <c r="Z32" s="194"/>
      <c r="AA32" s="194"/>
      <c r="AB32" s="194"/>
      <c r="AC32" s="194"/>
      <c r="AD32" s="194"/>
      <c r="AE32" s="194"/>
      <c r="AF32" s="194"/>
      <c r="AG32" s="194"/>
    </row>
    <row r="33" spans="2:33" ht="13.2" x14ac:dyDescent="0.25">
      <c r="B33" s="194"/>
      <c r="C33" s="194"/>
      <c r="D33" s="194"/>
      <c r="E33" s="194"/>
      <c r="F33" s="194"/>
      <c r="G33" s="194"/>
      <c r="H33" s="194"/>
      <c r="I33" s="194"/>
      <c r="J33" s="194"/>
      <c r="K33" s="194"/>
      <c r="L33" s="194"/>
      <c r="M33" s="194"/>
      <c r="N33" s="194"/>
      <c r="O33" s="194"/>
      <c r="P33" s="194"/>
      <c r="Q33" s="194"/>
      <c r="R33" s="194"/>
      <c r="S33" s="194"/>
      <c r="T33" s="194"/>
      <c r="U33" s="194"/>
      <c r="V33" s="194"/>
      <c r="W33" s="194"/>
      <c r="X33" s="194"/>
      <c r="Y33" s="194"/>
      <c r="Z33" s="194"/>
      <c r="AA33" s="194"/>
      <c r="AB33" s="194"/>
      <c r="AC33" s="194"/>
      <c r="AD33" s="194"/>
      <c r="AE33" s="194"/>
      <c r="AF33" s="194"/>
      <c r="AG33" s="194"/>
    </row>
    <row r="34" spans="2:33" ht="13.2" x14ac:dyDescent="0.25">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row>
    <row r="35" spans="2:33" ht="12.75" customHeight="1" x14ac:dyDescent="0.25">
      <c r="B35" s="194"/>
      <c r="C35" s="194"/>
      <c r="D35" s="194"/>
      <c r="E35" s="194"/>
      <c r="F35" s="194"/>
      <c r="G35" s="194"/>
      <c r="H35" s="194"/>
      <c r="I35" s="194"/>
      <c r="J35" s="194"/>
      <c r="K35" s="194"/>
      <c r="L35" s="194"/>
      <c r="M35" s="194"/>
      <c r="N35" s="194"/>
      <c r="O35" s="194"/>
      <c r="P35" s="194"/>
      <c r="Q35" s="194"/>
      <c r="R35" s="194"/>
      <c r="S35" s="194"/>
      <c r="T35" s="194"/>
      <c r="U35" s="194"/>
      <c r="V35" s="194"/>
      <c r="W35" s="194"/>
      <c r="X35" s="194"/>
      <c r="Y35" s="194"/>
      <c r="Z35" s="194"/>
      <c r="AA35" s="194"/>
      <c r="AB35" s="194"/>
      <c r="AC35" s="194"/>
      <c r="AD35" s="194"/>
      <c r="AE35" s="194"/>
      <c r="AF35" s="194"/>
      <c r="AG35" s="194"/>
    </row>
    <row r="36" spans="2:33" ht="12.75" customHeight="1" x14ac:dyDescent="0.25">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194"/>
      <c r="AG36" s="194"/>
    </row>
    <row r="37" spans="2:33" ht="12.75" customHeight="1" x14ac:dyDescent="0.25">
      <c r="B37" s="194"/>
      <c r="C37" s="194"/>
      <c r="D37" s="194"/>
      <c r="E37" s="194"/>
      <c r="F37" s="194"/>
      <c r="G37" s="194"/>
      <c r="H37" s="194"/>
      <c r="I37" s="194"/>
      <c r="J37" s="194"/>
      <c r="K37" s="194"/>
      <c r="L37" s="194"/>
      <c r="M37" s="194"/>
      <c r="N37" s="194"/>
      <c r="O37" s="194"/>
      <c r="P37" s="194"/>
      <c r="Q37" s="194"/>
      <c r="R37" s="194"/>
      <c r="S37" s="194"/>
      <c r="T37" s="194"/>
      <c r="U37" s="194"/>
      <c r="V37" s="194"/>
      <c r="W37" s="194"/>
      <c r="X37" s="194"/>
      <c r="Y37" s="194"/>
      <c r="Z37" s="194"/>
      <c r="AA37" s="194"/>
      <c r="AB37" s="194"/>
      <c r="AC37" s="194"/>
      <c r="AD37" s="194"/>
      <c r="AE37" s="194"/>
      <c r="AF37" s="194"/>
      <c r="AG37" s="194"/>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1.2&amp;R&amp;P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6"/>
  <sheetViews>
    <sheetView tabSelected="1" zoomScaleNormal="100" workbookViewId="0">
      <selection activeCell="G4" sqref="G4"/>
    </sheetView>
  </sheetViews>
  <sheetFormatPr defaultRowHeight="13.2" x14ac:dyDescent="0.25"/>
  <cols>
    <col min="1" max="1" width="2.5546875" customWidth="1"/>
    <col min="2" max="2" width="5.33203125" customWidth="1"/>
    <col min="3" max="3" width="19.5546875" customWidth="1"/>
    <col min="4" max="4" width="24.33203125" customWidth="1"/>
    <col min="5" max="5" width="14" customWidth="1"/>
    <col min="6" max="6" width="26" bestFit="1" customWidth="1"/>
    <col min="7" max="7" width="11.6640625" customWidth="1"/>
    <col min="8" max="8" width="7.5546875" bestFit="1" customWidth="1"/>
    <col min="9" max="9" width="10.109375" customWidth="1"/>
    <col min="10" max="10" width="18.44140625" customWidth="1"/>
    <col min="12" max="12" width="13.109375" bestFit="1" customWidth="1"/>
    <col min="13" max="13" width="11.44140625" customWidth="1"/>
    <col min="14" max="14" width="18.33203125" customWidth="1"/>
  </cols>
  <sheetData>
    <row r="1" spans="2:14" ht="13.8" thickBot="1" x14ac:dyDescent="0.3"/>
    <row r="2" spans="2:14" ht="43.8" thickBot="1" x14ac:dyDescent="0.3">
      <c r="B2" s="59" t="s">
        <v>37</v>
      </c>
      <c r="C2" s="60" t="s">
        <v>38</v>
      </c>
      <c r="D2" s="61" t="s">
        <v>68</v>
      </c>
      <c r="E2" s="61" t="s">
        <v>109</v>
      </c>
      <c r="F2" s="61" t="s">
        <v>39</v>
      </c>
      <c r="G2" s="61" t="s">
        <v>382</v>
      </c>
      <c r="H2" s="61" t="s">
        <v>70</v>
      </c>
      <c r="I2" s="60" t="s">
        <v>11</v>
      </c>
      <c r="J2" s="60" t="s">
        <v>69</v>
      </c>
      <c r="K2" s="60" t="s">
        <v>59</v>
      </c>
      <c r="L2" s="62" t="s">
        <v>40</v>
      </c>
      <c r="M2" s="62" t="s">
        <v>71</v>
      </c>
      <c r="N2" s="114" t="s">
        <v>381</v>
      </c>
    </row>
    <row r="3" spans="2:14" s="85" customFormat="1" ht="36.75" customHeight="1" x14ac:dyDescent="0.25">
      <c r="B3" s="84">
        <v>1</v>
      </c>
      <c r="C3" s="106" t="s">
        <v>270</v>
      </c>
      <c r="D3" s="107" t="str">
        <f t="shared" ref="D3:D10" ca="1" si="0">IF(C3&lt;&gt;"",INDIRECT(C3&amp;"!B3"),"")</f>
        <v>ARCH_SW_PAL_0010, ARCH_SW_PAL_0450, ARCH_SW_PAL_0456, ARCH_SW_PAL_0457</v>
      </c>
      <c r="E3" s="96" t="str">
        <f ca="1">IF(C3&lt;&gt;"",INDIRECT(C3&amp;"!B5"),"")</f>
        <v>Nominal</v>
      </c>
      <c r="F3" s="96" t="str">
        <f t="shared" ref="F3:F10" ca="1" si="1">IF(C3&lt;&gt;"",INDIRECT(C3&amp;"!B1"),"")</f>
        <v xml:space="preserve">Component Initialization </v>
      </c>
      <c r="G3" s="86" t="s">
        <v>383</v>
      </c>
      <c r="H3" s="87">
        <v>1</v>
      </c>
      <c r="I3" s="88" t="s">
        <v>142</v>
      </c>
      <c r="J3" s="89"/>
      <c r="K3" s="113" t="str">
        <f ca="1">IF(C3&lt;&gt;"",INDIRECT(C3&amp;"!B9"),"")</f>
        <v>Ok</v>
      </c>
      <c r="L3" s="93" t="s">
        <v>179</v>
      </c>
      <c r="M3" s="90"/>
      <c r="N3" s="91"/>
    </row>
    <row r="4" spans="2:14" ht="93.75" customHeight="1" x14ac:dyDescent="0.25">
      <c r="B4" s="64">
        <v>2</v>
      </c>
      <c r="C4" s="106" t="s">
        <v>271</v>
      </c>
      <c r="D4" s="107" t="str">
        <f t="shared" ca="1" si="0"/>
        <v>ARCH_SW_PAL_0020, ARCH_SW_PAL_0025, ARCH_SW_PAL_0026, ARCH_SW_PAL_0027, ARCH_SW_PAL_0028, ARCH_SW_PAL_0029</v>
      </c>
      <c r="E4" s="96" t="str">
        <f ca="1">IF(C4&lt;&gt;"",INDIRECT(C4&amp;"!B5"),"")</f>
        <v>Nominal</v>
      </c>
      <c r="F4" s="96" t="str">
        <f t="shared" ca="1" si="1"/>
        <v>Control Motor Power Order</v>
      </c>
      <c r="G4" s="86"/>
      <c r="H4" s="87">
        <v>1</v>
      </c>
      <c r="I4" s="88" t="s">
        <v>142</v>
      </c>
      <c r="J4" s="89"/>
      <c r="K4" s="95" t="str">
        <f ca="1">IF(C4&lt;&gt;"",INDIRECT(C4&amp;"!B9"),"")</f>
        <v>Ok</v>
      </c>
      <c r="L4" s="93" t="s">
        <v>179</v>
      </c>
      <c r="M4" s="90"/>
      <c r="N4" s="91"/>
    </row>
    <row r="5" spans="2:14" ht="48" customHeight="1" x14ac:dyDescent="0.25">
      <c r="B5" s="64">
        <v>3</v>
      </c>
      <c r="C5" s="106" t="s">
        <v>272</v>
      </c>
      <c r="D5" s="107" t="str">
        <f t="shared" ca="1" si="0"/>
        <v>ARCH_SW_PAL_0070, ARCH_SW_PAL_0075, ARCH_SW_PAL_0076</v>
      </c>
      <c r="E5" s="96" t="str">
        <f ca="1">IF(C5&lt;&gt;"",INDIRECT(C5&amp;"!B5"),"")</f>
        <v>Nominal</v>
      </c>
      <c r="F5" s="96" t="str">
        <f t="shared" ca="1" si="1"/>
        <v>Set the Power to IDLE</v>
      </c>
      <c r="G5" s="86" t="s">
        <v>383</v>
      </c>
      <c r="H5" s="87">
        <v>1</v>
      </c>
      <c r="I5" s="88" t="s">
        <v>142</v>
      </c>
      <c r="J5" s="89"/>
      <c r="K5" s="95" t="str">
        <f ca="1">IF(C5&lt;&gt;"",INDIRECT(C5&amp;"!B9"),"")</f>
        <v>Ok</v>
      </c>
      <c r="L5" s="93" t="s">
        <v>179</v>
      </c>
      <c r="M5" s="90"/>
      <c r="N5" s="91"/>
    </row>
    <row r="6" spans="2:14" ht="50.25" customHeight="1" x14ac:dyDescent="0.25">
      <c r="B6" s="64">
        <v>4</v>
      </c>
      <c r="C6" s="106" t="s">
        <v>277</v>
      </c>
      <c r="D6" s="107" t="str">
        <f t="shared" ca="1" si="0"/>
        <v>ARCH_SW_PAL_0090, ARCH_SW_PAL_0095,  ARCH_SW_PAL_0110</v>
      </c>
      <c r="E6" s="96" t="str">
        <f t="shared" ref="E6:E7" ca="1" si="2">IF(C6&lt;&gt;"",INDIRECT(C6&amp;"!B5"),"")</f>
        <v>Nominal</v>
      </c>
      <c r="F6" s="111" t="str">
        <f t="shared" ca="1" si="1"/>
        <v>Initialization of PAL configuration</v>
      </c>
      <c r="G6" s="86" t="s">
        <v>383</v>
      </c>
      <c r="H6" s="87">
        <v>1</v>
      </c>
      <c r="I6" s="88" t="s">
        <v>142</v>
      </c>
      <c r="J6" s="89"/>
      <c r="K6" s="95" t="str">
        <f t="shared" ref="K6:K7" ca="1" si="3">IF(C6&lt;&gt;"",INDIRECT(C6&amp;"!B9"),"")</f>
        <v>Ok</v>
      </c>
      <c r="L6" s="93" t="s">
        <v>179</v>
      </c>
      <c r="M6" s="90"/>
      <c r="N6" s="91"/>
    </row>
    <row r="7" spans="2:14" ht="92.25" customHeight="1" x14ac:dyDescent="0.25">
      <c r="B7" s="64">
        <v>5</v>
      </c>
      <c r="C7" s="106" t="s">
        <v>278</v>
      </c>
      <c r="D7" s="107" t="str">
        <f t="shared" ca="1" si="0"/>
        <v>ARCH_SW_PAL_0085, ARCH_SW_PAL_0086, ARCH_SW_PAL_0080, ARCH_SW_PAL_0100, ARCH_SW_PAL_0105, ARCH_SW_PAL_0106</v>
      </c>
      <c r="E7" s="96" t="str">
        <f t="shared" ca="1" si="2"/>
        <v>Nominal</v>
      </c>
      <c r="F7" s="112" t="str">
        <f t="shared" ca="1" si="1"/>
        <v>Provide the power consumption</v>
      </c>
      <c r="G7" s="86"/>
      <c r="H7" s="87">
        <v>1</v>
      </c>
      <c r="I7" s="88" t="s">
        <v>142</v>
      </c>
      <c r="J7" s="89"/>
      <c r="K7" s="95" t="str">
        <f t="shared" ca="1" si="3"/>
        <v>Ok</v>
      </c>
      <c r="L7" s="93" t="s">
        <v>179</v>
      </c>
      <c r="M7" s="90"/>
      <c r="N7" s="91"/>
    </row>
    <row r="8" spans="2:14" ht="72" x14ac:dyDescent="0.25">
      <c r="B8" s="64">
        <v>6</v>
      </c>
      <c r="C8" s="106" t="s">
        <v>279</v>
      </c>
      <c r="D8" s="107" t="str">
        <f t="shared" ca="1" si="0"/>
        <v>ARCH_SW_PAL_0140, ARCH_SW_PAL_0141, ARCH_SW_PAL_0145, ARCH_SW_PAL_0146, ARCH_SW_PAL_0147</v>
      </c>
      <c r="E8" s="96" t="str">
        <f t="shared" ref="E8" ca="1" si="4">IF(C8&lt;&gt;"",INDIRECT(C8&amp;"!B5"),"")</f>
        <v>Nominal</v>
      </c>
      <c r="F8" s="112" t="str">
        <f t="shared" ca="1" si="1"/>
        <v>Check the HW thermal protection availability</v>
      </c>
      <c r="G8" s="86"/>
      <c r="H8" s="87">
        <v>1</v>
      </c>
      <c r="I8" s="88" t="s">
        <v>142</v>
      </c>
      <c r="J8" s="89"/>
      <c r="K8" s="95" t="str">
        <f t="shared" ref="K8" ca="1" si="5">IF(C8&lt;&gt;"",INDIRECT(C8&amp;"!B9"),"")</f>
        <v>Nok</v>
      </c>
      <c r="L8" s="93" t="s">
        <v>179</v>
      </c>
      <c r="M8" s="90">
        <v>812890</v>
      </c>
      <c r="N8" s="91"/>
    </row>
    <row r="9" spans="2:14" ht="80.25" customHeight="1" x14ac:dyDescent="0.25">
      <c r="B9" s="64">
        <v>7</v>
      </c>
      <c r="C9" s="106" t="s">
        <v>280</v>
      </c>
      <c r="D9" s="107" t="str">
        <f t="shared" ca="1" si="0"/>
        <v>ARCH_SW_PAL_0340, ARCH_SW_PAL_0341, ARCH_SW_PAL_0342, ARCH_SW_PAL_0345,  ARCH_SW_PAL_0346</v>
      </c>
      <c r="E9" s="96" t="str">
        <f t="shared" ref="E9" ca="1" si="6">IF(C9&lt;&gt;"",INDIRECT(C9&amp;"!B5"),"")</f>
        <v>Nominal</v>
      </c>
      <c r="F9" s="112" t="str">
        <f t="shared" ca="1" si="1"/>
        <v>Check the motor current</v>
      </c>
      <c r="G9" s="86"/>
      <c r="H9" s="87">
        <v>1</v>
      </c>
      <c r="I9" s="88" t="s">
        <v>142</v>
      </c>
      <c r="J9" s="89"/>
      <c r="K9" s="95" t="str">
        <f t="shared" ref="K9:K18" ca="1" si="7">IF(C9&lt;&gt;"",INDIRECT(C9&amp;"!B9"),"")</f>
        <v>Nok</v>
      </c>
      <c r="L9" s="93" t="s">
        <v>179</v>
      </c>
      <c r="M9" s="90">
        <v>812890</v>
      </c>
      <c r="N9" s="91"/>
    </row>
    <row r="10" spans="2:14" ht="75" customHeight="1" x14ac:dyDescent="0.25">
      <c r="B10" s="64">
        <v>8</v>
      </c>
      <c r="C10" s="106" t="s">
        <v>281</v>
      </c>
      <c r="D10" s="107" t="str">
        <f t="shared" ca="1" si="0"/>
        <v>ARCH_SW_PAL_0360, ARCH_SW_PAL_0361, ARCH_SW_PAL_0365, ARCH_SW_PAL_0366, ARCH_SW_PAL_0367</v>
      </c>
      <c r="E10" s="96" t="str">
        <f t="shared" ref="E10" ca="1" si="8">IF(C10&lt;&gt;"",INDIRECT(C10&amp;"!B5"),"")</f>
        <v>Nominal</v>
      </c>
      <c r="F10" s="112" t="str">
        <f t="shared" ca="1" si="1"/>
        <v>Check the motor thermal protection</v>
      </c>
      <c r="G10" s="86"/>
      <c r="H10" s="87">
        <v>1</v>
      </c>
      <c r="I10" s="88" t="s">
        <v>142</v>
      </c>
      <c r="J10" s="89"/>
      <c r="K10" s="95" t="str">
        <f t="shared" ca="1" si="7"/>
        <v>Ok</v>
      </c>
      <c r="L10" s="93" t="s">
        <v>179</v>
      </c>
      <c r="M10" s="90"/>
      <c r="N10" s="91"/>
    </row>
    <row r="11" spans="2:14" ht="28.8" x14ac:dyDescent="0.25">
      <c r="B11" s="64">
        <v>9</v>
      </c>
      <c r="C11" s="106" t="s">
        <v>289</v>
      </c>
      <c r="D11" s="107" t="str">
        <f t="shared" ref="D11:D18" ca="1" si="9">IF(C11&lt;&gt;"",INDIRECT(C11&amp;"!B3"),"")</f>
        <v>ARCH_SW_PAL_0456; ARCH_SW_PAL_0457</v>
      </c>
      <c r="E11" s="96" t="str">
        <f t="shared" ref="E11" ca="1" si="10">IF(C11&lt;&gt;"",INDIRECT(C11&amp;"!B5"),"")</f>
        <v>Nominal</v>
      </c>
      <c r="F11" s="112" t="str">
        <f t="shared" ref="F11:F18" ca="1" si="11">IF(C11&lt;&gt;"",INDIRECT(C11&amp;"!B1"),"")</f>
        <v>Main functioality</v>
      </c>
      <c r="G11" s="86"/>
      <c r="H11" s="87">
        <v>1</v>
      </c>
      <c r="I11" s="88" t="s">
        <v>142</v>
      </c>
      <c r="J11" s="89"/>
      <c r="K11" s="95" t="str">
        <f t="shared" ca="1" si="7"/>
        <v>Ok</v>
      </c>
      <c r="L11" s="93" t="s">
        <v>179</v>
      </c>
      <c r="M11" s="90"/>
      <c r="N11" s="91"/>
    </row>
    <row r="12" spans="2:14" ht="129.6" x14ac:dyDescent="0.25">
      <c r="B12" s="63">
        <v>10</v>
      </c>
      <c r="C12" s="106" t="s">
        <v>364</v>
      </c>
      <c r="D12" s="107" t="str">
        <f t="shared" ca="1" si="9"/>
        <v>ARCH_SW_PAL_0369, ARCH_SW_PAL_0370, ARCH_SW_PAL_0372, ARCH_SW_PAL_0373, ARCH_SW_PAL_0374, ARCH_SW_PAL_0376, ARCH_SW_PAL_0380, ARCH_SW_PAL_0382, ARCH_SW_PAL_0386</v>
      </c>
      <c r="E12" s="96" t="str">
        <f t="shared" ref="E12:E18" ca="1" si="12">IF(C12&lt;&gt;"",INDIRECT(C12&amp;"!B5"),"")</f>
        <v>Nominal</v>
      </c>
      <c r="F12" s="112" t="str">
        <f t="shared" ca="1" si="11"/>
        <v>Check autotest functions calls</v>
      </c>
      <c r="G12" s="86"/>
      <c r="H12" s="87">
        <v>1</v>
      </c>
      <c r="I12" s="88" t="s">
        <v>142</v>
      </c>
      <c r="J12" s="89"/>
      <c r="K12" s="95" t="str">
        <f t="shared" ca="1" si="7"/>
        <v>Nok</v>
      </c>
      <c r="L12" s="93" t="s">
        <v>179</v>
      </c>
      <c r="M12" s="90">
        <v>814530</v>
      </c>
      <c r="N12" s="91"/>
    </row>
    <row r="13" spans="2:14" ht="28.8" x14ac:dyDescent="0.25">
      <c r="B13" s="64">
        <v>11</v>
      </c>
      <c r="C13" s="106" t="s">
        <v>365</v>
      </c>
      <c r="D13" s="107" t="str">
        <f t="shared" ca="1" si="9"/>
        <v>ARCH_SW_PAL_0390; ARCH_SW_PAL_0391</v>
      </c>
      <c r="E13" s="96" t="str">
        <f t="shared" ca="1" si="12"/>
        <v>Nominal</v>
      </c>
      <c r="F13" s="112" t="str">
        <f t="shared" ca="1" si="11"/>
        <v>Autotest MosfetLowSc interfaces</v>
      </c>
      <c r="G13" s="86"/>
      <c r="H13" s="87">
        <v>1</v>
      </c>
      <c r="I13" s="88" t="s">
        <v>142</v>
      </c>
      <c r="J13" s="89"/>
      <c r="K13" s="95" t="str">
        <f t="shared" ca="1" si="7"/>
        <v>Nok</v>
      </c>
      <c r="L13" s="93" t="s">
        <v>179</v>
      </c>
      <c r="M13" s="90">
        <v>814530</v>
      </c>
      <c r="N13" s="91"/>
    </row>
    <row r="14" spans="2:14" ht="43.2" x14ac:dyDescent="0.25">
      <c r="B14" s="64">
        <v>13</v>
      </c>
      <c r="C14" s="106" t="s">
        <v>366</v>
      </c>
      <c r="D14" s="107" t="str">
        <f t="shared" ca="1" si="9"/>
        <v>ARCH_SW_PAL_0395, ARCH_SW_PAL_0396, ARCH_SW_PAL_0375</v>
      </c>
      <c r="E14" s="96" t="str">
        <f t="shared" ca="1" si="12"/>
        <v>Nominal</v>
      </c>
      <c r="F14" s="112" t="str">
        <f t="shared" ca="1" si="11"/>
        <v>Autotest MosfetHighSc interfaces</v>
      </c>
      <c r="G14" s="86"/>
      <c r="H14" s="87">
        <v>1</v>
      </c>
      <c r="I14" s="88" t="s">
        <v>142</v>
      </c>
      <c r="J14" s="89"/>
      <c r="K14" s="95" t="str">
        <f t="shared" ca="1" si="7"/>
        <v>Nok</v>
      </c>
      <c r="L14" s="93" t="s">
        <v>179</v>
      </c>
      <c r="M14" s="90">
        <v>814530</v>
      </c>
      <c r="N14" s="91"/>
    </row>
    <row r="15" spans="2:14" ht="28.8" x14ac:dyDescent="0.25">
      <c r="B15" s="64">
        <v>14</v>
      </c>
      <c r="C15" s="106" t="s">
        <v>367</v>
      </c>
      <c r="D15" s="107" t="str">
        <f t="shared" ca="1" si="9"/>
        <v>ARCH_SW_PAL_0377, ARCH_SW_PAL_0410</v>
      </c>
      <c r="E15" s="96" t="str">
        <f t="shared" ca="1" si="12"/>
        <v>Nominal</v>
      </c>
      <c r="F15" s="112" t="str">
        <f t="shared" ca="1" si="11"/>
        <v>Autotest Motor Connection interfaces</v>
      </c>
      <c r="G15" s="86"/>
      <c r="H15" s="87">
        <v>1</v>
      </c>
      <c r="I15" s="88" t="s">
        <v>142</v>
      </c>
      <c r="J15" s="89"/>
      <c r="K15" s="95" t="str">
        <f t="shared" ca="1" si="7"/>
        <v>Nok</v>
      </c>
      <c r="L15" s="93" t="s">
        <v>179</v>
      </c>
      <c r="M15" s="90">
        <v>814530</v>
      </c>
      <c r="N15" s="91"/>
    </row>
    <row r="16" spans="2:14" ht="100.8" x14ac:dyDescent="0.25">
      <c r="B16" s="64">
        <v>15</v>
      </c>
      <c r="C16" s="106" t="s">
        <v>368</v>
      </c>
      <c r="D16" s="107" t="str">
        <f t="shared" ca="1" si="9"/>
        <v>ARCH_SW_PAL_0378, ARCH_SW_PAL_0379, ARCH_SW_PAL_0380, ARCH_SW_PAL_0400, ARCH_SW_PAL_0401, ARCH_SW_PAL_0402, ARCH_SW_PAL_0403</v>
      </c>
      <c r="E16" s="96" t="str">
        <f t="shared" ca="1" si="12"/>
        <v>Nominal</v>
      </c>
      <c r="F16" s="112" t="str">
        <f t="shared" ca="1" si="11"/>
        <v>Autotest Motor Disegagement interfaces</v>
      </c>
      <c r="G16" s="86"/>
      <c r="H16" s="87">
        <v>1</v>
      </c>
      <c r="I16" s="88" t="s">
        <v>142</v>
      </c>
      <c r="J16" s="89"/>
      <c r="K16" s="95" t="str">
        <f t="shared" ca="1" si="7"/>
        <v>Nok</v>
      </c>
      <c r="L16" s="93" t="s">
        <v>179</v>
      </c>
      <c r="M16" s="90">
        <v>814530</v>
      </c>
      <c r="N16" s="91"/>
    </row>
    <row r="17" spans="2:14" ht="57.6" x14ac:dyDescent="0.25">
      <c r="B17" s="64">
        <v>16</v>
      </c>
      <c r="C17" s="106" t="s">
        <v>369</v>
      </c>
      <c r="D17" s="107" t="str">
        <f t="shared" ca="1" si="9"/>
        <v>ARCH_SW_PAL_0381, ARCH_SW_PAL_0390, ARCH_SW_PAL_0391, ARCH_SW_PAL_0392</v>
      </c>
      <c r="E17" s="96" t="str">
        <f t="shared" ca="1" si="12"/>
        <v>Nominal</v>
      </c>
      <c r="F17" s="112" t="str">
        <f t="shared" ca="1" si="11"/>
        <v>Autotest Motor Power Order interfaces</v>
      </c>
      <c r="G17" s="86"/>
      <c r="H17" s="87">
        <v>1</v>
      </c>
      <c r="I17" s="88" t="s">
        <v>142</v>
      </c>
      <c r="J17" s="89"/>
      <c r="K17" s="95" t="str">
        <f t="shared" ca="1" si="7"/>
        <v>Nok</v>
      </c>
      <c r="L17" s="93" t="s">
        <v>179</v>
      </c>
      <c r="M17" s="90">
        <v>814530</v>
      </c>
      <c r="N17" s="91"/>
    </row>
    <row r="18" spans="2:14" ht="115.2" x14ac:dyDescent="0.25">
      <c r="B18" s="64">
        <v>17</v>
      </c>
      <c r="C18" s="106" t="s">
        <v>370</v>
      </c>
      <c r="D18" s="107" t="str">
        <f t="shared" ca="1" si="9"/>
        <v>ARCH_SW_PAL_0383, ARCH_SW_PAL_0384, ARCH_SW_PAL_0385, ARCH_SW_PAL_0386, ARCH_SW_PAL_0387, ARCH_SW_PAL_0388, ARCH_SW_PAL_0389, RCH_SW_PAL_0384</v>
      </c>
      <c r="E18" s="96" t="str">
        <f t="shared" ca="1" si="12"/>
        <v>Nominal</v>
      </c>
      <c r="F18" s="112" t="str">
        <f t="shared" ca="1" si="11"/>
        <v>Autotest Motor in SC interfaces</v>
      </c>
      <c r="G18" s="86"/>
      <c r="H18" s="87">
        <v>1</v>
      </c>
      <c r="I18" s="88" t="s">
        <v>142</v>
      </c>
      <c r="J18" s="89"/>
      <c r="K18" s="95" t="str">
        <f t="shared" ca="1" si="7"/>
        <v>Nok</v>
      </c>
      <c r="L18" s="93" t="s">
        <v>179</v>
      </c>
      <c r="M18" s="90">
        <v>814530</v>
      </c>
      <c r="N18" s="91"/>
    </row>
    <row r="19" spans="2:14" ht="14.4" x14ac:dyDescent="0.25">
      <c r="B19" s="64">
        <v>18</v>
      </c>
      <c r="C19" s="65"/>
      <c r="D19" s="66" t="str">
        <f t="shared" ref="D19:D46" ca="1" si="13">IF(C19&lt;&gt;"",INDIRECT(C19&amp;"!B5"),"")</f>
        <v/>
      </c>
      <c r="E19" s="66" t="str">
        <f t="shared" ref="E19:E46" ca="1" si="14">IF(C19&lt;&gt;"",INDIRECT(C19&amp;"!B7"),"")</f>
        <v/>
      </c>
      <c r="F19" s="66" t="str">
        <f t="shared" ref="F19:F46" ca="1" si="15">IF(C19&lt;&gt;"",INDIRECT(C19&amp;"!B1"),"")</f>
        <v/>
      </c>
      <c r="G19" s="66"/>
      <c r="H19" s="66"/>
      <c r="I19" s="67"/>
      <c r="J19" s="68"/>
      <c r="K19" s="95" t="str">
        <f t="shared" ref="K19:K46" ca="1" si="16">IF(C19&lt;&gt;"",INDIRECT(C19&amp;"!B11"),"")</f>
        <v/>
      </c>
      <c r="L19" s="94"/>
      <c r="M19" s="83"/>
      <c r="N19" s="69"/>
    </row>
    <row r="20" spans="2:14" ht="14.4" x14ac:dyDescent="0.25">
      <c r="B20" s="63">
        <v>19</v>
      </c>
      <c r="C20" s="65"/>
      <c r="D20" s="66" t="str">
        <f t="shared" ca="1" si="13"/>
        <v/>
      </c>
      <c r="E20" s="66" t="str">
        <f t="shared" ca="1" si="14"/>
        <v/>
      </c>
      <c r="F20" s="66" t="str">
        <f t="shared" ca="1" si="15"/>
        <v/>
      </c>
      <c r="G20" s="66"/>
      <c r="H20" s="66"/>
      <c r="I20" s="67"/>
      <c r="J20" s="68"/>
      <c r="K20" s="95" t="str">
        <f t="shared" ca="1" si="16"/>
        <v/>
      </c>
      <c r="L20" s="94"/>
      <c r="M20" s="83"/>
      <c r="N20" s="69"/>
    </row>
    <row r="21" spans="2:14" ht="14.4" x14ac:dyDescent="0.25">
      <c r="B21" s="64">
        <v>20</v>
      </c>
      <c r="C21" s="65"/>
      <c r="D21" s="66" t="str">
        <f t="shared" ca="1" si="13"/>
        <v/>
      </c>
      <c r="E21" s="66" t="str">
        <f t="shared" ca="1" si="14"/>
        <v/>
      </c>
      <c r="F21" s="66" t="str">
        <f t="shared" ca="1" si="15"/>
        <v/>
      </c>
      <c r="G21" s="66"/>
      <c r="H21" s="66"/>
      <c r="I21" s="67"/>
      <c r="J21" s="68"/>
      <c r="K21" s="95" t="str">
        <f t="shared" ca="1" si="16"/>
        <v/>
      </c>
      <c r="L21" s="94"/>
      <c r="M21" s="83"/>
      <c r="N21" s="69"/>
    </row>
    <row r="22" spans="2:14" ht="14.4" x14ac:dyDescent="0.25">
      <c r="B22" s="64">
        <v>21</v>
      </c>
      <c r="C22" s="65"/>
      <c r="D22" s="66" t="str">
        <f t="shared" ca="1" si="13"/>
        <v/>
      </c>
      <c r="E22" s="66" t="str">
        <f t="shared" ca="1" si="14"/>
        <v/>
      </c>
      <c r="F22" s="66" t="str">
        <f t="shared" ca="1" si="15"/>
        <v/>
      </c>
      <c r="G22" s="66"/>
      <c r="H22" s="66"/>
      <c r="I22" s="67"/>
      <c r="J22" s="68"/>
      <c r="K22" s="95" t="str">
        <f t="shared" ca="1" si="16"/>
        <v/>
      </c>
      <c r="L22" s="94"/>
      <c r="M22" s="83"/>
      <c r="N22" s="69"/>
    </row>
    <row r="23" spans="2:14" ht="14.4" x14ac:dyDescent="0.25">
      <c r="B23" s="64">
        <v>22</v>
      </c>
      <c r="C23" s="65"/>
      <c r="D23" s="66" t="str">
        <f t="shared" ca="1" si="13"/>
        <v/>
      </c>
      <c r="E23" s="66" t="str">
        <f t="shared" ca="1" si="14"/>
        <v/>
      </c>
      <c r="F23" s="66" t="str">
        <f t="shared" ca="1" si="15"/>
        <v/>
      </c>
      <c r="G23" s="66"/>
      <c r="H23" s="66"/>
      <c r="I23" s="67"/>
      <c r="J23" s="68"/>
      <c r="K23" s="95" t="str">
        <f t="shared" ca="1" si="16"/>
        <v/>
      </c>
      <c r="L23" s="94"/>
      <c r="M23" s="83"/>
      <c r="N23" s="69"/>
    </row>
    <row r="24" spans="2:14" ht="14.4" x14ac:dyDescent="0.25">
      <c r="B24" s="64">
        <v>23</v>
      </c>
      <c r="C24" s="65"/>
      <c r="D24" s="66" t="str">
        <f t="shared" ca="1" si="13"/>
        <v/>
      </c>
      <c r="E24" s="66" t="str">
        <f t="shared" ca="1" si="14"/>
        <v/>
      </c>
      <c r="F24" s="66" t="str">
        <f t="shared" ca="1" si="15"/>
        <v/>
      </c>
      <c r="G24" s="66"/>
      <c r="H24" s="66"/>
      <c r="I24" s="67"/>
      <c r="J24" s="68"/>
      <c r="K24" s="95" t="str">
        <f t="shared" ca="1" si="16"/>
        <v/>
      </c>
      <c r="L24" s="94"/>
      <c r="M24" s="83"/>
      <c r="N24" s="69"/>
    </row>
    <row r="25" spans="2:14" ht="14.4" x14ac:dyDescent="0.25">
      <c r="B25" s="64">
        <v>24</v>
      </c>
      <c r="C25" s="65"/>
      <c r="D25" s="66" t="str">
        <f t="shared" ca="1" si="13"/>
        <v/>
      </c>
      <c r="E25" s="66" t="str">
        <f t="shared" ca="1" si="14"/>
        <v/>
      </c>
      <c r="F25" s="66" t="str">
        <f t="shared" ca="1" si="15"/>
        <v/>
      </c>
      <c r="G25" s="66"/>
      <c r="H25" s="66"/>
      <c r="I25" s="67"/>
      <c r="J25" s="68"/>
      <c r="K25" s="95" t="str">
        <f t="shared" ca="1" si="16"/>
        <v/>
      </c>
      <c r="L25" s="94"/>
      <c r="M25" s="83"/>
      <c r="N25" s="69"/>
    </row>
    <row r="26" spans="2:14" ht="14.4" x14ac:dyDescent="0.25">
      <c r="B26" s="64">
        <v>25</v>
      </c>
      <c r="C26" s="65"/>
      <c r="D26" s="66" t="str">
        <f t="shared" ca="1" si="13"/>
        <v/>
      </c>
      <c r="E26" s="66" t="str">
        <f t="shared" ca="1" si="14"/>
        <v/>
      </c>
      <c r="F26" s="66" t="str">
        <f t="shared" ca="1" si="15"/>
        <v/>
      </c>
      <c r="G26" s="66"/>
      <c r="H26" s="66"/>
      <c r="I26" s="67"/>
      <c r="J26" s="68"/>
      <c r="K26" s="95" t="str">
        <f t="shared" ca="1" si="16"/>
        <v/>
      </c>
      <c r="L26" s="94"/>
      <c r="M26" s="83"/>
      <c r="N26" s="69"/>
    </row>
    <row r="27" spans="2:14" ht="14.4" x14ac:dyDescent="0.25">
      <c r="B27" s="64">
        <v>26</v>
      </c>
      <c r="C27" s="65"/>
      <c r="D27" s="66" t="str">
        <f t="shared" ca="1" si="13"/>
        <v/>
      </c>
      <c r="E27" s="66" t="str">
        <f t="shared" ca="1" si="14"/>
        <v/>
      </c>
      <c r="F27" s="66" t="str">
        <f t="shared" ca="1" si="15"/>
        <v/>
      </c>
      <c r="G27" s="66"/>
      <c r="H27" s="66"/>
      <c r="I27" s="67"/>
      <c r="J27" s="68"/>
      <c r="K27" s="95" t="str">
        <f t="shared" ca="1" si="16"/>
        <v/>
      </c>
      <c r="L27" s="94"/>
      <c r="M27" s="83"/>
      <c r="N27" s="69"/>
    </row>
    <row r="28" spans="2:14" ht="14.4" x14ac:dyDescent="0.25">
      <c r="B28" s="64">
        <v>27</v>
      </c>
      <c r="C28" s="65"/>
      <c r="D28" s="66" t="str">
        <f t="shared" ca="1" si="13"/>
        <v/>
      </c>
      <c r="E28" s="66" t="str">
        <f t="shared" ca="1" si="14"/>
        <v/>
      </c>
      <c r="F28" s="66" t="str">
        <f t="shared" ca="1" si="15"/>
        <v/>
      </c>
      <c r="G28" s="66"/>
      <c r="H28" s="66"/>
      <c r="I28" s="67"/>
      <c r="J28" s="68"/>
      <c r="K28" s="95" t="str">
        <f t="shared" ca="1" si="16"/>
        <v/>
      </c>
      <c r="L28" s="94"/>
      <c r="M28" s="83"/>
      <c r="N28" s="69"/>
    </row>
    <row r="29" spans="2:14" ht="14.4" x14ac:dyDescent="0.25">
      <c r="B29" s="63">
        <v>28</v>
      </c>
      <c r="C29" s="65"/>
      <c r="D29" s="66" t="str">
        <f t="shared" ca="1" si="13"/>
        <v/>
      </c>
      <c r="E29" s="66" t="str">
        <f t="shared" ca="1" si="14"/>
        <v/>
      </c>
      <c r="F29" s="66" t="str">
        <f t="shared" ca="1" si="15"/>
        <v/>
      </c>
      <c r="G29" s="66"/>
      <c r="H29" s="66"/>
      <c r="I29" s="67"/>
      <c r="J29" s="68"/>
      <c r="K29" s="95" t="str">
        <f t="shared" ca="1" si="16"/>
        <v/>
      </c>
      <c r="L29" s="94"/>
      <c r="M29" s="83"/>
      <c r="N29" s="69"/>
    </row>
    <row r="30" spans="2:14" ht="14.4" x14ac:dyDescent="0.25">
      <c r="B30" s="64">
        <v>29</v>
      </c>
      <c r="C30" s="65"/>
      <c r="D30" s="66" t="str">
        <f t="shared" ca="1" si="13"/>
        <v/>
      </c>
      <c r="E30" s="66" t="str">
        <f t="shared" ca="1" si="14"/>
        <v/>
      </c>
      <c r="F30" s="66" t="str">
        <f t="shared" ca="1" si="15"/>
        <v/>
      </c>
      <c r="G30" s="66"/>
      <c r="H30" s="66"/>
      <c r="I30" s="67"/>
      <c r="J30" s="68"/>
      <c r="K30" s="95" t="str">
        <f t="shared" ca="1" si="16"/>
        <v/>
      </c>
      <c r="L30" s="94"/>
      <c r="M30" s="83"/>
      <c r="N30" s="69"/>
    </row>
    <row r="31" spans="2:14" ht="14.4" x14ac:dyDescent="0.25">
      <c r="B31" s="64">
        <v>30</v>
      </c>
      <c r="C31" s="65"/>
      <c r="D31" s="66" t="str">
        <f t="shared" ca="1" si="13"/>
        <v/>
      </c>
      <c r="E31" s="66" t="str">
        <f t="shared" ca="1" si="14"/>
        <v/>
      </c>
      <c r="F31" s="66" t="str">
        <f t="shared" ca="1" si="15"/>
        <v/>
      </c>
      <c r="G31" s="66"/>
      <c r="H31" s="66"/>
      <c r="I31" s="67"/>
      <c r="J31" s="68"/>
      <c r="K31" s="95" t="str">
        <f t="shared" ca="1" si="16"/>
        <v/>
      </c>
      <c r="L31" s="94"/>
      <c r="M31" s="83"/>
      <c r="N31" s="69"/>
    </row>
    <row r="32" spans="2:14" ht="14.4" x14ac:dyDescent="0.25">
      <c r="B32" s="64">
        <v>31</v>
      </c>
      <c r="C32" s="65"/>
      <c r="D32" s="66" t="str">
        <f t="shared" ca="1" si="13"/>
        <v/>
      </c>
      <c r="E32" s="66" t="str">
        <f t="shared" ca="1" si="14"/>
        <v/>
      </c>
      <c r="F32" s="66" t="str">
        <f t="shared" ca="1" si="15"/>
        <v/>
      </c>
      <c r="G32" s="66"/>
      <c r="H32" s="66"/>
      <c r="I32" s="67"/>
      <c r="J32" s="68"/>
      <c r="K32" s="95" t="str">
        <f t="shared" ca="1" si="16"/>
        <v/>
      </c>
      <c r="L32" s="94"/>
      <c r="M32" s="83"/>
      <c r="N32" s="69"/>
    </row>
    <row r="33" spans="2:14" ht="14.4" x14ac:dyDescent="0.25">
      <c r="B33" s="64">
        <v>32</v>
      </c>
      <c r="C33" s="65"/>
      <c r="D33" s="66" t="str">
        <f t="shared" ca="1" si="13"/>
        <v/>
      </c>
      <c r="E33" s="66" t="str">
        <f t="shared" ca="1" si="14"/>
        <v/>
      </c>
      <c r="F33" s="66" t="str">
        <f t="shared" ca="1" si="15"/>
        <v/>
      </c>
      <c r="G33" s="66"/>
      <c r="H33" s="66"/>
      <c r="I33" s="67"/>
      <c r="J33" s="68"/>
      <c r="K33" s="95" t="str">
        <f t="shared" ca="1" si="16"/>
        <v/>
      </c>
      <c r="L33" s="94"/>
      <c r="M33" s="83"/>
      <c r="N33" s="69"/>
    </row>
    <row r="34" spans="2:14" ht="14.4" x14ac:dyDescent="0.25">
      <c r="B34" s="64">
        <v>33</v>
      </c>
      <c r="C34" s="65"/>
      <c r="D34" s="66" t="str">
        <f t="shared" ca="1" si="13"/>
        <v/>
      </c>
      <c r="E34" s="66" t="str">
        <f t="shared" ca="1" si="14"/>
        <v/>
      </c>
      <c r="F34" s="66" t="str">
        <f t="shared" ca="1" si="15"/>
        <v/>
      </c>
      <c r="G34" s="66"/>
      <c r="H34" s="66"/>
      <c r="I34" s="67"/>
      <c r="J34" s="68"/>
      <c r="K34" s="95" t="str">
        <f t="shared" ca="1" si="16"/>
        <v/>
      </c>
      <c r="L34" s="94"/>
      <c r="M34" s="83"/>
      <c r="N34" s="69"/>
    </row>
    <row r="35" spans="2:14" ht="14.4" x14ac:dyDescent="0.25">
      <c r="B35" s="64">
        <v>34</v>
      </c>
      <c r="C35" s="65"/>
      <c r="D35" s="66" t="str">
        <f t="shared" ca="1" si="13"/>
        <v/>
      </c>
      <c r="E35" s="66" t="str">
        <f t="shared" ca="1" si="14"/>
        <v/>
      </c>
      <c r="F35" s="66" t="str">
        <f t="shared" ca="1" si="15"/>
        <v/>
      </c>
      <c r="G35" s="66"/>
      <c r="H35" s="66"/>
      <c r="I35" s="67"/>
      <c r="J35" s="68"/>
      <c r="K35" s="95" t="str">
        <f t="shared" ca="1" si="16"/>
        <v/>
      </c>
      <c r="L35" s="94"/>
      <c r="M35" s="83"/>
      <c r="N35" s="69"/>
    </row>
    <row r="36" spans="2:14" ht="14.4" x14ac:dyDescent="0.25">
      <c r="B36" s="64">
        <v>35</v>
      </c>
      <c r="C36" s="65"/>
      <c r="D36" s="66" t="str">
        <f t="shared" ca="1" si="13"/>
        <v/>
      </c>
      <c r="E36" s="66" t="str">
        <f t="shared" ca="1" si="14"/>
        <v/>
      </c>
      <c r="F36" s="66" t="str">
        <f t="shared" ca="1" si="15"/>
        <v/>
      </c>
      <c r="G36" s="66"/>
      <c r="H36" s="66"/>
      <c r="I36" s="67"/>
      <c r="J36" s="68"/>
      <c r="K36" s="95" t="str">
        <f t="shared" ca="1" si="16"/>
        <v/>
      </c>
      <c r="L36" s="94"/>
      <c r="M36" s="83"/>
      <c r="N36" s="69"/>
    </row>
    <row r="37" spans="2:14" ht="14.4" x14ac:dyDescent="0.25">
      <c r="B37" s="64">
        <v>36</v>
      </c>
      <c r="C37" s="65"/>
      <c r="D37" s="66" t="str">
        <f t="shared" ca="1" si="13"/>
        <v/>
      </c>
      <c r="E37" s="66" t="str">
        <f t="shared" ca="1" si="14"/>
        <v/>
      </c>
      <c r="F37" s="66" t="str">
        <f t="shared" ca="1" si="15"/>
        <v/>
      </c>
      <c r="G37" s="66"/>
      <c r="H37" s="66"/>
      <c r="I37" s="67"/>
      <c r="J37" s="68"/>
      <c r="K37" s="95" t="str">
        <f t="shared" ca="1" si="16"/>
        <v/>
      </c>
      <c r="L37" s="94"/>
      <c r="M37" s="83"/>
      <c r="N37" s="69"/>
    </row>
    <row r="38" spans="2:14" ht="14.4" x14ac:dyDescent="0.25">
      <c r="B38" s="63">
        <v>37</v>
      </c>
      <c r="C38" s="65"/>
      <c r="D38" s="66" t="str">
        <f t="shared" ca="1" si="13"/>
        <v/>
      </c>
      <c r="E38" s="66" t="str">
        <f t="shared" ca="1" si="14"/>
        <v/>
      </c>
      <c r="F38" s="66" t="str">
        <f t="shared" ca="1" si="15"/>
        <v/>
      </c>
      <c r="G38" s="66"/>
      <c r="H38" s="66"/>
      <c r="I38" s="67"/>
      <c r="J38" s="68"/>
      <c r="K38" s="95" t="str">
        <f t="shared" ca="1" si="16"/>
        <v/>
      </c>
      <c r="L38" s="94"/>
      <c r="M38" s="83"/>
      <c r="N38" s="69"/>
    </row>
    <row r="39" spans="2:14" ht="14.4" x14ac:dyDescent="0.25">
      <c r="B39" s="64">
        <v>38</v>
      </c>
      <c r="C39" s="65"/>
      <c r="D39" s="66" t="str">
        <f t="shared" ca="1" si="13"/>
        <v/>
      </c>
      <c r="E39" s="66" t="str">
        <f t="shared" ca="1" si="14"/>
        <v/>
      </c>
      <c r="F39" s="66" t="str">
        <f t="shared" ca="1" si="15"/>
        <v/>
      </c>
      <c r="G39" s="66"/>
      <c r="H39" s="66"/>
      <c r="I39" s="67"/>
      <c r="J39" s="68"/>
      <c r="K39" s="95" t="str">
        <f t="shared" ca="1" si="16"/>
        <v/>
      </c>
      <c r="L39" s="94"/>
      <c r="M39" s="83"/>
      <c r="N39" s="69"/>
    </row>
    <row r="40" spans="2:14" ht="14.4" x14ac:dyDescent="0.25">
      <c r="B40" s="64">
        <v>39</v>
      </c>
      <c r="C40" s="65"/>
      <c r="D40" s="66" t="str">
        <f t="shared" ca="1" si="13"/>
        <v/>
      </c>
      <c r="E40" s="66" t="str">
        <f t="shared" ca="1" si="14"/>
        <v/>
      </c>
      <c r="F40" s="66" t="str">
        <f t="shared" ca="1" si="15"/>
        <v/>
      </c>
      <c r="G40" s="66"/>
      <c r="H40" s="66"/>
      <c r="I40" s="67"/>
      <c r="J40" s="68"/>
      <c r="K40" s="95" t="str">
        <f t="shared" ca="1" si="16"/>
        <v/>
      </c>
      <c r="L40" s="94"/>
      <c r="M40" s="83"/>
      <c r="N40" s="69"/>
    </row>
    <row r="41" spans="2:14" ht="14.4" x14ac:dyDescent="0.25">
      <c r="B41" s="64">
        <v>40</v>
      </c>
      <c r="C41" s="65"/>
      <c r="D41" s="66" t="str">
        <f t="shared" ca="1" si="13"/>
        <v/>
      </c>
      <c r="E41" s="66" t="str">
        <f t="shared" ca="1" si="14"/>
        <v/>
      </c>
      <c r="F41" s="66" t="str">
        <f t="shared" ca="1" si="15"/>
        <v/>
      </c>
      <c r="G41" s="66"/>
      <c r="H41" s="66"/>
      <c r="I41" s="67"/>
      <c r="J41" s="68"/>
      <c r="K41" s="95" t="str">
        <f t="shared" ca="1" si="16"/>
        <v/>
      </c>
      <c r="L41" s="94"/>
      <c r="M41" s="83"/>
      <c r="N41" s="69"/>
    </row>
    <row r="42" spans="2:14" ht="14.4" x14ac:dyDescent="0.25">
      <c r="B42" s="64">
        <v>41</v>
      </c>
      <c r="C42" s="65"/>
      <c r="D42" s="66" t="str">
        <f t="shared" ca="1" si="13"/>
        <v/>
      </c>
      <c r="E42" s="66" t="str">
        <f t="shared" ca="1" si="14"/>
        <v/>
      </c>
      <c r="F42" s="66" t="str">
        <f t="shared" ca="1" si="15"/>
        <v/>
      </c>
      <c r="G42" s="66"/>
      <c r="H42" s="66"/>
      <c r="I42" s="67"/>
      <c r="J42" s="68"/>
      <c r="K42" s="95" t="str">
        <f t="shared" ca="1" si="16"/>
        <v/>
      </c>
      <c r="L42" s="94"/>
      <c r="M42" s="83"/>
      <c r="N42" s="69"/>
    </row>
    <row r="43" spans="2:14" ht="14.4" x14ac:dyDescent="0.25">
      <c r="B43" s="64">
        <v>42</v>
      </c>
      <c r="C43" s="65"/>
      <c r="D43" s="66" t="str">
        <f t="shared" ca="1" si="13"/>
        <v/>
      </c>
      <c r="E43" s="66" t="str">
        <f t="shared" ca="1" si="14"/>
        <v/>
      </c>
      <c r="F43" s="66" t="str">
        <f t="shared" ca="1" si="15"/>
        <v/>
      </c>
      <c r="G43" s="66"/>
      <c r="H43" s="66"/>
      <c r="I43" s="67"/>
      <c r="J43" s="68"/>
      <c r="K43" s="95" t="str">
        <f t="shared" ca="1" si="16"/>
        <v/>
      </c>
      <c r="L43" s="94"/>
      <c r="M43" s="83"/>
      <c r="N43" s="69"/>
    </row>
    <row r="44" spans="2:14" ht="14.4" x14ac:dyDescent="0.25">
      <c r="B44" s="64">
        <v>43</v>
      </c>
      <c r="C44" s="65"/>
      <c r="D44" s="66" t="str">
        <f t="shared" ca="1" si="13"/>
        <v/>
      </c>
      <c r="E44" s="66" t="str">
        <f t="shared" ca="1" si="14"/>
        <v/>
      </c>
      <c r="F44" s="66" t="str">
        <f t="shared" ca="1" si="15"/>
        <v/>
      </c>
      <c r="G44" s="66"/>
      <c r="H44" s="66"/>
      <c r="I44" s="67"/>
      <c r="J44" s="68"/>
      <c r="K44" s="95" t="str">
        <f t="shared" ca="1" si="16"/>
        <v/>
      </c>
      <c r="L44" s="94"/>
      <c r="M44" s="83"/>
      <c r="N44" s="69"/>
    </row>
    <row r="45" spans="2:14" ht="14.4" x14ac:dyDescent="0.25">
      <c r="B45" s="64">
        <v>44</v>
      </c>
      <c r="C45" s="65"/>
      <c r="D45" s="66" t="str">
        <f t="shared" ca="1" si="13"/>
        <v/>
      </c>
      <c r="E45" s="66" t="str">
        <f t="shared" ca="1" si="14"/>
        <v/>
      </c>
      <c r="F45" s="66" t="str">
        <f t="shared" ca="1" si="15"/>
        <v/>
      </c>
      <c r="G45" s="66"/>
      <c r="H45" s="66"/>
      <c r="I45" s="67"/>
      <c r="J45" s="68"/>
      <c r="K45" s="95" t="str">
        <f t="shared" ca="1" si="16"/>
        <v/>
      </c>
      <c r="L45" s="94"/>
      <c r="M45" s="83"/>
      <c r="N45" s="69"/>
    </row>
    <row r="46" spans="2:14" ht="15" thickBot="1" x14ac:dyDescent="0.3">
      <c r="B46" s="70">
        <v>45</v>
      </c>
      <c r="C46" s="71"/>
      <c r="D46" s="66" t="str">
        <f t="shared" ca="1" si="13"/>
        <v/>
      </c>
      <c r="E46" s="66" t="str">
        <f t="shared" ca="1" si="14"/>
        <v/>
      </c>
      <c r="F46" s="66" t="str">
        <f t="shared" ca="1" si="15"/>
        <v/>
      </c>
      <c r="G46" s="66"/>
      <c r="H46" s="66"/>
      <c r="I46" s="67"/>
      <c r="J46" s="68"/>
      <c r="K46" s="95" t="str">
        <f t="shared" ca="1" si="16"/>
        <v/>
      </c>
      <c r="L46" s="94"/>
      <c r="M46" s="83"/>
      <c r="N46" s="69"/>
    </row>
  </sheetData>
  <phoneticPr fontId="42" type="noConversion"/>
  <conditionalFormatting sqref="K3:K4 K19:K46">
    <cfRule type="cellIs" dxfId="183" priority="19" operator="equal">
      <formula>"Nok"</formula>
    </cfRule>
    <cfRule type="cellIs" dxfId="182" priority="20" operator="equal">
      <formula>"Ok"</formula>
    </cfRule>
  </conditionalFormatting>
  <conditionalFormatting sqref="K5:K11">
    <cfRule type="cellIs" dxfId="181" priority="17" operator="equal">
      <formula>"Nok"</formula>
    </cfRule>
    <cfRule type="cellIs" dxfId="180" priority="18" operator="equal">
      <formula>"Ok"</formula>
    </cfRule>
  </conditionalFormatting>
  <conditionalFormatting sqref="K12">
    <cfRule type="cellIs" dxfId="179" priority="15" operator="equal">
      <formula>"Nok"</formula>
    </cfRule>
    <cfRule type="cellIs" dxfId="178" priority="16" operator="equal">
      <formula>"Ok"</formula>
    </cfRule>
  </conditionalFormatting>
  <conditionalFormatting sqref="K13">
    <cfRule type="cellIs" dxfId="177" priority="13" operator="equal">
      <formula>"Nok"</formula>
    </cfRule>
    <cfRule type="cellIs" dxfId="176" priority="14" operator="equal">
      <formula>"Ok"</formula>
    </cfRule>
  </conditionalFormatting>
  <conditionalFormatting sqref="K14">
    <cfRule type="cellIs" dxfId="175" priority="9" operator="equal">
      <formula>"Nok"</formula>
    </cfRule>
    <cfRule type="cellIs" dxfId="174" priority="10" operator="equal">
      <formula>"Ok"</formula>
    </cfRule>
  </conditionalFormatting>
  <conditionalFormatting sqref="K15">
    <cfRule type="cellIs" dxfId="173" priority="7" operator="equal">
      <formula>"Nok"</formula>
    </cfRule>
    <cfRule type="cellIs" dxfId="172" priority="8" operator="equal">
      <formula>"Ok"</formula>
    </cfRule>
  </conditionalFormatting>
  <conditionalFormatting sqref="K16">
    <cfRule type="cellIs" dxfId="171" priority="5" operator="equal">
      <formula>"Nok"</formula>
    </cfRule>
    <cfRule type="cellIs" dxfId="170" priority="6" operator="equal">
      <formula>"Ok"</formula>
    </cfRule>
  </conditionalFormatting>
  <conditionalFormatting sqref="K17">
    <cfRule type="cellIs" dxfId="169" priority="3" operator="equal">
      <formula>"Nok"</formula>
    </cfRule>
    <cfRule type="cellIs" dxfId="168" priority="4" operator="equal">
      <formula>"Ok"</formula>
    </cfRule>
  </conditionalFormatting>
  <conditionalFormatting sqref="K18">
    <cfRule type="cellIs" dxfId="167" priority="1" operator="equal">
      <formula>"Nok"</formula>
    </cfRule>
    <cfRule type="cellIs" dxfId="166" priority="2" operator="equal">
      <formula>"Ok"</formula>
    </cfRule>
  </conditionalFormatting>
  <dataValidations count="3">
    <dataValidation type="list" allowBlank="1" showInputMessage="1" showErrorMessage="1" sqref="E19:E46" xr:uid="{00000000-0002-0000-0300-000000000000}">
      <formula1>"Nominal, Robustness, Endurance, Qualification, Other"</formula1>
    </dataValidation>
    <dataValidation type="list" allowBlank="1" showInputMessage="1" showErrorMessage="1" sqref="G3:G18" xr:uid="{00000000-0002-0000-0300-000001000000}">
      <formula1>",X,"</formula1>
    </dataValidation>
    <dataValidation type="list" allowBlank="1" showInputMessage="1" showErrorMessage="1" sqref="H3:H18" xr:uid="{00000000-0002-0000-0300-000002000000}">
      <formula1>"1,2,3,"</formula1>
    </dataValidation>
  </dataValidations>
  <hyperlinks>
    <hyperlink ref="C3" location="SW_IT_PAL_001!A1" display="SW_IT_PAL_001" xr:uid="{00000000-0004-0000-0300-000000000000}"/>
    <hyperlink ref="C4" location="SW_IT_PAL_002!A1" display="SW_IT_PAL_002" xr:uid="{37A313A2-7FD1-4117-9441-2AEC680DDF25}"/>
    <hyperlink ref="C5" location="SW_IT_PAL_003!A1" display="SW_IT_PAL_003" xr:uid="{30B73933-C428-4949-B8FD-1DF64A5DDA20}"/>
    <hyperlink ref="C7" location="SW_IT_PAL_005!A1" display="SW_IT_PAL_005" xr:uid="{EFC1B19B-8206-4992-B5BB-A0D495362F97}"/>
    <hyperlink ref="C6" location="SW_IT_PAL_004!A1" display="SW_IT_PAL_004" xr:uid="{75D4440D-E11B-4524-8268-6AF6EC9B8834}"/>
    <hyperlink ref="C8" location="SW_IT_PAL_006!A1" display="SW_IT_PAL_006" xr:uid="{1A87C8BB-286D-4E1D-A903-5EBC336BA51F}"/>
    <hyperlink ref="C9" location="SW_IT_PAL_007!A1" display="SW_IT_PAL_007" xr:uid="{772DB351-F6C3-47AC-B06C-B9D22D498A36}"/>
    <hyperlink ref="C10" location="SW_IT_PAL_008!A1" display="SW_IT_PAL_008" xr:uid="{94F97326-3F7D-46DC-A38D-538A7C70135A}"/>
    <hyperlink ref="C11" location="SW_IT_PAL_009!A1" display="SW_IT_PAL_009" xr:uid="{5DB45D6C-716E-4934-B144-245C067063A5}"/>
    <hyperlink ref="C12" location="SW_IT_PAL_010!A1" display="SW_IT_PAL_010" xr:uid="{E3C0D1E6-EA08-48B5-B457-86A864C321DC}"/>
    <hyperlink ref="C13" location="SW_IT_PAL_011!A1" display="SW_IT_PAL_011" xr:uid="{D6741BB9-BC3D-4AE9-BAEC-C101CA7008A0}"/>
    <hyperlink ref="C14" location="SW_IT_PAL_013!A1" display="SW_IT_PAL_013" xr:uid="{15B58910-2EEF-4AB1-8D90-A139DA39A3AA}"/>
    <hyperlink ref="C15" location="SW_IT_PAL_014!A1" display="SW_IT_PAL_014" xr:uid="{917FA536-9CF0-4D66-80D9-2D9C837DABEB}"/>
    <hyperlink ref="C16" location="SW_IT_PAL_015!A1" display="SW_IT_PAL_015" xr:uid="{63492D6A-D334-4205-9E1D-74C9F2A45AA9}"/>
    <hyperlink ref="C17" location="SW_IT_PAL_016!A1" display="SW_IT_PAL_016" xr:uid="{F3BEE611-C74A-41BB-B34F-23FEC5CBC8C1}"/>
    <hyperlink ref="C18" location="SW_IT_PAL_017!A1" display="SW_IT_PAL_017" xr:uid="{F732395F-46AF-4A3C-A7BE-7857C42AA232}"/>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1.2&amp;R&amp;P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1872D-7A03-4CF7-9E2E-D5A18B81FB1A}">
  <sheetPr codeName="Sheet7"/>
  <dimension ref="A1:P28"/>
  <sheetViews>
    <sheetView topLeftCell="A4" workbookViewId="0">
      <selection activeCell="B4" sqref="B4"/>
    </sheetView>
  </sheetViews>
  <sheetFormatPr defaultColWidth="9.109375" defaultRowHeight="13.2" x14ac:dyDescent="0.25"/>
  <cols>
    <col min="1" max="1" width="20.109375" style="100" customWidth="1"/>
    <col min="2" max="2" width="18.44140625" style="97" customWidth="1"/>
    <col min="3" max="7" width="9.109375" style="97"/>
    <col min="8" max="15" width="9.5546875" style="97" customWidth="1"/>
    <col min="16" max="16384" width="9.109375" style="97"/>
  </cols>
  <sheetData>
    <row r="1" spans="1:15" ht="13.8" thickBot="1" x14ac:dyDescent="0.3">
      <c r="A1" s="101" t="s">
        <v>41</v>
      </c>
      <c r="B1" s="213" t="s">
        <v>143</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6" t="s">
        <v>312</v>
      </c>
      <c r="C3" s="217"/>
      <c r="D3" s="217"/>
      <c r="E3" s="217"/>
      <c r="F3" s="217"/>
      <c r="G3" s="218"/>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144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12.75" customHeight="1" x14ac:dyDescent="0.25">
      <c r="A22" s="104" t="s">
        <v>50</v>
      </c>
      <c r="B22" s="195" t="s">
        <v>134</v>
      </c>
      <c r="C22" s="196"/>
      <c r="D22" s="196"/>
      <c r="E22" s="196"/>
      <c r="F22" s="196"/>
      <c r="G22" s="197"/>
      <c r="H22" s="198" t="s">
        <v>137</v>
      </c>
      <c r="I22" s="198"/>
      <c r="J22" s="198"/>
      <c r="K22" s="198"/>
      <c r="L22" s="198" t="s">
        <v>137</v>
      </c>
      <c r="M22" s="198"/>
      <c r="N22" s="198"/>
      <c r="O22" s="198"/>
      <c r="P22" s="99" t="s">
        <v>127</v>
      </c>
    </row>
    <row r="23" spans="1:16" x14ac:dyDescent="0.25">
      <c r="A23" s="104" t="s">
        <v>51</v>
      </c>
      <c r="B23" s="195" t="s">
        <v>135</v>
      </c>
      <c r="C23" s="196"/>
      <c r="D23" s="196"/>
      <c r="E23" s="196"/>
      <c r="F23" s="196"/>
      <c r="G23" s="197"/>
      <c r="H23" s="198" t="s">
        <v>138</v>
      </c>
      <c r="I23" s="198"/>
      <c r="J23" s="198"/>
      <c r="K23" s="198"/>
      <c r="L23" s="198" t="s">
        <v>138</v>
      </c>
      <c r="M23" s="198"/>
      <c r="N23" s="198"/>
      <c r="O23" s="198"/>
      <c r="P23" s="99" t="s">
        <v>127</v>
      </c>
    </row>
    <row r="24" spans="1:16" ht="13.5" customHeight="1" x14ac:dyDescent="0.25">
      <c r="A24" s="104" t="s">
        <v>52</v>
      </c>
      <c r="B24" s="195" t="s">
        <v>136</v>
      </c>
      <c r="C24" s="196"/>
      <c r="D24" s="196"/>
      <c r="E24" s="196"/>
      <c r="F24" s="196"/>
      <c r="G24" s="197"/>
      <c r="H24" s="198" t="s">
        <v>139</v>
      </c>
      <c r="I24" s="198"/>
      <c r="J24" s="198"/>
      <c r="K24" s="198"/>
      <c r="L24" s="198" t="s">
        <v>139</v>
      </c>
      <c r="M24" s="198"/>
      <c r="N24" s="198"/>
      <c r="O24" s="198"/>
      <c r="P24" s="99" t="s">
        <v>127</v>
      </c>
    </row>
    <row r="25" spans="1:16" ht="12.75" customHeight="1" x14ac:dyDescent="0.25">
      <c r="A25" s="104" t="s">
        <v>53</v>
      </c>
      <c r="B25" s="195" t="s">
        <v>140</v>
      </c>
      <c r="C25" s="196"/>
      <c r="D25" s="196"/>
      <c r="E25" s="196"/>
      <c r="F25" s="196"/>
      <c r="G25" s="197"/>
      <c r="H25" s="198" t="s">
        <v>141</v>
      </c>
      <c r="I25" s="198"/>
      <c r="J25" s="198"/>
      <c r="K25" s="198"/>
      <c r="L25" s="198" t="s">
        <v>141</v>
      </c>
      <c r="M25" s="198"/>
      <c r="N25" s="198"/>
      <c r="O25" s="198"/>
      <c r="P25" s="99" t="s">
        <v>127</v>
      </c>
    </row>
    <row r="26" spans="1:16" ht="12.75" customHeight="1" x14ac:dyDescent="0.25">
      <c r="A26" s="104" t="s">
        <v>54</v>
      </c>
      <c r="B26" s="195" t="s">
        <v>145</v>
      </c>
      <c r="C26" s="196"/>
      <c r="D26" s="196"/>
      <c r="E26" s="196"/>
      <c r="F26" s="196"/>
      <c r="G26" s="197"/>
      <c r="H26" s="198" t="s">
        <v>137</v>
      </c>
      <c r="I26" s="198"/>
      <c r="J26" s="198"/>
      <c r="K26" s="198"/>
      <c r="L26" s="198" t="s">
        <v>137</v>
      </c>
      <c r="M26" s="198"/>
      <c r="N26" s="198"/>
      <c r="O26" s="198"/>
      <c r="P26" s="99" t="s">
        <v>127</v>
      </c>
    </row>
    <row r="27" spans="1:16" ht="12.75" customHeight="1" x14ac:dyDescent="0.25">
      <c r="A27" s="104" t="s">
        <v>55</v>
      </c>
      <c r="B27" s="195" t="s">
        <v>136</v>
      </c>
      <c r="C27" s="196"/>
      <c r="D27" s="196"/>
      <c r="E27" s="196"/>
      <c r="F27" s="196"/>
      <c r="G27" s="197"/>
      <c r="H27" s="198" t="s">
        <v>139</v>
      </c>
      <c r="I27" s="198"/>
      <c r="J27" s="198"/>
      <c r="K27" s="198"/>
      <c r="L27" s="198" t="s">
        <v>139</v>
      </c>
      <c r="M27" s="198"/>
      <c r="N27" s="198"/>
      <c r="O27" s="198"/>
      <c r="P27" s="99" t="s">
        <v>127</v>
      </c>
    </row>
    <row r="28" spans="1:16" ht="12.75" customHeight="1" x14ac:dyDescent="0.25">
      <c r="A28" s="104" t="s">
        <v>56</v>
      </c>
      <c r="B28" s="195" t="s">
        <v>140</v>
      </c>
      <c r="C28" s="196"/>
      <c r="D28" s="196"/>
      <c r="E28" s="196"/>
      <c r="F28" s="196"/>
      <c r="G28" s="197"/>
      <c r="H28" s="198" t="s">
        <v>141</v>
      </c>
      <c r="I28" s="198"/>
      <c r="J28" s="198"/>
      <c r="K28" s="198"/>
      <c r="L28" s="198" t="s">
        <v>141</v>
      </c>
      <c r="M28" s="198"/>
      <c r="N28" s="198"/>
      <c r="O28" s="198"/>
      <c r="P28" s="99" t="s">
        <v>127</v>
      </c>
    </row>
  </sheetData>
  <mergeCells count="31">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 ref="B27:G27"/>
    <mergeCell ref="H27:K27"/>
    <mergeCell ref="L27:O27"/>
    <mergeCell ref="B26:G26"/>
    <mergeCell ref="H28:K28"/>
    <mergeCell ref="L28:O28"/>
    <mergeCell ref="B28:G28"/>
    <mergeCell ref="H26:K26"/>
    <mergeCell ref="L26:O26"/>
  </mergeCells>
  <phoneticPr fontId="41" type="noConversion"/>
  <conditionalFormatting sqref="B9:B10">
    <cfRule type="cellIs" dxfId="165" priority="13" operator="equal">
      <formula>"Nok"</formula>
    </cfRule>
    <cfRule type="cellIs" dxfId="164" priority="14" operator="equal">
      <formula>"Ok"</formula>
    </cfRule>
  </conditionalFormatting>
  <conditionalFormatting sqref="P22:P28">
    <cfRule type="cellIs" dxfId="163" priority="11" operator="equal">
      <formula>"Nok"</formula>
    </cfRule>
    <cfRule type="cellIs" dxfId="162" priority="12" operator="equal">
      <formula>"Ok"</formula>
    </cfRule>
  </conditionalFormatting>
  <dataValidations count="3">
    <dataValidation type="list" allowBlank="1" showInputMessage="1" showErrorMessage="1" sqref="P22:P28" xr:uid="{78DA1117-0BCB-484A-9783-BB1151D4D51D}">
      <formula1>"Ok, Nok, Not run, ,"</formula1>
    </dataValidation>
    <dataValidation type="list" allowBlank="1" showInputMessage="1" showErrorMessage="1" sqref="B9" xr:uid="{AD086372-A8CA-49DD-8D0F-1A1E475A21D0}">
      <formula1>"Ok, Nok, Not run, NA"</formula1>
    </dataValidation>
    <dataValidation type="list" allowBlank="1" showInputMessage="1" showErrorMessage="1" sqref="B5" xr:uid="{A54520E7-3540-4323-9D88-6E56AAB45822}">
      <formula1>"Nominal, Robustness, Endurance, Qualification"</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CD165-06FD-4286-9D8C-1169B7B9E454}">
  <sheetPr codeName="Sheet8"/>
  <dimension ref="A1:P44"/>
  <sheetViews>
    <sheetView workbookViewId="0">
      <selection activeCell="B36" sqref="B36:G36"/>
    </sheetView>
  </sheetViews>
  <sheetFormatPr defaultColWidth="9.109375" defaultRowHeight="13.2" x14ac:dyDescent="0.25"/>
  <cols>
    <col min="1" max="1" width="20.109375" style="100" customWidth="1"/>
    <col min="2" max="2" width="18.44140625" style="97" customWidth="1"/>
    <col min="3" max="7" width="9.109375" style="97"/>
    <col min="8" max="15" width="9.5546875" style="97" customWidth="1"/>
    <col min="16" max="16384" width="9.109375" style="97"/>
  </cols>
  <sheetData>
    <row r="1" spans="1:15" ht="13.8" thickBot="1" x14ac:dyDescent="0.3">
      <c r="A1" s="101" t="s">
        <v>41</v>
      </c>
      <c r="B1" s="213" t="s">
        <v>146</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148</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147</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42.75" customHeight="1" x14ac:dyDescent="0.25">
      <c r="A22" s="104" t="s">
        <v>50</v>
      </c>
      <c r="B22" s="195" t="s">
        <v>149</v>
      </c>
      <c r="C22" s="196"/>
      <c r="D22" s="196"/>
      <c r="E22" s="196"/>
      <c r="F22" s="196"/>
      <c r="G22" s="197"/>
      <c r="H22" s="198" t="s">
        <v>161</v>
      </c>
      <c r="I22" s="198"/>
      <c r="J22" s="198"/>
      <c r="K22" s="198"/>
      <c r="L22" s="198" t="s">
        <v>161</v>
      </c>
      <c r="M22" s="198"/>
      <c r="N22" s="198"/>
      <c r="O22" s="198"/>
      <c r="P22" s="99" t="s">
        <v>127</v>
      </c>
    </row>
    <row r="23" spans="1:16" x14ac:dyDescent="0.25">
      <c r="A23" s="104" t="s">
        <v>51</v>
      </c>
      <c r="B23" s="195" t="s">
        <v>135</v>
      </c>
      <c r="C23" s="196"/>
      <c r="D23" s="196"/>
      <c r="E23" s="196"/>
      <c r="F23" s="196"/>
      <c r="G23" s="197"/>
      <c r="H23" s="198" t="s">
        <v>138</v>
      </c>
      <c r="I23" s="198"/>
      <c r="J23" s="198"/>
      <c r="K23" s="198"/>
      <c r="L23" s="198" t="s">
        <v>138</v>
      </c>
      <c r="M23" s="198"/>
      <c r="N23" s="198"/>
      <c r="O23" s="198"/>
      <c r="P23" s="99" t="s">
        <v>127</v>
      </c>
    </row>
    <row r="24" spans="1:16" ht="13.5" customHeight="1" x14ac:dyDescent="0.25">
      <c r="A24" s="104" t="s">
        <v>52</v>
      </c>
      <c r="B24" s="195" t="s">
        <v>136</v>
      </c>
      <c r="C24" s="196"/>
      <c r="D24" s="196"/>
      <c r="E24" s="196"/>
      <c r="F24" s="196"/>
      <c r="G24" s="197"/>
      <c r="H24" s="195" t="s">
        <v>162</v>
      </c>
      <c r="I24" s="196"/>
      <c r="J24" s="196"/>
      <c r="K24" s="197"/>
      <c r="L24" s="195" t="s">
        <v>162</v>
      </c>
      <c r="M24" s="196"/>
      <c r="N24" s="196"/>
      <c r="O24" s="197"/>
      <c r="P24" s="99" t="s">
        <v>127</v>
      </c>
    </row>
    <row r="25" spans="1:16" ht="27" customHeight="1" x14ac:dyDescent="0.25">
      <c r="A25" s="104" t="s">
        <v>53</v>
      </c>
      <c r="B25" s="195" t="s">
        <v>150</v>
      </c>
      <c r="C25" s="196"/>
      <c r="D25" s="196"/>
      <c r="E25" s="196"/>
      <c r="F25" s="196"/>
      <c r="G25" s="197"/>
      <c r="H25" s="198" t="s">
        <v>161</v>
      </c>
      <c r="I25" s="198"/>
      <c r="J25" s="198"/>
      <c r="K25" s="198"/>
      <c r="L25" s="198" t="s">
        <v>161</v>
      </c>
      <c r="M25" s="198"/>
      <c r="N25" s="198"/>
      <c r="O25" s="198"/>
      <c r="P25" s="99" t="s">
        <v>127</v>
      </c>
    </row>
    <row r="26" spans="1:16" ht="12.75" customHeight="1" x14ac:dyDescent="0.25">
      <c r="A26" s="104" t="s">
        <v>54</v>
      </c>
      <c r="B26" s="195" t="s">
        <v>153</v>
      </c>
      <c r="C26" s="196"/>
      <c r="D26" s="196"/>
      <c r="E26" s="196"/>
      <c r="F26" s="196"/>
      <c r="G26" s="197"/>
      <c r="H26" s="198" t="s">
        <v>153</v>
      </c>
      <c r="I26" s="198"/>
      <c r="J26" s="198"/>
      <c r="K26" s="198"/>
      <c r="L26" s="198" t="s">
        <v>153</v>
      </c>
      <c r="M26" s="198"/>
      <c r="N26" s="198"/>
      <c r="O26" s="198"/>
      <c r="P26" s="99" t="s">
        <v>127</v>
      </c>
    </row>
    <row r="27" spans="1:16" ht="12.75" customHeight="1" x14ac:dyDescent="0.25">
      <c r="A27" s="104" t="s">
        <v>55</v>
      </c>
      <c r="B27" s="108" t="s">
        <v>154</v>
      </c>
      <c r="C27" s="109"/>
      <c r="D27" s="109"/>
      <c r="E27" s="109"/>
      <c r="F27" s="109"/>
      <c r="G27" s="110"/>
      <c r="H27" s="195" t="s">
        <v>163</v>
      </c>
      <c r="I27" s="196"/>
      <c r="J27" s="196"/>
      <c r="K27" s="197"/>
      <c r="L27" s="195" t="s">
        <v>163</v>
      </c>
      <c r="M27" s="196"/>
      <c r="N27" s="196"/>
      <c r="O27" s="197"/>
      <c r="P27" s="99" t="s">
        <v>127</v>
      </c>
    </row>
    <row r="28" spans="1:16" ht="12.75" customHeight="1" x14ac:dyDescent="0.25">
      <c r="A28" s="104" t="s">
        <v>56</v>
      </c>
      <c r="B28" s="195" t="s">
        <v>151</v>
      </c>
      <c r="C28" s="196"/>
      <c r="D28" s="196"/>
      <c r="E28" s="196"/>
      <c r="F28" s="196"/>
      <c r="G28" s="197"/>
      <c r="H28" s="195" t="s">
        <v>152</v>
      </c>
      <c r="I28" s="196"/>
      <c r="J28" s="196"/>
      <c r="K28" s="197"/>
      <c r="L28" s="195" t="s">
        <v>152</v>
      </c>
      <c r="M28" s="196"/>
      <c r="N28" s="196"/>
      <c r="O28" s="197"/>
      <c r="P28" s="99" t="s">
        <v>127</v>
      </c>
    </row>
    <row r="29" spans="1:16" ht="12.75" customHeight="1" x14ac:dyDescent="0.25">
      <c r="A29" s="104" t="s">
        <v>57</v>
      </c>
      <c r="B29" s="195" t="s">
        <v>155</v>
      </c>
      <c r="C29" s="196"/>
      <c r="D29" s="196"/>
      <c r="E29" s="196"/>
      <c r="F29" s="196"/>
      <c r="G29" s="197"/>
      <c r="H29" s="198" t="s">
        <v>156</v>
      </c>
      <c r="I29" s="198"/>
      <c r="J29" s="198"/>
      <c r="K29" s="198"/>
      <c r="L29" s="198" t="s">
        <v>156</v>
      </c>
      <c r="M29" s="198"/>
      <c r="N29" s="198"/>
      <c r="O29" s="198"/>
      <c r="P29" s="99" t="s">
        <v>127</v>
      </c>
    </row>
    <row r="30" spans="1:16" ht="12.75" customHeight="1" x14ac:dyDescent="0.25">
      <c r="A30" s="104" t="s">
        <v>58</v>
      </c>
      <c r="B30" s="195" t="s">
        <v>136</v>
      </c>
      <c r="C30" s="196"/>
      <c r="D30" s="196"/>
      <c r="E30" s="196"/>
      <c r="F30" s="196"/>
      <c r="G30" s="197"/>
      <c r="H30" s="198" t="s">
        <v>162</v>
      </c>
      <c r="I30" s="198"/>
      <c r="J30" s="198"/>
      <c r="K30" s="198"/>
      <c r="L30" s="198" t="s">
        <v>162</v>
      </c>
      <c r="M30" s="198"/>
      <c r="N30" s="198"/>
      <c r="O30" s="198"/>
      <c r="P30" s="99" t="s">
        <v>127</v>
      </c>
    </row>
    <row r="31" spans="1:16" ht="12.75" customHeight="1" x14ac:dyDescent="0.25">
      <c r="A31" s="104" t="s">
        <v>129</v>
      </c>
      <c r="B31" s="195" t="s">
        <v>181</v>
      </c>
      <c r="C31" s="196"/>
      <c r="D31" s="196"/>
      <c r="E31" s="196"/>
      <c r="F31" s="196"/>
      <c r="G31" s="197"/>
      <c r="H31" s="195" t="s">
        <v>161</v>
      </c>
      <c r="I31" s="196"/>
      <c r="J31" s="196"/>
      <c r="K31" s="197"/>
      <c r="L31" s="195" t="s">
        <v>161</v>
      </c>
      <c r="M31" s="196"/>
      <c r="N31" s="196"/>
      <c r="O31" s="197"/>
      <c r="P31" s="99" t="s">
        <v>127</v>
      </c>
    </row>
    <row r="32" spans="1:16" ht="12.75" customHeight="1" x14ac:dyDescent="0.25">
      <c r="A32" s="104" t="s">
        <v>130</v>
      </c>
      <c r="B32" s="195" t="s">
        <v>136</v>
      </c>
      <c r="C32" s="196"/>
      <c r="D32" s="196"/>
      <c r="E32" s="196"/>
      <c r="F32" s="196"/>
      <c r="G32" s="197"/>
      <c r="H32" s="195" t="s">
        <v>185</v>
      </c>
      <c r="I32" s="196"/>
      <c r="J32" s="196"/>
      <c r="K32" s="197"/>
      <c r="L32" s="195" t="s">
        <v>185</v>
      </c>
      <c r="M32" s="196"/>
      <c r="N32" s="196"/>
      <c r="O32" s="197"/>
      <c r="P32" s="99" t="s">
        <v>127</v>
      </c>
    </row>
    <row r="33" spans="1:16" ht="12.75" customHeight="1" x14ac:dyDescent="0.25">
      <c r="A33" s="104" t="s">
        <v>169</v>
      </c>
      <c r="B33" s="195" t="s">
        <v>155</v>
      </c>
      <c r="C33" s="196"/>
      <c r="D33" s="196"/>
      <c r="E33" s="196"/>
      <c r="F33" s="196"/>
      <c r="G33" s="197"/>
      <c r="H33" s="198" t="s">
        <v>156</v>
      </c>
      <c r="I33" s="198"/>
      <c r="J33" s="198"/>
      <c r="K33" s="198"/>
      <c r="L33" s="198" t="s">
        <v>156</v>
      </c>
      <c r="M33" s="198"/>
      <c r="N33" s="198"/>
      <c r="O33" s="198"/>
      <c r="P33" s="99" t="s">
        <v>127</v>
      </c>
    </row>
    <row r="34" spans="1:16" ht="12.75" customHeight="1" x14ac:dyDescent="0.25">
      <c r="A34" s="104" t="s">
        <v>170</v>
      </c>
      <c r="B34" s="195" t="s">
        <v>157</v>
      </c>
      <c r="C34" s="196"/>
      <c r="D34" s="196"/>
      <c r="E34" s="196"/>
      <c r="F34" s="196"/>
      <c r="G34" s="197"/>
      <c r="H34" s="198" t="s">
        <v>164</v>
      </c>
      <c r="I34" s="198"/>
      <c r="J34" s="198"/>
      <c r="K34" s="198"/>
      <c r="L34" s="198" t="s">
        <v>164</v>
      </c>
      <c r="M34" s="198"/>
      <c r="N34" s="198"/>
      <c r="O34" s="198"/>
      <c r="P34" s="99" t="s">
        <v>127</v>
      </c>
    </row>
    <row r="35" spans="1:16" ht="27.75" customHeight="1" x14ac:dyDescent="0.25">
      <c r="A35" s="104" t="s">
        <v>171</v>
      </c>
      <c r="B35" s="195" t="s">
        <v>158</v>
      </c>
      <c r="C35" s="196"/>
      <c r="D35" s="196"/>
      <c r="E35" s="196"/>
      <c r="F35" s="196"/>
      <c r="G35" s="197"/>
      <c r="H35" s="195" t="s">
        <v>161</v>
      </c>
      <c r="I35" s="196"/>
      <c r="J35" s="196"/>
      <c r="K35" s="197"/>
      <c r="L35" s="195" t="s">
        <v>161</v>
      </c>
      <c r="M35" s="196"/>
      <c r="N35" s="196"/>
      <c r="O35" s="197"/>
      <c r="P35" s="99" t="s">
        <v>127</v>
      </c>
    </row>
    <row r="36" spans="1:16" ht="12.75" customHeight="1" x14ac:dyDescent="0.25">
      <c r="A36" s="104" t="s">
        <v>172</v>
      </c>
      <c r="B36" s="195" t="s">
        <v>159</v>
      </c>
      <c r="C36" s="196"/>
      <c r="D36" s="196"/>
      <c r="E36" s="196"/>
      <c r="F36" s="196"/>
      <c r="G36" s="197"/>
      <c r="H36" s="195" t="s">
        <v>165</v>
      </c>
      <c r="I36" s="196"/>
      <c r="J36" s="196"/>
      <c r="K36" s="197"/>
      <c r="L36" s="195" t="s">
        <v>165</v>
      </c>
      <c r="M36" s="196"/>
      <c r="N36" s="196"/>
      <c r="O36" s="197"/>
      <c r="P36" s="99" t="s">
        <v>127</v>
      </c>
    </row>
    <row r="37" spans="1:16" ht="12.75" customHeight="1" x14ac:dyDescent="0.25">
      <c r="A37" s="104" t="s">
        <v>173</v>
      </c>
      <c r="B37" s="195" t="s">
        <v>167</v>
      </c>
      <c r="C37" s="196"/>
      <c r="D37" s="196"/>
      <c r="E37" s="196"/>
      <c r="F37" s="196"/>
      <c r="G37" s="197"/>
      <c r="H37" s="195" t="s">
        <v>166</v>
      </c>
      <c r="I37" s="196"/>
      <c r="J37" s="196"/>
      <c r="K37" s="197"/>
      <c r="L37" s="195" t="s">
        <v>166</v>
      </c>
      <c r="M37" s="196"/>
      <c r="N37" s="196"/>
      <c r="O37" s="197"/>
      <c r="P37" s="99" t="s">
        <v>127</v>
      </c>
    </row>
    <row r="38" spans="1:16" ht="12.75" customHeight="1" x14ac:dyDescent="0.25">
      <c r="A38" s="104" t="s">
        <v>174</v>
      </c>
      <c r="B38" s="195" t="s">
        <v>136</v>
      </c>
      <c r="C38" s="196"/>
      <c r="D38" s="196"/>
      <c r="E38" s="196"/>
      <c r="F38" s="196"/>
      <c r="G38" s="197"/>
      <c r="H38" s="195" t="s">
        <v>162</v>
      </c>
      <c r="I38" s="196"/>
      <c r="J38" s="196"/>
      <c r="K38" s="197"/>
      <c r="L38" s="195" t="s">
        <v>162</v>
      </c>
      <c r="M38" s="196"/>
      <c r="N38" s="196"/>
      <c r="O38" s="197"/>
      <c r="P38" s="99" t="s">
        <v>127</v>
      </c>
    </row>
    <row r="39" spans="1:16" ht="12.75" customHeight="1" x14ac:dyDescent="0.25">
      <c r="A39" s="104" t="s">
        <v>175</v>
      </c>
      <c r="B39" s="195" t="s">
        <v>160</v>
      </c>
      <c r="C39" s="196"/>
      <c r="D39" s="196"/>
      <c r="E39" s="196"/>
      <c r="F39" s="196"/>
      <c r="G39" s="197"/>
      <c r="H39" s="195" t="s">
        <v>165</v>
      </c>
      <c r="I39" s="196"/>
      <c r="J39" s="196"/>
      <c r="K39" s="197"/>
      <c r="L39" s="195" t="s">
        <v>165</v>
      </c>
      <c r="M39" s="196"/>
      <c r="N39" s="196"/>
      <c r="O39" s="197"/>
      <c r="P39" s="99" t="s">
        <v>127</v>
      </c>
    </row>
    <row r="40" spans="1:16" ht="12.75" customHeight="1" x14ac:dyDescent="0.25">
      <c r="A40" s="104" t="s">
        <v>176</v>
      </c>
      <c r="B40" s="195" t="s">
        <v>153</v>
      </c>
      <c r="C40" s="196"/>
      <c r="D40" s="196"/>
      <c r="E40" s="196"/>
      <c r="F40" s="196"/>
      <c r="G40" s="197"/>
      <c r="H40" s="195" t="s">
        <v>168</v>
      </c>
      <c r="I40" s="196"/>
      <c r="J40" s="196"/>
      <c r="K40" s="197"/>
      <c r="L40" s="195" t="s">
        <v>168</v>
      </c>
      <c r="M40" s="196"/>
      <c r="N40" s="196"/>
      <c r="O40" s="197"/>
      <c r="P40" s="99" t="s">
        <v>127</v>
      </c>
    </row>
    <row r="41" spans="1:16" ht="12.75" customHeight="1" x14ac:dyDescent="0.25">
      <c r="A41" s="104" t="s">
        <v>186</v>
      </c>
      <c r="B41" s="195" t="s">
        <v>182</v>
      </c>
      <c r="C41" s="196"/>
      <c r="D41" s="196"/>
      <c r="E41" s="196"/>
      <c r="F41" s="196"/>
      <c r="G41" s="197"/>
      <c r="H41" s="195" t="s">
        <v>161</v>
      </c>
      <c r="I41" s="196"/>
      <c r="J41" s="196"/>
      <c r="K41" s="197"/>
      <c r="L41" s="195" t="s">
        <v>161</v>
      </c>
      <c r="M41" s="196"/>
      <c r="N41" s="196"/>
      <c r="O41" s="197"/>
      <c r="P41" s="99" t="s">
        <v>127</v>
      </c>
    </row>
    <row r="42" spans="1:16" ht="12.75" customHeight="1" x14ac:dyDescent="0.25">
      <c r="A42" s="104" t="s">
        <v>187</v>
      </c>
      <c r="B42" s="195" t="s">
        <v>136</v>
      </c>
      <c r="C42" s="196"/>
      <c r="D42" s="196"/>
      <c r="E42" s="196"/>
      <c r="F42" s="196"/>
      <c r="G42" s="197"/>
      <c r="H42" s="195" t="s">
        <v>184</v>
      </c>
      <c r="I42" s="196"/>
      <c r="J42" s="196"/>
      <c r="K42" s="197"/>
      <c r="L42" s="195" t="s">
        <v>184</v>
      </c>
      <c r="M42" s="196"/>
      <c r="N42" s="196"/>
      <c r="O42" s="197"/>
      <c r="P42" s="99" t="s">
        <v>127</v>
      </c>
    </row>
    <row r="43" spans="1:16" ht="12.75" customHeight="1" x14ac:dyDescent="0.25">
      <c r="A43" s="104" t="s">
        <v>188</v>
      </c>
      <c r="B43" s="195" t="s">
        <v>183</v>
      </c>
      <c r="C43" s="196"/>
      <c r="D43" s="196"/>
      <c r="E43" s="196"/>
      <c r="F43" s="196"/>
      <c r="G43" s="197"/>
      <c r="H43" s="195" t="s">
        <v>178</v>
      </c>
      <c r="I43" s="196"/>
      <c r="J43" s="196"/>
      <c r="K43" s="197"/>
      <c r="L43" s="195" t="s">
        <v>178</v>
      </c>
      <c r="M43" s="196"/>
      <c r="N43" s="196"/>
      <c r="O43" s="197"/>
      <c r="P43" s="99" t="s">
        <v>127</v>
      </c>
    </row>
    <row r="44" spans="1:16" x14ac:dyDescent="0.25">
      <c r="A44" s="97"/>
    </row>
  </sheetData>
  <mergeCells count="75">
    <mergeCell ref="A16:A19"/>
    <mergeCell ref="B16:G19"/>
    <mergeCell ref="B1:G1"/>
    <mergeCell ref="B3:G3"/>
    <mergeCell ref="B7:G7"/>
    <mergeCell ref="A11:A14"/>
    <mergeCell ref="B11:G14"/>
    <mergeCell ref="B23:G23"/>
    <mergeCell ref="H23:K23"/>
    <mergeCell ref="L23:O23"/>
    <mergeCell ref="A21:G21"/>
    <mergeCell ref="H21:K21"/>
    <mergeCell ref="L21:O21"/>
    <mergeCell ref="B22:G22"/>
    <mergeCell ref="H22:K22"/>
    <mergeCell ref="L22:O22"/>
    <mergeCell ref="L26:O26"/>
    <mergeCell ref="L28:O28"/>
    <mergeCell ref="H28:K28"/>
    <mergeCell ref="B28:G28"/>
    <mergeCell ref="B29:G29"/>
    <mergeCell ref="H29:K29"/>
    <mergeCell ref="L29:O29"/>
    <mergeCell ref="H27:K27"/>
    <mergeCell ref="L27:O27"/>
    <mergeCell ref="B43:G43"/>
    <mergeCell ref="H43:K43"/>
    <mergeCell ref="L43:O43"/>
    <mergeCell ref="B33:G33"/>
    <mergeCell ref="H33:K33"/>
    <mergeCell ref="L33:O33"/>
    <mergeCell ref="B34:G34"/>
    <mergeCell ref="H34:K34"/>
    <mergeCell ref="L34:O34"/>
    <mergeCell ref="B36:G36"/>
    <mergeCell ref="H36:K36"/>
    <mergeCell ref="L36:O36"/>
    <mergeCell ref="B37:G37"/>
    <mergeCell ref="H37:K37"/>
    <mergeCell ref="L37:O37"/>
    <mergeCell ref="B39:G39"/>
    <mergeCell ref="L24:O24"/>
    <mergeCell ref="H24:K24"/>
    <mergeCell ref="B24:G24"/>
    <mergeCell ref="B35:G35"/>
    <mergeCell ref="H35:K35"/>
    <mergeCell ref="L35:O35"/>
    <mergeCell ref="L31:O31"/>
    <mergeCell ref="L32:O32"/>
    <mergeCell ref="B32:G32"/>
    <mergeCell ref="H30:K30"/>
    <mergeCell ref="L30:O30"/>
    <mergeCell ref="B25:G25"/>
    <mergeCell ref="H25:K25"/>
    <mergeCell ref="L25:O25"/>
    <mergeCell ref="B26:G26"/>
    <mergeCell ref="H26:K26"/>
    <mergeCell ref="B30:G30"/>
    <mergeCell ref="H41:K41"/>
    <mergeCell ref="L41:O41"/>
    <mergeCell ref="H39:K39"/>
    <mergeCell ref="L39:O39"/>
    <mergeCell ref="B38:G38"/>
    <mergeCell ref="H38:K38"/>
    <mergeCell ref="L38:O38"/>
    <mergeCell ref="B31:G31"/>
    <mergeCell ref="H31:K31"/>
    <mergeCell ref="H32:K32"/>
    <mergeCell ref="B42:G42"/>
    <mergeCell ref="B40:G40"/>
    <mergeCell ref="H40:K40"/>
    <mergeCell ref="H42:K42"/>
    <mergeCell ref="L40:O40"/>
    <mergeCell ref="L42:O42"/>
    <mergeCell ref="B41:G41"/>
  </mergeCells>
  <phoneticPr fontId="3" type="noConversion"/>
  <conditionalFormatting sqref="B9:B10">
    <cfRule type="cellIs" dxfId="161" priority="17" operator="equal">
      <formula>"Nok"</formula>
    </cfRule>
    <cfRule type="cellIs" dxfId="160" priority="18" operator="equal">
      <formula>"Ok"</formula>
    </cfRule>
  </conditionalFormatting>
  <conditionalFormatting sqref="P22:P29">
    <cfRule type="cellIs" dxfId="159" priority="15" operator="equal">
      <formula>"Nok"</formula>
    </cfRule>
    <cfRule type="cellIs" dxfId="158" priority="16" operator="equal">
      <formula>"Ok"</formula>
    </cfRule>
  </conditionalFormatting>
  <conditionalFormatting sqref="P34:P42">
    <cfRule type="cellIs" dxfId="157" priority="9" operator="equal">
      <formula>"Nok"</formula>
    </cfRule>
    <cfRule type="cellIs" dxfId="156" priority="10" operator="equal">
      <formula>"Ok"</formula>
    </cfRule>
  </conditionalFormatting>
  <conditionalFormatting sqref="P30:P33">
    <cfRule type="cellIs" dxfId="155" priority="3" operator="equal">
      <formula>"Nok"</formula>
    </cfRule>
    <cfRule type="cellIs" dxfId="154" priority="4" operator="equal">
      <formula>"Ok"</formula>
    </cfRule>
  </conditionalFormatting>
  <conditionalFormatting sqref="P43">
    <cfRule type="cellIs" dxfId="153" priority="1" operator="equal">
      <formula>"Nok"</formula>
    </cfRule>
    <cfRule type="cellIs" dxfId="152" priority="2" operator="equal">
      <formula>"Ok"</formula>
    </cfRule>
  </conditionalFormatting>
  <dataValidations count="3">
    <dataValidation type="list" allowBlank="1" showInputMessage="1" showErrorMessage="1" sqref="B5" xr:uid="{3986A1B2-1B39-434C-AB27-6CEC36294DBA}">
      <formula1>"Nominal, Robustness, Endurance, Qualification"</formula1>
    </dataValidation>
    <dataValidation type="list" allowBlank="1" showInputMessage="1" showErrorMessage="1" sqref="B9" xr:uid="{9446AA52-9F70-48CF-A5BE-FBC669E0A1E6}">
      <formula1>"Ok, Nok, Not run, NA"</formula1>
    </dataValidation>
    <dataValidation type="list" allowBlank="1" showInputMessage="1" showErrorMessage="1" sqref="P22:P43" xr:uid="{21992231-F35A-4B6A-9552-D20A5F261A26}">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5D3C68-AB46-4175-AE73-AC9251DA8A4B}">
  <sheetPr codeName="Sheet9"/>
  <dimension ref="A1:P33"/>
  <sheetViews>
    <sheetView workbookViewId="0"/>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189</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180</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190</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12.75" customHeight="1" x14ac:dyDescent="0.25">
      <c r="A22" s="104" t="s">
        <v>50</v>
      </c>
      <c r="B22" s="195" t="s">
        <v>191</v>
      </c>
      <c r="C22" s="196"/>
      <c r="D22" s="196"/>
      <c r="E22" s="196"/>
      <c r="F22" s="196"/>
      <c r="G22" s="197"/>
      <c r="H22" s="198" t="s">
        <v>161</v>
      </c>
      <c r="I22" s="198"/>
      <c r="J22" s="198"/>
      <c r="K22" s="198"/>
      <c r="L22" s="198" t="s">
        <v>161</v>
      </c>
      <c r="M22" s="198"/>
      <c r="N22" s="198"/>
      <c r="O22" s="198"/>
      <c r="P22" s="99" t="s">
        <v>127</v>
      </c>
    </row>
    <row r="23" spans="1:16" x14ac:dyDescent="0.25">
      <c r="A23" s="104" t="s">
        <v>51</v>
      </c>
      <c r="B23" s="195" t="s">
        <v>136</v>
      </c>
      <c r="C23" s="196"/>
      <c r="D23" s="196"/>
      <c r="E23" s="196"/>
      <c r="F23" s="196"/>
      <c r="G23" s="197"/>
      <c r="H23" s="198" t="s">
        <v>192</v>
      </c>
      <c r="I23" s="198"/>
      <c r="J23" s="198"/>
      <c r="K23" s="198"/>
      <c r="L23" s="198" t="s">
        <v>192</v>
      </c>
      <c r="M23" s="198"/>
      <c r="N23" s="198"/>
      <c r="O23" s="198"/>
      <c r="P23" s="99" t="s">
        <v>127</v>
      </c>
    </row>
    <row r="24" spans="1:16" ht="13.5" customHeight="1" x14ac:dyDescent="0.25">
      <c r="A24" s="104" t="s">
        <v>52</v>
      </c>
      <c r="B24" s="195" t="s">
        <v>181</v>
      </c>
      <c r="C24" s="196"/>
      <c r="D24" s="196"/>
      <c r="E24" s="196"/>
      <c r="F24" s="196"/>
      <c r="G24" s="197"/>
      <c r="H24" s="198" t="s">
        <v>161</v>
      </c>
      <c r="I24" s="198"/>
      <c r="J24" s="198"/>
      <c r="K24" s="198"/>
      <c r="L24" s="198" t="s">
        <v>161</v>
      </c>
      <c r="M24" s="198"/>
      <c r="N24" s="198"/>
      <c r="O24" s="198"/>
      <c r="P24" s="99" t="s">
        <v>127</v>
      </c>
    </row>
    <row r="25" spans="1:16" ht="13.5" customHeight="1" x14ac:dyDescent="0.25">
      <c r="A25" s="104" t="s">
        <v>53</v>
      </c>
      <c r="B25" s="195" t="s">
        <v>136</v>
      </c>
      <c r="C25" s="196"/>
      <c r="D25" s="196"/>
      <c r="E25" s="196"/>
      <c r="F25" s="196"/>
      <c r="G25" s="197"/>
      <c r="H25" s="198" t="s">
        <v>193</v>
      </c>
      <c r="I25" s="198"/>
      <c r="J25" s="198"/>
      <c r="K25" s="198"/>
      <c r="L25" s="198" t="s">
        <v>193</v>
      </c>
      <c r="M25" s="198"/>
      <c r="N25" s="198"/>
      <c r="O25" s="198"/>
      <c r="P25" s="99" t="s">
        <v>127</v>
      </c>
    </row>
    <row r="26" spans="1:16" ht="12.75" customHeight="1" x14ac:dyDescent="0.25">
      <c r="A26" s="104" t="s">
        <v>54</v>
      </c>
      <c r="B26" s="195" t="s">
        <v>136</v>
      </c>
      <c r="C26" s="196"/>
      <c r="D26" s="196"/>
      <c r="E26" s="196"/>
      <c r="F26" s="196"/>
      <c r="G26" s="197"/>
      <c r="H26" s="198" t="s">
        <v>194</v>
      </c>
      <c r="I26" s="198"/>
      <c r="J26" s="198"/>
      <c r="K26" s="198"/>
      <c r="L26" s="198" t="s">
        <v>194</v>
      </c>
      <c r="M26" s="198"/>
      <c r="N26" s="198"/>
      <c r="O26" s="198"/>
      <c r="P26" s="99" t="s">
        <v>127</v>
      </c>
    </row>
    <row r="27" spans="1:16" ht="12.75" customHeight="1" x14ac:dyDescent="0.25">
      <c r="A27" s="104" t="s">
        <v>55</v>
      </c>
      <c r="B27" s="195" t="s">
        <v>183</v>
      </c>
      <c r="C27" s="196"/>
      <c r="D27" s="196"/>
      <c r="E27" s="196"/>
      <c r="F27" s="196"/>
      <c r="G27" s="197"/>
      <c r="H27" s="222" t="s">
        <v>195</v>
      </c>
      <c r="I27" s="223"/>
      <c r="J27" s="223"/>
      <c r="K27" s="224"/>
      <c r="L27" s="222" t="s">
        <v>195</v>
      </c>
      <c r="M27" s="223"/>
      <c r="N27" s="223"/>
      <c r="O27" s="224"/>
      <c r="P27" s="99" t="s">
        <v>127</v>
      </c>
    </row>
    <row r="28" spans="1:16" x14ac:dyDescent="0.25">
      <c r="A28" s="104" t="s">
        <v>56</v>
      </c>
      <c r="B28" s="195"/>
      <c r="C28" s="196"/>
      <c r="D28" s="196"/>
      <c r="E28" s="196"/>
      <c r="F28" s="196"/>
      <c r="G28" s="197"/>
      <c r="H28" s="198"/>
      <c r="I28" s="198"/>
      <c r="J28" s="198"/>
      <c r="K28" s="198"/>
      <c r="L28" s="198"/>
      <c r="M28" s="198"/>
      <c r="N28" s="198"/>
      <c r="O28" s="198"/>
      <c r="P28" s="99"/>
    </row>
    <row r="29" spans="1:16" ht="12.75" customHeight="1" x14ac:dyDescent="0.25">
      <c r="A29" s="104" t="s">
        <v>57</v>
      </c>
      <c r="B29" s="195"/>
      <c r="C29" s="196"/>
      <c r="D29" s="196"/>
      <c r="E29" s="196"/>
      <c r="F29" s="196"/>
      <c r="G29" s="197"/>
      <c r="H29" s="198"/>
      <c r="I29" s="198"/>
      <c r="J29" s="198"/>
      <c r="K29" s="198"/>
      <c r="L29" s="198"/>
      <c r="M29" s="198"/>
      <c r="N29" s="198"/>
      <c r="O29" s="198"/>
      <c r="P29" s="99"/>
    </row>
    <row r="30" spans="1:16" ht="12.75" customHeight="1" x14ac:dyDescent="0.25">
      <c r="A30" s="104" t="s">
        <v>58</v>
      </c>
      <c r="B30" s="195"/>
      <c r="C30" s="196"/>
      <c r="D30" s="196"/>
      <c r="E30" s="196"/>
      <c r="F30" s="196"/>
      <c r="G30" s="197"/>
      <c r="H30" s="198"/>
      <c r="I30" s="198"/>
      <c r="J30" s="198"/>
      <c r="K30" s="198"/>
      <c r="L30" s="198"/>
      <c r="M30" s="198"/>
      <c r="N30" s="198"/>
      <c r="O30" s="198"/>
      <c r="P30" s="99"/>
    </row>
    <row r="31" spans="1:16" ht="12.75" customHeight="1" x14ac:dyDescent="0.25">
      <c r="A31" s="104" t="s">
        <v>129</v>
      </c>
      <c r="B31" s="195"/>
      <c r="C31" s="196"/>
      <c r="D31" s="196"/>
      <c r="E31" s="196"/>
      <c r="F31" s="196"/>
      <c r="G31" s="197"/>
      <c r="H31" s="198"/>
      <c r="I31" s="198"/>
      <c r="J31" s="198"/>
      <c r="K31" s="198"/>
      <c r="L31" s="198"/>
      <c r="M31" s="198"/>
      <c r="N31" s="198"/>
      <c r="O31" s="198"/>
      <c r="P31" s="99"/>
    </row>
    <row r="32" spans="1:16" ht="12.75" customHeight="1" x14ac:dyDescent="0.25">
      <c r="A32" s="104" t="s">
        <v>130</v>
      </c>
      <c r="B32" s="195"/>
      <c r="C32" s="196"/>
      <c r="D32" s="196"/>
      <c r="E32" s="196"/>
      <c r="F32" s="196"/>
      <c r="G32" s="197"/>
      <c r="H32" s="222"/>
      <c r="I32" s="223"/>
      <c r="J32" s="223"/>
      <c r="K32" s="224"/>
      <c r="L32" s="222"/>
      <c r="M32" s="223"/>
      <c r="N32" s="223"/>
      <c r="O32" s="224"/>
      <c r="P32" s="99"/>
    </row>
    <row r="33" spans="1:1" x14ac:dyDescent="0.25">
      <c r="A33" s="97"/>
    </row>
  </sheetData>
  <mergeCells count="43">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s>
  <conditionalFormatting sqref="B9:B10">
    <cfRule type="cellIs" dxfId="151" priority="9" operator="equal">
      <formula>"Nok"</formula>
    </cfRule>
    <cfRule type="cellIs" dxfId="150" priority="10" operator="equal">
      <formula>"Ok"</formula>
    </cfRule>
  </conditionalFormatting>
  <conditionalFormatting sqref="P22:P28">
    <cfRule type="cellIs" dxfId="149" priority="7" operator="equal">
      <formula>"Nok"</formula>
    </cfRule>
    <cfRule type="cellIs" dxfId="148" priority="8" operator="equal">
      <formula>"Ok"</formula>
    </cfRule>
  </conditionalFormatting>
  <conditionalFormatting sqref="P31">
    <cfRule type="cellIs" dxfId="147" priority="5" operator="equal">
      <formula>"Nok"</formula>
    </cfRule>
    <cfRule type="cellIs" dxfId="146" priority="6" operator="equal">
      <formula>"Ok"</formula>
    </cfRule>
  </conditionalFormatting>
  <conditionalFormatting sqref="P29:P30">
    <cfRule type="cellIs" dxfId="145" priority="3" operator="equal">
      <formula>"Nok"</formula>
    </cfRule>
    <cfRule type="cellIs" dxfId="144" priority="4" operator="equal">
      <formula>"Ok"</formula>
    </cfRule>
  </conditionalFormatting>
  <conditionalFormatting sqref="P32">
    <cfRule type="cellIs" dxfId="143" priority="1" operator="equal">
      <formula>"Nok"</formula>
    </cfRule>
    <cfRule type="cellIs" dxfId="142" priority="2" operator="equal">
      <formula>"Ok"</formula>
    </cfRule>
  </conditionalFormatting>
  <dataValidations count="3">
    <dataValidation type="list" allowBlank="1" showInputMessage="1" showErrorMessage="1" sqref="P22:P32" xr:uid="{A77438D6-ED7B-4014-A72F-40ECE0C13BEE}">
      <formula1>"Ok, Nok, Not run, ,"</formula1>
    </dataValidation>
    <dataValidation type="list" allowBlank="1" showInputMessage="1" showErrorMessage="1" sqref="B9" xr:uid="{850D56C0-8E18-477C-83DD-1510C2C0EA15}">
      <formula1>"Ok, Nok, Not run, NA"</formula1>
    </dataValidation>
    <dataValidation type="list" allowBlank="1" showInputMessage="1" showErrorMessage="1" sqref="B5" xr:uid="{23807158-9144-4046-8545-5DCC3D6B4F3B}">
      <formula1>"Nominal, Robustness, Endurance, Qualification"</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074DD-C5FB-46DE-A4F4-3A5F22059A33}">
  <sheetPr codeName="Sheet10"/>
  <dimension ref="A1:P33"/>
  <sheetViews>
    <sheetView workbookViewId="0">
      <selection activeCell="B4" sqref="B4"/>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196</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267</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131</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12.75" customHeight="1" x14ac:dyDescent="0.25">
      <c r="A22" s="104" t="s">
        <v>50</v>
      </c>
      <c r="B22" s="195" t="s">
        <v>198</v>
      </c>
      <c r="C22" s="196"/>
      <c r="D22" s="196"/>
      <c r="E22" s="196"/>
      <c r="F22" s="196"/>
      <c r="G22" s="197"/>
      <c r="H22" s="198" t="s">
        <v>137</v>
      </c>
      <c r="I22" s="198"/>
      <c r="J22" s="198"/>
      <c r="K22" s="198"/>
      <c r="L22" s="198" t="s">
        <v>137</v>
      </c>
      <c r="M22" s="198"/>
      <c r="N22" s="198"/>
      <c r="O22" s="198"/>
      <c r="P22" s="99" t="s">
        <v>127</v>
      </c>
    </row>
    <row r="23" spans="1:16" ht="12.75" customHeight="1" x14ac:dyDescent="0.25">
      <c r="A23" s="104" t="s">
        <v>51</v>
      </c>
      <c r="B23" s="195" t="s">
        <v>135</v>
      </c>
      <c r="C23" s="196"/>
      <c r="D23" s="196"/>
      <c r="E23" s="196"/>
      <c r="F23" s="196"/>
      <c r="G23" s="197"/>
      <c r="H23" s="198" t="s">
        <v>138</v>
      </c>
      <c r="I23" s="198"/>
      <c r="J23" s="198"/>
      <c r="K23" s="198"/>
      <c r="L23" s="198" t="s">
        <v>138</v>
      </c>
      <c r="M23" s="198"/>
      <c r="N23" s="198"/>
      <c r="O23" s="198"/>
      <c r="P23" s="99" t="s">
        <v>127</v>
      </c>
    </row>
    <row r="24" spans="1:16" ht="13.5" customHeight="1" x14ac:dyDescent="0.25">
      <c r="A24" s="104" t="s">
        <v>52</v>
      </c>
      <c r="B24" s="195" t="s">
        <v>136</v>
      </c>
      <c r="C24" s="196"/>
      <c r="D24" s="196"/>
      <c r="E24" s="196"/>
      <c r="F24" s="196"/>
      <c r="G24" s="197"/>
      <c r="H24" s="198" t="s">
        <v>162</v>
      </c>
      <c r="I24" s="198"/>
      <c r="J24" s="198"/>
      <c r="K24" s="198"/>
      <c r="L24" s="198" t="s">
        <v>162</v>
      </c>
      <c r="M24" s="198"/>
      <c r="N24" s="198"/>
      <c r="O24" s="198"/>
      <c r="P24" s="99" t="s">
        <v>127</v>
      </c>
    </row>
    <row r="25" spans="1:16" ht="13.5" customHeight="1" x14ac:dyDescent="0.25">
      <c r="A25" s="104" t="s">
        <v>53</v>
      </c>
      <c r="B25" s="195" t="s">
        <v>181</v>
      </c>
      <c r="C25" s="196"/>
      <c r="D25" s="196"/>
      <c r="E25" s="196"/>
      <c r="F25" s="196"/>
      <c r="G25" s="197"/>
      <c r="H25" s="198" t="s">
        <v>161</v>
      </c>
      <c r="I25" s="198"/>
      <c r="J25" s="198"/>
      <c r="K25" s="198"/>
      <c r="L25" s="198" t="s">
        <v>161</v>
      </c>
      <c r="M25" s="198"/>
      <c r="N25" s="198"/>
      <c r="O25" s="198"/>
      <c r="P25" s="99" t="s">
        <v>127</v>
      </c>
    </row>
    <row r="26" spans="1:16" ht="12.75" customHeight="1" x14ac:dyDescent="0.25">
      <c r="A26" s="104" t="s">
        <v>54</v>
      </c>
      <c r="B26" s="195" t="s">
        <v>136</v>
      </c>
      <c r="C26" s="196"/>
      <c r="D26" s="196"/>
      <c r="E26" s="196"/>
      <c r="F26" s="196"/>
      <c r="G26" s="197"/>
      <c r="H26" s="198" t="s">
        <v>197</v>
      </c>
      <c r="I26" s="198"/>
      <c r="J26" s="198"/>
      <c r="K26" s="198"/>
      <c r="L26" s="198" t="s">
        <v>197</v>
      </c>
      <c r="M26" s="198"/>
      <c r="N26" s="198"/>
      <c r="O26" s="198"/>
      <c r="P26" s="99" t="s">
        <v>127</v>
      </c>
    </row>
    <row r="27" spans="1:16" ht="12.75" customHeight="1" x14ac:dyDescent="0.25">
      <c r="A27" s="104" t="s">
        <v>55</v>
      </c>
      <c r="B27" s="195" t="s">
        <v>183</v>
      </c>
      <c r="C27" s="196"/>
      <c r="D27" s="196"/>
      <c r="E27" s="196"/>
      <c r="F27" s="196"/>
      <c r="G27" s="197"/>
      <c r="H27" s="222" t="s">
        <v>195</v>
      </c>
      <c r="I27" s="223"/>
      <c r="J27" s="223"/>
      <c r="K27" s="224"/>
      <c r="L27" s="222" t="s">
        <v>195</v>
      </c>
      <c r="M27" s="223"/>
      <c r="N27" s="223"/>
      <c r="O27" s="224"/>
      <c r="P27" s="99" t="s">
        <v>127</v>
      </c>
    </row>
    <row r="28" spans="1:16" x14ac:dyDescent="0.25">
      <c r="A28" s="104" t="s">
        <v>56</v>
      </c>
      <c r="B28" s="195" t="s">
        <v>198</v>
      </c>
      <c r="C28" s="196"/>
      <c r="D28" s="196"/>
      <c r="E28" s="196"/>
      <c r="F28" s="196"/>
      <c r="G28" s="197"/>
      <c r="H28" s="198" t="s">
        <v>137</v>
      </c>
      <c r="I28" s="198"/>
      <c r="J28" s="198"/>
      <c r="K28" s="198"/>
      <c r="L28" s="198" t="s">
        <v>137</v>
      </c>
      <c r="M28" s="198"/>
      <c r="N28" s="198"/>
      <c r="O28" s="198"/>
      <c r="P28" s="99" t="s">
        <v>127</v>
      </c>
    </row>
    <row r="29" spans="1:16" ht="12.75" customHeight="1" x14ac:dyDescent="0.25">
      <c r="A29" s="104" t="s">
        <v>57</v>
      </c>
      <c r="B29" s="195" t="s">
        <v>135</v>
      </c>
      <c r="C29" s="196"/>
      <c r="D29" s="196"/>
      <c r="E29" s="196"/>
      <c r="F29" s="196"/>
      <c r="G29" s="197"/>
      <c r="H29" s="198" t="s">
        <v>138</v>
      </c>
      <c r="I29" s="198"/>
      <c r="J29" s="198"/>
      <c r="K29" s="198"/>
      <c r="L29" s="198" t="s">
        <v>138</v>
      </c>
      <c r="M29" s="198"/>
      <c r="N29" s="198"/>
      <c r="O29" s="198"/>
      <c r="P29" s="99" t="s">
        <v>127</v>
      </c>
    </row>
    <row r="30" spans="1:16" ht="12.75" customHeight="1" x14ac:dyDescent="0.25">
      <c r="A30" s="104" t="s">
        <v>58</v>
      </c>
      <c r="B30" s="195" t="s">
        <v>136</v>
      </c>
      <c r="C30" s="196"/>
      <c r="D30" s="196"/>
      <c r="E30" s="196"/>
      <c r="F30" s="196"/>
      <c r="G30" s="197"/>
      <c r="H30" s="198" t="s">
        <v>162</v>
      </c>
      <c r="I30" s="198"/>
      <c r="J30" s="198"/>
      <c r="K30" s="198"/>
      <c r="L30" s="198" t="s">
        <v>162</v>
      </c>
      <c r="M30" s="198"/>
      <c r="N30" s="198"/>
      <c r="O30" s="198"/>
      <c r="P30" s="99" t="s">
        <v>127</v>
      </c>
    </row>
    <row r="31" spans="1:16" ht="13.5" customHeight="1" x14ac:dyDescent="0.25">
      <c r="A31" s="104" t="s">
        <v>53</v>
      </c>
      <c r="B31" s="195" t="s">
        <v>199</v>
      </c>
      <c r="C31" s="196"/>
      <c r="D31" s="196"/>
      <c r="E31" s="196"/>
      <c r="F31" s="196"/>
      <c r="G31" s="197"/>
      <c r="H31" s="198" t="s">
        <v>161</v>
      </c>
      <c r="I31" s="198"/>
      <c r="J31" s="198"/>
      <c r="K31" s="198"/>
      <c r="L31" s="198" t="s">
        <v>161</v>
      </c>
      <c r="M31" s="198"/>
      <c r="N31" s="198"/>
      <c r="O31" s="198"/>
      <c r="P31" s="99" t="s">
        <v>127</v>
      </c>
    </row>
    <row r="32" spans="1:16" ht="12.75" customHeight="1" x14ac:dyDescent="0.25">
      <c r="A32" s="104" t="s">
        <v>54</v>
      </c>
      <c r="B32" s="195" t="s">
        <v>136</v>
      </c>
      <c r="C32" s="196"/>
      <c r="D32" s="196"/>
      <c r="E32" s="196"/>
      <c r="F32" s="196"/>
      <c r="G32" s="197"/>
      <c r="H32" s="198" t="s">
        <v>197</v>
      </c>
      <c r="I32" s="198"/>
      <c r="J32" s="198"/>
      <c r="K32" s="198"/>
      <c r="L32" s="198" t="s">
        <v>197</v>
      </c>
      <c r="M32" s="198"/>
      <c r="N32" s="198"/>
      <c r="O32" s="198"/>
      <c r="P32" s="99" t="s">
        <v>127</v>
      </c>
    </row>
    <row r="33" spans="1:16" ht="12.75" customHeight="1" x14ac:dyDescent="0.25">
      <c r="A33" s="104" t="s">
        <v>55</v>
      </c>
      <c r="B33" s="195" t="s">
        <v>183</v>
      </c>
      <c r="C33" s="196"/>
      <c r="D33" s="196"/>
      <c r="E33" s="196"/>
      <c r="F33" s="196"/>
      <c r="G33" s="197"/>
      <c r="H33" s="222" t="s">
        <v>195</v>
      </c>
      <c r="I33" s="223"/>
      <c r="J33" s="223"/>
      <c r="K33" s="224"/>
      <c r="L33" s="222" t="s">
        <v>195</v>
      </c>
      <c r="M33" s="223"/>
      <c r="N33" s="223"/>
      <c r="O33" s="224"/>
      <c r="P33" s="99" t="s">
        <v>127</v>
      </c>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141" priority="11" operator="equal">
      <formula>"Nok"</formula>
    </cfRule>
    <cfRule type="cellIs" dxfId="140" priority="12" operator="equal">
      <formula>"Ok"</formula>
    </cfRule>
  </conditionalFormatting>
  <conditionalFormatting sqref="P22:P30">
    <cfRule type="cellIs" dxfId="139" priority="9" operator="equal">
      <formula>"Nok"</formula>
    </cfRule>
    <cfRule type="cellIs" dxfId="138" priority="10" operator="equal">
      <formula>"Ok"</formula>
    </cfRule>
  </conditionalFormatting>
  <conditionalFormatting sqref="P31:P33">
    <cfRule type="cellIs" dxfId="137" priority="1" operator="equal">
      <formula>"Nok"</formula>
    </cfRule>
    <cfRule type="cellIs" dxfId="136" priority="2" operator="equal">
      <formula>"Ok"</formula>
    </cfRule>
  </conditionalFormatting>
  <dataValidations count="3">
    <dataValidation type="list" allowBlank="1" showInputMessage="1" showErrorMessage="1" sqref="B5" xr:uid="{74A1A8F3-1541-4DF2-AFFC-F6E4ECF8B2D5}">
      <formula1>"Nominal, Robustness, Endurance, Qualification"</formula1>
    </dataValidation>
    <dataValidation type="list" allowBlank="1" showInputMessage="1" showErrorMessage="1" sqref="B9" xr:uid="{ACEE02CF-2CF2-4926-A678-A1E1F0BA293B}">
      <formula1>"Ok, Nok, Not run, NA"</formula1>
    </dataValidation>
    <dataValidation type="list" allowBlank="1" showInputMessage="1" showErrorMessage="1" sqref="P22:P33" xr:uid="{61A2722C-4C64-4AB0-9395-F03D7BBB4716}">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7D996-9D1C-4B71-AD90-491C7050E726}">
  <sheetPr codeName="Sheet11"/>
  <dimension ref="A1:P36"/>
  <sheetViews>
    <sheetView workbookViewId="0"/>
  </sheetViews>
  <sheetFormatPr defaultColWidth="9.109375" defaultRowHeight="13.2" x14ac:dyDescent="0.25"/>
  <cols>
    <col min="1" max="1" width="20.109375" style="100" customWidth="1"/>
    <col min="2" max="2" width="18.44140625" style="97" customWidth="1"/>
    <col min="3" max="6" width="9.109375" style="97"/>
    <col min="7" max="7" width="15.33203125" style="97" customWidth="1"/>
    <col min="8" max="15" width="9.5546875" style="97" customWidth="1"/>
    <col min="16" max="16384" width="9.109375" style="97"/>
  </cols>
  <sheetData>
    <row r="1" spans="1:15" ht="13.8" thickBot="1" x14ac:dyDescent="0.3">
      <c r="A1" s="101" t="s">
        <v>41</v>
      </c>
      <c r="B1" s="213" t="s">
        <v>200</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204</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201</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7" customHeight="1" x14ac:dyDescent="0.25">
      <c r="A22" s="104" t="s">
        <v>50</v>
      </c>
      <c r="B22" s="195" t="s">
        <v>202</v>
      </c>
      <c r="C22" s="196"/>
      <c r="D22" s="196"/>
      <c r="E22" s="196"/>
      <c r="F22" s="196"/>
      <c r="G22" s="197"/>
      <c r="H22" s="198" t="s">
        <v>203</v>
      </c>
      <c r="I22" s="198"/>
      <c r="J22" s="198"/>
      <c r="K22" s="198"/>
      <c r="L22" s="198" t="s">
        <v>203</v>
      </c>
      <c r="M22" s="198"/>
      <c r="N22" s="198"/>
      <c r="O22" s="198"/>
      <c r="P22" s="99" t="s">
        <v>127</v>
      </c>
    </row>
    <row r="23" spans="1:16" x14ac:dyDescent="0.25">
      <c r="A23" s="104" t="s">
        <v>51</v>
      </c>
      <c r="B23" s="195" t="s">
        <v>135</v>
      </c>
      <c r="C23" s="196"/>
      <c r="D23" s="196"/>
      <c r="E23" s="196"/>
      <c r="F23" s="196"/>
      <c r="G23" s="197"/>
      <c r="H23" s="198" t="s">
        <v>138</v>
      </c>
      <c r="I23" s="198"/>
      <c r="J23" s="198"/>
      <c r="K23" s="198"/>
      <c r="L23" s="198" t="s">
        <v>138</v>
      </c>
      <c r="M23" s="198"/>
      <c r="N23" s="198"/>
      <c r="O23" s="198"/>
      <c r="P23" s="99" t="s">
        <v>127</v>
      </c>
    </row>
    <row r="24" spans="1:16" ht="13.5" customHeight="1" x14ac:dyDescent="0.25">
      <c r="A24" s="104" t="s">
        <v>52</v>
      </c>
      <c r="B24" s="195" t="s">
        <v>136</v>
      </c>
      <c r="C24" s="196"/>
      <c r="D24" s="196"/>
      <c r="E24" s="196"/>
      <c r="F24" s="196"/>
      <c r="G24" s="197"/>
      <c r="H24" s="198" t="s">
        <v>162</v>
      </c>
      <c r="I24" s="198"/>
      <c r="J24" s="198"/>
      <c r="K24" s="198"/>
      <c r="L24" s="198" t="s">
        <v>162</v>
      </c>
      <c r="M24" s="198"/>
      <c r="N24" s="198"/>
      <c r="O24" s="198"/>
      <c r="P24" s="99" t="s">
        <v>127</v>
      </c>
    </row>
    <row r="25" spans="1:16" ht="30" customHeight="1" x14ac:dyDescent="0.25">
      <c r="A25" s="104" t="s">
        <v>53</v>
      </c>
      <c r="B25" s="195" t="s">
        <v>208</v>
      </c>
      <c r="C25" s="196"/>
      <c r="D25" s="196"/>
      <c r="E25" s="196"/>
      <c r="F25" s="196"/>
      <c r="G25" s="197"/>
      <c r="H25" s="198" t="s">
        <v>203</v>
      </c>
      <c r="I25" s="198"/>
      <c r="J25" s="198"/>
      <c r="K25" s="198"/>
      <c r="L25" s="198" t="s">
        <v>203</v>
      </c>
      <c r="M25" s="198"/>
      <c r="N25" s="198"/>
      <c r="O25" s="198"/>
      <c r="P25" s="99" t="s">
        <v>127</v>
      </c>
    </row>
    <row r="26" spans="1:16" ht="12.75" customHeight="1" x14ac:dyDescent="0.25">
      <c r="A26" s="104" t="s">
        <v>54</v>
      </c>
      <c r="B26" s="195" t="s">
        <v>136</v>
      </c>
      <c r="C26" s="196"/>
      <c r="D26" s="196"/>
      <c r="E26" s="196"/>
      <c r="F26" s="196"/>
      <c r="G26" s="197"/>
      <c r="H26" s="198" t="s">
        <v>162</v>
      </c>
      <c r="I26" s="198"/>
      <c r="J26" s="198"/>
      <c r="K26" s="198"/>
      <c r="L26" s="198" t="s">
        <v>162</v>
      </c>
      <c r="M26" s="198"/>
      <c r="N26" s="198"/>
      <c r="O26" s="198"/>
      <c r="P26" s="99" t="s">
        <v>127</v>
      </c>
    </row>
    <row r="27" spans="1:16" ht="26.25" customHeight="1" x14ac:dyDescent="0.25">
      <c r="A27" s="104" t="s">
        <v>55</v>
      </c>
      <c r="B27" s="195" t="s">
        <v>205</v>
      </c>
      <c r="C27" s="196"/>
      <c r="D27" s="196"/>
      <c r="E27" s="196"/>
      <c r="F27" s="196"/>
      <c r="G27" s="197"/>
      <c r="H27" s="222" t="s">
        <v>165</v>
      </c>
      <c r="I27" s="223"/>
      <c r="J27" s="223"/>
      <c r="K27" s="224"/>
      <c r="L27" s="222" t="s">
        <v>165</v>
      </c>
      <c r="M27" s="223"/>
      <c r="N27" s="223"/>
      <c r="O27" s="224"/>
      <c r="P27" s="99" t="s">
        <v>127</v>
      </c>
    </row>
    <row r="28" spans="1:16" x14ac:dyDescent="0.25">
      <c r="A28" s="104" t="s">
        <v>56</v>
      </c>
      <c r="B28" s="195" t="s">
        <v>206</v>
      </c>
      <c r="C28" s="196"/>
      <c r="D28" s="196"/>
      <c r="E28" s="196"/>
      <c r="F28" s="196"/>
      <c r="G28" s="197"/>
      <c r="H28" s="198" t="s">
        <v>203</v>
      </c>
      <c r="I28" s="198"/>
      <c r="J28" s="198"/>
      <c r="K28" s="198"/>
      <c r="L28" s="198" t="s">
        <v>203</v>
      </c>
      <c r="M28" s="198"/>
      <c r="N28" s="198"/>
      <c r="O28" s="198"/>
      <c r="P28" s="99" t="s">
        <v>127</v>
      </c>
    </row>
    <row r="29" spans="1:16" ht="25.5" customHeight="1" x14ac:dyDescent="0.25">
      <c r="A29" s="104" t="s">
        <v>57</v>
      </c>
      <c r="B29" s="195" t="s">
        <v>136</v>
      </c>
      <c r="C29" s="196"/>
      <c r="D29" s="196"/>
      <c r="E29" s="196"/>
      <c r="F29" s="196"/>
      <c r="G29" s="197"/>
      <c r="H29" s="195" t="s">
        <v>207</v>
      </c>
      <c r="I29" s="196"/>
      <c r="J29" s="196"/>
      <c r="K29" s="197"/>
      <c r="L29" s="195" t="s">
        <v>207</v>
      </c>
      <c r="M29" s="196"/>
      <c r="N29" s="196"/>
      <c r="O29" s="197"/>
      <c r="P29" s="99" t="s">
        <v>127</v>
      </c>
    </row>
    <row r="30" spans="1:16" ht="26.25" customHeight="1" x14ac:dyDescent="0.25">
      <c r="A30" s="104" t="s">
        <v>58</v>
      </c>
      <c r="B30" s="195" t="s">
        <v>136</v>
      </c>
      <c r="C30" s="196"/>
      <c r="D30" s="196"/>
      <c r="E30" s="196"/>
      <c r="F30" s="196"/>
      <c r="G30" s="197"/>
      <c r="H30" s="195" t="s">
        <v>209</v>
      </c>
      <c r="I30" s="196"/>
      <c r="J30" s="196"/>
      <c r="K30" s="197"/>
      <c r="L30" s="195" t="s">
        <v>209</v>
      </c>
      <c r="M30" s="196"/>
      <c r="N30" s="196"/>
      <c r="O30" s="197"/>
      <c r="P30" s="99" t="s">
        <v>127</v>
      </c>
    </row>
    <row r="31" spans="1:16" ht="26.25" customHeight="1" x14ac:dyDescent="0.25">
      <c r="A31" s="104" t="s">
        <v>129</v>
      </c>
      <c r="B31" s="195" t="s">
        <v>210</v>
      </c>
      <c r="C31" s="196"/>
      <c r="D31" s="196"/>
      <c r="E31" s="196"/>
      <c r="F31" s="196"/>
      <c r="G31" s="197"/>
      <c r="H31" s="222" t="s">
        <v>165</v>
      </c>
      <c r="I31" s="223"/>
      <c r="J31" s="223"/>
      <c r="K31" s="224"/>
      <c r="L31" s="222" t="s">
        <v>165</v>
      </c>
      <c r="M31" s="223"/>
      <c r="N31" s="223"/>
      <c r="O31" s="224"/>
      <c r="P31" s="99" t="s">
        <v>127</v>
      </c>
    </row>
    <row r="32" spans="1:16" ht="26.25" customHeight="1" x14ac:dyDescent="0.25">
      <c r="A32" s="104" t="s">
        <v>130</v>
      </c>
      <c r="B32" s="195" t="s">
        <v>211</v>
      </c>
      <c r="C32" s="196"/>
      <c r="D32" s="196"/>
      <c r="E32" s="196"/>
      <c r="F32" s="196"/>
      <c r="G32" s="197"/>
      <c r="H32" s="198" t="s">
        <v>203</v>
      </c>
      <c r="I32" s="198"/>
      <c r="J32" s="198"/>
      <c r="K32" s="198"/>
      <c r="L32" s="198" t="s">
        <v>203</v>
      </c>
      <c r="M32" s="198"/>
      <c r="N32" s="198"/>
      <c r="O32" s="198"/>
      <c r="P32" s="99" t="s">
        <v>127</v>
      </c>
    </row>
    <row r="33" spans="1:16" ht="33.75" customHeight="1" x14ac:dyDescent="0.25">
      <c r="A33" s="104" t="s">
        <v>169</v>
      </c>
      <c r="B33" s="195" t="s">
        <v>136</v>
      </c>
      <c r="C33" s="196"/>
      <c r="D33" s="196"/>
      <c r="E33" s="196"/>
      <c r="F33" s="196"/>
      <c r="G33" s="197"/>
      <c r="H33" s="195" t="s">
        <v>212</v>
      </c>
      <c r="I33" s="196"/>
      <c r="J33" s="196"/>
      <c r="K33" s="197"/>
      <c r="L33" s="195" t="s">
        <v>212</v>
      </c>
      <c r="M33" s="196"/>
      <c r="N33" s="196"/>
      <c r="O33" s="197"/>
      <c r="P33" s="99" t="s">
        <v>127</v>
      </c>
    </row>
    <row r="34" spans="1:16" ht="15" customHeight="1" x14ac:dyDescent="0.25">
      <c r="A34" s="104" t="s">
        <v>170</v>
      </c>
      <c r="B34" s="195" t="s">
        <v>183</v>
      </c>
      <c r="C34" s="196"/>
      <c r="D34" s="196"/>
      <c r="E34" s="196"/>
      <c r="F34" s="196"/>
      <c r="G34" s="197"/>
      <c r="H34" s="195" t="s">
        <v>177</v>
      </c>
      <c r="I34" s="196"/>
      <c r="J34" s="196"/>
      <c r="K34" s="197"/>
      <c r="L34" s="195" t="s">
        <v>177</v>
      </c>
      <c r="M34" s="196"/>
      <c r="N34" s="196"/>
      <c r="O34" s="197"/>
      <c r="P34" s="99" t="s">
        <v>127</v>
      </c>
    </row>
    <row r="35" spans="1:16" ht="12.75" customHeight="1" x14ac:dyDescent="0.25">
      <c r="A35" s="104" t="s">
        <v>171</v>
      </c>
      <c r="B35" s="195" t="s">
        <v>136</v>
      </c>
      <c r="C35" s="196"/>
      <c r="D35" s="196"/>
      <c r="E35" s="196"/>
      <c r="F35" s="196"/>
      <c r="G35" s="197"/>
      <c r="H35" s="195" t="s">
        <v>178</v>
      </c>
      <c r="I35" s="196"/>
      <c r="J35" s="196"/>
      <c r="K35" s="197"/>
      <c r="L35" s="195" t="s">
        <v>178</v>
      </c>
      <c r="M35" s="196"/>
      <c r="N35" s="196"/>
      <c r="O35" s="197"/>
      <c r="P35" s="99" t="s">
        <v>127</v>
      </c>
    </row>
    <row r="36" spans="1:16" x14ac:dyDescent="0.25">
      <c r="A36" s="97"/>
    </row>
  </sheetData>
  <mergeCells count="52">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5:G35"/>
    <mergeCell ref="H35:K35"/>
    <mergeCell ref="L35:O35"/>
    <mergeCell ref="B34:G34"/>
    <mergeCell ref="H34:K34"/>
    <mergeCell ref="L34:O34"/>
    <mergeCell ref="B31:G31"/>
    <mergeCell ref="H31:K31"/>
    <mergeCell ref="L31:O31"/>
    <mergeCell ref="B32:G32"/>
    <mergeCell ref="H32:K32"/>
    <mergeCell ref="L32:O32"/>
  </mergeCells>
  <phoneticPr fontId="42" type="noConversion"/>
  <conditionalFormatting sqref="B9:B10">
    <cfRule type="cellIs" dxfId="135" priority="9" operator="equal">
      <formula>"Nok"</formula>
    </cfRule>
    <cfRule type="cellIs" dxfId="134" priority="10" operator="equal">
      <formula>"Ok"</formula>
    </cfRule>
  </conditionalFormatting>
  <conditionalFormatting sqref="P22:P28">
    <cfRule type="cellIs" dxfId="133" priority="7" operator="equal">
      <formula>"Nok"</formula>
    </cfRule>
    <cfRule type="cellIs" dxfId="132" priority="8" operator="equal">
      <formula>"Ok"</formula>
    </cfRule>
  </conditionalFormatting>
  <conditionalFormatting sqref="P33:P34">
    <cfRule type="cellIs" dxfId="131" priority="5" operator="equal">
      <formula>"Nok"</formula>
    </cfRule>
    <cfRule type="cellIs" dxfId="130" priority="6" operator="equal">
      <formula>"Ok"</formula>
    </cfRule>
  </conditionalFormatting>
  <conditionalFormatting sqref="P29:P32">
    <cfRule type="cellIs" dxfId="129" priority="3" operator="equal">
      <formula>"Nok"</formula>
    </cfRule>
    <cfRule type="cellIs" dxfId="128" priority="4" operator="equal">
      <formula>"Ok"</formula>
    </cfRule>
  </conditionalFormatting>
  <conditionalFormatting sqref="P35">
    <cfRule type="cellIs" dxfId="127" priority="1" operator="equal">
      <formula>"Nok"</formula>
    </cfRule>
    <cfRule type="cellIs" dxfId="126" priority="2" operator="equal">
      <formula>"Ok"</formula>
    </cfRule>
  </conditionalFormatting>
  <dataValidations count="3">
    <dataValidation type="list" allowBlank="1" showInputMessage="1" showErrorMessage="1" sqref="P22:P35" xr:uid="{EB606DD4-40DF-4B8A-988F-B1FD1C25F6A9}">
      <formula1>"Ok, Nok, Not run, ,"</formula1>
    </dataValidation>
    <dataValidation type="list" allowBlank="1" showInputMessage="1" showErrorMessage="1" sqref="B9" xr:uid="{AEF86EE5-6370-4E35-86B8-C6F5E3A08DD0}">
      <formula1>"Ok, Nok, Not run, NA"</formula1>
    </dataValidation>
    <dataValidation type="list" allowBlank="1" showInputMessage="1" showErrorMessage="1" sqref="B5" xr:uid="{F6D8D492-C881-453E-8E24-32C909358AD7}">
      <formula1>"Nominal, Robustness, Endurance, Qualification"</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2432A-C539-4C65-985F-73393B3C7795}">
  <sheetPr codeName="Sheet12"/>
  <dimension ref="A1:P35"/>
  <sheetViews>
    <sheetView workbookViewId="0"/>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213</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214</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223</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215</v>
      </c>
      <c r="C22" s="196"/>
      <c r="D22" s="196"/>
      <c r="E22" s="196"/>
      <c r="F22" s="196"/>
      <c r="G22" s="197"/>
      <c r="H22" s="198" t="s">
        <v>216</v>
      </c>
      <c r="I22" s="198"/>
      <c r="J22" s="198"/>
      <c r="K22" s="198"/>
      <c r="L22" s="198" t="s">
        <v>237</v>
      </c>
      <c r="M22" s="198"/>
      <c r="N22" s="198"/>
      <c r="O22" s="198"/>
      <c r="P22" s="99" t="s">
        <v>127</v>
      </c>
    </row>
    <row r="23" spans="1:16" ht="28.5" customHeight="1" x14ac:dyDescent="0.25">
      <c r="A23" s="104" t="s">
        <v>51</v>
      </c>
      <c r="B23" s="195" t="s">
        <v>219</v>
      </c>
      <c r="C23" s="196"/>
      <c r="D23" s="196"/>
      <c r="E23" s="196"/>
      <c r="F23" s="196"/>
      <c r="G23" s="197"/>
      <c r="H23" s="198" t="s">
        <v>161</v>
      </c>
      <c r="I23" s="198"/>
      <c r="J23" s="198"/>
      <c r="K23" s="198"/>
      <c r="L23" s="198" t="s">
        <v>161</v>
      </c>
      <c r="M23" s="198"/>
      <c r="N23" s="198"/>
      <c r="O23" s="198"/>
      <c r="P23" s="99" t="s">
        <v>127</v>
      </c>
    </row>
    <row r="24" spans="1:16" ht="39.75" customHeight="1" x14ac:dyDescent="0.25">
      <c r="A24" s="104" t="s">
        <v>52</v>
      </c>
      <c r="B24" s="195" t="s">
        <v>217</v>
      </c>
      <c r="C24" s="196"/>
      <c r="D24" s="196"/>
      <c r="E24" s="196"/>
      <c r="F24" s="196"/>
      <c r="G24" s="197"/>
      <c r="H24" s="198" t="s">
        <v>218</v>
      </c>
      <c r="I24" s="198"/>
      <c r="J24" s="198"/>
      <c r="K24" s="198"/>
      <c r="L24" s="198" t="s">
        <v>218</v>
      </c>
      <c r="M24" s="198"/>
      <c r="N24" s="198"/>
      <c r="O24" s="198"/>
      <c r="P24" s="99" t="s">
        <v>127</v>
      </c>
    </row>
    <row r="25" spans="1:16" ht="14.25" customHeight="1" x14ac:dyDescent="0.25">
      <c r="A25" s="104"/>
      <c r="B25" s="195" t="s">
        <v>183</v>
      </c>
      <c r="C25" s="196"/>
      <c r="D25" s="196"/>
      <c r="E25" s="196"/>
      <c r="F25" s="196"/>
      <c r="G25" s="197"/>
      <c r="H25" s="195" t="s">
        <v>177</v>
      </c>
      <c r="I25" s="196"/>
      <c r="J25" s="196"/>
      <c r="K25" s="197"/>
      <c r="L25" s="195" t="s">
        <v>177</v>
      </c>
      <c r="M25" s="196"/>
      <c r="N25" s="196"/>
      <c r="O25" s="197"/>
      <c r="P25" s="99" t="s">
        <v>127</v>
      </c>
    </row>
    <row r="26" spans="1:16" ht="13.5" customHeight="1" x14ac:dyDescent="0.25">
      <c r="A26" s="104" t="s">
        <v>53</v>
      </c>
      <c r="B26" s="195" t="s">
        <v>220</v>
      </c>
      <c r="C26" s="196"/>
      <c r="D26" s="196"/>
      <c r="E26" s="196"/>
      <c r="F26" s="196"/>
      <c r="G26" s="197"/>
      <c r="H26" s="198" t="s">
        <v>161</v>
      </c>
      <c r="I26" s="198"/>
      <c r="J26" s="198"/>
      <c r="K26" s="198"/>
      <c r="L26" s="198" t="s">
        <v>161</v>
      </c>
      <c r="M26" s="198"/>
      <c r="N26" s="198"/>
      <c r="O26" s="198"/>
      <c r="P26" s="99" t="s">
        <v>127</v>
      </c>
    </row>
    <row r="27" spans="1:16" ht="12.75" customHeight="1" x14ac:dyDescent="0.25">
      <c r="A27" s="104" t="s">
        <v>54</v>
      </c>
      <c r="B27" s="195" t="s">
        <v>221</v>
      </c>
      <c r="C27" s="196"/>
      <c r="D27" s="196"/>
      <c r="E27" s="196"/>
      <c r="F27" s="196"/>
      <c r="G27" s="197"/>
      <c r="H27" s="198" t="s">
        <v>161</v>
      </c>
      <c r="I27" s="198"/>
      <c r="J27" s="198"/>
      <c r="K27" s="198"/>
      <c r="L27" s="198" t="s">
        <v>161</v>
      </c>
      <c r="M27" s="198"/>
      <c r="N27" s="198"/>
      <c r="O27" s="198"/>
      <c r="P27" s="99" t="s">
        <v>127</v>
      </c>
    </row>
    <row r="28" spans="1:16" ht="27" customHeight="1" x14ac:dyDescent="0.25">
      <c r="A28" s="104" t="s">
        <v>55</v>
      </c>
      <c r="B28" s="195" t="s">
        <v>222</v>
      </c>
      <c r="C28" s="196"/>
      <c r="D28" s="196"/>
      <c r="E28" s="196"/>
      <c r="F28" s="196"/>
      <c r="G28" s="197"/>
      <c r="H28" s="222" t="s">
        <v>161</v>
      </c>
      <c r="I28" s="223"/>
      <c r="J28" s="223"/>
      <c r="K28" s="224"/>
      <c r="L28" s="222" t="s">
        <v>161</v>
      </c>
      <c r="M28" s="223"/>
      <c r="N28" s="223"/>
      <c r="O28" s="224"/>
      <c r="P28" s="99" t="s">
        <v>127</v>
      </c>
    </row>
    <row r="29" spans="1:16" x14ac:dyDescent="0.25">
      <c r="A29" s="104" t="s">
        <v>56</v>
      </c>
      <c r="B29" s="195" t="s">
        <v>136</v>
      </c>
      <c r="C29" s="196"/>
      <c r="D29" s="196"/>
      <c r="E29" s="196"/>
      <c r="F29" s="196"/>
      <c r="G29" s="197"/>
      <c r="H29" s="198" t="s">
        <v>225</v>
      </c>
      <c r="I29" s="198"/>
      <c r="J29" s="198"/>
      <c r="K29" s="198"/>
      <c r="L29" s="198" t="s">
        <v>225</v>
      </c>
      <c r="M29" s="198"/>
      <c r="N29" s="198"/>
      <c r="O29" s="198"/>
      <c r="P29" s="99" t="s">
        <v>127</v>
      </c>
    </row>
    <row r="30" spans="1:16" ht="12.75" customHeight="1" x14ac:dyDescent="0.25">
      <c r="A30" s="104" t="s">
        <v>57</v>
      </c>
      <c r="B30" s="195" t="s">
        <v>136</v>
      </c>
      <c r="C30" s="196"/>
      <c r="D30" s="196"/>
      <c r="E30" s="196"/>
      <c r="F30" s="196"/>
      <c r="G30" s="197"/>
      <c r="H30" s="198" t="s">
        <v>226</v>
      </c>
      <c r="I30" s="198"/>
      <c r="J30" s="198"/>
      <c r="K30" s="198"/>
      <c r="L30" s="198" t="s">
        <v>226</v>
      </c>
      <c r="M30" s="198"/>
      <c r="N30" s="198"/>
      <c r="O30" s="198"/>
      <c r="P30" s="99" t="s">
        <v>127</v>
      </c>
    </row>
    <row r="31" spans="1:16" ht="12.75" customHeight="1" x14ac:dyDescent="0.25">
      <c r="A31" s="104" t="s">
        <v>58</v>
      </c>
      <c r="B31" s="195" t="s">
        <v>227</v>
      </c>
      <c r="C31" s="196"/>
      <c r="D31" s="196"/>
      <c r="E31" s="196"/>
      <c r="F31" s="196"/>
      <c r="G31" s="197"/>
      <c r="H31" s="198" t="s">
        <v>228</v>
      </c>
      <c r="I31" s="198"/>
      <c r="J31" s="198"/>
      <c r="K31" s="198"/>
      <c r="L31" s="198" t="s">
        <v>228</v>
      </c>
      <c r="M31" s="198"/>
      <c r="N31" s="198"/>
      <c r="O31" s="198"/>
      <c r="P31" s="99" t="s">
        <v>127</v>
      </c>
    </row>
    <row r="32" spans="1:16" ht="12.75" customHeight="1" x14ac:dyDescent="0.25">
      <c r="A32" s="104"/>
      <c r="B32" s="195" t="s">
        <v>230</v>
      </c>
      <c r="C32" s="196"/>
      <c r="D32" s="196"/>
      <c r="E32" s="196"/>
      <c r="F32" s="196"/>
      <c r="G32" s="197"/>
      <c r="H32" s="195" t="s">
        <v>231</v>
      </c>
      <c r="I32" s="196"/>
      <c r="J32" s="196"/>
      <c r="K32" s="197"/>
      <c r="L32" s="195" t="s">
        <v>231</v>
      </c>
      <c r="M32" s="196"/>
      <c r="N32" s="196"/>
      <c r="O32" s="197"/>
      <c r="P32" s="99" t="s">
        <v>127</v>
      </c>
    </row>
    <row r="33" spans="1:16" ht="12.75" customHeight="1" x14ac:dyDescent="0.25">
      <c r="A33" s="104" t="s">
        <v>129</v>
      </c>
      <c r="B33" s="195" t="s">
        <v>229</v>
      </c>
      <c r="C33" s="196"/>
      <c r="D33" s="196"/>
      <c r="E33" s="196"/>
      <c r="F33" s="196"/>
      <c r="G33" s="197"/>
      <c r="H33" s="198" t="s">
        <v>161</v>
      </c>
      <c r="I33" s="198"/>
      <c r="J33" s="198"/>
      <c r="K33" s="198"/>
      <c r="L33" s="198" t="s">
        <v>161</v>
      </c>
      <c r="M33" s="198"/>
      <c r="N33" s="198"/>
      <c r="O33" s="198"/>
      <c r="P33" s="99" t="s">
        <v>127</v>
      </c>
    </row>
    <row r="34" spans="1:16" ht="30" customHeight="1" x14ac:dyDescent="0.25">
      <c r="A34" s="104" t="s">
        <v>130</v>
      </c>
      <c r="B34" s="195" t="s">
        <v>136</v>
      </c>
      <c r="C34" s="196"/>
      <c r="D34" s="196"/>
      <c r="E34" s="196"/>
      <c r="F34" s="196"/>
      <c r="G34" s="197"/>
      <c r="H34" s="222" t="s">
        <v>232</v>
      </c>
      <c r="I34" s="223"/>
      <c r="J34" s="223"/>
      <c r="K34" s="224"/>
      <c r="L34" s="222" t="s">
        <v>238</v>
      </c>
      <c r="M34" s="223"/>
      <c r="N34" s="223"/>
      <c r="O34" s="224"/>
      <c r="P34" s="99" t="s">
        <v>224</v>
      </c>
    </row>
    <row r="35" spans="1:16" x14ac:dyDescent="0.25">
      <c r="A35" s="97"/>
    </row>
  </sheetData>
  <mergeCells count="49">
    <mergeCell ref="A16:A19"/>
    <mergeCell ref="B16:G19"/>
    <mergeCell ref="B25:G25"/>
    <mergeCell ref="H25:K25"/>
    <mergeCell ref="L25:O25"/>
    <mergeCell ref="A21:G21"/>
    <mergeCell ref="H21:K21"/>
    <mergeCell ref="L21:O21"/>
    <mergeCell ref="B22:G22"/>
    <mergeCell ref="H22:K22"/>
    <mergeCell ref="L22:O22"/>
    <mergeCell ref="B23:G23"/>
    <mergeCell ref="H23:K23"/>
    <mergeCell ref="L23:O23"/>
    <mergeCell ref="B24:G24"/>
    <mergeCell ref="H24:K24"/>
    <mergeCell ref="B1:G1"/>
    <mergeCell ref="B3:G3"/>
    <mergeCell ref="B7:G7"/>
    <mergeCell ref="A11:A14"/>
    <mergeCell ref="B11:G14"/>
    <mergeCell ref="L24:O24"/>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4:G34"/>
    <mergeCell ref="H34:K34"/>
    <mergeCell ref="L34:O34"/>
    <mergeCell ref="B31:G31"/>
    <mergeCell ref="H31:K31"/>
    <mergeCell ref="L31:O31"/>
    <mergeCell ref="B33:G33"/>
    <mergeCell ref="H33:K33"/>
    <mergeCell ref="L33:O33"/>
    <mergeCell ref="H32:K32"/>
    <mergeCell ref="L32:O32"/>
    <mergeCell ref="B32:G32"/>
  </mergeCells>
  <phoneticPr fontId="42" type="noConversion"/>
  <conditionalFormatting sqref="B9:B10">
    <cfRule type="cellIs" dxfId="125" priority="9" operator="equal">
      <formula>"Nok"</formula>
    </cfRule>
    <cfRule type="cellIs" dxfId="124" priority="10" operator="equal">
      <formula>"Ok"</formula>
    </cfRule>
  </conditionalFormatting>
  <conditionalFormatting sqref="P22:P29">
    <cfRule type="cellIs" dxfId="123" priority="7" operator="equal">
      <formula>"Nok"</formula>
    </cfRule>
    <cfRule type="cellIs" dxfId="122" priority="8" operator="equal">
      <formula>"Ok"</formula>
    </cfRule>
  </conditionalFormatting>
  <conditionalFormatting sqref="P33">
    <cfRule type="cellIs" dxfId="121" priority="5" operator="equal">
      <formula>"Nok"</formula>
    </cfRule>
    <cfRule type="cellIs" dxfId="120" priority="6" operator="equal">
      <formula>"Ok"</formula>
    </cfRule>
  </conditionalFormatting>
  <conditionalFormatting sqref="P30:P32">
    <cfRule type="cellIs" dxfId="119" priority="3" operator="equal">
      <formula>"Nok"</formula>
    </cfRule>
    <cfRule type="cellIs" dxfId="118" priority="4" operator="equal">
      <formula>"Ok"</formula>
    </cfRule>
  </conditionalFormatting>
  <conditionalFormatting sqref="P34">
    <cfRule type="cellIs" dxfId="117" priority="1" operator="equal">
      <formula>"Nok"</formula>
    </cfRule>
    <cfRule type="cellIs" dxfId="116" priority="2" operator="equal">
      <formula>"Ok"</formula>
    </cfRule>
  </conditionalFormatting>
  <dataValidations count="3">
    <dataValidation type="list" allowBlank="1" showInputMessage="1" showErrorMessage="1" sqref="B5" xr:uid="{77280F34-E65E-4BCF-A53D-4100E5AE6583}">
      <formula1>"Nominal, Robustness, Endurance, Qualification"</formula1>
    </dataValidation>
    <dataValidation type="list" allowBlank="1" showInputMessage="1" showErrorMessage="1" sqref="B9" xr:uid="{A85CF6A6-C803-4FAC-808C-B12FE5EA0E6E}">
      <formula1>"Ok, Nok, Not run, NA"</formula1>
    </dataValidation>
    <dataValidation type="list" allowBlank="1" showInputMessage="1" showErrorMessage="1" sqref="P22:P34" xr:uid="{40B8A9D5-BCA8-4AFA-B348-59BB7173112A}">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82D77-262E-4064-A77F-D02ED1E0EEA6}">
  <sheetPr codeName="Sheet13"/>
  <dimension ref="A1:P34"/>
  <sheetViews>
    <sheetView workbookViewId="0">
      <selection activeCell="B25" sqref="B25:G25"/>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233</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268</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234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235</v>
      </c>
      <c r="C22" s="196"/>
      <c r="D22" s="196"/>
      <c r="E22" s="196"/>
      <c r="F22" s="196"/>
      <c r="G22" s="197"/>
      <c r="H22" s="198" t="s">
        <v>250</v>
      </c>
      <c r="I22" s="198"/>
      <c r="J22" s="198"/>
      <c r="K22" s="198"/>
      <c r="L22" s="198" t="s">
        <v>261</v>
      </c>
      <c r="M22" s="198"/>
      <c r="N22" s="198"/>
      <c r="O22" s="198"/>
      <c r="P22" s="99" t="s">
        <v>127</v>
      </c>
    </row>
    <row r="23" spans="1:16" ht="28.5" customHeight="1" x14ac:dyDescent="0.25">
      <c r="A23" s="104" t="s">
        <v>51</v>
      </c>
      <c r="B23" s="195" t="s">
        <v>241</v>
      </c>
      <c r="C23" s="196"/>
      <c r="D23" s="196"/>
      <c r="E23" s="196"/>
      <c r="F23" s="196"/>
      <c r="G23" s="197"/>
      <c r="H23" s="198" t="s">
        <v>225</v>
      </c>
      <c r="I23" s="198"/>
      <c r="J23" s="198"/>
      <c r="K23" s="198"/>
      <c r="L23" s="198" t="s">
        <v>225</v>
      </c>
      <c r="M23" s="198"/>
      <c r="N23" s="198"/>
      <c r="O23" s="198"/>
      <c r="P23" s="99" t="s">
        <v>127</v>
      </c>
    </row>
    <row r="24" spans="1:16" ht="39.75" customHeight="1" x14ac:dyDescent="0.25">
      <c r="A24" s="104" t="s">
        <v>52</v>
      </c>
      <c r="B24" s="195" t="s">
        <v>236</v>
      </c>
      <c r="C24" s="196"/>
      <c r="D24" s="196"/>
      <c r="E24" s="196"/>
      <c r="F24" s="196"/>
      <c r="G24" s="197"/>
      <c r="H24" s="198" t="s">
        <v>218</v>
      </c>
      <c r="I24" s="198"/>
      <c r="J24" s="198"/>
      <c r="K24" s="198"/>
      <c r="L24" s="198" t="s">
        <v>218</v>
      </c>
      <c r="M24" s="198"/>
      <c r="N24" s="198"/>
      <c r="O24" s="198"/>
      <c r="P24" s="99" t="s">
        <v>127</v>
      </c>
    </row>
    <row r="25" spans="1:16" ht="27" customHeight="1" x14ac:dyDescent="0.25">
      <c r="A25" s="104" t="s">
        <v>53</v>
      </c>
      <c r="B25" s="195" t="s">
        <v>242</v>
      </c>
      <c r="C25" s="196"/>
      <c r="D25" s="196"/>
      <c r="E25" s="196"/>
      <c r="F25" s="196"/>
      <c r="G25" s="197"/>
      <c r="H25" s="198" t="s">
        <v>243</v>
      </c>
      <c r="I25" s="198"/>
      <c r="J25" s="198"/>
      <c r="K25" s="198"/>
      <c r="L25" s="198" t="s">
        <v>240</v>
      </c>
      <c r="M25" s="198"/>
      <c r="N25" s="198"/>
      <c r="O25" s="198"/>
      <c r="P25" s="99" t="s">
        <v>224</v>
      </c>
    </row>
    <row r="26" spans="1:16" ht="27" customHeight="1" x14ac:dyDescent="0.25">
      <c r="A26" s="104" t="s">
        <v>54</v>
      </c>
      <c r="B26" s="195" t="s">
        <v>244</v>
      </c>
      <c r="C26" s="196"/>
      <c r="D26" s="196"/>
      <c r="E26" s="196"/>
      <c r="F26" s="196"/>
      <c r="G26" s="197"/>
      <c r="H26" s="198" t="s">
        <v>245</v>
      </c>
      <c r="I26" s="198"/>
      <c r="J26" s="198"/>
      <c r="K26" s="198"/>
      <c r="L26" s="198" t="s">
        <v>245</v>
      </c>
      <c r="M26" s="198"/>
      <c r="N26" s="198"/>
      <c r="O26" s="198"/>
      <c r="P26" s="99" t="s">
        <v>127</v>
      </c>
    </row>
    <row r="27" spans="1:16" ht="27" customHeight="1" x14ac:dyDescent="0.25">
      <c r="A27" s="104" t="s">
        <v>55</v>
      </c>
      <c r="B27" s="195" t="s">
        <v>136</v>
      </c>
      <c r="C27" s="196"/>
      <c r="D27" s="196"/>
      <c r="E27" s="196"/>
      <c r="F27" s="196"/>
      <c r="G27" s="197"/>
      <c r="H27" s="222" t="s">
        <v>228</v>
      </c>
      <c r="I27" s="223"/>
      <c r="J27" s="223"/>
      <c r="K27" s="224"/>
      <c r="L27" s="222" t="s">
        <v>228</v>
      </c>
      <c r="M27" s="223"/>
      <c r="N27" s="223"/>
      <c r="O27" s="224"/>
      <c r="P27" s="99" t="s">
        <v>127</v>
      </c>
    </row>
    <row r="28" spans="1:16" ht="27.75" customHeight="1" x14ac:dyDescent="0.25">
      <c r="A28" s="104" t="s">
        <v>56</v>
      </c>
      <c r="B28" s="195" t="s">
        <v>246</v>
      </c>
      <c r="C28" s="196"/>
      <c r="D28" s="196"/>
      <c r="E28" s="196"/>
      <c r="F28" s="196"/>
      <c r="G28" s="197"/>
      <c r="H28" s="198" t="s">
        <v>247</v>
      </c>
      <c r="I28" s="198"/>
      <c r="J28" s="198"/>
      <c r="K28" s="198"/>
      <c r="L28" s="198" t="s">
        <v>247</v>
      </c>
      <c r="M28" s="198"/>
      <c r="N28" s="198"/>
      <c r="O28" s="198"/>
      <c r="P28" s="99" t="s">
        <v>127</v>
      </c>
    </row>
    <row r="29" spans="1:16" ht="12.75" customHeight="1" x14ac:dyDescent="0.25">
      <c r="A29" s="104" t="s">
        <v>57</v>
      </c>
      <c r="B29" s="195" t="s">
        <v>136</v>
      </c>
      <c r="C29" s="196"/>
      <c r="D29" s="196"/>
      <c r="E29" s="196"/>
      <c r="F29" s="196"/>
      <c r="G29" s="197"/>
      <c r="H29" s="198" t="s">
        <v>248</v>
      </c>
      <c r="I29" s="198"/>
      <c r="J29" s="198"/>
      <c r="K29" s="198"/>
      <c r="L29" s="198" t="s">
        <v>248</v>
      </c>
      <c r="M29" s="198"/>
      <c r="N29" s="198"/>
      <c r="O29" s="198"/>
      <c r="P29" s="99" t="s">
        <v>127</v>
      </c>
    </row>
    <row r="30" spans="1:16" ht="12.75" customHeight="1" x14ac:dyDescent="0.25">
      <c r="A30" s="104" t="s">
        <v>58</v>
      </c>
      <c r="B30" s="195" t="s">
        <v>183</v>
      </c>
      <c r="C30" s="196"/>
      <c r="D30" s="196"/>
      <c r="E30" s="196"/>
      <c r="F30" s="196"/>
      <c r="G30" s="197"/>
      <c r="H30" s="198" t="s">
        <v>177</v>
      </c>
      <c r="I30" s="198"/>
      <c r="J30" s="198"/>
      <c r="K30" s="198"/>
      <c r="L30" s="198" t="s">
        <v>177</v>
      </c>
      <c r="M30" s="198"/>
      <c r="N30" s="198"/>
      <c r="O30" s="198"/>
      <c r="P30" s="99" t="s">
        <v>127</v>
      </c>
    </row>
    <row r="31" spans="1:16" ht="12.75" customHeight="1" x14ac:dyDescent="0.25">
      <c r="A31" s="104" t="s">
        <v>129</v>
      </c>
      <c r="B31" s="195" t="s">
        <v>136</v>
      </c>
      <c r="C31" s="196"/>
      <c r="D31" s="196"/>
      <c r="E31" s="196"/>
      <c r="F31" s="196"/>
      <c r="G31" s="197"/>
      <c r="H31" s="195" t="s">
        <v>249</v>
      </c>
      <c r="I31" s="196"/>
      <c r="J31" s="196"/>
      <c r="K31" s="197"/>
      <c r="L31" s="195" t="s">
        <v>249</v>
      </c>
      <c r="M31" s="196"/>
      <c r="N31" s="196"/>
      <c r="O31" s="197"/>
      <c r="P31" s="99" t="s">
        <v>127</v>
      </c>
    </row>
    <row r="32" spans="1:16" ht="12.75" customHeight="1" x14ac:dyDescent="0.25">
      <c r="A32" s="104" t="s">
        <v>130</v>
      </c>
      <c r="B32" s="195"/>
      <c r="C32" s="196"/>
      <c r="D32" s="196"/>
      <c r="E32" s="196"/>
      <c r="F32" s="196"/>
      <c r="G32" s="197"/>
      <c r="H32" s="198"/>
      <c r="I32" s="198"/>
      <c r="J32" s="198"/>
      <c r="K32" s="198"/>
      <c r="L32" s="198"/>
      <c r="M32" s="198"/>
      <c r="N32" s="198"/>
      <c r="O32" s="198"/>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B32:G32"/>
    <mergeCell ref="H32:K32"/>
    <mergeCell ref="L32:O32"/>
    <mergeCell ref="B33:G33"/>
    <mergeCell ref="H33:K33"/>
    <mergeCell ref="L33:O33"/>
    <mergeCell ref="B30:G30"/>
    <mergeCell ref="H30:K30"/>
    <mergeCell ref="L30:O30"/>
    <mergeCell ref="B31:G31"/>
    <mergeCell ref="H31:K31"/>
    <mergeCell ref="L31:O31"/>
    <mergeCell ref="B28:G28"/>
    <mergeCell ref="H28:K28"/>
    <mergeCell ref="L28:O28"/>
    <mergeCell ref="B29:G29"/>
    <mergeCell ref="H29:K29"/>
    <mergeCell ref="L29:O29"/>
    <mergeCell ref="B26:G26"/>
    <mergeCell ref="H26:K26"/>
    <mergeCell ref="L26:O26"/>
    <mergeCell ref="B27:G27"/>
    <mergeCell ref="H27:K27"/>
    <mergeCell ref="L27:O27"/>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15" priority="9" operator="equal">
      <formula>"Nok"</formula>
    </cfRule>
    <cfRule type="cellIs" dxfId="114" priority="10" operator="equal">
      <formula>"Ok"</formula>
    </cfRule>
  </conditionalFormatting>
  <conditionalFormatting sqref="P22:P28">
    <cfRule type="cellIs" dxfId="113" priority="7" operator="equal">
      <formula>"Nok"</formula>
    </cfRule>
    <cfRule type="cellIs" dxfId="112" priority="8" operator="equal">
      <formula>"Ok"</formula>
    </cfRule>
  </conditionalFormatting>
  <conditionalFormatting sqref="P32">
    <cfRule type="cellIs" dxfId="111" priority="5" operator="equal">
      <formula>"Nok"</formula>
    </cfRule>
    <cfRule type="cellIs" dxfId="110" priority="6" operator="equal">
      <formula>"Ok"</formula>
    </cfRule>
  </conditionalFormatting>
  <conditionalFormatting sqref="P29:P31">
    <cfRule type="cellIs" dxfId="109" priority="3" operator="equal">
      <formula>"Nok"</formula>
    </cfRule>
    <cfRule type="cellIs" dxfId="108" priority="4" operator="equal">
      <formula>"Ok"</formula>
    </cfRule>
  </conditionalFormatting>
  <conditionalFormatting sqref="P33">
    <cfRule type="cellIs" dxfId="107" priority="1" operator="equal">
      <formula>"Nok"</formula>
    </cfRule>
    <cfRule type="cellIs" dxfId="106" priority="2" operator="equal">
      <formula>"Ok"</formula>
    </cfRule>
  </conditionalFormatting>
  <dataValidations count="3">
    <dataValidation type="list" allowBlank="1" showInputMessage="1" showErrorMessage="1" sqref="B9" xr:uid="{6305FA49-9D55-43D1-99DB-349695804560}">
      <formula1>"Ok, Nok, Not run, NA"</formula1>
    </dataValidation>
    <dataValidation type="list" allowBlank="1" showInputMessage="1" showErrorMessage="1" sqref="B5" xr:uid="{9A8E68F4-8820-454C-997A-1C0754EFB49A}">
      <formula1>"Nominal, Robustness, Endurance, Qualification"</formula1>
    </dataValidation>
    <dataValidation type="list" allowBlank="1" showInputMessage="1" showErrorMessage="1" sqref="P22:P33" xr:uid="{8E8E494E-8732-4271-B8D6-E11A171A9222}">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7AE92-5549-4E74-88D5-9BD044C4B756}">
  <sheetPr codeName="Sheet14"/>
  <dimension ref="A1:P34"/>
  <sheetViews>
    <sheetView topLeftCell="A15" workbookViewId="0">
      <selection activeCell="N17" sqref="N17"/>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254</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269</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264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255</v>
      </c>
      <c r="C22" s="196"/>
      <c r="D22" s="196"/>
      <c r="E22" s="196"/>
      <c r="F22" s="196"/>
      <c r="G22" s="197"/>
      <c r="H22" s="198" t="s">
        <v>256</v>
      </c>
      <c r="I22" s="198"/>
      <c r="J22" s="198"/>
      <c r="K22" s="198"/>
      <c r="L22" s="198" t="s">
        <v>256</v>
      </c>
      <c r="M22" s="198"/>
      <c r="N22" s="198"/>
      <c r="O22" s="198"/>
      <c r="P22" s="99" t="s">
        <v>127</v>
      </c>
    </row>
    <row r="23" spans="1:16" ht="28.5" customHeight="1" x14ac:dyDescent="0.25">
      <c r="A23" s="104" t="s">
        <v>51</v>
      </c>
      <c r="B23" s="195" t="s">
        <v>257</v>
      </c>
      <c r="C23" s="196"/>
      <c r="D23" s="196"/>
      <c r="E23" s="196"/>
      <c r="F23" s="196"/>
      <c r="G23" s="197"/>
      <c r="H23" s="198" t="s">
        <v>225</v>
      </c>
      <c r="I23" s="198"/>
      <c r="J23" s="198"/>
      <c r="K23" s="198"/>
      <c r="L23" s="198" t="s">
        <v>225</v>
      </c>
      <c r="M23" s="198"/>
      <c r="N23" s="198"/>
      <c r="O23" s="198"/>
      <c r="P23" s="99" t="s">
        <v>127</v>
      </c>
    </row>
    <row r="24" spans="1:16" ht="39.75" customHeight="1" x14ac:dyDescent="0.25">
      <c r="A24" s="104" t="s">
        <v>52</v>
      </c>
      <c r="B24" s="195" t="s">
        <v>258</v>
      </c>
      <c r="C24" s="196"/>
      <c r="D24" s="196"/>
      <c r="E24" s="196"/>
      <c r="F24" s="196"/>
      <c r="G24" s="197"/>
      <c r="H24" s="198" t="s">
        <v>218</v>
      </c>
      <c r="I24" s="198"/>
      <c r="J24" s="198"/>
      <c r="K24" s="198"/>
      <c r="L24" s="198" t="s">
        <v>218</v>
      </c>
      <c r="M24" s="198"/>
      <c r="N24" s="198"/>
      <c r="O24" s="198"/>
      <c r="P24" s="99" t="s">
        <v>127</v>
      </c>
    </row>
    <row r="25" spans="1:16" ht="27" customHeight="1" x14ac:dyDescent="0.25">
      <c r="A25" s="104" t="s">
        <v>53</v>
      </c>
      <c r="B25" s="195" t="s">
        <v>259</v>
      </c>
      <c r="C25" s="196"/>
      <c r="D25" s="196"/>
      <c r="E25" s="196"/>
      <c r="F25" s="196"/>
      <c r="G25" s="197"/>
      <c r="H25" s="198" t="s">
        <v>243</v>
      </c>
      <c r="I25" s="198"/>
      <c r="J25" s="198"/>
      <c r="K25" s="198"/>
      <c r="L25" s="198" t="s">
        <v>243</v>
      </c>
      <c r="M25" s="198"/>
      <c r="N25" s="198"/>
      <c r="O25" s="198"/>
      <c r="P25" s="99" t="s">
        <v>127</v>
      </c>
    </row>
    <row r="26" spans="1:16" ht="27" customHeight="1" x14ac:dyDescent="0.25">
      <c r="A26" s="104" t="s">
        <v>54</v>
      </c>
      <c r="B26" s="195" t="s">
        <v>260</v>
      </c>
      <c r="C26" s="196"/>
      <c r="D26" s="196"/>
      <c r="E26" s="196"/>
      <c r="F26" s="196"/>
      <c r="G26" s="197"/>
      <c r="H26" s="198" t="s">
        <v>245</v>
      </c>
      <c r="I26" s="198"/>
      <c r="J26" s="198"/>
      <c r="K26" s="198"/>
      <c r="L26" s="198" t="s">
        <v>245</v>
      </c>
      <c r="M26" s="198"/>
      <c r="N26" s="198"/>
      <c r="O26" s="198"/>
      <c r="P26" s="99" t="s">
        <v>127</v>
      </c>
    </row>
    <row r="27" spans="1:16" ht="27" customHeight="1" x14ac:dyDescent="0.25">
      <c r="A27" s="104" t="s">
        <v>55</v>
      </c>
      <c r="B27" s="195" t="s">
        <v>136</v>
      </c>
      <c r="C27" s="196"/>
      <c r="D27" s="196"/>
      <c r="E27" s="196"/>
      <c r="F27" s="196"/>
      <c r="G27" s="197"/>
      <c r="H27" s="222" t="s">
        <v>226</v>
      </c>
      <c r="I27" s="223"/>
      <c r="J27" s="223"/>
      <c r="K27" s="224"/>
      <c r="L27" s="222" t="s">
        <v>226</v>
      </c>
      <c r="M27" s="223"/>
      <c r="N27" s="223"/>
      <c r="O27" s="224"/>
      <c r="P27" s="99" t="s">
        <v>127</v>
      </c>
    </row>
    <row r="28" spans="1:16" ht="27.75" customHeight="1" x14ac:dyDescent="0.25">
      <c r="A28" s="104" t="s">
        <v>56</v>
      </c>
      <c r="B28" s="195" t="s">
        <v>136</v>
      </c>
      <c r="C28" s="196"/>
      <c r="D28" s="196"/>
      <c r="E28" s="196"/>
      <c r="F28" s="196"/>
      <c r="G28" s="197"/>
      <c r="H28" s="198" t="s">
        <v>228</v>
      </c>
      <c r="I28" s="198"/>
      <c r="J28" s="198"/>
      <c r="K28" s="198"/>
      <c r="L28" s="198" t="s">
        <v>228</v>
      </c>
      <c r="M28" s="198"/>
      <c r="N28" s="198"/>
      <c r="O28" s="198"/>
      <c r="P28" s="99" t="s">
        <v>127</v>
      </c>
    </row>
    <row r="29" spans="1:16" ht="26.25" customHeight="1" x14ac:dyDescent="0.25">
      <c r="A29" s="104" t="s">
        <v>57</v>
      </c>
      <c r="B29" s="195" t="s">
        <v>262</v>
      </c>
      <c r="C29" s="196"/>
      <c r="D29" s="196"/>
      <c r="E29" s="196"/>
      <c r="F29" s="196"/>
      <c r="G29" s="197"/>
      <c r="H29" s="195" t="s">
        <v>247</v>
      </c>
      <c r="I29" s="196"/>
      <c r="J29" s="196"/>
      <c r="K29" s="197"/>
      <c r="L29" s="195" t="s">
        <v>247</v>
      </c>
      <c r="M29" s="196"/>
      <c r="N29" s="196"/>
      <c r="O29" s="197"/>
      <c r="P29" s="99" t="s">
        <v>127</v>
      </c>
    </row>
    <row r="30" spans="1:16" ht="12.75" customHeight="1" x14ac:dyDescent="0.25">
      <c r="A30" s="104" t="s">
        <v>58</v>
      </c>
      <c r="B30" s="195" t="s">
        <v>136</v>
      </c>
      <c r="C30" s="196"/>
      <c r="D30" s="196"/>
      <c r="E30" s="196"/>
      <c r="F30" s="196"/>
      <c r="G30" s="197"/>
      <c r="H30" s="195" t="s">
        <v>248</v>
      </c>
      <c r="I30" s="196"/>
      <c r="J30" s="196"/>
      <c r="K30" s="197"/>
      <c r="L30" s="195" t="s">
        <v>248</v>
      </c>
      <c r="M30" s="196"/>
      <c r="N30" s="196"/>
      <c r="O30" s="197"/>
      <c r="P30" s="99" t="s">
        <v>127</v>
      </c>
    </row>
    <row r="31" spans="1:16" ht="12.75" customHeight="1" x14ac:dyDescent="0.25">
      <c r="A31" s="104" t="s">
        <v>129</v>
      </c>
      <c r="B31" s="195" t="s">
        <v>263</v>
      </c>
      <c r="C31" s="196"/>
      <c r="D31" s="196"/>
      <c r="E31" s="196"/>
      <c r="F31" s="196"/>
      <c r="G31" s="197"/>
      <c r="H31" s="195" t="s">
        <v>177</v>
      </c>
      <c r="I31" s="196"/>
      <c r="J31" s="196"/>
      <c r="K31" s="197"/>
      <c r="L31" s="195" t="s">
        <v>177</v>
      </c>
      <c r="M31" s="196"/>
      <c r="N31" s="196"/>
      <c r="O31" s="197"/>
      <c r="P31" s="99" t="s">
        <v>127</v>
      </c>
    </row>
    <row r="32" spans="1:16" ht="28.5" customHeight="1" x14ac:dyDescent="0.25">
      <c r="A32" s="104" t="s">
        <v>130</v>
      </c>
      <c r="B32" s="195" t="s">
        <v>265</v>
      </c>
      <c r="C32" s="196"/>
      <c r="D32" s="196"/>
      <c r="E32" s="196"/>
      <c r="F32" s="196"/>
      <c r="G32" s="197"/>
      <c r="H32" s="195" t="s">
        <v>239</v>
      </c>
      <c r="I32" s="196"/>
      <c r="J32" s="196"/>
      <c r="K32" s="197"/>
      <c r="L32" s="195" t="s">
        <v>239</v>
      </c>
      <c r="M32" s="196"/>
      <c r="N32" s="196"/>
      <c r="O32" s="197"/>
      <c r="P32" s="99" t="s">
        <v>127</v>
      </c>
    </row>
    <row r="33" spans="1:16" ht="30" customHeight="1" x14ac:dyDescent="0.25">
      <c r="A33" s="104" t="s">
        <v>169</v>
      </c>
      <c r="B33" s="195" t="s">
        <v>266</v>
      </c>
      <c r="C33" s="196"/>
      <c r="D33" s="196"/>
      <c r="E33" s="196"/>
      <c r="F33" s="196"/>
      <c r="G33" s="197"/>
      <c r="H33" s="222" t="s">
        <v>239</v>
      </c>
      <c r="I33" s="223"/>
      <c r="J33" s="223"/>
      <c r="K33" s="224"/>
      <c r="L33" s="222" t="s">
        <v>239</v>
      </c>
      <c r="M33" s="223"/>
      <c r="N33" s="223"/>
      <c r="O33" s="224"/>
      <c r="P33" s="99" t="s">
        <v>127</v>
      </c>
    </row>
    <row r="34" spans="1:16" x14ac:dyDescent="0.25">
      <c r="A34" s="97"/>
    </row>
  </sheetData>
  <mergeCells count="46">
    <mergeCell ref="B33:G33"/>
    <mergeCell ref="H33:K33"/>
    <mergeCell ref="L33:O3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05" priority="9" operator="equal">
      <formula>"Nok"</formula>
    </cfRule>
    <cfRule type="cellIs" dxfId="104" priority="10" operator="equal">
      <formula>"Ok"</formula>
    </cfRule>
  </conditionalFormatting>
  <conditionalFormatting sqref="P22:P28">
    <cfRule type="cellIs" dxfId="103" priority="7" operator="equal">
      <formula>"Nok"</formula>
    </cfRule>
    <cfRule type="cellIs" dxfId="102" priority="8" operator="equal">
      <formula>"Ok"</formula>
    </cfRule>
  </conditionalFormatting>
  <conditionalFormatting sqref="P32">
    <cfRule type="cellIs" dxfId="101" priority="5" operator="equal">
      <formula>"Nok"</formula>
    </cfRule>
    <cfRule type="cellIs" dxfId="100" priority="6" operator="equal">
      <formula>"Ok"</formula>
    </cfRule>
  </conditionalFormatting>
  <conditionalFormatting sqref="P29:P31">
    <cfRule type="cellIs" dxfId="99" priority="3" operator="equal">
      <formula>"Nok"</formula>
    </cfRule>
    <cfRule type="cellIs" dxfId="98" priority="4" operator="equal">
      <formula>"Ok"</formula>
    </cfRule>
  </conditionalFormatting>
  <conditionalFormatting sqref="P33">
    <cfRule type="cellIs" dxfId="97" priority="1" operator="equal">
      <formula>"Nok"</formula>
    </cfRule>
    <cfRule type="cellIs" dxfId="96" priority="2" operator="equal">
      <formula>"Ok"</formula>
    </cfRule>
  </conditionalFormatting>
  <dataValidations count="3">
    <dataValidation type="list" allowBlank="1" showInputMessage="1" showErrorMessage="1" sqref="P22:P33" xr:uid="{862859D4-D4BF-470B-877C-80128B6821BE}">
      <formula1>"Ok, Nok, Not run, ,"</formula1>
    </dataValidation>
    <dataValidation type="list" allowBlank="1" showInputMessage="1" showErrorMessage="1" sqref="B5" xr:uid="{013F0691-96B5-4C77-A3D1-1FBF325FC880}">
      <formula1>"Nominal, Robustness, Endurance, Qualification"</formula1>
    </dataValidation>
    <dataValidation type="list" allowBlank="1" showInputMessage="1" showErrorMessage="1" sqref="B9" xr:uid="{C28B4723-39F1-4043-8887-75E4900C267E}">
      <formula1>"Ok, Nok, Not run, NA"</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0AB54-9520-40E7-B743-05AB8EC51D71}">
  <sheetPr codeName="Sheet15"/>
  <dimension ref="A1:P34"/>
  <sheetViews>
    <sheetView workbookViewId="0">
      <selection activeCell="L32" sqref="L32:O32"/>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282</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283</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284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127</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285</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136</v>
      </c>
      <c r="C23" s="196"/>
      <c r="D23" s="196"/>
      <c r="E23" s="196"/>
      <c r="F23" s="196"/>
      <c r="G23" s="197"/>
      <c r="H23" s="198" t="s">
        <v>192</v>
      </c>
      <c r="I23" s="198"/>
      <c r="J23" s="198"/>
      <c r="K23" s="198"/>
      <c r="L23" s="198" t="s">
        <v>192</v>
      </c>
      <c r="M23" s="198"/>
      <c r="N23" s="198"/>
      <c r="O23" s="198"/>
      <c r="P23" s="99" t="s">
        <v>127</v>
      </c>
    </row>
    <row r="24" spans="1:16" ht="39.75" customHeight="1" x14ac:dyDescent="0.25">
      <c r="A24" s="104" t="s">
        <v>52</v>
      </c>
      <c r="B24" s="195" t="s">
        <v>286</v>
      </c>
      <c r="C24" s="196"/>
      <c r="D24" s="196"/>
      <c r="E24" s="196"/>
      <c r="F24" s="196"/>
      <c r="G24" s="197"/>
      <c r="H24" s="198" t="s">
        <v>165</v>
      </c>
      <c r="I24" s="198"/>
      <c r="J24" s="198"/>
      <c r="K24" s="198"/>
      <c r="L24" s="198" t="s">
        <v>165</v>
      </c>
      <c r="M24" s="198"/>
      <c r="N24" s="198"/>
      <c r="O24" s="198"/>
      <c r="P24" s="99" t="s">
        <v>127</v>
      </c>
    </row>
    <row r="25" spans="1:16" ht="27" customHeight="1" x14ac:dyDescent="0.25">
      <c r="A25" s="104" t="s">
        <v>53</v>
      </c>
      <c r="B25" s="195" t="s">
        <v>287</v>
      </c>
      <c r="C25" s="196"/>
      <c r="D25" s="196"/>
      <c r="E25" s="196"/>
      <c r="F25" s="196"/>
      <c r="G25" s="197"/>
      <c r="H25" s="198" t="s">
        <v>161</v>
      </c>
      <c r="I25" s="198"/>
      <c r="J25" s="198"/>
      <c r="K25" s="198"/>
      <c r="L25" s="198" t="s">
        <v>161</v>
      </c>
      <c r="M25" s="198"/>
      <c r="N25" s="198"/>
      <c r="O25" s="198"/>
      <c r="P25" s="99" t="s">
        <v>127</v>
      </c>
    </row>
    <row r="26" spans="1:16" ht="27" customHeight="1" x14ac:dyDescent="0.25">
      <c r="A26" s="104" t="s">
        <v>54</v>
      </c>
      <c r="B26" s="195" t="s">
        <v>136</v>
      </c>
      <c r="C26" s="196"/>
      <c r="D26" s="196"/>
      <c r="E26" s="196"/>
      <c r="F26" s="196"/>
      <c r="G26" s="197"/>
      <c r="H26" s="198" t="s">
        <v>192</v>
      </c>
      <c r="I26" s="198"/>
      <c r="J26" s="198"/>
      <c r="K26" s="198"/>
      <c r="L26" s="198" t="s">
        <v>192</v>
      </c>
      <c r="M26" s="198"/>
      <c r="N26" s="198"/>
      <c r="O26" s="198"/>
      <c r="P26" s="99" t="s">
        <v>127</v>
      </c>
    </row>
    <row r="27" spans="1:16" ht="27" customHeight="1" x14ac:dyDescent="0.25">
      <c r="A27" s="104" t="s">
        <v>55</v>
      </c>
      <c r="B27" s="195" t="s">
        <v>288</v>
      </c>
      <c r="C27" s="196"/>
      <c r="D27" s="196"/>
      <c r="E27" s="196"/>
      <c r="F27" s="196"/>
      <c r="G27" s="197"/>
      <c r="H27" s="222" t="s">
        <v>161</v>
      </c>
      <c r="I27" s="223"/>
      <c r="J27" s="223"/>
      <c r="K27" s="224"/>
      <c r="L27" s="222" t="s">
        <v>161</v>
      </c>
      <c r="M27" s="223"/>
      <c r="N27" s="223"/>
      <c r="O27" s="224"/>
      <c r="P27" s="99" t="s">
        <v>127</v>
      </c>
    </row>
    <row r="28" spans="1:16" ht="27.75" customHeight="1" x14ac:dyDescent="0.25">
      <c r="A28" s="104" t="s">
        <v>56</v>
      </c>
      <c r="B28" s="195" t="s">
        <v>136</v>
      </c>
      <c r="C28" s="196"/>
      <c r="D28" s="196"/>
      <c r="E28" s="196"/>
      <c r="F28" s="196"/>
      <c r="G28" s="197"/>
      <c r="H28" s="198" t="s">
        <v>192</v>
      </c>
      <c r="I28" s="198"/>
      <c r="J28" s="198"/>
      <c r="K28" s="198"/>
      <c r="L28" s="198" t="s">
        <v>192</v>
      </c>
      <c r="M28" s="198"/>
      <c r="N28" s="198"/>
      <c r="O28" s="198"/>
      <c r="P28" s="99" t="s">
        <v>127</v>
      </c>
    </row>
    <row r="29" spans="1:16" ht="26.25" customHeight="1" x14ac:dyDescent="0.25">
      <c r="A29" s="104" t="s">
        <v>57</v>
      </c>
      <c r="B29" s="195" t="s">
        <v>183</v>
      </c>
      <c r="C29" s="196"/>
      <c r="D29" s="196"/>
      <c r="E29" s="196"/>
      <c r="F29" s="196"/>
      <c r="G29" s="197"/>
      <c r="H29" s="195" t="s">
        <v>177</v>
      </c>
      <c r="I29" s="196"/>
      <c r="J29" s="196"/>
      <c r="K29" s="197"/>
      <c r="L29" s="195" t="s">
        <v>177</v>
      </c>
      <c r="M29" s="196"/>
      <c r="N29" s="196"/>
      <c r="O29" s="197"/>
      <c r="P29" s="99" t="s">
        <v>127</v>
      </c>
    </row>
    <row r="30" spans="1:16" ht="12.75" customHeight="1" x14ac:dyDescent="0.25">
      <c r="A30" s="104" t="s">
        <v>58</v>
      </c>
      <c r="B30" s="195"/>
      <c r="C30" s="196"/>
      <c r="D30" s="196"/>
      <c r="E30" s="196"/>
      <c r="F30" s="196"/>
      <c r="G30" s="197"/>
      <c r="H30" s="195"/>
      <c r="I30" s="196"/>
      <c r="J30" s="196"/>
      <c r="K30" s="197"/>
      <c r="L30" s="195"/>
      <c r="M30" s="196"/>
      <c r="N30" s="196"/>
      <c r="O30" s="197"/>
      <c r="P30" s="99"/>
    </row>
    <row r="31" spans="1:16" ht="12.75" customHeight="1" x14ac:dyDescent="0.25">
      <c r="A31" s="104" t="s">
        <v>129</v>
      </c>
      <c r="B31" s="195"/>
      <c r="C31" s="196"/>
      <c r="D31" s="196"/>
      <c r="E31" s="196"/>
      <c r="F31" s="196"/>
      <c r="G31" s="197"/>
      <c r="H31" s="195"/>
      <c r="I31" s="196"/>
      <c r="J31" s="196"/>
      <c r="K31" s="197"/>
      <c r="L31" s="195"/>
      <c r="M31" s="196"/>
      <c r="N31" s="196"/>
      <c r="O31" s="197"/>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B33:G33"/>
    <mergeCell ref="H33:K33"/>
    <mergeCell ref="L33:O3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95" priority="9" operator="equal">
      <formula>"Nok"</formula>
    </cfRule>
    <cfRule type="cellIs" dxfId="94" priority="10" operator="equal">
      <formula>"Ok"</formula>
    </cfRule>
  </conditionalFormatting>
  <conditionalFormatting sqref="P22:P28">
    <cfRule type="cellIs" dxfId="93" priority="7" operator="equal">
      <formula>"Nok"</formula>
    </cfRule>
    <cfRule type="cellIs" dxfId="92" priority="8" operator="equal">
      <formula>"Ok"</formula>
    </cfRule>
  </conditionalFormatting>
  <conditionalFormatting sqref="P32">
    <cfRule type="cellIs" dxfId="91" priority="5" operator="equal">
      <formula>"Nok"</formula>
    </cfRule>
    <cfRule type="cellIs" dxfId="90" priority="6" operator="equal">
      <formula>"Ok"</formula>
    </cfRule>
  </conditionalFormatting>
  <conditionalFormatting sqref="P29:P31">
    <cfRule type="cellIs" dxfId="89" priority="3" operator="equal">
      <formula>"Nok"</formula>
    </cfRule>
    <cfRule type="cellIs" dxfId="88" priority="4" operator="equal">
      <formula>"Ok"</formula>
    </cfRule>
  </conditionalFormatting>
  <conditionalFormatting sqref="P33">
    <cfRule type="cellIs" dxfId="87" priority="1" operator="equal">
      <formula>"Nok"</formula>
    </cfRule>
    <cfRule type="cellIs" dxfId="86" priority="2" operator="equal">
      <formula>"Ok"</formula>
    </cfRule>
  </conditionalFormatting>
  <dataValidations count="3">
    <dataValidation type="list" allowBlank="1" showInputMessage="1" showErrorMessage="1" sqref="B9" xr:uid="{A357CE5C-1EC6-4ECB-8406-16EE6D4C27EE}">
      <formula1>"Ok, Nok, Not run, NA"</formula1>
    </dataValidation>
    <dataValidation type="list" allowBlank="1" showInputMessage="1" showErrorMessage="1" sqref="B5" xr:uid="{A448CC0F-169C-4A8F-A498-80129A85F5EF}">
      <formula1>"Nominal, Robustness, Endurance, Qualification"</formula1>
    </dataValidation>
    <dataValidation type="list" allowBlank="1" showInputMessage="1" showErrorMessage="1" sqref="P22:P33" xr:uid="{9C4953AF-C0C8-428E-BF32-1291841EC9A1}">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66D7-6EB3-4A24-B22A-A88D1BF36A03}">
  <sheetPr codeName="Sheet16"/>
  <dimension ref="A1:P36"/>
  <sheetViews>
    <sheetView workbookViewId="0">
      <selection activeCell="B3" sqref="B3:G3"/>
    </sheetView>
  </sheetViews>
  <sheetFormatPr defaultColWidth="9.109375" defaultRowHeight="13.2" x14ac:dyDescent="0.25"/>
  <cols>
    <col min="1" max="1" width="20.109375" style="100" customWidth="1"/>
    <col min="2" max="2" width="18.44140625" style="97" customWidth="1"/>
    <col min="3" max="6" width="9.109375" style="97"/>
    <col min="7" max="7" width="14.5546875" style="97" customWidth="1"/>
    <col min="8" max="15" width="9.5546875" style="97" customWidth="1"/>
    <col min="16" max="16384" width="9.109375" style="97"/>
  </cols>
  <sheetData>
    <row r="1" spans="1:15" ht="13.8" thickBot="1" x14ac:dyDescent="0.3">
      <c r="A1" s="101" t="s">
        <v>41</v>
      </c>
      <c r="B1" s="213" t="s">
        <v>294</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295</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264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297</v>
      </c>
      <c r="C22" s="196"/>
      <c r="D22" s="196"/>
      <c r="E22" s="196"/>
      <c r="F22" s="196"/>
      <c r="G22" s="197"/>
      <c r="H22" s="198" t="s">
        <v>296</v>
      </c>
      <c r="I22" s="198"/>
      <c r="J22" s="198"/>
      <c r="K22" s="198"/>
      <c r="L22" s="198" t="s">
        <v>298</v>
      </c>
      <c r="M22" s="198"/>
      <c r="N22" s="198"/>
      <c r="O22" s="198"/>
      <c r="P22" s="99" t="s">
        <v>224</v>
      </c>
    </row>
    <row r="23" spans="1:16" ht="28.5" customHeight="1" x14ac:dyDescent="0.25">
      <c r="A23" s="104" t="s">
        <v>51</v>
      </c>
      <c r="B23" s="195" t="s">
        <v>302</v>
      </c>
      <c r="C23" s="196"/>
      <c r="D23" s="196"/>
      <c r="E23" s="196"/>
      <c r="F23" s="196"/>
      <c r="G23" s="197"/>
      <c r="H23" s="198" t="s">
        <v>296</v>
      </c>
      <c r="I23" s="198"/>
      <c r="J23" s="198"/>
      <c r="K23" s="198"/>
      <c r="L23" s="198" t="s">
        <v>299</v>
      </c>
      <c r="M23" s="198"/>
      <c r="N23" s="198"/>
      <c r="O23" s="198"/>
      <c r="P23" s="99" t="s">
        <v>127</v>
      </c>
    </row>
    <row r="24" spans="1:16" ht="39.75" customHeight="1" x14ac:dyDescent="0.25">
      <c r="A24" s="104" t="s">
        <v>52</v>
      </c>
      <c r="B24" s="195" t="s">
        <v>301</v>
      </c>
      <c r="C24" s="196"/>
      <c r="D24" s="196"/>
      <c r="E24" s="196"/>
      <c r="F24" s="196"/>
      <c r="G24" s="197"/>
      <c r="H24" s="198" t="s">
        <v>296</v>
      </c>
      <c r="I24" s="198"/>
      <c r="J24" s="198"/>
      <c r="K24" s="198"/>
      <c r="L24" s="198" t="s">
        <v>299</v>
      </c>
      <c r="M24" s="198"/>
      <c r="N24" s="198"/>
      <c r="O24" s="198"/>
      <c r="P24" s="99" t="s">
        <v>127</v>
      </c>
    </row>
    <row r="25" spans="1:16" ht="42" customHeight="1" x14ac:dyDescent="0.25">
      <c r="A25" s="104" t="s">
        <v>53</v>
      </c>
      <c r="B25" s="195" t="s">
        <v>303</v>
      </c>
      <c r="C25" s="196"/>
      <c r="D25" s="196"/>
      <c r="E25" s="196"/>
      <c r="F25" s="196"/>
      <c r="G25" s="197"/>
      <c r="H25" s="198" t="s">
        <v>239</v>
      </c>
      <c r="I25" s="198"/>
      <c r="J25" s="198"/>
      <c r="K25" s="198"/>
      <c r="L25" s="198" t="s">
        <v>298</v>
      </c>
      <c r="M25" s="198"/>
      <c r="N25" s="198"/>
      <c r="O25" s="198"/>
      <c r="P25" s="99" t="s">
        <v>224</v>
      </c>
    </row>
    <row r="26" spans="1:16" ht="35.25" customHeight="1" x14ac:dyDescent="0.25">
      <c r="A26" s="104" t="s">
        <v>54</v>
      </c>
      <c r="B26" s="195" t="s">
        <v>300</v>
      </c>
      <c r="C26" s="196"/>
      <c r="D26" s="196"/>
      <c r="E26" s="196"/>
      <c r="F26" s="196"/>
      <c r="G26" s="197"/>
      <c r="H26" s="198" t="s">
        <v>296</v>
      </c>
      <c r="I26" s="198"/>
      <c r="J26" s="198"/>
      <c r="K26" s="198"/>
      <c r="L26" s="198" t="s">
        <v>298</v>
      </c>
      <c r="M26" s="198"/>
      <c r="N26" s="198"/>
      <c r="O26" s="198"/>
      <c r="P26" s="99" t="s">
        <v>224</v>
      </c>
    </row>
    <row r="27" spans="1:16" ht="42" customHeight="1" x14ac:dyDescent="0.25">
      <c r="A27" s="104" t="s">
        <v>55</v>
      </c>
      <c r="B27" s="195" t="s">
        <v>304</v>
      </c>
      <c r="C27" s="196"/>
      <c r="D27" s="196"/>
      <c r="E27" s="196"/>
      <c r="F27" s="196"/>
      <c r="G27" s="197"/>
      <c r="H27" s="198" t="s">
        <v>239</v>
      </c>
      <c r="I27" s="198"/>
      <c r="J27" s="198"/>
      <c r="K27" s="198"/>
      <c r="L27" s="198" t="s">
        <v>298</v>
      </c>
      <c r="M27" s="198"/>
      <c r="N27" s="198"/>
      <c r="O27" s="198"/>
      <c r="P27" s="99" t="s">
        <v>224</v>
      </c>
    </row>
    <row r="28" spans="1:16" ht="35.25" customHeight="1" x14ac:dyDescent="0.25">
      <c r="A28" s="104" t="s">
        <v>56</v>
      </c>
      <c r="B28" s="195" t="s">
        <v>300</v>
      </c>
      <c r="C28" s="196"/>
      <c r="D28" s="196"/>
      <c r="E28" s="196"/>
      <c r="F28" s="196"/>
      <c r="G28" s="197"/>
      <c r="H28" s="198" t="s">
        <v>296</v>
      </c>
      <c r="I28" s="198"/>
      <c r="J28" s="198"/>
      <c r="K28" s="198"/>
      <c r="L28" s="198" t="s">
        <v>298</v>
      </c>
      <c r="M28" s="198"/>
      <c r="N28" s="198"/>
      <c r="O28" s="198"/>
      <c r="P28" s="99" t="s">
        <v>224</v>
      </c>
    </row>
    <row r="29" spans="1:16" ht="41.25" customHeight="1" x14ac:dyDescent="0.25">
      <c r="A29" s="104" t="s">
        <v>57</v>
      </c>
      <c r="B29" s="195" t="s">
        <v>305</v>
      </c>
      <c r="C29" s="196"/>
      <c r="D29" s="196"/>
      <c r="E29" s="196"/>
      <c r="F29" s="196"/>
      <c r="G29" s="197"/>
      <c r="H29" s="198" t="s">
        <v>239</v>
      </c>
      <c r="I29" s="198"/>
      <c r="J29" s="198"/>
      <c r="K29" s="198"/>
      <c r="L29" s="198" t="s">
        <v>298</v>
      </c>
      <c r="M29" s="198"/>
      <c r="N29" s="198"/>
      <c r="O29" s="198"/>
      <c r="P29" s="99" t="s">
        <v>224</v>
      </c>
    </row>
    <row r="30" spans="1:16" ht="35.25" customHeight="1" x14ac:dyDescent="0.25">
      <c r="A30" s="104" t="s">
        <v>58</v>
      </c>
      <c r="B30" s="195" t="s">
        <v>300</v>
      </c>
      <c r="C30" s="196"/>
      <c r="D30" s="196"/>
      <c r="E30" s="196"/>
      <c r="F30" s="196"/>
      <c r="G30" s="197"/>
      <c r="H30" s="198" t="s">
        <v>296</v>
      </c>
      <c r="I30" s="198"/>
      <c r="J30" s="198"/>
      <c r="K30" s="198"/>
      <c r="L30" s="198" t="s">
        <v>298</v>
      </c>
      <c r="M30" s="198"/>
      <c r="N30" s="198"/>
      <c r="O30" s="198"/>
      <c r="P30" s="99" t="s">
        <v>224</v>
      </c>
    </row>
    <row r="31" spans="1:16" ht="45" customHeight="1" x14ac:dyDescent="0.25">
      <c r="A31" s="104" t="s">
        <v>129</v>
      </c>
      <c r="B31" s="195" t="s">
        <v>306</v>
      </c>
      <c r="C31" s="196"/>
      <c r="D31" s="196"/>
      <c r="E31" s="196"/>
      <c r="F31" s="196"/>
      <c r="G31" s="197"/>
      <c r="H31" s="198" t="s">
        <v>239</v>
      </c>
      <c r="I31" s="198"/>
      <c r="J31" s="198"/>
      <c r="K31" s="198"/>
      <c r="L31" s="198" t="s">
        <v>298</v>
      </c>
      <c r="M31" s="198"/>
      <c r="N31" s="198"/>
      <c r="O31" s="198"/>
      <c r="P31" s="99" t="s">
        <v>224</v>
      </c>
    </row>
    <row r="32" spans="1:16" ht="35.25" customHeight="1" x14ac:dyDescent="0.25">
      <c r="A32" s="104" t="s">
        <v>130</v>
      </c>
      <c r="B32" s="195" t="s">
        <v>300</v>
      </c>
      <c r="C32" s="196"/>
      <c r="D32" s="196"/>
      <c r="E32" s="196"/>
      <c r="F32" s="196"/>
      <c r="G32" s="197"/>
      <c r="H32" s="198" t="s">
        <v>296</v>
      </c>
      <c r="I32" s="198"/>
      <c r="J32" s="198"/>
      <c r="K32" s="198"/>
      <c r="L32" s="198" t="s">
        <v>298</v>
      </c>
      <c r="M32" s="198"/>
      <c r="N32" s="198"/>
      <c r="O32" s="198"/>
      <c r="P32" s="99" t="s">
        <v>224</v>
      </c>
    </row>
    <row r="33" spans="1:16" ht="29.25" customHeight="1" x14ac:dyDescent="0.25">
      <c r="A33" s="104" t="s">
        <v>169</v>
      </c>
      <c r="B33" s="195" t="s">
        <v>307</v>
      </c>
      <c r="C33" s="196"/>
      <c r="D33" s="196"/>
      <c r="E33" s="196"/>
      <c r="F33" s="196"/>
      <c r="G33" s="197"/>
      <c r="H33" s="198" t="s">
        <v>296</v>
      </c>
      <c r="I33" s="198"/>
      <c r="J33" s="198"/>
      <c r="K33" s="198"/>
      <c r="L33" s="198" t="s">
        <v>299</v>
      </c>
      <c r="M33" s="198"/>
      <c r="N33" s="198"/>
      <c r="O33" s="198"/>
      <c r="P33" s="99" t="s">
        <v>127</v>
      </c>
    </row>
    <row r="34" spans="1:16" ht="29.25" customHeight="1" x14ac:dyDescent="0.25">
      <c r="A34" s="104" t="s">
        <v>170</v>
      </c>
      <c r="B34" s="195" t="s">
        <v>309</v>
      </c>
      <c r="C34" s="196"/>
      <c r="D34" s="196"/>
      <c r="E34" s="196"/>
      <c r="F34" s="196"/>
      <c r="G34" s="197"/>
      <c r="H34" s="198" t="s">
        <v>296</v>
      </c>
      <c r="I34" s="198"/>
      <c r="J34" s="198"/>
      <c r="K34" s="198"/>
      <c r="L34" s="198" t="s">
        <v>308</v>
      </c>
      <c r="M34" s="198"/>
      <c r="N34" s="198"/>
      <c r="O34" s="198"/>
      <c r="P34" s="99" t="s">
        <v>127</v>
      </c>
    </row>
    <row r="35" spans="1:16" ht="29.25" customHeight="1" x14ac:dyDescent="0.25">
      <c r="A35" s="104" t="s">
        <v>171</v>
      </c>
      <c r="B35" s="195" t="s">
        <v>310</v>
      </c>
      <c r="C35" s="196"/>
      <c r="D35" s="196"/>
      <c r="E35" s="196"/>
      <c r="F35" s="196"/>
      <c r="G35" s="197"/>
      <c r="H35" s="198" t="s">
        <v>296</v>
      </c>
      <c r="I35" s="198"/>
      <c r="J35" s="198"/>
      <c r="K35" s="198"/>
      <c r="L35" s="198" t="s">
        <v>299</v>
      </c>
      <c r="M35" s="198"/>
      <c r="N35" s="198"/>
      <c r="O35" s="198"/>
      <c r="P35" s="99" t="s">
        <v>127</v>
      </c>
    </row>
    <row r="36" spans="1:16" ht="29.25" customHeight="1" x14ac:dyDescent="0.25">
      <c r="A36" s="104" t="s">
        <v>172</v>
      </c>
      <c r="B36" s="195" t="s">
        <v>311</v>
      </c>
      <c r="C36" s="196"/>
      <c r="D36" s="196"/>
      <c r="E36" s="196"/>
      <c r="F36" s="196"/>
      <c r="G36" s="197"/>
      <c r="H36" s="198" t="s">
        <v>296</v>
      </c>
      <c r="I36" s="198"/>
      <c r="J36" s="198"/>
      <c r="K36" s="198"/>
      <c r="L36" s="198" t="s">
        <v>308</v>
      </c>
      <c r="M36" s="198"/>
      <c r="N36" s="198"/>
      <c r="O36" s="198"/>
      <c r="P36" s="99" t="s">
        <v>127</v>
      </c>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phoneticPr fontId="43" type="noConversion"/>
  <conditionalFormatting sqref="B9:B10">
    <cfRule type="cellIs" dxfId="85" priority="11" operator="equal">
      <formula>"Nok"</formula>
    </cfRule>
    <cfRule type="cellIs" dxfId="84" priority="12" operator="equal">
      <formula>"Ok"</formula>
    </cfRule>
  </conditionalFormatting>
  <conditionalFormatting sqref="P22:P32">
    <cfRule type="cellIs" dxfId="83" priority="9" operator="equal">
      <formula>"Nok"</formula>
    </cfRule>
    <cfRule type="cellIs" dxfId="82" priority="10" operator="equal">
      <formula>"Ok"</formula>
    </cfRule>
  </conditionalFormatting>
  <conditionalFormatting sqref="P33:P36">
    <cfRule type="cellIs" dxfId="81" priority="1" operator="equal">
      <formula>"Nok"</formula>
    </cfRule>
    <cfRule type="cellIs" dxfId="80" priority="2" operator="equal">
      <formula>"Ok"</formula>
    </cfRule>
  </conditionalFormatting>
  <dataValidations count="3">
    <dataValidation type="list" allowBlank="1" showInputMessage="1" showErrorMessage="1" sqref="B9" xr:uid="{B933B9F1-843B-457C-AB08-FDD30BC7D213}">
      <formula1>"Ok, Nok, Not run, NA"</formula1>
    </dataValidation>
    <dataValidation type="list" allowBlank="1" showInputMessage="1" showErrorMessage="1" sqref="B5" xr:uid="{B3BD5EA8-6BE5-4FE3-A59D-21E7996067EC}">
      <formula1>"Nominal, Robustness, Endurance, Qualification"</formula1>
    </dataValidation>
    <dataValidation type="list" allowBlank="1" showInputMessage="1" showErrorMessage="1" sqref="P22:P36" xr:uid="{A329A42E-2F02-4280-9A7B-C543C83BEFFC}">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9127D-CC18-4588-AD5F-25521E9AE7C9}">
  <sheetPr codeName="Sheet17"/>
  <dimension ref="A1:P34"/>
  <sheetViews>
    <sheetView workbookViewId="0">
      <selection activeCell="B3" sqref="B3:G3"/>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313</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315</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314</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316</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319</v>
      </c>
      <c r="M23" s="198"/>
      <c r="N23" s="198"/>
      <c r="O23" s="198"/>
      <c r="P23" s="99" t="s">
        <v>224</v>
      </c>
    </row>
    <row r="24" spans="1:16" ht="39.75" customHeight="1" x14ac:dyDescent="0.25">
      <c r="A24" s="104" t="s">
        <v>52</v>
      </c>
      <c r="B24" s="195" t="s">
        <v>320</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329</v>
      </c>
      <c r="I25" s="198"/>
      <c r="J25" s="198"/>
      <c r="K25" s="198"/>
      <c r="L25" s="198" t="s">
        <v>329</v>
      </c>
      <c r="M25" s="198"/>
      <c r="N25" s="198"/>
      <c r="O25" s="198"/>
      <c r="P25" s="99" t="s">
        <v>127</v>
      </c>
    </row>
    <row r="26" spans="1:16" ht="27" customHeight="1" x14ac:dyDescent="0.25">
      <c r="A26" s="104" t="s">
        <v>54</v>
      </c>
      <c r="B26" s="195" t="s">
        <v>321</v>
      </c>
      <c r="C26" s="196"/>
      <c r="D26" s="196"/>
      <c r="E26" s="196"/>
      <c r="F26" s="196"/>
      <c r="G26" s="197"/>
      <c r="H26" s="198" t="s">
        <v>161</v>
      </c>
      <c r="I26" s="198"/>
      <c r="J26" s="198"/>
      <c r="K26" s="198"/>
      <c r="L26" s="198" t="s">
        <v>161</v>
      </c>
      <c r="M26" s="198"/>
      <c r="N26" s="198"/>
      <c r="O26" s="198"/>
      <c r="P26" s="99" t="s">
        <v>127</v>
      </c>
    </row>
    <row r="27" spans="1:16" ht="27" customHeight="1" x14ac:dyDescent="0.25">
      <c r="A27" s="104" t="s">
        <v>55</v>
      </c>
      <c r="B27" s="195" t="s">
        <v>317</v>
      </c>
      <c r="C27" s="196"/>
      <c r="D27" s="196"/>
      <c r="E27" s="196"/>
      <c r="F27" s="196"/>
      <c r="G27" s="197"/>
      <c r="H27" s="198" t="s">
        <v>327</v>
      </c>
      <c r="I27" s="198"/>
      <c r="J27" s="198"/>
      <c r="K27" s="198"/>
      <c r="L27" s="198" t="s">
        <v>327</v>
      </c>
      <c r="M27" s="198"/>
      <c r="N27" s="198"/>
      <c r="O27" s="198"/>
      <c r="P27" s="99" t="s">
        <v>127</v>
      </c>
    </row>
    <row r="28" spans="1:16" ht="27.75" customHeight="1" x14ac:dyDescent="0.25">
      <c r="A28" s="104" t="s">
        <v>56</v>
      </c>
      <c r="B28" s="195"/>
      <c r="C28" s="196"/>
      <c r="D28" s="196"/>
      <c r="E28" s="196"/>
      <c r="F28" s="196"/>
      <c r="G28" s="197"/>
      <c r="H28" s="198"/>
      <c r="I28" s="198"/>
      <c r="J28" s="198"/>
      <c r="K28" s="198"/>
      <c r="L28" s="198"/>
      <c r="M28" s="198"/>
      <c r="N28" s="198"/>
      <c r="O28" s="198"/>
      <c r="P28" s="99"/>
    </row>
    <row r="29" spans="1:16" ht="26.25" customHeight="1" x14ac:dyDescent="0.25">
      <c r="A29" s="104" t="s">
        <v>57</v>
      </c>
      <c r="B29" s="195"/>
      <c r="C29" s="196"/>
      <c r="D29" s="196"/>
      <c r="E29" s="196"/>
      <c r="F29" s="196"/>
      <c r="G29" s="197"/>
      <c r="H29" s="195"/>
      <c r="I29" s="196"/>
      <c r="J29" s="196"/>
      <c r="K29" s="197"/>
      <c r="L29" s="195"/>
      <c r="M29" s="196"/>
      <c r="N29" s="196"/>
      <c r="O29" s="197"/>
      <c r="P29" s="99"/>
    </row>
    <row r="30" spans="1:16" ht="12.75" customHeight="1" x14ac:dyDescent="0.25">
      <c r="A30" s="104" t="s">
        <v>58</v>
      </c>
      <c r="B30" s="195"/>
      <c r="C30" s="196"/>
      <c r="D30" s="196"/>
      <c r="E30" s="196"/>
      <c r="F30" s="196"/>
      <c r="G30" s="197"/>
      <c r="H30" s="195"/>
      <c r="I30" s="196"/>
      <c r="J30" s="196"/>
      <c r="K30" s="197"/>
      <c r="L30" s="195"/>
      <c r="M30" s="196"/>
      <c r="N30" s="196"/>
      <c r="O30" s="197"/>
      <c r="P30" s="99"/>
    </row>
    <row r="31" spans="1:16" ht="12.75" customHeight="1" x14ac:dyDescent="0.25">
      <c r="A31" s="104" t="s">
        <v>129</v>
      </c>
      <c r="B31" s="195"/>
      <c r="C31" s="196"/>
      <c r="D31" s="196"/>
      <c r="E31" s="196"/>
      <c r="F31" s="196"/>
      <c r="G31" s="197"/>
      <c r="H31" s="195"/>
      <c r="I31" s="196"/>
      <c r="J31" s="196"/>
      <c r="K31" s="197"/>
      <c r="L31" s="195"/>
      <c r="M31" s="196"/>
      <c r="N31" s="196"/>
      <c r="O31" s="197"/>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79" priority="9" operator="equal">
      <formula>"Nok"</formula>
    </cfRule>
    <cfRule type="cellIs" dxfId="78" priority="10" operator="equal">
      <formula>"Ok"</formula>
    </cfRule>
  </conditionalFormatting>
  <conditionalFormatting sqref="P22:P28">
    <cfRule type="cellIs" dxfId="77" priority="7" operator="equal">
      <formula>"Nok"</formula>
    </cfRule>
    <cfRule type="cellIs" dxfId="76" priority="8" operator="equal">
      <formula>"Ok"</formula>
    </cfRule>
  </conditionalFormatting>
  <conditionalFormatting sqref="P32">
    <cfRule type="cellIs" dxfId="75" priority="5" operator="equal">
      <formula>"Nok"</formula>
    </cfRule>
    <cfRule type="cellIs" dxfId="74" priority="6" operator="equal">
      <formula>"Ok"</formula>
    </cfRule>
  </conditionalFormatting>
  <conditionalFormatting sqref="P29:P31">
    <cfRule type="cellIs" dxfId="73" priority="3" operator="equal">
      <formula>"Nok"</formula>
    </cfRule>
    <cfRule type="cellIs" dxfId="72" priority="4" operator="equal">
      <formula>"Ok"</formula>
    </cfRule>
  </conditionalFormatting>
  <conditionalFormatting sqref="P33">
    <cfRule type="cellIs" dxfId="71" priority="1" operator="equal">
      <formula>"Nok"</formula>
    </cfRule>
    <cfRule type="cellIs" dxfId="70" priority="2" operator="equal">
      <formula>"Ok"</formula>
    </cfRule>
  </conditionalFormatting>
  <dataValidations count="3">
    <dataValidation type="list" allowBlank="1" showInputMessage="1" showErrorMessage="1" sqref="P22:P33" xr:uid="{E7AC6092-C92B-4DAC-AF14-C01123444719}">
      <formula1>"Ok, Nok, Not run, ,"</formula1>
    </dataValidation>
    <dataValidation type="list" allowBlank="1" showInputMessage="1" showErrorMessage="1" sqref="B5" xr:uid="{3E35D0F1-2F59-428E-93D4-3847400A6C90}">
      <formula1>"Nominal, Robustness, Endurance, Qualification"</formula1>
    </dataValidation>
    <dataValidation type="list" allowBlank="1" showInputMessage="1" showErrorMessage="1" sqref="B9" xr:uid="{8FA49D4E-014F-4AEB-8FE1-60EC0E12B2CE}">
      <formula1>"Ok, Nok, Not run, NA"</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1C940-ACFA-42CF-BB2F-D4D89666623A}">
  <sheetPr codeName="Sheet18"/>
  <dimension ref="A1:P34"/>
  <sheetViews>
    <sheetView topLeftCell="A7" workbookViewId="0"/>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322</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377</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323</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326</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319</v>
      </c>
      <c r="M23" s="198"/>
      <c r="N23" s="198"/>
      <c r="O23" s="198"/>
      <c r="P23" s="99" t="s">
        <v>224</v>
      </c>
    </row>
    <row r="24" spans="1:16" ht="39.75" customHeight="1" x14ac:dyDescent="0.25">
      <c r="A24" s="104" t="s">
        <v>52</v>
      </c>
      <c r="B24" s="195" t="s">
        <v>324</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329</v>
      </c>
      <c r="I25" s="198"/>
      <c r="J25" s="198"/>
      <c r="K25" s="198"/>
      <c r="L25" s="198" t="s">
        <v>329</v>
      </c>
      <c r="M25" s="198"/>
      <c r="N25" s="198"/>
      <c r="O25" s="198"/>
      <c r="P25" s="99" t="s">
        <v>127</v>
      </c>
    </row>
    <row r="26" spans="1:16" ht="27" customHeight="1" x14ac:dyDescent="0.25">
      <c r="A26" s="104" t="s">
        <v>54</v>
      </c>
      <c r="B26" s="195" t="s">
        <v>325</v>
      </c>
      <c r="C26" s="196"/>
      <c r="D26" s="196"/>
      <c r="E26" s="196"/>
      <c r="F26" s="196"/>
      <c r="G26" s="197"/>
      <c r="H26" s="198" t="s">
        <v>161</v>
      </c>
      <c r="I26" s="198"/>
      <c r="J26" s="198"/>
      <c r="K26" s="198"/>
      <c r="L26" s="198" t="s">
        <v>161</v>
      </c>
      <c r="M26" s="198"/>
      <c r="N26" s="198"/>
      <c r="O26" s="198"/>
      <c r="P26" s="99" t="s">
        <v>127</v>
      </c>
    </row>
    <row r="27" spans="1:16" ht="27" customHeight="1" x14ac:dyDescent="0.25">
      <c r="A27" s="104" t="s">
        <v>55</v>
      </c>
      <c r="B27" s="195" t="s">
        <v>317</v>
      </c>
      <c r="C27" s="196"/>
      <c r="D27" s="196"/>
      <c r="E27" s="196"/>
      <c r="F27" s="196"/>
      <c r="G27" s="197"/>
      <c r="H27" s="198" t="s">
        <v>327</v>
      </c>
      <c r="I27" s="198"/>
      <c r="J27" s="198"/>
      <c r="K27" s="198"/>
      <c r="L27" s="198" t="s">
        <v>327</v>
      </c>
      <c r="M27" s="198"/>
      <c r="N27" s="198"/>
      <c r="O27" s="198"/>
      <c r="P27" s="99" t="s">
        <v>127</v>
      </c>
    </row>
    <row r="28" spans="1:16" ht="27.75" customHeight="1" x14ac:dyDescent="0.25">
      <c r="A28" s="104" t="s">
        <v>56</v>
      </c>
      <c r="B28" s="195" t="s">
        <v>343</v>
      </c>
      <c r="C28" s="196"/>
      <c r="D28" s="196"/>
      <c r="E28" s="196"/>
      <c r="F28" s="196"/>
      <c r="G28" s="197"/>
      <c r="H28" s="198" t="s">
        <v>161</v>
      </c>
      <c r="I28" s="198"/>
      <c r="J28" s="198"/>
      <c r="K28" s="198"/>
      <c r="L28" s="198" t="s">
        <v>161</v>
      </c>
      <c r="M28" s="198"/>
      <c r="N28" s="198"/>
      <c r="O28" s="198"/>
      <c r="P28" s="99" t="s">
        <v>127</v>
      </c>
    </row>
    <row r="29" spans="1:16" ht="26.25" customHeight="1" x14ac:dyDescent="0.25">
      <c r="A29" s="104" t="s">
        <v>57</v>
      </c>
      <c r="B29" s="195" t="s">
        <v>317</v>
      </c>
      <c r="C29" s="196"/>
      <c r="D29" s="196"/>
      <c r="E29" s="196"/>
      <c r="F29" s="196"/>
      <c r="G29" s="197"/>
      <c r="H29" s="198" t="s">
        <v>328</v>
      </c>
      <c r="I29" s="198"/>
      <c r="J29" s="198"/>
      <c r="K29" s="198"/>
      <c r="L29" s="198" t="s">
        <v>330</v>
      </c>
      <c r="M29" s="198"/>
      <c r="N29" s="198"/>
      <c r="O29" s="198"/>
      <c r="P29" s="99" t="s">
        <v>127</v>
      </c>
    </row>
    <row r="30" spans="1:16" ht="26.25" customHeight="1" x14ac:dyDescent="0.25">
      <c r="A30" s="104" t="s">
        <v>58</v>
      </c>
      <c r="B30" s="195" t="s">
        <v>331</v>
      </c>
      <c r="C30" s="196"/>
      <c r="D30" s="196"/>
      <c r="E30" s="196"/>
      <c r="F30" s="196"/>
      <c r="G30" s="197"/>
      <c r="H30" s="198" t="s">
        <v>161</v>
      </c>
      <c r="I30" s="198"/>
      <c r="J30" s="198"/>
      <c r="K30" s="198"/>
      <c r="L30" s="198" t="s">
        <v>161</v>
      </c>
      <c r="M30" s="198"/>
      <c r="N30" s="198"/>
      <c r="O30" s="198"/>
      <c r="P30" s="99" t="s">
        <v>127</v>
      </c>
    </row>
    <row r="31" spans="1:16" ht="26.25" customHeight="1" x14ac:dyDescent="0.25">
      <c r="A31" s="104" t="s">
        <v>129</v>
      </c>
      <c r="B31" s="195" t="s">
        <v>317</v>
      </c>
      <c r="C31" s="196"/>
      <c r="D31" s="196"/>
      <c r="E31" s="196"/>
      <c r="F31" s="196"/>
      <c r="G31" s="197"/>
      <c r="H31" s="198" t="s">
        <v>318</v>
      </c>
      <c r="I31" s="198"/>
      <c r="J31" s="198"/>
      <c r="K31" s="198"/>
      <c r="L31" s="198" t="s">
        <v>319</v>
      </c>
      <c r="M31" s="198"/>
      <c r="N31" s="198"/>
      <c r="O31" s="198"/>
      <c r="P31" s="99" t="s">
        <v>224</v>
      </c>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69" priority="13" operator="equal">
      <formula>"Nok"</formula>
    </cfRule>
    <cfRule type="cellIs" dxfId="68" priority="14" operator="equal">
      <formula>"Ok"</formula>
    </cfRule>
  </conditionalFormatting>
  <conditionalFormatting sqref="P22:P27">
    <cfRule type="cellIs" dxfId="67" priority="11" operator="equal">
      <formula>"Nok"</formula>
    </cfRule>
    <cfRule type="cellIs" dxfId="66" priority="12" operator="equal">
      <formula>"Ok"</formula>
    </cfRule>
  </conditionalFormatting>
  <conditionalFormatting sqref="P32">
    <cfRule type="cellIs" dxfId="65" priority="9" operator="equal">
      <formula>"Nok"</formula>
    </cfRule>
    <cfRule type="cellIs" dxfId="64" priority="10" operator="equal">
      <formula>"Ok"</formula>
    </cfRule>
  </conditionalFormatting>
  <conditionalFormatting sqref="P33">
    <cfRule type="cellIs" dxfId="63" priority="5" operator="equal">
      <formula>"Nok"</formula>
    </cfRule>
    <cfRule type="cellIs" dxfId="62" priority="6" operator="equal">
      <formula>"Ok"</formula>
    </cfRule>
  </conditionalFormatting>
  <conditionalFormatting sqref="P28:P29">
    <cfRule type="cellIs" dxfId="61" priority="3" operator="equal">
      <formula>"Nok"</formula>
    </cfRule>
    <cfRule type="cellIs" dxfId="60" priority="4" operator="equal">
      <formula>"Ok"</formula>
    </cfRule>
  </conditionalFormatting>
  <conditionalFormatting sqref="P30:P31">
    <cfRule type="cellIs" dxfId="59" priority="1" operator="equal">
      <formula>"Nok"</formula>
    </cfRule>
    <cfRule type="cellIs" dxfId="58" priority="2" operator="equal">
      <formula>"Ok"</formula>
    </cfRule>
  </conditionalFormatting>
  <dataValidations count="3">
    <dataValidation type="list" allowBlank="1" showInputMessage="1" showErrorMessage="1" sqref="B9" xr:uid="{7044C1AC-17E3-4794-A421-4F1AA4A2C3B2}">
      <formula1>"Ok, Nok, Not run, NA"</formula1>
    </dataValidation>
    <dataValidation type="list" allowBlank="1" showInputMessage="1" showErrorMessage="1" sqref="B5" xr:uid="{BA4C05C0-2B10-4E06-8B74-6751EBA4D6A0}">
      <formula1>"Nominal, Robustness, Endurance, Qualification"</formula1>
    </dataValidation>
    <dataValidation type="list" allowBlank="1" showInputMessage="1" showErrorMessage="1" sqref="P22:P33" xr:uid="{E68F3A2F-9A67-4373-9F65-8F0C3C9F71B5}">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D9E5-45F5-45B5-B308-180A60CA37B5}">
  <sheetPr codeName="Sheet19"/>
  <dimension ref="A1:P34"/>
  <sheetViews>
    <sheetView workbookViewId="0">
      <selection activeCell="F5" sqref="F5"/>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332</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378</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333</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336</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319</v>
      </c>
      <c r="M23" s="198"/>
      <c r="N23" s="198"/>
      <c r="O23" s="198"/>
      <c r="P23" s="99" t="s">
        <v>224</v>
      </c>
    </row>
    <row r="24" spans="1:16" ht="39.75" customHeight="1" x14ac:dyDescent="0.25">
      <c r="A24" s="104" t="s">
        <v>52</v>
      </c>
      <c r="B24" s="195" t="s">
        <v>334</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329</v>
      </c>
      <c r="I25" s="198"/>
      <c r="J25" s="198"/>
      <c r="K25" s="198"/>
      <c r="L25" s="198" t="s">
        <v>329</v>
      </c>
      <c r="M25" s="198"/>
      <c r="N25" s="198"/>
      <c r="O25" s="198"/>
      <c r="P25" s="99" t="s">
        <v>127</v>
      </c>
    </row>
    <row r="26" spans="1:16" ht="27" customHeight="1" x14ac:dyDescent="0.25">
      <c r="A26" s="104" t="s">
        <v>54</v>
      </c>
      <c r="B26" s="195" t="s">
        <v>335</v>
      </c>
      <c r="C26" s="196"/>
      <c r="D26" s="196"/>
      <c r="E26" s="196"/>
      <c r="F26" s="196"/>
      <c r="G26" s="197"/>
      <c r="H26" s="198" t="s">
        <v>161</v>
      </c>
      <c r="I26" s="198"/>
      <c r="J26" s="198"/>
      <c r="K26" s="198"/>
      <c r="L26" s="198" t="s">
        <v>161</v>
      </c>
      <c r="M26" s="198"/>
      <c r="N26" s="198"/>
      <c r="O26" s="198"/>
      <c r="P26" s="99" t="s">
        <v>127</v>
      </c>
    </row>
    <row r="27" spans="1:16" ht="27" customHeight="1" x14ac:dyDescent="0.25">
      <c r="A27" s="104" t="s">
        <v>55</v>
      </c>
      <c r="B27" s="195" t="s">
        <v>317</v>
      </c>
      <c r="C27" s="196"/>
      <c r="D27" s="196"/>
      <c r="E27" s="196"/>
      <c r="F27" s="196"/>
      <c r="G27" s="197"/>
      <c r="H27" s="198" t="s">
        <v>327</v>
      </c>
      <c r="I27" s="198"/>
      <c r="J27" s="198"/>
      <c r="K27" s="198"/>
      <c r="L27" s="198" t="s">
        <v>327</v>
      </c>
      <c r="M27" s="198"/>
      <c r="N27" s="198"/>
      <c r="O27" s="198"/>
      <c r="P27" s="99" t="s">
        <v>127</v>
      </c>
    </row>
    <row r="28" spans="1:16" ht="27.75" customHeight="1" x14ac:dyDescent="0.25">
      <c r="A28" s="104" t="s">
        <v>56</v>
      </c>
      <c r="B28" s="195"/>
      <c r="C28" s="196"/>
      <c r="D28" s="196"/>
      <c r="E28" s="196"/>
      <c r="F28" s="196"/>
      <c r="G28" s="197"/>
      <c r="H28" s="198"/>
      <c r="I28" s="198"/>
      <c r="J28" s="198"/>
      <c r="K28" s="198"/>
      <c r="L28" s="198"/>
      <c r="M28" s="198"/>
      <c r="N28" s="198"/>
      <c r="O28" s="198"/>
      <c r="P28" s="99"/>
    </row>
    <row r="29" spans="1:16" ht="26.25" customHeight="1" x14ac:dyDescent="0.25">
      <c r="A29" s="104" t="s">
        <v>57</v>
      </c>
      <c r="B29" s="195"/>
      <c r="C29" s="196"/>
      <c r="D29" s="196"/>
      <c r="E29" s="196"/>
      <c r="F29" s="196"/>
      <c r="G29" s="197"/>
      <c r="H29" s="195"/>
      <c r="I29" s="196"/>
      <c r="J29" s="196"/>
      <c r="K29" s="197"/>
      <c r="L29" s="195"/>
      <c r="M29" s="196"/>
      <c r="N29" s="196"/>
      <c r="O29" s="197"/>
      <c r="P29" s="99"/>
    </row>
    <row r="30" spans="1:16" ht="12.75" customHeight="1" x14ac:dyDescent="0.25">
      <c r="A30" s="104" t="s">
        <v>58</v>
      </c>
      <c r="B30" s="195"/>
      <c r="C30" s="196"/>
      <c r="D30" s="196"/>
      <c r="E30" s="196"/>
      <c r="F30" s="196"/>
      <c r="G30" s="197"/>
      <c r="H30" s="195"/>
      <c r="I30" s="196"/>
      <c r="J30" s="196"/>
      <c r="K30" s="197"/>
      <c r="L30" s="195"/>
      <c r="M30" s="196"/>
      <c r="N30" s="196"/>
      <c r="O30" s="197"/>
      <c r="P30" s="99"/>
    </row>
    <row r="31" spans="1:16" ht="12.75" customHeight="1" x14ac:dyDescent="0.25">
      <c r="A31" s="104" t="s">
        <v>129</v>
      </c>
      <c r="B31" s="195"/>
      <c r="C31" s="196"/>
      <c r="D31" s="196"/>
      <c r="E31" s="196"/>
      <c r="F31" s="196"/>
      <c r="G31" s="197"/>
      <c r="H31" s="195"/>
      <c r="I31" s="196"/>
      <c r="J31" s="196"/>
      <c r="K31" s="197"/>
      <c r="L31" s="195"/>
      <c r="M31" s="196"/>
      <c r="N31" s="196"/>
      <c r="O31" s="197"/>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57" priority="9" operator="equal">
      <formula>"Nok"</formula>
    </cfRule>
    <cfRule type="cellIs" dxfId="56" priority="10" operator="equal">
      <formula>"Ok"</formula>
    </cfRule>
  </conditionalFormatting>
  <conditionalFormatting sqref="P22:P28">
    <cfRule type="cellIs" dxfId="55" priority="7" operator="equal">
      <formula>"Nok"</formula>
    </cfRule>
    <cfRule type="cellIs" dxfId="54" priority="8" operator="equal">
      <formula>"Ok"</formula>
    </cfRule>
  </conditionalFormatting>
  <conditionalFormatting sqref="P32">
    <cfRule type="cellIs" dxfId="53" priority="5" operator="equal">
      <formula>"Nok"</formula>
    </cfRule>
    <cfRule type="cellIs" dxfId="52" priority="6" operator="equal">
      <formula>"Ok"</formula>
    </cfRule>
  </conditionalFormatting>
  <conditionalFormatting sqref="P29:P31">
    <cfRule type="cellIs" dxfId="51" priority="3" operator="equal">
      <formula>"Nok"</formula>
    </cfRule>
    <cfRule type="cellIs" dxfId="50" priority="4" operator="equal">
      <formula>"Ok"</formula>
    </cfRule>
  </conditionalFormatting>
  <conditionalFormatting sqref="P33">
    <cfRule type="cellIs" dxfId="49" priority="1" operator="equal">
      <formula>"Nok"</formula>
    </cfRule>
    <cfRule type="cellIs" dxfId="48" priority="2" operator="equal">
      <formula>"Ok"</formula>
    </cfRule>
  </conditionalFormatting>
  <dataValidations count="3">
    <dataValidation type="list" allowBlank="1" showInputMessage="1" showErrorMessage="1" sqref="B9" xr:uid="{AE967C8C-D818-4D07-9338-585507D2E464}">
      <formula1>"Ok, Nok, Not run, NA"</formula1>
    </dataValidation>
    <dataValidation type="list" allowBlank="1" showInputMessage="1" showErrorMessage="1" sqref="B5" xr:uid="{35DD23CB-62E4-423F-A81C-D6A6DAF80598}">
      <formula1>"Nominal, Robustness, Endurance, Qualification"</formula1>
    </dataValidation>
    <dataValidation type="list" allowBlank="1" showInputMessage="1" showErrorMessage="1" sqref="P22:P33" xr:uid="{F660DF47-E501-4333-85CD-0ABAD379D5BB}">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99E26-9C22-44E9-988B-D4903F788321}">
  <sheetPr codeName="Sheet20"/>
  <dimension ref="A1:P34"/>
  <sheetViews>
    <sheetView topLeftCell="A7" workbookViewId="0">
      <selection activeCell="F6" sqref="F6"/>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337</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379</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338</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339</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362</v>
      </c>
      <c r="M23" s="198"/>
      <c r="N23" s="198"/>
      <c r="O23" s="198"/>
      <c r="P23" s="99" t="s">
        <v>224</v>
      </c>
    </row>
    <row r="24" spans="1:16" ht="39.75" customHeight="1" x14ac:dyDescent="0.25">
      <c r="A24" s="104" t="s">
        <v>52</v>
      </c>
      <c r="B24" s="195" t="s">
        <v>340</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341</v>
      </c>
      <c r="I25" s="198"/>
      <c r="J25" s="198"/>
      <c r="K25" s="198"/>
      <c r="L25" s="198" t="s">
        <v>341</v>
      </c>
      <c r="M25" s="198"/>
      <c r="N25" s="198"/>
      <c r="O25" s="198"/>
      <c r="P25" s="99" t="s">
        <v>127</v>
      </c>
    </row>
    <row r="26" spans="1:16" ht="27" customHeight="1" x14ac:dyDescent="0.25">
      <c r="A26" s="104" t="s">
        <v>54</v>
      </c>
      <c r="B26" s="195" t="s">
        <v>342</v>
      </c>
      <c r="C26" s="196"/>
      <c r="D26" s="196"/>
      <c r="E26" s="196"/>
      <c r="F26" s="196"/>
      <c r="G26" s="197"/>
      <c r="H26" s="198" t="s">
        <v>161</v>
      </c>
      <c r="I26" s="198"/>
      <c r="J26" s="198"/>
      <c r="K26" s="198"/>
      <c r="L26" s="198" t="s">
        <v>161</v>
      </c>
      <c r="M26" s="198"/>
      <c r="N26" s="198"/>
      <c r="O26" s="198"/>
      <c r="P26" s="99" t="s">
        <v>127</v>
      </c>
    </row>
    <row r="27" spans="1:16" ht="27" customHeight="1" x14ac:dyDescent="0.25">
      <c r="A27" s="104" t="s">
        <v>55</v>
      </c>
      <c r="B27" s="195" t="s">
        <v>317</v>
      </c>
      <c r="C27" s="196"/>
      <c r="D27" s="196"/>
      <c r="E27" s="196"/>
      <c r="F27" s="196"/>
      <c r="G27" s="197"/>
      <c r="H27" s="198" t="s">
        <v>327</v>
      </c>
      <c r="I27" s="198"/>
      <c r="J27" s="198"/>
      <c r="K27" s="198"/>
      <c r="L27" s="198" t="s">
        <v>327</v>
      </c>
      <c r="M27" s="198"/>
      <c r="N27" s="198"/>
      <c r="O27" s="198"/>
      <c r="P27" s="99" t="s">
        <v>127</v>
      </c>
    </row>
    <row r="28" spans="1:16" ht="27.75" customHeight="1" x14ac:dyDescent="0.25">
      <c r="A28" s="104" t="s">
        <v>56</v>
      </c>
      <c r="B28" s="195" t="s">
        <v>344</v>
      </c>
      <c r="C28" s="196"/>
      <c r="D28" s="196"/>
      <c r="E28" s="196"/>
      <c r="F28" s="196"/>
      <c r="G28" s="197"/>
      <c r="H28" s="198" t="s">
        <v>161</v>
      </c>
      <c r="I28" s="198"/>
      <c r="J28" s="198"/>
      <c r="K28" s="198"/>
      <c r="L28" s="198" t="s">
        <v>161</v>
      </c>
      <c r="M28" s="198"/>
      <c r="N28" s="198"/>
      <c r="O28" s="198"/>
      <c r="P28" s="99" t="s">
        <v>127</v>
      </c>
    </row>
    <row r="29" spans="1:16" ht="26.25" customHeight="1" x14ac:dyDescent="0.25">
      <c r="A29" s="104" t="s">
        <v>57</v>
      </c>
      <c r="B29" s="195" t="s">
        <v>317</v>
      </c>
      <c r="C29" s="196"/>
      <c r="D29" s="196"/>
      <c r="E29" s="196"/>
      <c r="F29" s="196"/>
      <c r="G29" s="197"/>
      <c r="H29" s="198" t="s">
        <v>347</v>
      </c>
      <c r="I29" s="198"/>
      <c r="J29" s="198"/>
      <c r="K29" s="198"/>
      <c r="L29" s="198" t="s">
        <v>347</v>
      </c>
      <c r="M29" s="198"/>
      <c r="N29" s="198"/>
      <c r="O29" s="198"/>
      <c r="P29" s="99" t="s">
        <v>127</v>
      </c>
    </row>
    <row r="30" spans="1:16" ht="26.25" customHeight="1" x14ac:dyDescent="0.25">
      <c r="A30" s="104" t="s">
        <v>58</v>
      </c>
      <c r="B30" s="195" t="s">
        <v>345</v>
      </c>
      <c r="C30" s="196"/>
      <c r="D30" s="196"/>
      <c r="E30" s="196"/>
      <c r="F30" s="196"/>
      <c r="G30" s="197"/>
      <c r="H30" s="198" t="s">
        <v>161</v>
      </c>
      <c r="I30" s="198"/>
      <c r="J30" s="198"/>
      <c r="K30" s="198"/>
      <c r="L30" s="198" t="s">
        <v>161</v>
      </c>
      <c r="M30" s="198"/>
      <c r="N30" s="198"/>
      <c r="O30" s="198"/>
      <c r="P30" s="99" t="s">
        <v>127</v>
      </c>
    </row>
    <row r="31" spans="1:16" ht="26.25" customHeight="1" x14ac:dyDescent="0.25">
      <c r="A31" s="104" t="s">
        <v>129</v>
      </c>
      <c r="B31" s="195" t="s">
        <v>317</v>
      </c>
      <c r="C31" s="196"/>
      <c r="D31" s="196"/>
      <c r="E31" s="196"/>
      <c r="F31" s="196"/>
      <c r="G31" s="197"/>
      <c r="H31" s="198" t="s">
        <v>346</v>
      </c>
      <c r="I31" s="198"/>
      <c r="J31" s="198"/>
      <c r="K31" s="198"/>
      <c r="L31" s="198" t="s">
        <v>346</v>
      </c>
      <c r="M31" s="198"/>
      <c r="N31" s="198"/>
      <c r="O31" s="198"/>
      <c r="P31" s="99" t="s">
        <v>127</v>
      </c>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47" priority="11" operator="equal">
      <formula>"Nok"</formula>
    </cfRule>
    <cfRule type="cellIs" dxfId="46" priority="12" operator="equal">
      <formula>"Ok"</formula>
    </cfRule>
  </conditionalFormatting>
  <conditionalFormatting sqref="P22:P27">
    <cfRule type="cellIs" dxfId="45" priority="9" operator="equal">
      <formula>"Nok"</formula>
    </cfRule>
    <cfRule type="cellIs" dxfId="44" priority="10" operator="equal">
      <formula>"Ok"</formula>
    </cfRule>
  </conditionalFormatting>
  <conditionalFormatting sqref="P32">
    <cfRule type="cellIs" dxfId="43" priority="7" operator="equal">
      <formula>"Nok"</formula>
    </cfRule>
    <cfRule type="cellIs" dxfId="42" priority="8" operator="equal">
      <formula>"Ok"</formula>
    </cfRule>
  </conditionalFormatting>
  <conditionalFormatting sqref="P33">
    <cfRule type="cellIs" dxfId="41" priority="5" operator="equal">
      <formula>"Nok"</formula>
    </cfRule>
    <cfRule type="cellIs" dxfId="40" priority="6" operator="equal">
      <formula>"Ok"</formula>
    </cfRule>
  </conditionalFormatting>
  <conditionalFormatting sqref="P28:P29">
    <cfRule type="cellIs" dxfId="39" priority="3" operator="equal">
      <formula>"Nok"</formula>
    </cfRule>
    <cfRule type="cellIs" dxfId="38" priority="4" operator="equal">
      <formula>"Ok"</formula>
    </cfRule>
  </conditionalFormatting>
  <conditionalFormatting sqref="P30:P31">
    <cfRule type="cellIs" dxfId="37" priority="1" operator="equal">
      <formula>"Nok"</formula>
    </cfRule>
    <cfRule type="cellIs" dxfId="36" priority="2" operator="equal">
      <formula>"Ok"</formula>
    </cfRule>
  </conditionalFormatting>
  <dataValidations count="3">
    <dataValidation type="list" allowBlank="1" showInputMessage="1" showErrorMessage="1" sqref="P22:P33" xr:uid="{74353BD9-17A5-435B-8C80-FF8256A4A2D0}">
      <formula1>"Ok, Nok, Not run, ,"</formula1>
    </dataValidation>
    <dataValidation type="list" allowBlank="1" showInputMessage="1" showErrorMessage="1" sqref="B5" xr:uid="{83C2A6F6-35E6-4136-BCD8-F9329BA7EEDF}">
      <formula1>"Nominal, Robustness, Endurance, Qualification"</formula1>
    </dataValidation>
    <dataValidation type="list" allowBlank="1" showInputMessage="1" showErrorMessage="1" sqref="B9" xr:uid="{F4EDB421-6C31-46CA-B312-DE7B8EB40778}">
      <formula1>"Ok, Nok, Not run, NA"</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A40F9-8EB6-4395-8B5B-1ADE6A640F80}">
  <sheetPr codeName="Sheet21"/>
  <dimension ref="A1:P34"/>
  <sheetViews>
    <sheetView topLeftCell="A4" workbookViewId="0">
      <selection activeCell="H25" sqref="H25:K25"/>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348</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349</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350</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351</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319</v>
      </c>
      <c r="M23" s="198"/>
      <c r="N23" s="198"/>
      <c r="O23" s="198"/>
      <c r="P23" s="99" t="s">
        <v>224</v>
      </c>
    </row>
    <row r="24" spans="1:16" ht="39.75" customHeight="1" x14ac:dyDescent="0.25">
      <c r="A24" s="104" t="s">
        <v>52</v>
      </c>
      <c r="B24" s="195" t="s">
        <v>352</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353</v>
      </c>
      <c r="I25" s="198"/>
      <c r="J25" s="198"/>
      <c r="K25" s="198"/>
      <c r="L25" s="198" t="s">
        <v>354</v>
      </c>
      <c r="M25" s="198"/>
      <c r="N25" s="198"/>
      <c r="O25" s="198"/>
      <c r="P25" s="99" t="s">
        <v>224</v>
      </c>
    </row>
    <row r="26" spans="1:16" ht="27" customHeight="1" x14ac:dyDescent="0.25">
      <c r="A26" s="104" t="s">
        <v>54</v>
      </c>
      <c r="B26" s="195" t="s">
        <v>355</v>
      </c>
      <c r="C26" s="196"/>
      <c r="D26" s="196"/>
      <c r="E26" s="196"/>
      <c r="F26" s="196"/>
      <c r="G26" s="197"/>
      <c r="H26" s="198" t="s">
        <v>161</v>
      </c>
      <c r="I26" s="198"/>
      <c r="J26" s="198"/>
      <c r="K26" s="198"/>
      <c r="L26" s="198" t="s">
        <v>161</v>
      </c>
      <c r="M26" s="198"/>
      <c r="N26" s="198"/>
      <c r="O26" s="198"/>
      <c r="P26" s="99" t="s">
        <v>127</v>
      </c>
    </row>
    <row r="27" spans="1:16" ht="27" customHeight="1" x14ac:dyDescent="0.25">
      <c r="A27" s="104" t="s">
        <v>55</v>
      </c>
      <c r="B27" s="195" t="s">
        <v>317</v>
      </c>
      <c r="C27" s="196"/>
      <c r="D27" s="196"/>
      <c r="E27" s="196"/>
      <c r="F27" s="196"/>
      <c r="G27" s="197"/>
      <c r="H27" s="198" t="s">
        <v>356</v>
      </c>
      <c r="I27" s="198"/>
      <c r="J27" s="198"/>
      <c r="K27" s="198"/>
      <c r="L27" s="198" t="s">
        <v>356</v>
      </c>
      <c r="M27" s="198"/>
      <c r="N27" s="198"/>
      <c r="O27" s="198"/>
      <c r="P27" s="99" t="s">
        <v>127</v>
      </c>
    </row>
    <row r="28" spans="1:16" ht="27.75" customHeight="1" x14ac:dyDescent="0.25">
      <c r="A28" s="104" t="s">
        <v>56</v>
      </c>
      <c r="B28" s="195"/>
      <c r="C28" s="196"/>
      <c r="D28" s="196"/>
      <c r="E28" s="196"/>
      <c r="F28" s="196"/>
      <c r="G28" s="197"/>
      <c r="H28" s="198"/>
      <c r="I28" s="198"/>
      <c r="J28" s="198"/>
      <c r="K28" s="198"/>
      <c r="L28" s="198"/>
      <c r="M28" s="198"/>
      <c r="N28" s="198"/>
      <c r="O28" s="198"/>
      <c r="P28" s="99"/>
    </row>
    <row r="29" spans="1:16" ht="26.25" customHeight="1" x14ac:dyDescent="0.25">
      <c r="A29" s="104" t="s">
        <v>57</v>
      </c>
      <c r="B29" s="195"/>
      <c r="C29" s="196"/>
      <c r="D29" s="196"/>
      <c r="E29" s="196"/>
      <c r="F29" s="196"/>
      <c r="G29" s="197"/>
      <c r="H29" s="198"/>
      <c r="I29" s="198"/>
      <c r="J29" s="198"/>
      <c r="K29" s="198"/>
      <c r="L29" s="198"/>
      <c r="M29" s="198"/>
      <c r="N29" s="198"/>
      <c r="O29" s="198"/>
      <c r="P29" s="99"/>
    </row>
    <row r="30" spans="1:16" ht="26.25" customHeight="1" x14ac:dyDescent="0.25">
      <c r="A30" s="104" t="s">
        <v>58</v>
      </c>
      <c r="B30" s="195"/>
      <c r="C30" s="196"/>
      <c r="D30" s="196"/>
      <c r="E30" s="196"/>
      <c r="F30" s="196"/>
      <c r="G30" s="197"/>
      <c r="H30" s="198"/>
      <c r="I30" s="198"/>
      <c r="J30" s="198"/>
      <c r="K30" s="198"/>
      <c r="L30" s="198"/>
      <c r="M30" s="198"/>
      <c r="N30" s="198"/>
      <c r="O30" s="198"/>
      <c r="P30" s="99"/>
    </row>
    <row r="31" spans="1:16" ht="26.25" customHeight="1" x14ac:dyDescent="0.25">
      <c r="A31" s="104" t="s">
        <v>129</v>
      </c>
      <c r="B31" s="195"/>
      <c r="C31" s="196"/>
      <c r="D31" s="196"/>
      <c r="E31" s="196"/>
      <c r="F31" s="196"/>
      <c r="G31" s="197"/>
      <c r="H31" s="198"/>
      <c r="I31" s="198"/>
      <c r="J31" s="198"/>
      <c r="K31" s="198"/>
      <c r="L31" s="198"/>
      <c r="M31" s="198"/>
      <c r="N31" s="198"/>
      <c r="O31" s="198"/>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B33:G33"/>
    <mergeCell ref="H33:K33"/>
    <mergeCell ref="L33:O3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35" priority="11" operator="equal">
      <formula>"Nok"</formula>
    </cfRule>
    <cfRule type="cellIs" dxfId="34" priority="12" operator="equal">
      <formula>"Ok"</formula>
    </cfRule>
  </conditionalFormatting>
  <conditionalFormatting sqref="P22:P27">
    <cfRule type="cellIs" dxfId="33" priority="9" operator="equal">
      <formula>"Nok"</formula>
    </cfRule>
    <cfRule type="cellIs" dxfId="32" priority="10" operator="equal">
      <formula>"Ok"</formula>
    </cfRule>
  </conditionalFormatting>
  <conditionalFormatting sqref="P32">
    <cfRule type="cellIs" dxfId="31" priority="7" operator="equal">
      <formula>"Nok"</formula>
    </cfRule>
    <cfRule type="cellIs" dxfId="30" priority="8" operator="equal">
      <formula>"Ok"</formula>
    </cfRule>
  </conditionalFormatting>
  <conditionalFormatting sqref="P33">
    <cfRule type="cellIs" dxfId="29" priority="5" operator="equal">
      <formula>"Nok"</formula>
    </cfRule>
    <cfRule type="cellIs" dxfId="28" priority="6" operator="equal">
      <formula>"Ok"</formula>
    </cfRule>
  </conditionalFormatting>
  <conditionalFormatting sqref="P28:P29">
    <cfRule type="cellIs" dxfId="27" priority="3" operator="equal">
      <formula>"Nok"</formula>
    </cfRule>
    <cfRule type="cellIs" dxfId="26" priority="4" operator="equal">
      <formula>"Ok"</formula>
    </cfRule>
  </conditionalFormatting>
  <conditionalFormatting sqref="P30:P31">
    <cfRule type="cellIs" dxfId="25" priority="1" operator="equal">
      <formula>"Nok"</formula>
    </cfRule>
    <cfRule type="cellIs" dxfId="24" priority="2" operator="equal">
      <formula>"Ok"</formula>
    </cfRule>
  </conditionalFormatting>
  <dataValidations count="3">
    <dataValidation type="list" allowBlank="1" showInputMessage="1" showErrorMessage="1" sqref="B9" xr:uid="{9D608376-905A-4A1B-BCAE-DFF85269D4F5}">
      <formula1>"Ok, Nok, Not run, NA"</formula1>
    </dataValidation>
    <dataValidation type="list" allowBlank="1" showInputMessage="1" showErrorMessage="1" sqref="B5" xr:uid="{BD9290F8-F3C1-4BF5-B6F7-0522DFDF3B1A}">
      <formula1>"Nominal, Robustness, Endurance, Qualification"</formula1>
    </dataValidation>
    <dataValidation type="list" allowBlank="1" showInputMessage="1" showErrorMessage="1" sqref="P22:P33" xr:uid="{38FFA688-C148-43A9-8E9D-257E3888F43A}">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A2F3C-DCE6-4DC6-BB06-B5121DE32E67}">
  <sheetPr codeName="Sheet22"/>
  <dimension ref="A1:P34"/>
  <sheetViews>
    <sheetView workbookViewId="0">
      <selection activeCell="B3" sqref="B3:G3"/>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357</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380</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358</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359</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317</v>
      </c>
      <c r="C23" s="196"/>
      <c r="D23" s="196"/>
      <c r="E23" s="196"/>
      <c r="F23" s="196"/>
      <c r="G23" s="197"/>
      <c r="H23" s="198" t="s">
        <v>318</v>
      </c>
      <c r="I23" s="198"/>
      <c r="J23" s="198"/>
      <c r="K23" s="198"/>
      <c r="L23" s="198" t="s">
        <v>319</v>
      </c>
      <c r="M23" s="198"/>
      <c r="N23" s="198"/>
      <c r="O23" s="198"/>
      <c r="P23" s="99" t="s">
        <v>224</v>
      </c>
    </row>
    <row r="24" spans="1:16" ht="39.75" customHeight="1" x14ac:dyDescent="0.25">
      <c r="A24" s="104" t="s">
        <v>52</v>
      </c>
      <c r="B24" s="195" t="s">
        <v>360</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361</v>
      </c>
      <c r="I25" s="198"/>
      <c r="J25" s="198"/>
      <c r="K25" s="198"/>
      <c r="L25" s="198" t="s">
        <v>361</v>
      </c>
      <c r="M25" s="198"/>
      <c r="N25" s="198"/>
      <c r="O25" s="198"/>
      <c r="P25" s="99" t="s">
        <v>127</v>
      </c>
    </row>
    <row r="26" spans="1:16" ht="27" customHeight="1" x14ac:dyDescent="0.25">
      <c r="A26" s="104" t="s">
        <v>54</v>
      </c>
      <c r="B26" s="195"/>
      <c r="C26" s="196"/>
      <c r="D26" s="196"/>
      <c r="E26" s="196"/>
      <c r="F26" s="196"/>
      <c r="G26" s="197"/>
      <c r="H26" s="198"/>
      <c r="I26" s="198"/>
      <c r="J26" s="198"/>
      <c r="K26" s="198"/>
      <c r="L26" s="198"/>
      <c r="M26" s="198"/>
      <c r="N26" s="198"/>
      <c r="O26" s="198"/>
      <c r="P26" s="99"/>
    </row>
    <row r="27" spans="1:16" ht="27" customHeight="1" x14ac:dyDescent="0.25">
      <c r="A27" s="104" t="s">
        <v>55</v>
      </c>
      <c r="B27" s="195"/>
      <c r="C27" s="196"/>
      <c r="D27" s="196"/>
      <c r="E27" s="196"/>
      <c r="F27" s="196"/>
      <c r="G27" s="197"/>
      <c r="H27" s="198"/>
      <c r="I27" s="198"/>
      <c r="J27" s="198"/>
      <c r="K27" s="198"/>
      <c r="L27" s="198"/>
      <c r="M27" s="198"/>
      <c r="N27" s="198"/>
      <c r="O27" s="198"/>
      <c r="P27" s="99"/>
    </row>
    <row r="28" spans="1:16" ht="27.75" customHeight="1" x14ac:dyDescent="0.25">
      <c r="A28" s="104" t="s">
        <v>56</v>
      </c>
      <c r="B28" s="195"/>
      <c r="C28" s="196"/>
      <c r="D28" s="196"/>
      <c r="E28" s="196"/>
      <c r="F28" s="196"/>
      <c r="G28" s="197"/>
      <c r="H28" s="198"/>
      <c r="I28" s="198"/>
      <c r="J28" s="198"/>
      <c r="K28" s="198"/>
      <c r="L28" s="198"/>
      <c r="M28" s="198"/>
      <c r="N28" s="198"/>
      <c r="O28" s="198"/>
      <c r="P28" s="99"/>
    </row>
    <row r="29" spans="1:16" ht="26.25" customHeight="1" x14ac:dyDescent="0.25">
      <c r="A29" s="104" t="s">
        <v>57</v>
      </c>
      <c r="B29" s="195"/>
      <c r="C29" s="196"/>
      <c r="D29" s="196"/>
      <c r="E29" s="196"/>
      <c r="F29" s="196"/>
      <c r="G29" s="197"/>
      <c r="H29" s="198"/>
      <c r="I29" s="198"/>
      <c r="J29" s="198"/>
      <c r="K29" s="198"/>
      <c r="L29" s="198"/>
      <c r="M29" s="198"/>
      <c r="N29" s="198"/>
      <c r="O29" s="198"/>
      <c r="P29" s="99"/>
    </row>
    <row r="30" spans="1:16" ht="26.25" customHeight="1" x14ac:dyDescent="0.25">
      <c r="A30" s="104" t="s">
        <v>58</v>
      </c>
      <c r="B30" s="195"/>
      <c r="C30" s="196"/>
      <c r="D30" s="196"/>
      <c r="E30" s="196"/>
      <c r="F30" s="196"/>
      <c r="G30" s="197"/>
      <c r="H30" s="198"/>
      <c r="I30" s="198"/>
      <c r="J30" s="198"/>
      <c r="K30" s="198"/>
      <c r="L30" s="198"/>
      <c r="M30" s="198"/>
      <c r="N30" s="198"/>
      <c r="O30" s="198"/>
      <c r="P30" s="99"/>
    </row>
    <row r="31" spans="1:16" ht="26.25" customHeight="1" x14ac:dyDescent="0.25">
      <c r="A31" s="104" t="s">
        <v>129</v>
      </c>
      <c r="B31" s="195"/>
      <c r="C31" s="196"/>
      <c r="D31" s="196"/>
      <c r="E31" s="196"/>
      <c r="F31" s="196"/>
      <c r="G31" s="197"/>
      <c r="H31" s="198"/>
      <c r="I31" s="198"/>
      <c r="J31" s="198"/>
      <c r="K31" s="198"/>
      <c r="L31" s="198"/>
      <c r="M31" s="198"/>
      <c r="N31" s="198"/>
      <c r="O31" s="198"/>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B33:G33"/>
    <mergeCell ref="H33:K33"/>
    <mergeCell ref="L33:O33"/>
    <mergeCell ref="B31:G31"/>
    <mergeCell ref="H31:K31"/>
    <mergeCell ref="L31:O31"/>
    <mergeCell ref="B32:G32"/>
    <mergeCell ref="H32:K32"/>
    <mergeCell ref="L32:O32"/>
    <mergeCell ref="B29:G29"/>
    <mergeCell ref="H29:K29"/>
    <mergeCell ref="L29:O29"/>
    <mergeCell ref="B30:G30"/>
    <mergeCell ref="H30:K30"/>
    <mergeCell ref="L30:O30"/>
    <mergeCell ref="B27:G27"/>
    <mergeCell ref="H27:K27"/>
    <mergeCell ref="L27:O27"/>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23" priority="11" operator="equal">
      <formula>"Nok"</formula>
    </cfRule>
    <cfRule type="cellIs" dxfId="22" priority="12" operator="equal">
      <formula>"Ok"</formula>
    </cfRule>
  </conditionalFormatting>
  <conditionalFormatting sqref="P22:P27">
    <cfRule type="cellIs" dxfId="21" priority="9" operator="equal">
      <formula>"Nok"</formula>
    </cfRule>
    <cfRule type="cellIs" dxfId="20" priority="10" operator="equal">
      <formula>"Ok"</formula>
    </cfRule>
  </conditionalFormatting>
  <conditionalFormatting sqref="P32">
    <cfRule type="cellIs" dxfId="19" priority="7" operator="equal">
      <formula>"Nok"</formula>
    </cfRule>
    <cfRule type="cellIs" dxfId="18" priority="8" operator="equal">
      <formula>"Ok"</formula>
    </cfRule>
  </conditionalFormatting>
  <conditionalFormatting sqref="P33">
    <cfRule type="cellIs" dxfId="17" priority="5" operator="equal">
      <formula>"Nok"</formula>
    </cfRule>
    <cfRule type="cellIs" dxfId="16" priority="6" operator="equal">
      <formula>"Ok"</formula>
    </cfRule>
  </conditionalFormatting>
  <conditionalFormatting sqref="P28:P29">
    <cfRule type="cellIs" dxfId="15" priority="3" operator="equal">
      <formula>"Nok"</formula>
    </cfRule>
    <cfRule type="cellIs" dxfId="14" priority="4" operator="equal">
      <formula>"Ok"</formula>
    </cfRule>
  </conditionalFormatting>
  <conditionalFormatting sqref="P30:P31">
    <cfRule type="cellIs" dxfId="13" priority="1" operator="equal">
      <formula>"Nok"</formula>
    </cfRule>
    <cfRule type="cellIs" dxfId="12" priority="2" operator="equal">
      <formula>"Ok"</formula>
    </cfRule>
  </conditionalFormatting>
  <dataValidations count="3">
    <dataValidation type="list" allowBlank="1" showInputMessage="1" showErrorMessage="1" sqref="P22:P33" xr:uid="{6DDE801F-EF33-4E95-A572-F8DF85153B70}">
      <formula1>"Ok, Nok, Not run, ,"</formula1>
    </dataValidation>
    <dataValidation type="list" allowBlank="1" showInputMessage="1" showErrorMessage="1" sqref="B5" xr:uid="{9071B2A9-F2B8-4899-B5AF-A5D5A1B53CEF}">
      <formula1>"Nominal, Robustness, Endurance, Qualification"</formula1>
    </dataValidation>
    <dataValidation type="list" allowBlank="1" showInputMessage="1" showErrorMessage="1" sqref="B9" xr:uid="{097F9105-6D39-4893-980E-E9C6E1A73426}">
      <formula1>"Ok, Nok, Not run, NA"</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5263E-9214-49D8-8011-F0EF76D0F3D7}">
  <sheetPr codeName="Sheet23"/>
  <dimension ref="A1:P34"/>
  <sheetViews>
    <sheetView workbookViewId="0">
      <selection activeCell="B26" sqref="B26:G26"/>
    </sheetView>
  </sheetViews>
  <sheetFormatPr defaultColWidth="9.109375" defaultRowHeight="13.2" x14ac:dyDescent="0.25"/>
  <cols>
    <col min="1" max="1" width="20.109375" style="100" customWidth="1"/>
    <col min="2" max="2" width="18.44140625" style="97" customWidth="1"/>
    <col min="3" max="6" width="9.109375" style="97"/>
    <col min="7" max="7" width="10.5546875" style="97" customWidth="1"/>
    <col min="8" max="15" width="9.5546875" style="97" customWidth="1"/>
    <col min="16" max="16384" width="9.109375" style="97"/>
  </cols>
  <sheetData>
    <row r="1" spans="1:15" ht="13.8" thickBot="1" x14ac:dyDescent="0.3">
      <c r="A1" s="101" t="s">
        <v>41</v>
      </c>
      <c r="B1" s="213" t="s">
        <v>371</v>
      </c>
      <c r="C1" s="214"/>
      <c r="D1" s="214"/>
      <c r="E1" s="214"/>
      <c r="F1" s="214"/>
      <c r="G1" s="215"/>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46</v>
      </c>
      <c r="B3" s="219" t="s">
        <v>372</v>
      </c>
      <c r="C3" s="220"/>
      <c r="D3" s="220"/>
      <c r="E3" s="220"/>
      <c r="F3" s="220"/>
      <c r="G3" s="221"/>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110</v>
      </c>
      <c r="B5" s="77" t="s">
        <v>126</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42</v>
      </c>
      <c r="B7" s="216" t="s">
        <v>358</v>
      </c>
      <c r="C7" s="217"/>
      <c r="D7" s="217"/>
      <c r="E7" s="217"/>
      <c r="F7" s="217"/>
      <c r="G7" s="218"/>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43</v>
      </c>
      <c r="B9" s="105" t="s">
        <v>224</v>
      </c>
      <c r="C9" s="73"/>
      <c r="D9" s="74"/>
      <c r="E9" s="74"/>
      <c r="F9" s="74"/>
      <c r="G9" s="74"/>
      <c r="H9" s="74"/>
      <c r="I9" s="74"/>
      <c r="J9" s="74"/>
      <c r="K9" s="74"/>
      <c r="L9" s="74"/>
      <c r="M9" s="74"/>
      <c r="N9" s="74"/>
      <c r="O9" s="74"/>
    </row>
    <row r="10" spans="1:15" ht="13.8" thickBot="1" x14ac:dyDescent="0.3">
      <c r="A10" s="76"/>
      <c r="B10" s="98"/>
      <c r="C10" s="73"/>
      <c r="D10" s="74"/>
      <c r="E10" s="74"/>
      <c r="F10" s="74"/>
      <c r="G10" s="74"/>
      <c r="H10" s="74"/>
      <c r="I10" s="74"/>
      <c r="J10" s="74"/>
      <c r="K10" s="74"/>
      <c r="L10" s="74"/>
      <c r="M10" s="74"/>
      <c r="N10" s="74"/>
      <c r="O10" s="74"/>
    </row>
    <row r="11" spans="1:15" ht="12" customHeight="1" x14ac:dyDescent="0.25">
      <c r="A11" s="202" t="s">
        <v>112</v>
      </c>
      <c r="B11" s="204" t="s">
        <v>133</v>
      </c>
      <c r="C11" s="205"/>
      <c r="D11" s="205"/>
      <c r="E11" s="205"/>
      <c r="F11" s="205"/>
      <c r="G11" s="206"/>
      <c r="H11" s="74"/>
      <c r="I11" s="74"/>
      <c r="J11" s="74"/>
      <c r="K11" s="74"/>
      <c r="L11" s="74"/>
      <c r="M11" s="74"/>
      <c r="N11" s="74"/>
      <c r="O11" s="74"/>
    </row>
    <row r="12" spans="1:15" x14ac:dyDescent="0.25">
      <c r="A12" s="203"/>
      <c r="B12" s="207"/>
      <c r="C12" s="208"/>
      <c r="D12" s="208"/>
      <c r="E12" s="208"/>
      <c r="F12" s="208"/>
      <c r="G12" s="209"/>
      <c r="H12" s="74"/>
      <c r="I12" s="74"/>
      <c r="J12" s="74"/>
      <c r="K12" s="74"/>
      <c r="L12" s="74"/>
      <c r="M12" s="74"/>
      <c r="N12" s="74"/>
      <c r="O12" s="74"/>
    </row>
    <row r="13" spans="1:15" x14ac:dyDescent="0.25">
      <c r="A13" s="203"/>
      <c r="B13" s="207"/>
      <c r="C13" s="208"/>
      <c r="D13" s="208"/>
      <c r="E13" s="208"/>
      <c r="F13" s="208"/>
      <c r="G13" s="209"/>
      <c r="H13" s="72"/>
      <c r="I13" s="74"/>
      <c r="J13" s="74"/>
      <c r="K13" s="74"/>
      <c r="L13" s="74"/>
      <c r="M13" s="74"/>
      <c r="N13" s="74"/>
      <c r="O13" s="74"/>
    </row>
    <row r="14" spans="1:15" ht="13.8" thickBot="1" x14ac:dyDescent="0.3">
      <c r="A14" s="203"/>
      <c r="B14" s="210"/>
      <c r="C14" s="211"/>
      <c r="D14" s="211"/>
      <c r="E14" s="211"/>
      <c r="F14" s="211"/>
      <c r="G14" s="212"/>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2" t="s">
        <v>44</v>
      </c>
      <c r="B16" s="204" t="s">
        <v>128</v>
      </c>
      <c r="C16" s="205"/>
      <c r="D16" s="205"/>
      <c r="E16" s="205"/>
      <c r="F16" s="205"/>
      <c r="G16" s="206"/>
      <c r="H16" s="74"/>
      <c r="I16" s="74"/>
      <c r="J16" s="74"/>
      <c r="K16" s="74"/>
      <c r="L16" s="74"/>
      <c r="M16" s="74"/>
      <c r="N16" s="74"/>
      <c r="O16" s="74"/>
    </row>
    <row r="17" spans="1:16" x14ac:dyDescent="0.25">
      <c r="A17" s="203"/>
      <c r="B17" s="207"/>
      <c r="C17" s="208"/>
      <c r="D17" s="208"/>
      <c r="E17" s="208"/>
      <c r="F17" s="208"/>
      <c r="G17" s="209"/>
      <c r="H17" s="74"/>
      <c r="I17" s="74"/>
      <c r="J17" s="74"/>
      <c r="K17" s="74"/>
      <c r="L17" s="74"/>
      <c r="M17" s="74"/>
      <c r="N17" s="74"/>
      <c r="O17" s="74"/>
    </row>
    <row r="18" spans="1:16" x14ac:dyDescent="0.25">
      <c r="A18" s="203"/>
      <c r="B18" s="207"/>
      <c r="C18" s="208"/>
      <c r="D18" s="208"/>
      <c r="E18" s="208"/>
      <c r="F18" s="208"/>
      <c r="G18" s="209"/>
      <c r="H18" s="72"/>
      <c r="I18" s="74"/>
      <c r="J18" s="74"/>
      <c r="K18" s="74"/>
      <c r="L18" s="74"/>
      <c r="M18" s="74"/>
      <c r="N18" s="74"/>
      <c r="O18" s="74"/>
    </row>
    <row r="19" spans="1:16" ht="13.8" thickBot="1" x14ac:dyDescent="0.3">
      <c r="A19" s="203"/>
      <c r="B19" s="210"/>
      <c r="C19" s="211"/>
      <c r="D19" s="211"/>
      <c r="E19" s="211"/>
      <c r="F19" s="211"/>
      <c r="G19" s="212"/>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9" t="s">
        <v>48</v>
      </c>
      <c r="B21" s="200"/>
      <c r="C21" s="200"/>
      <c r="D21" s="200"/>
      <c r="E21" s="200"/>
      <c r="F21" s="200"/>
      <c r="G21" s="201"/>
      <c r="H21" s="199" t="s">
        <v>49</v>
      </c>
      <c r="I21" s="200"/>
      <c r="J21" s="200"/>
      <c r="K21" s="201"/>
      <c r="L21" s="199" t="s">
        <v>60</v>
      </c>
      <c r="M21" s="200"/>
      <c r="N21" s="200"/>
      <c r="O21" s="201"/>
      <c r="P21" s="103" t="s">
        <v>47</v>
      </c>
    </row>
    <row r="22" spans="1:16" ht="25.5" customHeight="1" x14ac:dyDescent="0.25">
      <c r="A22" s="104" t="s">
        <v>50</v>
      </c>
      <c r="B22" s="195" t="s">
        <v>373</v>
      </c>
      <c r="C22" s="196"/>
      <c r="D22" s="196"/>
      <c r="E22" s="196"/>
      <c r="F22" s="196"/>
      <c r="G22" s="197"/>
      <c r="H22" s="198" t="s">
        <v>161</v>
      </c>
      <c r="I22" s="198"/>
      <c r="J22" s="198"/>
      <c r="K22" s="198"/>
      <c r="L22" s="198" t="s">
        <v>161</v>
      </c>
      <c r="M22" s="198"/>
      <c r="N22" s="198"/>
      <c r="O22" s="198"/>
      <c r="P22" s="99" t="s">
        <v>127</v>
      </c>
    </row>
    <row r="23" spans="1:16" ht="28.5" customHeight="1" x14ac:dyDescent="0.25">
      <c r="A23" s="104" t="s">
        <v>51</v>
      </c>
      <c r="B23" s="195" t="s">
        <v>374</v>
      </c>
      <c r="C23" s="196"/>
      <c r="D23" s="196"/>
      <c r="E23" s="196"/>
      <c r="F23" s="196"/>
      <c r="G23" s="197"/>
      <c r="H23" s="198" t="s">
        <v>375</v>
      </c>
      <c r="I23" s="198"/>
      <c r="J23" s="198"/>
      <c r="K23" s="198"/>
      <c r="L23" s="198" t="s">
        <v>376</v>
      </c>
      <c r="M23" s="198"/>
      <c r="N23" s="198"/>
      <c r="O23" s="198"/>
      <c r="P23" s="99" t="s">
        <v>224</v>
      </c>
    </row>
    <row r="24" spans="1:16" ht="39.75" customHeight="1" x14ac:dyDescent="0.25">
      <c r="A24" s="104" t="s">
        <v>52</v>
      </c>
      <c r="B24" s="195" t="s">
        <v>360</v>
      </c>
      <c r="C24" s="196"/>
      <c r="D24" s="196"/>
      <c r="E24" s="196"/>
      <c r="F24" s="196"/>
      <c r="G24" s="197"/>
      <c r="H24" s="198" t="s">
        <v>161</v>
      </c>
      <c r="I24" s="198"/>
      <c r="J24" s="198"/>
      <c r="K24" s="198"/>
      <c r="L24" s="198" t="s">
        <v>161</v>
      </c>
      <c r="M24" s="198"/>
      <c r="N24" s="198"/>
      <c r="O24" s="198"/>
      <c r="P24" s="99" t="s">
        <v>127</v>
      </c>
    </row>
    <row r="25" spans="1:16" ht="27" customHeight="1" x14ac:dyDescent="0.25">
      <c r="A25" s="104" t="s">
        <v>53</v>
      </c>
      <c r="B25" s="195" t="s">
        <v>317</v>
      </c>
      <c r="C25" s="196"/>
      <c r="D25" s="196"/>
      <c r="E25" s="196"/>
      <c r="F25" s="196"/>
      <c r="G25" s="197"/>
      <c r="H25" s="198" t="s">
        <v>361</v>
      </c>
      <c r="I25" s="198"/>
      <c r="J25" s="198"/>
      <c r="K25" s="198"/>
      <c r="L25" s="198" t="s">
        <v>361</v>
      </c>
      <c r="M25" s="198"/>
      <c r="N25" s="198"/>
      <c r="O25" s="198"/>
      <c r="P25" s="99" t="s">
        <v>127</v>
      </c>
    </row>
    <row r="26" spans="1:16" ht="27" customHeight="1" x14ac:dyDescent="0.25">
      <c r="A26" s="104" t="s">
        <v>54</v>
      </c>
      <c r="B26" s="195"/>
      <c r="C26" s="196"/>
      <c r="D26" s="196"/>
      <c r="E26" s="196"/>
      <c r="F26" s="196"/>
      <c r="G26" s="197"/>
      <c r="H26" s="198"/>
      <c r="I26" s="198"/>
      <c r="J26" s="198"/>
      <c r="K26" s="198"/>
      <c r="L26" s="198"/>
      <c r="M26" s="198"/>
      <c r="N26" s="198"/>
      <c r="O26" s="198"/>
      <c r="P26" s="99"/>
    </row>
    <row r="27" spans="1:16" ht="27" customHeight="1" x14ac:dyDescent="0.25">
      <c r="A27" s="104" t="s">
        <v>55</v>
      </c>
      <c r="B27" s="195"/>
      <c r="C27" s="196"/>
      <c r="D27" s="196"/>
      <c r="E27" s="196"/>
      <c r="F27" s="196"/>
      <c r="G27" s="197"/>
      <c r="H27" s="198"/>
      <c r="I27" s="198"/>
      <c r="J27" s="198"/>
      <c r="K27" s="198"/>
      <c r="L27" s="198"/>
      <c r="M27" s="198"/>
      <c r="N27" s="198"/>
      <c r="O27" s="198"/>
      <c r="P27" s="99"/>
    </row>
    <row r="28" spans="1:16" ht="27.75" customHeight="1" x14ac:dyDescent="0.25">
      <c r="A28" s="104" t="s">
        <v>56</v>
      </c>
      <c r="B28" s="195"/>
      <c r="C28" s="196"/>
      <c r="D28" s="196"/>
      <c r="E28" s="196"/>
      <c r="F28" s="196"/>
      <c r="G28" s="197"/>
      <c r="H28" s="198"/>
      <c r="I28" s="198"/>
      <c r="J28" s="198"/>
      <c r="K28" s="198"/>
      <c r="L28" s="198"/>
      <c r="M28" s="198"/>
      <c r="N28" s="198"/>
      <c r="O28" s="198"/>
      <c r="P28" s="99"/>
    </row>
    <row r="29" spans="1:16" ht="26.25" customHeight="1" x14ac:dyDescent="0.25">
      <c r="A29" s="104" t="s">
        <v>57</v>
      </c>
      <c r="B29" s="195"/>
      <c r="C29" s="196"/>
      <c r="D29" s="196"/>
      <c r="E29" s="196"/>
      <c r="F29" s="196"/>
      <c r="G29" s="197"/>
      <c r="H29" s="198"/>
      <c r="I29" s="198"/>
      <c r="J29" s="198"/>
      <c r="K29" s="198"/>
      <c r="L29" s="198"/>
      <c r="M29" s="198"/>
      <c r="N29" s="198"/>
      <c r="O29" s="198"/>
      <c r="P29" s="99"/>
    </row>
    <row r="30" spans="1:16" ht="26.25" customHeight="1" x14ac:dyDescent="0.25">
      <c r="A30" s="104" t="s">
        <v>58</v>
      </c>
      <c r="B30" s="195"/>
      <c r="C30" s="196"/>
      <c r="D30" s="196"/>
      <c r="E30" s="196"/>
      <c r="F30" s="196"/>
      <c r="G30" s="197"/>
      <c r="H30" s="198"/>
      <c r="I30" s="198"/>
      <c r="J30" s="198"/>
      <c r="K30" s="198"/>
      <c r="L30" s="198"/>
      <c r="M30" s="198"/>
      <c r="N30" s="198"/>
      <c r="O30" s="198"/>
      <c r="P30" s="99"/>
    </row>
    <row r="31" spans="1:16" ht="26.25" customHeight="1" x14ac:dyDescent="0.25">
      <c r="A31" s="104" t="s">
        <v>129</v>
      </c>
      <c r="B31" s="195"/>
      <c r="C31" s="196"/>
      <c r="D31" s="196"/>
      <c r="E31" s="196"/>
      <c r="F31" s="196"/>
      <c r="G31" s="197"/>
      <c r="H31" s="198"/>
      <c r="I31" s="198"/>
      <c r="J31" s="198"/>
      <c r="K31" s="198"/>
      <c r="L31" s="198"/>
      <c r="M31" s="198"/>
      <c r="N31" s="198"/>
      <c r="O31" s="198"/>
      <c r="P31" s="99"/>
    </row>
    <row r="32" spans="1:16" ht="28.5" customHeight="1" x14ac:dyDescent="0.25">
      <c r="A32" s="104" t="s">
        <v>130</v>
      </c>
      <c r="B32" s="195"/>
      <c r="C32" s="196"/>
      <c r="D32" s="196"/>
      <c r="E32" s="196"/>
      <c r="F32" s="196"/>
      <c r="G32" s="197"/>
      <c r="H32" s="195"/>
      <c r="I32" s="196"/>
      <c r="J32" s="196"/>
      <c r="K32" s="197"/>
      <c r="L32" s="195"/>
      <c r="M32" s="196"/>
      <c r="N32" s="196"/>
      <c r="O32" s="197"/>
      <c r="P32" s="99"/>
    </row>
    <row r="33" spans="1:16" ht="30" customHeight="1" x14ac:dyDescent="0.25">
      <c r="A33" s="104" t="s">
        <v>169</v>
      </c>
      <c r="B33" s="195"/>
      <c r="C33" s="196"/>
      <c r="D33" s="196"/>
      <c r="E33" s="196"/>
      <c r="F33" s="196"/>
      <c r="G33" s="197"/>
      <c r="H33" s="222"/>
      <c r="I33" s="223"/>
      <c r="J33" s="223"/>
      <c r="K33" s="224"/>
      <c r="L33" s="222"/>
      <c r="M33" s="223"/>
      <c r="N33" s="223"/>
      <c r="O33" s="224"/>
      <c r="P33" s="99"/>
    </row>
    <row r="34" spans="1:16" x14ac:dyDescent="0.25">
      <c r="A34" s="97"/>
    </row>
  </sheetData>
  <mergeCells count="46">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3:G33"/>
    <mergeCell ref="H33:K33"/>
    <mergeCell ref="L33:O33"/>
    <mergeCell ref="B31:G31"/>
    <mergeCell ref="H31:K31"/>
    <mergeCell ref="L31:O31"/>
    <mergeCell ref="B32:G32"/>
    <mergeCell ref="H32:K32"/>
    <mergeCell ref="L32:O32"/>
  </mergeCells>
  <conditionalFormatting sqref="B9:B10">
    <cfRule type="cellIs" dxfId="11" priority="11" operator="equal">
      <formula>"Nok"</formula>
    </cfRule>
    <cfRule type="cellIs" dxfId="10" priority="12" operator="equal">
      <formula>"Ok"</formula>
    </cfRule>
  </conditionalFormatting>
  <conditionalFormatting sqref="P22:P27">
    <cfRule type="cellIs" dxfId="9" priority="9" operator="equal">
      <formula>"Nok"</formula>
    </cfRule>
    <cfRule type="cellIs" dxfId="8" priority="10" operator="equal">
      <formula>"Ok"</formula>
    </cfRule>
  </conditionalFormatting>
  <conditionalFormatting sqref="P32">
    <cfRule type="cellIs" dxfId="7" priority="7" operator="equal">
      <formula>"Nok"</formula>
    </cfRule>
    <cfRule type="cellIs" dxfId="6" priority="8" operator="equal">
      <formula>"Ok"</formula>
    </cfRule>
  </conditionalFormatting>
  <conditionalFormatting sqref="P33">
    <cfRule type="cellIs" dxfId="5" priority="5" operator="equal">
      <formula>"Nok"</formula>
    </cfRule>
    <cfRule type="cellIs" dxfId="4" priority="6" operator="equal">
      <formula>"Ok"</formula>
    </cfRule>
  </conditionalFormatting>
  <conditionalFormatting sqref="P28:P29">
    <cfRule type="cellIs" dxfId="3" priority="3" operator="equal">
      <formula>"Nok"</formula>
    </cfRule>
    <cfRule type="cellIs" dxfId="2" priority="4" operator="equal">
      <formula>"Ok"</formula>
    </cfRule>
  </conditionalFormatting>
  <conditionalFormatting sqref="P30:P31">
    <cfRule type="cellIs" dxfId="1" priority="1" operator="equal">
      <formula>"Nok"</formula>
    </cfRule>
    <cfRule type="cellIs" dxfId="0" priority="2" operator="equal">
      <formula>"Ok"</formula>
    </cfRule>
  </conditionalFormatting>
  <dataValidations count="3">
    <dataValidation type="list" allowBlank="1" showInputMessage="1" showErrorMessage="1" sqref="B9" xr:uid="{9292FA42-AA35-4126-84FF-86ABC475DE1D}">
      <formula1>"Ok, Nok, Not run, NA"</formula1>
    </dataValidation>
    <dataValidation type="list" allowBlank="1" showInputMessage="1" showErrorMessage="1" sqref="B5" xr:uid="{A42A213F-9336-4F1F-93D0-E31EC0E2BB20}">
      <formula1>"Nominal, Robustness, Endurance, Qualification"</formula1>
    </dataValidation>
    <dataValidation type="list" allowBlank="1" showInputMessage="1" showErrorMessage="1" sqref="P22:P33" xr:uid="{2B280902-6318-4A1E-BEE9-FAC87D68E60D}">
      <formula1>"Ok, Nok, Not run, ,"</formula1>
    </dataValidation>
  </dataValidations>
  <pageMargins left="0.7" right="0.7" top="0.75" bottom="0.75" header="0.3" footer="0.3"/>
  <pageSetup paperSize="9" orientation="portrait" r:id="rId1"/>
  <headerFooter>
    <oddFooter>&amp;LTBD ver 1.2&amp;R&amp;P</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H30" sqref="H30"/>
    </sheetView>
  </sheetViews>
  <sheetFormatPr defaultColWidth="9.109375" defaultRowHeight="14.4" x14ac:dyDescent="0.3"/>
  <cols>
    <col min="1" max="1" width="4.33203125" style="79" customWidth="1"/>
    <col min="2" max="2" width="24.88671875" style="79" customWidth="1"/>
    <col min="3" max="3" width="4.5546875" style="79" customWidth="1"/>
    <col min="4" max="4" width="4.44140625" style="79" customWidth="1"/>
    <col min="5" max="5" width="29.88671875" style="79" bestFit="1" customWidth="1"/>
    <col min="6" max="6" width="7.6640625" style="79" bestFit="1" customWidth="1"/>
    <col min="7" max="16384" width="9.109375" style="79"/>
  </cols>
  <sheetData>
    <row r="2" spans="2:6" x14ac:dyDescent="0.3">
      <c r="B2" s="80" t="s">
        <v>61</v>
      </c>
      <c r="C2" s="80">
        <f ca="1">COUNTIF('Tests Synthesis'!K3:K46, "Ok")</f>
        <v>7</v>
      </c>
      <c r="E2" s="81" t="s">
        <v>62</v>
      </c>
      <c r="F2" s="82">
        <f ca="1">IF(C6=0,0,C2/C6)</f>
        <v>0.4375</v>
      </c>
    </row>
    <row r="3" spans="2:6" x14ac:dyDescent="0.3">
      <c r="B3" s="80" t="s">
        <v>63</v>
      </c>
      <c r="C3" s="80">
        <f ca="1">COUNTIF('Tests Synthesis'!K3:K46, "Nok")</f>
        <v>9</v>
      </c>
      <c r="E3" s="81" t="s">
        <v>64</v>
      </c>
      <c r="F3" s="82">
        <f ca="1">IF(C6=0,0,C3/C6)</f>
        <v>0.5625</v>
      </c>
    </row>
    <row r="4" spans="2:6" x14ac:dyDescent="0.3">
      <c r="B4" s="80" t="s">
        <v>65</v>
      </c>
      <c r="C4" s="80">
        <f ca="1">COUNTIF('Tests Synthesis'!K3:K46, "not run")</f>
        <v>0</v>
      </c>
      <c r="E4" s="80" t="s">
        <v>66</v>
      </c>
      <c r="F4" s="82">
        <f ca="1">IF(C6=0,0,C4/C6)</f>
        <v>0</v>
      </c>
    </row>
    <row r="5" spans="2:6" x14ac:dyDescent="0.3">
      <c r="B5" s="80" t="s">
        <v>117</v>
      </c>
      <c r="C5" s="80">
        <f ca="1">COUNTIF('Tests Synthesis'!K4:K47, "NA")</f>
        <v>0</v>
      </c>
      <c r="E5" s="80" t="s">
        <v>118</v>
      </c>
      <c r="F5" s="82">
        <f>IF(C7=0,0,C5/C7)</f>
        <v>0</v>
      </c>
    </row>
    <row r="6" spans="2:6" x14ac:dyDescent="0.3">
      <c r="B6" s="80" t="s">
        <v>67</v>
      </c>
      <c r="C6" s="80">
        <f ca="1">SUM(C2:C4)</f>
        <v>16</v>
      </c>
    </row>
  </sheetData>
  <pageMargins left="0.7" right="0.7" top="0.75" bottom="0.75" header="0.3" footer="0.3"/>
  <pageSetup paperSize="9" orientation="portrait" r:id="rId1"/>
  <headerFooter>
    <oddFooter>&amp;LTBD ver 1.2&amp;R&amp;P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FrontPage</vt:lpstr>
      <vt:lpstr>General info</vt:lpstr>
      <vt:lpstr>Guide (help)</vt:lpstr>
      <vt:lpstr>Tests Synthesis</vt:lpstr>
      <vt:lpstr>SW_IT_PAL_001</vt:lpstr>
      <vt:lpstr>SW_IT_PAL_002</vt:lpstr>
      <vt:lpstr>SW_IT_PAL_003</vt:lpstr>
      <vt:lpstr>SW_IT_PAL_004</vt:lpstr>
      <vt:lpstr>SW_IT_PAL_005</vt:lpstr>
      <vt:lpstr>SW_IT_PAL_006</vt:lpstr>
      <vt:lpstr>SW_IT_PAL_007</vt:lpstr>
      <vt:lpstr>SW_IT_PAL_008</vt:lpstr>
      <vt:lpstr>SW_IT_PAL_009</vt:lpstr>
      <vt:lpstr>SW_IT_PAL_010</vt:lpstr>
      <vt:lpstr>SW_IT_PAL_011</vt:lpstr>
      <vt:lpstr>SW_IT_PAL_013</vt:lpstr>
      <vt:lpstr>SW_IT_PAL_014</vt:lpstr>
      <vt:lpstr>SW_IT_PAL_015</vt:lpstr>
      <vt:lpstr>SW_IT_PAL_016</vt:lpstr>
      <vt:lpstr>SW_IT_PAL_017</vt:lpstr>
      <vt:lpstr>SW_IT_PAL_018</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2022-10-27T14:12:22Z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Vlad Chioveanu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