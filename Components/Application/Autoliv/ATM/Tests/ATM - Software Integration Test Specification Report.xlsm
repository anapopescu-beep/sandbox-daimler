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_Sandbox\DAI_MMA\View_Development\Components\Application\Autoliv\ATM\Tests\"/>
    </mc:Choice>
  </mc:AlternateContent>
  <xr:revisionPtr revIDLastSave="0" documentId="13_ncr:1_{D2447CE7-C578-4250-B081-FE9BE66AA128}" xr6:coauthVersionLast="47" xr6:coauthVersionMax="47" xr10:uidLastSave="{00000000-0000-0000-0000-000000000000}"/>
  <bookViews>
    <workbookView xWindow="57480" yWindow="-120" windowWidth="29040" windowHeight="15840" tabRatio="921" activeTab="3" xr2:uid="{00000000-000D-0000-FFFF-FFFF00000000}"/>
  </bookViews>
  <sheets>
    <sheet name="FrontPage" sheetId="4" r:id="rId1"/>
    <sheet name="General info" sheetId="11" r:id="rId2"/>
    <sheet name="Guide (help)" sheetId="18" r:id="rId3"/>
    <sheet name="Tests Synthesis" sheetId="13" r:id="rId4"/>
    <sheet name="SW_IT_ATM_0001" sheetId="29" r:id="rId5"/>
    <sheet name="SW_IT_ATM_0002" sheetId="30" r:id="rId6"/>
    <sheet name="SW_IT_ATM_0003" sheetId="31" r:id="rId7"/>
    <sheet name="SW_IT_ATM_0004" sheetId="32" r:id="rId8"/>
    <sheet name="SW_IT_ATM_0005" sheetId="14" r:id="rId9"/>
    <sheet name="SW_IT_ATM_0006" sheetId="37" r:id="rId10"/>
    <sheet name="SW_IT_ATM_0007" sheetId="38" r:id="rId11"/>
    <sheet name="SW_IT_ATM_0008" sheetId="39" r:id="rId12"/>
    <sheet name="SW_IT_ATM_0009" sheetId="40" r:id="rId13"/>
    <sheet name="SW_IT_ATM_0010" sheetId="36" r:id="rId14"/>
    <sheet name="SW_IT_ATM_0011" sheetId="41" r:id="rId15"/>
    <sheet name="SW_IT_ATM_0012" sheetId="43" r:id="rId16"/>
    <sheet name="SW_IT_ATM_0013" sheetId="42" r:id="rId17"/>
    <sheet name="SW_IT_ATM_0014" sheetId="44" r:id="rId18"/>
    <sheet name="SW_IT_ATM_0015" sheetId="45" r:id="rId19"/>
    <sheet name="SW_IT_ATM_0016" sheetId="46" r:id="rId20"/>
    <sheet name="SW_IT_ATM_0017" sheetId="47" r:id="rId21"/>
    <sheet name="SW_IT_ATM_0018" sheetId="48" r:id="rId22"/>
    <sheet name="SW_IT_ATM_0019" sheetId="52" r:id="rId23"/>
    <sheet name="SW_IT_ATM_0020" sheetId="51" r:id="rId24"/>
    <sheet name="SW_IT_ATM_0021" sheetId="53" r:id="rId25"/>
    <sheet name="Metrics" sheetId="16" r:id="rId26"/>
  </sheet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7" i="11" l="1"/>
  <c r="D22" i="13"/>
  <c r="K21" i="13"/>
  <c r="E21" i="13"/>
  <c r="F21" i="13"/>
  <c r="F23" i="13"/>
  <c r="D23" i="13"/>
  <c r="D21" i="13"/>
  <c r="F22" i="13"/>
  <c r="AB5" i="11" l="1"/>
  <c r="A23" i="4"/>
  <c r="W7" i="4"/>
  <c r="F5" i="16"/>
  <c r="K45" i="13"/>
  <c r="F45" i="13"/>
  <c r="E45" i="13"/>
  <c r="D45" i="13"/>
  <c r="K44" i="13"/>
  <c r="F44" i="13"/>
  <c r="E44" i="13"/>
  <c r="D44" i="13"/>
  <c r="K43" i="13"/>
  <c r="F43" i="13"/>
  <c r="E43" i="13"/>
  <c r="D43" i="13"/>
  <c r="K42" i="13"/>
  <c r="F42" i="13"/>
  <c r="E42" i="13"/>
  <c r="D42" i="13"/>
  <c r="K41" i="13"/>
  <c r="F41" i="13"/>
  <c r="E41" i="13"/>
  <c r="D41" i="13"/>
  <c r="K40" i="13"/>
  <c r="F40" i="13"/>
  <c r="E40" i="13"/>
  <c r="D40" i="13"/>
  <c r="K39" i="13"/>
  <c r="F39" i="13"/>
  <c r="E39" i="13"/>
  <c r="D39" i="13"/>
  <c r="K38" i="13"/>
  <c r="F38" i="13"/>
  <c r="E38" i="13"/>
  <c r="D38" i="13"/>
  <c r="K37" i="13"/>
  <c r="F37" i="13"/>
  <c r="E37" i="13"/>
  <c r="D37" i="13"/>
  <c r="K36" i="13"/>
  <c r="F36" i="13"/>
  <c r="E36" i="13"/>
  <c r="D36" i="13"/>
  <c r="K35" i="13"/>
  <c r="F35" i="13"/>
  <c r="E35" i="13"/>
  <c r="D35" i="13"/>
  <c r="K34" i="13"/>
  <c r="F34" i="13"/>
  <c r="E34" i="13"/>
  <c r="D34" i="13"/>
  <c r="K33" i="13"/>
  <c r="F33" i="13"/>
  <c r="E33" i="13"/>
  <c r="D33" i="13"/>
  <c r="K32" i="13"/>
  <c r="F32" i="13"/>
  <c r="E32" i="13"/>
  <c r="D32" i="13"/>
  <c r="K31" i="13"/>
  <c r="F31" i="13"/>
  <c r="E31" i="13"/>
  <c r="D31" i="13"/>
  <c r="K30" i="13"/>
  <c r="F30" i="13"/>
  <c r="E30" i="13"/>
  <c r="D30" i="13"/>
  <c r="K29" i="13"/>
  <c r="F29" i="13"/>
  <c r="E29" i="13"/>
  <c r="D29" i="13"/>
  <c r="K28" i="13"/>
  <c r="F28" i="13"/>
  <c r="E28" i="13"/>
  <c r="D28" i="13"/>
  <c r="K27" i="13"/>
  <c r="F27" i="13"/>
  <c r="E27" i="13"/>
  <c r="D27" i="13"/>
  <c r="K26" i="13"/>
  <c r="F26" i="13"/>
  <c r="E26" i="13"/>
  <c r="D26" i="13"/>
  <c r="K25" i="13"/>
  <c r="F25" i="13"/>
  <c r="E25" i="13"/>
  <c r="D25" i="13"/>
  <c r="K24" i="13"/>
  <c r="F24" i="13"/>
  <c r="E24" i="13"/>
  <c r="D24" i="13"/>
  <c r="AD3" i="4"/>
  <c r="AD3" i="11" s="1"/>
  <c r="F18" i="13"/>
  <c r="F17" i="13"/>
  <c r="F13" i="13"/>
  <c r="F5" i="13"/>
  <c r="D3" i="13"/>
  <c r="K4" i="13"/>
  <c r="D8" i="13"/>
  <c r="F6" i="13"/>
  <c r="K8" i="13"/>
  <c r="K23" i="13"/>
  <c r="F9" i="13"/>
  <c r="E14" i="13"/>
  <c r="K18" i="13"/>
  <c r="E16" i="13"/>
  <c r="F4" i="13"/>
  <c r="D10" i="13"/>
  <c r="K17" i="13"/>
  <c r="E22" i="13"/>
  <c r="K13" i="13"/>
  <c r="E8" i="13"/>
  <c r="E4" i="13"/>
  <c r="K7" i="13"/>
  <c r="D19" i="13"/>
  <c r="K16" i="13"/>
  <c r="D13" i="13"/>
  <c r="F11" i="13"/>
  <c r="E10" i="13"/>
  <c r="E15" i="13"/>
  <c r="F16" i="13"/>
  <c r="E7" i="13"/>
  <c r="F3" i="13"/>
  <c r="D20" i="13"/>
  <c r="D14" i="13"/>
  <c r="K11" i="13"/>
  <c r="E20" i="13"/>
  <c r="D18" i="13"/>
  <c r="E3" i="13"/>
  <c r="E23" i="13"/>
  <c r="E18" i="13"/>
  <c r="K9" i="13"/>
  <c r="K6" i="13"/>
  <c r="K19" i="13"/>
  <c r="D12" i="13"/>
  <c r="F10" i="13"/>
  <c r="F12" i="13"/>
  <c r="K15" i="13"/>
  <c r="E9" i="13"/>
  <c r="E11" i="13"/>
  <c r="F15" i="13"/>
  <c r="K5" i="13"/>
  <c r="D9" i="13"/>
  <c r="D7" i="13"/>
  <c r="F20" i="13"/>
  <c r="E17" i="13"/>
  <c r="K20" i="13"/>
  <c r="K14" i="13"/>
  <c r="D6" i="13"/>
  <c r="D11" i="13"/>
  <c r="E13" i="13"/>
  <c r="K3" i="13"/>
  <c r="F8" i="13"/>
  <c r="D15" i="13"/>
  <c r="D17" i="13"/>
  <c r="D16" i="13"/>
  <c r="F7" i="13"/>
  <c r="E19" i="13"/>
  <c r="E12" i="13"/>
  <c r="E6" i="13"/>
  <c r="K12" i="13"/>
  <c r="F14" i="13"/>
  <c r="D5" i="13"/>
  <c r="K10" i="13"/>
  <c r="F19" i="13"/>
  <c r="D4" i="13"/>
  <c r="E5" i="13"/>
  <c r="K22" i="13"/>
  <c r="W7" i="11" l="1"/>
  <c r="A7" i="11"/>
  <c r="W5" i="11"/>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8FDCBE47-0A32-4674-AD09-A4D2A4C92CB3}">
      <text>
        <r>
          <rPr>
            <sz val="9"/>
            <color indexed="81"/>
            <rFont val="Tahoma"/>
            <family val="2"/>
          </rPr>
          <t>Template from process AEM_PROCESS_1.17.00 Last change : AEM_PROCESS_1.05.00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35" authorId="1" shapeId="0" xr:uid="{00000000-0006-0000-0100-000007000000}">
      <text>
        <r>
          <rPr>
            <sz val="9"/>
            <color indexed="81"/>
            <rFont val="Tahoma"/>
            <family val="2"/>
          </rPr>
          <t>The referenced documents correspond to the customer or standard documents to be applied for the integration.</t>
        </r>
      </text>
    </comment>
    <comment ref="B36"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36" authorId="0" shapeId="0" xr:uid="{00000000-0006-0000-0100-000009000000}">
      <text>
        <r>
          <rPr>
            <sz val="8"/>
            <color indexed="81"/>
            <rFont val="Tahoma"/>
            <family val="2"/>
          </rPr>
          <t>Title of reference documents.</t>
        </r>
      </text>
    </comment>
    <comment ref="Y36" authorId="0" shapeId="0" xr:uid="{00000000-0006-0000-0100-00000A000000}">
      <text>
        <r>
          <rPr>
            <sz val="8"/>
            <color indexed="81"/>
            <rFont val="Tahoma"/>
            <family val="2"/>
          </rPr>
          <t>Reference number, e.g. E123456 and revision of the reference.</t>
        </r>
      </text>
    </comment>
    <comment ref="N41"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2"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2" authorId="0" shapeId="0" xr:uid="{00000000-0006-0000-0100-00000D000000}">
      <text>
        <r>
          <rPr>
            <sz val="8"/>
            <color indexed="81"/>
            <rFont val="Tahoma"/>
            <family val="2"/>
          </rPr>
          <t>Title of reference documents.</t>
        </r>
      </text>
    </comment>
    <comment ref="Y42"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00000000-0006-0000-0300-00000C000000}">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F61950CC-83A2-42F0-B315-90A57610311D}">
      <text>
        <r>
          <rPr>
            <b/>
            <sz val="9"/>
            <color indexed="81"/>
            <rFont val="Tahoma"/>
            <family val="2"/>
          </rPr>
          <t xml:space="preserve">See Guide (help)
</t>
        </r>
        <r>
          <rPr>
            <sz val="9"/>
            <color indexed="81"/>
            <rFont val="Tahoma"/>
            <family val="2"/>
          </rPr>
          <t xml:space="preserve">
</t>
        </r>
      </text>
    </comment>
    <comment ref="A3" authorId="0" shapeId="0" xr:uid="{1BD692B2-EC91-43F9-A6DB-A11358990C34}">
      <text>
        <r>
          <rPr>
            <b/>
            <sz val="9"/>
            <color indexed="81"/>
            <rFont val="Tahoma"/>
            <family val="2"/>
          </rPr>
          <t xml:space="preserve">See Guide (help)
</t>
        </r>
        <r>
          <rPr>
            <sz val="9"/>
            <color indexed="81"/>
            <rFont val="Tahoma"/>
            <family val="2"/>
          </rPr>
          <t xml:space="preserve">
</t>
        </r>
      </text>
    </comment>
    <comment ref="A5" authorId="0" shapeId="0" xr:uid="{A75C9737-9AB4-48DF-918D-40472F632D48}">
      <text>
        <r>
          <rPr>
            <sz val="9"/>
            <color indexed="81"/>
            <rFont val="Tahoma"/>
            <family val="2"/>
          </rPr>
          <t>Definition is in the "General info" tab.
Use the dropdown list.</t>
        </r>
      </text>
    </comment>
    <comment ref="A9" authorId="0" shapeId="0" xr:uid="{97918168-CF50-4FAC-B678-B362DAA1E20D}">
      <text>
        <r>
          <rPr>
            <b/>
            <sz val="9"/>
            <color indexed="81"/>
            <rFont val="Tahoma"/>
            <family val="2"/>
          </rPr>
          <t>See Guide (help)</t>
        </r>
        <r>
          <rPr>
            <sz val="9"/>
            <color indexed="81"/>
            <rFont val="Tahoma"/>
            <family val="2"/>
          </rPr>
          <t xml:space="preserve">
</t>
        </r>
      </text>
    </comment>
    <comment ref="A11" authorId="0" shapeId="0" xr:uid="{DC4FC890-9C10-453A-BF7F-38B62068CDDD}">
      <text>
        <r>
          <rPr>
            <b/>
            <sz val="9"/>
            <color indexed="81"/>
            <rFont val="Tahoma"/>
            <family val="2"/>
          </rPr>
          <t xml:space="preserve">Describe the test environment and setup.
</t>
        </r>
        <r>
          <rPr>
            <sz val="9"/>
            <color indexed="81"/>
            <rFont val="Tahoma"/>
            <family val="2"/>
          </rPr>
          <t xml:space="preserve">
</t>
        </r>
      </text>
    </comment>
    <comment ref="A16" authorId="0" shapeId="0" xr:uid="{40610EC3-AC11-4F26-B0C4-F76DB8478945}">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E17171A-F0D5-49C2-A10F-38706E21C4EE}">
      <text>
        <r>
          <rPr>
            <b/>
            <sz val="9"/>
            <color indexed="81"/>
            <rFont val="Tahoma"/>
            <family val="2"/>
          </rPr>
          <t xml:space="preserve">See Guide (help)
</t>
        </r>
        <r>
          <rPr>
            <sz val="9"/>
            <color indexed="81"/>
            <rFont val="Tahoma"/>
            <family val="2"/>
          </rPr>
          <t xml:space="preserve">
</t>
        </r>
      </text>
    </comment>
    <comment ref="A3" authorId="0" shapeId="0" xr:uid="{4BED88C9-3DFC-4C1A-82A8-37874013580B}">
      <text>
        <r>
          <rPr>
            <b/>
            <sz val="9"/>
            <color indexed="81"/>
            <rFont val="Tahoma"/>
            <family val="2"/>
          </rPr>
          <t xml:space="preserve">See Guide (help)
</t>
        </r>
        <r>
          <rPr>
            <sz val="9"/>
            <color indexed="81"/>
            <rFont val="Tahoma"/>
            <family val="2"/>
          </rPr>
          <t xml:space="preserve">
</t>
        </r>
      </text>
    </comment>
    <comment ref="A5" authorId="0" shapeId="0" xr:uid="{4572143D-6655-4A65-9813-1DCCB7798953}">
      <text>
        <r>
          <rPr>
            <sz val="9"/>
            <color indexed="81"/>
            <rFont val="Tahoma"/>
            <family val="2"/>
          </rPr>
          <t>Definition is in the "General info" tab.
Use the dropdown list.</t>
        </r>
      </text>
    </comment>
    <comment ref="A9" authorId="0" shapeId="0" xr:uid="{A7AE069D-D433-4E4A-BAF9-961B3E063E94}">
      <text>
        <r>
          <rPr>
            <b/>
            <sz val="9"/>
            <color indexed="81"/>
            <rFont val="Tahoma"/>
            <family val="2"/>
          </rPr>
          <t>See Guide (help)</t>
        </r>
        <r>
          <rPr>
            <sz val="9"/>
            <color indexed="81"/>
            <rFont val="Tahoma"/>
            <family val="2"/>
          </rPr>
          <t xml:space="preserve">
</t>
        </r>
      </text>
    </comment>
    <comment ref="A11" authorId="0" shapeId="0" xr:uid="{9263D209-EE59-42E4-B5B8-FB3C786176C7}">
      <text>
        <r>
          <rPr>
            <b/>
            <sz val="9"/>
            <color indexed="81"/>
            <rFont val="Tahoma"/>
            <family val="2"/>
          </rPr>
          <t xml:space="preserve">Describe the test environment and setup.
</t>
        </r>
        <r>
          <rPr>
            <sz val="9"/>
            <color indexed="81"/>
            <rFont val="Tahoma"/>
            <family val="2"/>
          </rPr>
          <t xml:space="preserve">
</t>
        </r>
      </text>
    </comment>
    <comment ref="A16" authorId="0" shapeId="0" xr:uid="{35FF9E32-D87C-475E-9D5D-C2DD1A5027DA}">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BC568AFF-ED99-47F9-B348-CEA71832AA91}">
      <text>
        <r>
          <rPr>
            <b/>
            <sz val="9"/>
            <color indexed="81"/>
            <rFont val="Tahoma"/>
            <family val="2"/>
          </rPr>
          <t xml:space="preserve">See Guide (help)
</t>
        </r>
        <r>
          <rPr>
            <sz val="9"/>
            <color indexed="81"/>
            <rFont val="Tahoma"/>
            <family val="2"/>
          </rPr>
          <t xml:space="preserve">
</t>
        </r>
      </text>
    </comment>
    <comment ref="A3" authorId="0" shapeId="0" xr:uid="{23328218-4F99-4AC0-AE48-08F4ED358D7D}">
      <text>
        <r>
          <rPr>
            <b/>
            <sz val="9"/>
            <color indexed="81"/>
            <rFont val="Tahoma"/>
            <family val="2"/>
          </rPr>
          <t xml:space="preserve">See Guide (help)
</t>
        </r>
        <r>
          <rPr>
            <sz val="9"/>
            <color indexed="81"/>
            <rFont val="Tahoma"/>
            <family val="2"/>
          </rPr>
          <t xml:space="preserve">
</t>
        </r>
      </text>
    </comment>
    <comment ref="A5" authorId="0" shapeId="0" xr:uid="{222DE410-D5A6-4FD3-8467-648DFF6EE29A}">
      <text>
        <r>
          <rPr>
            <sz val="9"/>
            <color indexed="81"/>
            <rFont val="Tahoma"/>
            <family val="2"/>
          </rPr>
          <t>Definition is in the "General info" tab.
Use the dropdown list.</t>
        </r>
      </text>
    </comment>
    <comment ref="A9" authorId="0" shapeId="0" xr:uid="{389F3C58-288A-44B7-B72D-608DD61FAF01}">
      <text>
        <r>
          <rPr>
            <b/>
            <sz val="9"/>
            <color indexed="81"/>
            <rFont val="Tahoma"/>
            <family val="2"/>
          </rPr>
          <t>See Guide (help)</t>
        </r>
        <r>
          <rPr>
            <sz val="9"/>
            <color indexed="81"/>
            <rFont val="Tahoma"/>
            <family val="2"/>
          </rPr>
          <t xml:space="preserve">
</t>
        </r>
      </text>
    </comment>
    <comment ref="A11" authorId="0" shapeId="0" xr:uid="{4605612B-E686-4901-A71E-B5E25135F15E}">
      <text>
        <r>
          <rPr>
            <b/>
            <sz val="9"/>
            <color indexed="81"/>
            <rFont val="Tahoma"/>
            <family val="2"/>
          </rPr>
          <t xml:space="preserve">Describe the test environment and setup.
</t>
        </r>
        <r>
          <rPr>
            <sz val="9"/>
            <color indexed="81"/>
            <rFont val="Tahoma"/>
            <family val="2"/>
          </rPr>
          <t xml:space="preserve">
</t>
        </r>
      </text>
    </comment>
    <comment ref="A16" authorId="0" shapeId="0" xr:uid="{673953E6-B05D-4654-B278-79971E842CB5}">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1A4C33E5-63F4-43FB-9D75-18ACD018322D}">
      <text>
        <r>
          <rPr>
            <b/>
            <sz val="9"/>
            <color indexed="81"/>
            <rFont val="Tahoma"/>
            <family val="2"/>
          </rPr>
          <t xml:space="preserve">See Guide (help)
</t>
        </r>
        <r>
          <rPr>
            <sz val="9"/>
            <color indexed="81"/>
            <rFont val="Tahoma"/>
            <family val="2"/>
          </rPr>
          <t xml:space="preserve">
</t>
        </r>
      </text>
    </comment>
    <comment ref="A3" authorId="0" shapeId="0" xr:uid="{CB6D5CF1-C2F1-465E-8E8D-E767FDEB3EAF}">
      <text>
        <r>
          <rPr>
            <b/>
            <sz val="9"/>
            <color indexed="81"/>
            <rFont val="Tahoma"/>
            <family val="2"/>
          </rPr>
          <t xml:space="preserve">See Guide (help)
</t>
        </r>
        <r>
          <rPr>
            <sz val="9"/>
            <color indexed="81"/>
            <rFont val="Tahoma"/>
            <family val="2"/>
          </rPr>
          <t xml:space="preserve">
</t>
        </r>
      </text>
    </comment>
    <comment ref="A5" authorId="0" shapeId="0" xr:uid="{BA3D6738-3B1B-44D1-8DF3-A0D6CAF0794F}">
      <text>
        <r>
          <rPr>
            <sz val="9"/>
            <color indexed="81"/>
            <rFont val="Tahoma"/>
            <family val="2"/>
          </rPr>
          <t>Definition is in the "General info" tab.
Use the dropdown list.</t>
        </r>
      </text>
    </comment>
    <comment ref="A9" authorId="0" shapeId="0" xr:uid="{D5D679FD-5BE4-4523-ABBF-EDE4341E27EE}">
      <text>
        <r>
          <rPr>
            <b/>
            <sz val="9"/>
            <color indexed="81"/>
            <rFont val="Tahoma"/>
            <family val="2"/>
          </rPr>
          <t>See Guide (help)</t>
        </r>
        <r>
          <rPr>
            <sz val="9"/>
            <color indexed="81"/>
            <rFont val="Tahoma"/>
            <family val="2"/>
          </rPr>
          <t xml:space="preserve">
</t>
        </r>
      </text>
    </comment>
    <comment ref="A11" authorId="0" shapeId="0" xr:uid="{8B023B35-B637-4CA1-B7BD-A301BB3867FC}">
      <text>
        <r>
          <rPr>
            <b/>
            <sz val="9"/>
            <color indexed="81"/>
            <rFont val="Tahoma"/>
            <family val="2"/>
          </rPr>
          <t xml:space="preserve">Describe the test environment and setup.
</t>
        </r>
        <r>
          <rPr>
            <sz val="9"/>
            <color indexed="81"/>
            <rFont val="Tahoma"/>
            <family val="2"/>
          </rPr>
          <t xml:space="preserve">
</t>
        </r>
      </text>
    </comment>
    <comment ref="A16" authorId="0" shapeId="0" xr:uid="{D427FF00-FFB4-4A92-B4E7-24EDAB1B9E6C}">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400-000001000000}">
      <text>
        <r>
          <rPr>
            <b/>
            <sz val="9"/>
            <color indexed="81"/>
            <rFont val="Tahoma"/>
            <family val="2"/>
          </rPr>
          <t xml:space="preserve">See Guide (help)
</t>
        </r>
        <r>
          <rPr>
            <sz val="9"/>
            <color indexed="81"/>
            <rFont val="Tahoma"/>
            <family val="2"/>
          </rPr>
          <t xml:space="preserve">
</t>
        </r>
      </text>
    </comment>
    <comment ref="A3" authorId="0" shapeId="0" xr:uid="{00000000-0006-0000-0400-000002000000}">
      <text>
        <r>
          <rPr>
            <b/>
            <sz val="9"/>
            <color indexed="81"/>
            <rFont val="Tahoma"/>
            <family val="2"/>
          </rPr>
          <t xml:space="preserve">See Guide (help)
</t>
        </r>
        <r>
          <rPr>
            <sz val="9"/>
            <color indexed="81"/>
            <rFont val="Tahoma"/>
            <family val="2"/>
          </rPr>
          <t xml:space="preserve">
</t>
        </r>
      </text>
    </comment>
    <comment ref="A5" authorId="0" shapeId="0" xr:uid="{00000000-0006-0000-0400-000003000000}">
      <text>
        <r>
          <rPr>
            <sz val="9"/>
            <color indexed="81"/>
            <rFont val="Tahoma"/>
            <family val="2"/>
          </rPr>
          <t>Definition is in the "General info" tab.
Use the dropdown list.</t>
        </r>
      </text>
    </comment>
    <comment ref="A9" authorId="0" shapeId="0" xr:uid="{00000000-0006-0000-0400-000004000000}">
      <text>
        <r>
          <rPr>
            <b/>
            <sz val="9"/>
            <color indexed="81"/>
            <rFont val="Tahoma"/>
            <family val="2"/>
          </rPr>
          <t>See Guide (help)</t>
        </r>
        <r>
          <rPr>
            <sz val="9"/>
            <color indexed="81"/>
            <rFont val="Tahoma"/>
            <family val="2"/>
          </rPr>
          <t xml:space="preserve">
</t>
        </r>
      </text>
    </comment>
    <comment ref="A11" authorId="0" shapeId="0" xr:uid="{00000000-0006-0000-04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4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B80907A-8B89-4F5B-8500-F7C8FBF6ED34}">
      <text>
        <r>
          <rPr>
            <b/>
            <sz val="9"/>
            <color indexed="81"/>
            <rFont val="Tahoma"/>
            <family val="2"/>
          </rPr>
          <t xml:space="preserve">See Guide (help)
</t>
        </r>
        <r>
          <rPr>
            <sz val="9"/>
            <color indexed="81"/>
            <rFont val="Tahoma"/>
            <family val="2"/>
          </rPr>
          <t xml:space="preserve">
</t>
        </r>
      </text>
    </comment>
    <comment ref="A3" authorId="0" shapeId="0" xr:uid="{5299DFAF-8869-4CF0-9021-A15E95103BB1}">
      <text>
        <r>
          <rPr>
            <b/>
            <sz val="9"/>
            <color indexed="81"/>
            <rFont val="Tahoma"/>
            <family val="2"/>
          </rPr>
          <t xml:space="preserve">See Guide (help)
</t>
        </r>
        <r>
          <rPr>
            <sz val="9"/>
            <color indexed="81"/>
            <rFont val="Tahoma"/>
            <family val="2"/>
          </rPr>
          <t xml:space="preserve">
</t>
        </r>
      </text>
    </comment>
    <comment ref="A5" authorId="0" shapeId="0" xr:uid="{0BB88317-EDA9-46FC-93E2-3799796F8445}">
      <text>
        <r>
          <rPr>
            <sz val="9"/>
            <color indexed="81"/>
            <rFont val="Tahoma"/>
            <family val="2"/>
          </rPr>
          <t>Definition is in the "General info" tab.
Use the dropdown list.</t>
        </r>
      </text>
    </comment>
    <comment ref="A9" authorId="0" shapeId="0" xr:uid="{99DF7C6B-37A8-4A12-9669-414C2A4D200B}">
      <text>
        <r>
          <rPr>
            <b/>
            <sz val="9"/>
            <color indexed="81"/>
            <rFont val="Tahoma"/>
            <family val="2"/>
          </rPr>
          <t>See Guide (help)</t>
        </r>
        <r>
          <rPr>
            <sz val="9"/>
            <color indexed="81"/>
            <rFont val="Tahoma"/>
            <family val="2"/>
          </rPr>
          <t xml:space="preserve">
</t>
        </r>
      </text>
    </comment>
    <comment ref="A11" authorId="0" shapeId="0" xr:uid="{3BBF7A7C-5108-4B50-B528-7116DC018244}">
      <text>
        <r>
          <rPr>
            <b/>
            <sz val="9"/>
            <color indexed="81"/>
            <rFont val="Tahoma"/>
            <family val="2"/>
          </rPr>
          <t xml:space="preserve">Describe the test environment and setup.
</t>
        </r>
        <r>
          <rPr>
            <sz val="9"/>
            <color indexed="81"/>
            <rFont val="Tahoma"/>
            <family val="2"/>
          </rPr>
          <t xml:space="preserve">
</t>
        </r>
      </text>
    </comment>
    <comment ref="A16" authorId="0" shapeId="0" xr:uid="{86F5991A-2543-409F-9F9D-D8BDA2267CA5}">
      <text>
        <r>
          <rPr>
            <b/>
            <sz val="9"/>
            <color indexed="81"/>
            <rFont val="Tahoma"/>
            <family val="2"/>
          </rPr>
          <t>Give the initial state before beginning the test.</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AB2E47EA-8D83-4463-96A7-0F29624B3F52}">
      <text>
        <r>
          <rPr>
            <b/>
            <sz val="9"/>
            <color indexed="81"/>
            <rFont val="Tahoma"/>
            <family val="2"/>
          </rPr>
          <t xml:space="preserve">See Guide (help)
</t>
        </r>
        <r>
          <rPr>
            <sz val="9"/>
            <color indexed="81"/>
            <rFont val="Tahoma"/>
            <family val="2"/>
          </rPr>
          <t xml:space="preserve">
</t>
        </r>
      </text>
    </comment>
    <comment ref="A3" authorId="0" shapeId="0" xr:uid="{8A8CAD28-6D00-4C18-A13A-859E50FA531C}">
      <text>
        <r>
          <rPr>
            <b/>
            <sz val="9"/>
            <color indexed="81"/>
            <rFont val="Tahoma"/>
            <family val="2"/>
          </rPr>
          <t xml:space="preserve">See Guide (help)
</t>
        </r>
        <r>
          <rPr>
            <sz val="9"/>
            <color indexed="81"/>
            <rFont val="Tahoma"/>
            <family val="2"/>
          </rPr>
          <t xml:space="preserve">
</t>
        </r>
      </text>
    </comment>
    <comment ref="A5" authorId="0" shapeId="0" xr:uid="{752FA856-0310-4205-942B-79133BF7A9A0}">
      <text>
        <r>
          <rPr>
            <sz val="9"/>
            <color indexed="81"/>
            <rFont val="Tahoma"/>
            <family val="2"/>
          </rPr>
          <t>Definition is in the "General info" tab.
Use the dropdown list.</t>
        </r>
      </text>
    </comment>
    <comment ref="A9" authorId="0" shapeId="0" xr:uid="{4BD00A48-9966-45D6-93CC-34933F0D8873}">
      <text>
        <r>
          <rPr>
            <b/>
            <sz val="9"/>
            <color indexed="81"/>
            <rFont val="Tahoma"/>
            <family val="2"/>
          </rPr>
          <t>See Guide (help)</t>
        </r>
        <r>
          <rPr>
            <sz val="9"/>
            <color indexed="81"/>
            <rFont val="Tahoma"/>
            <family val="2"/>
          </rPr>
          <t xml:space="preserve">
</t>
        </r>
      </text>
    </comment>
    <comment ref="A11" authorId="0" shapeId="0" xr:uid="{174271DE-1027-4D82-A33C-D5AEDC6A780F}">
      <text>
        <r>
          <rPr>
            <b/>
            <sz val="9"/>
            <color indexed="81"/>
            <rFont val="Tahoma"/>
            <family val="2"/>
          </rPr>
          <t xml:space="preserve">Describe the test environment and setup.
</t>
        </r>
        <r>
          <rPr>
            <sz val="9"/>
            <color indexed="81"/>
            <rFont val="Tahoma"/>
            <family val="2"/>
          </rPr>
          <t xml:space="preserve">
</t>
        </r>
      </text>
    </comment>
    <comment ref="A16" authorId="0" shapeId="0" xr:uid="{C5BAE85C-ECC8-487F-9343-0DC94719ABEA}">
      <text>
        <r>
          <rPr>
            <b/>
            <sz val="9"/>
            <color indexed="81"/>
            <rFont val="Tahoma"/>
            <family val="2"/>
          </rPr>
          <t>Give the initial state before beginning the test.</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33FFDFDB-46C8-4C65-902A-EC3A71AE3A7D}">
      <text>
        <r>
          <rPr>
            <b/>
            <sz val="9"/>
            <color indexed="81"/>
            <rFont val="Tahoma"/>
            <family val="2"/>
          </rPr>
          <t xml:space="preserve">See Guide (help)
</t>
        </r>
        <r>
          <rPr>
            <sz val="9"/>
            <color indexed="81"/>
            <rFont val="Tahoma"/>
            <family val="2"/>
          </rPr>
          <t xml:space="preserve">
</t>
        </r>
      </text>
    </comment>
    <comment ref="A3" authorId="0" shapeId="0" xr:uid="{EFC5740C-1FAB-44EE-8480-C8F0DA760D8E}">
      <text>
        <r>
          <rPr>
            <b/>
            <sz val="9"/>
            <color indexed="81"/>
            <rFont val="Tahoma"/>
            <family val="2"/>
          </rPr>
          <t xml:space="preserve">See Guide (help)
</t>
        </r>
        <r>
          <rPr>
            <sz val="9"/>
            <color indexed="81"/>
            <rFont val="Tahoma"/>
            <family val="2"/>
          </rPr>
          <t xml:space="preserve">
</t>
        </r>
      </text>
    </comment>
    <comment ref="A5" authorId="0" shapeId="0" xr:uid="{699F1B9C-7F76-4C1C-AA8C-04B9324A434D}">
      <text>
        <r>
          <rPr>
            <sz val="9"/>
            <color indexed="81"/>
            <rFont val="Tahoma"/>
            <family val="2"/>
          </rPr>
          <t>Definition is in the "General info" tab.
Use the dropdown list.</t>
        </r>
      </text>
    </comment>
    <comment ref="A9" authorId="0" shapeId="0" xr:uid="{D0EAFDDA-45C8-4B2D-BDE5-BC5E5499CB0D}">
      <text>
        <r>
          <rPr>
            <b/>
            <sz val="9"/>
            <color indexed="81"/>
            <rFont val="Tahoma"/>
            <family val="2"/>
          </rPr>
          <t>See Guide (help)</t>
        </r>
        <r>
          <rPr>
            <sz val="9"/>
            <color indexed="81"/>
            <rFont val="Tahoma"/>
            <family val="2"/>
          </rPr>
          <t xml:space="preserve">
</t>
        </r>
      </text>
    </comment>
    <comment ref="A11" authorId="0" shapeId="0" xr:uid="{9EA80DC4-32C7-4A9C-94C7-DFF7A0A92ED8}">
      <text>
        <r>
          <rPr>
            <b/>
            <sz val="9"/>
            <color indexed="81"/>
            <rFont val="Tahoma"/>
            <family val="2"/>
          </rPr>
          <t xml:space="preserve">Describe the test environment and setup.
</t>
        </r>
        <r>
          <rPr>
            <sz val="9"/>
            <color indexed="81"/>
            <rFont val="Tahoma"/>
            <family val="2"/>
          </rPr>
          <t xml:space="preserve">
</t>
        </r>
      </text>
    </comment>
    <comment ref="A16" authorId="0" shapeId="0" xr:uid="{CF99671B-F0A0-446B-81DA-E6383AC23DFA}">
      <text>
        <r>
          <rPr>
            <b/>
            <sz val="9"/>
            <color indexed="81"/>
            <rFont val="Tahoma"/>
            <family val="2"/>
          </rPr>
          <t>Give the initial state before beginning the test.</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21F564D-092E-4EDB-A7A8-0FF2233510C6}">
      <text>
        <r>
          <rPr>
            <b/>
            <sz val="9"/>
            <color indexed="81"/>
            <rFont val="Tahoma"/>
            <family val="2"/>
          </rPr>
          <t xml:space="preserve">See Guide (help)
</t>
        </r>
        <r>
          <rPr>
            <sz val="9"/>
            <color indexed="81"/>
            <rFont val="Tahoma"/>
            <family val="2"/>
          </rPr>
          <t xml:space="preserve">
</t>
        </r>
      </text>
    </comment>
    <comment ref="A3" authorId="0" shapeId="0" xr:uid="{3FCE1D57-4C16-4C73-9C1F-CF089A01796B}">
      <text>
        <r>
          <rPr>
            <b/>
            <sz val="9"/>
            <color indexed="81"/>
            <rFont val="Tahoma"/>
            <family val="2"/>
          </rPr>
          <t xml:space="preserve">See Guide (help)
</t>
        </r>
        <r>
          <rPr>
            <sz val="9"/>
            <color indexed="81"/>
            <rFont val="Tahoma"/>
            <family val="2"/>
          </rPr>
          <t xml:space="preserve">
</t>
        </r>
      </text>
    </comment>
    <comment ref="A5" authorId="0" shapeId="0" xr:uid="{08D0F536-35B0-4490-884A-4ADA48EDE2FF}">
      <text>
        <r>
          <rPr>
            <sz val="9"/>
            <color indexed="81"/>
            <rFont val="Tahoma"/>
            <family val="2"/>
          </rPr>
          <t>Definition is in the "General info" tab.
Use the dropdown list.</t>
        </r>
      </text>
    </comment>
    <comment ref="A9" authorId="0" shapeId="0" xr:uid="{1B7FFC2D-404A-497C-B653-CCC64321DDE3}">
      <text>
        <r>
          <rPr>
            <b/>
            <sz val="9"/>
            <color indexed="81"/>
            <rFont val="Tahoma"/>
            <family val="2"/>
          </rPr>
          <t>See Guide (help)</t>
        </r>
        <r>
          <rPr>
            <sz val="9"/>
            <color indexed="81"/>
            <rFont val="Tahoma"/>
            <family val="2"/>
          </rPr>
          <t xml:space="preserve">
</t>
        </r>
      </text>
    </comment>
    <comment ref="A11" authorId="0" shapeId="0" xr:uid="{0B352ED2-9166-40B6-BADB-C6BDDD065D81}">
      <text>
        <r>
          <rPr>
            <b/>
            <sz val="9"/>
            <color indexed="81"/>
            <rFont val="Tahoma"/>
            <family val="2"/>
          </rPr>
          <t xml:space="preserve">Describe the test environment and setup.
</t>
        </r>
        <r>
          <rPr>
            <sz val="9"/>
            <color indexed="81"/>
            <rFont val="Tahoma"/>
            <family val="2"/>
          </rPr>
          <t xml:space="preserve">
</t>
        </r>
      </text>
    </comment>
    <comment ref="A16" authorId="0" shapeId="0" xr:uid="{2941F2BB-BA01-4797-93B4-4DDA27B0FD7B}">
      <text>
        <r>
          <rPr>
            <b/>
            <sz val="9"/>
            <color indexed="81"/>
            <rFont val="Tahoma"/>
            <family val="2"/>
          </rPr>
          <t>Give the initial state before beginning the test.</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193C1E2-9189-42EB-86E6-323148434C35}">
      <text>
        <r>
          <rPr>
            <b/>
            <sz val="9"/>
            <color indexed="81"/>
            <rFont val="Tahoma"/>
            <family val="2"/>
          </rPr>
          <t xml:space="preserve">See Guide (help)
</t>
        </r>
        <r>
          <rPr>
            <sz val="9"/>
            <color indexed="81"/>
            <rFont val="Tahoma"/>
            <family val="2"/>
          </rPr>
          <t xml:space="preserve">
</t>
        </r>
      </text>
    </comment>
    <comment ref="A3" authorId="0" shapeId="0" xr:uid="{E8ABAE5B-F942-4E81-95F8-CCBA68A50F40}">
      <text>
        <r>
          <rPr>
            <b/>
            <sz val="9"/>
            <color indexed="81"/>
            <rFont val="Tahoma"/>
            <family val="2"/>
          </rPr>
          <t xml:space="preserve">See Guide (help)
</t>
        </r>
        <r>
          <rPr>
            <sz val="9"/>
            <color indexed="81"/>
            <rFont val="Tahoma"/>
            <family val="2"/>
          </rPr>
          <t xml:space="preserve">
</t>
        </r>
      </text>
    </comment>
    <comment ref="A5" authorId="0" shapeId="0" xr:uid="{1417B2EA-9240-43A7-A5FC-A8310DDC36F0}">
      <text>
        <r>
          <rPr>
            <sz val="9"/>
            <color indexed="81"/>
            <rFont val="Tahoma"/>
            <family val="2"/>
          </rPr>
          <t>Definition is in the "General info" tab.
Use the dropdown list.</t>
        </r>
      </text>
    </comment>
    <comment ref="A9" authorId="0" shapeId="0" xr:uid="{B281CF7A-495B-40D3-9116-5026EE515894}">
      <text>
        <r>
          <rPr>
            <b/>
            <sz val="9"/>
            <color indexed="81"/>
            <rFont val="Tahoma"/>
            <family val="2"/>
          </rPr>
          <t>See Guide (help)</t>
        </r>
        <r>
          <rPr>
            <sz val="9"/>
            <color indexed="81"/>
            <rFont val="Tahoma"/>
            <family val="2"/>
          </rPr>
          <t xml:space="preserve">
</t>
        </r>
      </text>
    </comment>
    <comment ref="A11" authorId="0" shapeId="0" xr:uid="{CC5C42AC-C2A1-491B-8C4B-F6E2E55418DE}">
      <text>
        <r>
          <rPr>
            <b/>
            <sz val="9"/>
            <color indexed="81"/>
            <rFont val="Tahoma"/>
            <family val="2"/>
          </rPr>
          <t xml:space="preserve">Describe the test environment and setup.
</t>
        </r>
        <r>
          <rPr>
            <sz val="9"/>
            <color indexed="81"/>
            <rFont val="Tahoma"/>
            <family val="2"/>
          </rPr>
          <t xml:space="preserve">
</t>
        </r>
      </text>
    </comment>
    <comment ref="A16" authorId="0" shapeId="0" xr:uid="{3165BAD0-05F2-4145-90A7-580CCB6ACC18}">
      <text>
        <r>
          <rPr>
            <b/>
            <sz val="9"/>
            <color indexed="81"/>
            <rFont val="Tahoma"/>
            <family val="2"/>
          </rPr>
          <t>Give the initial state before beginning the test.</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9FB443B-1901-4EA6-928A-2F2BD9E07E6D}">
      <text>
        <r>
          <rPr>
            <b/>
            <sz val="9"/>
            <color indexed="81"/>
            <rFont val="Tahoma"/>
            <family val="2"/>
          </rPr>
          <t xml:space="preserve">See Guide (help)
</t>
        </r>
        <r>
          <rPr>
            <sz val="9"/>
            <color indexed="81"/>
            <rFont val="Tahoma"/>
            <family val="2"/>
          </rPr>
          <t xml:space="preserve">
</t>
        </r>
      </text>
    </comment>
    <comment ref="A3" authorId="0" shapeId="0" xr:uid="{DAA78334-2B7D-48BB-BFD3-F1F0FAA617A3}">
      <text>
        <r>
          <rPr>
            <b/>
            <sz val="9"/>
            <color indexed="81"/>
            <rFont val="Tahoma"/>
            <family val="2"/>
          </rPr>
          <t xml:space="preserve">See Guide (help)
</t>
        </r>
        <r>
          <rPr>
            <sz val="9"/>
            <color indexed="81"/>
            <rFont val="Tahoma"/>
            <family val="2"/>
          </rPr>
          <t xml:space="preserve">
</t>
        </r>
      </text>
    </comment>
    <comment ref="A5" authorId="0" shapeId="0" xr:uid="{3F6934A9-C14D-4332-8C05-59223FD703D6}">
      <text>
        <r>
          <rPr>
            <sz val="9"/>
            <color indexed="81"/>
            <rFont val="Tahoma"/>
            <family val="2"/>
          </rPr>
          <t>Definition is in the "General info" tab.
Use the dropdown list.</t>
        </r>
      </text>
    </comment>
    <comment ref="A9" authorId="0" shapeId="0" xr:uid="{6C34F805-205F-40C1-BAA5-A4B9C66481A5}">
      <text>
        <r>
          <rPr>
            <b/>
            <sz val="9"/>
            <color indexed="81"/>
            <rFont val="Tahoma"/>
            <family val="2"/>
          </rPr>
          <t>See Guide (help)</t>
        </r>
        <r>
          <rPr>
            <sz val="9"/>
            <color indexed="81"/>
            <rFont val="Tahoma"/>
            <family val="2"/>
          </rPr>
          <t xml:space="preserve">
</t>
        </r>
      </text>
    </comment>
    <comment ref="A11" authorId="0" shapeId="0" xr:uid="{A923225D-8027-40EA-87B8-2C6D7287BDAE}">
      <text>
        <r>
          <rPr>
            <b/>
            <sz val="9"/>
            <color indexed="81"/>
            <rFont val="Tahoma"/>
            <family val="2"/>
          </rPr>
          <t xml:space="preserve">Describe the test environment and setup.
</t>
        </r>
        <r>
          <rPr>
            <sz val="9"/>
            <color indexed="81"/>
            <rFont val="Tahoma"/>
            <family val="2"/>
          </rPr>
          <t xml:space="preserve">
</t>
        </r>
      </text>
    </comment>
    <comment ref="A16" authorId="0" shapeId="0" xr:uid="{F5197949-533A-4356-8AED-AC5C46393438}">
      <text>
        <r>
          <rPr>
            <b/>
            <sz val="9"/>
            <color indexed="81"/>
            <rFont val="Tahoma"/>
            <family val="2"/>
          </rPr>
          <t>Give the initial state before beginning the test.</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588D49F3-289C-4A3E-9E92-D59BCD55100A}">
      <text>
        <r>
          <rPr>
            <b/>
            <sz val="9"/>
            <color indexed="81"/>
            <rFont val="Tahoma"/>
            <family val="2"/>
          </rPr>
          <t xml:space="preserve">See Guide (help)
</t>
        </r>
        <r>
          <rPr>
            <sz val="9"/>
            <color indexed="81"/>
            <rFont val="Tahoma"/>
            <family val="2"/>
          </rPr>
          <t xml:space="preserve">
</t>
        </r>
      </text>
    </comment>
    <comment ref="A3" authorId="0" shapeId="0" xr:uid="{44686394-B93D-4F46-B812-1FDDE4F5615E}">
      <text>
        <r>
          <rPr>
            <b/>
            <sz val="9"/>
            <color indexed="81"/>
            <rFont val="Tahoma"/>
            <family val="2"/>
          </rPr>
          <t xml:space="preserve">See Guide (help)
</t>
        </r>
        <r>
          <rPr>
            <sz val="9"/>
            <color indexed="81"/>
            <rFont val="Tahoma"/>
            <family val="2"/>
          </rPr>
          <t xml:space="preserve">
</t>
        </r>
      </text>
    </comment>
    <comment ref="A5" authorId="0" shapeId="0" xr:uid="{E153F433-3E48-4A98-9483-7FC4FADCF3B1}">
      <text>
        <r>
          <rPr>
            <sz val="9"/>
            <color indexed="81"/>
            <rFont val="Tahoma"/>
            <family val="2"/>
          </rPr>
          <t>Definition is in the "General info" tab.
Use the dropdown list.</t>
        </r>
      </text>
    </comment>
    <comment ref="A9" authorId="0" shapeId="0" xr:uid="{7C6C74E5-57A1-4AFD-86B5-0E017E3A1F52}">
      <text>
        <r>
          <rPr>
            <b/>
            <sz val="9"/>
            <color indexed="81"/>
            <rFont val="Tahoma"/>
            <family val="2"/>
          </rPr>
          <t>See Guide (help)</t>
        </r>
        <r>
          <rPr>
            <sz val="9"/>
            <color indexed="81"/>
            <rFont val="Tahoma"/>
            <family val="2"/>
          </rPr>
          <t xml:space="preserve">
</t>
        </r>
      </text>
    </comment>
    <comment ref="A11" authorId="0" shapeId="0" xr:uid="{99C6D5E0-928B-44A7-B2A0-F658FCACE816}">
      <text>
        <r>
          <rPr>
            <b/>
            <sz val="9"/>
            <color indexed="81"/>
            <rFont val="Tahoma"/>
            <family val="2"/>
          </rPr>
          <t xml:space="preserve">Describe the test environment and setup.
</t>
        </r>
        <r>
          <rPr>
            <sz val="9"/>
            <color indexed="81"/>
            <rFont val="Tahoma"/>
            <family val="2"/>
          </rPr>
          <t xml:space="preserve">
</t>
        </r>
      </text>
    </comment>
    <comment ref="A16" authorId="0" shapeId="0" xr:uid="{4343FDAC-0D17-41B2-B6D5-3CBFF2925269}">
      <text>
        <r>
          <rPr>
            <b/>
            <sz val="9"/>
            <color indexed="81"/>
            <rFont val="Tahoma"/>
            <family val="2"/>
          </rPr>
          <t>Give the initial state before beginning the test.</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344D6F8F-1075-403E-8182-55B87AA5B511}">
      <text>
        <r>
          <rPr>
            <b/>
            <sz val="9"/>
            <color indexed="81"/>
            <rFont val="Tahoma"/>
            <family val="2"/>
          </rPr>
          <t xml:space="preserve">See Guide (help)
</t>
        </r>
        <r>
          <rPr>
            <sz val="9"/>
            <color indexed="81"/>
            <rFont val="Tahoma"/>
            <family val="2"/>
          </rPr>
          <t xml:space="preserve">
</t>
        </r>
      </text>
    </comment>
    <comment ref="A3" authorId="0" shapeId="0" xr:uid="{1468EBE6-3492-4C39-8DAC-8B01D4707C06}">
      <text>
        <r>
          <rPr>
            <b/>
            <sz val="9"/>
            <color indexed="81"/>
            <rFont val="Tahoma"/>
            <family val="2"/>
          </rPr>
          <t xml:space="preserve">See Guide (help)
</t>
        </r>
        <r>
          <rPr>
            <sz val="9"/>
            <color indexed="81"/>
            <rFont val="Tahoma"/>
            <family val="2"/>
          </rPr>
          <t xml:space="preserve">
</t>
        </r>
      </text>
    </comment>
    <comment ref="A5" authorId="0" shapeId="0" xr:uid="{896F3324-653D-44B5-B01C-F191588B621B}">
      <text>
        <r>
          <rPr>
            <sz val="9"/>
            <color indexed="81"/>
            <rFont val="Tahoma"/>
            <family val="2"/>
          </rPr>
          <t>Definition is in the "General info" tab.
Use the dropdown list.</t>
        </r>
      </text>
    </comment>
    <comment ref="A9" authorId="0" shapeId="0" xr:uid="{25466B8A-24E4-4275-9E5A-1C37F0A0F359}">
      <text>
        <r>
          <rPr>
            <b/>
            <sz val="9"/>
            <color indexed="81"/>
            <rFont val="Tahoma"/>
            <family val="2"/>
          </rPr>
          <t>See Guide (help)</t>
        </r>
        <r>
          <rPr>
            <sz val="9"/>
            <color indexed="81"/>
            <rFont val="Tahoma"/>
            <family val="2"/>
          </rPr>
          <t xml:space="preserve">
</t>
        </r>
      </text>
    </comment>
    <comment ref="A11" authorId="0" shapeId="0" xr:uid="{EA66B798-479D-4039-8D08-56DC02FD46FB}">
      <text>
        <r>
          <rPr>
            <b/>
            <sz val="9"/>
            <color indexed="81"/>
            <rFont val="Tahoma"/>
            <family val="2"/>
          </rPr>
          <t xml:space="preserve">Describe the test environment and setup.
</t>
        </r>
        <r>
          <rPr>
            <sz val="9"/>
            <color indexed="81"/>
            <rFont val="Tahoma"/>
            <family val="2"/>
          </rPr>
          <t xml:space="preserve">
</t>
        </r>
      </text>
    </comment>
    <comment ref="A16" authorId="0" shapeId="0" xr:uid="{E154B9EC-28C9-48BA-BFF2-9B6F38FC5844}">
      <text>
        <r>
          <rPr>
            <b/>
            <sz val="9"/>
            <color indexed="81"/>
            <rFont val="Tahoma"/>
            <family val="2"/>
          </rPr>
          <t>Give the initial state before beginning the test.</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23ADE31C-85A5-4FE8-904B-C97AE9EBB8FA}">
      <text>
        <r>
          <rPr>
            <b/>
            <sz val="9"/>
            <color indexed="81"/>
            <rFont val="Tahoma"/>
            <family val="2"/>
          </rPr>
          <t xml:space="preserve">See Guide (help)
</t>
        </r>
        <r>
          <rPr>
            <sz val="9"/>
            <color indexed="81"/>
            <rFont val="Tahoma"/>
            <family val="2"/>
          </rPr>
          <t xml:space="preserve">
</t>
        </r>
      </text>
    </comment>
    <comment ref="A3" authorId="0" shapeId="0" xr:uid="{59E895A5-2179-4FA1-AAD6-2D01BF58D07C}">
      <text>
        <r>
          <rPr>
            <b/>
            <sz val="9"/>
            <color indexed="81"/>
            <rFont val="Tahoma"/>
            <family val="2"/>
          </rPr>
          <t xml:space="preserve">See Guide (help)
</t>
        </r>
        <r>
          <rPr>
            <sz val="9"/>
            <color indexed="81"/>
            <rFont val="Tahoma"/>
            <family val="2"/>
          </rPr>
          <t xml:space="preserve">
</t>
        </r>
      </text>
    </comment>
    <comment ref="A5" authorId="0" shapeId="0" xr:uid="{057DF63F-1448-4B6D-B70D-B65F0EB385A7}">
      <text>
        <r>
          <rPr>
            <sz val="9"/>
            <color indexed="81"/>
            <rFont val="Tahoma"/>
            <family val="2"/>
          </rPr>
          <t>Definition is in the "General info" tab.
Use the dropdown list.</t>
        </r>
      </text>
    </comment>
    <comment ref="A9" authorId="0" shapeId="0" xr:uid="{2A7CBC13-4402-4597-B285-654DA8790A97}">
      <text>
        <r>
          <rPr>
            <b/>
            <sz val="9"/>
            <color indexed="81"/>
            <rFont val="Tahoma"/>
            <family val="2"/>
          </rPr>
          <t>See Guide (help)</t>
        </r>
        <r>
          <rPr>
            <sz val="9"/>
            <color indexed="81"/>
            <rFont val="Tahoma"/>
            <family val="2"/>
          </rPr>
          <t xml:space="preserve">
</t>
        </r>
      </text>
    </comment>
    <comment ref="A11" authorId="0" shapeId="0" xr:uid="{D297AD31-D263-4498-8E4F-8338DAFEC083}">
      <text>
        <r>
          <rPr>
            <b/>
            <sz val="9"/>
            <color indexed="81"/>
            <rFont val="Tahoma"/>
            <family val="2"/>
          </rPr>
          <t xml:space="preserve">Describe the test environment and setup.
</t>
        </r>
        <r>
          <rPr>
            <sz val="9"/>
            <color indexed="81"/>
            <rFont val="Tahoma"/>
            <family val="2"/>
          </rPr>
          <t xml:space="preserve">
</t>
        </r>
      </text>
    </comment>
    <comment ref="A16" authorId="0" shapeId="0" xr:uid="{E29EE0C4-C2A2-4321-99E0-3C03E8725C13}">
      <text>
        <r>
          <rPr>
            <b/>
            <sz val="9"/>
            <color indexed="81"/>
            <rFont val="Tahoma"/>
            <family val="2"/>
          </rPr>
          <t>Give the initial state before beginning the test.</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351EE92F-5F74-42EC-97F7-49A076DD107E}">
      <text>
        <r>
          <rPr>
            <b/>
            <sz val="9"/>
            <color indexed="81"/>
            <rFont val="Tahoma"/>
            <family val="2"/>
          </rPr>
          <t xml:space="preserve">See Guide (help)
</t>
        </r>
        <r>
          <rPr>
            <sz val="9"/>
            <color indexed="81"/>
            <rFont val="Tahoma"/>
            <family val="2"/>
          </rPr>
          <t xml:space="preserve">
</t>
        </r>
      </text>
    </comment>
    <comment ref="A3" authorId="0" shapeId="0" xr:uid="{F74FD497-3ED1-4C09-98F3-2DD92D5EC912}">
      <text>
        <r>
          <rPr>
            <b/>
            <sz val="9"/>
            <color indexed="81"/>
            <rFont val="Tahoma"/>
            <family val="2"/>
          </rPr>
          <t xml:space="preserve">See Guide (help)
</t>
        </r>
        <r>
          <rPr>
            <sz val="9"/>
            <color indexed="81"/>
            <rFont val="Tahoma"/>
            <family val="2"/>
          </rPr>
          <t xml:space="preserve">
</t>
        </r>
      </text>
    </comment>
    <comment ref="A5" authorId="0" shapeId="0" xr:uid="{CDB67D40-5004-418B-B6CE-4F96321B7090}">
      <text>
        <r>
          <rPr>
            <sz val="9"/>
            <color indexed="81"/>
            <rFont val="Tahoma"/>
            <family val="2"/>
          </rPr>
          <t>Definition is in the "General info" tab.
Use the dropdown list.</t>
        </r>
      </text>
    </comment>
    <comment ref="A9" authorId="0" shapeId="0" xr:uid="{C5E2413B-2D1E-4A94-98E5-03B07454F86B}">
      <text>
        <r>
          <rPr>
            <b/>
            <sz val="9"/>
            <color indexed="81"/>
            <rFont val="Tahoma"/>
            <family val="2"/>
          </rPr>
          <t>See Guide (help)</t>
        </r>
        <r>
          <rPr>
            <sz val="9"/>
            <color indexed="81"/>
            <rFont val="Tahoma"/>
            <family val="2"/>
          </rPr>
          <t xml:space="preserve">
</t>
        </r>
      </text>
    </comment>
    <comment ref="A11" authorId="0" shapeId="0" xr:uid="{455C8720-1498-44AF-B1A4-BD3A053BE304}">
      <text>
        <r>
          <rPr>
            <b/>
            <sz val="9"/>
            <color indexed="81"/>
            <rFont val="Tahoma"/>
            <family val="2"/>
          </rPr>
          <t xml:space="preserve">Describe the test environment and setup.
</t>
        </r>
        <r>
          <rPr>
            <sz val="9"/>
            <color indexed="81"/>
            <rFont val="Tahoma"/>
            <family val="2"/>
          </rPr>
          <t xml:space="preserve">
</t>
        </r>
      </text>
    </comment>
    <comment ref="A16" authorId="0" shapeId="0" xr:uid="{251D2D6A-DDF1-45AD-8D90-C0B881AFE0F6}">
      <text>
        <r>
          <rPr>
            <b/>
            <sz val="9"/>
            <color indexed="81"/>
            <rFont val="Tahoma"/>
            <family val="2"/>
          </rPr>
          <t>Give the initial state before beginning the test.</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F79FAD29-3FA9-4838-9601-83FE02F4FCD0}">
      <text>
        <r>
          <rPr>
            <b/>
            <sz val="9"/>
            <color indexed="81"/>
            <rFont val="Tahoma"/>
            <family val="2"/>
          </rPr>
          <t xml:space="preserve">See Guide (help)
</t>
        </r>
        <r>
          <rPr>
            <sz val="9"/>
            <color indexed="81"/>
            <rFont val="Tahoma"/>
            <family val="2"/>
          </rPr>
          <t xml:space="preserve">
</t>
        </r>
      </text>
    </comment>
    <comment ref="A3" authorId="0" shapeId="0" xr:uid="{DC8F81A8-B6BA-42B2-8931-09904FABE1E1}">
      <text>
        <r>
          <rPr>
            <b/>
            <sz val="9"/>
            <color indexed="81"/>
            <rFont val="Tahoma"/>
            <family val="2"/>
          </rPr>
          <t xml:space="preserve">See Guide (help)
</t>
        </r>
        <r>
          <rPr>
            <sz val="9"/>
            <color indexed="81"/>
            <rFont val="Tahoma"/>
            <family val="2"/>
          </rPr>
          <t xml:space="preserve">
</t>
        </r>
      </text>
    </comment>
    <comment ref="A5" authorId="0" shapeId="0" xr:uid="{618DD874-1248-4F63-AFD9-2D8687C11AED}">
      <text>
        <r>
          <rPr>
            <sz val="9"/>
            <color indexed="81"/>
            <rFont val="Tahoma"/>
            <family val="2"/>
          </rPr>
          <t>Definition is in the "General info" tab.
Use the dropdown list.</t>
        </r>
      </text>
    </comment>
    <comment ref="A9" authorId="0" shapeId="0" xr:uid="{D8197306-3977-4AB2-AEB4-8AD013B32E89}">
      <text>
        <r>
          <rPr>
            <b/>
            <sz val="9"/>
            <color indexed="81"/>
            <rFont val="Tahoma"/>
            <family val="2"/>
          </rPr>
          <t>See Guide (help)</t>
        </r>
        <r>
          <rPr>
            <sz val="9"/>
            <color indexed="81"/>
            <rFont val="Tahoma"/>
            <family val="2"/>
          </rPr>
          <t xml:space="preserve">
</t>
        </r>
      </text>
    </comment>
    <comment ref="A11" authorId="0" shapeId="0" xr:uid="{1B09923C-F54D-4E92-A8DB-A475F9EC5647}">
      <text>
        <r>
          <rPr>
            <b/>
            <sz val="9"/>
            <color indexed="81"/>
            <rFont val="Tahoma"/>
            <family val="2"/>
          </rPr>
          <t xml:space="preserve">Describe the test environment and setup.
</t>
        </r>
        <r>
          <rPr>
            <sz val="9"/>
            <color indexed="81"/>
            <rFont val="Tahoma"/>
            <family val="2"/>
          </rPr>
          <t xml:space="preserve">
</t>
        </r>
      </text>
    </comment>
    <comment ref="A16" authorId="0" shapeId="0" xr:uid="{B2B39BD2-8986-41B3-A3C5-C7A6179ECA18}">
      <text>
        <r>
          <rPr>
            <b/>
            <sz val="9"/>
            <color indexed="81"/>
            <rFont val="Tahoma"/>
            <family val="2"/>
          </rPr>
          <t>Give the initial state before beginning the test.</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F1DC536-30E1-41D8-A8A5-B9A297487F4A}">
      <text>
        <r>
          <rPr>
            <b/>
            <sz val="9"/>
            <color indexed="81"/>
            <rFont val="Tahoma"/>
            <family val="2"/>
          </rPr>
          <t xml:space="preserve">See Guide (help)
</t>
        </r>
        <r>
          <rPr>
            <sz val="9"/>
            <color indexed="81"/>
            <rFont val="Tahoma"/>
            <family val="2"/>
          </rPr>
          <t xml:space="preserve">
</t>
        </r>
      </text>
    </comment>
    <comment ref="A3" authorId="0" shapeId="0" xr:uid="{594DCB90-0409-4FDC-971F-E764C6A29135}">
      <text>
        <r>
          <rPr>
            <b/>
            <sz val="9"/>
            <color indexed="81"/>
            <rFont val="Tahoma"/>
            <family val="2"/>
          </rPr>
          <t xml:space="preserve">See Guide (help)
</t>
        </r>
        <r>
          <rPr>
            <sz val="9"/>
            <color indexed="81"/>
            <rFont val="Tahoma"/>
            <family val="2"/>
          </rPr>
          <t xml:space="preserve">
</t>
        </r>
      </text>
    </comment>
    <comment ref="A5" authorId="0" shapeId="0" xr:uid="{560DE0AF-96C3-4A7B-8F30-A2D3F925F3E8}">
      <text>
        <r>
          <rPr>
            <sz val="9"/>
            <color indexed="81"/>
            <rFont val="Tahoma"/>
            <family val="2"/>
          </rPr>
          <t>Definition is in the "General info" tab.
Use the dropdown list.</t>
        </r>
      </text>
    </comment>
    <comment ref="A9" authorId="0" shapeId="0" xr:uid="{663D69D2-0911-4A12-82FC-3BDF15A3DBAD}">
      <text>
        <r>
          <rPr>
            <b/>
            <sz val="9"/>
            <color indexed="81"/>
            <rFont val="Tahoma"/>
            <family val="2"/>
          </rPr>
          <t>See Guide (help)</t>
        </r>
        <r>
          <rPr>
            <sz val="9"/>
            <color indexed="81"/>
            <rFont val="Tahoma"/>
            <family val="2"/>
          </rPr>
          <t xml:space="preserve">
</t>
        </r>
      </text>
    </comment>
    <comment ref="A11" authorId="0" shapeId="0" xr:uid="{A908103C-5131-4FA9-8957-1F6C71E95460}">
      <text>
        <r>
          <rPr>
            <b/>
            <sz val="9"/>
            <color indexed="81"/>
            <rFont val="Tahoma"/>
            <family val="2"/>
          </rPr>
          <t xml:space="preserve">Describe the test environment and setup.
</t>
        </r>
        <r>
          <rPr>
            <sz val="9"/>
            <color indexed="81"/>
            <rFont val="Tahoma"/>
            <family val="2"/>
          </rPr>
          <t xml:space="preserve">
</t>
        </r>
      </text>
    </comment>
    <comment ref="A16" authorId="0" shapeId="0" xr:uid="{73207A65-E7CB-4BEE-A773-6642FB0BF108}">
      <text>
        <r>
          <rPr>
            <b/>
            <sz val="9"/>
            <color indexed="81"/>
            <rFont val="Tahoma"/>
            <family val="2"/>
          </rPr>
          <t>Give the initial state before beginning the test.</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B14491C0-9D4B-4F89-BE5A-5F4380D1C311}">
      <text>
        <r>
          <rPr>
            <b/>
            <sz val="9"/>
            <color indexed="81"/>
            <rFont val="Tahoma"/>
            <family val="2"/>
          </rPr>
          <t xml:space="preserve">See Guide (help)
</t>
        </r>
        <r>
          <rPr>
            <sz val="9"/>
            <color indexed="81"/>
            <rFont val="Tahoma"/>
            <family val="2"/>
          </rPr>
          <t xml:space="preserve">
</t>
        </r>
      </text>
    </comment>
    <comment ref="A3" authorId="0" shapeId="0" xr:uid="{B41C9A94-C7F8-4CA5-8CA5-E89474DC1BA6}">
      <text>
        <r>
          <rPr>
            <b/>
            <sz val="9"/>
            <color indexed="81"/>
            <rFont val="Tahoma"/>
            <family val="2"/>
          </rPr>
          <t xml:space="preserve">See Guide (help)
</t>
        </r>
        <r>
          <rPr>
            <sz val="9"/>
            <color indexed="81"/>
            <rFont val="Tahoma"/>
            <family val="2"/>
          </rPr>
          <t xml:space="preserve">
</t>
        </r>
      </text>
    </comment>
    <comment ref="A5" authorId="0" shapeId="0" xr:uid="{C48383D8-210A-4BDE-BE15-E193F0A2D7A9}">
      <text>
        <r>
          <rPr>
            <sz val="9"/>
            <color indexed="81"/>
            <rFont val="Tahoma"/>
            <family val="2"/>
          </rPr>
          <t>Definition is in the "General info" tab.
Use the dropdown list.</t>
        </r>
      </text>
    </comment>
    <comment ref="A9" authorId="0" shapeId="0" xr:uid="{3645584D-B69F-473A-B7C9-05B7A0FC4516}">
      <text>
        <r>
          <rPr>
            <b/>
            <sz val="9"/>
            <color indexed="81"/>
            <rFont val="Tahoma"/>
            <family val="2"/>
          </rPr>
          <t>See Guide (help)</t>
        </r>
        <r>
          <rPr>
            <sz val="9"/>
            <color indexed="81"/>
            <rFont val="Tahoma"/>
            <family val="2"/>
          </rPr>
          <t xml:space="preserve">
</t>
        </r>
      </text>
    </comment>
    <comment ref="A11" authorId="0" shapeId="0" xr:uid="{01FD36A0-3191-461C-96CF-298FD0C637E2}">
      <text>
        <r>
          <rPr>
            <b/>
            <sz val="9"/>
            <color indexed="81"/>
            <rFont val="Tahoma"/>
            <family val="2"/>
          </rPr>
          <t xml:space="preserve">Describe the test environment and setup.
</t>
        </r>
        <r>
          <rPr>
            <sz val="9"/>
            <color indexed="81"/>
            <rFont val="Tahoma"/>
            <family val="2"/>
          </rPr>
          <t xml:space="preserve">
</t>
        </r>
      </text>
    </comment>
    <comment ref="A16" authorId="0" shapeId="0" xr:uid="{EEAEAE76-B801-4698-8A23-2713D841385B}">
      <text>
        <r>
          <rPr>
            <b/>
            <sz val="9"/>
            <color indexed="81"/>
            <rFont val="Tahoma"/>
            <family val="2"/>
          </rPr>
          <t>Give the initial state before beginning the test.</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2946B22E-479E-4C6B-937D-78C3CFA7D249}">
      <text>
        <r>
          <rPr>
            <b/>
            <sz val="9"/>
            <color indexed="81"/>
            <rFont val="Tahoma"/>
            <family val="2"/>
          </rPr>
          <t xml:space="preserve">See Guide (help)
</t>
        </r>
        <r>
          <rPr>
            <sz val="9"/>
            <color indexed="81"/>
            <rFont val="Tahoma"/>
            <family val="2"/>
          </rPr>
          <t xml:space="preserve">
</t>
        </r>
      </text>
    </comment>
    <comment ref="A3" authorId="0" shapeId="0" xr:uid="{EA6B04CB-5C2A-4474-A648-83660AA4463A}">
      <text>
        <r>
          <rPr>
            <b/>
            <sz val="9"/>
            <color indexed="81"/>
            <rFont val="Tahoma"/>
            <family val="2"/>
          </rPr>
          <t xml:space="preserve">See Guide (help)
</t>
        </r>
        <r>
          <rPr>
            <sz val="9"/>
            <color indexed="81"/>
            <rFont val="Tahoma"/>
            <family val="2"/>
          </rPr>
          <t xml:space="preserve">
</t>
        </r>
      </text>
    </comment>
    <comment ref="A5" authorId="0" shapeId="0" xr:uid="{83C37CA8-6770-4222-B613-A2C25D9ABAE2}">
      <text>
        <r>
          <rPr>
            <sz val="9"/>
            <color indexed="81"/>
            <rFont val="Tahoma"/>
            <family val="2"/>
          </rPr>
          <t>Definition is in the "General info" tab.
Use the dropdown list.</t>
        </r>
      </text>
    </comment>
    <comment ref="A9" authorId="0" shapeId="0" xr:uid="{D7305328-4092-4F30-BC41-68B781D5FFA4}">
      <text>
        <r>
          <rPr>
            <b/>
            <sz val="9"/>
            <color indexed="81"/>
            <rFont val="Tahoma"/>
            <family val="2"/>
          </rPr>
          <t>See Guide (help)</t>
        </r>
        <r>
          <rPr>
            <sz val="9"/>
            <color indexed="81"/>
            <rFont val="Tahoma"/>
            <family val="2"/>
          </rPr>
          <t xml:space="preserve">
</t>
        </r>
      </text>
    </comment>
    <comment ref="A11" authorId="0" shapeId="0" xr:uid="{C6E04EA3-F9F4-445D-8A69-FD6A7C41787D}">
      <text>
        <r>
          <rPr>
            <b/>
            <sz val="9"/>
            <color indexed="81"/>
            <rFont val="Tahoma"/>
            <family val="2"/>
          </rPr>
          <t xml:space="preserve">Describe the test environment and setup.
</t>
        </r>
        <r>
          <rPr>
            <sz val="9"/>
            <color indexed="81"/>
            <rFont val="Tahoma"/>
            <family val="2"/>
          </rPr>
          <t xml:space="preserve">
</t>
        </r>
      </text>
    </comment>
    <comment ref="A16" authorId="0" shapeId="0" xr:uid="{E4D676BE-AF77-4E3A-B755-E845BEB02C7B}">
      <text>
        <r>
          <rPr>
            <b/>
            <sz val="9"/>
            <color indexed="81"/>
            <rFont val="Tahoma"/>
            <family val="2"/>
          </rPr>
          <t>Give the initial state before beginning the test.</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55996DC0-AAB5-4C6F-8B41-6EDD18D9CDB6}">
      <text>
        <r>
          <rPr>
            <b/>
            <sz val="9"/>
            <color indexed="81"/>
            <rFont val="Tahoma"/>
            <family val="2"/>
          </rPr>
          <t xml:space="preserve">See Guide (help)
</t>
        </r>
        <r>
          <rPr>
            <sz val="9"/>
            <color indexed="81"/>
            <rFont val="Tahoma"/>
            <family val="2"/>
          </rPr>
          <t xml:space="preserve">
</t>
        </r>
      </text>
    </comment>
    <comment ref="A3" authorId="0" shapeId="0" xr:uid="{286CA4D8-7EF4-4619-B075-AA3A051F75EF}">
      <text>
        <r>
          <rPr>
            <b/>
            <sz val="9"/>
            <color indexed="81"/>
            <rFont val="Tahoma"/>
            <family val="2"/>
          </rPr>
          <t xml:space="preserve">See Guide (help)
</t>
        </r>
        <r>
          <rPr>
            <sz val="9"/>
            <color indexed="81"/>
            <rFont val="Tahoma"/>
            <family val="2"/>
          </rPr>
          <t xml:space="preserve">
</t>
        </r>
      </text>
    </comment>
    <comment ref="A5" authorId="0" shapeId="0" xr:uid="{627214DB-5238-4445-977D-C5A73F13C28D}">
      <text>
        <r>
          <rPr>
            <sz val="9"/>
            <color indexed="81"/>
            <rFont val="Tahoma"/>
            <family val="2"/>
          </rPr>
          <t>Definition is in the "General info" tab.
Use the dropdown list.</t>
        </r>
      </text>
    </comment>
    <comment ref="A9" authorId="0" shapeId="0" xr:uid="{9EF9B6BC-4224-4E30-9B43-57E0A2118865}">
      <text>
        <r>
          <rPr>
            <b/>
            <sz val="9"/>
            <color indexed="81"/>
            <rFont val="Tahoma"/>
            <family val="2"/>
          </rPr>
          <t>See Guide (help)</t>
        </r>
        <r>
          <rPr>
            <sz val="9"/>
            <color indexed="81"/>
            <rFont val="Tahoma"/>
            <family val="2"/>
          </rPr>
          <t xml:space="preserve">
</t>
        </r>
      </text>
    </comment>
    <comment ref="A11" authorId="0" shapeId="0" xr:uid="{4EAD40DD-2342-4F60-9D56-1C7996E94E1B}">
      <text>
        <r>
          <rPr>
            <b/>
            <sz val="9"/>
            <color indexed="81"/>
            <rFont val="Tahoma"/>
            <family val="2"/>
          </rPr>
          <t xml:space="preserve">Describe the test environment and setup.
</t>
        </r>
        <r>
          <rPr>
            <sz val="9"/>
            <color indexed="81"/>
            <rFont val="Tahoma"/>
            <family val="2"/>
          </rPr>
          <t xml:space="preserve">
</t>
        </r>
      </text>
    </comment>
    <comment ref="A16" authorId="0" shapeId="0" xr:uid="{FCCFE285-A86E-4053-8B85-9AA5214A932F}">
      <text>
        <r>
          <rPr>
            <b/>
            <sz val="9"/>
            <color indexed="81"/>
            <rFont val="Tahoma"/>
            <family val="2"/>
          </rPr>
          <t>Give the initial state before beginning the test.</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B525A497-7CEC-405F-9F08-BC8613B47AD6}">
      <text>
        <r>
          <rPr>
            <b/>
            <sz val="9"/>
            <color indexed="81"/>
            <rFont val="Tahoma"/>
            <family val="2"/>
          </rPr>
          <t xml:space="preserve">See Guide (help)
</t>
        </r>
        <r>
          <rPr>
            <sz val="9"/>
            <color indexed="81"/>
            <rFont val="Tahoma"/>
            <family val="2"/>
          </rPr>
          <t xml:space="preserve">
</t>
        </r>
      </text>
    </comment>
    <comment ref="A3" authorId="0" shapeId="0" xr:uid="{6DA86DFF-8F32-433A-A925-BA262CD4BABE}">
      <text>
        <r>
          <rPr>
            <b/>
            <sz val="9"/>
            <color indexed="81"/>
            <rFont val="Tahoma"/>
            <family val="2"/>
          </rPr>
          <t xml:space="preserve">See Guide (help)
</t>
        </r>
        <r>
          <rPr>
            <sz val="9"/>
            <color indexed="81"/>
            <rFont val="Tahoma"/>
            <family val="2"/>
          </rPr>
          <t xml:space="preserve">
</t>
        </r>
      </text>
    </comment>
    <comment ref="A5" authorId="0" shapeId="0" xr:uid="{5349F6CE-7B26-4C90-AD6F-A346F4EFBF92}">
      <text>
        <r>
          <rPr>
            <sz val="9"/>
            <color indexed="81"/>
            <rFont val="Tahoma"/>
            <family val="2"/>
          </rPr>
          <t>Definition is in the "General info" tab.
Use the dropdown list.</t>
        </r>
      </text>
    </comment>
    <comment ref="A9" authorId="0" shapeId="0" xr:uid="{EC33ED19-F234-4432-B155-68AD6E920B23}">
      <text>
        <r>
          <rPr>
            <b/>
            <sz val="9"/>
            <color indexed="81"/>
            <rFont val="Tahoma"/>
            <family val="2"/>
          </rPr>
          <t>See Guide (help)</t>
        </r>
        <r>
          <rPr>
            <sz val="9"/>
            <color indexed="81"/>
            <rFont val="Tahoma"/>
            <family val="2"/>
          </rPr>
          <t xml:space="preserve">
</t>
        </r>
      </text>
    </comment>
    <comment ref="A11" authorId="0" shapeId="0" xr:uid="{889C6737-31B7-4330-A034-892796B080AD}">
      <text>
        <r>
          <rPr>
            <b/>
            <sz val="9"/>
            <color indexed="81"/>
            <rFont val="Tahoma"/>
            <family val="2"/>
          </rPr>
          <t xml:space="preserve">Describe the test environment and setup.
</t>
        </r>
        <r>
          <rPr>
            <sz val="9"/>
            <color indexed="81"/>
            <rFont val="Tahoma"/>
            <family val="2"/>
          </rPr>
          <t xml:space="preserve">
</t>
        </r>
      </text>
    </comment>
    <comment ref="A16" authorId="0" shapeId="0" xr:uid="{406787A0-D799-4ABA-AC0A-A1A6EDD04B9E}">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<sst xmlns="http://schemas.openxmlformats.org/spreadsheetml/2006/main" count="1206" uniqueCount="392">
  <si>
    <t>Project Number &amp; Name</t>
  </si>
  <si>
    <t>Document state</t>
  </si>
  <si>
    <t>Document id</t>
  </si>
  <si>
    <t>Document title</t>
  </si>
  <si>
    <t>Version</t>
  </si>
  <si>
    <t>Description/comment</t>
  </si>
  <si>
    <t>Tab</t>
  </si>
  <si>
    <t>ID</t>
  </si>
  <si>
    <t>Title</t>
  </si>
  <si>
    <t>Reference &amp; revision</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</si>
  <si>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</si>
  <si>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</si>
  <si>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</si>
  <si>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</si>
  <si>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</si>
  <si>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</si>
  <si>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</si>
  <si>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</si>
  <si>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</si>
  <si>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</si>
  <si>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</si>
  <si>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</si>
  <si>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</si>
  <si>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</si>
  <si>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</si>
  <si>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</si>
  <si>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</si>
  <si>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</si>
  <si>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</si>
  <si>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</si>
  <si>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</si>
  <si>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</si>
  <si>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</si>
  <si>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</si>
  <si>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</si>
  <si>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</si>
  <si>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</si>
  <si>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</si>
  <si>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</si>
  <si>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</si>
  <si>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</si>
  <si>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</si>
  <si>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</si>
  <si>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</si>
  <si>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</si>
  <si>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</si>
  <si>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</si>
  <si>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</si>
  <si>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</si>
  <si>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</si>
  <si>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</si>
  <si>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</si>
  <si>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</si>
  <si>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</si>
  <si>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</si>
  <si>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</si>
  <si>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</si>
  <si>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</si>
  <si>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</si>
  <si>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</si>
  <si>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</si>
  <si>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</si>
  <si>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</si>
  <si>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</si>
  <si>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</si>
  <si>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</si>
  <si>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</si>
  <si>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</si>
  <si>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</si>
  <si>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</si>
  <si>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</si>
  <si>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</si>
  <si>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</si>
  <si>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</si>
  <si>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</si>
  <si>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</si>
  <si>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</si>
  <si>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</si>
  <si>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</si>
  <si>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</si>
  <si>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</si>
  <si>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</si>
  <si>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</si>
  <si>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</si>
  <si>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</si>
  <si>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</si>
  <si>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</si>
  <si>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</si>
  <si>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</si>
  <si>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</si>
  <si>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</si>
  <si>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</si>
  <si>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</si>
  <si>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</si>
  <si>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</si>
  <si>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</si>
  <si>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</si>
  <si>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</si>
  <si>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</si>
  <si>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</si>
  <si>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</si>
  <si>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</si>
  <si>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</si>
  <si>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</si>
  <si>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</si>
  <si>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</si>
  <si>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</si>
  <si>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</si>
  <si>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</si>
  <si>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</si>
  <si>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</si>
  <si>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</si>
  <si>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</si>
  <si>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</si>
  <si>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</si>
  <si>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</si>
  <si>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</si>
  <si>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</si>
  <si>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</si>
  <si>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</si>
  <si>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</si>
  <si>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</si>
  <si>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This sheet helps to fill the differents fields and sheets of the template.</t>
  </si>
  <si>
    <t>254888 DAIMLER MER W174W178 EL SB ECU</t>
  </si>
  <si>
    <t>Initial revision</t>
  </si>
  <si>
    <t>NA</t>
  </si>
  <si>
    <t xml:space="preserve">See Project Master Document for the roles and Project Members List for the name of people </t>
  </si>
  <si>
    <t>Stefan Dominte</t>
  </si>
  <si>
    <t>Ok</t>
  </si>
  <si>
    <t>Nominal</t>
  </si>
  <si>
    <t>23.06.2022</t>
  </si>
  <si>
    <t>1.1</t>
  </si>
  <si>
    <t>1.2</t>
  </si>
  <si>
    <t>Revision update</t>
  </si>
  <si>
    <t>Breakpoint is reached</t>
  </si>
  <si>
    <t>ARCH_SW_ATM_0001</t>
  </si>
  <si>
    <t>Verifies that all tests are initialized with status NOT_DECIDED</t>
  </si>
  <si>
    <t>Breakpoint not reached</t>
  </si>
  <si>
    <t>Nok</t>
  </si>
  <si>
    <t>ARCH_SW_ATM_0002</t>
  </si>
  <si>
    <t>Verify if the Main entry for execution of Autotest is ATM_runMainFunction.</t>
  </si>
  <si>
    <t>Set breakpoint at function ATM_runMainFunction() from file ATM.c at line "atm_PlayCyclicTests(castRunningCyclicList);" and press run</t>
  </si>
  <si>
    <t>In the function executeAutoTest() set a breakpoint at line "Rte_Call_pclModeManagement_CheckModeStatus(cau32InhibitingModes[u8InhibModesIndex], &amp;u8InhibitingContextStatus);" and press run</t>
  </si>
  <si>
    <t>Step 8</t>
  </si>
  <si>
    <t>Set a breakpoint in file ATM.c at function ATM_runMainFunction() at line "if (u8StartupTestIndex &lt; (ATM_KU8_NB_OF_STARTUP_AUTO_TESTS + 1u))"</t>
  </si>
  <si>
    <t>Autotest reuslts/ reports</t>
  </si>
  <si>
    <t>Test initialization</t>
  </si>
  <si>
    <t>Check in ATM_cfg.c at line "/* 0  : ATM_KU8_ID_TEST_ADC                              */ ", if inhibiting value for ADC_cbk_CheckAdc is 01</t>
  </si>
  <si>
    <t>Step 9</t>
  </si>
  <si>
    <t>Step 10</t>
  </si>
  <si>
    <t>Step 11</t>
  </si>
  <si>
    <t>Step 12</t>
  </si>
  <si>
    <t>Step 13</t>
  </si>
  <si>
    <t>Step 14</t>
  </si>
  <si>
    <t>Step 15</t>
  </si>
  <si>
    <t>Step 16</t>
  </si>
  <si>
    <t>Step 17</t>
  </si>
  <si>
    <t>Step 18</t>
  </si>
  <si>
    <t>Step 19</t>
  </si>
  <si>
    <t>Step 20</t>
  </si>
  <si>
    <t>Step 21</t>
  </si>
  <si>
    <t>Step 22</t>
  </si>
  <si>
    <t>Step 23</t>
  </si>
  <si>
    <t>Step 24</t>
  </si>
  <si>
    <t>Step 25</t>
  </si>
  <si>
    <t>Step 26</t>
  </si>
  <si>
    <t>Step 27</t>
  </si>
  <si>
    <t>Step 28</t>
  </si>
  <si>
    <t>Step 29</t>
  </si>
  <si>
    <t>Step 30</t>
  </si>
  <si>
    <t>Step 31</t>
  </si>
  <si>
    <t>Step 32</t>
  </si>
  <si>
    <t>Step 33</t>
  </si>
  <si>
    <t>Check in ATM_cfg.c at line "/* 1  : ATM_KU8_ID_TEST_HIGH_SIDE_SWITCH                 */", if inhibiting value for PAL_cbk_CheckHighSideSwRegulation is 02</t>
  </si>
  <si>
    <t>Check in ATM_cfg.c at line "/* 2  : ATM_KU8_ID_TEST_DRIVER_COMMAND                   */ ", if inhibiting value for PAL_cbk_CheckCommandConsistency is 01</t>
  </si>
  <si>
    <t>Check in ATM_cfg.c at line "/* 3  : ATM_KU8_ID_TEST_MOSFET_HIGH_SHORT_CIRCUIT        */", if inhibiting value for PAL_cbk_CheckMosfetHighSC is 03</t>
  </si>
  <si>
    <t>Check in ATM_cfg.c at line "/* 4  : ATM_KU8_ID_TEST_MOSFET_LOW_SHORT_CIRCUIT         */", if inhibiting value for PAL_cbk_CheckMosfetLowSC is 03</t>
  </si>
  <si>
    <t>Check in ATM_cfg.c at line "/* 5  : ATM_KU8_ID_TEST_MOTOR_DISCONNECTION              */", if inhibiting value for PAL_cbk_CheckMotorConnection is 03</t>
  </si>
  <si>
    <t>Check in ATM_cfg.c at line "/* 7  : ATM_KU8_ID_TEST_MOSFET_OPEN_CIRCUIT              */", if inhibiting value for PAL_cbk_CheckMosfetOCAT is 03</t>
  </si>
  <si>
    <t>Check in ATM_cfg.c at line "/* 6  : ATM_KU8_ID_TEST_DRIVER_SELF_PROTECTION           */", if inhibiting value for PAL_cbk_CheckHWSelfProtection is 01</t>
  </si>
  <si>
    <t>Check in ATM_cfg.c at line "/* 8  : ATM_KU8_ID_PFLASH_MEMORY_CORRUPTION              */", if inhibiting value for KPF_NULL is 0</t>
  </si>
  <si>
    <t>Check in ATM_cfg.c at line "/* 9  : ATM_KU8_ID_TEST_HALL_EFFECT_SENSORS              */", if inhibiting value for BMM_cbk_CheckHallEffectSensor is 02</t>
  </si>
  <si>
    <t>Check in ATM_cfg.c at line "/* 10 : ATM_KU8_ID_TEST_MOTOR_CURRENT                    */", if inhibiting value for PAL_cbk_CheckMotorCurrent is 02</t>
  </si>
  <si>
    <t>Check in ATM_cfg.c at line "/* 11 : ATM_KU8_ID_TEST_MOTOR_BLOCKED                    */", if inhibiting value for PAL_cbk_CheckMotorDisengagement is 02</t>
  </si>
  <si>
    <t>Check in ATM_cfg.c at line "/* 12 : ATM_KU8_ID_TEST_MOTOR_TEMPERATURE                */", if inhibiting value for PAL_cbk_CheckMotorThermalProctection is 01</t>
  </si>
  <si>
    <t>Check in ATM_cfg.c at line "/* 13 : ATM_KU8_ID_TEST_SENSOR_TEMPERATURE               */", if inhibiting value for PMP_cbk_CheckTemperatureSensor is 01</t>
  </si>
  <si>
    <t>Check in ATM_cfg.c at line "/* 14 : ATM_KU8_ID_TEST_MOTOR_SHORT_CIRCUIT              */", if inhibiting value for PAL_cbk_CheckMotorSC is 01</t>
  </si>
  <si>
    <t>Check in ATM_cfg.c at line "/* 15 : ATM_KU8_ID_TEST_PWM_ORDER                        */", if inhibiting value for PAL_cbk_CheckMotorPowerOrder is 02</t>
  </si>
  <si>
    <t>Check in ATM_cfg.c at line "/* 16 : ATM_KU8_ID_TEST_UNDER_VOLTAGE_POWER              */", if inhibiting value for PMP_cbk_CheckPowerSupplyUV is 01</t>
  </si>
  <si>
    <t>Check in ATM_cfg.c at line "/* 17 : ATM_KU8_ID_TEST_OVER_VOLTAGE_POWER               */", if inhibiting value for PMP_cbk_CheckPowerSupplyOV is 01</t>
  </si>
  <si>
    <t>Check in ATM_cfg.c at line "/* 18 : ATM_KU8_ID_TEST_UNDER_VOLTAGE_TENSIONING_POWER   */", if inhibiting value for PMP_cbk_CheckPowerSupplyUVDuringActivation is 01</t>
  </si>
  <si>
    <t>Check in ATM_cfg.c at line "/* 19 : ATM_KU8_ID_TEST_OVER_VOLTAGE_TENSIONING_POWER    */", if inhibiting value for PMP_cbk_CheckPowerSupplyOVDuringActivation is 01</t>
  </si>
  <si>
    <t>Check in ATM_cfg.c at line "/* 20 : ATM_KU8_ID_EXT_WDG_OUT_OF_ORDER                  */", if inhibiting value for RCM_cbk_ExtWatchdogTest_Autotest is 0</t>
  </si>
  <si>
    <t>Check in ATM_cfg.c at line "/* 27 : ATM_KU8_ID_RESET_CAUSE                           */", if inhibiting value for RCM_cbk_RunResetCause_Autotest is 0</t>
  </si>
  <si>
    <t>Check in ATM_cfg.c at line "/* 26 : ATM_KU8_ID_CAN_BUS_OFF                           */", if inhibiting value for KPF_NULL is 0</t>
  </si>
  <si>
    <t>Check in ATM_cfg.c at line "/* 25 : ATM_KU8_ID_TFLASH_MEMORY_CORRUPTION              */", if inhibiting value for KPF_NULL is 0</t>
  </si>
  <si>
    <t>Check in ATM_cfg.c at line "/* 24 : ATM_KU8_ID_RAM_MEMORY_CORRUPTION                 */", if inhibiting value for KPF_NULL is 0</t>
  </si>
  <si>
    <t>Check in ATM_cfg.c at line "/* 23 : ATM_KU8_ID_NVM_MEMORY_CORRUPTION                 */", if inhibiting value for KPF_NULL is 0</t>
  </si>
  <si>
    <t>Check in ATM_cfg.c at line "/* 22 : ATM_KU8_ID_NVM_NOT_PROG                          */", if inhibiting value for KPF_NULL is 0</t>
  </si>
  <si>
    <t>Check in ATM_cfg.c at line "/* 21 : ATM_KU8_ID_FLS_OUT_OF_ORDER                      */", if inhibiting value for KPF_NULL is 0</t>
  </si>
  <si>
    <t>Check in ATM_cfg.c at line "/* 28 : ATM_KU8_ID_END_OF_LIFE_LOW_FORCE                 */", if inhibiting value for EOL_cbk_CheckProductEndOfLifeLowForce is 0</t>
  </si>
  <si>
    <t>Check in ATM_cfg.c at line "/* 29 : ATM_KU8_ID_END_OF_LIFE_HIGH_FORCE                */", if inhibiting value for EOL_cbk_CheckProductEndOfLifeHighForce is 0</t>
  </si>
  <si>
    <t>Check in ATM_cfg.c at line "/* 30 : ATM_KU8_ID_END_OF_LIFE_COMFORT                   */", if inhibiting value for EOL_cbk_CheckProductEndOfLifeComfort is 0</t>
  </si>
  <si>
    <t>Check in ATM_cfg.c at line "/* 31 : ATM_KU8_ID_END_OF_LIFE_MAX_FORCE                 */", if inhibiting value for KPF_NULL is 0</t>
  </si>
  <si>
    <t>Check in ATM_cfg.c at line "/* 32 : ATM_KU8_ID_TEST_NVM_CHECKSUM                     */", if inhibiting value for KPF_NULL is 0</t>
  </si>
  <si>
    <t xml:space="preserve">Following step 1, Step In function atm_PlayCyclicTests(castRunningCyclicList) and set a breakpoint at line "if (B_TRUE == isAutoTestEnabled(u8AutotestID))" and press run </t>
  </si>
  <si>
    <t>Following step 2, press Step In to access function executeAutoTest()</t>
  </si>
  <si>
    <t>Following step 4, press Step in and set a breakpoint at line "if(B_TRUE == MMG_b8MMGHAsBeenInitialized)" from function MMG_runCheckModeStatus()</t>
  </si>
  <si>
    <t>ARCH_SW_ATM_0021</t>
  </si>
  <si>
    <t xml:space="preserve">Modes activation </t>
  </si>
  <si>
    <t>ARCH_SW_ATM_0030, ARCH_SW_ATM_0031, ARCH_SW_ATM_0036, ARCH_SW_ATM_0040, ARCH_SW_ATM_0041, ARCH_SW_ATM_0042, ARCH_SW_ATM_0044, ARCH_SW_ATM_0045, ARCH_SW_ATM_0046, ARCH_SW_ATM_0047, ARCH_SW_ATM_0032, ARCH_SW_ATM_0033, ARCH_SW_ATM_0034, ARCH_SW_ATM_0035, ARCH_SW_ATM_0037, ARCH_SW_ATM_0038, ARCH_SW_ATM_0039, ARCH_SW_ATM_0043, ARCH_SW_ATM_0048, ARCH_SW_ATM_0049, ARCH_SW_ATM_0050, ARCH_SW_ATM_0051, ARCH_SW_ATM_0052</t>
  </si>
  <si>
    <t>ARCH_SW_ATM_0106</t>
  </si>
  <si>
    <t>Verify if function MMG_runCheckModeStatus is called to check if all conditions are fulfilled to execute the test</t>
  </si>
  <si>
    <t>ATM_runMainFunction shall call the RCM_Autotest_RunResetCause function.</t>
  </si>
  <si>
    <t>Following step 2, press Step In to access function executeAutoTest() and set a breakpoint at line "u8InhibModesIndex = castATMConfig[cu8AutotestID].u8InhibIndex;"</t>
  </si>
  <si>
    <t>ATM_KU8_ID_RESET_CAUSE and KU8_ATM_ONE_SHOT are present at index 4 in the array castStartupSequentialList[ATM_KU8_NB_OF_STARTUP_AUTO_TESTS]</t>
  </si>
  <si>
    <t>ARCH_SW_ATM_0107</t>
  </si>
  <si>
    <t>ATM_runMainFunction shall call the EOL_Autotest_CheckProductEndOfLifeLowForce function.</t>
  </si>
  <si>
    <t>In WinIdea press reset. Set breakpoint at function ATM_runMainFunction() from file ATM.c at line "atm_PlayCyclicTests(castRunningCyclicList);" and press run.</t>
  </si>
  <si>
    <t xml:space="preserve">Following step 1, step in function atm_PlayCyclicTests(castRunningCyclicList) and set a breakpoint at line "if (B_TRUE == isAutoTestEnabled(u8AutotestID))" and press run. </t>
  </si>
  <si>
    <t xml:space="preserve">Following step 1, Step In function atm_PlayCyclicTests(castRunningCyclicList) and set a breakpoint at line "if (B_TRUE == isAutoTestEnabled(u8AutotestID))" and press run. </t>
  </si>
  <si>
    <t>Following step 2, press Step In to access function executeAutoTest(), set a breakpoint at line "u8InhibModesIndex = castATMConfig[cu8AutotestID].u8InhibIndex;"</t>
  </si>
  <si>
    <t>Go into file RCM_autotests.c at line "void RCM_Autotest_RunResetCause(u8TestResultType * pu8TestResult)", set a breakpoint and press run.</t>
  </si>
  <si>
    <t xml:space="preserve">Following step 5, check in the array castStartupSequentialList[ATM_KU8_NB_OF_STARTUP_AUTO_TESTS], from the same file, if at index 4 is present ATM_KU8_ID_RESET_CAUSE and if the test is KU8_ATM_ONE_SHOT. </t>
  </si>
  <si>
    <t xml:space="preserve">Following step 5, check in the array castStartupSequentialList[ATM_KU8_NB_OF_STARTUP_AUTO_TESTS], from the same file, if at index 5 is present ATM_KU8_ID_END_OF_LIFE_LOW_FORCE and if the step is KU16_STEP_EVERY_10MS. </t>
  </si>
  <si>
    <t>ARCH_SW_ATM_0108</t>
  </si>
  <si>
    <t>ATM_runMainFunction shall call the EOL_Autotest_CheckProductEndOfLifeHighForce function.</t>
  </si>
  <si>
    <t>Go into file EOL_autotests.c at line "if (NVP_BLOCK_ID_EXECUTION_COUNTERS_RamBlockData.NVP_au32ExecutedCycleCounters[KU8_EOL_LOW_FORCE_LEVEL] &gt;= CALIB_BLOCK_ID_EOL_PARAM_RomBlockData.NVP_u32LowForceEOLThrs)", from function EOL_Autotest_CheckProductEndOfLifeLowForce(), set a breakpoint and press run.</t>
  </si>
  <si>
    <t>Go into file EOL_autotests.c at line "if (NVP_BLOCK_ID_EXECUTION_COUNTERS_RamBlockData.NVP_au32ExecutedCycleCounters[KU8_EOL_HIGH_FORCE_LEVEL] &gt;= CALIB_BLOCK_ID_EOL_PARAM_RomBlockData.NVP_u32HighForceEOLThrs )", from function EOL_Autotest_CheckProductEndOfLifeHighForce(), set a breakpoint and press run.</t>
  </si>
  <si>
    <t xml:space="preserve">Following step 5, check in the array castStartupSequentialList[ATM_KU8_NB_OF_STARTUP_AUTO_TESTS], from the same file, if at index 6 is present ATM_KU8_ID_END_OF_LIFE_HIGH_FORCE and if the step is KU16_STEP_EVERY_10MS. </t>
  </si>
  <si>
    <t>ATM_KU8_ID_END_OF_LIFE_HIGH_FORCE  and KU16_STEP_EVERY_10MS are present at index 6 in the array castStartupSequentialList[ATM_KU8_NB_OF_STARTUP_AUTO_TESTS]</t>
  </si>
  <si>
    <t>ATM_KU8_ID_END_OF_LIFE_LOW_FORCE and KU16_STEP_EVERY_10MS are present at index 5 in the array castStartupSequentialList[ATM_KU8_NB_OF_STARTUP_AUTO_TESTS]</t>
  </si>
  <si>
    <t>ARCH_SW_ATM_0109</t>
  </si>
  <si>
    <t>ATM_runMainFunction shall call the EOL_Autotest_CheckProductEndOfLifeComfort function.</t>
  </si>
  <si>
    <t>Go into file EOL_autotests.c at line "if (NVP_BLOCK_ID_EXECUTION_COUNTERS_RamBlockData.NVP_au32ExecutedCycleCounters[KU8_EOL_COMFORT_LEVEL] &gt;= CALIB_BLOCK_ID_EOL_PARAM_RomBlockData.NVP_u32ComfortCyclesEOLThrs)", from function EOL_Autotest_CheckProductEndOfLifeComfort(), set a breakpoint and press run.</t>
  </si>
  <si>
    <t xml:space="preserve">Following step 5, check in the array castStartupSequentialList[ATM_KU8_NB_OF_STARTUP_AUTO_TESTS], from the same file, if at index 7 is present ATM_KU8_ID_END_OF_LIFE_COMFORT and if the step is KU16_STEP_EVERY_10MS. </t>
  </si>
  <si>
    <t>ATM_KU8_ID_END_OF_LIFE_COMFORT  and KU16_STEP_EVERY_10MS are present at index 7 in the array castStartupSequentialList[ATM_KU8_NB_OF_STARTUP_AUTO_TESTS]</t>
  </si>
  <si>
    <t>ARCH_SW_ATM_0114</t>
  </si>
  <si>
    <t>ATM_runMainFunction shall call the PAL_Autotest_CheckHighSideSwRegulation function.</t>
  </si>
  <si>
    <t>Go into file PAL_autotests.c at function PAL_Autotest_CheckHighSideSwRegulation(u8TestResultType * pu8TestResult), set a breakpoint and press run.</t>
  </si>
  <si>
    <t xml:space="preserve">Following step 5, check in the array castStartupSequentialList[ATM_KU8_NB_OF_STARTUP_AUTO_TESTS], from the same file, if at index 10 is present ATM_KU8_ID_TEST_HIGH_SIDE_SWITCH and if the step is KU16_STEP_EVERY_10MS. </t>
  </si>
  <si>
    <t>ATM_KU8_ID_TEST_HIGH_SIDE_SWITCH  and KU16_STEP_EVERY_10MS are present at index 10 in the array castStartupSequentialList[ATM_KU8_NB_OF_STARTUP_AUTO_TESTS]</t>
  </si>
  <si>
    <t>Go into file PAL_autotests.c at function PAL_Autotest_CheckCommandConsistency(u8TestResultType * pu8TestResult), set a breakpoint and press run.</t>
  </si>
  <si>
    <t xml:space="preserve">Following step 5, check in the array castStartupSequentialList[ATM_KU8_NB_OF_STARTUP_AUTO_TESTS], from the same file, if at index 11 is present ATM_KU8_ID_TEST_DRIVER_COMMAND and if the step is KU16_STEP_EVERY_100MS. </t>
  </si>
  <si>
    <t>ATM_KU8_ID_TEST_DRIVER_COMMAND  and KU16_STEP_EVERY_100MS are present at index 11 in the array castStartupSequentialList[ATM_KU8_NB_OF_STARTUP_AUTO_TESTS]</t>
  </si>
  <si>
    <t>ATM_runMainFunction shall call the  PAL_Autotest_CheckMosfetHighSC  function.</t>
  </si>
  <si>
    <t>Go into file PAL_autotests.c at function PAL_Autotest_CheckMosfetHighSC(u8TestResultType * pu8TestResult), set a breakpoint and press run.</t>
  </si>
  <si>
    <t xml:space="preserve">Following step 5, check in the array castStartupSequentialList[ATM_KU8_NB_OF_STARTUP_AUTO_TESTS], from the same file, if at index 12 is present ATM_KU8_ID_TEST_MOSFET_HIGH_SHORT_CIRCUIT and if the step is KU16_STEP_EVERY_100MS. </t>
  </si>
  <si>
    <t>ATM_KU8_ID_TEST_MOSFET_HIGH_SHORT_CIRCUIT and KU16_STEP_EVERY_100MS are present at index 12 in the array castStartupSequentialList[ATM_KU8_NB_OF_STARTUP_AUTO_TESTS]</t>
  </si>
  <si>
    <t>Go into file PAL_autotests.c at function PAL_Autotest_CheckMosfetLowSC(u8TestResultType * pu8TestResult), set a breakpoint and press run.</t>
  </si>
  <si>
    <t xml:space="preserve">Following step 5, check in the array castStartupSequentialList[ATM_KU8_NB_OF_STARTUP_AUTO_TESTS], from the same file, if at index 13 is present ATM_KU8_ID_TEST_MOSFET_LOW_SHORT_CIRCUIT and if the step is KU16_STEP_EVERY_100MS. </t>
  </si>
  <si>
    <t>ATM_KU8_ID_TEST_MOSFET_LOW_SHORT_CIRCUIT and KU16_STEP_EVERY_100MS are present at index 13 in the array castStartupSequentialList[ATM_KU8_NB_OF_STARTUP_AUTO_TESTS]</t>
  </si>
  <si>
    <t>ATM_runMainFunction shall call the  PAL_Autotest_CheckMosfetLowSC function.</t>
  </si>
  <si>
    <t>ATM_runMainFunction shall call the PAL_Autotest_CheckCommandConsistency function</t>
  </si>
  <si>
    <t>Go into file PAL_autotests.c at function PAL_Autotest_CheckMotorConnection(u8TestResultType * pu8TestResult), set a breakpoint and press run.</t>
  </si>
  <si>
    <t>Following step 5, check in the array castStartupSequentialList[ATM_KU8_NB_OF_STARTUP_AUTO_TESTS], from the same file, if at index 14 is present ATM_KU8_ID_TEST_MOTOR_DISCONNECTION and if the step is KU16_STEP_EVERY_100MS.</t>
  </si>
  <si>
    <t>ATM_KU8_ID_TEST_MOTOR_DISCONNECTION and KU16_STEP_EVERY_100MS are present at index 14 in the array castStartupSequentialList[ATM_KU8_NB_OF_STARTUP_AUTO_TESTS]</t>
  </si>
  <si>
    <t>ATM_runMainFunction shall call the PAL_Autotest_CheckMotorConnection function.</t>
  </si>
  <si>
    <t>ATM_runMainFunction shall call the PAL_Autotest_CheckHWSelfProtection function.</t>
  </si>
  <si>
    <t>Go into file PAL_autotests.c at function PAL_Autotest_CheckHWSelfProtection(u8TestResultType *pu8TestResult), set a breakpoint and press run.</t>
  </si>
  <si>
    <t>Following step 5, check in the array castStartupSequentialList[ATM_KU8_NB_OF_STARTUP_AUTO_TESTS], from the same file, if at index 15 is present ATM_KU8_ID_TEST_DRIVER_SELF_PROTECTION and if the step is KU16_STEP_EVERY_10MS.</t>
  </si>
  <si>
    <t>ATM_KU8_ID_TEST_DRIVER_SELF_PROTECTION and KU16_STEP_EVERY_10MS are present at index 15 in the array castStartupSequentialList[ATM_KU8_NB_OF_STARTUP_AUTO_TESTS]</t>
  </si>
  <si>
    <t>ARCH_SW_ATM_0120</t>
  </si>
  <si>
    <t>ATM_runMainFunction shall call the PAL_Autotest_CheckMosfetOCAT function.</t>
  </si>
  <si>
    <t>Go into file PAL_autotests.c at function PAL_Autotest_CheckMosfetOCAT(u8TestResultType * pu8TestResult), set a breakpoint and press run.</t>
  </si>
  <si>
    <t>ATM_KU8_ID_TEST_MOSFET_OPEN_CIRCUIT and KU16_STEP_EVERY_20MS are present at index 16 in the array castStartupSequentialList[ATM_KU8_NB_OF_STARTUP_AUTO_TESTS]</t>
  </si>
  <si>
    <t xml:space="preserve">ATM_runMainFunction shall call the PMP_Autotest_CheckPowerSupplyUV function. </t>
  </si>
  <si>
    <t>Go into file PMP_autotests.c at function PMP_Autotest_CheckPowerSupplyUV(u8TestResultType * pu8TestResult), set a breakpoint and press run.</t>
  </si>
  <si>
    <t>ARCH_SW_ATM_0203</t>
  </si>
  <si>
    <t xml:space="preserve">ATM_runMainFunction shall call the PMP_Autotest_CheckPowerSupplyOVDuringActivation function. </t>
  </si>
  <si>
    <t>Go into file PMP_autotests.c at function PMP_Autotest_CheckPowerSupplyOVDuringActivation(u8TestResultType * pu8TestResult), set a breakpoint and press run.</t>
  </si>
  <si>
    <t>ARCH_SW_ATM_0205</t>
  </si>
  <si>
    <t>Remove breakpoint from previous step. Go into file PMP_autotests.c at function PMP_Autotest_CheckPowerSupplyOV(u8TestResultType * pu8TestResult), set a breakpoint and press run.</t>
  </si>
  <si>
    <t>Remove breakpoint from previous step. Go into file PMP_autotests.c at function PMP_Autotest_CheckPowerSupplyUVDuringActivation(u8TestResultType * pu8TestResult), set a breakpoint and press run.</t>
  </si>
  <si>
    <t>Remove breakpoint from previous step. Go into file PMP_autotests.c at function PMP_Autotest_CheckPowerSupplyOVDuringActivation(u8TestResultType * pu8TestResult), set a breakpoint and press run.</t>
  </si>
  <si>
    <t>ARCH_SW_ATM_0115, ARCH_SW_ATM_0205</t>
  </si>
  <si>
    <t>ARCH_SW_ATM_0116, ARCH_SW_ATM_0206</t>
  </si>
  <si>
    <t>ARCH_SW_ATM_0117, ARCH_SW_ATM_0207</t>
  </si>
  <si>
    <t>ARCH_SW_ATM_0118, ARCH_SW_ATM_0208</t>
  </si>
  <si>
    <t>ARCH_SW_ATM_0119, ARCH_SW_ATM_0209</t>
  </si>
  <si>
    <t>Remove breakpoint from previous step. Go into file PAL_autotests.c at function PAL_cbk_CheckMotorDisengagement (void), set a breakpoint and press run.</t>
  </si>
  <si>
    <t>Remove breakpoint from previous step. Go into file ATM_cfg.c at function PAL_cbk_CheckMotorCurrent (void), set a breakpoint and press run.</t>
  </si>
  <si>
    <t>Remove breakpoint from previous step. Go into file ATM_cfg.c at function EOL_cbk_CheckProductEndOfLifeLowForce (void), set a breakpoint and press run.</t>
  </si>
  <si>
    <t>Remove breakpoint from previous step. Go into file ATM_cfg.c at function PMP_cbk_CheckPowerSupplyUV (void), set a breakpoint and press run.</t>
  </si>
  <si>
    <t>Remove breakpoint from previous step. Go into file ATM_cfg.c at function PMP_cbk_CheckPowerSupplyOV (void), set a breakpoint and press run.</t>
  </si>
  <si>
    <t>Remove breakpoint from previous step. Go into file ATM_cfg.c at function PAL_cbk_CheckMotorPowerOrder (void), set a breakpoint and press run.</t>
  </si>
  <si>
    <t>Remove breakpoint from previous step. Go into file ATM_cfg.c at function EOL_cbk_CheckProductEndOfLifeHighForce (void), set a breakpoint and press run.</t>
  </si>
  <si>
    <t>Remove breakpoint from previous step. Go into file ATM_cfg.c at function  PMP_cbk_CheckTemperatureSensor (void), set a breakpoint and press run.</t>
  </si>
  <si>
    <t>Remove breakpoint from previous step. Go into file ATM_cfg.c at function EOL_cbk_CheckProductEndOfLifeComfort (void), set a breakpoint and press run.</t>
  </si>
  <si>
    <t>Remove breakpoint from previous step. Go into file ATM_cfg.c at function PAL_cbk_CheckMotorSC (void), set a breakpoint and press run.</t>
  </si>
  <si>
    <t>ARCH_SW_ATM_0150, ARCH_SW_ATM_0151, ARCH_SW_ATM_0202, ARCH_SW_ATM_0210, ARCH_SW_ATM_0211, ARCH_SW_ATM_0212, ARCH_SW_ATM_0213, ARCH_SW_ATM_0214, ARCH_SW_ATM_0215, ARCH_SW_ATM_0216, ARCH_SW_ATM_0217, ARCH_SW_ATM_0218, ARCH_SW_ATM_0219, ARCH_SW_ATM_0220, ARCH_SW_ATM_0221</t>
  </si>
  <si>
    <t>Remove breakpoint from previous step. Go into file ATM_cfg.c at function u8TestResultType PAL_cbk_CheckMotorThermalProctection (void), set a breakpoint and press run.</t>
  </si>
  <si>
    <t>ARCH_SW_ATM_0260</t>
  </si>
  <si>
    <t>Verify if the autotests are inhibited</t>
  </si>
  <si>
    <t>In the function executeAutoTest() set a breakpoint at line "au8AtStatuses[cu8AutotestID] =  KU8_ATM_TEST_NOT_DECIDED;" and press run</t>
  </si>
  <si>
    <t xml:space="preserve">Verify if an auto-test cannot be executed ATM_runMainFunction shall set the status of the tests to “NOT DECIDED” </t>
  </si>
  <si>
    <t xml:space="preserve">Set a breakpoint in file ATM.c at function ATM_Init(), line "au8AtStatuses [u8IdxAutotest] = KU8_ATM_TEST_NOT_DECIDED;". Press reset then run. </t>
  </si>
  <si>
    <t>CANoe, WinIDEA</t>
  </si>
  <si>
    <t>Running software (hsm+bm+fbl+app), no DET, traps, etc</t>
  </si>
  <si>
    <t>Verify if each autotest returns a result and check if it is reported to the rest of the application</t>
  </si>
  <si>
    <t>Set a breakpoint in file ATM.c at function ATM_runGetTestResult() at line "u8TestResult = au8AtStatuses[u8AutoTestId];" and press run.</t>
  </si>
  <si>
    <t>Set a breakpoint in function void mmg_UpdateModeStatus_CriticalAutotestsNok(void) at line "Rte_Call_pclAutotestServices_GetTestResult(u8AutoTestId, &amp;u8StatusOfLastCriticalAutoTest);" and press run.</t>
  </si>
  <si>
    <t xml:space="preserve"> Following step 2 press step in.</t>
  </si>
  <si>
    <t>ATM_runGetTestResult() is reached</t>
  </si>
  <si>
    <t>In WinIDEA change value of u8StartupTestIndex to 0x11 in file ATM.c at function ATM_runMainFunction() and set a breakpoint at line "atm_PlayOneShotTests();"</t>
  </si>
  <si>
    <t>Go into file ATM_cfg.c at the array castATMConfig[ATM_KU8_NB_OF_AUTOTEST] and check if ATM_KU8_ID_RESET_CAUSE is present at index 27.</t>
  </si>
  <si>
    <t>Go into file ATM_cfg.c at the array castATMConfig[ATM_KU8_NB_OF_AUTOTEST] and check if ATM_KU8_ID_END_OF_LIFE_LOW_FORCE is present at index 28.</t>
  </si>
  <si>
    <t>Go into file ATM_cfg.c at the array castATMConfig[ATM_KU8_NB_OF_AUTOTEST] and check if ATM_KU8_ID_END_OF_LIFE_HIGH_FORCE is present at index 29.</t>
  </si>
  <si>
    <t>Go into file ATM_cfg.c at the array castATMConfig[ATM_KU8_NB_OF_AUTOTEST] and check if ATM_KU8_ID_END_OF_LIFE_HIGH_FORCE is present at index 30.</t>
  </si>
  <si>
    <t>Go into file ATM_cfg.c at the array castATMConfig[ATM_KU8_NB_OF_AUTOTEST] and check if ATM_KU8_ID_TEST_HIGH_SIDE_SWITCH is present at index 1.</t>
  </si>
  <si>
    <t>Go into file ATM_cfg.c at the array castATMConfig[ATM_KU8_NB_OF_AUTOTEST] and check if ATM_KU8_ID_TEST_DRIVER_COMMAND is present at index 2.</t>
  </si>
  <si>
    <t>Go into file ATM_cfg.c at the array castATMConfig[ATM_KU8_NB_OF_AUTOTEST] and check if ATM_KU8_ID_TEST_MOSFET_HIGH_SHORT_CIRCUIT is present at index 3.</t>
  </si>
  <si>
    <t>Go into file ATM_cfg.c at the array castATMConfig[ATM_KU8_NB_OF_AUTOTEST] and check if ATM_KU8_ID_TEST_MOSFET_LOW_SHORT_CIRCUIT is present at index 4.</t>
  </si>
  <si>
    <t>Go into file ATM_cfg.c at the array castATMConfig[ATM_KU8_NB_OF_AUTOTEST] and check if ATM_KU8_ID_TEST_MOTOR_DISCONNECTION is present at index 5.</t>
  </si>
  <si>
    <t>Go into file ATM_cfg.c at the array castATMConfig[ATM_KU8_NB_OF_AUTOTEST] and check if ATM_KU8_ID_TEST_DRIVER_SELF_PROTECTION is present at index 6.</t>
  </si>
  <si>
    <t>Go into file ATM_cfg.c at the array castATMConfig[ATM_KU8_NB_OF_AUTOTEST] and check if ATM_KU8_ID_TEST_MOSFET_OPEN_CIRCUIT is present at index 7.</t>
  </si>
  <si>
    <t>PAL_Autotest_CheckMosfetOCAT(u8TestResultType * pu8TestResult) cannot be reached</t>
  </si>
  <si>
    <t>Following step 2, press Step In to access function executeAutoTest(), set a breakpoint at line "u8InhibModesIndex = castATMConfig[cu8AutotestID].u8InhibIndex;" and press run.</t>
  </si>
  <si>
    <t xml:space="preserve">Following step 2, press Step In to access function executeAutoTest(), set a breakpoint at line "u8InhibModesIndex = castATMConfig[cu8AutotestID].u8InhibIndex;"  and press run. </t>
  </si>
  <si>
    <t xml:space="preserve">ATM_runMainFunction shall call the PAL_Autotest_CheckCommandConsistency function. </t>
  </si>
  <si>
    <t>Autotest main entry</t>
  </si>
  <si>
    <t>If critical Autotests are not passed or finished, cyclic tests cannot run.</t>
  </si>
  <si>
    <t>Inhibit autotests</t>
  </si>
  <si>
    <t>Temperature sensor test</t>
  </si>
  <si>
    <t>Low force pre pre-tensioning belt function end of life</t>
  </si>
  <si>
    <t>High force pre pre-tensioning belt function end of life</t>
  </si>
  <si>
    <t>Comfort belt function end of life</t>
  </si>
  <si>
    <t xml:space="preserve">High side regulation autotest </t>
  </si>
  <si>
    <t>Power bridge command consistency</t>
  </si>
  <si>
    <t>HW thermal protection</t>
  </si>
  <si>
    <t>Low MOSFET inshort circuit</t>
  </si>
  <si>
    <t>Check motor connection</t>
  </si>
  <si>
    <t>HW thermal protection test</t>
  </si>
  <si>
    <t>Following step 5, check in the array castStartupSequentialList[ATM_KU8_NB_OF_STARTUP_AUTO_TESTS], from the same file, if at index 16 is present ATM_KU8_ID_TEST_MOSFET_OPEN_CIRCUIT and if the step is KU16_STEP_EVERY_20MS.</t>
  </si>
  <si>
    <t>Open Circuit Autotest on Mosfets</t>
  </si>
  <si>
    <t>Power stage battery voltage during tensioning</t>
  </si>
  <si>
    <t>Logical supply in over voltage</t>
  </si>
  <si>
    <t>ATM_runMainFunction status</t>
  </si>
  <si>
    <t>05.09.2022</t>
  </si>
  <si>
    <t>05.09.2023</t>
  </si>
  <si>
    <t>05.09.2024</t>
  </si>
  <si>
    <t>05.09.2025</t>
  </si>
  <si>
    <t>05.09.2026</t>
  </si>
  <si>
    <t>05.09.2027</t>
  </si>
  <si>
    <t>05.09.2028</t>
  </si>
  <si>
    <t>05.09.2029</t>
  </si>
  <si>
    <t>05.09.2030</t>
  </si>
  <si>
    <t>05.09.2031</t>
  </si>
  <si>
    <t>05.09.2032</t>
  </si>
  <si>
    <t>05.09.2033</t>
  </si>
  <si>
    <t>05.09.2034</t>
  </si>
  <si>
    <t>05.09.2035</t>
  </si>
  <si>
    <t>05.09.2036</t>
  </si>
  <si>
    <t>05.09.2037</t>
  </si>
  <si>
    <t>05.09.2038</t>
  </si>
  <si>
    <t>05.09.2039</t>
  </si>
  <si>
    <t>05.09.2040</t>
  </si>
  <si>
    <t>05.09.2041</t>
  </si>
  <si>
    <t>05.09.2042</t>
  </si>
  <si>
    <t>C. Galbau</t>
  </si>
  <si>
    <t>1.3</t>
  </si>
  <si>
    <t>Ciprian Galbau</t>
  </si>
  <si>
    <t>Integration test for R3.0</t>
  </si>
  <si>
    <t>Applied from SW R3.0 release</t>
  </si>
  <si>
    <t>ATM - Software Integration Test Specification Report.xls</t>
  </si>
  <si>
    <t>SW_IT_ATM_0001</t>
  </si>
  <si>
    <t>SW_IT_ATM_0002</t>
  </si>
  <si>
    <t>SW_IT_ATM_0003</t>
  </si>
  <si>
    <t>SW_IT_ATM_0004</t>
  </si>
  <si>
    <t>SW_IT_ATM_0005</t>
  </si>
  <si>
    <t>SW_IT_ATM_0006</t>
  </si>
  <si>
    <t>SW_IT_ATM_0007</t>
  </si>
  <si>
    <t>SW_IT_ATM_0008</t>
  </si>
  <si>
    <t>SW_IT_ATM_0009</t>
  </si>
  <si>
    <t>SW_IT_ATM_0010</t>
  </si>
  <si>
    <t>SW_IT_ATM_0011</t>
  </si>
  <si>
    <t>SW_IT_ATM_0012</t>
  </si>
  <si>
    <t>SW_IT_ATM_0013</t>
  </si>
  <si>
    <t>SW_IT_ATM_0014</t>
  </si>
  <si>
    <t>SW_IT_ATM_0015</t>
  </si>
  <si>
    <t>SW_IT_ATM_0016</t>
  </si>
  <si>
    <t>SW_IT_ATM_0017</t>
  </si>
  <si>
    <t>SW_IT_ATM_0018</t>
  </si>
  <si>
    <t>SW_IT_ATM_0019</t>
  </si>
  <si>
    <t>SW_IT_ATM_0020</t>
  </si>
  <si>
    <t>SW_IT_ATM_0021</t>
  </si>
  <si>
    <t xml:space="preserve">Check critical Autotests </t>
  </si>
  <si>
    <t>ARCH_SW_ATM_0003, ARCH_SW_ATM_0111</t>
  </si>
  <si>
    <t>ARCH_SW_ATM_0004, ARCH_SW_ATM_0113</t>
  </si>
  <si>
    <r>
      <t xml:space="preserve">Comment
</t>
    </r>
    <r>
      <rPr>
        <i/>
        <sz val="11"/>
        <rFont val="Calibri"/>
        <family val="2"/>
        <scheme val="minor"/>
      </rPr>
      <t>(aplicable only if test not executed)</t>
    </r>
  </si>
  <si>
    <t>Test for Regression</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</si>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</sst>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
  </numFmts>
  <fonts count="44"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amily val="2"/>
    </font>
    <font>
      <sz val="8"/>
      <name val="Arial"/>
    </font>
    <font>
      <i/>
      <sz val="11"/>
      <name val="Calibri"/>
      <family val="2"/>
      <scheme val="minor"/>
    </font>
  </fonts>
  <fills count="10">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s>
  <borders count="40">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rgb="FF000080"/>
      </bottom>
      <diagonal/>
    </border>
    <border>
      <left style="thin">
        <color indexed="64"/>
      </left>
      <right style="thin">
        <color indexed="64"/>
      </right>
      <top style="medium">
        <color indexed="64"/>
      </top>
      <bottom/>
      <diagonal/>
    </border>
  </borders>
  <cellStyleXfs count="3">
    <xf numFmtId="0" fontId="0" fillId="0" borderId="0"/>
    <xf numFmtId="0" fontId="23" fillId="0" borderId="0" applyNumberFormat="0" applyFill="0" applyBorder="0" applyAlignment="0" applyProtection="0"/>
    <xf numFmtId="0" fontId="1" fillId="0" borderId="0"/>
  </cellStyleXfs>
  <cellXfs count="244">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38" xfId="0" applyFont="1" applyBorder="1" applyAlignment="1" applyProtection="1">
      <alignment vertical="center"/>
      <protection locked="0"/>
    </xf>
    <xf numFmtId="0" fontId="0" fillId="0" borderId="38"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4" borderId="7"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33" fillId="0" borderId="0" xfId="0" applyFont="1" applyFill="1" applyBorder="1"/>
    <xf numFmtId="0" fontId="33" fillId="0" borderId="10" xfId="0" applyFont="1" applyFill="1" applyBorder="1"/>
    <xf numFmtId="0" fontId="20" fillId="0" borderId="10" xfId="0" applyFont="1" applyFill="1" applyBorder="1"/>
    <xf numFmtId="10" fontId="33" fillId="0" borderId="10" xfId="0" applyNumberFormat="1" applyFont="1" applyFill="1" applyBorder="1"/>
    <xf numFmtId="0" fontId="29" fillId="0" borderId="14"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1" fillId="6" borderId="11" xfId="0" applyFont="1" applyFill="1" applyBorder="1" applyAlignment="1">
      <alignment horizontal="center" vertical="center" wrapText="1"/>
    </xf>
    <xf numFmtId="0" fontId="34" fillId="6" borderId="14" xfId="0" applyFont="1" applyFill="1" applyBorder="1" applyAlignment="1">
      <alignment vertical="top"/>
    </xf>
    <xf numFmtId="0" fontId="31" fillId="6" borderId="12" xfId="0" applyFont="1" applyFill="1" applyBorder="1" applyAlignment="1">
      <alignment vertical="top" wrapText="1"/>
    </xf>
    <xf numFmtId="49" fontId="1" fillId="0" borderId="0" xfId="0" applyNumberFormat="1" applyFont="1" applyFill="1" applyBorder="1" applyAlignment="1" applyProtection="1">
      <alignment horizontal="left" vertical="center"/>
      <protection locked="0"/>
    </xf>
    <xf numFmtId="0" fontId="34" fillId="6" borderId="15" xfId="0" applyFont="1" applyFill="1" applyBorder="1" applyAlignment="1">
      <alignment vertical="top"/>
    </xf>
    <xf numFmtId="0" fontId="29" fillId="0" borderId="15" xfId="0" applyFont="1" applyBorder="1" applyAlignment="1">
      <alignment vertical="top"/>
    </xf>
    <xf numFmtId="0" fontId="35" fillId="0" borderId="10" xfId="0" applyFont="1" applyBorder="1" applyAlignment="1">
      <alignment horizontal="center" vertical="center"/>
    </xf>
    <xf numFmtId="0" fontId="0" fillId="5" borderId="0" xfId="0" applyFill="1"/>
    <xf numFmtId="0" fontId="35" fillId="5" borderId="0" xfId="0" applyFont="1" applyFill="1" applyBorder="1" applyAlignment="1">
      <alignment horizontal="center" vertical="center"/>
    </xf>
    <xf numFmtId="0" fontId="35" fillId="5" borderId="16" xfId="0" applyFont="1" applyFill="1" applyBorder="1" applyAlignment="1">
      <alignment horizontal="center" vertical="center"/>
    </xf>
    <xf numFmtId="0" fontId="0" fillId="5" borderId="0" xfId="0" applyFill="1" applyAlignment="1">
      <alignment wrapText="1"/>
    </xf>
    <xf numFmtId="0" fontId="37" fillId="7" borderId="4" xfId="0" applyFont="1" applyFill="1" applyBorder="1" applyAlignment="1">
      <alignment wrapText="1"/>
    </xf>
    <xf numFmtId="0" fontId="37" fillId="7" borderId="17" xfId="0" applyFont="1" applyFill="1" applyBorder="1" applyAlignment="1">
      <alignment vertical="center" wrapText="1"/>
    </xf>
    <xf numFmtId="0" fontId="37" fillId="7" borderId="18" xfId="0" applyFont="1" applyFill="1" applyBorder="1" applyAlignment="1">
      <alignment horizontal="center" wrapText="1"/>
    </xf>
    <xf numFmtId="0" fontId="1" fillId="8" borderId="9" xfId="2" applyFont="1" applyFill="1" applyBorder="1" applyAlignment="1">
      <alignment wrapText="1"/>
    </xf>
    <xf numFmtId="0" fontId="35" fillId="5" borderId="7" xfId="0" applyFont="1" applyFill="1" applyBorder="1" applyAlignment="1">
      <alignment horizontal="left" vertical="center"/>
    </xf>
    <xf numFmtId="0" fontId="23" fillId="0" borderId="10" xfId="1" applyBorder="1" applyAlignment="1">
      <alignment vertical="top"/>
    </xf>
    <xf numFmtId="0" fontId="36" fillId="0" borderId="11" xfId="0" applyFont="1" applyBorder="1" applyAlignment="1">
      <alignment vertical="top"/>
    </xf>
    <xf numFmtId="0" fontId="35" fillId="0" borderId="39" xfId="0" applyFont="1" applyBorder="1" applyAlignment="1">
      <alignment horizontal="center" vertical="center"/>
    </xf>
    <xf numFmtId="0" fontId="6" fillId="0" borderId="20" xfId="0" applyFont="1" applyBorder="1" applyAlignment="1" applyProtection="1">
      <alignment horizontal="left" vertical="center" wrapText="1"/>
    </xf>
    <xf numFmtId="0" fontId="6" fillId="0" borderId="21" xfId="0" applyFont="1" applyBorder="1" applyAlignment="1" applyProtection="1">
      <alignment horizontal="left" vertical="center" wrapText="1"/>
    </xf>
    <xf numFmtId="0" fontId="6" fillId="0" borderId="22" xfId="0" applyFont="1" applyBorder="1" applyAlignment="1" applyProtection="1">
      <alignment horizontal="left" vertical="center" wrapText="1"/>
    </xf>
    <xf numFmtId="0" fontId="38" fillId="0" borderId="14" xfId="0" applyFont="1" applyBorder="1" applyAlignment="1" applyProtection="1">
      <alignment horizontal="left" vertical="center" shrinkToFit="1"/>
    </xf>
    <xf numFmtId="0" fontId="38" fillId="0" borderId="1" xfId="0" applyFont="1" applyBorder="1" applyAlignment="1" applyProtection="1">
      <alignment horizontal="left" vertical="center" shrinkToFit="1"/>
    </xf>
    <xf numFmtId="0" fontId="38" fillId="0" borderId="19" xfId="0" applyFont="1" applyBorder="1" applyAlignment="1" applyProtection="1">
      <alignment horizontal="left" vertical="center" shrinkToFit="1"/>
    </xf>
    <xf numFmtId="0" fontId="1" fillId="0" borderId="14" xfId="0" applyFont="1" applyFill="1" applyBorder="1" applyAlignment="1" applyProtection="1">
      <alignment horizontal="left" vertical="top" wrapText="1" shrinkToFit="1"/>
      <protection locked="0"/>
    </xf>
    <xf numFmtId="0" fontId="2" fillId="0" borderId="1" xfId="0" applyFont="1" applyFill="1" applyBorder="1" applyAlignment="1" applyProtection="1">
      <alignment horizontal="left" vertical="top" shrinkToFit="1"/>
      <protection locked="0"/>
    </xf>
    <xf numFmtId="0" fontId="2" fillId="0" borderId="19" xfId="0" applyFont="1" applyFill="1" applyBorder="1" applyAlignment="1" applyProtection="1">
      <alignment horizontal="left" vertical="top" shrinkToFit="1"/>
      <protection locked="0"/>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1" fillId="0" borderId="23" xfId="0" applyFont="1" applyFill="1" applyBorder="1" applyAlignment="1" applyProtection="1">
      <alignment horizontal="left" vertical="top" wrapText="1" shrinkToFit="1"/>
      <protection locked="0"/>
    </xf>
    <xf numFmtId="0" fontId="2" fillId="0" borderId="24" xfId="0" applyFont="1" applyFill="1" applyBorder="1" applyAlignment="1" applyProtection="1">
      <alignment horizontal="left" vertical="top" shrinkToFit="1"/>
      <protection locked="0"/>
    </xf>
    <xf numFmtId="0" fontId="2" fillId="0" borderId="15" xfId="0" applyFont="1" applyFill="1" applyBorder="1" applyAlignment="1" applyProtection="1">
      <alignment horizontal="left" vertical="top" shrinkToFit="1"/>
      <protection locked="0"/>
    </xf>
    <xf numFmtId="0" fontId="39" fillId="9" borderId="2" xfId="0" applyFont="1" applyFill="1" applyBorder="1" applyAlignment="1" applyProtection="1">
      <alignment horizontal="center" vertical="center" shrinkToFit="1"/>
      <protection locked="0"/>
    </xf>
    <xf numFmtId="0" fontId="39" fillId="9" borderId="0" xfId="0" applyFont="1" applyFill="1" applyBorder="1" applyAlignment="1" applyProtection="1">
      <alignment horizontal="center" vertical="center" shrinkToFit="1"/>
      <protection locked="0"/>
    </xf>
    <xf numFmtId="0" fontId="39" fillId="9" borderId="3" xfId="0" applyFont="1" applyFill="1" applyBorder="1" applyAlignment="1" applyProtection="1">
      <alignment horizontal="center" vertical="center" shrinkToFit="1"/>
      <protection locked="0"/>
    </xf>
    <xf numFmtId="0" fontId="1" fillId="0" borderId="20" xfId="0" applyFont="1" applyFill="1" applyBorder="1" applyAlignment="1" applyProtection="1">
      <alignment horizontal="left" vertical="top"/>
      <protection locked="0"/>
    </xf>
    <xf numFmtId="0" fontId="4" fillId="0" borderId="21" xfId="0" applyFont="1" applyFill="1" applyBorder="1" applyAlignment="1" applyProtection="1">
      <alignment horizontal="left" vertical="top"/>
      <protection locked="0"/>
    </xf>
    <xf numFmtId="0" fontId="4" fillId="0" borderId="22" xfId="0" applyFont="1" applyFill="1" applyBorder="1" applyAlignment="1" applyProtection="1">
      <alignment horizontal="left" vertical="top"/>
      <protection locked="0"/>
    </xf>
    <xf numFmtId="0" fontId="39" fillId="9" borderId="21" xfId="0" applyFont="1" applyFill="1" applyBorder="1" applyAlignment="1" applyProtection="1">
      <alignment horizontal="center" vertical="center" wrapText="1"/>
      <protection locked="0"/>
    </xf>
    <xf numFmtId="0" fontId="39" fillId="9" borderId="0" xfId="0" applyFont="1" applyFill="1" applyBorder="1" applyAlignment="1" applyProtection="1">
      <alignment horizontal="center" vertical="center" wrapText="1"/>
      <protection locked="0"/>
    </xf>
    <xf numFmtId="0" fontId="4" fillId="0" borderId="14"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19" xfId="0" applyFont="1" applyFill="1" applyBorder="1" applyAlignment="1" applyProtection="1">
      <alignment horizontal="left" vertical="top"/>
      <protection locked="0"/>
    </xf>
    <xf numFmtId="0" fontId="40" fillId="0" borderId="1" xfId="0" applyFont="1" applyFill="1" applyBorder="1" applyAlignment="1" applyProtection="1">
      <alignment horizontal="left" vertical="top" wrapText="1" shrinkToFit="1"/>
      <protection locked="0"/>
    </xf>
    <xf numFmtId="0" fontId="40" fillId="0" borderId="19" xfId="0" applyFont="1" applyFill="1" applyBorder="1" applyAlignment="1" applyProtection="1">
      <alignment horizontal="left" vertical="top" wrapText="1" shrinkToFit="1"/>
      <protection locked="0"/>
    </xf>
    <xf numFmtId="0" fontId="39" fillId="9" borderId="20" xfId="0" applyFont="1" applyFill="1" applyBorder="1" applyAlignment="1" applyProtection="1">
      <alignment horizontal="center" vertical="center" shrinkToFit="1"/>
      <protection locked="0"/>
    </xf>
    <xf numFmtId="0" fontId="39" fillId="9" borderId="21" xfId="0" applyFont="1" applyFill="1" applyBorder="1" applyAlignment="1" applyProtection="1">
      <alignment horizontal="center" vertical="center" shrinkToFit="1"/>
      <protection locked="0"/>
    </xf>
    <xf numFmtId="0" fontId="39" fillId="9" borderId="22" xfId="0" applyFont="1" applyFill="1" applyBorder="1" applyAlignment="1" applyProtection="1">
      <alignment horizontal="center" vertical="center" shrinkToFit="1"/>
      <protection locked="0"/>
    </xf>
    <xf numFmtId="0" fontId="6" fillId="0" borderId="20" xfId="0" applyFont="1" applyBorder="1" applyAlignment="1" applyProtection="1">
      <alignment horizontal="left" vertical="center" shrinkToFit="1"/>
    </xf>
    <xf numFmtId="0" fontId="6" fillId="0" borderId="21" xfId="0" applyFont="1" applyBorder="1" applyAlignment="1" applyProtection="1">
      <alignment horizontal="left" vertical="center" shrinkToFit="1"/>
    </xf>
    <xf numFmtId="0" fontId="6" fillId="0" borderId="22" xfId="0" applyFont="1" applyBorder="1" applyAlignment="1" applyProtection="1">
      <alignment horizontal="left" vertical="center" shrinkToFit="1"/>
    </xf>
    <xf numFmtId="0" fontId="4" fillId="0" borderId="14"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0" fontId="1" fillId="0" borderId="1" xfId="0" applyFont="1" applyFill="1" applyBorder="1" applyAlignment="1" applyProtection="1">
      <alignment horizontal="left" vertical="top" wrapText="1" shrinkToFit="1"/>
      <protection locked="0"/>
    </xf>
    <xf numFmtId="165" fontId="38" fillId="0" borderId="14" xfId="0" applyNumberFormat="1" applyFont="1" applyBorder="1" applyAlignment="1" applyProtection="1">
      <alignment horizontal="left" vertical="center" shrinkToFit="1"/>
    </xf>
    <xf numFmtId="165" fontId="38" fillId="0" borderId="1" xfId="0" applyNumberFormat="1" applyFont="1" applyBorder="1" applyAlignment="1" applyProtection="1">
      <alignment horizontal="left" vertical="center" shrinkToFit="1"/>
    </xf>
    <xf numFmtId="165" fontId="38" fillId="0" borderId="19" xfId="0" applyNumberFormat="1" applyFont="1" applyBorder="1" applyAlignment="1" applyProtection="1">
      <alignment horizontal="left" vertical="center" shrinkToFit="1"/>
    </xf>
    <xf numFmtId="0" fontId="6" fillId="0" borderId="20" xfId="0" applyFont="1" applyFill="1" applyBorder="1" applyAlignment="1" applyProtection="1">
      <alignment horizontal="left" vertical="center" shrinkToFit="1"/>
    </xf>
    <xf numFmtId="0" fontId="6" fillId="0" borderId="21" xfId="0" applyFont="1" applyFill="1" applyBorder="1" applyAlignment="1" applyProtection="1">
      <alignment horizontal="left" vertical="center" shrinkToFit="1"/>
    </xf>
    <xf numFmtId="0" fontId="6" fillId="0" borderId="22" xfId="0" applyFont="1" applyFill="1" applyBorder="1" applyAlignment="1" applyProtection="1">
      <alignment horizontal="left" vertical="center" shrinkToFit="1"/>
    </xf>
    <xf numFmtId="0" fontId="8" fillId="2" borderId="10" xfId="0" applyFont="1" applyFill="1" applyBorder="1" applyAlignment="1" applyProtection="1">
      <alignment horizontal="center" vertical="center" wrapText="1"/>
      <protection locked="0"/>
    </xf>
    <xf numFmtId="0" fontId="0" fillId="0" borderId="10" xfId="0" applyBorder="1" applyAlignment="1">
      <alignment horizontal="center" vertical="center" wrapText="1"/>
    </xf>
    <xf numFmtId="49" fontId="4"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0" fontId="6" fillId="3" borderId="20" xfId="0" applyFont="1" applyFill="1" applyBorder="1" applyAlignment="1" applyProtection="1">
      <alignment horizontal="left" vertical="center" wrapText="1"/>
    </xf>
    <xf numFmtId="0" fontId="6" fillId="3" borderId="21" xfId="0" applyFont="1" applyFill="1" applyBorder="1" applyAlignment="1" applyProtection="1">
      <alignment horizontal="left" vertical="center" wrapText="1"/>
    </xf>
    <xf numFmtId="0" fontId="6" fillId="3" borderId="22" xfId="0" applyFont="1" applyFill="1" applyBorder="1" applyAlignment="1" applyProtection="1">
      <alignment horizontal="left" vertical="center" wrapText="1"/>
    </xf>
    <xf numFmtId="165" fontId="38" fillId="3" borderId="14" xfId="0" applyNumberFormat="1" applyFont="1" applyFill="1" applyBorder="1" applyAlignment="1" applyProtection="1">
      <alignment horizontal="left" vertical="center" shrinkToFit="1"/>
    </xf>
    <xf numFmtId="165" fontId="38" fillId="3" borderId="1" xfId="0" applyNumberFormat="1" applyFont="1" applyFill="1" applyBorder="1" applyAlignment="1" applyProtection="1">
      <alignment horizontal="left" vertical="center" shrinkToFit="1"/>
    </xf>
    <xf numFmtId="165" fontId="38" fillId="3" borderId="19" xfId="0" applyNumberFormat="1" applyFont="1" applyFill="1" applyBorder="1" applyAlignment="1" applyProtection="1">
      <alignment horizontal="left" vertical="center" shrinkToFit="1"/>
    </xf>
    <xf numFmtId="0" fontId="6" fillId="3" borderId="20" xfId="0" applyFont="1" applyFill="1" applyBorder="1" applyAlignment="1" applyProtection="1">
      <alignment horizontal="left" vertical="center" shrinkToFit="1"/>
    </xf>
    <xf numFmtId="0" fontId="6" fillId="3" borderId="21" xfId="0" applyFont="1" applyFill="1" applyBorder="1" applyAlignment="1" applyProtection="1">
      <alignment horizontal="left" vertical="center" shrinkToFit="1"/>
    </xf>
    <xf numFmtId="0" fontId="6" fillId="3" borderId="22" xfId="0" applyFont="1" applyFill="1" applyBorder="1" applyAlignment="1" applyProtection="1">
      <alignment horizontal="left" vertical="center" shrinkToFit="1"/>
    </xf>
    <xf numFmtId="0" fontId="38" fillId="3" borderId="14" xfId="0" applyFont="1" applyFill="1" applyBorder="1" applyAlignment="1" applyProtection="1">
      <alignment horizontal="left" vertical="center" shrinkToFit="1"/>
    </xf>
    <xf numFmtId="0" fontId="38" fillId="3" borderId="1" xfId="0" applyFont="1" applyFill="1" applyBorder="1" applyAlignment="1" applyProtection="1">
      <alignment horizontal="left" vertical="center" shrinkToFit="1"/>
    </xf>
    <xf numFmtId="0" fontId="38" fillId="3" borderId="19" xfId="0"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49" fontId="1"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pplyProtection="1">
      <alignment horizontal="center" vertical="center" wrapText="1"/>
      <protection locked="0"/>
    </xf>
    <xf numFmtId="49" fontId="1" fillId="0" borderId="10" xfId="0" applyNumberFormat="1" applyFont="1" applyFill="1" applyBorder="1" applyAlignment="1" applyProtection="1">
      <alignment horizontal="left" vertical="center" wrapText="1"/>
      <protection locked="0"/>
    </xf>
    <xf numFmtId="0" fontId="11" fillId="3" borderId="14"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19" xfId="0" applyFont="1" applyFill="1" applyBorder="1" applyAlignment="1" applyProtection="1">
      <alignment horizontal="left" vertical="center" shrinkToFit="1"/>
    </xf>
    <xf numFmtId="49" fontId="4" fillId="0" borderId="10" xfId="0" applyNumberFormat="1" applyFont="1" applyFill="1" applyBorder="1" applyAlignment="1">
      <alignment horizontal="left" vertical="center" wrapText="1"/>
    </xf>
    <xf numFmtId="49" fontId="4" fillId="0" borderId="10" xfId="0" applyNumberFormat="1" applyFont="1" applyFill="1" applyBorder="1" applyAlignment="1">
      <alignment horizontal="center" vertical="center" wrapText="1"/>
    </xf>
    <xf numFmtId="49" fontId="4" fillId="0" borderId="10" xfId="0" applyNumberFormat="1" applyFont="1" applyFill="1" applyBorder="1" applyAlignment="1" applyProtection="1">
      <alignment vertical="center" wrapText="1"/>
      <protection locked="0"/>
    </xf>
    <xf numFmtId="49" fontId="5" fillId="0" borderId="0" xfId="0" applyNumberFormat="1" applyFont="1" applyFill="1" applyAlignment="1" applyProtection="1">
      <alignment horizontal="left" vertical="top" wrapText="1"/>
      <protection locked="0"/>
    </xf>
    <xf numFmtId="49" fontId="1" fillId="0" borderId="23" xfId="0" applyNumberFormat="1" applyFont="1" applyFill="1" applyBorder="1" applyAlignment="1" applyProtection="1">
      <alignment horizontal="left" vertical="center" wrapText="1"/>
      <protection locked="0"/>
    </xf>
    <xf numFmtId="49" fontId="4" fillId="0" borderId="24" xfId="0" applyNumberFormat="1" applyFont="1" applyFill="1" applyBorder="1" applyAlignment="1" applyProtection="1">
      <alignment horizontal="left" vertical="center" wrapText="1"/>
      <protection locked="0"/>
    </xf>
    <xf numFmtId="49" fontId="4" fillId="0" borderId="15" xfId="0" applyNumberFormat="1" applyFont="1" applyFill="1" applyBorder="1" applyAlignment="1" applyProtection="1">
      <alignment horizontal="left" vertical="center" wrapText="1"/>
      <protection locked="0"/>
    </xf>
    <xf numFmtId="0" fontId="37" fillId="7" borderId="10" xfId="0" applyFont="1" applyFill="1" applyBorder="1" applyAlignment="1">
      <alignment horizontal="center"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15" xfId="0" applyBorder="1" applyAlignment="1">
      <alignment horizontal="left" vertical="center" wrapText="1"/>
    </xf>
    <xf numFmtId="0" fontId="1" fillId="0" borderId="23" xfId="0" applyFont="1" applyBorder="1" applyAlignment="1">
      <alignment horizontal="left" vertical="center" wrapText="1"/>
    </xf>
    <xf numFmtId="49" fontId="1" fillId="0" borderId="0" xfId="0" applyNumberFormat="1" applyFont="1" applyFill="1" applyBorder="1" applyAlignment="1" applyProtection="1">
      <alignment horizontal="left" vertical="top" wrapText="1"/>
      <protection locked="0"/>
    </xf>
    <xf numFmtId="49" fontId="1" fillId="5" borderId="23" xfId="2" applyNumberFormat="1" applyFill="1" applyBorder="1" applyAlignment="1">
      <alignment horizontal="left" vertical="center" wrapText="1" shrinkToFit="1"/>
    </xf>
    <xf numFmtId="49" fontId="1" fillId="5" borderId="24" xfId="2" applyNumberFormat="1" applyFill="1" applyBorder="1" applyAlignment="1">
      <alignment horizontal="left" vertical="center" wrapText="1" shrinkToFit="1"/>
    </xf>
    <xf numFmtId="49" fontId="1" fillId="5" borderId="15" xfId="2" applyNumberFormat="1" applyFill="1" applyBorder="1" applyAlignment="1">
      <alignment horizontal="left" vertical="center" wrapText="1" shrinkToFit="1"/>
    </xf>
    <xf numFmtId="0" fontId="1" fillId="5" borderId="10" xfId="2" applyFont="1" applyFill="1" applyBorder="1" applyAlignment="1">
      <alignment horizontal="left" vertical="top" wrapText="1" shrinkToFit="1"/>
    </xf>
    <xf numFmtId="0" fontId="1" fillId="5" borderId="10" xfId="2" applyFill="1" applyBorder="1" applyAlignment="1">
      <alignment horizontal="left" vertical="top" wrapText="1" shrinkToFit="1"/>
    </xf>
    <xf numFmtId="0" fontId="37" fillId="7" borderId="27" xfId="0" applyFont="1" applyFill="1" applyBorder="1" applyAlignment="1">
      <alignment horizontal="center" wrapText="1"/>
    </xf>
    <xf numFmtId="0" fontId="37" fillId="7" borderId="28" xfId="0" applyFont="1" applyFill="1" applyBorder="1" applyAlignment="1">
      <alignment horizontal="center" wrapText="1"/>
    </xf>
    <xf numFmtId="0" fontId="37" fillId="7" borderId="29" xfId="0" applyFont="1" applyFill="1" applyBorder="1" applyAlignment="1">
      <alignment horizontal="center" wrapText="1"/>
    </xf>
    <xf numFmtId="0" fontId="1" fillId="5" borderId="23" xfId="2" applyFont="1" applyFill="1" applyBorder="1" applyAlignment="1">
      <alignment horizontal="left" vertical="top" wrapText="1" shrinkToFit="1"/>
    </xf>
    <xf numFmtId="0" fontId="1" fillId="5" borderId="24" xfId="2" applyFont="1" applyFill="1" applyBorder="1" applyAlignment="1">
      <alignment horizontal="left" vertical="top" wrapText="1" shrinkToFit="1"/>
    </xf>
    <xf numFmtId="0" fontId="1" fillId="5" borderId="15" xfId="2" applyFont="1" applyFill="1" applyBorder="1" applyAlignment="1">
      <alignment horizontal="left" vertical="top" wrapText="1" shrinkToFit="1"/>
    </xf>
    <xf numFmtId="0" fontId="37" fillId="7" borderId="32" xfId="0" applyFont="1" applyFill="1" applyBorder="1" applyAlignment="1">
      <alignment horizontal="left" vertical="center" wrapText="1"/>
    </xf>
    <xf numFmtId="0" fontId="37" fillId="7" borderId="34" xfId="0" applyFont="1" applyFill="1" applyBorder="1" applyAlignment="1">
      <alignment horizontal="left" vertical="center" wrapText="1"/>
    </xf>
    <xf numFmtId="0" fontId="1" fillId="5" borderId="30" xfId="0" applyFont="1" applyFill="1" applyBorder="1" applyAlignment="1">
      <alignment horizontal="left" vertical="top" wrapText="1" shrinkToFit="1"/>
    </xf>
    <xf numFmtId="0" fontId="1" fillId="5" borderId="31" xfId="0" applyFont="1" applyFill="1" applyBorder="1" applyAlignment="1">
      <alignment horizontal="left" vertical="top" wrapText="1" shrinkToFit="1"/>
    </xf>
    <xf numFmtId="0" fontId="1" fillId="5" borderId="32" xfId="0" applyFont="1" applyFill="1" applyBorder="1" applyAlignment="1">
      <alignment horizontal="left" vertical="top" wrapText="1" shrinkToFit="1"/>
    </xf>
    <xf numFmtId="0" fontId="1" fillId="5" borderId="33" xfId="0" applyFont="1" applyFill="1" applyBorder="1" applyAlignment="1">
      <alignment horizontal="left" vertical="top" wrapText="1" shrinkToFit="1"/>
    </xf>
    <xf numFmtId="0" fontId="1" fillId="5" borderId="0" xfId="0" applyFont="1" applyFill="1" applyAlignment="1">
      <alignment horizontal="left" vertical="top" wrapText="1" shrinkToFit="1"/>
    </xf>
    <xf numFmtId="0" fontId="1" fillId="5" borderId="34" xfId="0" applyFont="1" applyFill="1" applyBorder="1" applyAlignment="1">
      <alignment horizontal="left" vertical="top" wrapText="1" shrinkToFit="1"/>
    </xf>
    <xf numFmtId="0" fontId="1" fillId="5" borderId="35"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37" xfId="0" applyFont="1" applyFill="1" applyBorder="1" applyAlignment="1">
      <alignment horizontal="left" vertical="top" wrapText="1" shrinkToFit="1"/>
    </xf>
    <xf numFmtId="0" fontId="9" fillId="5" borderId="6" xfId="0" applyFont="1" applyFill="1" applyBorder="1" applyAlignment="1">
      <alignment horizontal="left"/>
    </xf>
    <xf numFmtId="0" fontId="1" fillId="5" borderId="25" xfId="0" applyFont="1" applyFill="1" applyBorder="1" applyAlignment="1">
      <alignment horizontal="left"/>
    </xf>
    <xf numFmtId="0" fontId="1" fillId="5" borderId="26" xfId="0" applyFont="1" applyFill="1" applyBorder="1" applyAlignment="1">
      <alignment horizontal="left"/>
    </xf>
    <xf numFmtId="0" fontId="1" fillId="5" borderId="6" xfId="0" applyFont="1" applyFill="1" applyBorder="1" applyAlignment="1">
      <alignment horizontal="left" vertical="top"/>
    </xf>
    <xf numFmtId="0" fontId="1" fillId="5" borderId="25" xfId="0" applyFont="1" applyFill="1" applyBorder="1" applyAlignment="1">
      <alignment horizontal="left" vertical="top"/>
    </xf>
    <xf numFmtId="0" fontId="1" fillId="5" borderId="26" xfId="0" applyFont="1" applyFill="1" applyBorder="1" applyAlignment="1">
      <alignment horizontal="left" vertical="top"/>
    </xf>
    <xf numFmtId="0" fontId="1" fillId="5" borderId="0" xfId="0" applyFont="1" applyFill="1" applyBorder="1" applyAlignment="1">
      <alignment horizontal="left" vertical="top" wrapText="1" shrinkToFit="1"/>
    </xf>
    <xf numFmtId="49" fontId="1" fillId="5" borderId="23" xfId="2" applyNumberFormat="1" applyFill="1" applyBorder="1" applyAlignment="1">
      <alignment horizontal="left" vertical="top" wrapText="1" shrinkToFit="1"/>
    </xf>
    <xf numFmtId="49" fontId="1" fillId="5" borderId="24" xfId="2" applyNumberFormat="1" applyFill="1" applyBorder="1" applyAlignment="1">
      <alignment horizontal="left" vertical="top" wrapText="1" shrinkToFit="1"/>
    </xf>
    <xf numFmtId="49" fontId="1" fillId="5" borderId="15" xfId="2" applyNumberFormat="1" applyFill="1" applyBorder="1" applyAlignment="1">
      <alignment horizontal="left" vertical="top" wrapText="1" shrinkToFit="1"/>
    </xf>
    <xf numFmtId="0" fontId="9" fillId="0" borderId="6" xfId="0" applyFont="1" applyFill="1" applyBorder="1" applyAlignment="1">
      <alignment horizontal="left"/>
    </xf>
    <xf numFmtId="0" fontId="1" fillId="0" borderId="25" xfId="0" applyFont="1" applyFill="1" applyBorder="1" applyAlignment="1">
      <alignment horizontal="left"/>
    </xf>
    <xf numFmtId="0" fontId="1" fillId="0" borderId="26" xfId="0" applyFont="1" applyFill="1" applyBorder="1" applyAlignment="1">
      <alignment horizontal="left"/>
    </xf>
    <xf numFmtId="0" fontId="1" fillId="5" borderId="23" xfId="2" applyFill="1" applyBorder="1" applyAlignment="1">
      <alignment horizontal="left" vertical="top" wrapText="1" shrinkToFit="1"/>
    </xf>
    <xf numFmtId="0" fontId="1" fillId="5" borderId="24" xfId="2" applyFill="1" applyBorder="1" applyAlignment="1">
      <alignment horizontal="left" vertical="top" wrapText="1" shrinkToFit="1"/>
    </xf>
    <xf numFmtId="0" fontId="1" fillId="5" borderId="15" xfId="2" applyFill="1" applyBorder="1" applyAlignment="1">
      <alignment horizontal="left" vertical="top" wrapText="1" shrinkToFit="1"/>
    </xf>
    <xf numFmtId="0" fontId="0" fillId="5" borderId="23" xfId="0" applyFill="1" applyBorder="1" applyAlignment="1">
      <alignment horizontal="left" vertical="top"/>
    </xf>
    <xf numFmtId="0" fontId="0" fillId="5" borderId="24" xfId="0" applyFill="1" applyBorder="1" applyAlignment="1">
      <alignment horizontal="left" vertical="top"/>
    </xf>
    <xf numFmtId="0" fontId="0" fillId="5" borderId="15" xfId="0" applyFill="1" applyBorder="1" applyAlignment="1">
      <alignment horizontal="left" vertical="top"/>
    </xf>
    <xf numFmtId="0" fontId="9" fillId="5" borderId="25" xfId="0" applyFont="1" applyFill="1" applyBorder="1" applyAlignment="1">
      <alignment horizontal="left"/>
    </xf>
    <xf numFmtId="0" fontId="9" fillId="5" borderId="26" xfId="0" applyFont="1" applyFill="1" applyBorder="1" applyAlignment="1">
      <alignment horizontal="left"/>
    </xf>
    <xf numFmtId="0" fontId="1" fillId="5" borderId="23" xfId="0" applyFont="1" applyFill="1" applyBorder="1" applyAlignment="1">
      <alignment vertical="top" wrapText="1"/>
    </xf>
    <xf numFmtId="0" fontId="0" fillId="5" borderId="24" xfId="0" applyFill="1" applyBorder="1" applyAlignment="1">
      <alignment vertical="top" wrapText="1"/>
    </xf>
    <xf numFmtId="0" fontId="0" fillId="5" borderId="15" xfId="0" applyFill="1" applyBorder="1" applyAlignment="1">
      <alignment vertical="top" wrapText="1"/>
    </xf>
    <xf numFmtId="49" fontId="1" fillId="0" borderId="23" xfId="2" applyNumberFormat="1" applyFill="1" applyBorder="1" applyAlignment="1">
      <alignment horizontal="left" vertical="top" wrapText="1" shrinkToFit="1"/>
    </xf>
    <xf numFmtId="49" fontId="1" fillId="0" borderId="24" xfId="2" applyNumberFormat="1" applyFill="1" applyBorder="1" applyAlignment="1">
      <alignment horizontal="left" vertical="top" wrapText="1" shrinkToFit="1"/>
    </xf>
    <xf numFmtId="49" fontId="1" fillId="0" borderId="15" xfId="2" applyNumberFormat="1" applyFill="1" applyBorder="1" applyAlignment="1">
      <alignment horizontal="left" vertical="top" wrapText="1" shrinkToFit="1"/>
    </xf>
    <xf numFmtId="0" fontId="1" fillId="0" borderId="10" xfId="2" applyFont="1" applyFill="1" applyBorder="1" applyAlignment="1">
      <alignment horizontal="left" vertical="top" wrapText="1" shrinkToFit="1"/>
    </xf>
    <xf numFmtId="0" fontId="1" fillId="0" borderId="23" xfId="0" applyFont="1" applyFill="1" applyBorder="1" applyAlignment="1">
      <alignment vertical="top" wrapText="1"/>
    </xf>
    <xf numFmtId="0" fontId="1" fillId="0" borderId="24" xfId="0" applyFont="1" applyFill="1" applyBorder="1" applyAlignment="1">
      <alignment vertical="top" wrapText="1"/>
    </xf>
    <xf numFmtId="0" fontId="1" fillId="0" borderId="15" xfId="0" applyFont="1" applyFill="1" applyBorder="1" applyAlignment="1">
      <alignment vertical="top" wrapText="1"/>
    </xf>
    <xf numFmtId="0" fontId="0" fillId="0" borderId="24" xfId="0" applyFill="1" applyBorder="1" applyAlignment="1">
      <alignment vertical="top" wrapText="1"/>
    </xf>
    <xf numFmtId="0" fontId="0" fillId="0" borderId="15" xfId="0" applyFill="1" applyBorder="1" applyAlignment="1">
      <alignment vertical="top" wrapText="1"/>
    </xf>
    <xf numFmtId="0" fontId="1" fillId="5" borderId="6" xfId="0" applyFont="1" applyFill="1" applyBorder="1" applyAlignment="1">
      <alignment horizontal="left" vertical="top" wrapText="1"/>
    </xf>
    <xf numFmtId="0" fontId="1" fillId="5" borderId="25" xfId="0" applyFont="1" applyFill="1" applyBorder="1" applyAlignment="1">
      <alignment horizontal="left" vertical="top" wrapText="1"/>
    </xf>
    <xf numFmtId="0" fontId="1" fillId="5" borderId="26" xfId="0" applyFont="1" applyFill="1" applyBorder="1" applyAlignment="1">
      <alignment horizontal="left" vertical="top" wrapText="1"/>
    </xf>
  </cellXfs>
  <cellStyles count="3">
    <cellStyle name="Hyperlink" xfId="1" builtinId="8"/>
    <cellStyle name="Normal" xfId="0" builtinId="0"/>
    <cellStyle name="Normal 2" xfId="2" xr:uid="{00000000-0005-0000-0000-000002000000}"/>
  </cellStyles>
  <dxfs count="332">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0.95238095238095233</c:v>
                </c:pt>
                <c:pt idx="1">
                  <c:v>4.7619047619047616E-2</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EC3B1DB7-EFD0-4450-A4A6-37F30917EA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C873E46E-CC37-47C9-B846-1DF96BCE9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B18CBB95-9994-499B-BF63-42E7193B7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773197C6-D8B1-4205-A2F6-3F6FDCBCEC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3B8DEE3C-F3F6-4252-8DA4-4575A22FE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E7" sqref="E7:V7"/>
    </sheetView>
  </sheetViews>
  <sheetFormatPr defaultColWidth="0" defaultRowHeight="13.2" zeroHeight="1" x14ac:dyDescent="0.25"/>
  <cols>
    <col min="1" max="33" width="2.664062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ATM - Software Integration Test Specification Report.xlsm</v>
      </c>
      <c r="AE3" s="8"/>
      <c r="AF3" s="8"/>
      <c r="AG3" s="8"/>
      <c r="AH3" s="8"/>
      <c r="AI3" s="8"/>
      <c r="AJ3" s="8"/>
      <c r="AK3" s="8"/>
    </row>
    <row r="4" spans="1:37" s="7" customFormat="1" ht="11.1" customHeight="1" x14ac:dyDescent="0.25">
      <c r="A4" s="138" t="s">
        <v>0</v>
      </c>
      <c r="B4" s="139"/>
      <c r="C4" s="139"/>
      <c r="D4" s="139"/>
      <c r="E4" s="139"/>
      <c r="F4" s="139"/>
      <c r="G4" s="139"/>
      <c r="H4" s="139"/>
      <c r="I4" s="139"/>
      <c r="J4" s="139"/>
      <c r="K4" s="139"/>
      <c r="L4" s="139"/>
      <c r="M4" s="139"/>
      <c r="N4" s="139"/>
      <c r="O4" s="139"/>
      <c r="P4" s="139"/>
      <c r="Q4" s="139"/>
      <c r="R4" s="139"/>
      <c r="S4" s="139"/>
      <c r="T4" s="139"/>
      <c r="U4" s="139"/>
      <c r="V4" s="140"/>
      <c r="W4" s="108" t="s">
        <v>1</v>
      </c>
      <c r="X4" s="109"/>
      <c r="Y4" s="109"/>
      <c r="Z4" s="109"/>
      <c r="AA4" s="110"/>
      <c r="AB4" s="147" t="s">
        <v>19</v>
      </c>
      <c r="AC4" s="148"/>
      <c r="AD4" s="148"/>
      <c r="AE4" s="148"/>
      <c r="AF4" s="148"/>
      <c r="AG4" s="149"/>
      <c r="AH4" s="10"/>
      <c r="AI4" s="10"/>
      <c r="AJ4" s="10"/>
      <c r="AK4" s="8"/>
    </row>
    <row r="5" spans="1:37" s="12" customFormat="1" ht="12.75" customHeight="1" x14ac:dyDescent="0.25">
      <c r="A5" s="111" t="s">
        <v>123</v>
      </c>
      <c r="B5" s="112"/>
      <c r="C5" s="112"/>
      <c r="D5" s="112"/>
      <c r="E5" s="112"/>
      <c r="F5" s="112"/>
      <c r="G5" s="112"/>
      <c r="H5" s="112"/>
      <c r="I5" s="112"/>
      <c r="J5" s="112"/>
      <c r="K5" s="112"/>
      <c r="L5" s="112"/>
      <c r="M5" s="112"/>
      <c r="N5" s="112"/>
      <c r="O5" s="112"/>
      <c r="P5" s="112"/>
      <c r="Q5" s="112"/>
      <c r="R5" s="112"/>
      <c r="S5" s="112"/>
      <c r="T5" s="112"/>
      <c r="U5" s="112"/>
      <c r="V5" s="113"/>
      <c r="W5" s="111" t="s">
        <v>124</v>
      </c>
      <c r="X5" s="112"/>
      <c r="Y5" s="112"/>
      <c r="Z5" s="112"/>
      <c r="AA5" s="113"/>
      <c r="AB5" s="111" t="s">
        <v>338</v>
      </c>
      <c r="AC5" s="112"/>
      <c r="AD5" s="112"/>
      <c r="AE5" s="112"/>
      <c r="AF5" s="112"/>
      <c r="AG5" s="113"/>
      <c r="AH5" s="11"/>
      <c r="AI5" s="11"/>
      <c r="AJ5" s="11"/>
      <c r="AK5" s="11"/>
    </row>
    <row r="6" spans="1:37" s="45" customFormat="1" ht="11.1" customHeight="1" x14ac:dyDescent="0.25">
      <c r="A6" s="108" t="s">
        <v>2</v>
      </c>
      <c r="B6" s="109"/>
      <c r="C6" s="109"/>
      <c r="D6" s="110"/>
      <c r="E6" s="108" t="s">
        <v>3</v>
      </c>
      <c r="F6" s="109"/>
      <c r="G6" s="109"/>
      <c r="H6" s="109"/>
      <c r="I6" s="109"/>
      <c r="J6" s="109"/>
      <c r="K6" s="109"/>
      <c r="L6" s="109"/>
      <c r="M6" s="109"/>
      <c r="N6" s="109"/>
      <c r="O6" s="109"/>
      <c r="P6" s="109"/>
      <c r="Q6" s="109"/>
      <c r="R6" s="109"/>
      <c r="S6" s="109"/>
      <c r="T6" s="109"/>
      <c r="U6" s="109"/>
      <c r="V6" s="110"/>
      <c r="W6" s="138" t="s">
        <v>14</v>
      </c>
      <c r="X6" s="139"/>
      <c r="Y6" s="139"/>
      <c r="Z6" s="139"/>
      <c r="AA6" s="140"/>
      <c r="AB6" s="108"/>
      <c r="AC6" s="109"/>
      <c r="AD6" s="110"/>
      <c r="AE6" s="108" t="s">
        <v>4</v>
      </c>
      <c r="AF6" s="109"/>
      <c r="AG6" s="110"/>
      <c r="AH6" s="44"/>
      <c r="AI6" s="44"/>
      <c r="AJ6" s="44"/>
      <c r="AK6" s="44"/>
    </row>
    <row r="7" spans="1:37" s="14" customFormat="1" ht="12.75" customHeight="1" x14ac:dyDescent="0.25">
      <c r="A7" s="111" t="s">
        <v>125</v>
      </c>
      <c r="B7" s="112"/>
      <c r="C7" s="112"/>
      <c r="D7" s="113"/>
      <c r="E7" s="111" t="s">
        <v>364</v>
      </c>
      <c r="F7" s="112"/>
      <c r="G7" s="112"/>
      <c r="H7" s="112"/>
      <c r="I7" s="112"/>
      <c r="J7" s="112"/>
      <c r="K7" s="112"/>
      <c r="L7" s="112"/>
      <c r="M7" s="112"/>
      <c r="N7" s="112"/>
      <c r="O7" s="112"/>
      <c r="P7" s="112"/>
      <c r="Q7" s="112"/>
      <c r="R7" s="112"/>
      <c r="S7" s="112"/>
      <c r="T7" s="112"/>
      <c r="U7" s="112"/>
      <c r="V7" s="113"/>
      <c r="W7" s="111" t="str">
        <f ca="1" xml:space="preserve"> IFERROR(IF(alvDocProperty("MXDocTemplate_Name")="","SW04TEM001",alvDocProperty("MXDocTemplate_Name")),"SW04TEM001")</f>
        <v>SW04TEM001</v>
      </c>
      <c r="X7" s="112"/>
      <c r="Y7" s="112"/>
      <c r="Z7" s="112"/>
      <c r="AA7" s="113"/>
      <c r="AB7" s="111"/>
      <c r="AC7" s="112"/>
      <c r="AD7" s="113"/>
      <c r="AE7" s="144">
        <v>1.3</v>
      </c>
      <c r="AF7" s="145"/>
      <c r="AG7" s="146"/>
      <c r="AH7" s="13"/>
      <c r="AI7" s="13"/>
      <c r="AJ7" s="13"/>
      <c r="AK7" s="13"/>
    </row>
    <row r="8" spans="1:37" s="12" customFormat="1" x14ac:dyDescent="0.25">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5">
      <c r="A9" s="122" t="s">
        <v>20</v>
      </c>
      <c r="B9" s="123"/>
      <c r="C9" s="123"/>
      <c r="D9" s="123"/>
      <c r="E9" s="123"/>
      <c r="F9" s="123"/>
      <c r="G9" s="123"/>
      <c r="H9" s="123"/>
      <c r="I9" s="123"/>
      <c r="J9" s="123"/>
      <c r="K9" s="124"/>
      <c r="L9" s="122" t="s">
        <v>21</v>
      </c>
      <c r="M9" s="123"/>
      <c r="N9" s="123"/>
      <c r="O9" s="123"/>
      <c r="P9" s="123"/>
      <c r="Q9" s="123"/>
      <c r="R9" s="123"/>
      <c r="S9" s="123"/>
      <c r="T9" s="123"/>
      <c r="U9" s="123"/>
      <c r="V9" s="124"/>
      <c r="W9" s="122" t="s">
        <v>22</v>
      </c>
      <c r="X9" s="123"/>
      <c r="Y9" s="123"/>
      <c r="Z9" s="123"/>
      <c r="AA9" s="123"/>
      <c r="AB9" s="123"/>
      <c r="AC9" s="123"/>
      <c r="AD9" s="123"/>
      <c r="AE9" s="123"/>
      <c r="AF9" s="123"/>
      <c r="AG9" s="124"/>
      <c r="AH9" s="15"/>
      <c r="AI9" s="15"/>
    </row>
    <row r="10" spans="1:37" s="49" customFormat="1" ht="28.5" customHeight="1" x14ac:dyDescent="0.25">
      <c r="A10" s="141" t="s">
        <v>32</v>
      </c>
      <c r="B10" s="142"/>
      <c r="C10" s="142"/>
      <c r="D10" s="142"/>
      <c r="E10" s="142"/>
      <c r="F10" s="133" t="s">
        <v>361</v>
      </c>
      <c r="G10" s="133"/>
      <c r="H10" s="133"/>
      <c r="I10" s="133"/>
      <c r="J10" s="133"/>
      <c r="K10" s="134"/>
      <c r="L10" s="143" t="s">
        <v>126</v>
      </c>
      <c r="M10" s="115"/>
      <c r="N10" s="115"/>
      <c r="O10" s="115"/>
      <c r="P10" s="115"/>
      <c r="Q10" s="115"/>
      <c r="R10" s="115"/>
      <c r="S10" s="115"/>
      <c r="T10" s="115"/>
      <c r="U10" s="115"/>
      <c r="V10" s="116"/>
      <c r="W10" s="114" t="s">
        <v>126</v>
      </c>
      <c r="X10" s="115"/>
      <c r="Y10" s="115"/>
      <c r="Z10" s="115"/>
      <c r="AA10" s="115"/>
      <c r="AB10" s="115"/>
      <c r="AC10" s="115"/>
      <c r="AD10" s="115"/>
      <c r="AE10" s="115"/>
      <c r="AF10" s="115"/>
      <c r="AG10" s="116"/>
      <c r="AH10" s="48"/>
      <c r="AI10" s="48"/>
    </row>
    <row r="11" spans="1:37" s="55" customFormat="1" ht="4.5" customHeight="1" x14ac:dyDescent="0.25">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5">
      <c r="A12" s="135" t="s">
        <v>23</v>
      </c>
      <c r="B12" s="136"/>
      <c r="C12" s="136"/>
      <c r="D12" s="136"/>
      <c r="E12" s="136"/>
      <c r="F12" s="136"/>
      <c r="G12" s="136"/>
      <c r="H12" s="136"/>
      <c r="I12" s="136"/>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c r="AG12" s="137"/>
      <c r="AH12" s="15"/>
      <c r="AI12" s="15"/>
      <c r="AJ12" s="15"/>
      <c r="AK12" s="15"/>
    </row>
    <row r="13" spans="1:37" s="49" customFormat="1" ht="28.5" customHeight="1" x14ac:dyDescent="0.25">
      <c r="A13" s="119" t="s">
        <v>126</v>
      </c>
      <c r="B13" s="120"/>
      <c r="C13" s="120"/>
      <c r="D13" s="120"/>
      <c r="E13" s="120"/>
      <c r="F13" s="120"/>
      <c r="G13" s="120"/>
      <c r="H13" s="120"/>
      <c r="I13" s="120"/>
      <c r="J13" s="120"/>
      <c r="K13" s="121"/>
      <c r="L13" s="114" t="s">
        <v>126</v>
      </c>
      <c r="M13" s="115"/>
      <c r="N13" s="115"/>
      <c r="O13" s="115"/>
      <c r="P13" s="115"/>
      <c r="Q13" s="115"/>
      <c r="R13" s="115"/>
      <c r="S13" s="115"/>
      <c r="T13" s="115"/>
      <c r="U13" s="115"/>
      <c r="V13" s="116"/>
      <c r="W13" s="119" t="s">
        <v>126</v>
      </c>
      <c r="X13" s="120"/>
      <c r="Y13" s="120"/>
      <c r="Z13" s="120"/>
      <c r="AA13" s="120"/>
      <c r="AB13" s="120"/>
      <c r="AC13" s="120"/>
      <c r="AD13" s="120"/>
      <c r="AE13" s="120"/>
      <c r="AF13" s="120"/>
      <c r="AG13" s="121"/>
      <c r="AH13" s="48"/>
      <c r="AI13" s="48"/>
      <c r="AJ13" s="48"/>
      <c r="AK13" s="48"/>
    </row>
    <row r="14" spans="1:37" s="55" customFormat="1" ht="4.5" customHeight="1" x14ac:dyDescent="0.25">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37.5" customHeight="1" x14ac:dyDescent="0.25">
      <c r="A15" s="128" t="s">
        <v>24</v>
      </c>
      <c r="B15" s="128"/>
      <c r="C15" s="128"/>
      <c r="D15" s="128"/>
      <c r="E15" s="125" t="s">
        <v>363</v>
      </c>
      <c r="F15" s="126"/>
      <c r="G15" s="126"/>
      <c r="H15" s="126"/>
      <c r="I15" s="126"/>
      <c r="J15" s="126"/>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7"/>
      <c r="AH15" s="17"/>
      <c r="AI15" s="17"/>
      <c r="AJ15" s="17"/>
      <c r="AK15" s="17"/>
    </row>
    <row r="16" spans="1:37" s="18" customFormat="1" ht="37.5" customHeight="1" x14ac:dyDescent="0.25">
      <c r="A16" s="129"/>
      <c r="B16" s="129"/>
      <c r="C16" s="129"/>
      <c r="D16" s="129"/>
      <c r="E16" s="130"/>
      <c r="F16" s="131"/>
      <c r="G16" s="131"/>
      <c r="H16" s="131"/>
      <c r="I16" s="131"/>
      <c r="J16" s="131"/>
      <c r="K16" s="131"/>
      <c r="L16" s="131"/>
      <c r="M16" s="131"/>
      <c r="N16" s="131"/>
      <c r="O16" s="131"/>
      <c r="P16" s="131"/>
      <c r="Q16" s="131"/>
      <c r="R16" s="131"/>
      <c r="S16" s="131"/>
      <c r="T16" s="131"/>
      <c r="U16" s="131"/>
      <c r="V16" s="131"/>
      <c r="W16" s="131"/>
      <c r="X16" s="131"/>
      <c r="Y16" s="131"/>
      <c r="Z16" s="131"/>
      <c r="AA16" s="131"/>
      <c r="AB16" s="131"/>
      <c r="AC16" s="131"/>
      <c r="AD16" s="131"/>
      <c r="AE16" s="131"/>
      <c r="AF16" s="131"/>
      <c r="AG16" s="132"/>
      <c r="AH16" s="17"/>
      <c r="AI16" s="17"/>
      <c r="AJ16" s="17"/>
      <c r="AK16" s="17"/>
    </row>
    <row r="17" spans="1:37" s="18" customFormat="1" x14ac:dyDescent="0.25">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5">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5">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5">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5">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5">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5">
      <c r="A23" s="117" t="str">
        <f>MXTitle</f>
        <v>ATM - Software Integration Test Specification Report.xls</v>
      </c>
      <c r="B23" s="118"/>
      <c r="C23" s="118"/>
      <c r="D23" s="118"/>
      <c r="E23" s="118"/>
      <c r="F23" s="118"/>
      <c r="G23" s="118"/>
      <c r="H23" s="118"/>
      <c r="I23" s="118"/>
      <c r="J23" s="118"/>
      <c r="K23" s="118"/>
      <c r="L23" s="118"/>
      <c r="M23" s="118"/>
      <c r="N23" s="118"/>
      <c r="O23" s="118"/>
      <c r="P23" s="118"/>
      <c r="Q23" s="118"/>
      <c r="R23" s="118"/>
      <c r="S23" s="118"/>
      <c r="T23" s="118"/>
      <c r="U23" s="118"/>
      <c r="V23" s="118"/>
      <c r="W23" s="118"/>
      <c r="X23" s="118"/>
      <c r="Y23" s="118"/>
      <c r="Z23" s="118"/>
      <c r="AA23" s="118"/>
      <c r="AB23" s="118"/>
      <c r="AC23" s="118"/>
      <c r="AD23" s="118"/>
      <c r="AE23" s="118"/>
      <c r="AF23" s="118"/>
      <c r="AG23" s="118"/>
      <c r="AH23" s="17"/>
      <c r="AI23" s="17"/>
      <c r="AJ23" s="17"/>
      <c r="AK23" s="17"/>
    </row>
    <row r="24" spans="1:37" s="18" customFormat="1" ht="24.6" x14ac:dyDescent="0.25">
      <c r="C24" s="17"/>
      <c r="D24" s="17"/>
      <c r="E24" s="17"/>
      <c r="F24" s="17"/>
      <c r="G24" s="17"/>
      <c r="H24" s="17"/>
      <c r="I24" s="17"/>
      <c r="J24" s="17"/>
      <c r="K24" s="17"/>
      <c r="L24" s="17"/>
      <c r="M24" s="17"/>
      <c r="N24" s="17"/>
      <c r="O24" s="17"/>
      <c r="P24" s="17"/>
      <c r="Q24" s="57"/>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5">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5"/>
  </sheetData>
  <sheetProtection formatCells="0" formatRows="0" insertColumns="0" insertRows="0" insertHyperlinks="0" deleteRows="0" selectLockedCells="1" sort="0" autoFilter="0" pivotTables="0"/>
  <dataConsolidate/>
  <mergeCells count="31">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s>
  <phoneticPr fontId="3" type="noConversion"/>
  <conditionalFormatting sqref="W5:AA5">
    <cfRule type="cellIs" dxfId="331" priority="1" operator="equal">
      <formula>"In-Work"</formula>
    </cfRule>
    <cfRule type="cellIs" dxfId="330" priority="2" stopIfTrue="1" operator="equal">
      <formula>"draft"</formula>
    </cfRule>
    <cfRule type="cellIs" dxfId="329" priority="3" operator="equal">
      <formula>"In-Work"</formula>
    </cfRule>
    <cfRule type="cellIs" dxfId="328" priority="4" stopIfTrue="1" operator="equal">
      <formula>"draft"</formula>
    </cfRule>
    <cfRule type="cellIs" dxfId="327" priority="5" operator="equal">
      <formula>"In-Work"</formula>
    </cfRule>
    <cfRule type="cellIs" dxfId="326" priority="6" stopIfTrue="1" operator="equal">
      <formula>"draft"</formula>
    </cfRule>
    <cfRule type="cellIs" dxfId="325" priority="7" operator="equal">
      <formula>"In-Work"</formula>
    </cfRule>
    <cfRule type="cellIs" dxfId="324" priority="8" stopIfTrue="1" operator="equal">
      <formula>"draft"</formula>
    </cfRule>
    <cfRule type="cellIs" dxfId="323" priority="9" operator="equal">
      <formula>"In-Work"</formula>
    </cfRule>
    <cfRule type="cellIs" dxfId="322" priority="10" stopIfTrue="1" operator="equal">
      <formula>"draft"</formula>
    </cfRule>
    <cfRule type="cellIs" dxfId="321" priority="11" operator="equal">
      <formula>"In-Work"</formula>
    </cfRule>
    <cfRule type="cellIs" dxfId="320" priority="12" stopIfTrue="1" operator="equal">
      <formula>"draft"</formula>
    </cfRule>
    <cfRule type="cellIs" dxfId="319" priority="13" operator="equal">
      <formula>"In-Work"</formula>
    </cfRule>
    <cfRule type="cellIs" dxfId="318" priority="14" stopIfTrue="1" operator="equal">
      <formula>"draft"</formula>
    </cfRule>
    <cfRule type="cellIs" dxfId="317" priority="15" operator="equal">
      <formula>"In-Work"</formula>
    </cfRule>
    <cfRule type="cellIs" dxfId="316" priority="16" stopIfTrue="1" operator="equal">
      <formula>"draft"</formula>
    </cfRule>
    <cfRule type="cellIs" dxfId="315" priority="17" operator="equal">
      <formula>"In-Work"</formula>
    </cfRule>
    <cfRule type="cellIs" dxfId="314" priority="18" stopIfTrue="1" operator="equal">
      <formula>"draft"</formula>
    </cfRule>
    <cfRule type="cellIs" dxfId="313" priority="19" operator="equal">
      <formula>"In-Work"</formula>
    </cfRule>
    <cfRule type="cellIs" dxfId="312" priority="20" stopIfTrue="1" operator="equal">
      <formula>"draft"</formula>
    </cfRule>
    <cfRule type="cellIs" dxfId="311" priority="21" operator="equal">
      <formula>"In-Work"</formula>
    </cfRule>
    <cfRule type="cellIs" dxfId="310" priority="22" stopIfTrue="1" operator="equal">
      <formula>"draft"</formula>
    </cfRule>
    <cfRule type="cellIs" dxfId="309" priority="23" operator="equal">
      <formula>"In-Work"</formula>
    </cfRule>
    <cfRule type="cellIs" dxfId="308" priority="24" stopIfTrue="1" operator="equal">
      <formula>"draft"</formula>
    </cfRule>
    <cfRule type="cellIs" dxfId="307" priority="25" operator="equal">
      <formula>"In-Work"</formula>
    </cfRule>
    <cfRule type="cellIs" dxfId="306" priority="26" stopIfTrue="1" operator="equal">
      <formula>"draft"</formula>
    </cfRule>
    <cfRule type="cellIs" dxfId="305" priority="27" operator="equal">
      <formula>"In-Work"</formula>
    </cfRule>
    <cfRule type="cellIs" dxfId="304" priority="28" stopIfTrue="1" operator="equal">
      <formula>"draft"</formula>
    </cfRule>
    <cfRule type="cellIs" dxfId="303" priority="29" operator="equal">
      <formula>"In-Work"</formula>
    </cfRule>
    <cfRule type="cellIs" dxfId="302" priority="30" stopIfTrue="1" operator="equal">
      <formula>"draft"</formula>
    </cfRule>
    <cfRule type="cellIs" dxfId="301" priority="31" operator="equal">
      <formula>"In-Work"</formula>
    </cfRule>
    <cfRule type="cellIs" dxfId="300" priority="32" stopIfTrue="1" operator="equal">
      <formula>"draft"</formula>
    </cfRule>
    <cfRule type="cellIs" dxfId="299" priority="33" operator="equal">
      <formula>"In-Work"</formula>
    </cfRule>
    <cfRule type="cellIs" dxfId="298" priority="34" stopIfTrue="1" operator="equal">
      <formula>"draft"</formula>
    </cfRule>
    <cfRule type="cellIs" dxfId="297" priority="35" operator="equal">
      <formula>"In-Work"</formula>
    </cfRule>
    <cfRule type="cellIs" dxfId="296" priority="36"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1.3&amp;R&amp;P</oddFooter>
  </headerFooter>
  <ignoredErrors>
    <ignoredError sqref="B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3"/>
  <sheetViews>
    <sheetView showGridLines="0" zoomScaleNormal="100" workbookViewId="0">
      <selection activeCell="E7" sqref="E7:V7"/>
    </sheetView>
  </sheetViews>
  <sheetFormatPr defaultColWidth="0" defaultRowHeight="13.2" zeroHeight="1" x14ac:dyDescent="0.25"/>
  <cols>
    <col min="1" max="33" width="2.664062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9" t="str">
        <f ca="1">FileName</f>
        <v>ATM - Software Integration Test Specification Report.xlsm</v>
      </c>
      <c r="AE3" s="8"/>
      <c r="AF3" s="8"/>
      <c r="AG3" s="8"/>
      <c r="AH3" s="8"/>
      <c r="AI3" s="8"/>
      <c r="AJ3" s="8"/>
      <c r="AK3" s="8"/>
    </row>
    <row r="4" spans="1:37" s="7" customFormat="1" ht="11.1" customHeight="1" x14ac:dyDescent="0.25">
      <c r="A4" s="138" t="s">
        <v>0</v>
      </c>
      <c r="B4" s="139"/>
      <c r="C4" s="139"/>
      <c r="D4" s="139"/>
      <c r="E4" s="139"/>
      <c r="F4" s="139"/>
      <c r="G4" s="139"/>
      <c r="H4" s="139"/>
      <c r="I4" s="139"/>
      <c r="J4" s="139"/>
      <c r="K4" s="139"/>
      <c r="L4" s="139"/>
      <c r="M4" s="139"/>
      <c r="N4" s="139"/>
      <c r="O4" s="139"/>
      <c r="P4" s="139"/>
      <c r="Q4" s="139"/>
      <c r="R4" s="139"/>
      <c r="S4" s="139"/>
      <c r="T4" s="139"/>
      <c r="U4" s="139"/>
      <c r="V4" s="140"/>
      <c r="W4" s="154" t="s">
        <v>1</v>
      </c>
      <c r="X4" s="155"/>
      <c r="Y4" s="155"/>
      <c r="Z4" s="155"/>
      <c r="AA4" s="156"/>
      <c r="AB4" s="147" t="s">
        <v>19</v>
      </c>
      <c r="AC4" s="148"/>
      <c r="AD4" s="148"/>
      <c r="AE4" s="148"/>
      <c r="AF4" s="148"/>
      <c r="AG4" s="149"/>
      <c r="AH4" s="10"/>
      <c r="AI4" s="10"/>
      <c r="AJ4" s="10"/>
      <c r="AK4" s="8"/>
    </row>
    <row r="5" spans="1:37" s="12" customFormat="1" x14ac:dyDescent="0.25">
      <c r="A5" s="111" t="s">
        <v>123</v>
      </c>
      <c r="B5" s="112"/>
      <c r="C5" s="112"/>
      <c r="D5" s="112"/>
      <c r="E5" s="112"/>
      <c r="F5" s="112"/>
      <c r="G5" s="112"/>
      <c r="H5" s="112"/>
      <c r="I5" s="112"/>
      <c r="J5" s="112"/>
      <c r="K5" s="112"/>
      <c r="L5" s="112"/>
      <c r="M5" s="112"/>
      <c r="N5" s="112"/>
      <c r="O5" s="112"/>
      <c r="P5" s="112"/>
      <c r="Q5" s="112"/>
      <c r="R5" s="112"/>
      <c r="S5" s="112"/>
      <c r="T5" s="112"/>
      <c r="U5" s="112"/>
      <c r="V5" s="113"/>
      <c r="W5" s="163" t="str">
        <f>MXCurrent.Localized</f>
        <v>Initial revision</v>
      </c>
      <c r="X5" s="164"/>
      <c r="Y5" s="164"/>
      <c r="Z5" s="164"/>
      <c r="AA5" s="165"/>
      <c r="AB5" s="111" t="str">
        <f>MXActual_state_Released</f>
        <v>05.09.2022</v>
      </c>
      <c r="AC5" s="112"/>
      <c r="AD5" s="112"/>
      <c r="AE5" s="112"/>
      <c r="AF5" s="112"/>
      <c r="AG5" s="113"/>
      <c r="AH5" s="11"/>
      <c r="AI5" s="11"/>
      <c r="AJ5" s="11"/>
      <c r="AK5" s="11"/>
    </row>
    <row r="6" spans="1:37" s="1" customFormat="1" ht="11.1" customHeight="1" x14ac:dyDescent="0.25">
      <c r="A6" s="160" t="s">
        <v>2</v>
      </c>
      <c r="B6" s="161"/>
      <c r="C6" s="161"/>
      <c r="D6" s="162"/>
      <c r="E6" s="160" t="s">
        <v>3</v>
      </c>
      <c r="F6" s="161"/>
      <c r="G6" s="161"/>
      <c r="H6" s="161"/>
      <c r="I6" s="161"/>
      <c r="J6" s="161"/>
      <c r="K6" s="161"/>
      <c r="L6" s="161"/>
      <c r="M6" s="161"/>
      <c r="N6" s="161"/>
      <c r="O6" s="161"/>
      <c r="P6" s="161"/>
      <c r="Q6" s="161"/>
      <c r="R6" s="161"/>
      <c r="S6" s="161"/>
      <c r="T6" s="161"/>
      <c r="U6" s="161"/>
      <c r="V6" s="162"/>
      <c r="W6" s="138" t="s">
        <v>14</v>
      </c>
      <c r="X6" s="139"/>
      <c r="Y6" s="139"/>
      <c r="Z6" s="139"/>
      <c r="AA6" s="140"/>
      <c r="AB6" s="154"/>
      <c r="AC6" s="155"/>
      <c r="AD6" s="156"/>
      <c r="AE6" s="154" t="s">
        <v>4</v>
      </c>
      <c r="AF6" s="155"/>
      <c r="AG6" s="156"/>
      <c r="AH6" s="6"/>
      <c r="AI6" s="6"/>
      <c r="AJ6" s="6"/>
      <c r="AK6" s="6"/>
    </row>
    <row r="7" spans="1:37" s="14" customFormat="1" x14ac:dyDescent="0.25">
      <c r="A7" s="163" t="str">
        <f>MXName</f>
        <v>NA</v>
      </c>
      <c r="B7" s="164"/>
      <c r="C7" s="164"/>
      <c r="D7" s="165"/>
      <c r="E7" s="163" t="str">
        <f>MXTitle</f>
        <v>ATM - Software Integration Test Specification Report.xls</v>
      </c>
      <c r="F7" s="164"/>
      <c r="G7" s="164"/>
      <c r="H7" s="164"/>
      <c r="I7" s="164"/>
      <c r="J7" s="164"/>
      <c r="K7" s="164"/>
      <c r="L7" s="164"/>
      <c r="M7" s="164"/>
      <c r="N7" s="164"/>
      <c r="O7" s="164"/>
      <c r="P7" s="164"/>
      <c r="Q7" s="164"/>
      <c r="R7" s="164"/>
      <c r="S7" s="164"/>
      <c r="T7" s="164"/>
      <c r="U7" s="164"/>
      <c r="V7" s="165"/>
      <c r="W7" s="163" t="str">
        <f ca="1">TemplateRef</f>
        <v>SW04TEM001</v>
      </c>
      <c r="X7" s="164"/>
      <c r="Y7" s="164"/>
      <c r="Z7" s="164"/>
      <c r="AA7" s="165"/>
      <c r="AB7" s="163"/>
      <c r="AC7" s="164"/>
      <c r="AD7" s="165"/>
      <c r="AE7" s="157">
        <v>1.3</v>
      </c>
      <c r="AF7" s="158"/>
      <c r="AG7" s="159"/>
      <c r="AH7" s="13"/>
      <c r="AI7" s="13"/>
      <c r="AJ7" s="13"/>
      <c r="AK7" s="13"/>
    </row>
    <row r="8" spans="1:37" ht="11.1" customHeight="1" x14ac:dyDescent="0.25">
      <c r="A8" s="160"/>
      <c r="B8" s="161"/>
      <c r="C8" s="161"/>
      <c r="D8" s="161"/>
      <c r="E8" s="161"/>
      <c r="F8" s="16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2"/>
      <c r="AH8" s="15"/>
      <c r="AI8" s="15"/>
      <c r="AJ8" s="15"/>
      <c r="AK8" s="15"/>
    </row>
    <row r="9" spans="1:37" s="18" customFormat="1" x14ac:dyDescent="0.25">
      <c r="A9" s="170" t="s">
        <v>13</v>
      </c>
      <c r="B9" s="171"/>
      <c r="C9" s="171"/>
      <c r="D9" s="171"/>
      <c r="E9" s="171"/>
      <c r="F9" s="171"/>
      <c r="G9" s="171"/>
      <c r="H9" s="171"/>
      <c r="I9" s="171"/>
      <c r="J9" s="171"/>
      <c r="K9" s="171"/>
      <c r="L9" s="171"/>
      <c r="M9" s="171"/>
      <c r="N9" s="171"/>
      <c r="O9" s="171"/>
      <c r="P9" s="171"/>
      <c r="Q9" s="171"/>
      <c r="R9" s="171"/>
      <c r="S9" s="171"/>
      <c r="T9" s="171"/>
      <c r="U9" s="171"/>
      <c r="V9" s="171"/>
      <c r="W9" s="171"/>
      <c r="X9" s="171"/>
      <c r="Y9" s="171"/>
      <c r="Z9" s="171"/>
      <c r="AA9" s="171"/>
      <c r="AB9" s="171"/>
      <c r="AC9" s="171"/>
      <c r="AD9" s="171"/>
      <c r="AE9" s="171"/>
      <c r="AF9" s="171"/>
      <c r="AG9" s="172"/>
      <c r="AH9" s="17"/>
      <c r="AI9" s="17"/>
      <c r="AJ9" s="17"/>
    </row>
    <row r="10" spans="1:37" x14ac:dyDescent="0.25"/>
    <row r="11" spans="1:37" x14ac:dyDescent="0.25"/>
    <row r="12" spans="1:37" ht="24.6" x14ac:dyDescent="0.25">
      <c r="B12" s="19" t="s">
        <v>15</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5"/>
    <row r="14" spans="1:37" ht="20.399999999999999" x14ac:dyDescent="0.25">
      <c r="B14" s="21" t="s">
        <v>16</v>
      </c>
      <c r="C14" s="22"/>
    </row>
    <row r="15" spans="1:37" x14ac:dyDescent="0.25">
      <c r="B15" s="150" t="s">
        <v>6</v>
      </c>
      <c r="C15" s="166"/>
      <c r="D15" s="166"/>
      <c r="E15" s="166"/>
      <c r="F15" s="166"/>
      <c r="G15" s="150" t="s">
        <v>5</v>
      </c>
      <c r="H15" s="150"/>
      <c r="I15" s="150"/>
      <c r="J15" s="150"/>
      <c r="K15" s="150"/>
      <c r="L15" s="150"/>
      <c r="M15" s="150"/>
      <c r="N15" s="150"/>
      <c r="O15" s="150"/>
      <c r="P15" s="150"/>
      <c r="Q15" s="150"/>
      <c r="R15" s="150"/>
      <c r="S15" s="150"/>
      <c r="T15" s="150"/>
      <c r="U15" s="150"/>
      <c r="V15" s="150"/>
      <c r="W15" s="150"/>
      <c r="X15" s="150"/>
      <c r="Y15" s="150"/>
      <c r="Z15" s="150"/>
      <c r="AA15" s="150"/>
      <c r="AB15" s="150"/>
      <c r="AC15" s="150"/>
      <c r="AD15" s="150"/>
      <c r="AE15" s="150"/>
      <c r="AF15" s="150"/>
    </row>
    <row r="16" spans="1:37" ht="24" customHeight="1" x14ac:dyDescent="0.25">
      <c r="B16" s="168" t="s">
        <v>33</v>
      </c>
      <c r="C16" s="168"/>
      <c r="D16" s="168"/>
      <c r="E16" s="168"/>
      <c r="F16" s="168"/>
      <c r="G16" s="152" t="s">
        <v>35</v>
      </c>
      <c r="H16" s="152"/>
      <c r="I16" s="152"/>
      <c r="J16" s="152"/>
      <c r="K16" s="152"/>
      <c r="L16" s="152"/>
      <c r="M16" s="152"/>
      <c r="N16" s="152"/>
      <c r="O16" s="152"/>
      <c r="P16" s="152"/>
      <c r="Q16" s="152"/>
      <c r="R16" s="152"/>
      <c r="S16" s="152"/>
      <c r="T16" s="152"/>
      <c r="U16" s="152"/>
      <c r="V16" s="152"/>
      <c r="W16" s="152"/>
      <c r="X16" s="152"/>
      <c r="Y16" s="152"/>
      <c r="Z16" s="152"/>
      <c r="AA16" s="152"/>
      <c r="AB16" s="152"/>
      <c r="AC16" s="152"/>
      <c r="AD16" s="152"/>
      <c r="AE16" s="152"/>
      <c r="AF16" s="152"/>
    </row>
    <row r="17" spans="1:45" ht="24" customHeight="1" x14ac:dyDescent="0.25">
      <c r="B17" s="168" t="s">
        <v>34</v>
      </c>
      <c r="C17" s="168"/>
      <c r="D17" s="168"/>
      <c r="E17" s="168"/>
      <c r="F17" s="168"/>
      <c r="G17" s="169" t="s">
        <v>116</v>
      </c>
      <c r="H17" s="152"/>
      <c r="I17" s="152"/>
      <c r="J17" s="152"/>
      <c r="K17" s="152"/>
      <c r="L17" s="152"/>
      <c r="M17" s="152"/>
      <c r="N17" s="152"/>
      <c r="O17" s="152"/>
      <c r="P17" s="152"/>
      <c r="Q17" s="152"/>
      <c r="R17" s="152"/>
      <c r="S17" s="152"/>
      <c r="T17" s="152"/>
      <c r="U17" s="152"/>
      <c r="V17" s="152"/>
      <c r="W17" s="152"/>
      <c r="X17" s="152"/>
      <c r="Y17" s="152"/>
      <c r="Z17" s="152"/>
      <c r="AA17" s="152"/>
      <c r="AB17" s="152"/>
      <c r="AC17" s="152"/>
      <c r="AD17" s="152"/>
      <c r="AE17" s="152"/>
      <c r="AF17" s="152"/>
    </row>
    <row r="18" spans="1:45" ht="24" customHeight="1" x14ac:dyDescent="0.25">
      <c r="B18" s="167" t="s">
        <v>111</v>
      </c>
      <c r="C18" s="168"/>
      <c r="D18" s="168"/>
      <c r="E18" s="168"/>
      <c r="F18" s="168"/>
      <c r="G18" s="169" t="s">
        <v>122</v>
      </c>
      <c r="H18" s="152"/>
      <c r="I18" s="152"/>
      <c r="J18" s="152"/>
      <c r="K18" s="152"/>
      <c r="L18" s="152"/>
      <c r="M18" s="152"/>
      <c r="N18" s="152"/>
      <c r="O18" s="152"/>
      <c r="P18" s="152"/>
      <c r="Q18" s="152"/>
      <c r="R18" s="152"/>
      <c r="S18" s="152"/>
      <c r="T18" s="152"/>
      <c r="U18" s="152"/>
      <c r="V18" s="152"/>
      <c r="W18" s="152"/>
      <c r="X18" s="152"/>
      <c r="Y18" s="152"/>
      <c r="Z18" s="152"/>
      <c r="AA18" s="152"/>
      <c r="AB18" s="152"/>
      <c r="AC18" s="152"/>
      <c r="AD18" s="152"/>
      <c r="AE18" s="152"/>
      <c r="AF18" s="152"/>
    </row>
    <row r="19" spans="1:45" ht="24" customHeight="1" x14ac:dyDescent="0.25">
      <c r="B19" s="167" t="s">
        <v>112</v>
      </c>
      <c r="C19" s="168"/>
      <c r="D19" s="168"/>
      <c r="E19" s="168"/>
      <c r="F19" s="168"/>
      <c r="G19" s="169" t="s">
        <v>118</v>
      </c>
      <c r="H19" s="152"/>
      <c r="I19" s="152"/>
      <c r="J19" s="152"/>
      <c r="K19" s="152"/>
      <c r="L19" s="152"/>
      <c r="M19" s="152"/>
      <c r="N19" s="152"/>
      <c r="O19" s="152"/>
      <c r="P19" s="152"/>
      <c r="Q19" s="152"/>
      <c r="R19" s="152"/>
      <c r="S19" s="152"/>
      <c r="T19" s="152"/>
      <c r="U19" s="152"/>
      <c r="V19" s="152"/>
      <c r="W19" s="152"/>
      <c r="X19" s="152"/>
      <c r="Y19" s="152"/>
      <c r="Z19" s="152"/>
      <c r="AA19" s="152"/>
      <c r="AB19" s="152"/>
      <c r="AC19" s="152"/>
      <c r="AD19" s="152"/>
      <c r="AE19" s="152"/>
      <c r="AF19" s="152"/>
      <c r="AS19" s="23"/>
    </row>
    <row r="20" spans="1:45" ht="24" customHeight="1" x14ac:dyDescent="0.25">
      <c r="B20" s="167" t="s">
        <v>44</v>
      </c>
      <c r="C20" s="168"/>
      <c r="D20" s="168"/>
      <c r="E20" s="168"/>
      <c r="F20" s="168"/>
      <c r="G20" s="169" t="s">
        <v>119</v>
      </c>
      <c r="H20" s="152"/>
      <c r="I20" s="152"/>
      <c r="J20" s="152"/>
      <c r="K20" s="152"/>
      <c r="L20" s="152"/>
      <c r="M20" s="152"/>
      <c r="N20" s="152"/>
      <c r="O20" s="152"/>
      <c r="P20" s="152"/>
      <c r="Q20" s="152"/>
      <c r="R20" s="152"/>
      <c r="S20" s="152"/>
      <c r="T20" s="152"/>
      <c r="U20" s="152"/>
      <c r="V20" s="152"/>
      <c r="W20" s="152"/>
      <c r="X20" s="152"/>
      <c r="Y20" s="152"/>
      <c r="Z20" s="152"/>
      <c r="AA20" s="152"/>
      <c r="AB20" s="152"/>
      <c r="AC20" s="152"/>
      <c r="AD20" s="152"/>
      <c r="AE20" s="152"/>
      <c r="AF20" s="152"/>
      <c r="AS20" s="23"/>
    </row>
    <row r="21" spans="1:45" ht="24" customHeight="1" x14ac:dyDescent="0.25">
      <c r="B21" s="167" t="s">
        <v>113</v>
      </c>
      <c r="C21" s="168"/>
      <c r="D21" s="168"/>
      <c r="E21" s="168"/>
      <c r="F21" s="168"/>
      <c r="G21" s="169" t="s">
        <v>117</v>
      </c>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S21" s="23"/>
    </row>
    <row r="22" spans="1:45" x14ac:dyDescent="0.25">
      <c r="C22" s="24"/>
      <c r="I22" s="25"/>
    </row>
    <row r="23" spans="1:45" ht="20.399999999999999" x14ac:dyDescent="0.25">
      <c r="A23" s="21"/>
      <c r="B23" s="21" t="s">
        <v>26</v>
      </c>
      <c r="C23" s="24"/>
      <c r="I23" s="25"/>
    </row>
    <row r="24" spans="1:45" x14ac:dyDescent="0.25">
      <c r="B24" s="150" t="s">
        <v>4</v>
      </c>
      <c r="C24" s="151"/>
      <c r="D24" s="151"/>
      <c r="E24" s="150" t="s">
        <v>10</v>
      </c>
      <c r="F24" s="150"/>
      <c r="G24" s="150"/>
      <c r="H24" s="150"/>
      <c r="I24" s="150" t="s">
        <v>11</v>
      </c>
      <c r="J24" s="151"/>
      <c r="K24" s="151"/>
      <c r="L24" s="151"/>
      <c r="M24" s="151"/>
      <c r="N24" s="151"/>
      <c r="O24" s="151"/>
      <c r="P24" s="151"/>
      <c r="Q24" s="151"/>
      <c r="R24" s="150" t="s">
        <v>12</v>
      </c>
      <c r="S24" s="150"/>
      <c r="T24" s="150"/>
      <c r="U24" s="150"/>
      <c r="V24" s="150"/>
      <c r="W24" s="150"/>
      <c r="X24" s="150"/>
      <c r="Y24" s="150"/>
      <c r="Z24" s="150"/>
      <c r="AA24" s="150"/>
      <c r="AB24" s="150"/>
      <c r="AC24" s="150"/>
      <c r="AD24" s="150"/>
      <c r="AE24" s="150"/>
      <c r="AF24" s="150"/>
    </row>
    <row r="25" spans="1:45" x14ac:dyDescent="0.25">
      <c r="B25" s="167" t="s">
        <v>131</v>
      </c>
      <c r="C25" s="174"/>
      <c r="D25" s="174"/>
      <c r="E25" s="169" t="s">
        <v>130</v>
      </c>
      <c r="F25" s="152"/>
      <c r="G25" s="152"/>
      <c r="H25" s="152"/>
      <c r="I25" s="169" t="s">
        <v>127</v>
      </c>
      <c r="J25" s="173"/>
      <c r="K25" s="173"/>
      <c r="L25" s="173"/>
      <c r="M25" s="173"/>
      <c r="N25" s="173"/>
      <c r="O25" s="173"/>
      <c r="P25" s="173"/>
      <c r="Q25" s="173"/>
      <c r="R25" s="169" t="s">
        <v>124</v>
      </c>
      <c r="S25" s="152"/>
      <c r="T25" s="152"/>
      <c r="U25" s="152"/>
      <c r="V25" s="152"/>
      <c r="W25" s="152"/>
      <c r="X25" s="152"/>
      <c r="Y25" s="152"/>
      <c r="Z25" s="152"/>
      <c r="AA25" s="152"/>
      <c r="AB25" s="152"/>
      <c r="AC25" s="152"/>
      <c r="AD25" s="152"/>
      <c r="AE25" s="152"/>
      <c r="AF25" s="152"/>
    </row>
    <row r="26" spans="1:45" x14ac:dyDescent="0.25">
      <c r="B26" s="167" t="s">
        <v>132</v>
      </c>
      <c r="C26" s="174"/>
      <c r="D26" s="174"/>
      <c r="E26" s="169" t="s">
        <v>130</v>
      </c>
      <c r="F26" s="152"/>
      <c r="G26" s="152"/>
      <c r="H26" s="152"/>
      <c r="I26" s="169" t="s">
        <v>127</v>
      </c>
      <c r="J26" s="173"/>
      <c r="K26" s="173"/>
      <c r="L26" s="173"/>
      <c r="M26" s="173"/>
      <c r="N26" s="173"/>
      <c r="O26" s="173"/>
      <c r="P26" s="173"/>
      <c r="Q26" s="173"/>
      <c r="R26" s="169" t="s">
        <v>133</v>
      </c>
      <c r="S26" s="152"/>
      <c r="T26" s="152"/>
      <c r="U26" s="152"/>
      <c r="V26" s="152"/>
      <c r="W26" s="152"/>
      <c r="X26" s="152"/>
      <c r="Y26" s="152"/>
      <c r="Z26" s="152"/>
      <c r="AA26" s="152"/>
      <c r="AB26" s="152"/>
      <c r="AC26" s="152"/>
      <c r="AD26" s="152"/>
      <c r="AE26" s="152"/>
      <c r="AF26" s="152"/>
    </row>
    <row r="27" spans="1:45" x14ac:dyDescent="0.25">
      <c r="B27" s="167" t="s">
        <v>360</v>
      </c>
      <c r="C27" s="174"/>
      <c r="D27" s="174"/>
      <c r="E27" s="169" t="s">
        <v>338</v>
      </c>
      <c r="F27" s="152"/>
      <c r="G27" s="152"/>
      <c r="H27" s="152"/>
      <c r="I27" s="169" t="s">
        <v>361</v>
      </c>
      <c r="J27" s="173"/>
      <c r="K27" s="173"/>
      <c r="L27" s="173"/>
      <c r="M27" s="173"/>
      <c r="N27" s="173"/>
      <c r="O27" s="173"/>
      <c r="P27" s="173"/>
      <c r="Q27" s="173"/>
      <c r="R27" s="169" t="s">
        <v>362</v>
      </c>
      <c r="S27" s="152"/>
      <c r="T27" s="152"/>
      <c r="U27" s="152"/>
      <c r="V27" s="152"/>
      <c r="W27" s="152"/>
      <c r="X27" s="152"/>
      <c r="Y27" s="152"/>
      <c r="Z27" s="152"/>
      <c r="AA27" s="152"/>
      <c r="AB27" s="152"/>
      <c r="AC27" s="152"/>
      <c r="AD27" s="152"/>
      <c r="AE27" s="152"/>
      <c r="AF27" s="152"/>
    </row>
    <row r="28" spans="1:45" x14ac:dyDescent="0.25">
      <c r="B28" s="168"/>
      <c r="C28" s="174"/>
      <c r="D28" s="174"/>
      <c r="E28" s="152"/>
      <c r="F28" s="152"/>
      <c r="G28" s="152"/>
      <c r="H28" s="152"/>
      <c r="I28" s="152"/>
      <c r="J28" s="173"/>
      <c r="K28" s="173"/>
      <c r="L28" s="173"/>
      <c r="M28" s="173"/>
      <c r="N28" s="173"/>
      <c r="O28" s="173"/>
      <c r="P28" s="173"/>
      <c r="Q28" s="173"/>
      <c r="R28" s="152"/>
      <c r="S28" s="152"/>
      <c r="T28" s="152"/>
      <c r="U28" s="152"/>
      <c r="V28" s="152"/>
      <c r="W28" s="152"/>
      <c r="X28" s="152"/>
      <c r="Y28" s="152"/>
      <c r="Z28" s="152"/>
      <c r="AA28" s="152"/>
      <c r="AB28" s="152"/>
      <c r="AC28" s="152"/>
      <c r="AD28" s="152"/>
      <c r="AE28" s="152"/>
      <c r="AF28" s="152"/>
    </row>
    <row r="29" spans="1:45" x14ac:dyDescent="0.25">
      <c r="B29" s="26" t="s">
        <v>25</v>
      </c>
      <c r="C29" s="27"/>
      <c r="D29" s="27"/>
      <c r="E29" s="28"/>
      <c r="F29" s="28"/>
      <c r="G29" s="28"/>
      <c r="H29" s="28"/>
      <c r="I29" s="28"/>
      <c r="J29" s="29"/>
      <c r="K29" s="29"/>
      <c r="L29" s="29"/>
      <c r="M29" s="29"/>
      <c r="N29" s="29"/>
      <c r="O29" s="29"/>
      <c r="P29" s="29"/>
      <c r="Q29" s="29"/>
      <c r="R29" s="28"/>
      <c r="S29" s="28"/>
      <c r="T29" s="28"/>
      <c r="U29" s="28"/>
      <c r="V29" s="28"/>
      <c r="W29" s="28"/>
      <c r="X29" s="28"/>
      <c r="Y29" s="28"/>
      <c r="Z29" s="28"/>
      <c r="AA29" s="28"/>
      <c r="AB29" s="28"/>
      <c r="AC29" s="28"/>
      <c r="AD29" s="28"/>
      <c r="AE29" s="28"/>
      <c r="AF29" s="28"/>
    </row>
    <row r="30" spans="1:45" x14ac:dyDescent="0.25">
      <c r="C30" s="24"/>
      <c r="I30" s="25"/>
    </row>
    <row r="31" spans="1:45" ht="20.399999999999999" x14ac:dyDescent="0.25">
      <c r="B31" s="21" t="s">
        <v>17</v>
      </c>
      <c r="I31" s="25"/>
    </row>
    <row r="32" spans="1:45" ht="66.75" customHeight="1" x14ac:dyDescent="0.25">
      <c r="B32" s="176" t="s">
        <v>121</v>
      </c>
      <c r="C32" s="176"/>
      <c r="D32" s="176"/>
      <c r="E32" s="176"/>
      <c r="F32" s="176"/>
      <c r="G32" s="176"/>
      <c r="H32" s="176"/>
      <c r="I32" s="176"/>
      <c r="J32" s="176"/>
      <c r="K32" s="176"/>
      <c r="L32" s="176"/>
      <c r="M32" s="176"/>
      <c r="N32" s="176"/>
      <c r="O32" s="176"/>
      <c r="P32" s="176"/>
      <c r="Q32" s="176"/>
      <c r="R32" s="176"/>
      <c r="S32" s="176"/>
      <c r="T32" s="176"/>
      <c r="U32" s="176"/>
      <c r="V32" s="176"/>
      <c r="W32" s="176"/>
      <c r="X32" s="176"/>
      <c r="Y32" s="176"/>
      <c r="Z32" s="176"/>
      <c r="AA32" s="176"/>
      <c r="AB32" s="176"/>
      <c r="AC32" s="176"/>
      <c r="AD32" s="176"/>
      <c r="AE32" s="176"/>
      <c r="AF32" s="176"/>
      <c r="AG32" s="30"/>
    </row>
    <row r="33" spans="2:32" x14ac:dyDescent="0.25">
      <c r="J33" s="31"/>
    </row>
    <row r="34" spans="2:32" ht="20.399999999999999" x14ac:dyDescent="0.25">
      <c r="B34" s="21" t="s">
        <v>18</v>
      </c>
      <c r="C34" s="22"/>
      <c r="I34" s="25"/>
    </row>
    <row r="35" spans="2:32" ht="24.75" customHeight="1" x14ac:dyDescent="0.25">
      <c r="B35" s="32" t="s">
        <v>27</v>
      </c>
      <c r="C35" s="22"/>
      <c r="I35" s="25"/>
    </row>
    <row r="36" spans="2:32" ht="12.75" customHeight="1" x14ac:dyDescent="0.25">
      <c r="B36" s="150" t="s">
        <v>7</v>
      </c>
      <c r="C36" s="150"/>
      <c r="D36" s="150"/>
      <c r="E36" s="150" t="s">
        <v>8</v>
      </c>
      <c r="F36" s="151"/>
      <c r="G36" s="151"/>
      <c r="H36" s="151"/>
      <c r="I36" s="151"/>
      <c r="J36" s="151"/>
      <c r="K36" s="151"/>
      <c r="L36" s="151"/>
      <c r="M36" s="151"/>
      <c r="N36" s="151"/>
      <c r="O36" s="151"/>
      <c r="P36" s="151"/>
      <c r="Q36" s="151"/>
      <c r="R36" s="151"/>
      <c r="S36" s="151"/>
      <c r="T36" s="151"/>
      <c r="U36" s="151"/>
      <c r="V36" s="151"/>
      <c r="W36" s="151"/>
      <c r="X36" s="151"/>
      <c r="Y36" s="150" t="s">
        <v>9</v>
      </c>
      <c r="Z36" s="150"/>
      <c r="AA36" s="150"/>
      <c r="AB36" s="150"/>
      <c r="AC36" s="150"/>
      <c r="AD36" s="150"/>
      <c r="AE36" s="150"/>
      <c r="AF36" s="150"/>
    </row>
    <row r="37" spans="2:32" x14ac:dyDescent="0.25">
      <c r="B37" s="175"/>
      <c r="C37" s="175"/>
      <c r="D37" s="175"/>
      <c r="E37" s="152"/>
      <c r="F37" s="153"/>
      <c r="G37" s="153"/>
      <c r="H37" s="153"/>
      <c r="I37" s="153"/>
      <c r="J37" s="153"/>
      <c r="K37" s="153"/>
      <c r="L37" s="153"/>
      <c r="M37" s="153"/>
      <c r="N37" s="153"/>
      <c r="O37" s="153"/>
      <c r="P37" s="153"/>
      <c r="Q37" s="153"/>
      <c r="R37" s="153"/>
      <c r="S37" s="153"/>
      <c r="T37" s="153"/>
      <c r="U37" s="153"/>
      <c r="V37" s="153"/>
      <c r="W37" s="153"/>
      <c r="X37" s="153"/>
      <c r="Y37" s="152"/>
      <c r="Z37" s="153"/>
      <c r="AA37" s="153"/>
      <c r="AB37" s="153"/>
      <c r="AC37" s="153"/>
      <c r="AD37" s="153"/>
      <c r="AE37" s="153"/>
      <c r="AF37" s="153"/>
    </row>
    <row r="38" spans="2:32" x14ac:dyDescent="0.25">
      <c r="B38" s="175"/>
      <c r="C38" s="175"/>
      <c r="D38" s="175"/>
      <c r="E38" s="152"/>
      <c r="F38" s="153"/>
      <c r="G38" s="153"/>
      <c r="H38" s="153"/>
      <c r="I38" s="153"/>
      <c r="J38" s="153"/>
      <c r="K38" s="153"/>
      <c r="L38" s="153"/>
      <c r="M38" s="153"/>
      <c r="N38" s="153"/>
      <c r="O38" s="153"/>
      <c r="P38" s="153"/>
      <c r="Q38" s="153"/>
      <c r="R38" s="153"/>
      <c r="S38" s="153"/>
      <c r="T38" s="153"/>
      <c r="U38" s="153"/>
      <c r="V38" s="153"/>
      <c r="W38" s="153"/>
      <c r="X38" s="153"/>
      <c r="Y38" s="152"/>
      <c r="Z38" s="153"/>
      <c r="AA38" s="153"/>
      <c r="AB38" s="153"/>
      <c r="AC38" s="153"/>
      <c r="AD38" s="153"/>
      <c r="AE38" s="153"/>
      <c r="AF38" s="153"/>
    </row>
    <row r="39" spans="2:32" x14ac:dyDescent="0.25">
      <c r="B39" s="175"/>
      <c r="C39" s="175"/>
      <c r="D39" s="175"/>
      <c r="E39" s="152"/>
      <c r="F39" s="153"/>
      <c r="G39" s="153"/>
      <c r="H39" s="153"/>
      <c r="I39" s="153"/>
      <c r="J39" s="153"/>
      <c r="K39" s="153"/>
      <c r="L39" s="153"/>
      <c r="M39" s="153"/>
      <c r="N39" s="153"/>
      <c r="O39" s="153"/>
      <c r="P39" s="153"/>
      <c r="Q39" s="153"/>
      <c r="R39" s="153"/>
      <c r="S39" s="153"/>
      <c r="T39" s="153"/>
      <c r="U39" s="153"/>
      <c r="V39" s="153"/>
      <c r="W39" s="153"/>
      <c r="X39" s="153"/>
      <c r="Y39" s="152"/>
      <c r="Z39" s="153"/>
      <c r="AA39" s="153"/>
      <c r="AB39" s="153"/>
      <c r="AC39" s="153"/>
      <c r="AD39" s="153"/>
      <c r="AE39" s="153"/>
      <c r="AF39" s="153"/>
    </row>
    <row r="40" spans="2:32" x14ac:dyDescent="0.25">
      <c r="B40" s="175"/>
      <c r="C40" s="175"/>
      <c r="D40" s="175"/>
      <c r="E40" s="152"/>
      <c r="F40" s="153"/>
      <c r="G40" s="153"/>
      <c r="H40" s="153"/>
      <c r="I40" s="153"/>
      <c r="J40" s="153"/>
      <c r="K40" s="153"/>
      <c r="L40" s="153"/>
      <c r="M40" s="153"/>
      <c r="N40" s="153"/>
      <c r="O40" s="153"/>
      <c r="P40" s="153"/>
      <c r="Q40" s="153"/>
      <c r="R40" s="153"/>
      <c r="S40" s="153"/>
      <c r="T40" s="153"/>
      <c r="U40" s="153"/>
      <c r="V40" s="153"/>
      <c r="W40" s="153"/>
      <c r="X40" s="153"/>
      <c r="Y40" s="152"/>
      <c r="Z40" s="153"/>
      <c r="AA40" s="153"/>
      <c r="AB40" s="153"/>
      <c r="AC40" s="153"/>
      <c r="AD40" s="153"/>
      <c r="AE40" s="153"/>
      <c r="AF40" s="153"/>
    </row>
    <row r="41" spans="2:32" ht="24.75" customHeight="1" x14ac:dyDescent="0.25">
      <c r="B41" s="32" t="s">
        <v>28</v>
      </c>
      <c r="C41" s="22"/>
      <c r="I41" s="25"/>
    </row>
    <row r="42" spans="2:32" ht="12.75" customHeight="1" x14ac:dyDescent="0.25">
      <c r="B42" s="150" t="s">
        <v>7</v>
      </c>
      <c r="C42" s="150"/>
      <c r="D42" s="150"/>
      <c r="E42" s="150" t="s">
        <v>8</v>
      </c>
      <c r="F42" s="151"/>
      <c r="G42" s="151"/>
      <c r="H42" s="151"/>
      <c r="I42" s="151"/>
      <c r="J42" s="151"/>
      <c r="K42" s="151"/>
      <c r="L42" s="151"/>
      <c r="M42" s="151"/>
      <c r="N42" s="151"/>
      <c r="O42" s="151"/>
      <c r="P42" s="151"/>
      <c r="Q42" s="151"/>
      <c r="R42" s="151"/>
      <c r="S42" s="151"/>
      <c r="T42" s="151"/>
      <c r="U42" s="151"/>
      <c r="V42" s="151"/>
      <c r="W42" s="151"/>
      <c r="X42" s="151"/>
      <c r="Y42" s="150" t="s">
        <v>9</v>
      </c>
      <c r="Z42" s="150"/>
      <c r="AA42" s="150"/>
      <c r="AB42" s="150"/>
      <c r="AC42" s="150"/>
      <c r="AD42" s="150"/>
      <c r="AE42" s="150"/>
      <c r="AF42" s="150"/>
    </row>
    <row r="43" spans="2:32" x14ac:dyDescent="0.25">
      <c r="B43" s="175"/>
      <c r="C43" s="175"/>
      <c r="D43" s="175"/>
      <c r="E43" s="152"/>
      <c r="F43" s="153"/>
      <c r="G43" s="153"/>
      <c r="H43" s="153"/>
      <c r="I43" s="153"/>
      <c r="J43" s="153"/>
      <c r="K43" s="153"/>
      <c r="L43" s="153"/>
      <c r="M43" s="153"/>
      <c r="N43" s="153"/>
      <c r="O43" s="153"/>
      <c r="P43" s="153"/>
      <c r="Q43" s="153"/>
      <c r="R43" s="153"/>
      <c r="S43" s="153"/>
      <c r="T43" s="153"/>
      <c r="U43" s="153"/>
      <c r="V43" s="153"/>
      <c r="W43" s="153"/>
      <c r="X43" s="153"/>
      <c r="Y43" s="152"/>
      <c r="Z43" s="153"/>
      <c r="AA43" s="153"/>
      <c r="AB43" s="153"/>
      <c r="AC43" s="153"/>
      <c r="AD43" s="153"/>
      <c r="AE43" s="153"/>
      <c r="AF43" s="153"/>
    </row>
    <row r="44" spans="2:32" x14ac:dyDescent="0.25">
      <c r="B44" s="175"/>
      <c r="C44" s="175"/>
      <c r="D44" s="175"/>
      <c r="E44" s="152"/>
      <c r="F44" s="153"/>
      <c r="G44" s="153"/>
      <c r="H44" s="153"/>
      <c r="I44" s="153"/>
      <c r="J44" s="153"/>
      <c r="K44" s="153"/>
      <c r="L44" s="153"/>
      <c r="M44" s="153"/>
      <c r="N44" s="153"/>
      <c r="O44" s="153"/>
      <c r="P44" s="153"/>
      <c r="Q44" s="153"/>
      <c r="R44" s="153"/>
      <c r="S44" s="153"/>
      <c r="T44" s="153"/>
      <c r="U44" s="153"/>
      <c r="V44" s="153"/>
      <c r="W44" s="153"/>
      <c r="X44" s="153"/>
      <c r="Y44" s="152"/>
      <c r="Z44" s="153"/>
      <c r="AA44" s="153"/>
      <c r="AB44" s="153"/>
      <c r="AC44" s="153"/>
      <c r="AD44" s="153"/>
      <c r="AE44" s="153"/>
      <c r="AF44" s="153"/>
    </row>
    <row r="45" spans="2:32" x14ac:dyDescent="0.25">
      <c r="B45" s="175"/>
      <c r="C45" s="175"/>
      <c r="D45" s="175"/>
      <c r="E45" s="152"/>
      <c r="F45" s="153"/>
      <c r="G45" s="153"/>
      <c r="H45" s="153"/>
      <c r="I45" s="153"/>
      <c r="J45" s="153"/>
      <c r="K45" s="153"/>
      <c r="L45" s="153"/>
      <c r="M45" s="153"/>
      <c r="N45" s="153"/>
      <c r="O45" s="153"/>
      <c r="P45" s="153"/>
      <c r="Q45" s="153"/>
      <c r="R45" s="153"/>
      <c r="S45" s="153"/>
      <c r="T45" s="153"/>
      <c r="U45" s="153"/>
      <c r="V45" s="153"/>
      <c r="W45" s="153"/>
      <c r="X45" s="153"/>
      <c r="Y45" s="152"/>
      <c r="Z45" s="153"/>
      <c r="AA45" s="153"/>
      <c r="AB45" s="153"/>
      <c r="AC45" s="153"/>
      <c r="AD45" s="153"/>
      <c r="AE45" s="153"/>
      <c r="AF45" s="153"/>
    </row>
    <row r="46" spans="2:32" x14ac:dyDescent="0.25">
      <c r="B46" s="175"/>
      <c r="C46" s="175"/>
      <c r="D46" s="175"/>
      <c r="E46" s="152"/>
      <c r="F46" s="153"/>
      <c r="G46" s="153"/>
      <c r="H46" s="153"/>
      <c r="I46" s="153"/>
      <c r="J46" s="153"/>
      <c r="K46" s="153"/>
      <c r="L46" s="153"/>
      <c r="M46" s="153"/>
      <c r="N46" s="153"/>
      <c r="O46" s="153"/>
      <c r="P46" s="153"/>
      <c r="Q46" s="153"/>
      <c r="R46" s="153"/>
      <c r="S46" s="153"/>
      <c r="T46" s="153"/>
      <c r="U46" s="153"/>
      <c r="V46" s="153"/>
      <c r="W46" s="153"/>
      <c r="X46" s="153"/>
      <c r="Y46" s="152"/>
      <c r="Z46" s="153"/>
      <c r="AA46" s="153"/>
      <c r="AB46" s="153"/>
      <c r="AC46" s="153"/>
      <c r="AD46" s="153"/>
      <c r="AE46" s="153"/>
      <c r="AF46" s="153"/>
    </row>
    <row r="47" spans="2:32" x14ac:dyDescent="0.25">
      <c r="C47" s="24"/>
      <c r="I47" s="25"/>
    </row>
    <row r="48" spans="2:32" ht="20.399999999999999" x14ac:dyDescent="0.25">
      <c r="B48" s="21" t="s">
        <v>30</v>
      </c>
      <c r="C48" s="22"/>
      <c r="I48" s="25"/>
    </row>
    <row r="49" spans="2:32" ht="12.75" customHeight="1" x14ac:dyDescent="0.25">
      <c r="B49" s="150" t="s">
        <v>29</v>
      </c>
      <c r="C49" s="150"/>
      <c r="D49" s="150"/>
      <c r="E49" s="150"/>
      <c r="F49" s="150"/>
      <c r="G49" s="150"/>
      <c r="H49" s="180"/>
      <c r="I49" s="180"/>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row>
    <row r="50" spans="2:32" ht="33.75" customHeight="1" x14ac:dyDescent="0.25">
      <c r="B50" s="177" t="s">
        <v>106</v>
      </c>
      <c r="C50" s="178"/>
      <c r="D50" s="178"/>
      <c r="E50" s="178"/>
      <c r="F50" s="178"/>
      <c r="G50" s="179"/>
      <c r="H50" s="184" t="s">
        <v>110</v>
      </c>
      <c r="I50" s="182"/>
      <c r="J50" s="182"/>
      <c r="K50" s="182"/>
      <c r="L50" s="182"/>
      <c r="M50" s="182"/>
      <c r="N50" s="182"/>
      <c r="O50" s="182"/>
      <c r="P50" s="182"/>
      <c r="Q50" s="182"/>
      <c r="R50" s="182"/>
      <c r="S50" s="182"/>
      <c r="T50" s="182"/>
      <c r="U50" s="182"/>
      <c r="V50" s="182"/>
      <c r="W50" s="182"/>
      <c r="X50" s="182"/>
      <c r="Y50" s="182"/>
      <c r="Z50" s="182"/>
      <c r="AA50" s="182"/>
      <c r="AB50" s="182"/>
      <c r="AC50" s="182"/>
      <c r="AD50" s="182"/>
      <c r="AE50" s="182"/>
      <c r="AF50" s="183"/>
    </row>
    <row r="51" spans="2:32" ht="36.75" customHeight="1" x14ac:dyDescent="0.25">
      <c r="B51" s="177" t="s">
        <v>69</v>
      </c>
      <c r="C51" s="178"/>
      <c r="D51" s="178"/>
      <c r="E51" s="178"/>
      <c r="F51" s="178"/>
      <c r="G51" s="179"/>
      <c r="H51" s="181" t="s">
        <v>70</v>
      </c>
      <c r="I51" s="182"/>
      <c r="J51" s="182"/>
      <c r="K51" s="182"/>
      <c r="L51" s="182"/>
      <c r="M51" s="182"/>
      <c r="N51" s="182"/>
      <c r="O51" s="182"/>
      <c r="P51" s="182"/>
      <c r="Q51" s="182"/>
      <c r="R51" s="182"/>
      <c r="S51" s="182"/>
      <c r="T51" s="182"/>
      <c r="U51" s="182"/>
      <c r="V51" s="182"/>
      <c r="W51" s="182"/>
      <c r="X51" s="182"/>
      <c r="Y51" s="182"/>
      <c r="Z51" s="182"/>
      <c r="AA51" s="182"/>
      <c r="AB51" s="182"/>
      <c r="AC51" s="182"/>
      <c r="AD51" s="182"/>
      <c r="AE51" s="182"/>
      <c r="AF51" s="183"/>
    </row>
    <row r="52" spans="2:32" ht="45.75" customHeight="1" x14ac:dyDescent="0.25">
      <c r="B52" s="177" t="s">
        <v>71</v>
      </c>
      <c r="C52" s="178"/>
      <c r="D52" s="178"/>
      <c r="E52" s="178"/>
      <c r="F52" s="178"/>
      <c r="G52" s="179"/>
      <c r="H52" s="181" t="s">
        <v>76</v>
      </c>
      <c r="I52" s="182"/>
      <c r="J52" s="182"/>
      <c r="K52" s="182"/>
      <c r="L52" s="182"/>
      <c r="M52" s="182"/>
      <c r="N52" s="182"/>
      <c r="O52" s="182"/>
      <c r="P52" s="182"/>
      <c r="Q52" s="182"/>
      <c r="R52" s="182"/>
      <c r="S52" s="182"/>
      <c r="T52" s="182"/>
      <c r="U52" s="182"/>
      <c r="V52" s="182"/>
      <c r="W52" s="182"/>
      <c r="X52" s="182"/>
      <c r="Y52" s="182"/>
      <c r="Z52" s="182"/>
      <c r="AA52" s="182"/>
      <c r="AB52" s="182"/>
      <c r="AC52" s="182"/>
      <c r="AD52" s="182"/>
      <c r="AE52" s="182"/>
      <c r="AF52" s="183"/>
    </row>
    <row r="53" spans="2:32" ht="45.75" customHeight="1" x14ac:dyDescent="0.25">
      <c r="B53" s="177" t="s">
        <v>72</v>
      </c>
      <c r="C53" s="178"/>
      <c r="D53" s="178"/>
      <c r="E53" s="178"/>
      <c r="F53" s="178"/>
      <c r="G53" s="179"/>
      <c r="H53" s="181" t="s">
        <v>75</v>
      </c>
      <c r="I53" s="182"/>
      <c r="J53" s="182"/>
      <c r="K53" s="182"/>
      <c r="L53" s="182"/>
      <c r="M53" s="182"/>
      <c r="N53" s="182"/>
      <c r="O53" s="182"/>
      <c r="P53" s="182"/>
      <c r="Q53" s="182"/>
      <c r="R53" s="182"/>
      <c r="S53" s="182"/>
      <c r="T53" s="182"/>
      <c r="U53" s="182"/>
      <c r="V53" s="182"/>
      <c r="W53" s="182"/>
      <c r="X53" s="182"/>
      <c r="Y53" s="182"/>
      <c r="Z53" s="182"/>
      <c r="AA53" s="182"/>
      <c r="AB53" s="182"/>
      <c r="AC53" s="182"/>
      <c r="AD53" s="182"/>
      <c r="AE53" s="182"/>
      <c r="AF53" s="183"/>
    </row>
    <row r="54" spans="2:32" ht="37.5" customHeight="1" x14ac:dyDescent="0.25">
      <c r="B54" s="177" t="s">
        <v>73</v>
      </c>
      <c r="C54" s="178"/>
      <c r="D54" s="178"/>
      <c r="E54" s="178"/>
      <c r="F54" s="178"/>
      <c r="G54" s="179"/>
      <c r="H54" s="181" t="s">
        <v>74</v>
      </c>
      <c r="I54" s="182"/>
      <c r="J54" s="182"/>
      <c r="K54" s="182"/>
      <c r="L54" s="182"/>
      <c r="M54" s="182"/>
      <c r="N54" s="182"/>
      <c r="O54" s="182"/>
      <c r="P54" s="182"/>
      <c r="Q54" s="182"/>
      <c r="R54" s="182"/>
      <c r="S54" s="182"/>
      <c r="T54" s="182"/>
      <c r="U54" s="182"/>
      <c r="V54" s="182"/>
      <c r="W54" s="182"/>
      <c r="X54" s="182"/>
      <c r="Y54" s="182"/>
      <c r="Z54" s="182"/>
      <c r="AA54" s="182"/>
      <c r="AB54" s="182"/>
      <c r="AC54" s="182"/>
      <c r="AD54" s="182"/>
      <c r="AE54" s="182"/>
      <c r="AF54" s="183"/>
    </row>
    <row r="55" spans="2:32" x14ac:dyDescent="0.25">
      <c r="B55" s="28"/>
      <c r="C55" s="28"/>
      <c r="D55" s="28"/>
      <c r="E55" s="28"/>
      <c r="F55" s="28"/>
      <c r="G55" s="28"/>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row>
    <row r="56" spans="2:32" x14ac:dyDescent="0.25">
      <c r="B56" s="28"/>
      <c r="C56" s="28"/>
      <c r="D56" s="28"/>
      <c r="E56" s="28"/>
      <c r="F56" s="28"/>
      <c r="G56" s="28"/>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row>
    <row r="57" spans="2:32" ht="24.6" x14ac:dyDescent="0.25">
      <c r="B57" s="34" t="s">
        <v>31</v>
      </c>
      <c r="C57" s="35"/>
      <c r="D57" s="35"/>
      <c r="E57" s="35"/>
      <c r="F57" s="35"/>
      <c r="G57" s="35"/>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row>
    <row r="58" spans="2:32" ht="15.75" customHeight="1" x14ac:dyDescent="0.25">
      <c r="B58" s="37"/>
      <c r="C58" s="28"/>
      <c r="D58" s="28"/>
      <c r="E58" s="28"/>
      <c r="F58" s="28"/>
      <c r="G58" s="28"/>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row>
    <row r="59" spans="2:32" x14ac:dyDescent="0.25">
      <c r="B59" s="92" t="s">
        <v>77</v>
      </c>
      <c r="C59" s="38"/>
      <c r="D59" s="38"/>
      <c r="E59" s="38"/>
      <c r="F59" s="38"/>
      <c r="G59" s="38"/>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row>
    <row r="60" spans="2:32" x14ac:dyDescent="0.25">
      <c r="B60" s="92" t="s">
        <v>108</v>
      </c>
      <c r="C60" s="38"/>
      <c r="D60" s="38"/>
      <c r="E60" s="38"/>
      <c r="F60" s="38"/>
      <c r="G60" s="38"/>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row>
    <row r="61" spans="2:32" x14ac:dyDescent="0.25">
      <c r="B61" s="38"/>
      <c r="C61" s="38"/>
      <c r="D61" s="38"/>
      <c r="E61" s="38"/>
      <c r="F61" s="38"/>
      <c r="G61" s="38"/>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row>
    <row r="62" spans="2:32" x14ac:dyDescent="0.25">
      <c r="B62" s="38"/>
      <c r="C62" s="38"/>
      <c r="D62" s="38"/>
      <c r="E62" s="38"/>
      <c r="F62" s="38"/>
      <c r="G62" s="38"/>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row>
    <row r="63" spans="2:32" x14ac:dyDescent="0.25">
      <c r="B63" s="38"/>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5">
      <c r="B64" s="38"/>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x14ac:dyDescent="0.25">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5">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5">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5">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5">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5">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5">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ht="12" customHeight="1" x14ac:dyDescent="0.25"/>
    <row r="73" spans="2:34" ht="12.75" hidden="1" customHeight="1" x14ac:dyDescent="0.25">
      <c r="B73" s="16" t="s">
        <v>78</v>
      </c>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row>
    <row r="74" spans="2:34" ht="12.75" hidden="1" customHeight="1" x14ac:dyDescent="0.25">
      <c r="B74" s="16" t="s">
        <v>79</v>
      </c>
      <c r="F74" s="40"/>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0"/>
    </row>
    <row r="75" spans="2:34" ht="12.75" hidden="1" customHeight="1" x14ac:dyDescent="0.25">
      <c r="B75" s="16" t="s">
        <v>80</v>
      </c>
      <c r="F75" s="40"/>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40"/>
    </row>
    <row r="76" spans="2:34" ht="12.75" hidden="1" customHeight="1" x14ac:dyDescent="0.25">
      <c r="B76" s="16" t="s">
        <v>81</v>
      </c>
      <c r="F76" s="40"/>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40"/>
    </row>
    <row r="77" spans="2:34" ht="12.75" hidden="1" customHeight="1" x14ac:dyDescent="0.25">
      <c r="B77" s="16" t="s">
        <v>82</v>
      </c>
      <c r="F77" s="42"/>
      <c r="G77" s="42"/>
      <c r="H77" s="42"/>
      <c r="I77" s="42"/>
      <c r="J77" s="40"/>
      <c r="K77" s="40"/>
      <c r="L77" s="40"/>
      <c r="M77" s="40"/>
      <c r="N77" s="40"/>
      <c r="O77" s="40"/>
      <c r="P77" s="40"/>
      <c r="Q77" s="40"/>
      <c r="R77" s="40"/>
      <c r="S77" s="42"/>
      <c r="T77" s="42"/>
      <c r="U77" s="42"/>
      <c r="V77" s="42"/>
      <c r="W77" s="42"/>
      <c r="X77" s="42"/>
      <c r="Y77" s="42"/>
      <c r="Z77" s="42"/>
      <c r="AA77" s="42"/>
      <c r="AB77" s="42"/>
      <c r="AC77" s="42"/>
      <c r="AD77" s="42"/>
      <c r="AE77" s="42"/>
      <c r="AF77" s="42"/>
      <c r="AG77" s="42"/>
      <c r="AH77" s="40"/>
    </row>
    <row r="78" spans="2:34" ht="12.75" hidden="1" customHeight="1" x14ac:dyDescent="0.25">
      <c r="B78" s="16" t="s">
        <v>83</v>
      </c>
      <c r="F78" s="42"/>
      <c r="G78" s="42"/>
      <c r="H78" s="42"/>
      <c r="I78" s="42"/>
      <c r="J78" s="40"/>
      <c r="K78" s="40"/>
      <c r="L78" s="40"/>
      <c r="M78" s="40"/>
      <c r="N78" s="40"/>
      <c r="O78" s="40"/>
      <c r="P78" s="40"/>
      <c r="Q78" s="40"/>
      <c r="R78" s="40"/>
      <c r="S78" s="42"/>
      <c r="T78" s="42"/>
      <c r="U78" s="42"/>
      <c r="V78" s="42"/>
      <c r="W78" s="42"/>
      <c r="X78" s="42"/>
      <c r="Y78" s="42"/>
      <c r="Z78" s="42"/>
      <c r="AA78" s="42"/>
      <c r="AB78" s="42"/>
      <c r="AC78" s="42"/>
      <c r="AD78" s="42"/>
      <c r="AE78" s="42"/>
      <c r="AF78" s="42"/>
      <c r="AG78" s="42"/>
      <c r="AH78" s="40"/>
    </row>
    <row r="79" spans="2:34" ht="12.75" hidden="1" customHeight="1" x14ac:dyDescent="0.25">
      <c r="B79" s="16" t="s">
        <v>84</v>
      </c>
      <c r="F79" s="43"/>
      <c r="G79" s="43"/>
      <c r="H79" s="43"/>
      <c r="I79" s="43"/>
      <c r="J79" s="43"/>
      <c r="K79" s="43"/>
      <c r="R79" s="43"/>
      <c r="S79" s="42"/>
      <c r="T79" s="42"/>
      <c r="U79" s="42"/>
      <c r="V79" s="42"/>
      <c r="W79" s="42"/>
      <c r="X79" s="42"/>
      <c r="Y79" s="42"/>
      <c r="Z79" s="42"/>
      <c r="AA79" s="42"/>
      <c r="AB79" s="42"/>
      <c r="AC79" s="42"/>
      <c r="AD79" s="42"/>
      <c r="AE79" s="42"/>
      <c r="AF79" s="42"/>
      <c r="AG79" s="42"/>
      <c r="AH79" s="43"/>
    </row>
    <row r="80" spans="2:34" ht="12.75" hidden="1" customHeight="1" x14ac:dyDescent="0.25">
      <c r="B80" s="16" t="s">
        <v>85</v>
      </c>
      <c r="R80" s="43"/>
      <c r="S80" s="43"/>
      <c r="T80" s="43"/>
      <c r="U80" s="43"/>
      <c r="V80" s="43"/>
      <c r="W80" s="43"/>
      <c r="X80" s="43"/>
      <c r="Y80" s="43"/>
      <c r="Z80" s="43"/>
      <c r="AA80" s="43"/>
      <c r="AB80" s="43"/>
      <c r="AC80" s="43"/>
      <c r="AD80" s="43"/>
      <c r="AE80" s="43"/>
      <c r="AF80" s="43"/>
      <c r="AG80" s="43"/>
      <c r="AH80" s="43"/>
    </row>
    <row r="81" spans="2:34" ht="12.75" hidden="1" customHeight="1" x14ac:dyDescent="0.25">
      <c r="B81" s="16" t="s">
        <v>86</v>
      </c>
      <c r="R81" s="43"/>
      <c r="S81" s="43"/>
      <c r="T81" s="43"/>
      <c r="U81" s="43"/>
      <c r="V81" s="43"/>
      <c r="W81" s="43"/>
      <c r="X81" s="43"/>
      <c r="Y81" s="43"/>
      <c r="Z81" s="43"/>
      <c r="AA81" s="43"/>
      <c r="AB81" s="43"/>
      <c r="AC81" s="43"/>
      <c r="AD81" s="43"/>
      <c r="AE81" s="43"/>
      <c r="AF81" s="43"/>
      <c r="AG81" s="43"/>
      <c r="AH81" s="43"/>
    </row>
    <row r="82" spans="2:34" ht="12.75" hidden="1" customHeight="1" x14ac:dyDescent="0.25">
      <c r="B82" s="16" t="s">
        <v>87</v>
      </c>
    </row>
    <row r="83" spans="2:34" ht="12.75" hidden="1" customHeight="1" x14ac:dyDescent="0.25">
      <c r="B83" s="16" t="s">
        <v>88</v>
      </c>
    </row>
    <row r="84" spans="2:34" ht="12.75" hidden="1" customHeight="1" x14ac:dyDescent="0.25">
      <c r="B84" s="16" t="s">
        <v>89</v>
      </c>
    </row>
    <row r="85" spans="2:34" ht="12.75" hidden="1" customHeight="1" x14ac:dyDescent="0.25">
      <c r="B85" s="16" t="s">
        <v>90</v>
      </c>
    </row>
    <row r="86" spans="2:34" ht="12.75" hidden="1" customHeight="1" x14ac:dyDescent="0.25">
      <c r="B86" s="16" t="s">
        <v>91</v>
      </c>
    </row>
    <row r="87" spans="2:34" ht="12.75" hidden="1" customHeight="1" x14ac:dyDescent="0.25">
      <c r="B87" s="16" t="s">
        <v>92</v>
      </c>
    </row>
    <row r="88" spans="2:34" ht="12.75" hidden="1" customHeight="1" x14ac:dyDescent="0.25">
      <c r="B88" s="16" t="s">
        <v>93</v>
      </c>
    </row>
    <row r="89" spans="2:34" ht="12.75" hidden="1" customHeight="1" x14ac:dyDescent="0.25">
      <c r="B89" s="16" t="s">
        <v>94</v>
      </c>
    </row>
    <row r="90" spans="2:34" ht="12.75" hidden="1" customHeight="1" x14ac:dyDescent="0.25">
      <c r="B90" s="16" t="s">
        <v>95</v>
      </c>
    </row>
    <row r="91" spans="2:34" ht="12.75" hidden="1" customHeight="1" x14ac:dyDescent="0.25">
      <c r="B91" s="16" t="s">
        <v>96</v>
      </c>
    </row>
    <row r="92" spans="2:34" ht="12.75" hidden="1" customHeight="1" x14ac:dyDescent="0.25">
      <c r="B92" s="16" t="s">
        <v>97</v>
      </c>
    </row>
    <row r="93" spans="2:34" ht="12.75" hidden="1" customHeight="1" x14ac:dyDescent="0.25">
      <c r="B93" s="16" t="s">
        <v>98</v>
      </c>
    </row>
    <row r="94" spans="2:34" ht="12.75" hidden="1" customHeight="1" x14ac:dyDescent="0.25">
      <c r="B94" s="16" t="s">
        <v>99</v>
      </c>
    </row>
    <row r="95" spans="2:34" ht="12.75" hidden="1" customHeight="1" x14ac:dyDescent="0.25">
      <c r="B95" s="16" t="s">
        <v>100</v>
      </c>
    </row>
    <row r="96" spans="2:34" ht="12.75" hidden="1" customHeight="1" x14ac:dyDescent="0.25">
      <c r="B96" s="16" t="s">
        <v>101</v>
      </c>
    </row>
    <row r="97" spans="2:2" ht="12.75" hidden="1" customHeight="1" x14ac:dyDescent="0.25">
      <c r="B97" s="16" t="s">
        <v>102</v>
      </c>
    </row>
    <row r="98" spans="2:2" ht="12.75" hidden="1" customHeight="1" x14ac:dyDescent="0.25">
      <c r="B98" s="16" t="s">
        <v>103</v>
      </c>
    </row>
    <row r="99" spans="2:2" ht="12.75" hidden="1" customHeight="1" x14ac:dyDescent="0.25">
      <c r="B99" s="16" t="s">
        <v>104</v>
      </c>
    </row>
    <row r="100" spans="2:2" ht="12.75" hidden="1" customHeight="1" x14ac:dyDescent="0.25">
      <c r="B100" s="16" t="s">
        <v>105</v>
      </c>
    </row>
    <row r="171" x14ac:dyDescent="0.25"/>
    <row r="172" x14ac:dyDescent="0.25"/>
    <row r="173" x14ac:dyDescent="0.25"/>
  </sheetData>
  <sheetProtection formatCells="0" formatRows="0" insertColumns="0" insertRows="0" insertHyperlinks="0" deleteRows="0" selectLockedCells="1" sort="0" autoFilter="0" pivotTables="0"/>
  <mergeCells count="95">
    <mergeCell ref="E7:V7"/>
    <mergeCell ref="A4:V4"/>
    <mergeCell ref="A5:V5"/>
    <mergeCell ref="W4:AA4"/>
    <mergeCell ref="W5:AA5"/>
    <mergeCell ref="A6:D6"/>
    <mergeCell ref="A7:D7"/>
    <mergeCell ref="W6:AA6"/>
    <mergeCell ref="B54:G54"/>
    <mergeCell ref="H49:AF49"/>
    <mergeCell ref="H54:AF54"/>
    <mergeCell ref="B52:G52"/>
    <mergeCell ref="H52:AF52"/>
    <mergeCell ref="B51:G51"/>
    <mergeCell ref="H51:AF51"/>
    <mergeCell ref="H53:AF53"/>
    <mergeCell ref="B53:G53"/>
    <mergeCell ref="B50:G50"/>
    <mergeCell ref="H50:AF50"/>
    <mergeCell ref="B49:G49"/>
    <mergeCell ref="Y45:AF45"/>
    <mergeCell ref="Y46:AF46"/>
    <mergeCell ref="B44:D44"/>
    <mergeCell ref="B46:D46"/>
    <mergeCell ref="B43:D43"/>
    <mergeCell ref="B45:D45"/>
    <mergeCell ref="Y44:AF44"/>
    <mergeCell ref="E44:X44"/>
    <mergeCell ref="E46:X46"/>
    <mergeCell ref="Y43:AF43"/>
    <mergeCell ref="E45:X45"/>
    <mergeCell ref="Y42:AF42"/>
    <mergeCell ref="R28:AF28"/>
    <mergeCell ref="Y36:AF36"/>
    <mergeCell ref="B36:D36"/>
    <mergeCell ref="E36:X36"/>
    <mergeCell ref="E39:X39"/>
    <mergeCell ref="E38:X38"/>
    <mergeCell ref="E37:X37"/>
    <mergeCell ref="B38:D38"/>
    <mergeCell ref="Y37:AF37"/>
    <mergeCell ref="Y38:AF38"/>
    <mergeCell ref="Y40:AF40"/>
    <mergeCell ref="B42:D42"/>
    <mergeCell ref="Y39:AF39"/>
    <mergeCell ref="B39:D39"/>
    <mergeCell ref="B28:D28"/>
    <mergeCell ref="I25:Q25"/>
    <mergeCell ref="B37:D37"/>
    <mergeCell ref="I24:Q24"/>
    <mergeCell ref="R24:AF24"/>
    <mergeCell ref="E27:H27"/>
    <mergeCell ref="I27:Q27"/>
    <mergeCell ref="R27:AF27"/>
    <mergeCell ref="R25:AF25"/>
    <mergeCell ref="R26:AF26"/>
    <mergeCell ref="B32:AF32"/>
    <mergeCell ref="E24:H24"/>
    <mergeCell ref="E25:H25"/>
    <mergeCell ref="E26:H26"/>
    <mergeCell ref="E28:H28"/>
    <mergeCell ref="B27:D27"/>
    <mergeCell ref="B25:D25"/>
    <mergeCell ref="I28:Q28"/>
    <mergeCell ref="B26:D26"/>
    <mergeCell ref="I26:Q26"/>
    <mergeCell ref="B40:D40"/>
    <mergeCell ref="E40:X40"/>
    <mergeCell ref="G16:AF16"/>
    <mergeCell ref="G21:AF21"/>
    <mergeCell ref="B21:F21"/>
    <mergeCell ref="G17:AF17"/>
    <mergeCell ref="A9:AG9"/>
    <mergeCell ref="B17:F17"/>
    <mergeCell ref="B16:F16"/>
    <mergeCell ref="B20:F20"/>
    <mergeCell ref="G20:AF20"/>
    <mergeCell ref="B19:F19"/>
    <mergeCell ref="G19:AF19"/>
    <mergeCell ref="E42:X42"/>
    <mergeCell ref="E43:X43"/>
    <mergeCell ref="AB4:AG4"/>
    <mergeCell ref="AB5:AG5"/>
    <mergeCell ref="AE6:AG6"/>
    <mergeCell ref="AE7:AG7"/>
    <mergeCell ref="A8:AG8"/>
    <mergeCell ref="AB6:AD6"/>
    <mergeCell ref="AB7:AD7"/>
    <mergeCell ref="E6:V6"/>
    <mergeCell ref="B15:F15"/>
    <mergeCell ref="B24:D24"/>
    <mergeCell ref="B18:F18"/>
    <mergeCell ref="G18:AF18"/>
    <mergeCell ref="W7:AA7"/>
    <mergeCell ref="G15:AF15"/>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1.3&amp;R&amp;P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heetViews>
  <sheetFormatPr defaultColWidth="0" defaultRowHeight="12.75" customHeight="1" zeroHeight="1" x14ac:dyDescent="0.25"/>
  <cols>
    <col min="1" max="33" width="2.6640625" style="16" customWidth="1"/>
    <col min="34" max="34" width="1.33203125" style="16" customWidth="1"/>
    <col min="35" max="60" width="3.33203125" style="16" hidden="1" customWidth="1"/>
    <col min="61" max="16384" width="0" style="16" hidden="1"/>
  </cols>
  <sheetData>
    <row r="1" spans="2:34" ht="13.2" x14ac:dyDescent="0.25">
      <c r="B1" s="185" t="s">
        <v>120</v>
      </c>
      <c r="C1" s="185"/>
      <c r="D1" s="185"/>
      <c r="E1" s="185"/>
      <c r="F1" s="185"/>
      <c r="G1" s="185"/>
      <c r="H1" s="185"/>
      <c r="I1" s="185"/>
      <c r="J1" s="185"/>
      <c r="K1" s="185"/>
      <c r="L1" s="185"/>
      <c r="M1" s="185"/>
      <c r="N1" s="185"/>
      <c r="O1" s="185"/>
      <c r="P1" s="185"/>
      <c r="Q1" s="185"/>
      <c r="R1" s="185"/>
      <c r="S1" s="185"/>
      <c r="T1" s="185"/>
      <c r="U1" s="185"/>
      <c r="V1" s="185"/>
      <c r="W1" s="185"/>
      <c r="X1" s="185"/>
      <c r="Y1" s="185"/>
      <c r="Z1" s="185"/>
      <c r="AA1" s="185"/>
      <c r="AB1" s="185"/>
      <c r="AC1" s="185"/>
      <c r="AD1" s="185"/>
      <c r="AE1" s="185"/>
      <c r="AF1" s="185"/>
      <c r="AG1" s="185"/>
    </row>
    <row r="2" spans="2:34" ht="20.25" customHeight="1" x14ac:dyDescent="0.25">
      <c r="B2" s="185"/>
      <c r="C2" s="185"/>
      <c r="D2" s="185"/>
      <c r="E2" s="185"/>
      <c r="F2" s="185"/>
      <c r="G2" s="185"/>
      <c r="H2" s="185"/>
      <c r="I2" s="185"/>
      <c r="J2" s="185"/>
      <c r="K2" s="185"/>
      <c r="L2" s="185"/>
      <c r="M2" s="185"/>
      <c r="N2" s="185"/>
      <c r="O2" s="185"/>
      <c r="P2" s="185"/>
      <c r="Q2" s="185"/>
      <c r="R2" s="185"/>
      <c r="S2" s="185"/>
      <c r="T2" s="185"/>
      <c r="U2" s="185"/>
      <c r="V2" s="185"/>
      <c r="W2" s="185"/>
      <c r="X2" s="185"/>
      <c r="Y2" s="185"/>
      <c r="Z2" s="185"/>
      <c r="AA2" s="185"/>
      <c r="AB2" s="185"/>
      <c r="AC2" s="185"/>
      <c r="AD2" s="185"/>
      <c r="AE2" s="185"/>
      <c r="AF2" s="185"/>
      <c r="AG2" s="185"/>
    </row>
    <row r="3" spans="2:34" ht="13.2" x14ac:dyDescent="0.25">
      <c r="B3" s="185"/>
      <c r="C3" s="185"/>
      <c r="D3" s="185"/>
      <c r="E3" s="185"/>
      <c r="F3" s="185"/>
      <c r="G3" s="185"/>
      <c r="H3" s="185"/>
      <c r="I3" s="185"/>
      <c r="J3" s="185"/>
      <c r="K3" s="185"/>
      <c r="L3" s="185"/>
      <c r="M3" s="185"/>
      <c r="N3" s="185"/>
      <c r="O3" s="185"/>
      <c r="P3" s="185"/>
      <c r="Q3" s="185"/>
      <c r="R3" s="185"/>
      <c r="S3" s="185"/>
      <c r="T3" s="185"/>
      <c r="U3" s="185"/>
      <c r="V3" s="185"/>
      <c r="W3" s="185"/>
      <c r="X3" s="185"/>
      <c r="Y3" s="185"/>
      <c r="Z3" s="185"/>
      <c r="AA3" s="185"/>
      <c r="AB3" s="185"/>
      <c r="AC3" s="185"/>
      <c r="AD3" s="185"/>
      <c r="AE3" s="185"/>
      <c r="AF3" s="185"/>
      <c r="AG3" s="185"/>
    </row>
    <row r="4" spans="2:34" ht="13.2" x14ac:dyDescent="0.25">
      <c r="B4" s="185"/>
      <c r="C4" s="185"/>
      <c r="D4" s="185"/>
      <c r="E4" s="185"/>
      <c r="F4" s="185"/>
      <c r="G4" s="185"/>
      <c r="H4" s="185"/>
      <c r="I4" s="185"/>
      <c r="J4" s="185"/>
      <c r="K4" s="185"/>
      <c r="L4" s="185"/>
      <c r="M4" s="185"/>
      <c r="N4" s="185"/>
      <c r="O4" s="185"/>
      <c r="P4" s="185"/>
      <c r="Q4" s="185"/>
      <c r="R4" s="185"/>
      <c r="S4" s="185"/>
      <c r="T4" s="185"/>
      <c r="U4" s="185"/>
      <c r="V4" s="185"/>
      <c r="W4" s="185"/>
      <c r="X4" s="185"/>
      <c r="Y4" s="185"/>
      <c r="Z4" s="185"/>
      <c r="AA4" s="185"/>
      <c r="AB4" s="185"/>
      <c r="AC4" s="185"/>
      <c r="AD4" s="185"/>
      <c r="AE4" s="185"/>
      <c r="AF4" s="185"/>
      <c r="AG4" s="185"/>
    </row>
    <row r="5" spans="2:34" ht="13.2" x14ac:dyDescent="0.25">
      <c r="B5" s="185"/>
      <c r="C5" s="185"/>
      <c r="D5" s="185"/>
      <c r="E5" s="185"/>
      <c r="F5" s="185"/>
      <c r="G5" s="185"/>
      <c r="H5" s="185"/>
      <c r="I5" s="185"/>
      <c r="J5" s="185"/>
      <c r="K5" s="185"/>
      <c r="L5" s="185"/>
      <c r="M5" s="185"/>
      <c r="N5" s="185"/>
      <c r="O5" s="185"/>
      <c r="P5" s="185"/>
      <c r="Q5" s="185"/>
      <c r="R5" s="185"/>
      <c r="S5" s="185"/>
      <c r="T5" s="185"/>
      <c r="U5" s="185"/>
      <c r="V5" s="185"/>
      <c r="W5" s="185"/>
      <c r="X5" s="185"/>
      <c r="Y5" s="185"/>
      <c r="Z5" s="185"/>
      <c r="AA5" s="185"/>
      <c r="AB5" s="185"/>
      <c r="AC5" s="185"/>
      <c r="AD5" s="185"/>
      <c r="AE5" s="185"/>
      <c r="AF5" s="185"/>
      <c r="AG5" s="185"/>
    </row>
    <row r="6" spans="2:34" ht="13.2" x14ac:dyDescent="0.25">
      <c r="B6" s="185"/>
      <c r="C6" s="185"/>
      <c r="D6" s="185"/>
      <c r="E6" s="185"/>
      <c r="F6" s="185"/>
      <c r="G6" s="185"/>
      <c r="H6" s="185"/>
      <c r="I6" s="185"/>
      <c r="J6" s="185"/>
      <c r="K6" s="185"/>
      <c r="L6" s="185"/>
      <c r="M6" s="185"/>
      <c r="N6" s="185"/>
      <c r="O6" s="185"/>
      <c r="P6" s="185"/>
      <c r="Q6" s="185"/>
      <c r="R6" s="185"/>
      <c r="S6" s="185"/>
      <c r="T6" s="185"/>
      <c r="U6" s="185"/>
      <c r="V6" s="185"/>
      <c r="W6" s="185"/>
      <c r="X6" s="185"/>
      <c r="Y6" s="185"/>
      <c r="Z6" s="185"/>
      <c r="AA6" s="185"/>
      <c r="AB6" s="185"/>
      <c r="AC6" s="185"/>
      <c r="AD6" s="185"/>
      <c r="AE6" s="185"/>
      <c r="AF6" s="185"/>
      <c r="AG6" s="185"/>
    </row>
    <row r="7" spans="2:34" ht="13.2" x14ac:dyDescent="0.25">
      <c r="B7" s="185"/>
      <c r="C7" s="185"/>
      <c r="D7" s="185"/>
      <c r="E7" s="185"/>
      <c r="F7" s="185"/>
      <c r="G7" s="185"/>
      <c r="H7" s="185"/>
      <c r="I7" s="185"/>
      <c r="J7" s="185"/>
      <c r="K7" s="185"/>
      <c r="L7" s="185"/>
      <c r="M7" s="185"/>
      <c r="N7" s="185"/>
      <c r="O7" s="185"/>
      <c r="P7" s="185"/>
      <c r="Q7" s="185"/>
      <c r="R7" s="185"/>
      <c r="S7" s="185"/>
      <c r="T7" s="185"/>
      <c r="U7" s="185"/>
      <c r="V7" s="185"/>
      <c r="W7" s="185"/>
      <c r="X7" s="185"/>
      <c r="Y7" s="185"/>
      <c r="Z7" s="185"/>
      <c r="AA7" s="185"/>
      <c r="AB7" s="185"/>
      <c r="AC7" s="185"/>
      <c r="AD7" s="185"/>
      <c r="AE7" s="185"/>
      <c r="AF7" s="185"/>
      <c r="AG7" s="185"/>
    </row>
    <row r="8" spans="2:34" ht="13.2" x14ac:dyDescent="0.25">
      <c r="B8" s="185"/>
      <c r="C8" s="185"/>
      <c r="D8" s="185"/>
      <c r="E8" s="185"/>
      <c r="F8" s="185"/>
      <c r="G8" s="185"/>
      <c r="H8" s="185"/>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row>
    <row r="9" spans="2:34" ht="13.2" x14ac:dyDescent="0.25">
      <c r="B9" s="185"/>
      <c r="C9" s="185"/>
      <c r="D9" s="185"/>
      <c r="E9" s="185"/>
      <c r="F9" s="185"/>
      <c r="G9" s="185"/>
      <c r="H9" s="185"/>
      <c r="I9" s="185"/>
      <c r="J9" s="185"/>
      <c r="K9" s="185"/>
      <c r="L9" s="185"/>
      <c r="M9" s="185"/>
      <c r="N9" s="185"/>
      <c r="O9" s="185"/>
      <c r="P9" s="185"/>
      <c r="Q9" s="185"/>
      <c r="R9" s="185"/>
      <c r="S9" s="185"/>
      <c r="T9" s="185"/>
      <c r="U9" s="185"/>
      <c r="V9" s="185"/>
      <c r="W9" s="185"/>
      <c r="X9" s="185"/>
      <c r="Y9" s="185"/>
      <c r="Z9" s="185"/>
      <c r="AA9" s="185"/>
      <c r="AB9" s="185"/>
      <c r="AC9" s="185"/>
      <c r="AD9" s="185"/>
      <c r="AE9" s="185"/>
      <c r="AF9" s="185"/>
      <c r="AG9" s="185"/>
    </row>
    <row r="10" spans="2:34" ht="13.2" x14ac:dyDescent="0.2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row>
    <row r="11" spans="2:34" ht="13.2" x14ac:dyDescent="0.25">
      <c r="B11" s="185"/>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row>
    <row r="12" spans="2:34" ht="13.2" x14ac:dyDescent="0.25">
      <c r="B12" s="185"/>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5"/>
      <c r="AB12" s="185"/>
      <c r="AC12" s="185"/>
      <c r="AD12" s="185"/>
      <c r="AE12" s="185"/>
      <c r="AF12" s="185"/>
      <c r="AG12" s="185"/>
    </row>
    <row r="13" spans="2:34" ht="13.2" x14ac:dyDescent="0.25">
      <c r="B13" s="185"/>
      <c r="C13" s="185"/>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85"/>
      <c r="AB13" s="185"/>
      <c r="AC13" s="185"/>
      <c r="AD13" s="185"/>
      <c r="AE13" s="185"/>
      <c r="AF13" s="185"/>
      <c r="AG13" s="185"/>
    </row>
    <row r="14" spans="2:34" ht="13.2" x14ac:dyDescent="0.25">
      <c r="B14" s="185"/>
      <c r="C14" s="185"/>
      <c r="D14" s="185"/>
      <c r="E14" s="185"/>
      <c r="F14" s="185"/>
      <c r="G14" s="185"/>
      <c r="H14" s="185"/>
      <c r="I14" s="185"/>
      <c r="J14" s="185"/>
      <c r="K14" s="185"/>
      <c r="L14" s="185"/>
      <c r="M14" s="185"/>
      <c r="N14" s="185"/>
      <c r="O14" s="185"/>
      <c r="P14" s="185"/>
      <c r="Q14" s="185"/>
      <c r="R14" s="185"/>
      <c r="S14" s="185"/>
      <c r="T14" s="185"/>
      <c r="U14" s="185"/>
      <c r="V14" s="185"/>
      <c r="W14" s="185"/>
      <c r="X14" s="185"/>
      <c r="Y14" s="185"/>
      <c r="Z14" s="185"/>
      <c r="AA14" s="185"/>
      <c r="AB14" s="185"/>
      <c r="AC14" s="185"/>
      <c r="AD14" s="185"/>
      <c r="AE14" s="185"/>
      <c r="AF14" s="185"/>
      <c r="AG14" s="185"/>
      <c r="AH14" s="40"/>
    </row>
    <row r="15" spans="2:34" ht="13.2" x14ac:dyDescent="0.25">
      <c r="B15" s="185"/>
      <c r="C15" s="185"/>
      <c r="D15" s="185"/>
      <c r="E15" s="185"/>
      <c r="F15" s="185"/>
      <c r="G15" s="185"/>
      <c r="H15" s="185"/>
      <c r="I15" s="185"/>
      <c r="J15" s="185"/>
      <c r="K15" s="185"/>
      <c r="L15" s="185"/>
      <c r="M15" s="185"/>
      <c r="N15" s="185"/>
      <c r="O15" s="185"/>
      <c r="P15" s="185"/>
      <c r="Q15" s="185"/>
      <c r="R15" s="185"/>
      <c r="S15" s="185"/>
      <c r="T15" s="185"/>
      <c r="U15" s="185"/>
      <c r="V15" s="185"/>
      <c r="W15" s="185"/>
      <c r="X15" s="185"/>
      <c r="Y15" s="185"/>
      <c r="Z15" s="185"/>
      <c r="AA15" s="185"/>
      <c r="AB15" s="185"/>
      <c r="AC15" s="185"/>
      <c r="AD15" s="185"/>
      <c r="AE15" s="185"/>
      <c r="AF15" s="185"/>
      <c r="AG15" s="185"/>
      <c r="AH15" s="40"/>
    </row>
    <row r="16" spans="2:34" ht="13.2" x14ac:dyDescent="0.25">
      <c r="B16" s="185"/>
      <c r="C16" s="185"/>
      <c r="D16" s="185"/>
      <c r="E16" s="185"/>
      <c r="F16" s="185"/>
      <c r="G16" s="185"/>
      <c r="H16" s="185"/>
      <c r="I16" s="185"/>
      <c r="J16" s="185"/>
      <c r="K16" s="185"/>
      <c r="L16" s="185"/>
      <c r="M16" s="185"/>
      <c r="N16" s="185"/>
      <c r="O16" s="185"/>
      <c r="P16" s="185"/>
      <c r="Q16" s="185"/>
      <c r="R16" s="185"/>
      <c r="S16" s="185"/>
      <c r="T16" s="185"/>
      <c r="U16" s="185"/>
      <c r="V16" s="185"/>
      <c r="W16" s="185"/>
      <c r="X16" s="185"/>
      <c r="Y16" s="185"/>
      <c r="Z16" s="185"/>
      <c r="AA16" s="185"/>
      <c r="AB16" s="185"/>
      <c r="AC16" s="185"/>
      <c r="AD16" s="185"/>
      <c r="AE16" s="185"/>
      <c r="AF16" s="185"/>
      <c r="AG16" s="185"/>
      <c r="AH16" s="40"/>
    </row>
    <row r="17" spans="2:34" ht="13.2" x14ac:dyDescent="0.25">
      <c r="B17" s="185"/>
      <c r="C17" s="185"/>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5"/>
      <c r="AB17" s="185"/>
      <c r="AC17" s="185"/>
      <c r="AD17" s="185"/>
      <c r="AE17" s="185"/>
      <c r="AF17" s="185"/>
      <c r="AG17" s="185"/>
      <c r="AH17" s="40"/>
    </row>
    <row r="18" spans="2:34" ht="13.2" x14ac:dyDescent="0.25">
      <c r="B18" s="185"/>
      <c r="C18" s="185"/>
      <c r="D18" s="185"/>
      <c r="E18" s="185"/>
      <c r="F18" s="185"/>
      <c r="G18" s="185"/>
      <c r="H18" s="185"/>
      <c r="I18" s="185"/>
      <c r="J18" s="185"/>
      <c r="K18" s="185"/>
      <c r="L18" s="185"/>
      <c r="M18" s="185"/>
      <c r="N18" s="185"/>
      <c r="O18" s="185"/>
      <c r="P18" s="185"/>
      <c r="Q18" s="185"/>
      <c r="R18" s="185"/>
      <c r="S18" s="185"/>
      <c r="T18" s="185"/>
      <c r="U18" s="185"/>
      <c r="V18" s="185"/>
      <c r="W18" s="185"/>
      <c r="X18" s="185"/>
      <c r="Y18" s="185"/>
      <c r="Z18" s="185"/>
      <c r="AA18" s="185"/>
      <c r="AB18" s="185"/>
      <c r="AC18" s="185"/>
      <c r="AD18" s="185"/>
      <c r="AE18" s="185"/>
      <c r="AF18" s="185"/>
      <c r="AG18" s="185"/>
      <c r="AH18" s="40"/>
    </row>
    <row r="19" spans="2:34" ht="13.2" x14ac:dyDescent="0.25">
      <c r="B19" s="185"/>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85"/>
      <c r="AB19" s="185"/>
      <c r="AC19" s="185"/>
      <c r="AD19" s="185"/>
      <c r="AE19" s="185"/>
      <c r="AF19" s="185"/>
      <c r="AG19" s="185"/>
      <c r="AH19" s="40"/>
    </row>
    <row r="20" spans="2:34" ht="13.2" x14ac:dyDescent="0.25">
      <c r="B20" s="185"/>
      <c r="C20" s="185"/>
      <c r="D20" s="185"/>
      <c r="E20" s="185"/>
      <c r="F20" s="185"/>
      <c r="G20" s="185"/>
      <c r="H20" s="185"/>
      <c r="I20" s="185"/>
      <c r="J20" s="185"/>
      <c r="K20" s="185"/>
      <c r="L20" s="185"/>
      <c r="M20" s="185"/>
      <c r="N20" s="185"/>
      <c r="O20" s="185"/>
      <c r="P20" s="185"/>
      <c r="Q20" s="185"/>
      <c r="R20" s="185"/>
      <c r="S20" s="185"/>
      <c r="T20" s="185"/>
      <c r="U20" s="185"/>
      <c r="V20" s="185"/>
      <c r="W20" s="185"/>
      <c r="X20" s="185"/>
      <c r="Y20" s="185"/>
      <c r="Z20" s="185"/>
      <c r="AA20" s="185"/>
      <c r="AB20" s="185"/>
      <c r="AC20" s="185"/>
      <c r="AD20" s="185"/>
      <c r="AE20" s="185"/>
      <c r="AF20" s="185"/>
      <c r="AG20" s="185"/>
      <c r="AH20" s="43"/>
    </row>
    <row r="21" spans="2:34" ht="13.2" x14ac:dyDescent="0.25">
      <c r="B21" s="185"/>
      <c r="C21" s="185"/>
      <c r="D21" s="185"/>
      <c r="E21" s="185"/>
      <c r="F21" s="185"/>
      <c r="G21" s="185"/>
      <c r="H21" s="185"/>
      <c r="I21" s="185"/>
      <c r="J21" s="185"/>
      <c r="K21" s="185"/>
      <c r="L21" s="185"/>
      <c r="M21" s="185"/>
      <c r="N21" s="185"/>
      <c r="O21" s="185"/>
      <c r="P21" s="185"/>
      <c r="Q21" s="185"/>
      <c r="R21" s="185"/>
      <c r="S21" s="185"/>
      <c r="T21" s="185"/>
      <c r="U21" s="185"/>
      <c r="V21" s="185"/>
      <c r="W21" s="185"/>
      <c r="X21" s="185"/>
      <c r="Y21" s="185"/>
      <c r="Z21" s="185"/>
      <c r="AA21" s="185"/>
      <c r="AB21" s="185"/>
      <c r="AC21" s="185"/>
      <c r="AD21" s="185"/>
      <c r="AE21" s="185"/>
      <c r="AF21" s="185"/>
      <c r="AG21" s="185"/>
      <c r="AH21" s="43"/>
    </row>
    <row r="22" spans="2:34" ht="13.2" x14ac:dyDescent="0.25">
      <c r="B22" s="185"/>
      <c r="C22" s="18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85"/>
      <c r="AB22" s="185"/>
      <c r="AC22" s="185"/>
      <c r="AD22" s="185"/>
      <c r="AE22" s="185"/>
      <c r="AF22" s="185"/>
      <c r="AG22" s="185"/>
      <c r="AH22" s="43"/>
    </row>
    <row r="23" spans="2:34" ht="13.2" x14ac:dyDescent="0.25">
      <c r="B23" s="185"/>
      <c r="C23" s="185"/>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85"/>
      <c r="AB23" s="185"/>
      <c r="AC23" s="185"/>
      <c r="AD23" s="185"/>
      <c r="AE23" s="185"/>
      <c r="AF23" s="185"/>
      <c r="AG23" s="185"/>
    </row>
    <row r="24" spans="2:34" ht="13.2" x14ac:dyDescent="0.25">
      <c r="B24" s="185"/>
      <c r="C24" s="185"/>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85"/>
      <c r="AB24" s="185"/>
      <c r="AC24" s="185"/>
      <c r="AD24" s="185"/>
      <c r="AE24" s="185"/>
      <c r="AF24" s="185"/>
      <c r="AG24" s="185"/>
    </row>
    <row r="25" spans="2:34" ht="13.2" x14ac:dyDescent="0.25">
      <c r="B25" s="185"/>
      <c r="C25" s="1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85"/>
      <c r="AB25" s="185"/>
      <c r="AC25" s="185"/>
      <c r="AD25" s="185"/>
      <c r="AE25" s="185"/>
      <c r="AF25" s="185"/>
      <c r="AG25" s="185"/>
    </row>
    <row r="26" spans="2:34" ht="13.2" x14ac:dyDescent="0.25">
      <c r="B26" s="185"/>
      <c r="C26" s="185"/>
      <c r="D26" s="185"/>
      <c r="E26" s="185"/>
      <c r="F26" s="185"/>
      <c r="G26" s="185"/>
      <c r="H26" s="185"/>
      <c r="I26" s="185"/>
      <c r="J26" s="185"/>
      <c r="K26" s="185"/>
      <c r="L26" s="185"/>
      <c r="M26" s="185"/>
      <c r="N26" s="185"/>
      <c r="O26" s="185"/>
      <c r="P26" s="185"/>
      <c r="Q26" s="185"/>
      <c r="R26" s="185"/>
      <c r="S26" s="185"/>
      <c r="T26" s="185"/>
      <c r="U26" s="185"/>
      <c r="V26" s="185"/>
      <c r="W26" s="185"/>
      <c r="X26" s="185"/>
      <c r="Y26" s="185"/>
      <c r="Z26" s="185"/>
      <c r="AA26" s="185"/>
      <c r="AB26" s="185"/>
      <c r="AC26" s="185"/>
      <c r="AD26" s="185"/>
      <c r="AE26" s="185"/>
      <c r="AF26" s="185"/>
      <c r="AG26" s="185"/>
    </row>
    <row r="27" spans="2:34" ht="13.2" x14ac:dyDescent="0.25">
      <c r="B27" s="185"/>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row>
    <row r="28" spans="2:34" ht="13.2" x14ac:dyDescent="0.25">
      <c r="B28" s="185"/>
      <c r="C28" s="185"/>
      <c r="D28" s="185"/>
      <c r="E28" s="185"/>
      <c r="F28" s="185"/>
      <c r="G28" s="185"/>
      <c r="H28" s="185"/>
      <c r="I28" s="185"/>
      <c r="J28" s="185"/>
      <c r="K28" s="185"/>
      <c r="L28" s="185"/>
      <c r="M28" s="185"/>
      <c r="N28" s="185"/>
      <c r="O28" s="185"/>
      <c r="P28" s="185"/>
      <c r="Q28" s="185"/>
      <c r="R28" s="185"/>
      <c r="S28" s="185"/>
      <c r="T28" s="185"/>
      <c r="U28" s="185"/>
      <c r="V28" s="185"/>
      <c r="W28" s="185"/>
      <c r="X28" s="185"/>
      <c r="Y28" s="185"/>
      <c r="Z28" s="185"/>
      <c r="AA28" s="185"/>
      <c r="AB28" s="185"/>
      <c r="AC28" s="185"/>
      <c r="AD28" s="185"/>
      <c r="AE28" s="185"/>
      <c r="AF28" s="185"/>
      <c r="AG28" s="185"/>
    </row>
    <row r="29" spans="2:34" ht="13.2" x14ac:dyDescent="0.25">
      <c r="B29" s="185"/>
      <c r="C29" s="185"/>
      <c r="D29" s="185"/>
      <c r="E29" s="185"/>
      <c r="F29" s="185"/>
      <c r="G29" s="185"/>
      <c r="H29" s="185"/>
      <c r="I29" s="185"/>
      <c r="J29" s="185"/>
      <c r="K29" s="185"/>
      <c r="L29" s="185"/>
      <c r="M29" s="185"/>
      <c r="N29" s="185"/>
      <c r="O29" s="185"/>
      <c r="P29" s="185"/>
      <c r="Q29" s="185"/>
      <c r="R29" s="185"/>
      <c r="S29" s="185"/>
      <c r="T29" s="185"/>
      <c r="U29" s="185"/>
      <c r="V29" s="185"/>
      <c r="W29" s="185"/>
      <c r="X29" s="185"/>
      <c r="Y29" s="185"/>
      <c r="Z29" s="185"/>
      <c r="AA29" s="185"/>
      <c r="AB29" s="185"/>
      <c r="AC29" s="185"/>
      <c r="AD29" s="185"/>
      <c r="AE29" s="185"/>
      <c r="AF29" s="185"/>
      <c r="AG29" s="185"/>
    </row>
    <row r="30" spans="2:34" ht="13.2" x14ac:dyDescent="0.25">
      <c r="B30" s="185"/>
      <c r="C30" s="185"/>
      <c r="D30" s="185"/>
      <c r="E30" s="185"/>
      <c r="F30" s="185"/>
      <c r="G30" s="185"/>
      <c r="H30" s="185"/>
      <c r="I30" s="185"/>
      <c r="J30" s="185"/>
      <c r="K30" s="185"/>
      <c r="L30" s="185"/>
      <c r="M30" s="185"/>
      <c r="N30" s="185"/>
      <c r="O30" s="185"/>
      <c r="P30" s="185"/>
      <c r="Q30" s="185"/>
      <c r="R30" s="185"/>
      <c r="S30" s="185"/>
      <c r="T30" s="185"/>
      <c r="U30" s="185"/>
      <c r="V30" s="185"/>
      <c r="W30" s="185"/>
      <c r="X30" s="185"/>
      <c r="Y30" s="185"/>
      <c r="Z30" s="185"/>
      <c r="AA30" s="185"/>
      <c r="AB30" s="185"/>
      <c r="AC30" s="185"/>
      <c r="AD30" s="185"/>
      <c r="AE30" s="185"/>
      <c r="AF30" s="185"/>
      <c r="AG30" s="185"/>
    </row>
    <row r="31" spans="2:34" ht="13.2" x14ac:dyDescent="0.25">
      <c r="B31" s="185"/>
      <c r="C31" s="185"/>
      <c r="D31" s="185"/>
      <c r="E31" s="185"/>
      <c r="F31" s="185"/>
      <c r="G31" s="185"/>
      <c r="H31" s="185"/>
      <c r="I31" s="185"/>
      <c r="J31" s="185"/>
      <c r="K31" s="185"/>
      <c r="L31" s="185"/>
      <c r="M31" s="185"/>
      <c r="N31" s="185"/>
      <c r="O31" s="185"/>
      <c r="P31" s="185"/>
      <c r="Q31" s="185"/>
      <c r="R31" s="185"/>
      <c r="S31" s="185"/>
      <c r="T31" s="185"/>
      <c r="U31" s="185"/>
      <c r="V31" s="185"/>
      <c r="W31" s="185"/>
      <c r="X31" s="185"/>
      <c r="Y31" s="185"/>
      <c r="Z31" s="185"/>
      <c r="AA31" s="185"/>
      <c r="AB31" s="185"/>
      <c r="AC31" s="185"/>
      <c r="AD31" s="185"/>
      <c r="AE31" s="185"/>
      <c r="AF31" s="185"/>
      <c r="AG31" s="185"/>
    </row>
    <row r="32" spans="2:34" ht="13.2" x14ac:dyDescent="0.25">
      <c r="B32" s="185"/>
      <c r="C32" s="185"/>
      <c r="D32" s="185"/>
      <c r="E32" s="185"/>
      <c r="F32" s="185"/>
      <c r="G32" s="185"/>
      <c r="H32" s="185"/>
      <c r="I32" s="185"/>
      <c r="J32" s="185"/>
      <c r="K32" s="185"/>
      <c r="L32" s="185"/>
      <c r="M32" s="185"/>
      <c r="N32" s="185"/>
      <c r="O32" s="185"/>
      <c r="P32" s="185"/>
      <c r="Q32" s="185"/>
      <c r="R32" s="185"/>
      <c r="S32" s="185"/>
      <c r="T32" s="185"/>
      <c r="U32" s="185"/>
      <c r="V32" s="185"/>
      <c r="W32" s="185"/>
      <c r="X32" s="185"/>
      <c r="Y32" s="185"/>
      <c r="Z32" s="185"/>
      <c r="AA32" s="185"/>
      <c r="AB32" s="185"/>
      <c r="AC32" s="185"/>
      <c r="AD32" s="185"/>
      <c r="AE32" s="185"/>
      <c r="AF32" s="185"/>
      <c r="AG32" s="185"/>
    </row>
    <row r="33" spans="2:33" ht="13.2" x14ac:dyDescent="0.25">
      <c r="B33" s="185"/>
      <c r="C33" s="185"/>
      <c r="D33" s="185"/>
      <c r="E33" s="185"/>
      <c r="F33" s="185"/>
      <c r="G33" s="185"/>
      <c r="H33" s="185"/>
      <c r="I33" s="185"/>
      <c r="J33" s="185"/>
      <c r="K33" s="185"/>
      <c r="L33" s="185"/>
      <c r="M33" s="185"/>
      <c r="N33" s="185"/>
      <c r="O33" s="185"/>
      <c r="P33" s="185"/>
      <c r="Q33" s="185"/>
      <c r="R33" s="185"/>
      <c r="S33" s="185"/>
      <c r="T33" s="185"/>
      <c r="U33" s="185"/>
      <c r="V33" s="185"/>
      <c r="W33" s="185"/>
      <c r="X33" s="185"/>
      <c r="Y33" s="185"/>
      <c r="Z33" s="185"/>
      <c r="AA33" s="185"/>
      <c r="AB33" s="185"/>
      <c r="AC33" s="185"/>
      <c r="AD33" s="185"/>
      <c r="AE33" s="185"/>
      <c r="AF33" s="185"/>
      <c r="AG33" s="185"/>
    </row>
    <row r="34" spans="2:33" ht="13.2" x14ac:dyDescent="0.25">
      <c r="B34" s="185"/>
      <c r="C34" s="185"/>
      <c r="D34" s="185"/>
      <c r="E34" s="185"/>
      <c r="F34" s="185"/>
      <c r="G34" s="185"/>
      <c r="H34" s="185"/>
      <c r="I34" s="185"/>
      <c r="J34" s="185"/>
      <c r="K34" s="185"/>
      <c r="L34" s="185"/>
      <c r="M34" s="185"/>
      <c r="N34" s="185"/>
      <c r="O34" s="185"/>
      <c r="P34" s="185"/>
      <c r="Q34" s="185"/>
      <c r="R34" s="185"/>
      <c r="S34" s="185"/>
      <c r="T34" s="185"/>
      <c r="U34" s="185"/>
      <c r="V34" s="185"/>
      <c r="W34" s="185"/>
      <c r="X34" s="185"/>
      <c r="Y34" s="185"/>
      <c r="Z34" s="185"/>
      <c r="AA34" s="185"/>
      <c r="AB34" s="185"/>
      <c r="AC34" s="185"/>
      <c r="AD34" s="185"/>
      <c r="AE34" s="185"/>
      <c r="AF34" s="185"/>
      <c r="AG34" s="185"/>
    </row>
    <row r="35" spans="2:33" ht="12.75" customHeight="1" x14ac:dyDescent="0.25">
      <c r="B35" s="185"/>
      <c r="C35" s="185"/>
      <c r="D35" s="185"/>
      <c r="E35" s="185"/>
      <c r="F35" s="185"/>
      <c r="G35" s="185"/>
      <c r="H35" s="185"/>
      <c r="I35" s="185"/>
      <c r="J35" s="185"/>
      <c r="K35" s="185"/>
      <c r="L35" s="185"/>
      <c r="M35" s="185"/>
      <c r="N35" s="185"/>
      <c r="O35" s="185"/>
      <c r="P35" s="185"/>
      <c r="Q35" s="185"/>
      <c r="R35" s="185"/>
      <c r="S35" s="185"/>
      <c r="T35" s="185"/>
      <c r="U35" s="185"/>
      <c r="V35" s="185"/>
      <c r="W35" s="185"/>
      <c r="X35" s="185"/>
      <c r="Y35" s="185"/>
      <c r="Z35" s="185"/>
      <c r="AA35" s="185"/>
      <c r="AB35" s="185"/>
      <c r="AC35" s="185"/>
      <c r="AD35" s="185"/>
      <c r="AE35" s="185"/>
      <c r="AF35" s="185"/>
      <c r="AG35" s="185"/>
    </row>
    <row r="36" spans="2:33" ht="12.75" customHeight="1" x14ac:dyDescent="0.25">
      <c r="B36" s="185"/>
      <c r="C36" s="185"/>
      <c r="D36" s="185"/>
      <c r="E36" s="185"/>
      <c r="F36" s="185"/>
      <c r="G36" s="185"/>
      <c r="H36" s="185"/>
      <c r="I36" s="185"/>
      <c r="J36" s="185"/>
      <c r="K36" s="185"/>
      <c r="L36" s="185"/>
      <c r="M36" s="185"/>
      <c r="N36" s="185"/>
      <c r="O36" s="185"/>
      <c r="P36" s="185"/>
      <c r="Q36" s="185"/>
      <c r="R36" s="185"/>
      <c r="S36" s="185"/>
      <c r="T36" s="185"/>
      <c r="U36" s="185"/>
      <c r="V36" s="185"/>
      <c r="W36" s="185"/>
      <c r="X36" s="185"/>
      <c r="Y36" s="185"/>
      <c r="Z36" s="185"/>
      <c r="AA36" s="185"/>
      <c r="AB36" s="185"/>
      <c r="AC36" s="185"/>
      <c r="AD36" s="185"/>
      <c r="AE36" s="185"/>
      <c r="AF36" s="185"/>
      <c r="AG36" s="185"/>
    </row>
    <row r="37" spans="2:33" ht="12.75" customHeight="1" x14ac:dyDescent="0.25">
      <c r="B37" s="185"/>
      <c r="C37" s="185"/>
      <c r="D37" s="185"/>
      <c r="E37" s="185"/>
      <c r="F37" s="185"/>
      <c r="G37" s="185"/>
      <c r="H37" s="185"/>
      <c r="I37" s="185"/>
      <c r="J37" s="185"/>
      <c r="K37" s="185"/>
      <c r="L37" s="185"/>
      <c r="M37" s="185"/>
      <c r="N37" s="185"/>
      <c r="O37" s="185"/>
      <c r="P37" s="185"/>
      <c r="Q37" s="185"/>
      <c r="R37" s="185"/>
      <c r="S37" s="185"/>
      <c r="T37" s="185"/>
      <c r="U37" s="185"/>
      <c r="V37" s="185"/>
      <c r="W37" s="185"/>
      <c r="X37" s="185"/>
      <c r="Y37" s="185"/>
      <c r="Z37" s="185"/>
      <c r="AA37" s="185"/>
      <c r="AB37" s="185"/>
      <c r="AC37" s="185"/>
      <c r="AD37" s="185"/>
      <c r="AE37" s="185"/>
      <c r="AF37" s="185"/>
      <c r="AG37" s="185"/>
    </row>
    <row r="38" spans="2:33" ht="12.75" customHeight="1" x14ac:dyDescent="0.25"/>
    <row r="39" spans="2:33" ht="12.75" customHeight="1" x14ac:dyDescent="0.25"/>
    <row r="40" spans="2:33" ht="12.75" customHeight="1" x14ac:dyDescent="0.25"/>
    <row r="41" spans="2:33" ht="12.75" customHeight="1" x14ac:dyDescent="0.25"/>
    <row r="42" spans="2:33" ht="12.75" customHeight="1" x14ac:dyDescent="0.25"/>
    <row r="43" spans="2:33" ht="12.75" customHeight="1" x14ac:dyDescent="0.25"/>
    <row r="44" spans="2:33" ht="12.75" customHeight="1" x14ac:dyDescent="0.25"/>
    <row r="45" spans="2:33" ht="12.75" customHeight="1" x14ac:dyDescent="0.25"/>
    <row r="46" spans="2:33" ht="12.75" customHeight="1" x14ac:dyDescent="0.25"/>
    <row r="47" spans="2:33" ht="12.75" customHeight="1" x14ac:dyDescent="0.25"/>
    <row r="48" spans="2:3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1.3&amp;R&amp;P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45"/>
  <sheetViews>
    <sheetView tabSelected="1" zoomScaleNormal="100" workbookViewId="0">
      <selection activeCell="G15" sqref="G15"/>
    </sheetView>
  </sheetViews>
  <sheetFormatPr defaultRowHeight="13.2" x14ac:dyDescent="0.25"/>
  <cols>
    <col min="1" max="1" width="2.5546875" customWidth="1"/>
    <col min="2" max="2" width="5.33203125" customWidth="1"/>
    <col min="3" max="3" width="17.88671875" customWidth="1"/>
    <col min="4" max="4" width="53.33203125" customWidth="1"/>
    <col min="5" max="5" width="14" customWidth="1"/>
    <col min="6" max="6" width="53.6640625" bestFit="1" customWidth="1"/>
    <col min="7" max="7" width="11.6640625" customWidth="1"/>
    <col min="8" max="8" width="7.5546875" bestFit="1" customWidth="1"/>
    <col min="9" max="9" width="10.33203125" customWidth="1"/>
    <col min="10" max="10" width="18.44140625" customWidth="1"/>
    <col min="12" max="13" width="11.44140625" customWidth="1"/>
    <col min="14" max="14" width="18.33203125" customWidth="1"/>
  </cols>
  <sheetData>
    <row r="1" spans="2:14" ht="13.8" thickBot="1" x14ac:dyDescent="0.3"/>
    <row r="2" spans="2:14" ht="43.8" thickBot="1" x14ac:dyDescent="0.3">
      <c r="B2" s="59" t="s">
        <v>36</v>
      </c>
      <c r="C2" s="60" t="s">
        <v>37</v>
      </c>
      <c r="D2" s="61" t="s">
        <v>65</v>
      </c>
      <c r="E2" s="61" t="s">
        <v>106</v>
      </c>
      <c r="F2" s="61" t="s">
        <v>38</v>
      </c>
      <c r="G2" s="61" t="s">
        <v>390</v>
      </c>
      <c r="H2" s="61" t="s">
        <v>67</v>
      </c>
      <c r="I2" s="60" t="s">
        <v>10</v>
      </c>
      <c r="J2" s="60" t="s">
        <v>66</v>
      </c>
      <c r="K2" s="60" t="s">
        <v>56</v>
      </c>
      <c r="L2" s="62" t="s">
        <v>39</v>
      </c>
      <c r="M2" s="62" t="s">
        <v>68</v>
      </c>
      <c r="N2" s="63" t="s">
        <v>389</v>
      </c>
    </row>
    <row r="3" spans="2:14" s="85" customFormat="1" ht="28.8" x14ac:dyDescent="0.25">
      <c r="B3" s="84">
        <v>1</v>
      </c>
      <c r="C3" s="105" t="s">
        <v>365</v>
      </c>
      <c r="D3" s="106" t="str">
        <f t="shared" ref="D3:D6" ca="1" si="0">IF(C3&lt;&gt;"",INDIRECT(C3&amp;"!B3"),"")</f>
        <v>ARCH_SW_ATM_0001</v>
      </c>
      <c r="E3" s="67" t="str">
        <f t="shared" ref="E3:E6" ca="1" si="1">IF(C3&lt;&gt;"",INDIRECT(C3&amp;"!B5"),"")</f>
        <v>Nominal</v>
      </c>
      <c r="F3" s="67" t="str">
        <f t="shared" ref="F3:F8" ca="1" si="2">IF(C3&lt;&gt;"",INDIRECT(C3&amp;"!B1"),"")</f>
        <v>Test initialization</v>
      </c>
      <c r="G3" s="86"/>
      <c r="H3" s="87">
        <v>1</v>
      </c>
      <c r="I3" s="88" t="s">
        <v>338</v>
      </c>
      <c r="J3" s="89"/>
      <c r="K3" s="107" t="str">
        <f t="shared" ref="K3:K23" ca="1" si="3">IF(C3&lt;&gt;"",INDIRECT(C3&amp;"!B9"),"")</f>
        <v>Ok</v>
      </c>
      <c r="L3" s="93" t="s">
        <v>359</v>
      </c>
      <c r="M3" s="90"/>
      <c r="N3" s="91"/>
    </row>
    <row r="4" spans="2:14" ht="28.8" x14ac:dyDescent="0.25">
      <c r="B4" s="65">
        <v>2</v>
      </c>
      <c r="C4" s="105" t="s">
        <v>366</v>
      </c>
      <c r="D4" s="106" t="str">
        <f t="shared" ca="1" si="0"/>
        <v>ARCH_SW_ATM_0002</v>
      </c>
      <c r="E4" s="67" t="str">
        <f t="shared" ca="1" si="1"/>
        <v>Nominal</v>
      </c>
      <c r="F4" s="67" t="str">
        <f t="shared" ca="1" si="2"/>
        <v>Autotest reuslts/ reports</v>
      </c>
      <c r="G4" s="86"/>
      <c r="H4" s="87">
        <v>1</v>
      </c>
      <c r="I4" s="88" t="s">
        <v>339</v>
      </c>
      <c r="J4" s="89"/>
      <c r="K4" s="95" t="str">
        <f t="shared" ca="1" si="3"/>
        <v>Ok</v>
      </c>
      <c r="L4" s="93" t="s">
        <v>359</v>
      </c>
      <c r="M4" s="90"/>
      <c r="N4" s="91"/>
    </row>
    <row r="5" spans="2:14" ht="28.8" x14ac:dyDescent="0.25">
      <c r="B5" s="65">
        <v>3</v>
      </c>
      <c r="C5" s="105" t="s">
        <v>367</v>
      </c>
      <c r="D5" s="106" t="str">
        <f t="shared" ca="1" si="0"/>
        <v>ARCH_SW_ATM_0003, ARCH_SW_ATM_0111</v>
      </c>
      <c r="E5" s="67" t="str">
        <f t="shared" ca="1" si="1"/>
        <v>Nominal</v>
      </c>
      <c r="F5" s="67" t="str">
        <f t="shared" ca="1" si="2"/>
        <v>Autotest main entry</v>
      </c>
      <c r="G5" s="86"/>
      <c r="H5" s="87">
        <v>1</v>
      </c>
      <c r="I5" s="88" t="s">
        <v>340</v>
      </c>
      <c r="J5" s="89"/>
      <c r="K5" s="95" t="str">
        <f t="shared" ca="1" si="3"/>
        <v>Ok</v>
      </c>
      <c r="L5" s="93" t="s">
        <v>359</v>
      </c>
      <c r="M5" s="90"/>
      <c r="N5" s="91"/>
    </row>
    <row r="6" spans="2:14" ht="28.8" x14ac:dyDescent="0.25">
      <c r="B6" s="65">
        <v>4</v>
      </c>
      <c r="C6" s="105" t="s">
        <v>368</v>
      </c>
      <c r="D6" s="106" t="str">
        <f t="shared" ca="1" si="0"/>
        <v>ARCH_SW_ATM_0004, ARCH_SW_ATM_0113</v>
      </c>
      <c r="E6" s="67" t="str">
        <f t="shared" ca="1" si="1"/>
        <v>Nominal</v>
      </c>
      <c r="F6" s="67" t="str">
        <f t="shared" ca="1" si="2"/>
        <v xml:space="preserve">Check critical Autotests </v>
      </c>
      <c r="G6" s="86"/>
      <c r="H6" s="87">
        <v>1</v>
      </c>
      <c r="I6" s="88" t="s">
        <v>341</v>
      </c>
      <c r="J6" s="89"/>
      <c r="K6" s="95" t="str">
        <f t="shared" ca="1" si="3"/>
        <v>Ok</v>
      </c>
      <c r="L6" s="93" t="s">
        <v>359</v>
      </c>
      <c r="M6" s="90"/>
      <c r="N6" s="91"/>
    </row>
    <row r="7" spans="2:14" ht="28.8" x14ac:dyDescent="0.25">
      <c r="B7" s="65">
        <v>5</v>
      </c>
      <c r="C7" s="105" t="s">
        <v>369</v>
      </c>
      <c r="D7" s="106" t="str">
        <f t="shared" ref="D7:D12" ca="1" si="4">IF(C7&lt;&gt;"",INDIRECT(C7&amp;"!B3"),"")</f>
        <v>ARCH_SW_ATM_0030, ARCH_SW_ATM_0031, ARCH_SW_ATM_0036, ARCH_SW_ATM_0040, ARCH_SW_ATM_0041, ARCH_SW_ATM_0042, ARCH_SW_ATM_0044, ARCH_SW_ATM_0045, ARCH_SW_ATM_0046, ARCH_SW_ATM_0047, ARCH_SW_ATM_0032, ARCH_SW_ATM_0033, ARCH_SW_ATM_0034, ARCH_SW_ATM_0035, ARCH_SW_ATM_0037, ARCH_SW_ATM_0038, ARCH_SW_ATM_0039, ARCH_SW_ATM_0043, ARCH_SW_ATM_0048, ARCH_SW_ATM_0049, ARCH_SW_ATM_0050, ARCH_SW_ATM_0051, ARCH_SW_ATM_0052</v>
      </c>
      <c r="E7" s="67" t="str">
        <f ca="1">IF(C7&lt;&gt;"",INDIRECT(C7&amp;"!B5"),"")</f>
        <v>Nominal</v>
      </c>
      <c r="F7" s="67" t="str">
        <f t="shared" ca="1" si="2"/>
        <v>Inhibit autotests</v>
      </c>
      <c r="G7" s="86"/>
      <c r="H7" s="87">
        <v>1</v>
      </c>
      <c r="I7" s="88" t="s">
        <v>342</v>
      </c>
      <c r="J7" s="89"/>
      <c r="K7" s="95" t="str">
        <f t="shared" ca="1" si="3"/>
        <v>Ok</v>
      </c>
      <c r="L7" s="93" t="s">
        <v>359</v>
      </c>
      <c r="M7" s="90"/>
      <c r="N7" s="91"/>
    </row>
    <row r="8" spans="2:14" ht="28.8" x14ac:dyDescent="0.25">
      <c r="B8" s="65">
        <v>6</v>
      </c>
      <c r="C8" s="105" t="s">
        <v>370</v>
      </c>
      <c r="D8" s="106" t="str">
        <f t="shared" ca="1" si="4"/>
        <v>ARCH_SW_ATM_0021</v>
      </c>
      <c r="E8" s="67" t="str">
        <f ca="1">IF(C8&lt;&gt;"",INDIRECT(C8&amp;"!B5"),"")</f>
        <v>Nominal</v>
      </c>
      <c r="F8" s="67" t="str">
        <f t="shared" ca="1" si="2"/>
        <v xml:space="preserve">Modes activation </v>
      </c>
      <c r="G8" s="86"/>
      <c r="H8" s="87">
        <v>1</v>
      </c>
      <c r="I8" s="88" t="s">
        <v>343</v>
      </c>
      <c r="J8" s="89"/>
      <c r="K8" s="95" t="str">
        <f t="shared" ca="1" si="3"/>
        <v>Ok</v>
      </c>
      <c r="L8" s="93" t="s">
        <v>359</v>
      </c>
      <c r="M8" s="90"/>
      <c r="N8" s="91"/>
    </row>
    <row r="9" spans="2:14" ht="28.8" x14ac:dyDescent="0.25">
      <c r="B9" s="65">
        <v>7</v>
      </c>
      <c r="C9" s="105" t="s">
        <v>371</v>
      </c>
      <c r="D9" s="106" t="str">
        <f t="shared" ca="1" si="4"/>
        <v>ARCH_SW_ATM_0106</v>
      </c>
      <c r="E9" s="67" t="str">
        <f ca="1">IF(C9&lt;&gt;"",INDIRECT(C9&amp;"!B5"),"")</f>
        <v>Nominal</v>
      </c>
      <c r="F9" s="67" t="str">
        <f t="shared" ref="F9:F23" ca="1" si="5">IF(C9&lt;&gt;"",INDIRECT(C9&amp;"!B1"),"")</f>
        <v>Temperature sensor test</v>
      </c>
      <c r="G9" s="86"/>
      <c r="H9" s="87">
        <v>1</v>
      </c>
      <c r="I9" s="88" t="s">
        <v>344</v>
      </c>
      <c r="J9" s="89"/>
      <c r="K9" s="95" t="str">
        <f t="shared" ca="1" si="3"/>
        <v>Ok</v>
      </c>
      <c r="L9" s="93" t="s">
        <v>359</v>
      </c>
      <c r="M9" s="90"/>
      <c r="N9" s="91"/>
    </row>
    <row r="10" spans="2:14" ht="28.8" x14ac:dyDescent="0.25">
      <c r="B10" s="65">
        <v>8</v>
      </c>
      <c r="C10" s="105" t="s">
        <v>372</v>
      </c>
      <c r="D10" s="106" t="str">
        <f t="shared" ca="1" si="4"/>
        <v>ARCH_SW_ATM_0107</v>
      </c>
      <c r="E10" s="67" t="str">
        <f t="shared" ref="E10:E15" ca="1" si="6">IF(C10&lt;&gt;"",INDIRECT(C10&amp;"!B5"),"")</f>
        <v>Nominal</v>
      </c>
      <c r="F10" s="67" t="str">
        <f t="shared" ca="1" si="5"/>
        <v>Low force pre pre-tensioning belt function end of life</v>
      </c>
      <c r="G10" s="86" t="s">
        <v>391</v>
      </c>
      <c r="H10" s="87">
        <v>1</v>
      </c>
      <c r="I10" s="88" t="s">
        <v>345</v>
      </c>
      <c r="J10" s="89"/>
      <c r="K10" s="95" t="str">
        <f t="shared" ca="1" si="3"/>
        <v>Ok</v>
      </c>
      <c r="L10" s="93" t="s">
        <v>359</v>
      </c>
      <c r="M10" s="90"/>
      <c r="N10" s="91"/>
    </row>
    <row r="11" spans="2:14" ht="28.8" x14ac:dyDescent="0.25">
      <c r="B11" s="65">
        <v>9</v>
      </c>
      <c r="C11" s="105" t="s">
        <v>373</v>
      </c>
      <c r="D11" s="106" t="str">
        <f t="shared" ca="1" si="4"/>
        <v>ARCH_SW_ATM_0108</v>
      </c>
      <c r="E11" s="67" t="str">
        <f t="shared" ca="1" si="6"/>
        <v>Nominal</v>
      </c>
      <c r="F11" s="67" t="str">
        <f t="shared" ca="1" si="5"/>
        <v>High force pre pre-tensioning belt function end of life</v>
      </c>
      <c r="G11" s="86" t="s">
        <v>391</v>
      </c>
      <c r="H11" s="87">
        <v>1</v>
      </c>
      <c r="I11" s="88" t="s">
        <v>346</v>
      </c>
      <c r="J11" s="89"/>
      <c r="K11" s="95" t="str">
        <f t="shared" ca="1" si="3"/>
        <v>Ok</v>
      </c>
      <c r="L11" s="93" t="s">
        <v>359</v>
      </c>
      <c r="M11" s="90"/>
      <c r="N11" s="91"/>
    </row>
    <row r="12" spans="2:14" ht="28.8" x14ac:dyDescent="0.25">
      <c r="B12" s="64">
        <v>10</v>
      </c>
      <c r="C12" s="105" t="s">
        <v>374</v>
      </c>
      <c r="D12" s="106" t="str">
        <f t="shared" ca="1" si="4"/>
        <v>ARCH_SW_ATM_0109</v>
      </c>
      <c r="E12" s="67" t="str">
        <f t="shared" ca="1" si="6"/>
        <v>Nominal</v>
      </c>
      <c r="F12" s="67" t="str">
        <f t="shared" ca="1" si="5"/>
        <v>Comfort belt function end of life</v>
      </c>
      <c r="G12" s="86" t="s">
        <v>391</v>
      </c>
      <c r="H12" s="87">
        <v>1</v>
      </c>
      <c r="I12" s="88" t="s">
        <v>347</v>
      </c>
      <c r="J12" s="89"/>
      <c r="K12" s="95" t="str">
        <f t="shared" ca="1" si="3"/>
        <v>Ok</v>
      </c>
      <c r="L12" s="93" t="s">
        <v>359</v>
      </c>
      <c r="M12" s="90"/>
      <c r="N12" s="91"/>
    </row>
    <row r="13" spans="2:14" ht="28.8" x14ac:dyDescent="0.25">
      <c r="B13" s="65">
        <v>11</v>
      </c>
      <c r="C13" s="105" t="s">
        <v>375</v>
      </c>
      <c r="D13" s="106" t="str">
        <f t="shared" ref="D13:D23" ca="1" si="7">IF(C13&lt;&gt;"",INDIRECT(C13&amp;"!B3"),"")</f>
        <v>ARCH_SW_ATM_0114</v>
      </c>
      <c r="E13" s="67" t="str">
        <f t="shared" ca="1" si="6"/>
        <v>Nominal</v>
      </c>
      <c r="F13" s="67" t="str">
        <f t="shared" ca="1" si="5"/>
        <v xml:space="preserve">High side regulation autotest </v>
      </c>
      <c r="G13" s="86"/>
      <c r="H13" s="87">
        <v>1</v>
      </c>
      <c r="I13" s="88" t="s">
        <v>348</v>
      </c>
      <c r="J13" s="89"/>
      <c r="K13" s="95" t="str">
        <f t="shared" ca="1" si="3"/>
        <v>Ok</v>
      </c>
      <c r="L13" s="93" t="s">
        <v>359</v>
      </c>
      <c r="M13" s="90"/>
      <c r="N13" s="91"/>
    </row>
    <row r="14" spans="2:14" ht="28.8" x14ac:dyDescent="0.25">
      <c r="B14" s="65">
        <v>12</v>
      </c>
      <c r="C14" s="105" t="s">
        <v>376</v>
      </c>
      <c r="D14" s="106" t="str">
        <f t="shared" ca="1" si="7"/>
        <v>ARCH_SW_ATM_0115, ARCH_SW_ATM_0205</v>
      </c>
      <c r="E14" s="67" t="str">
        <f t="shared" ca="1" si="6"/>
        <v>Nominal</v>
      </c>
      <c r="F14" s="67" t="str">
        <f t="shared" ca="1" si="5"/>
        <v>Power bridge command consistency</v>
      </c>
      <c r="G14" s="86"/>
      <c r="H14" s="87">
        <v>1</v>
      </c>
      <c r="I14" s="88" t="s">
        <v>349</v>
      </c>
      <c r="J14" s="89"/>
      <c r="K14" s="95" t="str">
        <f t="shared" ca="1" si="3"/>
        <v>Ok</v>
      </c>
      <c r="L14" s="93" t="s">
        <v>359</v>
      </c>
      <c r="M14" s="90"/>
      <c r="N14" s="91"/>
    </row>
    <row r="15" spans="2:14" ht="28.8" x14ac:dyDescent="0.25">
      <c r="B15" s="65">
        <v>13</v>
      </c>
      <c r="C15" s="105" t="s">
        <v>377</v>
      </c>
      <c r="D15" s="106" t="str">
        <f t="shared" ca="1" si="7"/>
        <v>ARCH_SW_ATM_0116, ARCH_SW_ATM_0206</v>
      </c>
      <c r="E15" s="67" t="str">
        <f t="shared" ca="1" si="6"/>
        <v>Nominal</v>
      </c>
      <c r="F15" s="67" t="str">
        <f t="shared" ca="1" si="5"/>
        <v>HW thermal protection</v>
      </c>
      <c r="G15" s="86" t="s">
        <v>391</v>
      </c>
      <c r="H15" s="87">
        <v>1</v>
      </c>
      <c r="I15" s="88" t="s">
        <v>350</v>
      </c>
      <c r="J15" s="89"/>
      <c r="K15" s="95" t="str">
        <f t="shared" ca="1" si="3"/>
        <v>Ok</v>
      </c>
      <c r="L15" s="93" t="s">
        <v>359</v>
      </c>
      <c r="M15" s="90"/>
      <c r="N15" s="91"/>
    </row>
    <row r="16" spans="2:14" ht="28.8" x14ac:dyDescent="0.25">
      <c r="B16" s="65">
        <v>14</v>
      </c>
      <c r="C16" s="105" t="s">
        <v>378</v>
      </c>
      <c r="D16" s="106" t="str">
        <f t="shared" ca="1" si="7"/>
        <v>ARCH_SW_ATM_0117, ARCH_SW_ATM_0207</v>
      </c>
      <c r="E16" s="67" t="str">
        <f t="shared" ref="E16:E23" ca="1" si="8">IF(C16&lt;&gt;"",INDIRECT(C16&amp;"!B5"),"")</f>
        <v>Nominal</v>
      </c>
      <c r="F16" s="67" t="str">
        <f t="shared" ca="1" si="5"/>
        <v>Low MOSFET inshort circuit</v>
      </c>
      <c r="G16" s="86"/>
      <c r="H16" s="87">
        <v>1</v>
      </c>
      <c r="I16" s="88" t="s">
        <v>351</v>
      </c>
      <c r="J16" s="89"/>
      <c r="K16" s="95" t="str">
        <f t="shared" ca="1" si="3"/>
        <v>Ok</v>
      </c>
      <c r="L16" s="93" t="s">
        <v>359</v>
      </c>
      <c r="M16" s="90"/>
      <c r="N16" s="91"/>
    </row>
    <row r="17" spans="2:14" ht="28.8" x14ac:dyDescent="0.25">
      <c r="B17" s="65">
        <v>15</v>
      </c>
      <c r="C17" s="105" t="s">
        <v>379</v>
      </c>
      <c r="D17" s="106" t="str">
        <f t="shared" ca="1" si="7"/>
        <v>ARCH_SW_ATM_0118, ARCH_SW_ATM_0208</v>
      </c>
      <c r="E17" s="67" t="str">
        <f t="shared" ca="1" si="8"/>
        <v>Nominal</v>
      </c>
      <c r="F17" s="67" t="str">
        <f t="shared" ca="1" si="5"/>
        <v>Check motor connection</v>
      </c>
      <c r="G17" s="86"/>
      <c r="H17" s="87">
        <v>1</v>
      </c>
      <c r="I17" s="88" t="s">
        <v>352</v>
      </c>
      <c r="J17" s="89"/>
      <c r="K17" s="95" t="str">
        <f t="shared" ca="1" si="3"/>
        <v>Ok</v>
      </c>
      <c r="L17" s="93" t="s">
        <v>359</v>
      </c>
      <c r="M17" s="90"/>
      <c r="N17" s="91"/>
    </row>
    <row r="18" spans="2:14" ht="28.8" x14ac:dyDescent="0.25">
      <c r="B18" s="65">
        <v>16</v>
      </c>
      <c r="C18" s="105" t="s">
        <v>380</v>
      </c>
      <c r="D18" s="106" t="str">
        <f t="shared" ca="1" si="7"/>
        <v>ARCH_SW_ATM_0119, ARCH_SW_ATM_0209</v>
      </c>
      <c r="E18" s="67" t="str">
        <f t="shared" ca="1" si="8"/>
        <v>Nominal</v>
      </c>
      <c r="F18" s="67" t="str">
        <f t="shared" ca="1" si="5"/>
        <v>HW thermal protection test</v>
      </c>
      <c r="G18" s="86"/>
      <c r="H18" s="87">
        <v>1</v>
      </c>
      <c r="I18" s="88" t="s">
        <v>353</v>
      </c>
      <c r="J18" s="89"/>
      <c r="K18" s="95" t="str">
        <f t="shared" ca="1" si="3"/>
        <v>Ok</v>
      </c>
      <c r="L18" s="93" t="s">
        <v>359</v>
      </c>
      <c r="M18" s="90"/>
      <c r="N18" s="91"/>
    </row>
    <row r="19" spans="2:14" ht="28.8" x14ac:dyDescent="0.25">
      <c r="B19" s="65">
        <v>17</v>
      </c>
      <c r="C19" s="105" t="s">
        <v>381</v>
      </c>
      <c r="D19" s="106" t="str">
        <f t="shared" ca="1" si="7"/>
        <v>ARCH_SW_ATM_0120</v>
      </c>
      <c r="E19" s="67" t="str">
        <f t="shared" ca="1" si="8"/>
        <v>Nominal</v>
      </c>
      <c r="F19" s="67" t="str">
        <f t="shared" ca="1" si="5"/>
        <v>Open Circuit Autotest on Mosfets</v>
      </c>
      <c r="G19" s="86"/>
      <c r="H19" s="87">
        <v>1</v>
      </c>
      <c r="I19" s="88" t="s">
        <v>354</v>
      </c>
      <c r="J19" s="89"/>
      <c r="K19" s="95" t="str">
        <f t="shared" ca="1" si="3"/>
        <v>Nok</v>
      </c>
      <c r="L19" s="93" t="s">
        <v>359</v>
      </c>
      <c r="M19" s="90">
        <v>814535</v>
      </c>
      <c r="N19" s="91"/>
    </row>
    <row r="20" spans="2:14" ht="28.8" x14ac:dyDescent="0.25">
      <c r="B20" s="65">
        <v>18</v>
      </c>
      <c r="C20" s="105" t="s">
        <v>382</v>
      </c>
      <c r="D20" s="106" t="str">
        <f t="shared" ca="1" si="7"/>
        <v>ARCH_SW_ATM_0150, ARCH_SW_ATM_0151, ARCH_SW_ATM_0202, ARCH_SW_ATM_0210, ARCH_SW_ATM_0211, ARCH_SW_ATM_0212, ARCH_SW_ATM_0213, ARCH_SW_ATM_0214, ARCH_SW_ATM_0215, ARCH_SW_ATM_0216, ARCH_SW_ATM_0217, ARCH_SW_ATM_0218, ARCH_SW_ATM_0219, ARCH_SW_ATM_0220, ARCH_SW_ATM_0221</v>
      </c>
      <c r="E20" s="67" t="str">
        <f t="shared" ca="1" si="8"/>
        <v>Nominal</v>
      </c>
      <c r="F20" s="67" t="str">
        <f t="shared" ca="1" si="5"/>
        <v>Power stage battery voltage during tensioning</v>
      </c>
      <c r="G20" s="86"/>
      <c r="H20" s="87">
        <v>1</v>
      </c>
      <c r="I20" s="88" t="s">
        <v>355</v>
      </c>
      <c r="J20" s="89"/>
      <c r="K20" s="95" t="str">
        <f t="shared" ca="1" si="3"/>
        <v>Ok</v>
      </c>
      <c r="L20" s="93" t="s">
        <v>359</v>
      </c>
      <c r="M20" s="90"/>
      <c r="N20" s="91"/>
    </row>
    <row r="21" spans="2:14" ht="28.8" x14ac:dyDescent="0.25">
      <c r="B21" s="65">
        <v>19</v>
      </c>
      <c r="C21" s="105" t="s">
        <v>383</v>
      </c>
      <c r="D21" s="106" t="str">
        <f t="shared" ca="1" si="7"/>
        <v>ARCH_SW_ATM_0203</v>
      </c>
      <c r="E21" s="67" t="str">
        <f t="shared" ca="1" si="8"/>
        <v>Nominal</v>
      </c>
      <c r="F21" s="67" t="str">
        <f t="shared" ca="1" si="5"/>
        <v>Logical supply in over voltage</v>
      </c>
      <c r="G21" s="86"/>
      <c r="H21" s="87">
        <v>1</v>
      </c>
      <c r="I21" s="88" t="s">
        <v>356</v>
      </c>
      <c r="J21" s="89"/>
      <c r="K21" s="95" t="str">
        <f t="shared" ca="1" si="3"/>
        <v>Ok</v>
      </c>
      <c r="L21" s="93" t="s">
        <v>359</v>
      </c>
      <c r="M21" s="90"/>
      <c r="N21" s="91"/>
    </row>
    <row r="22" spans="2:14" ht="28.8" x14ac:dyDescent="0.25">
      <c r="B22" s="65">
        <v>20</v>
      </c>
      <c r="C22" s="105" t="s">
        <v>384</v>
      </c>
      <c r="D22" s="106" t="str">
        <f t="shared" ca="1" si="7"/>
        <v>ARCH_SW_ATM_0205</v>
      </c>
      <c r="E22" s="67" t="str">
        <f t="shared" ca="1" si="8"/>
        <v>Nominal</v>
      </c>
      <c r="F22" s="67" t="str">
        <f t="shared" ca="1" si="5"/>
        <v>Power bridge command consistency</v>
      </c>
      <c r="G22" s="86"/>
      <c r="H22" s="87">
        <v>1</v>
      </c>
      <c r="I22" s="88" t="s">
        <v>357</v>
      </c>
      <c r="J22" s="89"/>
      <c r="K22" s="95" t="str">
        <f t="shared" ca="1" si="3"/>
        <v>Ok</v>
      </c>
      <c r="L22" s="93" t="s">
        <v>359</v>
      </c>
      <c r="M22" s="90"/>
      <c r="N22" s="91"/>
    </row>
    <row r="23" spans="2:14" ht="28.8" x14ac:dyDescent="0.25">
      <c r="B23" s="65">
        <v>21</v>
      </c>
      <c r="C23" s="105" t="s">
        <v>385</v>
      </c>
      <c r="D23" s="106" t="str">
        <f t="shared" ca="1" si="7"/>
        <v>ARCH_SW_ATM_0260</v>
      </c>
      <c r="E23" s="67" t="str">
        <f t="shared" ca="1" si="8"/>
        <v>Nominal</v>
      </c>
      <c r="F23" s="67" t="str">
        <f t="shared" ca="1" si="5"/>
        <v>ATM_runMainFunction status</v>
      </c>
      <c r="G23" s="86"/>
      <c r="H23" s="87">
        <v>1</v>
      </c>
      <c r="I23" s="88" t="s">
        <v>358</v>
      </c>
      <c r="J23" s="89"/>
      <c r="K23" s="95" t="str">
        <f t="shared" ca="1" si="3"/>
        <v>Ok</v>
      </c>
      <c r="L23" s="93" t="s">
        <v>359</v>
      </c>
      <c r="M23" s="90"/>
      <c r="N23" s="91"/>
    </row>
    <row r="24" spans="2:14" ht="14.4" x14ac:dyDescent="0.25">
      <c r="B24" s="65">
        <v>24</v>
      </c>
      <c r="C24" s="66"/>
      <c r="D24" s="67" t="str">
        <f t="shared" ref="D24:D45" ca="1" si="9">IF(C24&lt;&gt;"",INDIRECT(C24&amp;"!B5"),"")</f>
        <v/>
      </c>
      <c r="E24" s="67" t="str">
        <f t="shared" ref="E24:E45" ca="1" si="10">IF(C24&lt;&gt;"",INDIRECT(C24&amp;"!B7"),"")</f>
        <v/>
      </c>
      <c r="F24" s="67" t="str">
        <f t="shared" ref="F24:F45" ca="1" si="11">IF(C24&lt;&gt;"",INDIRECT(C24&amp;"!B1"),"")</f>
        <v/>
      </c>
      <c r="G24" s="67"/>
      <c r="H24" s="67"/>
      <c r="I24" s="68"/>
      <c r="J24" s="69"/>
      <c r="K24" s="95" t="str">
        <f t="shared" ref="K24:K45" ca="1" si="12">IF(C24&lt;&gt;"",INDIRECT(C24&amp;"!B11"),"")</f>
        <v/>
      </c>
      <c r="L24" s="94"/>
      <c r="M24" s="83"/>
      <c r="N24" s="70"/>
    </row>
    <row r="25" spans="2:14" ht="14.4" x14ac:dyDescent="0.25">
      <c r="B25" s="65">
        <v>25</v>
      </c>
      <c r="C25" s="66"/>
      <c r="D25" s="67" t="str">
        <f t="shared" ca="1" si="9"/>
        <v/>
      </c>
      <c r="E25" s="67" t="str">
        <f t="shared" ca="1" si="10"/>
        <v/>
      </c>
      <c r="F25" s="67" t="str">
        <f t="shared" ca="1" si="11"/>
        <v/>
      </c>
      <c r="G25" s="67"/>
      <c r="H25" s="67"/>
      <c r="I25" s="68"/>
      <c r="J25" s="69"/>
      <c r="K25" s="95" t="str">
        <f t="shared" ca="1" si="12"/>
        <v/>
      </c>
      <c r="L25" s="94"/>
      <c r="M25" s="83"/>
      <c r="N25" s="70"/>
    </row>
    <row r="26" spans="2:14" ht="14.4" x14ac:dyDescent="0.25">
      <c r="B26" s="65">
        <v>26</v>
      </c>
      <c r="C26" s="66"/>
      <c r="D26" s="67" t="str">
        <f t="shared" ca="1" si="9"/>
        <v/>
      </c>
      <c r="E26" s="67" t="str">
        <f t="shared" ca="1" si="10"/>
        <v/>
      </c>
      <c r="F26" s="67" t="str">
        <f t="shared" ca="1" si="11"/>
        <v/>
      </c>
      <c r="G26" s="67"/>
      <c r="H26" s="67"/>
      <c r="I26" s="68"/>
      <c r="J26" s="69"/>
      <c r="K26" s="95" t="str">
        <f t="shared" ca="1" si="12"/>
        <v/>
      </c>
      <c r="L26" s="94"/>
      <c r="M26" s="83"/>
      <c r="N26" s="70"/>
    </row>
    <row r="27" spans="2:14" ht="14.4" x14ac:dyDescent="0.25">
      <c r="B27" s="65">
        <v>27</v>
      </c>
      <c r="C27" s="66"/>
      <c r="D27" s="67" t="str">
        <f t="shared" ca="1" si="9"/>
        <v/>
      </c>
      <c r="E27" s="67" t="str">
        <f t="shared" ca="1" si="10"/>
        <v/>
      </c>
      <c r="F27" s="67" t="str">
        <f t="shared" ca="1" si="11"/>
        <v/>
      </c>
      <c r="G27" s="67"/>
      <c r="H27" s="67"/>
      <c r="I27" s="68"/>
      <c r="J27" s="69"/>
      <c r="K27" s="95" t="str">
        <f t="shared" ca="1" si="12"/>
        <v/>
      </c>
      <c r="L27" s="94"/>
      <c r="M27" s="83"/>
      <c r="N27" s="70"/>
    </row>
    <row r="28" spans="2:14" ht="14.4" x14ac:dyDescent="0.25">
      <c r="B28" s="65">
        <v>28</v>
      </c>
      <c r="C28" s="66"/>
      <c r="D28" s="67" t="str">
        <f t="shared" ca="1" si="9"/>
        <v/>
      </c>
      <c r="E28" s="67" t="str">
        <f t="shared" ca="1" si="10"/>
        <v/>
      </c>
      <c r="F28" s="67" t="str">
        <f t="shared" ca="1" si="11"/>
        <v/>
      </c>
      <c r="G28" s="67"/>
      <c r="H28" s="67"/>
      <c r="I28" s="68"/>
      <c r="J28" s="69"/>
      <c r="K28" s="95" t="str">
        <f t="shared" ca="1" si="12"/>
        <v/>
      </c>
      <c r="L28" s="94"/>
      <c r="M28" s="83"/>
      <c r="N28" s="70"/>
    </row>
    <row r="29" spans="2:14" ht="14.4" x14ac:dyDescent="0.25">
      <c r="B29" s="65">
        <v>29</v>
      </c>
      <c r="C29" s="66"/>
      <c r="D29" s="67" t="str">
        <f t="shared" ca="1" si="9"/>
        <v/>
      </c>
      <c r="E29" s="67" t="str">
        <f t="shared" ca="1" si="10"/>
        <v/>
      </c>
      <c r="F29" s="67" t="str">
        <f t="shared" ca="1" si="11"/>
        <v/>
      </c>
      <c r="G29" s="67"/>
      <c r="H29" s="67"/>
      <c r="I29" s="68"/>
      <c r="J29" s="69"/>
      <c r="K29" s="95" t="str">
        <f t="shared" ca="1" si="12"/>
        <v/>
      </c>
      <c r="L29" s="94"/>
      <c r="M29" s="83"/>
      <c r="N29" s="70"/>
    </row>
    <row r="30" spans="2:14" ht="14.4" x14ac:dyDescent="0.25">
      <c r="B30" s="65">
        <v>30</v>
      </c>
      <c r="C30" s="66"/>
      <c r="D30" s="67" t="str">
        <f t="shared" ca="1" si="9"/>
        <v/>
      </c>
      <c r="E30" s="67" t="str">
        <f t="shared" ca="1" si="10"/>
        <v/>
      </c>
      <c r="F30" s="67" t="str">
        <f t="shared" ca="1" si="11"/>
        <v/>
      </c>
      <c r="G30" s="67"/>
      <c r="H30" s="67"/>
      <c r="I30" s="68"/>
      <c r="J30" s="69"/>
      <c r="K30" s="95" t="str">
        <f t="shared" ca="1" si="12"/>
        <v/>
      </c>
      <c r="L30" s="94"/>
      <c r="M30" s="83"/>
      <c r="N30" s="70"/>
    </row>
    <row r="31" spans="2:14" ht="14.4" x14ac:dyDescent="0.25">
      <c r="B31" s="65">
        <v>31</v>
      </c>
      <c r="C31" s="66"/>
      <c r="D31" s="67" t="str">
        <f t="shared" ca="1" si="9"/>
        <v/>
      </c>
      <c r="E31" s="67" t="str">
        <f t="shared" ca="1" si="10"/>
        <v/>
      </c>
      <c r="F31" s="67" t="str">
        <f t="shared" ca="1" si="11"/>
        <v/>
      </c>
      <c r="G31" s="67"/>
      <c r="H31" s="67"/>
      <c r="I31" s="68"/>
      <c r="J31" s="69"/>
      <c r="K31" s="95" t="str">
        <f t="shared" ca="1" si="12"/>
        <v/>
      </c>
      <c r="L31" s="94"/>
      <c r="M31" s="83"/>
      <c r="N31" s="70"/>
    </row>
    <row r="32" spans="2:14" ht="14.4" x14ac:dyDescent="0.25">
      <c r="B32" s="65">
        <v>32</v>
      </c>
      <c r="C32" s="66"/>
      <c r="D32" s="67" t="str">
        <f t="shared" ca="1" si="9"/>
        <v/>
      </c>
      <c r="E32" s="67" t="str">
        <f t="shared" ca="1" si="10"/>
        <v/>
      </c>
      <c r="F32" s="67" t="str">
        <f t="shared" ca="1" si="11"/>
        <v/>
      </c>
      <c r="G32" s="67"/>
      <c r="H32" s="67"/>
      <c r="I32" s="68"/>
      <c r="J32" s="69"/>
      <c r="K32" s="95" t="str">
        <f t="shared" ca="1" si="12"/>
        <v/>
      </c>
      <c r="L32" s="94"/>
      <c r="M32" s="83"/>
      <c r="N32" s="70"/>
    </row>
    <row r="33" spans="2:14" ht="14.4" x14ac:dyDescent="0.25">
      <c r="B33" s="65">
        <v>33</v>
      </c>
      <c r="C33" s="66"/>
      <c r="D33" s="67" t="str">
        <f t="shared" ca="1" si="9"/>
        <v/>
      </c>
      <c r="E33" s="67" t="str">
        <f t="shared" ca="1" si="10"/>
        <v/>
      </c>
      <c r="F33" s="67" t="str">
        <f t="shared" ca="1" si="11"/>
        <v/>
      </c>
      <c r="G33" s="67"/>
      <c r="H33" s="67"/>
      <c r="I33" s="68"/>
      <c r="J33" s="69"/>
      <c r="K33" s="95" t="str">
        <f t="shared" ca="1" si="12"/>
        <v/>
      </c>
      <c r="L33" s="94"/>
      <c r="M33" s="83"/>
      <c r="N33" s="70"/>
    </row>
    <row r="34" spans="2:14" ht="14.4" x14ac:dyDescent="0.25">
      <c r="B34" s="65">
        <v>34</v>
      </c>
      <c r="C34" s="66"/>
      <c r="D34" s="67" t="str">
        <f t="shared" ca="1" si="9"/>
        <v/>
      </c>
      <c r="E34" s="67" t="str">
        <f t="shared" ca="1" si="10"/>
        <v/>
      </c>
      <c r="F34" s="67" t="str">
        <f t="shared" ca="1" si="11"/>
        <v/>
      </c>
      <c r="G34" s="67"/>
      <c r="H34" s="67"/>
      <c r="I34" s="68"/>
      <c r="J34" s="69"/>
      <c r="K34" s="95" t="str">
        <f t="shared" ca="1" si="12"/>
        <v/>
      </c>
      <c r="L34" s="94"/>
      <c r="M34" s="83"/>
      <c r="N34" s="70"/>
    </row>
    <row r="35" spans="2:14" ht="14.4" x14ac:dyDescent="0.25">
      <c r="B35" s="65">
        <v>35</v>
      </c>
      <c r="C35" s="66"/>
      <c r="D35" s="67" t="str">
        <f t="shared" ca="1" si="9"/>
        <v/>
      </c>
      <c r="E35" s="67" t="str">
        <f t="shared" ca="1" si="10"/>
        <v/>
      </c>
      <c r="F35" s="67" t="str">
        <f t="shared" ca="1" si="11"/>
        <v/>
      </c>
      <c r="G35" s="67"/>
      <c r="H35" s="67"/>
      <c r="I35" s="68"/>
      <c r="J35" s="69"/>
      <c r="K35" s="95" t="str">
        <f t="shared" ca="1" si="12"/>
        <v/>
      </c>
      <c r="L35" s="94"/>
      <c r="M35" s="83"/>
      <c r="N35" s="70"/>
    </row>
    <row r="36" spans="2:14" ht="14.4" x14ac:dyDescent="0.25">
      <c r="B36" s="65">
        <v>36</v>
      </c>
      <c r="C36" s="66"/>
      <c r="D36" s="67" t="str">
        <f t="shared" ca="1" si="9"/>
        <v/>
      </c>
      <c r="E36" s="67" t="str">
        <f t="shared" ca="1" si="10"/>
        <v/>
      </c>
      <c r="F36" s="67" t="str">
        <f t="shared" ca="1" si="11"/>
        <v/>
      </c>
      <c r="G36" s="67"/>
      <c r="H36" s="67"/>
      <c r="I36" s="68"/>
      <c r="J36" s="69"/>
      <c r="K36" s="95" t="str">
        <f t="shared" ca="1" si="12"/>
        <v/>
      </c>
      <c r="L36" s="94"/>
      <c r="M36" s="83"/>
      <c r="N36" s="70"/>
    </row>
    <row r="37" spans="2:14" ht="14.4" x14ac:dyDescent="0.25">
      <c r="B37" s="65">
        <v>37</v>
      </c>
      <c r="C37" s="66"/>
      <c r="D37" s="67" t="str">
        <f t="shared" ca="1" si="9"/>
        <v/>
      </c>
      <c r="E37" s="67" t="str">
        <f t="shared" ca="1" si="10"/>
        <v/>
      </c>
      <c r="F37" s="67" t="str">
        <f t="shared" ca="1" si="11"/>
        <v/>
      </c>
      <c r="G37" s="67"/>
      <c r="H37" s="67"/>
      <c r="I37" s="68"/>
      <c r="J37" s="69"/>
      <c r="K37" s="95" t="str">
        <f t="shared" ca="1" si="12"/>
        <v/>
      </c>
      <c r="L37" s="94"/>
      <c r="M37" s="83"/>
      <c r="N37" s="70"/>
    </row>
    <row r="38" spans="2:14" ht="14.4" x14ac:dyDescent="0.25">
      <c r="B38" s="65">
        <v>38</v>
      </c>
      <c r="C38" s="66"/>
      <c r="D38" s="67" t="str">
        <f t="shared" ca="1" si="9"/>
        <v/>
      </c>
      <c r="E38" s="67" t="str">
        <f t="shared" ca="1" si="10"/>
        <v/>
      </c>
      <c r="F38" s="67" t="str">
        <f t="shared" ca="1" si="11"/>
        <v/>
      </c>
      <c r="G38" s="67"/>
      <c r="H38" s="67"/>
      <c r="I38" s="68"/>
      <c r="J38" s="69"/>
      <c r="K38" s="95" t="str">
        <f t="shared" ca="1" si="12"/>
        <v/>
      </c>
      <c r="L38" s="94"/>
      <c r="M38" s="83"/>
      <c r="N38" s="70"/>
    </row>
    <row r="39" spans="2:14" ht="14.4" x14ac:dyDescent="0.25">
      <c r="B39" s="65">
        <v>39</v>
      </c>
      <c r="C39" s="66"/>
      <c r="D39" s="67" t="str">
        <f t="shared" ca="1" si="9"/>
        <v/>
      </c>
      <c r="E39" s="67" t="str">
        <f t="shared" ca="1" si="10"/>
        <v/>
      </c>
      <c r="F39" s="67" t="str">
        <f t="shared" ca="1" si="11"/>
        <v/>
      </c>
      <c r="G39" s="67"/>
      <c r="H39" s="67"/>
      <c r="I39" s="68"/>
      <c r="J39" s="69"/>
      <c r="K39" s="95" t="str">
        <f t="shared" ca="1" si="12"/>
        <v/>
      </c>
      <c r="L39" s="94"/>
      <c r="M39" s="83"/>
      <c r="N39" s="70"/>
    </row>
    <row r="40" spans="2:14" ht="14.4" x14ac:dyDescent="0.25">
      <c r="B40" s="65">
        <v>40</v>
      </c>
      <c r="C40" s="66"/>
      <c r="D40" s="67" t="str">
        <f t="shared" ca="1" si="9"/>
        <v/>
      </c>
      <c r="E40" s="67" t="str">
        <f t="shared" ca="1" si="10"/>
        <v/>
      </c>
      <c r="F40" s="67" t="str">
        <f t="shared" ca="1" si="11"/>
        <v/>
      </c>
      <c r="G40" s="67"/>
      <c r="H40" s="67"/>
      <c r="I40" s="68"/>
      <c r="J40" s="69"/>
      <c r="K40" s="95" t="str">
        <f t="shared" ca="1" si="12"/>
        <v/>
      </c>
      <c r="L40" s="94"/>
      <c r="M40" s="83"/>
      <c r="N40" s="70"/>
    </row>
    <row r="41" spans="2:14" ht="14.4" x14ac:dyDescent="0.25">
      <c r="B41" s="65">
        <v>41</v>
      </c>
      <c r="C41" s="66"/>
      <c r="D41" s="67" t="str">
        <f t="shared" ca="1" si="9"/>
        <v/>
      </c>
      <c r="E41" s="67" t="str">
        <f t="shared" ca="1" si="10"/>
        <v/>
      </c>
      <c r="F41" s="67" t="str">
        <f t="shared" ca="1" si="11"/>
        <v/>
      </c>
      <c r="G41" s="67"/>
      <c r="H41" s="67"/>
      <c r="I41" s="68"/>
      <c r="J41" s="69"/>
      <c r="K41" s="95" t="str">
        <f t="shared" ca="1" si="12"/>
        <v/>
      </c>
      <c r="L41" s="94"/>
      <c r="M41" s="83"/>
      <c r="N41" s="70"/>
    </row>
    <row r="42" spans="2:14" ht="14.4" x14ac:dyDescent="0.25">
      <c r="B42" s="65">
        <v>42</v>
      </c>
      <c r="C42" s="66"/>
      <c r="D42" s="67" t="str">
        <f t="shared" ca="1" si="9"/>
        <v/>
      </c>
      <c r="E42" s="67" t="str">
        <f t="shared" ca="1" si="10"/>
        <v/>
      </c>
      <c r="F42" s="67" t="str">
        <f t="shared" ca="1" si="11"/>
        <v/>
      </c>
      <c r="G42" s="67"/>
      <c r="H42" s="67"/>
      <c r="I42" s="68"/>
      <c r="J42" s="69"/>
      <c r="K42" s="95" t="str">
        <f t="shared" ca="1" si="12"/>
        <v/>
      </c>
      <c r="L42" s="94"/>
      <c r="M42" s="83"/>
      <c r="N42" s="70"/>
    </row>
    <row r="43" spans="2:14" ht="14.4" x14ac:dyDescent="0.25">
      <c r="B43" s="65">
        <v>43</v>
      </c>
      <c r="C43" s="66"/>
      <c r="D43" s="67" t="str">
        <f t="shared" ca="1" si="9"/>
        <v/>
      </c>
      <c r="E43" s="67" t="str">
        <f t="shared" ca="1" si="10"/>
        <v/>
      </c>
      <c r="F43" s="67" t="str">
        <f t="shared" ca="1" si="11"/>
        <v/>
      </c>
      <c r="G43" s="67"/>
      <c r="H43" s="67"/>
      <c r="I43" s="68"/>
      <c r="J43" s="69"/>
      <c r="K43" s="95" t="str">
        <f t="shared" ca="1" si="12"/>
        <v/>
      </c>
      <c r="L43" s="94"/>
      <c r="M43" s="83"/>
      <c r="N43" s="70"/>
    </row>
    <row r="44" spans="2:14" ht="14.4" x14ac:dyDescent="0.25">
      <c r="B44" s="65">
        <v>44</v>
      </c>
      <c r="C44" s="66"/>
      <c r="D44" s="67" t="str">
        <f t="shared" ca="1" si="9"/>
        <v/>
      </c>
      <c r="E44" s="67" t="str">
        <f t="shared" ca="1" si="10"/>
        <v/>
      </c>
      <c r="F44" s="67" t="str">
        <f t="shared" ca="1" si="11"/>
        <v/>
      </c>
      <c r="G44" s="67"/>
      <c r="H44" s="67"/>
      <c r="I44" s="68"/>
      <c r="J44" s="69"/>
      <c r="K44" s="95" t="str">
        <f t="shared" ca="1" si="12"/>
        <v/>
      </c>
      <c r="L44" s="94"/>
      <c r="M44" s="83"/>
      <c r="N44" s="70"/>
    </row>
    <row r="45" spans="2:14" ht="15" thickBot="1" x14ac:dyDescent="0.3">
      <c r="B45" s="65">
        <v>45</v>
      </c>
      <c r="C45" s="71"/>
      <c r="D45" s="67" t="str">
        <f t="shared" ca="1" si="9"/>
        <v/>
      </c>
      <c r="E45" s="67" t="str">
        <f t="shared" ca="1" si="10"/>
        <v/>
      </c>
      <c r="F45" s="67" t="str">
        <f t="shared" ca="1" si="11"/>
        <v/>
      </c>
      <c r="G45" s="67"/>
      <c r="H45" s="67"/>
      <c r="I45" s="68"/>
      <c r="J45" s="69"/>
      <c r="K45" s="95" t="str">
        <f t="shared" ca="1" si="12"/>
        <v/>
      </c>
      <c r="L45" s="94"/>
      <c r="M45" s="83"/>
      <c r="N45" s="70"/>
    </row>
  </sheetData>
  <phoneticPr fontId="41" type="noConversion"/>
  <conditionalFormatting sqref="K24:K45">
    <cfRule type="cellIs" dxfId="295" priority="31" operator="equal">
      <formula>"Nok"</formula>
    </cfRule>
    <cfRule type="cellIs" dxfId="294" priority="32" operator="equal">
      <formula>"Ok"</formula>
    </cfRule>
  </conditionalFormatting>
  <conditionalFormatting sqref="K3">
    <cfRule type="cellIs" dxfId="293" priority="29" operator="equal">
      <formula>"Nok"</formula>
    </cfRule>
    <cfRule type="cellIs" dxfId="292" priority="30" operator="equal">
      <formula>"Ok"</formula>
    </cfRule>
  </conditionalFormatting>
  <conditionalFormatting sqref="K4">
    <cfRule type="cellIs" dxfId="291" priority="27" operator="equal">
      <formula>"Nok"</formula>
    </cfRule>
    <cfRule type="cellIs" dxfId="290" priority="28" operator="equal">
      <formula>"Ok"</formula>
    </cfRule>
  </conditionalFormatting>
  <conditionalFormatting sqref="K5">
    <cfRule type="cellIs" dxfId="289" priority="25" operator="equal">
      <formula>"Nok"</formula>
    </cfRule>
    <cfRule type="cellIs" dxfId="288" priority="26" operator="equal">
      <formula>"Ok"</formula>
    </cfRule>
  </conditionalFormatting>
  <conditionalFormatting sqref="K6">
    <cfRule type="cellIs" dxfId="287" priority="23" operator="equal">
      <formula>"Nok"</formula>
    </cfRule>
    <cfRule type="cellIs" dxfId="286" priority="24" operator="equal">
      <formula>"Ok"</formula>
    </cfRule>
  </conditionalFormatting>
  <conditionalFormatting sqref="K7">
    <cfRule type="cellIs" dxfId="285" priority="21" operator="equal">
      <formula>"Nok"</formula>
    </cfRule>
    <cfRule type="cellIs" dxfId="284" priority="22" operator="equal">
      <formula>"Ok"</formula>
    </cfRule>
  </conditionalFormatting>
  <conditionalFormatting sqref="K8:K23">
    <cfRule type="cellIs" dxfId="283" priority="19" operator="equal">
      <formula>"Nok"</formula>
    </cfRule>
    <cfRule type="cellIs" dxfId="282" priority="20" operator="equal">
      <formula>"Ok"</formula>
    </cfRule>
  </conditionalFormatting>
  <dataValidations count="3">
    <dataValidation type="list" allowBlank="1" showInputMessage="1" showErrorMessage="1" sqref="E24:E45" xr:uid="{00000000-0002-0000-0300-000000000000}">
      <formula1>"Nominal, Robustness, Endurance, Qualification, Other"</formula1>
    </dataValidation>
    <dataValidation type="list" allowBlank="1" showInputMessage="1" showErrorMessage="1" sqref="G3:G23" xr:uid="{32962E0A-C472-462C-8C4B-AA8F2A6FDCE7}">
      <formula1>",X,"</formula1>
    </dataValidation>
    <dataValidation type="list" allowBlank="1" showInputMessage="1" showErrorMessage="1" sqref="H3:H23" xr:uid="{450F32B0-BEFE-4CE1-86BE-E6829A783650}">
      <formula1>"1,2,3,"</formula1>
    </dataValidation>
  </dataValidations>
  <hyperlinks>
    <hyperlink ref="C3" location="SW_IT_ATM_0001!A1" display="SW_IT_ATM_0001" xr:uid="{00000000-0004-0000-0300-000000000000}"/>
    <hyperlink ref="C4:C23" location="SW_IT_ATM_0001!A1" display="SW_IT_ATM_0001" xr:uid="{68BB4B99-49C7-4D03-9E7D-DCD1D75C6C1F}"/>
    <hyperlink ref="C4" location="SW_IT_ATM_0002!A1" display="SW_IT_ATM_0002" xr:uid="{5A118067-A927-477C-A2BC-0CA11A9334F3}"/>
    <hyperlink ref="C5" location="SW_IT_ATM_0003!A1" display="SW_IT_ATM_0003" xr:uid="{D200D7A8-035B-4F63-ABAB-0BE32F21D1A1}"/>
    <hyperlink ref="C6" location="SW_IT_ATM_0004!A1" display="SW_IT_ATM_0004" xr:uid="{E1695AF8-DC2E-400F-8F7A-5B020330C2C6}"/>
    <hyperlink ref="C7" location="SW_IT_ATM_0005!A1" display="SW_IT_ATM_0005" xr:uid="{74F44DAB-6C21-4CFE-B3C0-B6460FF650DE}"/>
    <hyperlink ref="C8" location="SW_IT_ATM_0006!A1" display="SW_IT_ATM_0006" xr:uid="{ABB839BB-20DF-4177-9C13-BEDE617AF257}"/>
    <hyperlink ref="C9" location="SW_IT_ATM_0007!A1" display="SW_IT_ATM_0007" xr:uid="{C7AAEBEB-4731-4C02-9A6D-77655F40B3DD}"/>
    <hyperlink ref="C10" location="SW_IT_ATM_0008!A1" display="SW_IT_ATM_0008" xr:uid="{B6FBFBCB-9EE9-49F4-8F6E-EA1D48BD5585}"/>
    <hyperlink ref="C11" location="SW_IT_ATM_0009!A1" display="SW_IT_ATM_0009" xr:uid="{520F3D05-69D4-47AF-95BA-746A7B1F613F}"/>
    <hyperlink ref="C12" location="SW_IT_ATM_0010!A1" display="SW_IT_ATM_0010" xr:uid="{642ED3EA-C7CC-448F-9FE4-C6419DDEACBF}"/>
    <hyperlink ref="C13" location="SW_IT_ATM_0011!A1" display="SW_IT_ATM_0011" xr:uid="{31B180E9-4168-443C-AA2D-A3165DDDACBF}"/>
    <hyperlink ref="C14" location="SW_IT_ATM_0012!A1" display="SW_IT_ATM_0012" xr:uid="{92AE7232-830C-49F4-A1EB-83C1DC2A4CD3}"/>
    <hyperlink ref="C15" location="SW_IT_ATM_0013!A1" display="SW_IT_ATM_0013" xr:uid="{F131BC1B-B2E2-42B1-9A91-F6BBB3B252D2}"/>
    <hyperlink ref="C16" location="SW_IT_ATM_0014!A1" display="SW_IT_ATM_0014" xr:uid="{3A758CB6-D4F9-4FFF-80D9-F0FCA8FB9D1D}"/>
    <hyperlink ref="C17" location="SW_IT_ATM_0015!A1" display="SW_IT_ATM_0015" xr:uid="{4EFD230D-04CE-47EE-8827-134D4E2205AE}"/>
    <hyperlink ref="C18" location="SW_IT_ATM_0016!A1" display="SW_IT_ATM_0016" xr:uid="{604FDAF7-CBEA-444B-80B5-1E0F60F2D9F3}"/>
    <hyperlink ref="C19" location="SW_IT_ATM_0017!A1" display="SW_IT_ATM_0017" xr:uid="{0689F28F-6F46-46C0-8C68-34299612F91B}"/>
    <hyperlink ref="C20" location="SW_IT_ATM_0018!A1" display="SW_IT_ATM_0018" xr:uid="{837A7701-9203-4B2B-A909-F498B0ECEFB0}"/>
    <hyperlink ref="C21" location="SW_IT_ATM_0019!A1" display="SW_IT_ATM_0019" xr:uid="{C14AA39E-745E-40A8-BBF2-B37C520CB646}"/>
    <hyperlink ref="C22" location="SW_IT_ATM_0020!A1" display="SW_IT_ATM_0020" xr:uid="{F5FE5BB6-FB15-44C3-A2DE-3A7CBF2884E5}"/>
    <hyperlink ref="C23" location="SW_IT_ATM_0021!A1" display="SW_IT_ATM_0021" xr:uid="{A766B9E4-689E-4F91-A600-532E211F6D2D}"/>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1.3&amp;R&amp;P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A581C-4F89-4455-9ABF-63C6C9AD53E5}">
  <sheetPr codeName="Sheet7"/>
  <dimension ref="A1:P30"/>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146</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135</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136</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29.25" customHeight="1" x14ac:dyDescent="0.25">
      <c r="A22" s="103" t="s">
        <v>49</v>
      </c>
      <c r="B22" s="194" t="s">
        <v>296</v>
      </c>
      <c r="C22" s="195"/>
      <c r="D22" s="195"/>
      <c r="E22" s="195"/>
      <c r="F22" s="195"/>
      <c r="G22" s="196"/>
      <c r="H22" s="190" t="s">
        <v>134</v>
      </c>
      <c r="I22" s="190"/>
      <c r="J22" s="190"/>
      <c r="K22" s="190"/>
      <c r="L22" s="190" t="s">
        <v>134</v>
      </c>
      <c r="M22" s="190"/>
      <c r="N22" s="190"/>
      <c r="O22" s="190"/>
      <c r="P22" s="98" t="s">
        <v>128</v>
      </c>
    </row>
    <row r="23" spans="1:16" x14ac:dyDescent="0.25">
      <c r="A23" s="103" t="s">
        <v>50</v>
      </c>
      <c r="B23" s="186"/>
      <c r="C23" s="187"/>
      <c r="D23" s="187"/>
      <c r="E23" s="187"/>
      <c r="F23" s="187"/>
      <c r="G23" s="188"/>
      <c r="H23" s="190"/>
      <c r="I23" s="190"/>
      <c r="J23" s="190"/>
      <c r="K23" s="190"/>
      <c r="L23" s="190"/>
      <c r="M23" s="190"/>
      <c r="N23" s="190"/>
      <c r="O23" s="190"/>
      <c r="P23" s="98"/>
    </row>
    <row r="24" spans="1:16" x14ac:dyDescent="0.25">
      <c r="A24" s="103" t="s">
        <v>51</v>
      </c>
      <c r="B24" s="186"/>
      <c r="C24" s="187"/>
      <c r="D24" s="187"/>
      <c r="E24" s="187"/>
      <c r="F24" s="187"/>
      <c r="G24" s="188"/>
      <c r="H24" s="189"/>
      <c r="I24" s="189"/>
      <c r="J24" s="189"/>
      <c r="K24" s="189"/>
      <c r="L24" s="189"/>
      <c r="M24" s="189"/>
      <c r="N24" s="189"/>
      <c r="O24" s="189"/>
      <c r="P24" s="98"/>
    </row>
    <row r="25" spans="1:16" x14ac:dyDescent="0.25">
      <c r="A25" s="103" t="s">
        <v>52</v>
      </c>
      <c r="B25" s="186"/>
      <c r="C25" s="187"/>
      <c r="D25" s="187"/>
      <c r="E25" s="187"/>
      <c r="F25" s="187"/>
      <c r="G25" s="188"/>
      <c r="H25" s="189"/>
      <c r="I25" s="189"/>
      <c r="J25" s="189"/>
      <c r="K25" s="189"/>
      <c r="L25" s="189"/>
      <c r="M25" s="189"/>
      <c r="N25" s="189"/>
      <c r="O25" s="189"/>
      <c r="P25" s="98"/>
    </row>
    <row r="26" spans="1:16" x14ac:dyDescent="0.25">
      <c r="A26" s="103" t="s">
        <v>53</v>
      </c>
      <c r="B26" s="186"/>
      <c r="C26" s="187"/>
      <c r="D26" s="187"/>
      <c r="E26" s="187"/>
      <c r="F26" s="187"/>
      <c r="G26" s="188"/>
      <c r="H26" s="189"/>
      <c r="I26" s="189"/>
      <c r="J26" s="189"/>
      <c r="K26" s="189"/>
      <c r="L26" s="189"/>
      <c r="M26" s="189"/>
      <c r="N26" s="189"/>
      <c r="O26" s="189"/>
      <c r="P26" s="98"/>
    </row>
    <row r="27" spans="1:16" x14ac:dyDescent="0.25">
      <c r="A27" s="103" t="s">
        <v>54</v>
      </c>
      <c r="B27" s="186"/>
      <c r="C27" s="187"/>
      <c r="D27" s="187"/>
      <c r="E27" s="187"/>
      <c r="F27" s="187"/>
      <c r="G27" s="188"/>
      <c r="H27" s="189"/>
      <c r="I27" s="189"/>
      <c r="J27" s="189"/>
      <c r="K27" s="189"/>
      <c r="L27" s="189"/>
      <c r="M27" s="189"/>
      <c r="N27" s="189"/>
      <c r="O27" s="189"/>
      <c r="P27" s="98"/>
    </row>
    <row r="28" spans="1:16" x14ac:dyDescent="0.25">
      <c r="A28" s="103" t="s">
        <v>55</v>
      </c>
      <c r="B28" s="186"/>
      <c r="C28" s="187"/>
      <c r="D28" s="187"/>
      <c r="E28" s="187"/>
      <c r="F28" s="187"/>
      <c r="G28" s="188"/>
      <c r="H28" s="189"/>
      <c r="I28" s="189"/>
      <c r="J28" s="189"/>
      <c r="K28" s="189"/>
      <c r="L28" s="189"/>
      <c r="M28" s="189"/>
      <c r="N28" s="189"/>
      <c r="O28" s="189"/>
      <c r="P28" s="98"/>
    </row>
    <row r="29" spans="1:16" x14ac:dyDescent="0.25">
      <c r="B29" s="99"/>
      <c r="C29" s="99"/>
      <c r="D29" s="99"/>
      <c r="E29" s="99"/>
      <c r="F29" s="99"/>
      <c r="G29" s="99"/>
      <c r="H29" s="99"/>
    </row>
    <row r="30" spans="1:16" x14ac:dyDescent="0.25">
      <c r="B30" s="99"/>
      <c r="C30" s="99"/>
      <c r="D30" s="99"/>
      <c r="E30" s="99"/>
      <c r="F30" s="99"/>
      <c r="G30" s="99"/>
      <c r="H30" s="99"/>
    </row>
  </sheetData>
  <mergeCells count="31">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s>
  <conditionalFormatting sqref="B9:B10">
    <cfRule type="cellIs" dxfId="281" priority="15" operator="equal">
      <formula>"Nok"</formula>
    </cfRule>
    <cfRule type="cellIs" dxfId="280" priority="16" operator="equal">
      <formula>"Ok"</formula>
    </cfRule>
  </conditionalFormatting>
  <conditionalFormatting sqref="P25">
    <cfRule type="cellIs" dxfId="279" priority="13" operator="equal">
      <formula>"Nok"</formula>
    </cfRule>
    <cfRule type="cellIs" dxfId="278" priority="14" operator="equal">
      <formula>"Ok"</formula>
    </cfRule>
  </conditionalFormatting>
  <conditionalFormatting sqref="P24">
    <cfRule type="cellIs" dxfId="277" priority="11" operator="equal">
      <formula>"Nok"</formula>
    </cfRule>
    <cfRule type="cellIs" dxfId="276" priority="12" operator="equal">
      <formula>"Ok"</formula>
    </cfRule>
  </conditionalFormatting>
  <conditionalFormatting sqref="P23">
    <cfRule type="cellIs" dxfId="275" priority="9" operator="equal">
      <formula>"Nok"</formula>
    </cfRule>
    <cfRule type="cellIs" dxfId="274" priority="10" operator="equal">
      <formula>"Ok"</formula>
    </cfRule>
  </conditionalFormatting>
  <conditionalFormatting sqref="P26">
    <cfRule type="cellIs" dxfId="273" priority="7" operator="equal">
      <formula>"Nok"</formula>
    </cfRule>
    <cfRule type="cellIs" dxfId="272" priority="8" operator="equal">
      <formula>"Ok"</formula>
    </cfRule>
  </conditionalFormatting>
  <conditionalFormatting sqref="P27">
    <cfRule type="cellIs" dxfId="271" priority="5" operator="equal">
      <formula>"Nok"</formula>
    </cfRule>
    <cfRule type="cellIs" dxfId="270" priority="6" operator="equal">
      <formula>"Ok"</formula>
    </cfRule>
  </conditionalFormatting>
  <conditionalFormatting sqref="P28">
    <cfRule type="cellIs" dxfId="269" priority="3" operator="equal">
      <formula>"Nok"</formula>
    </cfRule>
    <cfRule type="cellIs" dxfId="268" priority="4" operator="equal">
      <formula>"Ok"</formula>
    </cfRule>
  </conditionalFormatting>
  <conditionalFormatting sqref="P22">
    <cfRule type="cellIs" dxfId="267" priority="1" operator="equal">
      <formula>"Nok"</formula>
    </cfRule>
    <cfRule type="cellIs" dxfId="266" priority="2" operator="equal">
      <formula>"Ok"</formula>
    </cfRule>
  </conditionalFormatting>
  <dataValidations count="3">
    <dataValidation type="list" allowBlank="1" showInputMessage="1" showErrorMessage="1" sqref="P22:P28" xr:uid="{70A094AE-5BB3-4D32-A609-BC4B2A44FEC0}">
      <formula1>"Ok, Nok, Not run, ,"</formula1>
    </dataValidation>
    <dataValidation type="list" allowBlank="1" showInputMessage="1" showErrorMessage="1" sqref="B9" xr:uid="{17D972BF-E0F1-4224-9DF2-37D506B0C4A5}">
      <formula1>"Ok, Nok, Not run, NA"</formula1>
    </dataValidation>
    <dataValidation type="list" allowBlank="1" showInputMessage="1" showErrorMessage="1" sqref="B5" xr:uid="{63DAD18C-3456-4B34-B7C9-CDBBB1D238F0}">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1AE9A-7350-4AAE-A3F2-2D7A7DD38A3F}">
  <sheetPr codeName="Sheet8"/>
  <dimension ref="A1:P30"/>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145</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139</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299</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35.25" customHeight="1" x14ac:dyDescent="0.25">
      <c r="A22" s="103" t="s">
        <v>49</v>
      </c>
      <c r="B22" s="194" t="s">
        <v>300</v>
      </c>
      <c r="C22" s="195"/>
      <c r="D22" s="195"/>
      <c r="E22" s="195"/>
      <c r="F22" s="195"/>
      <c r="G22" s="196"/>
      <c r="H22" s="190" t="s">
        <v>134</v>
      </c>
      <c r="I22" s="190"/>
      <c r="J22" s="190"/>
      <c r="K22" s="190"/>
      <c r="L22" s="190" t="s">
        <v>134</v>
      </c>
      <c r="M22" s="190"/>
      <c r="N22" s="190"/>
      <c r="O22" s="190"/>
      <c r="P22" s="98" t="s">
        <v>128</v>
      </c>
    </row>
    <row r="23" spans="1:16" ht="42" customHeight="1" x14ac:dyDescent="0.25">
      <c r="A23" s="103" t="s">
        <v>50</v>
      </c>
      <c r="B23" s="215" t="s">
        <v>301</v>
      </c>
      <c r="C23" s="216"/>
      <c r="D23" s="216"/>
      <c r="E23" s="216"/>
      <c r="F23" s="216"/>
      <c r="G23" s="217"/>
      <c r="H23" s="190" t="s">
        <v>134</v>
      </c>
      <c r="I23" s="190"/>
      <c r="J23" s="190"/>
      <c r="K23" s="190"/>
      <c r="L23" s="190" t="s">
        <v>134</v>
      </c>
      <c r="M23" s="190"/>
      <c r="N23" s="190"/>
      <c r="O23" s="190"/>
      <c r="P23" s="98" t="s">
        <v>128</v>
      </c>
    </row>
    <row r="24" spans="1:16" ht="24.75" customHeight="1" x14ac:dyDescent="0.25">
      <c r="A24" s="103" t="s">
        <v>51</v>
      </c>
      <c r="B24" s="186" t="s">
        <v>302</v>
      </c>
      <c r="C24" s="187"/>
      <c r="D24" s="187"/>
      <c r="E24" s="187"/>
      <c r="F24" s="187"/>
      <c r="G24" s="188"/>
      <c r="H24" s="189" t="s">
        <v>303</v>
      </c>
      <c r="I24" s="189"/>
      <c r="J24" s="189"/>
      <c r="K24" s="189"/>
      <c r="L24" s="189" t="s">
        <v>303</v>
      </c>
      <c r="M24" s="189"/>
      <c r="N24" s="189"/>
      <c r="O24" s="189"/>
      <c r="P24" s="98" t="s">
        <v>128</v>
      </c>
    </row>
    <row r="25" spans="1:16" x14ac:dyDescent="0.25">
      <c r="A25" s="103" t="s">
        <v>52</v>
      </c>
      <c r="B25" s="186"/>
      <c r="C25" s="187"/>
      <c r="D25" s="187"/>
      <c r="E25" s="187"/>
      <c r="F25" s="187"/>
      <c r="G25" s="188"/>
      <c r="H25" s="189"/>
      <c r="I25" s="189"/>
      <c r="J25" s="189"/>
      <c r="K25" s="189"/>
      <c r="L25" s="189"/>
      <c r="M25" s="189"/>
      <c r="N25" s="189"/>
      <c r="O25" s="189"/>
      <c r="P25" s="98"/>
    </row>
    <row r="26" spans="1:16" x14ac:dyDescent="0.25">
      <c r="A26" s="103" t="s">
        <v>53</v>
      </c>
      <c r="B26" s="186"/>
      <c r="C26" s="187"/>
      <c r="D26" s="187"/>
      <c r="E26" s="187"/>
      <c r="F26" s="187"/>
      <c r="G26" s="188"/>
      <c r="H26" s="189"/>
      <c r="I26" s="189"/>
      <c r="J26" s="189"/>
      <c r="K26" s="189"/>
      <c r="L26" s="189"/>
      <c r="M26" s="189"/>
      <c r="N26" s="189"/>
      <c r="O26" s="189"/>
      <c r="P26" s="98"/>
    </row>
    <row r="27" spans="1:16" x14ac:dyDescent="0.25">
      <c r="A27" s="103" t="s">
        <v>54</v>
      </c>
      <c r="B27" s="186"/>
      <c r="C27" s="187"/>
      <c r="D27" s="187"/>
      <c r="E27" s="187"/>
      <c r="F27" s="187"/>
      <c r="G27" s="188"/>
      <c r="H27" s="189"/>
      <c r="I27" s="189"/>
      <c r="J27" s="189"/>
      <c r="K27" s="189"/>
      <c r="L27" s="189"/>
      <c r="M27" s="189"/>
      <c r="N27" s="189"/>
      <c r="O27" s="189"/>
      <c r="P27" s="98"/>
    </row>
    <row r="28" spans="1:16" x14ac:dyDescent="0.25">
      <c r="A28" s="103" t="s">
        <v>55</v>
      </c>
      <c r="B28" s="186"/>
      <c r="C28" s="187"/>
      <c r="D28" s="187"/>
      <c r="E28" s="187"/>
      <c r="F28" s="187"/>
      <c r="G28" s="188"/>
      <c r="H28" s="189"/>
      <c r="I28" s="189"/>
      <c r="J28" s="189"/>
      <c r="K28" s="189"/>
      <c r="L28" s="189"/>
      <c r="M28" s="189"/>
      <c r="N28" s="189"/>
      <c r="O28" s="189"/>
      <c r="P28" s="98"/>
    </row>
    <row r="29" spans="1:16" x14ac:dyDescent="0.25">
      <c r="B29" s="99"/>
      <c r="C29" s="99"/>
      <c r="D29" s="99"/>
      <c r="E29" s="99"/>
      <c r="F29" s="99"/>
      <c r="G29" s="99"/>
      <c r="H29" s="99"/>
    </row>
    <row r="30" spans="1:16" x14ac:dyDescent="0.25">
      <c r="B30" s="99"/>
      <c r="C30" s="99"/>
      <c r="D30" s="99"/>
      <c r="E30" s="99"/>
      <c r="F30" s="99"/>
      <c r="G30" s="99"/>
      <c r="H30" s="99"/>
    </row>
  </sheetData>
  <mergeCells count="31">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s>
  <conditionalFormatting sqref="B9:B10">
    <cfRule type="cellIs" dxfId="265" priority="15" operator="equal">
      <formula>"Nok"</formula>
    </cfRule>
    <cfRule type="cellIs" dxfId="264" priority="16" operator="equal">
      <formula>"Ok"</formula>
    </cfRule>
  </conditionalFormatting>
  <conditionalFormatting sqref="P25">
    <cfRule type="cellIs" dxfId="263" priority="13" operator="equal">
      <formula>"Nok"</formula>
    </cfRule>
    <cfRule type="cellIs" dxfId="262" priority="14" operator="equal">
      <formula>"Ok"</formula>
    </cfRule>
  </conditionalFormatting>
  <conditionalFormatting sqref="P24">
    <cfRule type="cellIs" dxfId="261" priority="11" operator="equal">
      <formula>"Nok"</formula>
    </cfRule>
    <cfRule type="cellIs" dxfId="260" priority="12" operator="equal">
      <formula>"Ok"</formula>
    </cfRule>
  </conditionalFormatting>
  <conditionalFormatting sqref="P23">
    <cfRule type="cellIs" dxfId="259" priority="9" operator="equal">
      <formula>"Nok"</formula>
    </cfRule>
    <cfRule type="cellIs" dxfId="258" priority="10" operator="equal">
      <formula>"Ok"</formula>
    </cfRule>
  </conditionalFormatting>
  <conditionalFormatting sqref="P26">
    <cfRule type="cellIs" dxfId="257" priority="7" operator="equal">
      <formula>"Nok"</formula>
    </cfRule>
    <cfRule type="cellIs" dxfId="256" priority="8" operator="equal">
      <formula>"Ok"</formula>
    </cfRule>
  </conditionalFormatting>
  <conditionalFormatting sqref="P27">
    <cfRule type="cellIs" dxfId="255" priority="5" operator="equal">
      <formula>"Nok"</formula>
    </cfRule>
    <cfRule type="cellIs" dxfId="254" priority="6" operator="equal">
      <formula>"Ok"</formula>
    </cfRule>
  </conditionalFormatting>
  <conditionalFormatting sqref="P28">
    <cfRule type="cellIs" dxfId="253" priority="3" operator="equal">
      <formula>"Nok"</formula>
    </cfRule>
    <cfRule type="cellIs" dxfId="252" priority="4" operator="equal">
      <formula>"Ok"</formula>
    </cfRule>
  </conditionalFormatting>
  <conditionalFormatting sqref="P22">
    <cfRule type="cellIs" dxfId="251" priority="1" operator="equal">
      <formula>"Nok"</formula>
    </cfRule>
    <cfRule type="cellIs" dxfId="250" priority="2" operator="equal">
      <formula>"Ok"</formula>
    </cfRule>
  </conditionalFormatting>
  <dataValidations count="3">
    <dataValidation type="list" allowBlank="1" showInputMessage="1" showErrorMessage="1" sqref="P22:P28" xr:uid="{C1152E16-9118-4FCF-A08F-F6F5DC14F856}">
      <formula1>"Ok, Nok, Not run, ,"</formula1>
    </dataValidation>
    <dataValidation type="list" allowBlank="1" showInputMessage="1" showErrorMessage="1" sqref="B9" xr:uid="{135470E9-8AE9-4891-8799-6613FC88633A}">
      <formula1>"Ok, Nok, Not run, NA"</formula1>
    </dataValidation>
    <dataValidation type="list" allowBlank="1" showInputMessage="1" showErrorMessage="1" sqref="B5" xr:uid="{3AE0745F-8EFB-4E64-BBD4-DE35449B3C8A}">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D262E-99F1-4A0B-8FEA-D4F77051BDCF}">
  <sheetPr codeName="Sheet9"/>
  <dimension ref="A1:P26"/>
  <sheetViews>
    <sheetView workbookViewId="0">
      <selection activeCell="B3" sqref="B3:G3"/>
    </sheetView>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320</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387</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140</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30" customHeight="1" x14ac:dyDescent="0.25">
      <c r="A22" s="103" t="s">
        <v>49</v>
      </c>
      <c r="B22" s="194" t="s">
        <v>144</v>
      </c>
      <c r="C22" s="195"/>
      <c r="D22" s="195"/>
      <c r="E22" s="195"/>
      <c r="F22" s="195"/>
      <c r="G22" s="196"/>
      <c r="H22" s="190" t="s">
        <v>134</v>
      </c>
      <c r="I22" s="190"/>
      <c r="J22" s="190"/>
      <c r="K22" s="190"/>
      <c r="L22" s="190" t="s">
        <v>134</v>
      </c>
      <c r="M22" s="190"/>
      <c r="N22" s="190"/>
      <c r="O22" s="190"/>
      <c r="P22" s="98" t="s">
        <v>128</v>
      </c>
    </row>
    <row r="23" spans="1:16" x14ac:dyDescent="0.25">
      <c r="A23" s="103" t="s">
        <v>50</v>
      </c>
      <c r="B23" s="186"/>
      <c r="C23" s="187"/>
      <c r="D23" s="187"/>
      <c r="E23" s="187"/>
      <c r="F23" s="187"/>
      <c r="G23" s="188"/>
      <c r="H23" s="190"/>
      <c r="I23" s="190"/>
      <c r="J23" s="190"/>
      <c r="K23" s="190"/>
      <c r="L23" s="190"/>
      <c r="M23" s="190"/>
      <c r="N23" s="190"/>
      <c r="O23" s="190"/>
      <c r="P23" s="98"/>
    </row>
    <row r="24" spans="1:16" x14ac:dyDescent="0.25">
      <c r="A24" s="103" t="s">
        <v>51</v>
      </c>
      <c r="B24" s="186"/>
      <c r="C24" s="187"/>
      <c r="D24" s="187"/>
      <c r="E24" s="187"/>
      <c r="F24" s="187"/>
      <c r="G24" s="188"/>
      <c r="H24" s="189"/>
      <c r="I24" s="189"/>
      <c r="J24" s="189"/>
      <c r="K24" s="189"/>
      <c r="L24" s="189"/>
      <c r="M24" s="189"/>
      <c r="N24" s="189"/>
      <c r="O24" s="189"/>
      <c r="P24" s="98"/>
    </row>
    <row r="25" spans="1:16" x14ac:dyDescent="0.25">
      <c r="B25" s="99"/>
      <c r="C25" s="99"/>
      <c r="D25" s="99"/>
      <c r="E25" s="99"/>
      <c r="F25" s="99"/>
      <c r="G25" s="99"/>
      <c r="H25" s="99"/>
    </row>
    <row r="26" spans="1:16" x14ac:dyDescent="0.25">
      <c r="B26" s="99"/>
      <c r="C26" s="99"/>
      <c r="D26" s="99"/>
      <c r="E26" s="99"/>
      <c r="F26" s="99"/>
      <c r="G26" s="99"/>
      <c r="H26" s="99"/>
    </row>
  </sheetData>
  <mergeCells count="19">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s>
  <conditionalFormatting sqref="B9:B10">
    <cfRule type="cellIs" dxfId="249" priority="15" operator="equal">
      <formula>"Nok"</formula>
    </cfRule>
    <cfRule type="cellIs" dxfId="248" priority="16" operator="equal">
      <formula>"Ok"</formula>
    </cfRule>
  </conditionalFormatting>
  <conditionalFormatting sqref="P24">
    <cfRule type="cellIs" dxfId="247" priority="11" operator="equal">
      <formula>"Nok"</formula>
    </cfRule>
    <cfRule type="cellIs" dxfId="246" priority="12" operator="equal">
      <formula>"Ok"</formula>
    </cfRule>
  </conditionalFormatting>
  <conditionalFormatting sqref="P23">
    <cfRule type="cellIs" dxfId="245" priority="9" operator="equal">
      <formula>"Nok"</formula>
    </cfRule>
    <cfRule type="cellIs" dxfId="244" priority="10" operator="equal">
      <formula>"Ok"</formula>
    </cfRule>
  </conditionalFormatting>
  <conditionalFormatting sqref="P22">
    <cfRule type="cellIs" dxfId="243" priority="1" operator="equal">
      <formula>"Nok"</formula>
    </cfRule>
    <cfRule type="cellIs" dxfId="242" priority="2" operator="equal">
      <formula>"Ok"</formula>
    </cfRule>
  </conditionalFormatting>
  <dataValidations count="3">
    <dataValidation type="list" allowBlank="1" showInputMessage="1" showErrorMessage="1" sqref="P22:P24" xr:uid="{50D0E4E1-0DF0-4AEF-8F14-8BA8020DB26A}">
      <formula1>"Ok, Nok, Not run, ,"</formula1>
    </dataValidation>
    <dataValidation type="list" allowBlank="1" showInputMessage="1" showErrorMessage="1" sqref="B9" xr:uid="{6B26034E-690C-48D7-B6AE-6410DEED02A2}">
      <formula1>"Ok, Nok, Not run, NA"</formula1>
    </dataValidation>
    <dataValidation type="list" allowBlank="1" showInputMessage="1" showErrorMessage="1" sqref="B5" xr:uid="{EDD1908F-2DA7-4F2D-B8F7-807710179D72}">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2F9F-25AA-4955-B289-F69F67505A46}">
  <sheetPr codeName="Sheet10"/>
  <dimension ref="A1:P30"/>
  <sheetViews>
    <sheetView workbookViewId="0">
      <selection activeCell="C5" sqref="C5"/>
    </sheetView>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18" t="s">
        <v>386</v>
      </c>
      <c r="C1" s="219"/>
      <c r="D1" s="219"/>
      <c r="E1" s="219"/>
      <c r="F1" s="219"/>
      <c r="G1" s="22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388</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321</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33" customHeight="1" x14ac:dyDescent="0.25">
      <c r="A22" s="103" t="s">
        <v>49</v>
      </c>
      <c r="B22" s="194" t="s">
        <v>304</v>
      </c>
      <c r="C22" s="195"/>
      <c r="D22" s="195"/>
      <c r="E22" s="195"/>
      <c r="F22" s="195"/>
      <c r="G22" s="196"/>
      <c r="H22" s="190" t="s">
        <v>134</v>
      </c>
      <c r="I22" s="190"/>
      <c r="J22" s="190"/>
      <c r="K22" s="190"/>
      <c r="L22" s="190" t="s">
        <v>134</v>
      </c>
      <c r="M22" s="190"/>
      <c r="N22" s="190"/>
      <c r="O22" s="190"/>
      <c r="P22" s="98" t="s">
        <v>128</v>
      </c>
    </row>
    <row r="23" spans="1:16" x14ac:dyDescent="0.25">
      <c r="A23" s="103" t="s">
        <v>50</v>
      </c>
      <c r="B23" s="215"/>
      <c r="C23" s="216"/>
      <c r="D23" s="216"/>
      <c r="E23" s="216"/>
      <c r="F23" s="216"/>
      <c r="G23" s="217"/>
      <c r="H23" s="190"/>
      <c r="I23" s="190"/>
      <c r="J23" s="190"/>
      <c r="K23" s="190"/>
      <c r="L23" s="190"/>
      <c r="M23" s="190"/>
      <c r="N23" s="190"/>
      <c r="O23" s="190"/>
      <c r="P23" s="98"/>
    </row>
    <row r="24" spans="1:16" x14ac:dyDescent="0.25">
      <c r="A24" s="103" t="s">
        <v>51</v>
      </c>
      <c r="B24" s="186"/>
      <c r="C24" s="187"/>
      <c r="D24" s="187"/>
      <c r="E24" s="187"/>
      <c r="F24" s="187"/>
      <c r="G24" s="188"/>
      <c r="H24" s="189"/>
      <c r="I24" s="189"/>
      <c r="J24" s="189"/>
      <c r="K24" s="189"/>
      <c r="L24" s="189"/>
      <c r="M24" s="189"/>
      <c r="N24" s="189"/>
      <c r="O24" s="189"/>
      <c r="P24" s="98"/>
    </row>
    <row r="25" spans="1:16" x14ac:dyDescent="0.25">
      <c r="A25" s="103" t="s">
        <v>52</v>
      </c>
      <c r="B25" s="186"/>
      <c r="C25" s="187"/>
      <c r="D25" s="187"/>
      <c r="E25" s="187"/>
      <c r="F25" s="187"/>
      <c r="G25" s="188"/>
      <c r="H25" s="189"/>
      <c r="I25" s="189"/>
      <c r="J25" s="189"/>
      <c r="K25" s="189"/>
      <c r="L25" s="189"/>
      <c r="M25" s="189"/>
      <c r="N25" s="189"/>
      <c r="O25" s="189"/>
      <c r="P25" s="98"/>
    </row>
    <row r="26" spans="1:16" x14ac:dyDescent="0.25">
      <c r="A26" s="103" t="s">
        <v>53</v>
      </c>
      <c r="B26" s="186"/>
      <c r="C26" s="187"/>
      <c r="D26" s="187"/>
      <c r="E26" s="187"/>
      <c r="F26" s="187"/>
      <c r="G26" s="188"/>
      <c r="H26" s="189"/>
      <c r="I26" s="189"/>
      <c r="J26" s="189"/>
      <c r="K26" s="189"/>
      <c r="L26" s="189"/>
      <c r="M26" s="189"/>
      <c r="N26" s="189"/>
      <c r="O26" s="189"/>
      <c r="P26" s="98"/>
    </row>
    <row r="27" spans="1:16" x14ac:dyDescent="0.25">
      <c r="A27" s="103" t="s">
        <v>54</v>
      </c>
      <c r="B27" s="186"/>
      <c r="C27" s="187"/>
      <c r="D27" s="187"/>
      <c r="E27" s="187"/>
      <c r="F27" s="187"/>
      <c r="G27" s="188"/>
      <c r="H27" s="189"/>
      <c r="I27" s="189"/>
      <c r="J27" s="189"/>
      <c r="K27" s="189"/>
      <c r="L27" s="189"/>
      <c r="M27" s="189"/>
      <c r="N27" s="189"/>
      <c r="O27" s="189"/>
      <c r="P27" s="98"/>
    </row>
    <row r="28" spans="1:16" x14ac:dyDescent="0.25">
      <c r="A28" s="103" t="s">
        <v>55</v>
      </c>
      <c r="B28" s="186"/>
      <c r="C28" s="187"/>
      <c r="D28" s="187"/>
      <c r="E28" s="187"/>
      <c r="F28" s="187"/>
      <c r="G28" s="188"/>
      <c r="H28" s="189"/>
      <c r="I28" s="189"/>
      <c r="J28" s="189"/>
      <c r="K28" s="189"/>
      <c r="L28" s="189"/>
      <c r="M28" s="189"/>
      <c r="N28" s="189"/>
      <c r="O28" s="189"/>
      <c r="P28" s="98"/>
    </row>
    <row r="29" spans="1:16" x14ac:dyDescent="0.25">
      <c r="B29" s="99"/>
      <c r="C29" s="99"/>
      <c r="D29" s="99"/>
      <c r="E29" s="99"/>
      <c r="F29" s="99"/>
      <c r="G29" s="99"/>
      <c r="H29" s="99"/>
    </row>
    <row r="30" spans="1:16" x14ac:dyDescent="0.25">
      <c r="B30" s="99"/>
      <c r="C30" s="99"/>
      <c r="D30" s="99"/>
      <c r="E30" s="99"/>
      <c r="F30" s="99"/>
      <c r="G30" s="99"/>
      <c r="H30" s="99"/>
    </row>
  </sheetData>
  <mergeCells count="31">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s>
  <conditionalFormatting sqref="B9:B10">
    <cfRule type="cellIs" dxfId="241" priority="15" operator="equal">
      <formula>"Nok"</formula>
    </cfRule>
    <cfRule type="cellIs" dxfId="240" priority="16" operator="equal">
      <formula>"Ok"</formula>
    </cfRule>
  </conditionalFormatting>
  <conditionalFormatting sqref="P25">
    <cfRule type="cellIs" dxfId="239" priority="13" operator="equal">
      <formula>"Nok"</formula>
    </cfRule>
    <cfRule type="cellIs" dxfId="238" priority="14" operator="equal">
      <formula>"Ok"</formula>
    </cfRule>
  </conditionalFormatting>
  <conditionalFormatting sqref="P24">
    <cfRule type="cellIs" dxfId="237" priority="11" operator="equal">
      <formula>"Nok"</formula>
    </cfRule>
    <cfRule type="cellIs" dxfId="236" priority="12" operator="equal">
      <formula>"Ok"</formula>
    </cfRule>
  </conditionalFormatting>
  <conditionalFormatting sqref="P23">
    <cfRule type="cellIs" dxfId="235" priority="9" operator="equal">
      <formula>"Nok"</formula>
    </cfRule>
    <cfRule type="cellIs" dxfId="234" priority="10" operator="equal">
      <formula>"Ok"</formula>
    </cfRule>
  </conditionalFormatting>
  <conditionalFormatting sqref="P26">
    <cfRule type="cellIs" dxfId="233" priority="7" operator="equal">
      <formula>"Nok"</formula>
    </cfRule>
    <cfRule type="cellIs" dxfId="232" priority="8" operator="equal">
      <formula>"Ok"</formula>
    </cfRule>
  </conditionalFormatting>
  <conditionalFormatting sqref="P27">
    <cfRule type="cellIs" dxfId="231" priority="5" operator="equal">
      <formula>"Nok"</formula>
    </cfRule>
    <cfRule type="cellIs" dxfId="230" priority="6" operator="equal">
      <formula>"Ok"</formula>
    </cfRule>
  </conditionalFormatting>
  <conditionalFormatting sqref="P28">
    <cfRule type="cellIs" dxfId="229" priority="3" operator="equal">
      <formula>"Nok"</formula>
    </cfRule>
    <cfRule type="cellIs" dxfId="228" priority="4" operator="equal">
      <formula>"Ok"</formula>
    </cfRule>
  </conditionalFormatting>
  <conditionalFormatting sqref="P22">
    <cfRule type="cellIs" dxfId="227" priority="1" operator="equal">
      <formula>"Nok"</formula>
    </cfRule>
    <cfRule type="cellIs" dxfId="226" priority="2" operator="equal">
      <formula>"Ok"</formula>
    </cfRule>
  </conditionalFormatting>
  <dataValidations count="3">
    <dataValidation type="list" allowBlank="1" showInputMessage="1" showErrorMessage="1" sqref="P22:P28" xr:uid="{280370F4-838B-4938-9825-CD2D463F717B}">
      <formula1>"Ok, Nok, Not run, ,"</formula1>
    </dataValidation>
    <dataValidation type="list" allowBlank="1" showInputMessage="1" showErrorMessage="1" sqref="B9" xr:uid="{4BA6155F-11AB-4A19-8E84-BC05C66EBD78}">
      <formula1>"Ok, Nok, Not run, NA"</formula1>
    </dataValidation>
    <dataValidation type="list" allowBlank="1" showInputMessage="1" showErrorMessage="1" sqref="B5" xr:uid="{9A038ABB-0B2E-4896-810A-5B3EC6219C70}">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P54"/>
  <sheetViews>
    <sheetView topLeftCell="A28" workbookViewId="0">
      <selection activeCell="B31" sqref="B31:G31"/>
    </sheetView>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322</v>
      </c>
      <c r="C1" s="227"/>
      <c r="D1" s="227"/>
      <c r="E1" s="227"/>
      <c r="F1" s="227"/>
      <c r="G1" s="228"/>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210</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293</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33" customHeight="1" x14ac:dyDescent="0.25">
      <c r="A22" s="103" t="s">
        <v>49</v>
      </c>
      <c r="B22" s="215" t="s">
        <v>147</v>
      </c>
      <c r="C22" s="216"/>
      <c r="D22" s="216"/>
      <c r="E22" s="216"/>
      <c r="F22" s="216"/>
      <c r="G22" s="217"/>
      <c r="H22" s="194">
        <v>1</v>
      </c>
      <c r="I22" s="195"/>
      <c r="J22" s="195"/>
      <c r="K22" s="196"/>
      <c r="L22" s="194">
        <v>1</v>
      </c>
      <c r="M22" s="195"/>
      <c r="N22" s="195"/>
      <c r="O22" s="196"/>
      <c r="P22" s="98" t="s">
        <v>128</v>
      </c>
    </row>
    <row r="23" spans="1:16" ht="31.5" customHeight="1" x14ac:dyDescent="0.25">
      <c r="A23" s="103" t="s">
        <v>50</v>
      </c>
      <c r="B23" s="215" t="s">
        <v>173</v>
      </c>
      <c r="C23" s="216"/>
      <c r="D23" s="216"/>
      <c r="E23" s="216"/>
      <c r="F23" s="216"/>
      <c r="G23" s="217"/>
      <c r="H23" s="224">
        <v>2</v>
      </c>
      <c r="I23" s="225"/>
      <c r="J23" s="225"/>
      <c r="K23" s="226"/>
      <c r="L23" s="224">
        <v>2</v>
      </c>
      <c r="M23" s="225"/>
      <c r="N23" s="225"/>
      <c r="O23" s="226"/>
      <c r="P23" s="98" t="s">
        <v>128</v>
      </c>
    </row>
    <row r="24" spans="1:16" ht="29.25" customHeight="1" x14ac:dyDescent="0.25">
      <c r="A24" s="103" t="s">
        <v>51</v>
      </c>
      <c r="B24" s="215" t="s">
        <v>174</v>
      </c>
      <c r="C24" s="216"/>
      <c r="D24" s="216"/>
      <c r="E24" s="216"/>
      <c r="F24" s="216"/>
      <c r="G24" s="217"/>
      <c r="H24" s="221">
        <v>1</v>
      </c>
      <c r="I24" s="222"/>
      <c r="J24" s="222"/>
      <c r="K24" s="223"/>
      <c r="L24" s="221">
        <v>1</v>
      </c>
      <c r="M24" s="222"/>
      <c r="N24" s="222"/>
      <c r="O24" s="223"/>
      <c r="P24" s="98" t="s">
        <v>128</v>
      </c>
    </row>
    <row r="25" spans="1:16" ht="39" customHeight="1" x14ac:dyDescent="0.25">
      <c r="A25" s="103" t="s">
        <v>52</v>
      </c>
      <c r="B25" s="215" t="s">
        <v>175</v>
      </c>
      <c r="C25" s="216"/>
      <c r="D25" s="216"/>
      <c r="E25" s="216"/>
      <c r="F25" s="216"/>
      <c r="G25" s="217"/>
      <c r="H25" s="221">
        <v>3</v>
      </c>
      <c r="I25" s="222"/>
      <c r="J25" s="222"/>
      <c r="K25" s="223"/>
      <c r="L25" s="221">
        <v>3</v>
      </c>
      <c r="M25" s="222"/>
      <c r="N25" s="222"/>
      <c r="O25" s="223"/>
      <c r="P25" s="98" t="s">
        <v>128</v>
      </c>
    </row>
    <row r="26" spans="1:16" ht="41.25" customHeight="1" x14ac:dyDescent="0.25">
      <c r="A26" s="103" t="s">
        <v>53</v>
      </c>
      <c r="B26" s="215" t="s">
        <v>176</v>
      </c>
      <c r="C26" s="216"/>
      <c r="D26" s="216"/>
      <c r="E26" s="216"/>
      <c r="F26" s="216"/>
      <c r="G26" s="217"/>
      <c r="H26" s="221">
        <v>3</v>
      </c>
      <c r="I26" s="222"/>
      <c r="J26" s="222"/>
      <c r="K26" s="223"/>
      <c r="L26" s="221">
        <v>3</v>
      </c>
      <c r="M26" s="222"/>
      <c r="N26" s="222"/>
      <c r="O26" s="223"/>
      <c r="P26" s="98" t="s">
        <v>128</v>
      </c>
    </row>
    <row r="27" spans="1:16" ht="27" customHeight="1" x14ac:dyDescent="0.25">
      <c r="A27" s="103" t="s">
        <v>54</v>
      </c>
      <c r="B27" s="215" t="s">
        <v>177</v>
      </c>
      <c r="C27" s="216"/>
      <c r="D27" s="216"/>
      <c r="E27" s="216"/>
      <c r="F27" s="216"/>
      <c r="G27" s="217"/>
      <c r="H27" s="194">
        <v>3</v>
      </c>
      <c r="I27" s="195"/>
      <c r="J27" s="195"/>
      <c r="K27" s="196"/>
      <c r="L27" s="194">
        <v>3</v>
      </c>
      <c r="M27" s="195"/>
      <c r="N27" s="195"/>
      <c r="O27" s="196"/>
      <c r="P27" s="98" t="s">
        <v>128</v>
      </c>
    </row>
    <row r="28" spans="1:16" ht="31.5" customHeight="1" x14ac:dyDescent="0.25">
      <c r="A28" s="103" t="s">
        <v>55</v>
      </c>
      <c r="B28" s="215" t="s">
        <v>179</v>
      </c>
      <c r="C28" s="216"/>
      <c r="D28" s="216"/>
      <c r="E28" s="216"/>
      <c r="F28" s="216"/>
      <c r="G28" s="217"/>
      <c r="H28" s="224">
        <v>1</v>
      </c>
      <c r="I28" s="225"/>
      <c r="J28" s="225"/>
      <c r="K28" s="226"/>
      <c r="L28" s="224">
        <v>1</v>
      </c>
      <c r="M28" s="225"/>
      <c r="N28" s="225"/>
      <c r="O28" s="226"/>
      <c r="P28" s="98" t="s">
        <v>128</v>
      </c>
    </row>
    <row r="29" spans="1:16" ht="29.25" customHeight="1" x14ac:dyDescent="0.25">
      <c r="A29" s="103" t="s">
        <v>143</v>
      </c>
      <c r="B29" s="215" t="s">
        <v>178</v>
      </c>
      <c r="C29" s="216"/>
      <c r="D29" s="216"/>
      <c r="E29" s="216"/>
      <c r="F29" s="216"/>
      <c r="G29" s="217"/>
      <c r="H29" s="194">
        <v>3</v>
      </c>
      <c r="I29" s="195"/>
      <c r="J29" s="195"/>
      <c r="K29" s="196"/>
      <c r="L29" s="194">
        <v>3</v>
      </c>
      <c r="M29" s="195"/>
      <c r="N29" s="195"/>
      <c r="O29" s="196"/>
      <c r="P29" s="98" t="s">
        <v>128</v>
      </c>
    </row>
    <row r="30" spans="1:16" ht="29.25" customHeight="1" x14ac:dyDescent="0.25">
      <c r="A30" s="103" t="s">
        <v>148</v>
      </c>
      <c r="B30" s="215" t="s">
        <v>180</v>
      </c>
      <c r="C30" s="216"/>
      <c r="D30" s="216"/>
      <c r="E30" s="216"/>
      <c r="F30" s="216"/>
      <c r="G30" s="217"/>
      <c r="H30" s="194">
        <v>0</v>
      </c>
      <c r="I30" s="195"/>
      <c r="J30" s="195"/>
      <c r="K30" s="196"/>
      <c r="L30" s="194">
        <v>0</v>
      </c>
      <c r="M30" s="195"/>
      <c r="N30" s="195"/>
      <c r="O30" s="196"/>
      <c r="P30" s="98" t="s">
        <v>128</v>
      </c>
    </row>
    <row r="31" spans="1:16" ht="27.75" customHeight="1" x14ac:dyDescent="0.25">
      <c r="A31" s="103" t="s">
        <v>149</v>
      </c>
      <c r="B31" s="215" t="s">
        <v>181</v>
      </c>
      <c r="C31" s="216"/>
      <c r="D31" s="216"/>
      <c r="E31" s="216"/>
      <c r="F31" s="216"/>
      <c r="G31" s="217"/>
      <c r="H31" s="194">
        <v>2</v>
      </c>
      <c r="I31" s="195"/>
      <c r="J31" s="195"/>
      <c r="K31" s="196"/>
      <c r="L31" s="194">
        <v>2</v>
      </c>
      <c r="M31" s="195"/>
      <c r="N31" s="195"/>
      <c r="O31" s="196"/>
      <c r="P31" s="98" t="s">
        <v>128</v>
      </c>
    </row>
    <row r="32" spans="1:16" ht="33.75" customHeight="1" x14ac:dyDescent="0.25">
      <c r="A32" s="103" t="s">
        <v>150</v>
      </c>
      <c r="B32" s="215" t="s">
        <v>182</v>
      </c>
      <c r="C32" s="216"/>
      <c r="D32" s="216"/>
      <c r="E32" s="216"/>
      <c r="F32" s="216"/>
      <c r="G32" s="217"/>
      <c r="H32" s="194">
        <v>2</v>
      </c>
      <c r="I32" s="195"/>
      <c r="J32" s="195"/>
      <c r="K32" s="196"/>
      <c r="L32" s="194">
        <v>2</v>
      </c>
      <c r="M32" s="195"/>
      <c r="N32" s="195"/>
      <c r="O32" s="196"/>
      <c r="P32" s="98" t="s">
        <v>128</v>
      </c>
    </row>
    <row r="33" spans="1:16" ht="26.25" customHeight="1" x14ac:dyDescent="0.25">
      <c r="A33" s="103" t="s">
        <v>151</v>
      </c>
      <c r="B33" s="215" t="s">
        <v>183</v>
      </c>
      <c r="C33" s="216"/>
      <c r="D33" s="216"/>
      <c r="E33" s="216"/>
      <c r="F33" s="216"/>
      <c r="G33" s="217"/>
      <c r="H33" s="194">
        <v>2</v>
      </c>
      <c r="I33" s="195"/>
      <c r="J33" s="195"/>
      <c r="K33" s="196"/>
      <c r="L33" s="194">
        <v>2</v>
      </c>
      <c r="M33" s="195"/>
      <c r="N33" s="195"/>
      <c r="O33" s="196"/>
      <c r="P33" s="98" t="s">
        <v>128</v>
      </c>
    </row>
    <row r="34" spans="1:16" ht="31.5" customHeight="1" x14ac:dyDescent="0.25">
      <c r="A34" s="103" t="s">
        <v>152</v>
      </c>
      <c r="B34" s="215" t="s">
        <v>184</v>
      </c>
      <c r="C34" s="216"/>
      <c r="D34" s="216"/>
      <c r="E34" s="216"/>
      <c r="F34" s="216"/>
      <c r="G34" s="217"/>
      <c r="H34" s="194">
        <v>1</v>
      </c>
      <c r="I34" s="195"/>
      <c r="J34" s="195"/>
      <c r="K34" s="196"/>
      <c r="L34" s="194">
        <v>1</v>
      </c>
      <c r="M34" s="195"/>
      <c r="N34" s="195"/>
      <c r="O34" s="196"/>
      <c r="P34" s="98" t="s">
        <v>128</v>
      </c>
    </row>
    <row r="35" spans="1:16" ht="29.25" customHeight="1" x14ac:dyDescent="0.25">
      <c r="A35" s="103" t="s">
        <v>153</v>
      </c>
      <c r="B35" s="215" t="s">
        <v>185</v>
      </c>
      <c r="C35" s="216"/>
      <c r="D35" s="216"/>
      <c r="E35" s="216"/>
      <c r="F35" s="216"/>
      <c r="G35" s="217"/>
      <c r="H35" s="194">
        <v>1</v>
      </c>
      <c r="I35" s="195"/>
      <c r="J35" s="195"/>
      <c r="K35" s="196"/>
      <c r="L35" s="194">
        <v>1</v>
      </c>
      <c r="M35" s="195"/>
      <c r="N35" s="195"/>
      <c r="O35" s="196"/>
      <c r="P35" s="98" t="s">
        <v>128</v>
      </c>
    </row>
    <row r="36" spans="1:16" ht="27.75" customHeight="1" x14ac:dyDescent="0.25">
      <c r="A36" s="103" t="s">
        <v>154</v>
      </c>
      <c r="B36" s="215" t="s">
        <v>186</v>
      </c>
      <c r="C36" s="216"/>
      <c r="D36" s="216"/>
      <c r="E36" s="216"/>
      <c r="F36" s="216"/>
      <c r="G36" s="217"/>
      <c r="H36" s="194">
        <v>1</v>
      </c>
      <c r="I36" s="195"/>
      <c r="J36" s="195"/>
      <c r="K36" s="196"/>
      <c r="L36" s="194">
        <v>1</v>
      </c>
      <c r="M36" s="195"/>
      <c r="N36" s="195"/>
      <c r="O36" s="196"/>
      <c r="P36" s="98" t="s">
        <v>128</v>
      </c>
    </row>
    <row r="37" spans="1:16" ht="27" customHeight="1" x14ac:dyDescent="0.25">
      <c r="A37" s="103" t="s">
        <v>155</v>
      </c>
      <c r="B37" s="215" t="s">
        <v>187</v>
      </c>
      <c r="C37" s="216"/>
      <c r="D37" s="216"/>
      <c r="E37" s="216"/>
      <c r="F37" s="216"/>
      <c r="G37" s="217"/>
      <c r="H37" s="194">
        <v>2</v>
      </c>
      <c r="I37" s="195"/>
      <c r="J37" s="195"/>
      <c r="K37" s="196"/>
      <c r="L37" s="194">
        <v>2</v>
      </c>
      <c r="M37" s="195"/>
      <c r="N37" s="195"/>
      <c r="O37" s="196"/>
      <c r="P37" s="98" t="s">
        <v>128</v>
      </c>
    </row>
    <row r="38" spans="1:16" ht="30" customHeight="1" x14ac:dyDescent="0.25">
      <c r="A38" s="103" t="s">
        <v>156</v>
      </c>
      <c r="B38" s="215" t="s">
        <v>188</v>
      </c>
      <c r="C38" s="216"/>
      <c r="D38" s="216"/>
      <c r="E38" s="216"/>
      <c r="F38" s="216"/>
      <c r="G38" s="217"/>
      <c r="H38" s="194">
        <v>1</v>
      </c>
      <c r="I38" s="195"/>
      <c r="J38" s="195"/>
      <c r="K38" s="196"/>
      <c r="L38" s="194">
        <v>1</v>
      </c>
      <c r="M38" s="195"/>
      <c r="N38" s="195"/>
      <c r="O38" s="196"/>
      <c r="P38" s="98" t="s">
        <v>128</v>
      </c>
    </row>
    <row r="39" spans="1:16" ht="30" customHeight="1" x14ac:dyDescent="0.25">
      <c r="A39" s="103" t="s">
        <v>157</v>
      </c>
      <c r="B39" s="215" t="s">
        <v>189</v>
      </c>
      <c r="C39" s="216"/>
      <c r="D39" s="216"/>
      <c r="E39" s="216"/>
      <c r="F39" s="216"/>
      <c r="G39" s="217"/>
      <c r="H39" s="194">
        <v>1</v>
      </c>
      <c r="I39" s="195"/>
      <c r="J39" s="195"/>
      <c r="K39" s="196"/>
      <c r="L39" s="194">
        <v>1</v>
      </c>
      <c r="M39" s="195"/>
      <c r="N39" s="195"/>
      <c r="O39" s="196"/>
      <c r="P39" s="98" t="s">
        <v>128</v>
      </c>
    </row>
    <row r="40" spans="1:16" ht="42" customHeight="1" x14ac:dyDescent="0.25">
      <c r="A40" s="103" t="s">
        <v>158</v>
      </c>
      <c r="B40" s="215" t="s">
        <v>190</v>
      </c>
      <c r="C40" s="216"/>
      <c r="D40" s="216"/>
      <c r="E40" s="216"/>
      <c r="F40" s="216"/>
      <c r="G40" s="217"/>
      <c r="H40" s="194">
        <v>1</v>
      </c>
      <c r="I40" s="195"/>
      <c r="J40" s="195"/>
      <c r="K40" s="196"/>
      <c r="L40" s="194">
        <v>1</v>
      </c>
      <c r="M40" s="195"/>
      <c r="N40" s="195"/>
      <c r="O40" s="196"/>
      <c r="P40" s="98" t="s">
        <v>128</v>
      </c>
    </row>
    <row r="41" spans="1:16" ht="44.25" customHeight="1" x14ac:dyDescent="0.25">
      <c r="A41" s="103" t="s">
        <v>159</v>
      </c>
      <c r="B41" s="215" t="s">
        <v>191</v>
      </c>
      <c r="C41" s="216"/>
      <c r="D41" s="216"/>
      <c r="E41" s="216"/>
      <c r="F41" s="216"/>
      <c r="G41" s="217"/>
      <c r="H41" s="194">
        <v>1</v>
      </c>
      <c r="I41" s="195"/>
      <c r="J41" s="195"/>
      <c r="K41" s="196"/>
      <c r="L41" s="194">
        <v>1</v>
      </c>
      <c r="M41" s="195"/>
      <c r="N41" s="195"/>
      <c r="O41" s="196"/>
      <c r="P41" s="98" t="s">
        <v>128</v>
      </c>
    </row>
    <row r="42" spans="1:16" ht="31.5" customHeight="1" x14ac:dyDescent="0.25">
      <c r="A42" s="103" t="s">
        <v>160</v>
      </c>
      <c r="B42" s="215" t="s">
        <v>192</v>
      </c>
      <c r="C42" s="216"/>
      <c r="D42" s="216"/>
      <c r="E42" s="216"/>
      <c r="F42" s="216"/>
      <c r="G42" s="217"/>
      <c r="H42" s="194">
        <v>0</v>
      </c>
      <c r="I42" s="195"/>
      <c r="J42" s="195"/>
      <c r="K42" s="196"/>
      <c r="L42" s="194">
        <v>0</v>
      </c>
      <c r="M42" s="195"/>
      <c r="N42" s="195"/>
      <c r="O42" s="196"/>
      <c r="P42" s="98" t="s">
        <v>128</v>
      </c>
    </row>
    <row r="43" spans="1:16" ht="25.5" customHeight="1" x14ac:dyDescent="0.25">
      <c r="A43" s="103" t="s">
        <v>161</v>
      </c>
      <c r="B43" s="215" t="s">
        <v>199</v>
      </c>
      <c r="C43" s="216"/>
      <c r="D43" s="216"/>
      <c r="E43" s="216"/>
      <c r="F43" s="216"/>
      <c r="G43" s="217"/>
      <c r="H43" s="194">
        <v>0</v>
      </c>
      <c r="I43" s="195"/>
      <c r="J43" s="195"/>
      <c r="K43" s="196"/>
      <c r="L43" s="194">
        <v>0</v>
      </c>
      <c r="M43" s="195"/>
      <c r="N43" s="195"/>
      <c r="O43" s="196"/>
      <c r="P43" s="98" t="s">
        <v>128</v>
      </c>
    </row>
    <row r="44" spans="1:16" ht="30" customHeight="1" x14ac:dyDescent="0.25">
      <c r="A44" s="103" t="s">
        <v>162</v>
      </c>
      <c r="B44" s="215" t="s">
        <v>198</v>
      </c>
      <c r="C44" s="216"/>
      <c r="D44" s="216"/>
      <c r="E44" s="216"/>
      <c r="F44" s="216"/>
      <c r="G44" s="217"/>
      <c r="H44" s="194">
        <v>0</v>
      </c>
      <c r="I44" s="195"/>
      <c r="J44" s="195"/>
      <c r="K44" s="196"/>
      <c r="L44" s="194">
        <v>0</v>
      </c>
      <c r="M44" s="195"/>
      <c r="N44" s="195"/>
      <c r="O44" s="196"/>
      <c r="P44" s="98" t="s">
        <v>128</v>
      </c>
    </row>
    <row r="45" spans="1:16" ht="27.75" customHeight="1" x14ac:dyDescent="0.25">
      <c r="A45" s="103" t="s">
        <v>163</v>
      </c>
      <c r="B45" s="215" t="s">
        <v>197</v>
      </c>
      <c r="C45" s="216"/>
      <c r="D45" s="216"/>
      <c r="E45" s="216"/>
      <c r="F45" s="216"/>
      <c r="G45" s="217"/>
      <c r="H45" s="194">
        <v>0</v>
      </c>
      <c r="I45" s="195"/>
      <c r="J45" s="195"/>
      <c r="K45" s="196"/>
      <c r="L45" s="194">
        <v>0</v>
      </c>
      <c r="M45" s="195"/>
      <c r="N45" s="195"/>
      <c r="O45" s="196"/>
      <c r="P45" s="98" t="s">
        <v>128</v>
      </c>
    </row>
    <row r="46" spans="1:16" ht="30.75" customHeight="1" x14ac:dyDescent="0.25">
      <c r="A46" s="103" t="s">
        <v>164</v>
      </c>
      <c r="B46" s="215" t="s">
        <v>196</v>
      </c>
      <c r="C46" s="216"/>
      <c r="D46" s="216"/>
      <c r="E46" s="216"/>
      <c r="F46" s="216"/>
      <c r="G46" s="217"/>
      <c r="H46" s="194">
        <v>0</v>
      </c>
      <c r="I46" s="195"/>
      <c r="J46" s="195"/>
      <c r="K46" s="196"/>
      <c r="L46" s="194">
        <v>0</v>
      </c>
      <c r="M46" s="195"/>
      <c r="N46" s="195"/>
      <c r="O46" s="196"/>
      <c r="P46" s="98" t="s">
        <v>128</v>
      </c>
    </row>
    <row r="47" spans="1:16" ht="27.75" customHeight="1" x14ac:dyDescent="0.25">
      <c r="A47" s="103" t="s">
        <v>165</v>
      </c>
      <c r="B47" s="215" t="s">
        <v>195</v>
      </c>
      <c r="C47" s="216"/>
      <c r="D47" s="216"/>
      <c r="E47" s="216"/>
      <c r="F47" s="216"/>
      <c r="G47" s="217"/>
      <c r="H47" s="194">
        <v>0</v>
      </c>
      <c r="I47" s="195"/>
      <c r="J47" s="195"/>
      <c r="K47" s="196"/>
      <c r="L47" s="194">
        <v>0</v>
      </c>
      <c r="M47" s="195"/>
      <c r="N47" s="195"/>
      <c r="O47" s="196"/>
      <c r="P47" s="98" t="s">
        <v>128</v>
      </c>
    </row>
    <row r="48" spans="1:16" ht="27.75" customHeight="1" x14ac:dyDescent="0.25">
      <c r="A48" s="103" t="s">
        <v>166</v>
      </c>
      <c r="B48" s="215" t="s">
        <v>194</v>
      </c>
      <c r="C48" s="216"/>
      <c r="D48" s="216"/>
      <c r="E48" s="216"/>
      <c r="F48" s="216"/>
      <c r="G48" s="217"/>
      <c r="H48" s="194">
        <v>0</v>
      </c>
      <c r="I48" s="195"/>
      <c r="J48" s="195"/>
      <c r="K48" s="196"/>
      <c r="L48" s="194">
        <v>0</v>
      </c>
      <c r="M48" s="195"/>
      <c r="N48" s="195"/>
      <c r="O48" s="196"/>
      <c r="P48" s="98" t="s">
        <v>128</v>
      </c>
    </row>
    <row r="49" spans="1:16" ht="27.75" customHeight="1" x14ac:dyDescent="0.25">
      <c r="A49" s="103" t="s">
        <v>167</v>
      </c>
      <c r="B49" s="215" t="s">
        <v>193</v>
      </c>
      <c r="C49" s="216"/>
      <c r="D49" s="216"/>
      <c r="E49" s="216"/>
      <c r="F49" s="216"/>
      <c r="G49" s="217"/>
      <c r="H49" s="194">
        <v>0</v>
      </c>
      <c r="I49" s="195"/>
      <c r="J49" s="195"/>
      <c r="K49" s="196"/>
      <c r="L49" s="194">
        <v>0</v>
      </c>
      <c r="M49" s="195"/>
      <c r="N49" s="195"/>
      <c r="O49" s="196"/>
      <c r="P49" s="98" t="s">
        <v>128</v>
      </c>
    </row>
    <row r="50" spans="1:16" ht="26.25" customHeight="1" x14ac:dyDescent="0.25">
      <c r="A50" s="103" t="s">
        <v>168</v>
      </c>
      <c r="B50" s="215" t="s">
        <v>200</v>
      </c>
      <c r="C50" s="216"/>
      <c r="D50" s="216"/>
      <c r="E50" s="216"/>
      <c r="F50" s="216"/>
      <c r="G50" s="217"/>
      <c r="H50" s="194">
        <v>0</v>
      </c>
      <c r="I50" s="195"/>
      <c r="J50" s="195"/>
      <c r="K50" s="196"/>
      <c r="L50" s="194">
        <v>0</v>
      </c>
      <c r="M50" s="195"/>
      <c r="N50" s="195"/>
      <c r="O50" s="196"/>
      <c r="P50" s="98" t="s">
        <v>128</v>
      </c>
    </row>
    <row r="51" spans="1:16" ht="30" customHeight="1" x14ac:dyDescent="0.25">
      <c r="A51" s="103" t="s">
        <v>169</v>
      </c>
      <c r="B51" s="215" t="s">
        <v>201</v>
      </c>
      <c r="C51" s="216"/>
      <c r="D51" s="216"/>
      <c r="E51" s="216"/>
      <c r="F51" s="216"/>
      <c r="G51" s="217"/>
      <c r="H51" s="194">
        <v>0</v>
      </c>
      <c r="I51" s="195"/>
      <c r="J51" s="195"/>
      <c r="K51" s="196"/>
      <c r="L51" s="194">
        <v>0</v>
      </c>
      <c r="M51" s="195"/>
      <c r="N51" s="195"/>
      <c r="O51" s="196"/>
      <c r="P51" s="98" t="s">
        <v>128</v>
      </c>
    </row>
    <row r="52" spans="1:16" ht="31.5" customHeight="1" x14ac:dyDescent="0.25">
      <c r="A52" s="103" t="s">
        <v>170</v>
      </c>
      <c r="B52" s="215" t="s">
        <v>202</v>
      </c>
      <c r="C52" s="216"/>
      <c r="D52" s="216"/>
      <c r="E52" s="216"/>
      <c r="F52" s="216"/>
      <c r="G52" s="217"/>
      <c r="H52" s="194">
        <v>0</v>
      </c>
      <c r="I52" s="195"/>
      <c r="J52" s="195"/>
      <c r="K52" s="196"/>
      <c r="L52" s="194">
        <v>0</v>
      </c>
      <c r="M52" s="195"/>
      <c r="N52" s="195"/>
      <c r="O52" s="196"/>
      <c r="P52" s="98" t="s">
        <v>128</v>
      </c>
    </row>
    <row r="53" spans="1:16" ht="28.5" customHeight="1" x14ac:dyDescent="0.25">
      <c r="A53" s="103" t="s">
        <v>171</v>
      </c>
      <c r="B53" s="215" t="s">
        <v>203</v>
      </c>
      <c r="C53" s="216"/>
      <c r="D53" s="216"/>
      <c r="E53" s="216"/>
      <c r="F53" s="216"/>
      <c r="G53" s="217"/>
      <c r="H53" s="194">
        <v>0</v>
      </c>
      <c r="I53" s="195"/>
      <c r="J53" s="195"/>
      <c r="K53" s="196"/>
      <c r="L53" s="194">
        <v>0</v>
      </c>
      <c r="M53" s="195"/>
      <c r="N53" s="195"/>
      <c r="O53" s="196"/>
      <c r="P53" s="98" t="s">
        <v>128</v>
      </c>
    </row>
    <row r="54" spans="1:16" ht="33" customHeight="1" x14ac:dyDescent="0.25">
      <c r="A54" s="103" t="s">
        <v>172</v>
      </c>
      <c r="B54" s="215" t="s">
        <v>204</v>
      </c>
      <c r="C54" s="216"/>
      <c r="D54" s="216"/>
      <c r="E54" s="216"/>
      <c r="F54" s="216"/>
      <c r="G54" s="217"/>
      <c r="H54" s="194">
        <v>0</v>
      </c>
      <c r="I54" s="195"/>
      <c r="J54" s="195"/>
      <c r="K54" s="196"/>
      <c r="L54" s="194">
        <v>0</v>
      </c>
      <c r="M54" s="195"/>
      <c r="N54" s="195"/>
      <c r="O54" s="196"/>
      <c r="P54" s="98" t="s">
        <v>128</v>
      </c>
    </row>
  </sheetData>
  <mergeCells count="109">
    <mergeCell ref="B54:G54"/>
    <mergeCell ref="H54:K54"/>
    <mergeCell ref="L54:O54"/>
    <mergeCell ref="B52:G52"/>
    <mergeCell ref="H52:K52"/>
    <mergeCell ref="L52:O52"/>
    <mergeCell ref="B53:G53"/>
    <mergeCell ref="H53:K53"/>
    <mergeCell ref="L53:O53"/>
    <mergeCell ref="B50:G50"/>
    <mergeCell ref="H50:K50"/>
    <mergeCell ref="L50:O50"/>
    <mergeCell ref="B51:G51"/>
    <mergeCell ref="H51:K51"/>
    <mergeCell ref="L51:O51"/>
    <mergeCell ref="B48:G48"/>
    <mergeCell ref="H48:K48"/>
    <mergeCell ref="L48:O48"/>
    <mergeCell ref="B49:G49"/>
    <mergeCell ref="H49:K49"/>
    <mergeCell ref="L49:O49"/>
    <mergeCell ref="B46:G46"/>
    <mergeCell ref="H46:K46"/>
    <mergeCell ref="L46:O46"/>
    <mergeCell ref="B47:G47"/>
    <mergeCell ref="H47:K47"/>
    <mergeCell ref="L47:O47"/>
    <mergeCell ref="B44:G44"/>
    <mergeCell ref="H44:K44"/>
    <mergeCell ref="L44:O44"/>
    <mergeCell ref="B45:G45"/>
    <mergeCell ref="H45:K45"/>
    <mergeCell ref="L45:O45"/>
    <mergeCell ref="B42:G42"/>
    <mergeCell ref="H42:K42"/>
    <mergeCell ref="L42:O42"/>
    <mergeCell ref="B43:G43"/>
    <mergeCell ref="H43:K43"/>
    <mergeCell ref="L43:O43"/>
    <mergeCell ref="B40:G40"/>
    <mergeCell ref="H40:K40"/>
    <mergeCell ref="L40:O40"/>
    <mergeCell ref="B41:G41"/>
    <mergeCell ref="H41:K41"/>
    <mergeCell ref="L41:O41"/>
    <mergeCell ref="B38:G38"/>
    <mergeCell ref="H38:K38"/>
    <mergeCell ref="L38:O38"/>
    <mergeCell ref="B39:G39"/>
    <mergeCell ref="H39:K39"/>
    <mergeCell ref="L39:O39"/>
    <mergeCell ref="B36:G36"/>
    <mergeCell ref="H36:K36"/>
    <mergeCell ref="L36:O36"/>
    <mergeCell ref="B37:G37"/>
    <mergeCell ref="H37:K37"/>
    <mergeCell ref="L37:O37"/>
    <mergeCell ref="B34:G34"/>
    <mergeCell ref="H34:K34"/>
    <mergeCell ref="L34:O34"/>
    <mergeCell ref="B35:G35"/>
    <mergeCell ref="H35:K35"/>
    <mergeCell ref="L35:O35"/>
    <mergeCell ref="B32:G32"/>
    <mergeCell ref="H32:K32"/>
    <mergeCell ref="L32:O32"/>
    <mergeCell ref="B33:G33"/>
    <mergeCell ref="H33:K33"/>
    <mergeCell ref="L33:O33"/>
    <mergeCell ref="B30:G30"/>
    <mergeCell ref="H30:K30"/>
    <mergeCell ref="L30:O30"/>
    <mergeCell ref="B31:G31"/>
    <mergeCell ref="H31:K31"/>
    <mergeCell ref="L31:O31"/>
    <mergeCell ref="B29:G29"/>
    <mergeCell ref="H29:K29"/>
    <mergeCell ref="L29:O29"/>
    <mergeCell ref="B28:G28"/>
    <mergeCell ref="H28:K28"/>
    <mergeCell ref="L28:O28"/>
    <mergeCell ref="L21:O21"/>
    <mergeCell ref="L23:O23"/>
    <mergeCell ref="L24:O24"/>
    <mergeCell ref="B1:G1"/>
    <mergeCell ref="B3:G3"/>
    <mergeCell ref="B7:G7"/>
    <mergeCell ref="H21:K21"/>
    <mergeCell ref="H23:K23"/>
    <mergeCell ref="B22:G22"/>
    <mergeCell ref="H22:K22"/>
    <mergeCell ref="L22:O22"/>
    <mergeCell ref="L25:O25"/>
    <mergeCell ref="L26:O26"/>
    <mergeCell ref="L27:O27"/>
    <mergeCell ref="A11:A14"/>
    <mergeCell ref="A16:A19"/>
    <mergeCell ref="B26:G26"/>
    <mergeCell ref="H26:K26"/>
    <mergeCell ref="H27:K27"/>
    <mergeCell ref="A21:G21"/>
    <mergeCell ref="B23:G23"/>
    <mergeCell ref="B25:G25"/>
    <mergeCell ref="B11:G14"/>
    <mergeCell ref="B16:G19"/>
    <mergeCell ref="B24:G24"/>
    <mergeCell ref="H24:K24"/>
    <mergeCell ref="B27:G27"/>
    <mergeCell ref="H25:K25"/>
  </mergeCells>
  <phoneticPr fontId="42" type="noConversion"/>
  <conditionalFormatting sqref="B9:B10">
    <cfRule type="cellIs" dxfId="225" priority="31" operator="equal">
      <formula>"Nok"</formula>
    </cfRule>
    <cfRule type="cellIs" dxfId="224" priority="32" operator="equal">
      <formula>"Ok"</formula>
    </cfRule>
  </conditionalFormatting>
  <conditionalFormatting sqref="P23">
    <cfRule type="cellIs" dxfId="223" priority="23" operator="equal">
      <formula>"Nok"</formula>
    </cfRule>
    <cfRule type="cellIs" dxfId="222" priority="24" operator="equal">
      <formula>"Ok"</formula>
    </cfRule>
  </conditionalFormatting>
  <conditionalFormatting sqref="P22">
    <cfRule type="cellIs" dxfId="221" priority="13" operator="equal">
      <formula>"Nok"</formula>
    </cfRule>
    <cfRule type="cellIs" dxfId="220" priority="14" operator="equal">
      <formula>"Ok"</formula>
    </cfRule>
  </conditionalFormatting>
  <conditionalFormatting sqref="P24:P54">
    <cfRule type="cellIs" dxfId="219" priority="1" operator="equal">
      <formula>"Nok"</formula>
    </cfRule>
    <cfRule type="cellIs" dxfId="218" priority="2" operator="equal">
      <formula>"Ok"</formula>
    </cfRule>
  </conditionalFormatting>
  <dataValidations count="3">
    <dataValidation type="list" allowBlank="1" showInputMessage="1" showErrorMessage="1" sqref="B5" xr:uid="{00000000-0002-0000-0400-000000000000}">
      <formula1>"Nominal, Robustness, Endurance, Qualification"</formula1>
    </dataValidation>
    <dataValidation type="list" allowBlank="1" showInputMessage="1" showErrorMessage="1" sqref="B9" xr:uid="{00000000-0002-0000-0400-000001000000}">
      <formula1>"Ok, Nok, Not run, NA"</formula1>
    </dataValidation>
    <dataValidation type="list" allowBlank="1" showInputMessage="1" showErrorMessage="1" sqref="P22:P54" xr:uid="{00000000-0002-0000-0400-000002000000}">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4CE59-5F90-4726-A893-CD1E1F5B6F25}">
  <sheetPr codeName="Sheet15"/>
  <dimension ref="A1:P28"/>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209</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208</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212</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27" customHeight="1" x14ac:dyDescent="0.25">
      <c r="A22" s="103" t="s">
        <v>49</v>
      </c>
      <c r="B22" s="194" t="s">
        <v>141</v>
      </c>
      <c r="C22" s="195"/>
      <c r="D22" s="195"/>
      <c r="E22" s="195"/>
      <c r="F22" s="195"/>
      <c r="G22" s="196"/>
      <c r="H22" s="190" t="s">
        <v>134</v>
      </c>
      <c r="I22" s="190"/>
      <c r="J22" s="190"/>
      <c r="K22" s="190"/>
      <c r="L22" s="190" t="s">
        <v>134</v>
      </c>
      <c r="M22" s="190"/>
      <c r="N22" s="190"/>
      <c r="O22" s="190"/>
      <c r="P22" s="98" t="s">
        <v>128</v>
      </c>
    </row>
    <row r="23" spans="1:16" ht="30" customHeight="1" x14ac:dyDescent="0.25">
      <c r="A23" s="103" t="s">
        <v>50</v>
      </c>
      <c r="B23" s="215" t="s">
        <v>205</v>
      </c>
      <c r="C23" s="216"/>
      <c r="D23" s="216"/>
      <c r="E23" s="216"/>
      <c r="F23" s="216"/>
      <c r="G23" s="217"/>
      <c r="H23" s="190" t="s">
        <v>134</v>
      </c>
      <c r="I23" s="190"/>
      <c r="J23" s="190"/>
      <c r="K23" s="190"/>
      <c r="L23" s="190" t="s">
        <v>134</v>
      </c>
      <c r="M23" s="190"/>
      <c r="N23" s="190"/>
      <c r="O23" s="190"/>
      <c r="P23" s="98" t="s">
        <v>128</v>
      </c>
    </row>
    <row r="24" spans="1:16" x14ac:dyDescent="0.25">
      <c r="A24" s="103" t="s">
        <v>51</v>
      </c>
      <c r="B24" s="215" t="s">
        <v>206</v>
      </c>
      <c r="C24" s="216"/>
      <c r="D24" s="216"/>
      <c r="E24" s="216"/>
      <c r="F24" s="216"/>
      <c r="G24" s="217"/>
      <c r="H24" s="190"/>
      <c r="I24" s="190"/>
      <c r="J24" s="190"/>
      <c r="K24" s="190"/>
      <c r="L24" s="190"/>
      <c r="M24" s="190"/>
      <c r="N24" s="190"/>
      <c r="O24" s="190"/>
      <c r="P24" s="98"/>
    </row>
    <row r="25" spans="1:16" ht="39.450000000000003" customHeight="1" x14ac:dyDescent="0.25">
      <c r="A25" s="103" t="s">
        <v>52</v>
      </c>
      <c r="B25" s="215" t="s">
        <v>142</v>
      </c>
      <c r="C25" s="216"/>
      <c r="D25" s="216"/>
      <c r="E25" s="216"/>
      <c r="F25" s="216"/>
      <c r="G25" s="217"/>
      <c r="H25" s="190" t="s">
        <v>134</v>
      </c>
      <c r="I25" s="190"/>
      <c r="J25" s="190"/>
      <c r="K25" s="190"/>
      <c r="L25" s="190" t="s">
        <v>134</v>
      </c>
      <c r="M25" s="190"/>
      <c r="N25" s="190"/>
      <c r="O25" s="190"/>
      <c r="P25" s="98" t="s">
        <v>128</v>
      </c>
    </row>
    <row r="26" spans="1:16" ht="26.25" customHeight="1" x14ac:dyDescent="0.25">
      <c r="A26" s="103" t="s">
        <v>53</v>
      </c>
      <c r="B26" s="215" t="s">
        <v>207</v>
      </c>
      <c r="C26" s="216"/>
      <c r="D26" s="216"/>
      <c r="E26" s="216"/>
      <c r="F26" s="216"/>
      <c r="G26" s="217"/>
      <c r="H26" s="190" t="s">
        <v>134</v>
      </c>
      <c r="I26" s="190"/>
      <c r="J26" s="190"/>
      <c r="K26" s="190"/>
      <c r="L26" s="190" t="s">
        <v>137</v>
      </c>
      <c r="M26" s="190"/>
      <c r="N26" s="190"/>
      <c r="O26" s="190"/>
      <c r="P26" s="98" t="s">
        <v>128</v>
      </c>
    </row>
    <row r="27" spans="1:16" x14ac:dyDescent="0.25">
      <c r="B27" s="99"/>
      <c r="C27" s="99"/>
      <c r="D27" s="99"/>
      <c r="E27" s="99"/>
      <c r="F27" s="99"/>
      <c r="G27" s="99"/>
      <c r="H27" s="99"/>
    </row>
    <row r="28" spans="1:16" x14ac:dyDescent="0.25">
      <c r="B28" s="99"/>
      <c r="C28" s="99"/>
      <c r="D28" s="99"/>
      <c r="E28" s="99"/>
      <c r="F28" s="99"/>
      <c r="G28" s="99"/>
      <c r="H28" s="99"/>
    </row>
  </sheetData>
  <mergeCells count="25">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217" priority="15" operator="equal">
      <formula>"Nok"</formula>
    </cfRule>
    <cfRule type="cellIs" dxfId="216" priority="16" operator="equal">
      <formula>"Ok"</formula>
    </cfRule>
  </conditionalFormatting>
  <conditionalFormatting sqref="P25">
    <cfRule type="cellIs" dxfId="215" priority="9" operator="equal">
      <formula>"Nok"</formula>
    </cfRule>
    <cfRule type="cellIs" dxfId="214" priority="10" operator="equal">
      <formula>"Ok"</formula>
    </cfRule>
  </conditionalFormatting>
  <conditionalFormatting sqref="P24">
    <cfRule type="cellIs" dxfId="213" priority="7" operator="equal">
      <formula>"Nok"</formula>
    </cfRule>
    <cfRule type="cellIs" dxfId="212" priority="8" operator="equal">
      <formula>"Ok"</formula>
    </cfRule>
  </conditionalFormatting>
  <conditionalFormatting sqref="P23">
    <cfRule type="cellIs" dxfId="211" priority="5" operator="equal">
      <formula>"Nok"</formula>
    </cfRule>
    <cfRule type="cellIs" dxfId="210" priority="6" operator="equal">
      <formula>"Ok"</formula>
    </cfRule>
  </conditionalFormatting>
  <conditionalFormatting sqref="P26">
    <cfRule type="cellIs" dxfId="209" priority="3" operator="equal">
      <formula>"Nok"</formula>
    </cfRule>
    <cfRule type="cellIs" dxfId="208" priority="4" operator="equal">
      <formula>"Ok"</formula>
    </cfRule>
  </conditionalFormatting>
  <conditionalFormatting sqref="P22">
    <cfRule type="cellIs" dxfId="207" priority="1" operator="equal">
      <formula>"Nok"</formula>
    </cfRule>
    <cfRule type="cellIs" dxfId="206" priority="2" operator="equal">
      <formula>"Ok"</formula>
    </cfRule>
  </conditionalFormatting>
  <dataValidations count="3">
    <dataValidation type="list" allowBlank="1" showInputMessage="1" showErrorMessage="1" sqref="P22:P26" xr:uid="{A7F45E91-8184-4FB3-88F3-4D75D4B5D122}">
      <formula1>"Ok, Nok, Not run, ,"</formula1>
    </dataValidation>
    <dataValidation type="list" allowBlank="1" showInputMessage="1" showErrorMessage="1" sqref="B9" xr:uid="{0BB2B911-BB46-4995-A312-B06CAE608760}">
      <formula1>"Ok, Nok, Not run, NA"</formula1>
    </dataValidation>
    <dataValidation type="list" allowBlank="1" showInputMessage="1" showErrorMessage="1" sqref="B5" xr:uid="{0B144BF4-2272-4932-BF6C-856B3BE959E3}">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0620F-2E2A-44A2-9206-9A6709571034}">
  <sheetPr codeName="Sheet16"/>
  <dimension ref="A1:P29"/>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323</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211</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213</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31.5"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2.25" customHeight="1" x14ac:dyDescent="0.25">
      <c r="A23" s="103" t="s">
        <v>50</v>
      </c>
      <c r="B23" s="215" t="s">
        <v>219</v>
      </c>
      <c r="C23" s="216"/>
      <c r="D23" s="216"/>
      <c r="E23" s="216"/>
      <c r="F23" s="216"/>
      <c r="G23" s="217"/>
      <c r="H23" s="190" t="s">
        <v>134</v>
      </c>
      <c r="I23" s="190"/>
      <c r="J23" s="190"/>
      <c r="K23" s="190"/>
      <c r="L23" s="190" t="s">
        <v>134</v>
      </c>
      <c r="M23" s="190"/>
      <c r="N23" s="190"/>
      <c r="O23" s="190"/>
      <c r="P23" s="98" t="s">
        <v>128</v>
      </c>
    </row>
    <row r="24" spans="1:16" ht="28.5" customHeight="1" x14ac:dyDescent="0.25">
      <c r="A24" s="103" t="s">
        <v>51</v>
      </c>
      <c r="B24" s="215" t="s">
        <v>214</v>
      </c>
      <c r="C24" s="216"/>
      <c r="D24" s="216"/>
      <c r="E24" s="216"/>
      <c r="F24" s="216"/>
      <c r="G24" s="217"/>
      <c r="H24" s="190" t="s">
        <v>134</v>
      </c>
      <c r="I24" s="190"/>
      <c r="J24" s="190"/>
      <c r="K24" s="190"/>
      <c r="L24" s="190" t="s">
        <v>134</v>
      </c>
      <c r="M24" s="190"/>
      <c r="N24" s="190"/>
      <c r="O24" s="190"/>
      <c r="P24" s="98" t="s">
        <v>128</v>
      </c>
    </row>
    <row r="25" spans="1:16" ht="39.450000000000003" customHeight="1" x14ac:dyDescent="0.25">
      <c r="A25" s="103" t="s">
        <v>52</v>
      </c>
      <c r="B25" s="229" t="s">
        <v>222</v>
      </c>
      <c r="C25" s="230"/>
      <c r="D25" s="230"/>
      <c r="E25" s="230"/>
      <c r="F25" s="230"/>
      <c r="G25" s="231"/>
      <c r="H25" s="190" t="s">
        <v>134</v>
      </c>
      <c r="I25" s="190"/>
      <c r="J25" s="190"/>
      <c r="K25" s="190"/>
      <c r="L25" s="190" t="s">
        <v>134</v>
      </c>
      <c r="M25" s="190"/>
      <c r="N25" s="190"/>
      <c r="O25" s="190"/>
      <c r="P25" s="98" t="s">
        <v>128</v>
      </c>
    </row>
    <row r="26" spans="1:16" ht="29.25" customHeight="1" x14ac:dyDescent="0.25">
      <c r="A26" s="103" t="s">
        <v>53</v>
      </c>
      <c r="B26" s="215" t="s">
        <v>305</v>
      </c>
      <c r="C26" s="216"/>
      <c r="D26" s="216"/>
      <c r="E26" s="216"/>
      <c r="F26" s="216"/>
      <c r="G26" s="217"/>
      <c r="H26" s="190"/>
      <c r="I26" s="190"/>
      <c r="J26" s="190"/>
      <c r="K26" s="190"/>
      <c r="L26" s="190"/>
      <c r="M26" s="190"/>
      <c r="N26" s="190"/>
      <c r="O26" s="190"/>
      <c r="P26" s="98"/>
    </row>
    <row r="27" spans="1:16" ht="72" customHeight="1" x14ac:dyDescent="0.25">
      <c r="A27" s="103" t="s">
        <v>54</v>
      </c>
      <c r="B27" s="215" t="s">
        <v>223</v>
      </c>
      <c r="C27" s="216"/>
      <c r="D27" s="216"/>
      <c r="E27" s="216"/>
      <c r="F27" s="216"/>
      <c r="G27" s="217"/>
      <c r="H27" s="189" t="s">
        <v>215</v>
      </c>
      <c r="I27" s="189"/>
      <c r="J27" s="189"/>
      <c r="K27" s="189"/>
      <c r="L27" s="189" t="s">
        <v>215</v>
      </c>
      <c r="M27" s="189"/>
      <c r="N27" s="189"/>
      <c r="O27" s="189"/>
      <c r="P27" s="98" t="s">
        <v>128</v>
      </c>
    </row>
    <row r="28" spans="1:16" x14ac:dyDescent="0.25">
      <c r="B28" s="99"/>
      <c r="C28" s="99"/>
      <c r="D28" s="99"/>
      <c r="E28" s="99"/>
      <c r="F28" s="99"/>
      <c r="G28" s="99"/>
      <c r="H28" s="99"/>
    </row>
    <row r="29" spans="1:16" x14ac:dyDescent="0.25">
      <c r="B29" s="99"/>
      <c r="C29" s="99"/>
      <c r="D29" s="99"/>
      <c r="E29" s="99"/>
      <c r="F29" s="99"/>
      <c r="G29" s="99"/>
      <c r="H29" s="99"/>
    </row>
  </sheetData>
  <mergeCells count="28">
    <mergeCell ref="L24:O24"/>
    <mergeCell ref="H26:K26"/>
    <mergeCell ref="L26:O26"/>
    <mergeCell ref="B26:G26"/>
    <mergeCell ref="B27:G27"/>
    <mergeCell ref="H27:K27"/>
    <mergeCell ref="L27:O27"/>
    <mergeCell ref="B1:G1"/>
    <mergeCell ref="B3:G3"/>
    <mergeCell ref="B7:G7"/>
    <mergeCell ref="A11:A14"/>
    <mergeCell ref="B11:G14"/>
    <mergeCell ref="A16:A19"/>
    <mergeCell ref="B16:G19"/>
    <mergeCell ref="B25:G25"/>
    <mergeCell ref="H25:K25"/>
    <mergeCell ref="L25:O25"/>
    <mergeCell ref="A21:G21"/>
    <mergeCell ref="H21:K21"/>
    <mergeCell ref="L21:O21"/>
    <mergeCell ref="B22:G22"/>
    <mergeCell ref="H22:K22"/>
    <mergeCell ref="L22:O22"/>
    <mergeCell ref="B23:G23"/>
    <mergeCell ref="H23:K23"/>
    <mergeCell ref="L23:O23"/>
    <mergeCell ref="B24:G24"/>
    <mergeCell ref="H24:K24"/>
  </mergeCells>
  <conditionalFormatting sqref="B9:B10">
    <cfRule type="cellIs" dxfId="205" priority="17" operator="equal">
      <formula>"Nok"</formula>
    </cfRule>
    <cfRule type="cellIs" dxfId="204" priority="18" operator="equal">
      <formula>"Ok"</formula>
    </cfRule>
  </conditionalFormatting>
  <conditionalFormatting sqref="P27">
    <cfRule type="cellIs" dxfId="203" priority="15" operator="equal">
      <formula>"Nok"</formula>
    </cfRule>
    <cfRule type="cellIs" dxfId="202" priority="16" operator="equal">
      <formula>"Ok"</formula>
    </cfRule>
  </conditionalFormatting>
  <conditionalFormatting sqref="P25">
    <cfRule type="cellIs" dxfId="201" priority="11" operator="equal">
      <formula>"Nok"</formula>
    </cfRule>
    <cfRule type="cellIs" dxfId="200" priority="12" operator="equal">
      <formula>"Ok"</formula>
    </cfRule>
  </conditionalFormatting>
  <conditionalFormatting sqref="P23">
    <cfRule type="cellIs" dxfId="199" priority="7" operator="equal">
      <formula>"Nok"</formula>
    </cfRule>
    <cfRule type="cellIs" dxfId="198" priority="8" operator="equal">
      <formula>"Ok"</formula>
    </cfRule>
  </conditionalFormatting>
  <conditionalFormatting sqref="P26">
    <cfRule type="cellIs" dxfId="197" priority="5" operator="equal">
      <formula>"Nok"</formula>
    </cfRule>
    <cfRule type="cellIs" dxfId="196" priority="6" operator="equal">
      <formula>"Ok"</formula>
    </cfRule>
  </conditionalFormatting>
  <conditionalFormatting sqref="P22">
    <cfRule type="cellIs" dxfId="195" priority="3" operator="equal">
      <formula>"Nok"</formula>
    </cfRule>
    <cfRule type="cellIs" dxfId="194" priority="4" operator="equal">
      <formula>"Ok"</formula>
    </cfRule>
  </conditionalFormatting>
  <conditionalFormatting sqref="P24">
    <cfRule type="cellIs" dxfId="193" priority="1" operator="equal">
      <formula>"Nok"</formula>
    </cfRule>
    <cfRule type="cellIs" dxfId="192" priority="2" operator="equal">
      <formula>"Ok"</formula>
    </cfRule>
  </conditionalFormatting>
  <dataValidations count="3">
    <dataValidation type="list" allowBlank="1" showInputMessage="1" showErrorMessage="1" sqref="P22:P27" xr:uid="{EF540945-BB2B-4A74-A0FF-2E19BD862517}">
      <formula1>"Ok, Nok, Not run, ,"</formula1>
    </dataValidation>
    <dataValidation type="list" allowBlank="1" showInputMessage="1" showErrorMessage="1" sqref="B9" xr:uid="{ABF28B74-640F-4087-A3EA-5F54FEA17227}">
      <formula1>"Ok, Nok, Not run, NA"</formula1>
    </dataValidation>
    <dataValidation type="list" allowBlank="1" showInputMessage="1" showErrorMessage="1" sqref="B5" xr:uid="{6C1A315C-2A28-43E7-B597-F10D122FA4F2}">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0248C-A9FC-496F-93FE-6A45B4EFBE11}">
  <sheetPr codeName="Sheet17"/>
  <dimension ref="A1:P29"/>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324</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216</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217</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55.2"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40.950000000000003" customHeight="1" x14ac:dyDescent="0.25">
      <c r="A24" s="103" t="s">
        <v>51</v>
      </c>
      <c r="B24" s="215" t="s">
        <v>221</v>
      </c>
      <c r="C24" s="216"/>
      <c r="D24" s="216"/>
      <c r="E24" s="216"/>
      <c r="F24" s="216"/>
      <c r="G24" s="217"/>
      <c r="H24" s="190" t="s">
        <v>134</v>
      </c>
      <c r="I24" s="190"/>
      <c r="J24" s="190"/>
      <c r="K24" s="190"/>
      <c r="L24" s="190" t="s">
        <v>134</v>
      </c>
      <c r="M24" s="190"/>
      <c r="N24" s="190"/>
      <c r="O24" s="190"/>
      <c r="P24" s="98" t="s">
        <v>128</v>
      </c>
    </row>
    <row r="25" spans="1:16" ht="67.5" customHeight="1" x14ac:dyDescent="0.25">
      <c r="A25" s="103" t="s">
        <v>52</v>
      </c>
      <c r="B25" s="229" t="s">
        <v>227</v>
      </c>
      <c r="C25" s="230"/>
      <c r="D25" s="230"/>
      <c r="E25" s="230"/>
      <c r="F25" s="230"/>
      <c r="G25" s="231"/>
      <c r="H25" s="190" t="s">
        <v>134</v>
      </c>
      <c r="I25" s="190"/>
      <c r="J25" s="190"/>
      <c r="K25" s="190"/>
      <c r="L25" s="190" t="s">
        <v>134</v>
      </c>
      <c r="M25" s="190"/>
      <c r="N25" s="190"/>
      <c r="O25" s="190"/>
      <c r="P25" s="98" t="s">
        <v>128</v>
      </c>
    </row>
    <row r="26" spans="1:16" ht="39.450000000000003" customHeight="1" x14ac:dyDescent="0.25">
      <c r="A26" s="103" t="s">
        <v>53</v>
      </c>
      <c r="B26" s="215" t="s">
        <v>306</v>
      </c>
      <c r="C26" s="216"/>
      <c r="D26" s="216"/>
      <c r="E26" s="216"/>
      <c r="F26" s="216"/>
      <c r="G26" s="217"/>
      <c r="H26" s="190"/>
      <c r="I26" s="190"/>
      <c r="J26" s="190"/>
      <c r="K26" s="190"/>
      <c r="L26" s="190"/>
      <c r="M26" s="190"/>
      <c r="N26" s="190"/>
      <c r="O26" s="190"/>
      <c r="P26" s="98"/>
    </row>
    <row r="27" spans="1:16" ht="73.5" customHeight="1" x14ac:dyDescent="0.25">
      <c r="A27" s="103" t="s">
        <v>54</v>
      </c>
      <c r="B27" s="215" t="s">
        <v>224</v>
      </c>
      <c r="C27" s="216"/>
      <c r="D27" s="216"/>
      <c r="E27" s="216"/>
      <c r="F27" s="216"/>
      <c r="G27" s="217"/>
      <c r="H27" s="189" t="s">
        <v>231</v>
      </c>
      <c r="I27" s="189"/>
      <c r="J27" s="189"/>
      <c r="K27" s="189"/>
      <c r="L27" s="189" t="s">
        <v>231</v>
      </c>
      <c r="M27" s="189"/>
      <c r="N27" s="189"/>
      <c r="O27" s="189"/>
      <c r="P27" s="98" t="s">
        <v>128</v>
      </c>
    </row>
    <row r="28" spans="1:16" x14ac:dyDescent="0.25">
      <c r="B28" s="99"/>
      <c r="C28" s="99"/>
      <c r="D28" s="99"/>
      <c r="E28" s="99"/>
      <c r="F28" s="99"/>
      <c r="G28" s="99"/>
      <c r="H28" s="99"/>
    </row>
    <row r="29" spans="1:16" x14ac:dyDescent="0.25">
      <c r="B29" s="99"/>
      <c r="C29" s="99"/>
      <c r="D29" s="99"/>
      <c r="E29" s="99"/>
      <c r="F29" s="99"/>
      <c r="G29" s="99"/>
      <c r="H29" s="99"/>
    </row>
  </sheetData>
  <mergeCells count="28">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B9:B10">
    <cfRule type="cellIs" dxfId="191" priority="15" operator="equal">
      <formula>"Nok"</formula>
    </cfRule>
    <cfRule type="cellIs" dxfId="190" priority="16" operator="equal">
      <formula>"Ok"</formula>
    </cfRule>
  </conditionalFormatting>
  <conditionalFormatting sqref="P27">
    <cfRule type="cellIs" dxfId="189" priority="11" operator="equal">
      <formula>"Nok"</formula>
    </cfRule>
    <cfRule type="cellIs" dxfId="188" priority="12" operator="equal">
      <formula>"Ok"</formula>
    </cfRule>
  </conditionalFormatting>
  <conditionalFormatting sqref="P25">
    <cfRule type="cellIs" dxfId="187" priority="9" operator="equal">
      <formula>"Nok"</formula>
    </cfRule>
    <cfRule type="cellIs" dxfId="186" priority="10" operator="equal">
      <formula>"Ok"</formula>
    </cfRule>
  </conditionalFormatting>
  <conditionalFormatting sqref="P23">
    <cfRule type="cellIs" dxfId="185" priority="7" operator="equal">
      <formula>"Nok"</formula>
    </cfRule>
    <cfRule type="cellIs" dxfId="184" priority="8" operator="equal">
      <formula>"Ok"</formula>
    </cfRule>
  </conditionalFormatting>
  <conditionalFormatting sqref="P26">
    <cfRule type="cellIs" dxfId="183" priority="5" operator="equal">
      <formula>"Nok"</formula>
    </cfRule>
    <cfRule type="cellIs" dxfId="182" priority="6" operator="equal">
      <formula>"Ok"</formula>
    </cfRule>
  </conditionalFormatting>
  <conditionalFormatting sqref="P22">
    <cfRule type="cellIs" dxfId="181" priority="3" operator="equal">
      <formula>"Nok"</formula>
    </cfRule>
    <cfRule type="cellIs" dxfId="180" priority="4" operator="equal">
      <formula>"Ok"</formula>
    </cfRule>
  </conditionalFormatting>
  <conditionalFormatting sqref="P24">
    <cfRule type="cellIs" dxfId="179" priority="1" operator="equal">
      <formula>"Nok"</formula>
    </cfRule>
    <cfRule type="cellIs" dxfId="178" priority="2" operator="equal">
      <formula>"Ok"</formula>
    </cfRule>
  </conditionalFormatting>
  <dataValidations count="3">
    <dataValidation type="list" allowBlank="1" showInputMessage="1" showErrorMessage="1" sqref="P22:P27" xr:uid="{2CA8B9A9-3787-4205-A292-783AB76527F3}">
      <formula1>"Ok, Nok, Not run, ,"</formula1>
    </dataValidation>
    <dataValidation type="list" allowBlank="1" showInputMessage="1" showErrorMessage="1" sqref="B9" xr:uid="{B005BE92-A4EE-4A2E-BBB9-14D2CD057747}">
      <formula1>"Ok, Nok, Not run, NA"</formula1>
    </dataValidation>
    <dataValidation type="list" allowBlank="1" showInputMessage="1" showErrorMessage="1" sqref="B5" xr:uid="{8931213C-FCDE-467C-AED0-D3F81DFF8DB5}">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D1B1C-866F-4D18-853C-FD2F5A25030D}">
  <sheetPr codeName="Sheet18"/>
  <dimension ref="A1:P29"/>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325</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225</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226</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55.2"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40.950000000000003" customHeight="1" x14ac:dyDescent="0.25">
      <c r="A24" s="103" t="s">
        <v>51</v>
      </c>
      <c r="B24" s="215" t="s">
        <v>221</v>
      </c>
      <c r="C24" s="216"/>
      <c r="D24" s="216"/>
      <c r="E24" s="216"/>
      <c r="F24" s="216"/>
      <c r="G24" s="217"/>
      <c r="H24" s="190" t="s">
        <v>134</v>
      </c>
      <c r="I24" s="190"/>
      <c r="J24" s="190"/>
      <c r="K24" s="190"/>
      <c r="L24" s="190" t="s">
        <v>134</v>
      </c>
      <c r="M24" s="190"/>
      <c r="N24" s="190"/>
      <c r="O24" s="190"/>
      <c r="P24" s="98" t="s">
        <v>128</v>
      </c>
    </row>
    <row r="25" spans="1:16" ht="67.5" customHeight="1" x14ac:dyDescent="0.25">
      <c r="A25" s="103" t="s">
        <v>52</v>
      </c>
      <c r="B25" s="229" t="s">
        <v>228</v>
      </c>
      <c r="C25" s="230"/>
      <c r="D25" s="230"/>
      <c r="E25" s="230"/>
      <c r="F25" s="230"/>
      <c r="G25" s="231"/>
      <c r="H25" s="190" t="s">
        <v>134</v>
      </c>
      <c r="I25" s="190"/>
      <c r="J25" s="190"/>
      <c r="K25" s="190"/>
      <c r="L25" s="190" t="s">
        <v>134</v>
      </c>
      <c r="M25" s="190"/>
      <c r="N25" s="190"/>
      <c r="O25" s="190"/>
      <c r="P25" s="98" t="s">
        <v>128</v>
      </c>
    </row>
    <row r="26" spans="1:16" ht="39.450000000000003" customHeight="1" x14ac:dyDescent="0.25">
      <c r="A26" s="103" t="s">
        <v>53</v>
      </c>
      <c r="B26" s="215" t="s">
        <v>307</v>
      </c>
      <c r="C26" s="216"/>
      <c r="D26" s="216"/>
      <c r="E26" s="216"/>
      <c r="F26" s="216"/>
      <c r="G26" s="217"/>
      <c r="H26" s="190"/>
      <c r="I26" s="190"/>
      <c r="J26" s="190"/>
      <c r="K26" s="190"/>
      <c r="L26" s="190"/>
      <c r="M26" s="190"/>
      <c r="N26" s="190"/>
      <c r="O26" s="190"/>
      <c r="P26" s="98"/>
    </row>
    <row r="27" spans="1:16" ht="73.5" customHeight="1" x14ac:dyDescent="0.25">
      <c r="A27" s="103" t="s">
        <v>54</v>
      </c>
      <c r="B27" s="215" t="s">
        <v>229</v>
      </c>
      <c r="C27" s="216"/>
      <c r="D27" s="216"/>
      <c r="E27" s="216"/>
      <c r="F27" s="216"/>
      <c r="G27" s="217"/>
      <c r="H27" s="189" t="s">
        <v>230</v>
      </c>
      <c r="I27" s="189"/>
      <c r="J27" s="189"/>
      <c r="K27" s="189"/>
      <c r="L27" s="189" t="s">
        <v>230</v>
      </c>
      <c r="M27" s="189"/>
      <c r="N27" s="189"/>
      <c r="O27" s="189"/>
      <c r="P27" s="98" t="s">
        <v>128</v>
      </c>
    </row>
    <row r="28" spans="1:16" x14ac:dyDescent="0.25">
      <c r="B28" s="99"/>
      <c r="C28" s="99"/>
      <c r="D28" s="99"/>
      <c r="E28" s="99"/>
      <c r="F28" s="99"/>
      <c r="G28" s="99"/>
      <c r="H28" s="99"/>
    </row>
    <row r="29" spans="1:16" x14ac:dyDescent="0.25">
      <c r="B29" s="99"/>
      <c r="C29" s="99"/>
      <c r="D29" s="99"/>
      <c r="E29" s="99"/>
      <c r="F29" s="99"/>
      <c r="G29" s="99"/>
      <c r="H29" s="99"/>
    </row>
  </sheetData>
  <mergeCells count="28">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B9:B10">
    <cfRule type="cellIs" dxfId="177" priority="15" operator="equal">
      <formula>"Nok"</formula>
    </cfRule>
    <cfRule type="cellIs" dxfId="176" priority="16" operator="equal">
      <formula>"Ok"</formula>
    </cfRule>
  </conditionalFormatting>
  <conditionalFormatting sqref="P27">
    <cfRule type="cellIs" dxfId="175" priority="11" operator="equal">
      <formula>"Nok"</formula>
    </cfRule>
    <cfRule type="cellIs" dxfId="174" priority="12" operator="equal">
      <formula>"Ok"</formula>
    </cfRule>
  </conditionalFormatting>
  <conditionalFormatting sqref="P25">
    <cfRule type="cellIs" dxfId="173" priority="9" operator="equal">
      <formula>"Nok"</formula>
    </cfRule>
    <cfRule type="cellIs" dxfId="172" priority="10" operator="equal">
      <formula>"Ok"</formula>
    </cfRule>
  </conditionalFormatting>
  <conditionalFormatting sqref="P23">
    <cfRule type="cellIs" dxfId="171" priority="7" operator="equal">
      <formula>"Nok"</formula>
    </cfRule>
    <cfRule type="cellIs" dxfId="170" priority="8" operator="equal">
      <formula>"Ok"</formula>
    </cfRule>
  </conditionalFormatting>
  <conditionalFormatting sqref="P26">
    <cfRule type="cellIs" dxfId="169" priority="5" operator="equal">
      <formula>"Nok"</formula>
    </cfRule>
    <cfRule type="cellIs" dxfId="168" priority="6" operator="equal">
      <formula>"Ok"</formula>
    </cfRule>
  </conditionalFormatting>
  <conditionalFormatting sqref="P22">
    <cfRule type="cellIs" dxfId="167" priority="3" operator="equal">
      <formula>"Nok"</formula>
    </cfRule>
    <cfRule type="cellIs" dxfId="166" priority="4" operator="equal">
      <formula>"Ok"</formula>
    </cfRule>
  </conditionalFormatting>
  <conditionalFormatting sqref="P24">
    <cfRule type="cellIs" dxfId="165" priority="1" operator="equal">
      <formula>"Nok"</formula>
    </cfRule>
    <cfRule type="cellIs" dxfId="164" priority="2" operator="equal">
      <formula>"Ok"</formula>
    </cfRule>
  </conditionalFormatting>
  <dataValidations count="3">
    <dataValidation type="list" allowBlank="1" showInputMessage="1" showErrorMessage="1" sqref="P22:P27" xr:uid="{C4162768-7050-4637-AC0D-A7C2F50EEB44}">
      <formula1>"Ok, Nok, Not run, ,"</formula1>
    </dataValidation>
    <dataValidation type="list" allowBlank="1" showInputMessage="1" showErrorMessage="1" sqref="B9" xr:uid="{05321DAA-2183-4EEF-B4F4-A2A9246770A2}">
      <formula1>"Ok, Nok, Not run, NA"</formula1>
    </dataValidation>
    <dataValidation type="list" allowBlank="1" showInputMessage="1" showErrorMessage="1" sqref="B5" xr:uid="{4AD924F8-0CE0-46DB-B12F-E4F05EBA83CE}">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D2CB6-F592-490C-A55F-ACB2BB18D3B3}">
  <sheetPr codeName="Sheet14"/>
  <dimension ref="A1:P29"/>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326</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232</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233</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55.2"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40.950000000000003" customHeight="1" x14ac:dyDescent="0.25">
      <c r="A24" s="103" t="s">
        <v>51</v>
      </c>
      <c r="B24" s="215" t="s">
        <v>221</v>
      </c>
      <c r="C24" s="216"/>
      <c r="D24" s="216"/>
      <c r="E24" s="216"/>
      <c r="F24" s="216"/>
      <c r="G24" s="217"/>
      <c r="H24" s="190" t="s">
        <v>134</v>
      </c>
      <c r="I24" s="190"/>
      <c r="J24" s="190"/>
      <c r="K24" s="190"/>
      <c r="L24" s="190" t="s">
        <v>134</v>
      </c>
      <c r="M24" s="190"/>
      <c r="N24" s="190"/>
      <c r="O24" s="190"/>
      <c r="P24" s="98" t="s">
        <v>128</v>
      </c>
    </row>
    <row r="25" spans="1:16" ht="81.75" customHeight="1" x14ac:dyDescent="0.25">
      <c r="A25" s="103" t="s">
        <v>52</v>
      </c>
      <c r="B25" s="229" t="s">
        <v>234</v>
      </c>
      <c r="C25" s="230"/>
      <c r="D25" s="230"/>
      <c r="E25" s="230"/>
      <c r="F25" s="230"/>
      <c r="G25" s="231"/>
      <c r="H25" s="190" t="s">
        <v>134</v>
      </c>
      <c r="I25" s="190"/>
      <c r="J25" s="190"/>
      <c r="K25" s="190"/>
      <c r="L25" s="190" t="s">
        <v>134</v>
      </c>
      <c r="M25" s="190"/>
      <c r="N25" s="190"/>
      <c r="O25" s="190"/>
      <c r="P25" s="98" t="s">
        <v>128</v>
      </c>
    </row>
    <row r="26" spans="1:16" ht="39.450000000000003" customHeight="1" x14ac:dyDescent="0.25">
      <c r="A26" s="103" t="s">
        <v>53</v>
      </c>
      <c r="B26" s="215" t="s">
        <v>308</v>
      </c>
      <c r="C26" s="216"/>
      <c r="D26" s="216"/>
      <c r="E26" s="216"/>
      <c r="F26" s="216"/>
      <c r="G26" s="217"/>
      <c r="H26" s="190"/>
      <c r="I26" s="190"/>
      <c r="J26" s="190"/>
      <c r="K26" s="190"/>
      <c r="L26" s="190"/>
      <c r="M26" s="190"/>
      <c r="N26" s="190"/>
      <c r="O26" s="190"/>
      <c r="P26" s="98"/>
    </row>
    <row r="27" spans="1:16" ht="73.5" customHeight="1" x14ac:dyDescent="0.25">
      <c r="A27" s="103" t="s">
        <v>54</v>
      </c>
      <c r="B27" s="215" t="s">
        <v>235</v>
      </c>
      <c r="C27" s="216"/>
      <c r="D27" s="216"/>
      <c r="E27" s="216"/>
      <c r="F27" s="216"/>
      <c r="G27" s="217"/>
      <c r="H27" s="189" t="s">
        <v>236</v>
      </c>
      <c r="I27" s="189"/>
      <c r="J27" s="189"/>
      <c r="K27" s="189"/>
      <c r="L27" s="189" t="s">
        <v>236</v>
      </c>
      <c r="M27" s="189"/>
      <c r="N27" s="189"/>
      <c r="O27" s="189"/>
      <c r="P27" s="98" t="s">
        <v>128</v>
      </c>
    </row>
    <row r="28" spans="1:16" x14ac:dyDescent="0.25">
      <c r="B28" s="99"/>
      <c r="C28" s="99"/>
      <c r="D28" s="99"/>
      <c r="E28" s="99"/>
      <c r="F28" s="99"/>
      <c r="G28" s="99"/>
      <c r="H28" s="99"/>
    </row>
    <row r="29" spans="1:16" x14ac:dyDescent="0.25">
      <c r="B29" s="99"/>
      <c r="C29" s="99"/>
      <c r="D29" s="99"/>
      <c r="E29" s="99"/>
      <c r="F29" s="99"/>
      <c r="G29" s="99"/>
      <c r="H29" s="99"/>
    </row>
  </sheetData>
  <mergeCells count="28">
    <mergeCell ref="B27:G27"/>
    <mergeCell ref="H27:K27"/>
    <mergeCell ref="L27:O27"/>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163" priority="37" operator="equal">
      <formula>"Nok"</formula>
    </cfRule>
    <cfRule type="cellIs" dxfId="162" priority="38" operator="equal">
      <formula>"Ok"</formula>
    </cfRule>
  </conditionalFormatting>
  <conditionalFormatting sqref="P27">
    <cfRule type="cellIs" dxfId="161" priority="11" operator="equal">
      <formula>"Nok"</formula>
    </cfRule>
    <cfRule type="cellIs" dxfId="160" priority="12" operator="equal">
      <formula>"Ok"</formula>
    </cfRule>
  </conditionalFormatting>
  <conditionalFormatting sqref="P25">
    <cfRule type="cellIs" dxfId="159" priority="9" operator="equal">
      <formula>"Nok"</formula>
    </cfRule>
    <cfRule type="cellIs" dxfId="158" priority="10" operator="equal">
      <formula>"Ok"</formula>
    </cfRule>
  </conditionalFormatting>
  <conditionalFormatting sqref="P23">
    <cfRule type="cellIs" dxfId="157" priority="7" operator="equal">
      <formula>"Nok"</formula>
    </cfRule>
    <cfRule type="cellIs" dxfId="156" priority="8" operator="equal">
      <formula>"Ok"</formula>
    </cfRule>
  </conditionalFormatting>
  <conditionalFormatting sqref="P26">
    <cfRule type="cellIs" dxfId="155" priority="5" operator="equal">
      <formula>"Nok"</formula>
    </cfRule>
    <cfRule type="cellIs" dxfId="154" priority="6" operator="equal">
      <formula>"Ok"</formula>
    </cfRule>
  </conditionalFormatting>
  <conditionalFormatting sqref="P22">
    <cfRule type="cellIs" dxfId="153" priority="3" operator="equal">
      <formula>"Nok"</formula>
    </cfRule>
    <cfRule type="cellIs" dxfId="152" priority="4" operator="equal">
      <formula>"Ok"</formula>
    </cfRule>
  </conditionalFormatting>
  <conditionalFormatting sqref="P24">
    <cfRule type="cellIs" dxfId="151" priority="1" operator="equal">
      <formula>"Nok"</formula>
    </cfRule>
    <cfRule type="cellIs" dxfId="150" priority="2" operator="equal">
      <formula>"Ok"</formula>
    </cfRule>
  </conditionalFormatting>
  <dataValidations count="3">
    <dataValidation type="list" allowBlank="1" showInputMessage="1" showErrorMessage="1" sqref="B5" xr:uid="{2FDB772B-9F76-4DDD-A19E-85D4B706F024}">
      <formula1>"Nominal, Robustness, Endurance, Qualification"</formula1>
    </dataValidation>
    <dataValidation type="list" allowBlank="1" showInputMessage="1" showErrorMessage="1" sqref="B9" xr:uid="{F7DF75DD-06F8-4B6B-8A1A-4C15FA5D4FCD}">
      <formula1>"Ok, Nok, Not run, NA"</formula1>
    </dataValidation>
    <dataValidation type="list" allowBlank="1" showInputMessage="1" showErrorMessage="1" sqref="P22:P27" xr:uid="{5A97710A-B5E7-4F6F-94CF-ACD105F20006}">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8E046-12D1-430E-AF5B-CA4B212FD5EB}">
  <sheetPr codeName="Sheet19"/>
  <dimension ref="A1:P29"/>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327</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237</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238</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30"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40.950000000000003" customHeight="1" x14ac:dyDescent="0.25">
      <c r="A24" s="103" t="s">
        <v>51</v>
      </c>
      <c r="B24" s="215" t="s">
        <v>221</v>
      </c>
      <c r="C24" s="216"/>
      <c r="D24" s="216"/>
      <c r="E24" s="216"/>
      <c r="F24" s="216"/>
      <c r="G24" s="217"/>
      <c r="H24" s="190" t="s">
        <v>134</v>
      </c>
      <c r="I24" s="190"/>
      <c r="J24" s="190"/>
      <c r="K24" s="190"/>
      <c r="L24" s="190" t="s">
        <v>134</v>
      </c>
      <c r="M24" s="190"/>
      <c r="N24" s="190"/>
      <c r="O24" s="190"/>
      <c r="P24" s="98" t="s">
        <v>128</v>
      </c>
    </row>
    <row r="25" spans="1:16" ht="40.5" customHeight="1" x14ac:dyDescent="0.25">
      <c r="A25" s="103" t="s">
        <v>52</v>
      </c>
      <c r="B25" s="229" t="s">
        <v>239</v>
      </c>
      <c r="C25" s="230"/>
      <c r="D25" s="230"/>
      <c r="E25" s="230"/>
      <c r="F25" s="230"/>
      <c r="G25" s="231"/>
      <c r="H25" s="190" t="s">
        <v>134</v>
      </c>
      <c r="I25" s="190"/>
      <c r="J25" s="190"/>
      <c r="K25" s="190"/>
      <c r="L25" s="190" t="s">
        <v>134</v>
      </c>
      <c r="M25" s="190"/>
      <c r="N25" s="190"/>
      <c r="O25" s="190"/>
      <c r="P25" s="98" t="s">
        <v>128</v>
      </c>
    </row>
    <row r="26" spans="1:16" ht="39.450000000000003" customHeight="1" x14ac:dyDescent="0.25">
      <c r="A26" s="103" t="s">
        <v>53</v>
      </c>
      <c r="B26" s="215" t="s">
        <v>309</v>
      </c>
      <c r="C26" s="216"/>
      <c r="D26" s="216"/>
      <c r="E26" s="216"/>
      <c r="F26" s="216"/>
      <c r="G26" s="217"/>
      <c r="H26" s="190"/>
      <c r="I26" s="190"/>
      <c r="J26" s="190"/>
      <c r="K26" s="190"/>
      <c r="L26" s="190"/>
      <c r="M26" s="190"/>
      <c r="N26" s="190"/>
      <c r="O26" s="190"/>
      <c r="P26" s="98"/>
    </row>
    <row r="27" spans="1:16" ht="73.5" customHeight="1" x14ac:dyDescent="0.25">
      <c r="A27" s="103" t="s">
        <v>54</v>
      </c>
      <c r="B27" s="215" t="s">
        <v>240</v>
      </c>
      <c r="C27" s="216"/>
      <c r="D27" s="216"/>
      <c r="E27" s="216"/>
      <c r="F27" s="216"/>
      <c r="G27" s="217"/>
      <c r="H27" s="189" t="s">
        <v>241</v>
      </c>
      <c r="I27" s="189"/>
      <c r="J27" s="189"/>
      <c r="K27" s="189"/>
      <c r="L27" s="189" t="s">
        <v>241</v>
      </c>
      <c r="M27" s="189"/>
      <c r="N27" s="189"/>
      <c r="O27" s="189"/>
      <c r="P27" s="98" t="s">
        <v>128</v>
      </c>
    </row>
    <row r="28" spans="1:16" x14ac:dyDescent="0.25">
      <c r="B28" s="99"/>
      <c r="C28" s="99"/>
      <c r="D28" s="99"/>
      <c r="E28" s="99"/>
      <c r="F28" s="99"/>
      <c r="G28" s="99"/>
      <c r="H28" s="99"/>
    </row>
    <row r="29" spans="1:16" x14ac:dyDescent="0.25">
      <c r="B29" s="99"/>
      <c r="C29" s="99"/>
      <c r="D29" s="99"/>
      <c r="E29" s="99"/>
      <c r="F29" s="99"/>
      <c r="G29" s="99"/>
      <c r="H29" s="99"/>
    </row>
  </sheetData>
  <mergeCells count="28">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B9:B10">
    <cfRule type="cellIs" dxfId="149" priority="15" operator="equal">
      <formula>"Nok"</formula>
    </cfRule>
    <cfRule type="cellIs" dxfId="148" priority="16" operator="equal">
      <formula>"Ok"</formula>
    </cfRule>
  </conditionalFormatting>
  <conditionalFormatting sqref="P27">
    <cfRule type="cellIs" dxfId="147" priority="11" operator="equal">
      <formula>"Nok"</formula>
    </cfRule>
    <cfRule type="cellIs" dxfId="146" priority="12" operator="equal">
      <formula>"Ok"</formula>
    </cfRule>
  </conditionalFormatting>
  <conditionalFormatting sqref="P25">
    <cfRule type="cellIs" dxfId="145" priority="9" operator="equal">
      <formula>"Nok"</formula>
    </cfRule>
    <cfRule type="cellIs" dxfId="144" priority="10" operator="equal">
      <formula>"Ok"</formula>
    </cfRule>
  </conditionalFormatting>
  <conditionalFormatting sqref="P23">
    <cfRule type="cellIs" dxfId="143" priority="7" operator="equal">
      <formula>"Nok"</formula>
    </cfRule>
    <cfRule type="cellIs" dxfId="142" priority="8" operator="equal">
      <formula>"Ok"</formula>
    </cfRule>
  </conditionalFormatting>
  <conditionalFormatting sqref="P26">
    <cfRule type="cellIs" dxfId="141" priority="5" operator="equal">
      <formula>"Nok"</formula>
    </cfRule>
    <cfRule type="cellIs" dxfId="140" priority="6" operator="equal">
      <formula>"Ok"</formula>
    </cfRule>
  </conditionalFormatting>
  <conditionalFormatting sqref="P22">
    <cfRule type="cellIs" dxfId="139" priority="3" operator="equal">
      <formula>"Nok"</formula>
    </cfRule>
    <cfRule type="cellIs" dxfId="138" priority="4" operator="equal">
      <formula>"Ok"</formula>
    </cfRule>
  </conditionalFormatting>
  <conditionalFormatting sqref="P24">
    <cfRule type="cellIs" dxfId="137" priority="1" operator="equal">
      <formula>"Nok"</formula>
    </cfRule>
    <cfRule type="cellIs" dxfId="136" priority="2" operator="equal">
      <formula>"Ok"</formula>
    </cfRule>
  </conditionalFormatting>
  <dataValidations count="3">
    <dataValidation type="list" allowBlank="1" showInputMessage="1" showErrorMessage="1" sqref="P22:P27" xr:uid="{AAD21C3F-EF58-4880-95C3-8E19BE73F132}">
      <formula1>"Ok, Nok, Not run, ,"</formula1>
    </dataValidation>
    <dataValidation type="list" allowBlank="1" showInputMessage="1" showErrorMessage="1" sqref="B9" xr:uid="{3FCD4EEE-405D-4E42-BA44-F82DD2E58F33}">
      <formula1>"Ok, Nok, Not run, NA"</formula1>
    </dataValidation>
    <dataValidation type="list" allowBlank="1" showInputMessage="1" showErrorMessage="1" sqref="B5" xr:uid="{7FFF91F0-BE6A-432E-8055-4A0914828138}">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30580-5D17-446F-8054-4BA1E7382DE1}">
  <sheetPr codeName="Sheet21"/>
  <dimension ref="A1:P29"/>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328</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275</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253</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55.2"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40.950000000000003" customHeight="1" x14ac:dyDescent="0.25">
      <c r="A24" s="103" t="s">
        <v>51</v>
      </c>
      <c r="B24" s="215" t="s">
        <v>221</v>
      </c>
      <c r="C24" s="216"/>
      <c r="D24" s="216"/>
      <c r="E24" s="216"/>
      <c r="F24" s="216"/>
      <c r="G24" s="217"/>
      <c r="H24" s="190" t="s">
        <v>134</v>
      </c>
      <c r="I24" s="190"/>
      <c r="J24" s="190"/>
      <c r="K24" s="190"/>
      <c r="L24" s="190" t="s">
        <v>134</v>
      </c>
      <c r="M24" s="190"/>
      <c r="N24" s="190"/>
      <c r="O24" s="190"/>
      <c r="P24" s="98" t="s">
        <v>128</v>
      </c>
    </row>
    <row r="25" spans="1:16" ht="81.75" customHeight="1" x14ac:dyDescent="0.25">
      <c r="A25" s="103" t="s">
        <v>52</v>
      </c>
      <c r="B25" s="229" t="s">
        <v>242</v>
      </c>
      <c r="C25" s="230"/>
      <c r="D25" s="230"/>
      <c r="E25" s="230"/>
      <c r="F25" s="230"/>
      <c r="G25" s="231"/>
      <c r="H25" s="190" t="s">
        <v>134</v>
      </c>
      <c r="I25" s="190"/>
      <c r="J25" s="190"/>
      <c r="K25" s="190"/>
      <c r="L25" s="190" t="s">
        <v>134</v>
      </c>
      <c r="M25" s="190"/>
      <c r="N25" s="190"/>
      <c r="O25" s="190"/>
      <c r="P25" s="98" t="s">
        <v>128</v>
      </c>
    </row>
    <row r="26" spans="1:16" ht="39.450000000000003" customHeight="1" x14ac:dyDescent="0.25">
      <c r="A26" s="103" t="s">
        <v>53</v>
      </c>
      <c r="B26" s="215" t="s">
        <v>310</v>
      </c>
      <c r="C26" s="216"/>
      <c r="D26" s="216"/>
      <c r="E26" s="216"/>
      <c r="F26" s="216"/>
      <c r="G26" s="217"/>
      <c r="H26" s="190"/>
      <c r="I26" s="190"/>
      <c r="J26" s="190"/>
      <c r="K26" s="190"/>
      <c r="L26" s="190"/>
      <c r="M26" s="190"/>
      <c r="N26" s="190"/>
      <c r="O26" s="190"/>
      <c r="P26" s="98"/>
    </row>
    <row r="27" spans="1:16" ht="73.5" customHeight="1" x14ac:dyDescent="0.25">
      <c r="A27" s="103" t="s">
        <v>54</v>
      </c>
      <c r="B27" s="215" t="s">
        <v>243</v>
      </c>
      <c r="C27" s="216"/>
      <c r="D27" s="216"/>
      <c r="E27" s="216"/>
      <c r="F27" s="216"/>
      <c r="G27" s="217"/>
      <c r="H27" s="189" t="s">
        <v>244</v>
      </c>
      <c r="I27" s="189"/>
      <c r="J27" s="189"/>
      <c r="K27" s="189"/>
      <c r="L27" s="189" t="s">
        <v>244</v>
      </c>
      <c r="M27" s="189"/>
      <c r="N27" s="189"/>
      <c r="O27" s="189"/>
      <c r="P27" s="98" t="s">
        <v>128</v>
      </c>
    </row>
    <row r="28" spans="1:16" x14ac:dyDescent="0.25">
      <c r="B28" s="99"/>
      <c r="C28" s="99"/>
      <c r="D28" s="99"/>
      <c r="E28" s="99"/>
      <c r="F28" s="99"/>
      <c r="G28" s="99"/>
      <c r="H28" s="99"/>
    </row>
    <row r="29" spans="1:16" x14ac:dyDescent="0.25">
      <c r="B29" s="99"/>
      <c r="C29" s="99"/>
      <c r="D29" s="99"/>
      <c r="E29" s="99"/>
      <c r="F29" s="99"/>
      <c r="G29" s="99"/>
      <c r="H29" s="99"/>
    </row>
  </sheetData>
  <mergeCells count="28">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B9:B10">
    <cfRule type="cellIs" dxfId="135" priority="15" operator="equal">
      <formula>"Nok"</formula>
    </cfRule>
    <cfRule type="cellIs" dxfId="134" priority="16" operator="equal">
      <formula>"Ok"</formula>
    </cfRule>
  </conditionalFormatting>
  <conditionalFormatting sqref="P27">
    <cfRule type="cellIs" dxfId="133" priority="11" operator="equal">
      <formula>"Nok"</formula>
    </cfRule>
    <cfRule type="cellIs" dxfId="132" priority="12" operator="equal">
      <formula>"Ok"</formula>
    </cfRule>
  </conditionalFormatting>
  <conditionalFormatting sqref="P25">
    <cfRule type="cellIs" dxfId="131" priority="9" operator="equal">
      <formula>"Nok"</formula>
    </cfRule>
    <cfRule type="cellIs" dxfId="130" priority="10" operator="equal">
      <formula>"Ok"</formula>
    </cfRule>
  </conditionalFormatting>
  <conditionalFormatting sqref="P23">
    <cfRule type="cellIs" dxfId="129" priority="7" operator="equal">
      <formula>"Nok"</formula>
    </cfRule>
    <cfRule type="cellIs" dxfId="128" priority="8" operator="equal">
      <formula>"Ok"</formula>
    </cfRule>
  </conditionalFormatting>
  <conditionalFormatting sqref="P26">
    <cfRule type="cellIs" dxfId="127" priority="5" operator="equal">
      <formula>"Nok"</formula>
    </cfRule>
    <cfRule type="cellIs" dxfId="126" priority="6" operator="equal">
      <formula>"Ok"</formula>
    </cfRule>
  </conditionalFormatting>
  <conditionalFormatting sqref="P22">
    <cfRule type="cellIs" dxfId="125" priority="3" operator="equal">
      <formula>"Nok"</formula>
    </cfRule>
    <cfRule type="cellIs" dxfId="124" priority="4" operator="equal">
      <formula>"Ok"</formula>
    </cfRule>
  </conditionalFormatting>
  <conditionalFormatting sqref="P24">
    <cfRule type="cellIs" dxfId="123" priority="1" operator="equal">
      <formula>"Nok"</formula>
    </cfRule>
    <cfRule type="cellIs" dxfId="122" priority="2" operator="equal">
      <formula>"Ok"</formula>
    </cfRule>
  </conditionalFormatting>
  <dataValidations count="3">
    <dataValidation type="list" allowBlank="1" showInputMessage="1" showErrorMessage="1" sqref="P22:P27" xr:uid="{46755695-0D01-4E22-B75B-4E2EA28B4218}">
      <formula1>"Ok, Nok, Not run, ,"</formula1>
    </dataValidation>
    <dataValidation type="list" allowBlank="1" showInputMessage="1" showErrorMessage="1" sqref="B9" xr:uid="{E2438500-D9A1-4FEB-8E3E-0313EFE4B26D}">
      <formula1>"Ok, Nok, Not run, NA"</formula1>
    </dataValidation>
    <dataValidation type="list" allowBlank="1" showInputMessage="1" showErrorMessage="1" sqref="B5" xr:uid="{B9A157CF-04A6-485F-8981-4A57878AE8CF}">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B9E29-2FE8-4356-BA19-F5DCC722AA30}">
  <sheetPr codeName="Sheet20"/>
  <dimension ref="A1:P29"/>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329</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276</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245</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31.5"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40.950000000000003" customHeight="1" x14ac:dyDescent="0.25">
      <c r="A24" s="103" t="s">
        <v>51</v>
      </c>
      <c r="B24" s="215" t="s">
        <v>221</v>
      </c>
      <c r="C24" s="216"/>
      <c r="D24" s="216"/>
      <c r="E24" s="216"/>
      <c r="F24" s="216"/>
      <c r="G24" s="217"/>
      <c r="H24" s="190" t="s">
        <v>134</v>
      </c>
      <c r="I24" s="190"/>
      <c r="J24" s="190"/>
      <c r="K24" s="190"/>
      <c r="L24" s="190" t="s">
        <v>134</v>
      </c>
      <c r="M24" s="190"/>
      <c r="N24" s="190"/>
      <c r="O24" s="190"/>
      <c r="P24" s="98" t="s">
        <v>128</v>
      </c>
    </row>
    <row r="25" spans="1:16" ht="42.75" customHeight="1" x14ac:dyDescent="0.25">
      <c r="A25" s="103" t="s">
        <v>52</v>
      </c>
      <c r="B25" s="229" t="s">
        <v>246</v>
      </c>
      <c r="C25" s="230"/>
      <c r="D25" s="230"/>
      <c r="E25" s="230"/>
      <c r="F25" s="230"/>
      <c r="G25" s="231"/>
      <c r="H25" s="190" t="s">
        <v>134</v>
      </c>
      <c r="I25" s="190"/>
      <c r="J25" s="190"/>
      <c r="K25" s="190"/>
      <c r="L25" s="190" t="s">
        <v>134</v>
      </c>
      <c r="M25" s="190"/>
      <c r="N25" s="190"/>
      <c r="O25" s="190"/>
      <c r="P25" s="98" t="s">
        <v>128</v>
      </c>
    </row>
    <row r="26" spans="1:16" ht="39.450000000000003" customHeight="1" x14ac:dyDescent="0.25">
      <c r="A26" s="103" t="s">
        <v>53</v>
      </c>
      <c r="B26" s="215" t="s">
        <v>311</v>
      </c>
      <c r="C26" s="216"/>
      <c r="D26" s="216"/>
      <c r="E26" s="216"/>
      <c r="F26" s="216"/>
      <c r="G26" s="217"/>
      <c r="H26" s="190"/>
      <c r="I26" s="190"/>
      <c r="J26" s="190"/>
      <c r="K26" s="190"/>
      <c r="L26" s="190"/>
      <c r="M26" s="190"/>
      <c r="N26" s="190"/>
      <c r="O26" s="190"/>
      <c r="P26" s="98"/>
    </row>
    <row r="27" spans="1:16" ht="86.25" customHeight="1" x14ac:dyDescent="0.25">
      <c r="A27" s="103" t="s">
        <v>54</v>
      </c>
      <c r="B27" s="215" t="s">
        <v>247</v>
      </c>
      <c r="C27" s="216"/>
      <c r="D27" s="216"/>
      <c r="E27" s="216"/>
      <c r="F27" s="216"/>
      <c r="G27" s="217"/>
      <c r="H27" s="189" t="s">
        <v>248</v>
      </c>
      <c r="I27" s="189"/>
      <c r="J27" s="189"/>
      <c r="K27" s="189"/>
      <c r="L27" s="189" t="s">
        <v>248</v>
      </c>
      <c r="M27" s="189"/>
      <c r="N27" s="189"/>
      <c r="O27" s="189"/>
      <c r="P27" s="98" t="s">
        <v>128</v>
      </c>
    </row>
    <row r="28" spans="1:16" x14ac:dyDescent="0.25">
      <c r="B28" s="99"/>
      <c r="C28" s="99"/>
      <c r="D28" s="99"/>
      <c r="E28" s="99"/>
      <c r="F28" s="99"/>
      <c r="G28" s="99"/>
      <c r="H28" s="99"/>
    </row>
    <row r="29" spans="1:16" x14ac:dyDescent="0.25">
      <c r="B29" s="99"/>
      <c r="C29" s="99"/>
      <c r="D29" s="99"/>
      <c r="E29" s="99"/>
      <c r="F29" s="99"/>
      <c r="G29" s="99"/>
      <c r="H29" s="99"/>
    </row>
  </sheetData>
  <mergeCells count="28">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B9:B10">
    <cfRule type="cellIs" dxfId="121" priority="15" operator="equal">
      <formula>"Nok"</formula>
    </cfRule>
    <cfRule type="cellIs" dxfId="120" priority="16" operator="equal">
      <formula>"Ok"</formula>
    </cfRule>
  </conditionalFormatting>
  <conditionalFormatting sqref="P27">
    <cfRule type="cellIs" dxfId="119" priority="11" operator="equal">
      <formula>"Nok"</formula>
    </cfRule>
    <cfRule type="cellIs" dxfId="118" priority="12" operator="equal">
      <formula>"Ok"</formula>
    </cfRule>
  </conditionalFormatting>
  <conditionalFormatting sqref="P25">
    <cfRule type="cellIs" dxfId="117" priority="9" operator="equal">
      <formula>"Nok"</formula>
    </cfRule>
    <cfRule type="cellIs" dxfId="116" priority="10" operator="equal">
      <formula>"Ok"</formula>
    </cfRule>
  </conditionalFormatting>
  <conditionalFormatting sqref="P23">
    <cfRule type="cellIs" dxfId="115" priority="7" operator="equal">
      <formula>"Nok"</formula>
    </cfRule>
    <cfRule type="cellIs" dxfId="114" priority="8" operator="equal">
      <formula>"Ok"</formula>
    </cfRule>
  </conditionalFormatting>
  <conditionalFormatting sqref="P26">
    <cfRule type="cellIs" dxfId="113" priority="5" operator="equal">
      <formula>"Nok"</formula>
    </cfRule>
    <cfRule type="cellIs" dxfId="112" priority="6" operator="equal">
      <formula>"Ok"</formula>
    </cfRule>
  </conditionalFormatting>
  <conditionalFormatting sqref="P22">
    <cfRule type="cellIs" dxfId="111" priority="3" operator="equal">
      <formula>"Nok"</formula>
    </cfRule>
    <cfRule type="cellIs" dxfId="110" priority="4" operator="equal">
      <formula>"Ok"</formula>
    </cfRule>
  </conditionalFormatting>
  <conditionalFormatting sqref="P24">
    <cfRule type="cellIs" dxfId="109" priority="1" operator="equal">
      <formula>"Nok"</formula>
    </cfRule>
    <cfRule type="cellIs" dxfId="108" priority="2" operator="equal">
      <formula>"Ok"</formula>
    </cfRule>
  </conditionalFormatting>
  <dataValidations count="3">
    <dataValidation type="list" allowBlank="1" showInputMessage="1" showErrorMessage="1" sqref="B5" xr:uid="{8224ADDC-C84E-4422-A0A9-265913601F51}">
      <formula1>"Nominal, Robustness, Endurance, Qualification"</formula1>
    </dataValidation>
    <dataValidation type="list" allowBlank="1" showInputMessage="1" showErrorMessage="1" sqref="B9" xr:uid="{94D1478C-BFF4-4888-8878-278CE0386212}">
      <formula1>"Ok, Nok, Not run, NA"</formula1>
    </dataValidation>
    <dataValidation type="list" allowBlank="1" showInputMessage="1" showErrorMessage="1" sqref="P22:P27" xr:uid="{78542AC9-5D1A-4DE2-8707-4288E61165B8}">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BEA78-83AC-4DB2-8179-A5B8B3B5E8D3}">
  <sheetPr codeName="Sheet22"/>
  <dimension ref="A1:P29"/>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330</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277</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252</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27.75"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40.950000000000003" customHeight="1" x14ac:dyDescent="0.25">
      <c r="A24" s="103" t="s">
        <v>51</v>
      </c>
      <c r="B24" s="215" t="s">
        <v>221</v>
      </c>
      <c r="C24" s="216"/>
      <c r="D24" s="216"/>
      <c r="E24" s="216"/>
      <c r="F24" s="216"/>
      <c r="G24" s="217"/>
      <c r="H24" s="190" t="s">
        <v>134</v>
      </c>
      <c r="I24" s="190"/>
      <c r="J24" s="190"/>
      <c r="K24" s="190"/>
      <c r="L24" s="190" t="s">
        <v>134</v>
      </c>
      <c r="M24" s="190"/>
      <c r="N24" s="190"/>
      <c r="O24" s="190"/>
      <c r="P24" s="98" t="s">
        <v>128</v>
      </c>
    </row>
    <row r="25" spans="1:16" ht="43.5" customHeight="1" x14ac:dyDescent="0.25">
      <c r="A25" s="103" t="s">
        <v>52</v>
      </c>
      <c r="B25" s="229" t="s">
        <v>249</v>
      </c>
      <c r="C25" s="230"/>
      <c r="D25" s="230"/>
      <c r="E25" s="230"/>
      <c r="F25" s="230"/>
      <c r="G25" s="231"/>
      <c r="H25" s="190" t="s">
        <v>134</v>
      </c>
      <c r="I25" s="190"/>
      <c r="J25" s="190"/>
      <c r="K25" s="190"/>
      <c r="L25" s="190" t="s">
        <v>134</v>
      </c>
      <c r="M25" s="190"/>
      <c r="N25" s="190"/>
      <c r="O25" s="190"/>
      <c r="P25" s="98" t="s">
        <v>128</v>
      </c>
    </row>
    <row r="26" spans="1:16" ht="39.450000000000003" customHeight="1" x14ac:dyDescent="0.25">
      <c r="A26" s="103" t="s">
        <v>53</v>
      </c>
      <c r="B26" s="215" t="s">
        <v>312</v>
      </c>
      <c r="C26" s="216"/>
      <c r="D26" s="216"/>
      <c r="E26" s="216"/>
      <c r="F26" s="216"/>
      <c r="G26" s="217"/>
      <c r="H26" s="190"/>
      <c r="I26" s="190"/>
      <c r="J26" s="190"/>
      <c r="K26" s="190"/>
      <c r="L26" s="190"/>
      <c r="M26" s="190"/>
      <c r="N26" s="190"/>
      <c r="O26" s="190"/>
      <c r="P26" s="98"/>
    </row>
    <row r="27" spans="1:16" ht="86.25" customHeight="1" x14ac:dyDescent="0.25">
      <c r="A27" s="103" t="s">
        <v>54</v>
      </c>
      <c r="B27" s="215" t="s">
        <v>250</v>
      </c>
      <c r="C27" s="216"/>
      <c r="D27" s="216"/>
      <c r="E27" s="216"/>
      <c r="F27" s="216"/>
      <c r="G27" s="217"/>
      <c r="H27" s="189" t="s">
        <v>251</v>
      </c>
      <c r="I27" s="189"/>
      <c r="J27" s="189"/>
      <c r="K27" s="189"/>
      <c r="L27" s="189" t="s">
        <v>251</v>
      </c>
      <c r="M27" s="189"/>
      <c r="N27" s="189"/>
      <c r="O27" s="189"/>
      <c r="P27" s="98" t="s">
        <v>128</v>
      </c>
    </row>
    <row r="28" spans="1:16" x14ac:dyDescent="0.25">
      <c r="B28" s="99"/>
      <c r="C28" s="99"/>
      <c r="D28" s="99"/>
      <c r="E28" s="99"/>
      <c r="F28" s="99"/>
      <c r="G28" s="99"/>
      <c r="H28" s="99"/>
    </row>
    <row r="29" spans="1:16" x14ac:dyDescent="0.25">
      <c r="B29" s="99"/>
      <c r="C29" s="99"/>
      <c r="D29" s="99"/>
      <c r="E29" s="99"/>
      <c r="F29" s="99"/>
      <c r="G29" s="99"/>
      <c r="H29" s="99"/>
    </row>
  </sheetData>
  <mergeCells count="28">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B9:B10">
    <cfRule type="cellIs" dxfId="107" priority="15" operator="equal">
      <formula>"Nok"</formula>
    </cfRule>
    <cfRule type="cellIs" dxfId="106" priority="16" operator="equal">
      <formula>"Ok"</formula>
    </cfRule>
  </conditionalFormatting>
  <conditionalFormatting sqref="P27">
    <cfRule type="cellIs" dxfId="105" priority="11" operator="equal">
      <formula>"Nok"</formula>
    </cfRule>
    <cfRule type="cellIs" dxfId="104" priority="12" operator="equal">
      <formula>"Ok"</formula>
    </cfRule>
  </conditionalFormatting>
  <conditionalFormatting sqref="P25">
    <cfRule type="cellIs" dxfId="103" priority="9" operator="equal">
      <formula>"Nok"</formula>
    </cfRule>
    <cfRule type="cellIs" dxfId="102" priority="10" operator="equal">
      <formula>"Ok"</formula>
    </cfRule>
  </conditionalFormatting>
  <conditionalFormatting sqref="P23">
    <cfRule type="cellIs" dxfId="101" priority="7" operator="equal">
      <formula>"Nok"</formula>
    </cfRule>
    <cfRule type="cellIs" dxfId="100" priority="8" operator="equal">
      <formula>"Ok"</formula>
    </cfRule>
  </conditionalFormatting>
  <conditionalFormatting sqref="P26">
    <cfRule type="cellIs" dxfId="99" priority="5" operator="equal">
      <formula>"Nok"</formula>
    </cfRule>
    <cfRule type="cellIs" dxfId="98" priority="6" operator="equal">
      <formula>"Ok"</formula>
    </cfRule>
  </conditionalFormatting>
  <conditionalFormatting sqref="P22">
    <cfRule type="cellIs" dxfId="97" priority="3" operator="equal">
      <formula>"Nok"</formula>
    </cfRule>
    <cfRule type="cellIs" dxfId="96" priority="4" operator="equal">
      <formula>"Ok"</formula>
    </cfRule>
  </conditionalFormatting>
  <conditionalFormatting sqref="P24">
    <cfRule type="cellIs" dxfId="95" priority="1" operator="equal">
      <formula>"Nok"</formula>
    </cfRule>
    <cfRule type="cellIs" dxfId="94" priority="2" operator="equal">
      <formula>"Ok"</formula>
    </cfRule>
  </conditionalFormatting>
  <dataValidations count="3">
    <dataValidation type="list" allowBlank="1" showInputMessage="1" showErrorMessage="1" sqref="P22:P27" xr:uid="{CFAA18C4-9B50-42D3-9194-665F0BA8DF25}">
      <formula1>"Ok, Nok, Not run, ,"</formula1>
    </dataValidation>
    <dataValidation type="list" allowBlank="1" showInputMessage="1" showErrorMessage="1" sqref="B9" xr:uid="{9ED004BC-7604-4D8F-84CB-D257057889D3}">
      <formula1>"Ok, Nok, Not run, NA"</formula1>
    </dataValidation>
    <dataValidation type="list" allowBlank="1" showInputMessage="1" showErrorMessage="1" sqref="B5" xr:uid="{8FA0AC2A-E869-4455-BB87-8EE4E3D821F6}">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C34DE-B466-41B1-B2A9-D5CA41494FA6}">
  <sheetPr codeName="Sheet23"/>
  <dimension ref="A1:P29"/>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331</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278</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257</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28.5"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31.5" customHeight="1" x14ac:dyDescent="0.25">
      <c r="A24" s="103" t="s">
        <v>51</v>
      </c>
      <c r="B24" s="215" t="s">
        <v>221</v>
      </c>
      <c r="C24" s="216"/>
      <c r="D24" s="216"/>
      <c r="E24" s="216"/>
      <c r="F24" s="216"/>
      <c r="G24" s="217"/>
      <c r="H24" s="190" t="s">
        <v>134</v>
      </c>
      <c r="I24" s="190"/>
      <c r="J24" s="190"/>
      <c r="K24" s="190"/>
      <c r="L24" s="190" t="s">
        <v>134</v>
      </c>
      <c r="M24" s="190"/>
      <c r="N24" s="190"/>
      <c r="O24" s="190"/>
      <c r="P24" s="98" t="s">
        <v>128</v>
      </c>
    </row>
    <row r="25" spans="1:16" ht="46.5" customHeight="1" x14ac:dyDescent="0.25">
      <c r="A25" s="103" t="s">
        <v>52</v>
      </c>
      <c r="B25" s="229" t="s">
        <v>254</v>
      </c>
      <c r="C25" s="230"/>
      <c r="D25" s="230"/>
      <c r="E25" s="230"/>
      <c r="F25" s="230"/>
      <c r="G25" s="231"/>
      <c r="H25" s="190" t="s">
        <v>134</v>
      </c>
      <c r="I25" s="190"/>
      <c r="J25" s="190"/>
      <c r="K25" s="190"/>
      <c r="L25" s="190" t="s">
        <v>134</v>
      </c>
      <c r="M25" s="190"/>
      <c r="N25" s="190"/>
      <c r="O25" s="190"/>
      <c r="P25" s="98" t="s">
        <v>128</v>
      </c>
    </row>
    <row r="26" spans="1:16" ht="28.5" customHeight="1" x14ac:dyDescent="0.25">
      <c r="A26" s="103" t="s">
        <v>53</v>
      </c>
      <c r="B26" s="215" t="s">
        <v>313</v>
      </c>
      <c r="C26" s="216"/>
      <c r="D26" s="216"/>
      <c r="E26" s="216"/>
      <c r="F26" s="216"/>
      <c r="G26" s="217"/>
      <c r="H26" s="190"/>
      <c r="I26" s="190"/>
      <c r="J26" s="190"/>
      <c r="K26" s="190"/>
      <c r="L26" s="190"/>
      <c r="M26" s="190"/>
      <c r="N26" s="190"/>
      <c r="O26" s="190"/>
      <c r="P26" s="98"/>
    </row>
    <row r="27" spans="1:16" ht="51.75" customHeight="1" x14ac:dyDescent="0.25">
      <c r="A27" s="103" t="s">
        <v>54</v>
      </c>
      <c r="B27" s="215" t="s">
        <v>255</v>
      </c>
      <c r="C27" s="216"/>
      <c r="D27" s="216"/>
      <c r="E27" s="216"/>
      <c r="F27" s="216"/>
      <c r="G27" s="217"/>
      <c r="H27" s="189" t="s">
        <v>256</v>
      </c>
      <c r="I27" s="189"/>
      <c r="J27" s="189"/>
      <c r="K27" s="189"/>
      <c r="L27" s="189" t="s">
        <v>256</v>
      </c>
      <c r="M27" s="189"/>
      <c r="N27" s="189"/>
      <c r="O27" s="189"/>
      <c r="P27" s="98" t="s">
        <v>128</v>
      </c>
    </row>
    <row r="28" spans="1:16" x14ac:dyDescent="0.25">
      <c r="B28" s="99"/>
      <c r="C28" s="99"/>
      <c r="D28" s="99"/>
      <c r="E28" s="99"/>
      <c r="F28" s="99"/>
      <c r="G28" s="99"/>
      <c r="H28" s="99"/>
    </row>
    <row r="29" spans="1:16" x14ac:dyDescent="0.25">
      <c r="B29" s="99"/>
      <c r="C29" s="99"/>
      <c r="D29" s="99"/>
      <c r="E29" s="99"/>
      <c r="F29" s="99"/>
      <c r="G29" s="99"/>
      <c r="H29" s="99"/>
    </row>
  </sheetData>
  <mergeCells count="28">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B9:B10">
    <cfRule type="cellIs" dxfId="93" priority="15" operator="equal">
      <formula>"Nok"</formula>
    </cfRule>
    <cfRule type="cellIs" dxfId="92" priority="16" operator="equal">
      <formula>"Ok"</formula>
    </cfRule>
  </conditionalFormatting>
  <conditionalFormatting sqref="P27">
    <cfRule type="cellIs" dxfId="91" priority="11" operator="equal">
      <formula>"Nok"</formula>
    </cfRule>
    <cfRule type="cellIs" dxfId="90" priority="12" operator="equal">
      <formula>"Ok"</formula>
    </cfRule>
  </conditionalFormatting>
  <conditionalFormatting sqref="P25">
    <cfRule type="cellIs" dxfId="89" priority="9" operator="equal">
      <formula>"Nok"</formula>
    </cfRule>
    <cfRule type="cellIs" dxfId="88" priority="10" operator="equal">
      <formula>"Ok"</formula>
    </cfRule>
  </conditionalFormatting>
  <conditionalFormatting sqref="P23">
    <cfRule type="cellIs" dxfId="87" priority="7" operator="equal">
      <formula>"Nok"</formula>
    </cfRule>
    <cfRule type="cellIs" dxfId="86" priority="8" operator="equal">
      <formula>"Ok"</formula>
    </cfRule>
  </conditionalFormatting>
  <conditionalFormatting sqref="P26">
    <cfRule type="cellIs" dxfId="85" priority="5" operator="equal">
      <formula>"Nok"</formula>
    </cfRule>
    <cfRule type="cellIs" dxfId="84" priority="6" operator="equal">
      <formula>"Ok"</formula>
    </cfRule>
  </conditionalFormatting>
  <conditionalFormatting sqref="P22">
    <cfRule type="cellIs" dxfId="83" priority="3" operator="equal">
      <formula>"Nok"</formula>
    </cfRule>
    <cfRule type="cellIs" dxfId="82" priority="4" operator="equal">
      <formula>"Ok"</formula>
    </cfRule>
  </conditionalFormatting>
  <conditionalFormatting sqref="P24">
    <cfRule type="cellIs" dxfId="81" priority="1" operator="equal">
      <formula>"Nok"</formula>
    </cfRule>
    <cfRule type="cellIs" dxfId="80" priority="2" operator="equal">
      <formula>"Ok"</formula>
    </cfRule>
  </conditionalFormatting>
  <dataValidations count="3">
    <dataValidation type="list" allowBlank="1" showInputMessage="1" showErrorMessage="1" sqref="B5" xr:uid="{A329B01C-8E5B-4624-B96F-8A0BA2D7B8AE}">
      <formula1>"Nominal, Robustness, Endurance, Qualification"</formula1>
    </dataValidation>
    <dataValidation type="list" allowBlank="1" showInputMessage="1" showErrorMessage="1" sqref="B9" xr:uid="{A039080F-D4E8-4640-8700-745CE22A1F54}">
      <formula1>"Ok, Nok, Not run, NA"</formula1>
    </dataValidation>
    <dataValidation type="list" allowBlank="1" showInputMessage="1" showErrorMessage="1" sqref="P22:P27" xr:uid="{788EE502-B4EF-425B-94F9-6194B7176327}">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25E38-363E-42A9-B1A2-FB41831AA666}">
  <sheetPr codeName="Sheet24"/>
  <dimension ref="A1:P29"/>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332</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279</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258</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27"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30.75" customHeight="1" x14ac:dyDescent="0.25">
      <c r="A24" s="103" t="s">
        <v>51</v>
      </c>
      <c r="B24" s="215" t="s">
        <v>221</v>
      </c>
      <c r="C24" s="216"/>
      <c r="D24" s="216"/>
      <c r="E24" s="216"/>
      <c r="F24" s="216"/>
      <c r="G24" s="217"/>
      <c r="H24" s="190" t="s">
        <v>134</v>
      </c>
      <c r="I24" s="190"/>
      <c r="J24" s="190"/>
      <c r="K24" s="190"/>
      <c r="L24" s="190" t="s">
        <v>134</v>
      </c>
      <c r="M24" s="190"/>
      <c r="N24" s="190"/>
      <c r="O24" s="190"/>
      <c r="P24" s="98" t="s">
        <v>128</v>
      </c>
    </row>
    <row r="25" spans="1:16" ht="39" customHeight="1" x14ac:dyDescent="0.25">
      <c r="A25" s="103" t="s">
        <v>52</v>
      </c>
      <c r="B25" s="229" t="s">
        <v>259</v>
      </c>
      <c r="C25" s="230"/>
      <c r="D25" s="230"/>
      <c r="E25" s="230"/>
      <c r="F25" s="230"/>
      <c r="G25" s="231"/>
      <c r="H25" s="190" t="s">
        <v>134</v>
      </c>
      <c r="I25" s="190"/>
      <c r="J25" s="190"/>
      <c r="K25" s="190"/>
      <c r="L25" s="190" t="s">
        <v>134</v>
      </c>
      <c r="M25" s="190"/>
      <c r="N25" s="190"/>
      <c r="O25" s="190"/>
      <c r="P25" s="98" t="s">
        <v>128</v>
      </c>
    </row>
    <row r="26" spans="1:16" ht="39.450000000000003" customHeight="1" x14ac:dyDescent="0.25">
      <c r="A26" s="103" t="s">
        <v>53</v>
      </c>
      <c r="B26" s="215" t="s">
        <v>314</v>
      </c>
      <c r="C26" s="216"/>
      <c r="D26" s="216"/>
      <c r="E26" s="216"/>
      <c r="F26" s="216"/>
      <c r="G26" s="217"/>
      <c r="H26" s="190"/>
      <c r="I26" s="190"/>
      <c r="J26" s="190"/>
      <c r="K26" s="190"/>
      <c r="L26" s="190"/>
      <c r="M26" s="190"/>
      <c r="N26" s="190"/>
      <c r="O26" s="190"/>
      <c r="P26" s="98"/>
    </row>
    <row r="27" spans="1:16" ht="69" customHeight="1" x14ac:dyDescent="0.25">
      <c r="A27" s="103" t="s">
        <v>54</v>
      </c>
      <c r="B27" s="215" t="s">
        <v>260</v>
      </c>
      <c r="C27" s="216"/>
      <c r="D27" s="216"/>
      <c r="E27" s="216"/>
      <c r="F27" s="216"/>
      <c r="G27" s="217"/>
      <c r="H27" s="189" t="s">
        <v>261</v>
      </c>
      <c r="I27" s="189"/>
      <c r="J27" s="189"/>
      <c r="K27" s="189"/>
      <c r="L27" s="189" t="s">
        <v>261</v>
      </c>
      <c r="M27" s="189"/>
      <c r="N27" s="189"/>
      <c r="O27" s="189"/>
      <c r="P27" s="98" t="s">
        <v>128</v>
      </c>
    </row>
    <row r="28" spans="1:16" x14ac:dyDescent="0.25">
      <c r="B28" s="99"/>
      <c r="C28" s="99"/>
      <c r="D28" s="99"/>
      <c r="E28" s="99"/>
      <c r="F28" s="99"/>
      <c r="G28" s="99"/>
      <c r="H28" s="99"/>
    </row>
    <row r="29" spans="1:16" x14ac:dyDescent="0.25">
      <c r="B29" s="99"/>
      <c r="C29" s="99"/>
      <c r="D29" s="99"/>
      <c r="E29" s="99"/>
      <c r="F29" s="99"/>
      <c r="G29" s="99"/>
      <c r="H29" s="99"/>
    </row>
  </sheetData>
  <mergeCells count="28">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B9:B10">
    <cfRule type="cellIs" dxfId="79" priority="15" operator="equal">
      <formula>"Nok"</formula>
    </cfRule>
    <cfRule type="cellIs" dxfId="78" priority="16" operator="equal">
      <formula>"Ok"</formula>
    </cfRule>
  </conditionalFormatting>
  <conditionalFormatting sqref="P27">
    <cfRule type="cellIs" dxfId="77" priority="11" operator="equal">
      <formula>"Nok"</formula>
    </cfRule>
    <cfRule type="cellIs" dxfId="76" priority="12" operator="equal">
      <formula>"Ok"</formula>
    </cfRule>
  </conditionalFormatting>
  <conditionalFormatting sqref="P25">
    <cfRule type="cellIs" dxfId="75" priority="9" operator="equal">
      <formula>"Nok"</formula>
    </cfRule>
    <cfRule type="cellIs" dxfId="74" priority="10" operator="equal">
      <formula>"Ok"</formula>
    </cfRule>
  </conditionalFormatting>
  <conditionalFormatting sqref="P23">
    <cfRule type="cellIs" dxfId="73" priority="7" operator="equal">
      <formula>"Nok"</formula>
    </cfRule>
    <cfRule type="cellIs" dxfId="72" priority="8" operator="equal">
      <formula>"Ok"</formula>
    </cfRule>
  </conditionalFormatting>
  <conditionalFormatting sqref="P26">
    <cfRule type="cellIs" dxfId="71" priority="5" operator="equal">
      <formula>"Nok"</formula>
    </cfRule>
    <cfRule type="cellIs" dxfId="70" priority="6" operator="equal">
      <formula>"Ok"</formula>
    </cfRule>
  </conditionalFormatting>
  <conditionalFormatting sqref="P22">
    <cfRule type="cellIs" dxfId="69" priority="3" operator="equal">
      <formula>"Nok"</formula>
    </cfRule>
    <cfRule type="cellIs" dxfId="68" priority="4" operator="equal">
      <formula>"Ok"</formula>
    </cfRule>
  </conditionalFormatting>
  <conditionalFormatting sqref="P24">
    <cfRule type="cellIs" dxfId="67" priority="1" operator="equal">
      <formula>"Nok"</formula>
    </cfRule>
    <cfRule type="cellIs" dxfId="66" priority="2" operator="equal">
      <formula>"Ok"</formula>
    </cfRule>
  </conditionalFormatting>
  <dataValidations count="3">
    <dataValidation type="list" allowBlank="1" showInputMessage="1" showErrorMessage="1" sqref="P22:P27" xr:uid="{BEC8D40A-0BB3-4A2E-B5FB-DBAF70933D7F}">
      <formula1>"Ok, Nok, Not run, ,"</formula1>
    </dataValidation>
    <dataValidation type="list" allowBlank="1" showInputMessage="1" showErrorMessage="1" sqref="B9" xr:uid="{8C01814A-F29B-46E3-9B22-B56A6C80343D}">
      <formula1>"Ok, Nok, Not run, NA"</formula1>
    </dataValidation>
    <dataValidation type="list" allowBlank="1" showInputMessage="1" showErrorMessage="1" sqref="B5" xr:uid="{4109BF2C-8BE5-437A-8E09-5C23BA65B1B1}">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82210-9490-49BA-9647-8E9294E32717}">
  <sheetPr codeName="Sheet25"/>
  <dimension ref="A1:P29"/>
  <sheetViews>
    <sheetView workbookViewId="0">
      <selection activeCell="L25" sqref="L25:O25"/>
    </sheetView>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334</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262</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263</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138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31.5"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40.950000000000003" customHeight="1" x14ac:dyDescent="0.25">
      <c r="A24" s="103" t="s">
        <v>51</v>
      </c>
      <c r="B24" s="215" t="s">
        <v>221</v>
      </c>
      <c r="C24" s="216"/>
      <c r="D24" s="216"/>
      <c r="E24" s="216"/>
      <c r="F24" s="216"/>
      <c r="G24" s="217"/>
      <c r="H24" s="190" t="s">
        <v>134</v>
      </c>
      <c r="I24" s="190"/>
      <c r="J24" s="190"/>
      <c r="K24" s="190"/>
      <c r="L24" s="190" t="s">
        <v>134</v>
      </c>
      <c r="M24" s="190"/>
      <c r="N24" s="190"/>
      <c r="O24" s="190"/>
      <c r="P24" s="98" t="s">
        <v>128</v>
      </c>
    </row>
    <row r="25" spans="1:16" ht="41.25" customHeight="1" x14ac:dyDescent="0.25">
      <c r="A25" s="103" t="s">
        <v>52</v>
      </c>
      <c r="B25" s="229" t="s">
        <v>264</v>
      </c>
      <c r="C25" s="230"/>
      <c r="D25" s="230"/>
      <c r="E25" s="230"/>
      <c r="F25" s="230"/>
      <c r="G25" s="231"/>
      <c r="H25" s="190" t="s">
        <v>134</v>
      </c>
      <c r="I25" s="190"/>
      <c r="J25" s="190"/>
      <c r="K25" s="190"/>
      <c r="L25" s="190" t="s">
        <v>316</v>
      </c>
      <c r="M25" s="190"/>
      <c r="N25" s="190"/>
      <c r="O25" s="190"/>
      <c r="P25" s="98" t="s">
        <v>138</v>
      </c>
    </row>
    <row r="26" spans="1:16" ht="39.450000000000003" customHeight="1" x14ac:dyDescent="0.25">
      <c r="A26" s="103" t="s">
        <v>53</v>
      </c>
      <c r="B26" s="215" t="s">
        <v>315</v>
      </c>
      <c r="C26" s="216"/>
      <c r="D26" s="216"/>
      <c r="E26" s="216"/>
      <c r="F26" s="216"/>
      <c r="G26" s="217"/>
      <c r="H26" s="190"/>
      <c r="I26" s="190"/>
      <c r="J26" s="190"/>
      <c r="K26" s="190"/>
      <c r="L26" s="190"/>
      <c r="M26" s="190"/>
      <c r="N26" s="190"/>
      <c r="O26" s="190"/>
      <c r="P26" s="98"/>
    </row>
    <row r="27" spans="1:16" ht="66.75" customHeight="1" x14ac:dyDescent="0.25">
      <c r="A27" s="103" t="s">
        <v>54</v>
      </c>
      <c r="B27" s="232" t="s">
        <v>333</v>
      </c>
      <c r="C27" s="233"/>
      <c r="D27" s="233"/>
      <c r="E27" s="233"/>
      <c r="F27" s="233"/>
      <c r="G27" s="234"/>
      <c r="H27" s="235" t="s">
        <v>265</v>
      </c>
      <c r="I27" s="235"/>
      <c r="J27" s="235"/>
      <c r="K27" s="235"/>
      <c r="L27" s="235" t="s">
        <v>265</v>
      </c>
      <c r="M27" s="235"/>
      <c r="N27" s="235"/>
      <c r="O27" s="235"/>
      <c r="P27" s="98" t="s">
        <v>128</v>
      </c>
    </row>
    <row r="28" spans="1:16" x14ac:dyDescent="0.25">
      <c r="B28" s="99"/>
      <c r="C28" s="99"/>
      <c r="D28" s="99"/>
      <c r="E28" s="99"/>
      <c r="F28" s="99"/>
      <c r="G28" s="99"/>
      <c r="H28" s="99"/>
    </row>
    <row r="29" spans="1:16" x14ac:dyDescent="0.25">
      <c r="B29" s="99"/>
      <c r="C29" s="99"/>
      <c r="D29" s="99"/>
      <c r="E29" s="99"/>
      <c r="F29" s="99"/>
      <c r="G29" s="99"/>
      <c r="H29" s="99"/>
    </row>
  </sheetData>
  <mergeCells count="28">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B9:B10">
    <cfRule type="cellIs" dxfId="65" priority="15" operator="equal">
      <formula>"Nok"</formula>
    </cfRule>
    <cfRule type="cellIs" dxfId="64" priority="16" operator="equal">
      <formula>"Ok"</formula>
    </cfRule>
  </conditionalFormatting>
  <conditionalFormatting sqref="P27">
    <cfRule type="cellIs" dxfId="63" priority="11" operator="equal">
      <formula>"Nok"</formula>
    </cfRule>
    <cfRule type="cellIs" dxfId="62" priority="12" operator="equal">
      <formula>"Ok"</formula>
    </cfRule>
  </conditionalFormatting>
  <conditionalFormatting sqref="P25">
    <cfRule type="cellIs" dxfId="61" priority="9" operator="equal">
      <formula>"Nok"</formula>
    </cfRule>
    <cfRule type="cellIs" dxfId="60" priority="10" operator="equal">
      <formula>"Ok"</formula>
    </cfRule>
  </conditionalFormatting>
  <conditionalFormatting sqref="P23">
    <cfRule type="cellIs" dxfId="59" priority="7" operator="equal">
      <formula>"Nok"</formula>
    </cfRule>
    <cfRule type="cellIs" dxfId="58" priority="8" operator="equal">
      <formula>"Ok"</formula>
    </cfRule>
  </conditionalFormatting>
  <conditionalFormatting sqref="P26">
    <cfRule type="cellIs" dxfId="57" priority="5" operator="equal">
      <formula>"Nok"</formula>
    </cfRule>
    <cfRule type="cellIs" dxfId="56" priority="6" operator="equal">
      <formula>"Ok"</formula>
    </cfRule>
  </conditionalFormatting>
  <conditionalFormatting sqref="P22">
    <cfRule type="cellIs" dxfId="55" priority="3" operator="equal">
      <formula>"Nok"</formula>
    </cfRule>
    <cfRule type="cellIs" dxfId="54" priority="4" operator="equal">
      <formula>"Ok"</formula>
    </cfRule>
  </conditionalFormatting>
  <conditionalFormatting sqref="P24">
    <cfRule type="cellIs" dxfId="53" priority="1" operator="equal">
      <formula>"Nok"</formula>
    </cfRule>
    <cfRule type="cellIs" dxfId="52" priority="2" operator="equal">
      <formula>"Ok"</formula>
    </cfRule>
  </conditionalFormatting>
  <dataValidations count="3">
    <dataValidation type="list" allowBlank="1" showInputMessage="1" showErrorMessage="1" sqref="B5" xr:uid="{17C0FEA1-D403-452C-814A-0938742915B6}">
      <formula1>"Nominal, Robustness, Endurance, Qualification"</formula1>
    </dataValidation>
    <dataValidation type="list" allowBlank="1" showInputMessage="1" showErrorMessage="1" sqref="B9" xr:uid="{C4C2E630-5016-477A-83D0-00E177F771B0}">
      <formula1>"Ok, Nok, Not run, NA"</formula1>
    </dataValidation>
    <dataValidation type="list" allowBlank="1" showInputMessage="1" showErrorMessage="1" sqref="P22:P27" xr:uid="{FA6E29CB-BE2B-4295-916E-1DD8EB24A1C3}">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54D1A-56CE-43C5-A4DE-E02F52C8FA53}">
  <sheetPr codeName="Sheet26"/>
  <dimension ref="A1:P39"/>
  <sheetViews>
    <sheetView topLeftCell="A13"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335</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41" t="s">
        <v>290</v>
      </c>
      <c r="C3" s="242"/>
      <c r="D3" s="242"/>
      <c r="E3" s="242"/>
      <c r="F3" s="242"/>
      <c r="G3" s="24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266</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29.25"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29.25" customHeight="1" x14ac:dyDescent="0.25">
      <c r="A24" s="103" t="s">
        <v>51</v>
      </c>
      <c r="B24" s="215" t="s">
        <v>317</v>
      </c>
      <c r="C24" s="216"/>
      <c r="D24" s="216"/>
      <c r="E24" s="216"/>
      <c r="F24" s="216"/>
      <c r="G24" s="217"/>
      <c r="H24" s="190" t="s">
        <v>134</v>
      </c>
      <c r="I24" s="190"/>
      <c r="J24" s="190"/>
      <c r="K24" s="190"/>
      <c r="L24" s="190" t="s">
        <v>134</v>
      </c>
      <c r="M24" s="190"/>
      <c r="N24" s="190"/>
      <c r="O24" s="190"/>
      <c r="P24" s="98" t="s">
        <v>128</v>
      </c>
    </row>
    <row r="25" spans="1:16" ht="41.25" customHeight="1" x14ac:dyDescent="0.25">
      <c r="A25" s="103" t="s">
        <v>52</v>
      </c>
      <c r="B25" s="229" t="s">
        <v>267</v>
      </c>
      <c r="C25" s="230"/>
      <c r="D25" s="230"/>
      <c r="E25" s="230"/>
      <c r="F25" s="230"/>
      <c r="G25" s="231"/>
      <c r="H25" s="190" t="s">
        <v>134</v>
      </c>
      <c r="I25" s="190"/>
      <c r="J25" s="190"/>
      <c r="K25" s="190"/>
      <c r="L25" s="190" t="s">
        <v>134</v>
      </c>
      <c r="M25" s="190"/>
      <c r="N25" s="190"/>
      <c r="O25" s="190"/>
      <c r="P25" s="98" t="s">
        <v>128</v>
      </c>
    </row>
    <row r="26" spans="1:16" ht="39.450000000000003" customHeight="1" x14ac:dyDescent="0.25">
      <c r="A26" s="103" t="s">
        <v>53</v>
      </c>
      <c r="B26" s="229" t="s">
        <v>272</v>
      </c>
      <c r="C26" s="230"/>
      <c r="D26" s="230"/>
      <c r="E26" s="230"/>
      <c r="F26" s="230"/>
      <c r="G26" s="231"/>
      <c r="H26" s="190" t="s">
        <v>134</v>
      </c>
      <c r="I26" s="190"/>
      <c r="J26" s="190"/>
      <c r="K26" s="190"/>
      <c r="L26" s="190" t="s">
        <v>134</v>
      </c>
      <c r="M26" s="190"/>
      <c r="N26" s="190"/>
      <c r="O26" s="190"/>
      <c r="P26" s="98" t="s">
        <v>128</v>
      </c>
    </row>
    <row r="27" spans="1:16" ht="44.25" customHeight="1" x14ac:dyDescent="0.25">
      <c r="A27" s="103" t="s">
        <v>54</v>
      </c>
      <c r="B27" s="215" t="s">
        <v>273</v>
      </c>
      <c r="C27" s="216"/>
      <c r="D27" s="216"/>
      <c r="E27" s="216"/>
      <c r="F27" s="216"/>
      <c r="G27" s="217"/>
      <c r="H27" s="190" t="s">
        <v>134</v>
      </c>
      <c r="I27" s="190"/>
      <c r="J27" s="190"/>
      <c r="K27" s="190"/>
      <c r="L27" s="190" t="s">
        <v>134</v>
      </c>
      <c r="M27" s="190"/>
      <c r="N27" s="190"/>
      <c r="O27" s="190"/>
      <c r="P27" s="98" t="s">
        <v>128</v>
      </c>
    </row>
    <row r="28" spans="1:16" ht="38.25" customHeight="1" x14ac:dyDescent="0.25">
      <c r="A28" s="103" t="s">
        <v>55</v>
      </c>
      <c r="B28" s="215" t="s">
        <v>274</v>
      </c>
      <c r="C28" s="216"/>
      <c r="D28" s="216"/>
      <c r="E28" s="216"/>
      <c r="F28" s="216"/>
      <c r="G28" s="217"/>
      <c r="H28" s="190" t="s">
        <v>134</v>
      </c>
      <c r="I28" s="190"/>
      <c r="J28" s="190"/>
      <c r="K28" s="190"/>
      <c r="L28" s="190" t="s">
        <v>134</v>
      </c>
      <c r="M28" s="190"/>
      <c r="N28" s="190"/>
      <c r="O28" s="190"/>
      <c r="P28" s="98" t="s">
        <v>128</v>
      </c>
    </row>
    <row r="29" spans="1:16" ht="32.25" customHeight="1" x14ac:dyDescent="0.25">
      <c r="A29" s="103" t="s">
        <v>143</v>
      </c>
      <c r="B29" s="236" t="s">
        <v>280</v>
      </c>
      <c r="C29" s="239"/>
      <c r="D29" s="239"/>
      <c r="E29" s="239"/>
      <c r="F29" s="239"/>
      <c r="G29" s="240"/>
      <c r="H29" s="190" t="s">
        <v>134</v>
      </c>
      <c r="I29" s="190"/>
      <c r="J29" s="190"/>
      <c r="K29" s="190"/>
      <c r="L29" s="190" t="s">
        <v>134</v>
      </c>
      <c r="M29" s="190"/>
      <c r="N29" s="190"/>
      <c r="O29" s="190"/>
      <c r="P29" s="98" t="s">
        <v>128</v>
      </c>
    </row>
    <row r="30" spans="1:16" ht="27.75" customHeight="1" x14ac:dyDescent="0.25">
      <c r="A30" s="103" t="s">
        <v>148</v>
      </c>
      <c r="B30" s="236" t="s">
        <v>281</v>
      </c>
      <c r="C30" s="239"/>
      <c r="D30" s="239"/>
      <c r="E30" s="239"/>
      <c r="F30" s="239"/>
      <c r="G30" s="240"/>
      <c r="H30" s="190" t="s">
        <v>134</v>
      </c>
      <c r="I30" s="190"/>
      <c r="J30" s="190"/>
      <c r="K30" s="190"/>
      <c r="L30" s="190" t="s">
        <v>134</v>
      </c>
      <c r="M30" s="190"/>
      <c r="N30" s="190"/>
      <c r="O30" s="190"/>
      <c r="P30" s="98" t="s">
        <v>128</v>
      </c>
    </row>
    <row r="31" spans="1:16" ht="33.6" customHeight="1" x14ac:dyDescent="0.25">
      <c r="A31" s="103" t="s">
        <v>149</v>
      </c>
      <c r="B31" s="236" t="s">
        <v>282</v>
      </c>
      <c r="C31" s="239"/>
      <c r="D31" s="239"/>
      <c r="E31" s="239"/>
      <c r="F31" s="239"/>
      <c r="G31" s="240"/>
      <c r="H31" s="190" t="s">
        <v>134</v>
      </c>
      <c r="I31" s="190"/>
      <c r="J31" s="190"/>
      <c r="K31" s="190"/>
      <c r="L31" s="190" t="s">
        <v>134</v>
      </c>
      <c r="M31" s="190"/>
      <c r="N31" s="190"/>
      <c r="O31" s="190"/>
      <c r="P31" s="98" t="s">
        <v>128</v>
      </c>
    </row>
    <row r="32" spans="1:16" ht="33.6" customHeight="1" x14ac:dyDescent="0.25">
      <c r="A32" s="103" t="s">
        <v>150</v>
      </c>
      <c r="B32" s="236" t="s">
        <v>283</v>
      </c>
      <c r="C32" s="239"/>
      <c r="D32" s="239"/>
      <c r="E32" s="239"/>
      <c r="F32" s="239"/>
      <c r="G32" s="240"/>
      <c r="H32" s="190" t="s">
        <v>134</v>
      </c>
      <c r="I32" s="190"/>
      <c r="J32" s="190"/>
      <c r="K32" s="190"/>
      <c r="L32" s="190" t="s">
        <v>134</v>
      </c>
      <c r="M32" s="190"/>
      <c r="N32" s="190"/>
      <c r="O32" s="190"/>
      <c r="P32" s="98" t="s">
        <v>128</v>
      </c>
    </row>
    <row r="33" spans="1:16" ht="33.6" customHeight="1" x14ac:dyDescent="0.25">
      <c r="A33" s="103" t="s">
        <v>151</v>
      </c>
      <c r="B33" s="236" t="s">
        <v>284</v>
      </c>
      <c r="C33" s="239"/>
      <c r="D33" s="239"/>
      <c r="E33" s="239"/>
      <c r="F33" s="239"/>
      <c r="G33" s="240"/>
      <c r="H33" s="190" t="s">
        <v>134</v>
      </c>
      <c r="I33" s="190"/>
      <c r="J33" s="190"/>
      <c r="K33" s="190"/>
      <c r="L33" s="190" t="s">
        <v>134</v>
      </c>
      <c r="M33" s="190"/>
      <c r="N33" s="190"/>
      <c r="O33" s="190"/>
      <c r="P33" s="98" t="s">
        <v>128</v>
      </c>
    </row>
    <row r="34" spans="1:16" ht="33.6" customHeight="1" x14ac:dyDescent="0.25">
      <c r="A34" s="103" t="s">
        <v>152</v>
      </c>
      <c r="B34" s="236" t="s">
        <v>285</v>
      </c>
      <c r="C34" s="237"/>
      <c r="D34" s="237"/>
      <c r="E34" s="237"/>
      <c r="F34" s="237"/>
      <c r="G34" s="238"/>
      <c r="H34" s="190" t="s">
        <v>134</v>
      </c>
      <c r="I34" s="190"/>
      <c r="J34" s="190"/>
      <c r="K34" s="190"/>
      <c r="L34" s="190" t="s">
        <v>134</v>
      </c>
      <c r="M34" s="190"/>
      <c r="N34" s="190"/>
      <c r="O34" s="190"/>
      <c r="P34" s="98" t="s">
        <v>128</v>
      </c>
    </row>
    <row r="35" spans="1:16" ht="33.6" customHeight="1" x14ac:dyDescent="0.25">
      <c r="A35" s="103" t="s">
        <v>153</v>
      </c>
      <c r="B35" s="236" t="s">
        <v>287</v>
      </c>
      <c r="C35" s="237"/>
      <c r="D35" s="237"/>
      <c r="E35" s="237"/>
      <c r="F35" s="237"/>
      <c r="G35" s="238"/>
      <c r="H35" s="190" t="s">
        <v>134</v>
      </c>
      <c r="I35" s="190"/>
      <c r="J35" s="190"/>
      <c r="K35" s="190"/>
      <c r="L35" s="190" t="s">
        <v>134</v>
      </c>
      <c r="M35" s="190"/>
      <c r="N35" s="190"/>
      <c r="O35" s="190"/>
      <c r="P35" s="98" t="s">
        <v>128</v>
      </c>
    </row>
    <row r="36" spans="1:16" ht="33.6" customHeight="1" x14ac:dyDescent="0.25">
      <c r="A36" s="103" t="s">
        <v>154</v>
      </c>
      <c r="B36" s="236" t="s">
        <v>286</v>
      </c>
      <c r="C36" s="237"/>
      <c r="D36" s="237"/>
      <c r="E36" s="237"/>
      <c r="F36" s="237"/>
      <c r="G36" s="238"/>
      <c r="H36" s="190" t="s">
        <v>134</v>
      </c>
      <c r="I36" s="190"/>
      <c r="J36" s="190"/>
      <c r="K36" s="190"/>
      <c r="L36" s="190" t="s">
        <v>134</v>
      </c>
      <c r="M36" s="190"/>
      <c r="N36" s="190"/>
      <c r="O36" s="190"/>
      <c r="P36" s="98" t="s">
        <v>128</v>
      </c>
    </row>
    <row r="37" spans="1:16" ht="33.6" customHeight="1" x14ac:dyDescent="0.25">
      <c r="A37" s="103" t="s">
        <v>155</v>
      </c>
      <c r="B37" s="236" t="s">
        <v>288</v>
      </c>
      <c r="C37" s="237"/>
      <c r="D37" s="237"/>
      <c r="E37" s="237"/>
      <c r="F37" s="237"/>
      <c r="G37" s="238"/>
      <c r="H37" s="190" t="s">
        <v>134</v>
      </c>
      <c r="I37" s="190"/>
      <c r="J37" s="190"/>
      <c r="K37" s="190"/>
      <c r="L37" s="190" t="s">
        <v>134</v>
      </c>
      <c r="M37" s="190"/>
      <c r="N37" s="190"/>
      <c r="O37" s="190"/>
      <c r="P37" s="98" t="s">
        <v>128</v>
      </c>
    </row>
    <row r="38" spans="1:16" ht="33.6" customHeight="1" x14ac:dyDescent="0.25">
      <c r="A38" s="103" t="s">
        <v>156</v>
      </c>
      <c r="B38" s="236" t="s">
        <v>289</v>
      </c>
      <c r="C38" s="237"/>
      <c r="D38" s="237"/>
      <c r="E38" s="237"/>
      <c r="F38" s="237"/>
      <c r="G38" s="238"/>
      <c r="H38" s="190" t="s">
        <v>134</v>
      </c>
      <c r="I38" s="190"/>
      <c r="J38" s="190"/>
      <c r="K38" s="190"/>
      <c r="L38" s="190" t="s">
        <v>134</v>
      </c>
      <c r="M38" s="190"/>
      <c r="N38" s="190"/>
      <c r="O38" s="190"/>
      <c r="P38" s="98" t="s">
        <v>128</v>
      </c>
    </row>
    <row r="39" spans="1:16" ht="39" customHeight="1" x14ac:dyDescent="0.25">
      <c r="A39" s="103" t="s">
        <v>157</v>
      </c>
      <c r="B39" s="236" t="s">
        <v>291</v>
      </c>
      <c r="C39" s="237"/>
      <c r="D39" s="237"/>
      <c r="E39" s="237"/>
      <c r="F39" s="237"/>
      <c r="G39" s="238"/>
      <c r="H39" s="190" t="s">
        <v>134</v>
      </c>
      <c r="I39" s="190"/>
      <c r="J39" s="190"/>
      <c r="K39" s="190"/>
      <c r="L39" s="190" t="s">
        <v>134</v>
      </c>
      <c r="M39" s="190"/>
      <c r="N39" s="190"/>
      <c r="O39" s="190"/>
      <c r="P39" s="98" t="s">
        <v>128</v>
      </c>
    </row>
  </sheetData>
  <mergeCells count="64">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9:G39"/>
    <mergeCell ref="H39:K39"/>
    <mergeCell ref="L39:O39"/>
    <mergeCell ref="B37:G37"/>
    <mergeCell ref="H37:K37"/>
    <mergeCell ref="L37:O37"/>
    <mergeCell ref="B38:G38"/>
    <mergeCell ref="H38:K38"/>
    <mergeCell ref="L38:O38"/>
  </mergeCells>
  <phoneticPr fontId="3" type="noConversion"/>
  <conditionalFormatting sqref="B9:B10">
    <cfRule type="cellIs" dxfId="51" priority="21" operator="equal">
      <formula>"Nok"</formula>
    </cfRule>
    <cfRule type="cellIs" dxfId="50" priority="22" operator="equal">
      <formula>"Ok"</formula>
    </cfRule>
  </conditionalFormatting>
  <conditionalFormatting sqref="P25">
    <cfRule type="cellIs" dxfId="49" priority="15" operator="equal">
      <formula>"Nok"</formula>
    </cfRule>
    <cfRule type="cellIs" dxfId="48" priority="16" operator="equal">
      <formula>"Ok"</formula>
    </cfRule>
  </conditionalFormatting>
  <conditionalFormatting sqref="P23">
    <cfRule type="cellIs" dxfId="47" priority="13" operator="equal">
      <formula>"Nok"</formula>
    </cfRule>
    <cfRule type="cellIs" dxfId="46" priority="14" operator="equal">
      <formula>"Ok"</formula>
    </cfRule>
  </conditionalFormatting>
  <conditionalFormatting sqref="P22">
    <cfRule type="cellIs" dxfId="45" priority="9" operator="equal">
      <formula>"Nok"</formula>
    </cfRule>
    <cfRule type="cellIs" dxfId="44" priority="10" operator="equal">
      <formula>"Ok"</formula>
    </cfRule>
  </conditionalFormatting>
  <conditionalFormatting sqref="P24">
    <cfRule type="cellIs" dxfId="43" priority="7" operator="equal">
      <formula>"Nok"</formula>
    </cfRule>
    <cfRule type="cellIs" dxfId="42" priority="8" operator="equal">
      <formula>"Ok"</formula>
    </cfRule>
  </conditionalFormatting>
  <conditionalFormatting sqref="P32:P38">
    <cfRule type="cellIs" dxfId="41" priority="5" operator="equal">
      <formula>"Nok"</formula>
    </cfRule>
    <cfRule type="cellIs" dxfId="40" priority="6" operator="equal">
      <formula>"Ok"</formula>
    </cfRule>
  </conditionalFormatting>
  <conditionalFormatting sqref="P26:P31">
    <cfRule type="cellIs" dxfId="39" priority="3" operator="equal">
      <formula>"Nok"</formula>
    </cfRule>
    <cfRule type="cellIs" dxfId="38" priority="4" operator="equal">
      <formula>"Ok"</formula>
    </cfRule>
  </conditionalFormatting>
  <conditionalFormatting sqref="P39">
    <cfRule type="cellIs" dxfId="37" priority="1" operator="equal">
      <formula>"Nok"</formula>
    </cfRule>
    <cfRule type="cellIs" dxfId="36" priority="2" operator="equal">
      <formula>"Ok"</formula>
    </cfRule>
  </conditionalFormatting>
  <dataValidations count="3">
    <dataValidation type="list" allowBlank="1" showInputMessage="1" showErrorMessage="1" sqref="P22:P39" xr:uid="{33B5409B-9BAB-4B31-9CED-042601133831}">
      <formula1>"Ok, Nok, Not run, ,"</formula1>
    </dataValidation>
    <dataValidation type="list" allowBlank="1" showInputMessage="1" showErrorMessage="1" sqref="B9" xr:uid="{6DADB4D3-1A6B-4B1F-A79C-A3DF97F6A32B}">
      <formula1>"Ok, Nok, Not run, NA"</formula1>
    </dataValidation>
    <dataValidation type="list" allowBlank="1" showInputMessage="1" showErrorMessage="1" sqref="B5" xr:uid="{4E2A6AF1-2486-4160-B359-B80234E9FE7E}">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15CC-B0EB-4257-A625-0F7A36327FEF}">
  <sheetPr codeName="Sheet30"/>
  <dimension ref="A1:P27"/>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336</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268</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269</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30.75"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32.25" customHeight="1" x14ac:dyDescent="0.25">
      <c r="A24" s="103" t="s">
        <v>51</v>
      </c>
      <c r="B24" s="215" t="s">
        <v>221</v>
      </c>
      <c r="C24" s="216"/>
      <c r="D24" s="216"/>
      <c r="E24" s="216"/>
      <c r="F24" s="216"/>
      <c r="G24" s="217"/>
      <c r="H24" s="190" t="s">
        <v>134</v>
      </c>
      <c r="I24" s="190"/>
      <c r="J24" s="190"/>
      <c r="K24" s="190"/>
      <c r="L24" s="190" t="s">
        <v>134</v>
      </c>
      <c r="M24" s="190"/>
      <c r="N24" s="190"/>
      <c r="O24" s="190"/>
      <c r="P24" s="98" t="s">
        <v>128</v>
      </c>
    </row>
    <row r="25" spans="1:16" ht="43.5" customHeight="1" x14ac:dyDescent="0.25">
      <c r="A25" s="103" t="s">
        <v>52</v>
      </c>
      <c r="B25" s="229" t="s">
        <v>270</v>
      </c>
      <c r="C25" s="230"/>
      <c r="D25" s="230"/>
      <c r="E25" s="230"/>
      <c r="F25" s="230"/>
      <c r="G25" s="231"/>
      <c r="H25" s="190" t="s">
        <v>134</v>
      </c>
      <c r="I25" s="190"/>
      <c r="J25" s="190"/>
      <c r="K25" s="190"/>
      <c r="L25" s="190" t="s">
        <v>134</v>
      </c>
      <c r="M25" s="190"/>
      <c r="N25" s="190"/>
      <c r="O25" s="190"/>
      <c r="P25" s="98" t="s">
        <v>128</v>
      </c>
    </row>
    <row r="26" spans="1:16" x14ac:dyDescent="0.25">
      <c r="B26" s="99"/>
      <c r="C26" s="99"/>
      <c r="D26" s="99"/>
      <c r="E26" s="99"/>
      <c r="F26" s="99"/>
      <c r="G26" s="99"/>
      <c r="H26" s="99"/>
    </row>
    <row r="27" spans="1:16" x14ac:dyDescent="0.25">
      <c r="B27" s="99"/>
      <c r="C27" s="99"/>
      <c r="D27" s="99"/>
      <c r="E27" s="99"/>
      <c r="F27" s="99"/>
      <c r="G27" s="99"/>
      <c r="H27" s="99"/>
    </row>
  </sheetData>
  <mergeCells count="22">
    <mergeCell ref="A16:A19"/>
    <mergeCell ref="B16:G19"/>
    <mergeCell ref="B1:G1"/>
    <mergeCell ref="B3:G3"/>
    <mergeCell ref="B7:G7"/>
    <mergeCell ref="A11:A14"/>
    <mergeCell ref="B11:G14"/>
    <mergeCell ref="A21:G21"/>
    <mergeCell ref="H21:K21"/>
    <mergeCell ref="L21:O21"/>
    <mergeCell ref="B22:G22"/>
    <mergeCell ref="H22:K22"/>
    <mergeCell ref="L22:O22"/>
    <mergeCell ref="B25:G25"/>
    <mergeCell ref="H25:K25"/>
    <mergeCell ref="L25:O25"/>
    <mergeCell ref="B23:G23"/>
    <mergeCell ref="H23:K23"/>
    <mergeCell ref="L23:O23"/>
    <mergeCell ref="B24:G24"/>
    <mergeCell ref="H24:K24"/>
    <mergeCell ref="L24:O24"/>
  </mergeCells>
  <conditionalFormatting sqref="B9:B10">
    <cfRule type="cellIs" dxfId="35" priority="15" operator="equal">
      <formula>"Nok"</formula>
    </cfRule>
    <cfRule type="cellIs" dxfId="34" priority="16" operator="equal">
      <formula>"Ok"</formula>
    </cfRule>
  </conditionalFormatting>
  <conditionalFormatting sqref="P25">
    <cfRule type="cellIs" dxfId="33" priority="9" operator="equal">
      <formula>"Nok"</formula>
    </cfRule>
    <cfRule type="cellIs" dxfId="32" priority="10" operator="equal">
      <formula>"Ok"</formula>
    </cfRule>
  </conditionalFormatting>
  <conditionalFormatting sqref="P23">
    <cfRule type="cellIs" dxfId="31" priority="7" operator="equal">
      <formula>"Nok"</formula>
    </cfRule>
    <cfRule type="cellIs" dxfId="30" priority="8" operator="equal">
      <formula>"Ok"</formula>
    </cfRule>
  </conditionalFormatting>
  <conditionalFormatting sqref="P22">
    <cfRule type="cellIs" dxfId="29" priority="3" operator="equal">
      <formula>"Nok"</formula>
    </cfRule>
    <cfRule type="cellIs" dxfId="28" priority="4" operator="equal">
      <formula>"Ok"</formula>
    </cfRule>
  </conditionalFormatting>
  <conditionalFormatting sqref="P24">
    <cfRule type="cellIs" dxfId="27" priority="1" operator="equal">
      <formula>"Nok"</formula>
    </cfRule>
    <cfRule type="cellIs" dxfId="26" priority="2" operator="equal">
      <formula>"Ok"</formula>
    </cfRule>
  </conditionalFormatting>
  <dataValidations count="3">
    <dataValidation type="list" allowBlank="1" showInputMessage="1" showErrorMessage="1" sqref="P22:P25" xr:uid="{FFC9CF8D-AB62-440D-B487-C8673949EDDD}">
      <formula1>"Ok, Nok, Not run, ,"</formula1>
    </dataValidation>
    <dataValidation type="list" allowBlank="1" showInputMessage="1" showErrorMessage="1" sqref="B9" xr:uid="{6D8FD1E7-0884-4125-9B8E-271021EE635E}">
      <formula1>"Ok, Nok, Not run, NA"</formula1>
    </dataValidation>
    <dataValidation type="list" allowBlank="1" showInputMessage="1" showErrorMessage="1" sqref="B5" xr:uid="{4D78F068-0BE8-4796-959B-34276475575B}">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E9178-D3D9-497F-BBBB-7703E1FDE392}">
  <sheetPr codeName="Sheet29"/>
  <dimension ref="A1:P26"/>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328</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271</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319</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33.75" customHeight="1" x14ac:dyDescent="0.25">
      <c r="A22" s="103" t="s">
        <v>49</v>
      </c>
      <c r="B22" s="194" t="s">
        <v>218</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220</v>
      </c>
      <c r="C23" s="216"/>
      <c r="D23" s="216"/>
      <c r="E23" s="216"/>
      <c r="F23" s="216"/>
      <c r="G23" s="217"/>
      <c r="H23" s="190" t="s">
        <v>134</v>
      </c>
      <c r="I23" s="190"/>
      <c r="J23" s="190"/>
      <c r="K23" s="190"/>
      <c r="L23" s="190" t="s">
        <v>134</v>
      </c>
      <c r="M23" s="190"/>
      <c r="N23" s="190"/>
      <c r="O23" s="190"/>
      <c r="P23" s="98" t="s">
        <v>128</v>
      </c>
    </row>
    <row r="24" spans="1:16" ht="40.950000000000003" customHeight="1" x14ac:dyDescent="0.25">
      <c r="A24" s="103" t="s">
        <v>51</v>
      </c>
      <c r="B24" s="215" t="s">
        <v>318</v>
      </c>
      <c r="C24" s="216"/>
      <c r="D24" s="216"/>
      <c r="E24" s="216"/>
      <c r="F24" s="216"/>
      <c r="G24" s="217"/>
      <c r="H24" s="190" t="s">
        <v>134</v>
      </c>
      <c r="I24" s="190"/>
      <c r="J24" s="190"/>
      <c r="K24" s="190"/>
      <c r="L24" s="190" t="s">
        <v>134</v>
      </c>
      <c r="M24" s="190"/>
      <c r="N24" s="190"/>
      <c r="O24" s="190"/>
      <c r="P24" s="98" t="s">
        <v>128</v>
      </c>
    </row>
    <row r="25" spans="1:16" ht="43.5" customHeight="1" x14ac:dyDescent="0.25">
      <c r="A25" s="103" t="s">
        <v>52</v>
      </c>
      <c r="B25" s="229" t="s">
        <v>242</v>
      </c>
      <c r="C25" s="230"/>
      <c r="D25" s="230"/>
      <c r="E25" s="230"/>
      <c r="F25" s="230"/>
      <c r="G25" s="231"/>
      <c r="H25" s="190" t="s">
        <v>134</v>
      </c>
      <c r="I25" s="190"/>
      <c r="J25" s="190"/>
      <c r="K25" s="190"/>
      <c r="L25" s="190" t="s">
        <v>134</v>
      </c>
      <c r="M25" s="190"/>
      <c r="N25" s="190"/>
      <c r="O25" s="190"/>
      <c r="P25" s="98" t="s">
        <v>128</v>
      </c>
    </row>
    <row r="26" spans="1:16" x14ac:dyDescent="0.25">
      <c r="B26" s="99"/>
      <c r="C26" s="99"/>
      <c r="D26" s="99"/>
      <c r="E26" s="99"/>
      <c r="F26" s="99"/>
      <c r="G26" s="99"/>
      <c r="H26" s="99"/>
    </row>
  </sheetData>
  <mergeCells count="22">
    <mergeCell ref="A16:A19"/>
    <mergeCell ref="B16:G19"/>
    <mergeCell ref="B1:G1"/>
    <mergeCell ref="B3:G3"/>
    <mergeCell ref="B7:G7"/>
    <mergeCell ref="A11:A14"/>
    <mergeCell ref="B11:G14"/>
    <mergeCell ref="A21:G21"/>
    <mergeCell ref="H21:K21"/>
    <mergeCell ref="L21:O21"/>
    <mergeCell ref="B22:G22"/>
    <mergeCell ref="H22:K22"/>
    <mergeCell ref="L22:O22"/>
    <mergeCell ref="B25:G25"/>
    <mergeCell ref="H25:K25"/>
    <mergeCell ref="L25:O25"/>
    <mergeCell ref="B23:G23"/>
    <mergeCell ref="H23:K23"/>
    <mergeCell ref="L23:O23"/>
    <mergeCell ref="B24:G24"/>
    <mergeCell ref="H24:K24"/>
    <mergeCell ref="L24:O24"/>
  </mergeCells>
  <conditionalFormatting sqref="B9:B10">
    <cfRule type="cellIs" dxfId="25" priority="17" operator="equal">
      <formula>"Nok"</formula>
    </cfRule>
    <cfRule type="cellIs" dxfId="24" priority="18" operator="equal">
      <formula>"Ok"</formula>
    </cfRule>
  </conditionalFormatting>
  <conditionalFormatting sqref="P23">
    <cfRule type="cellIs" dxfId="23" priority="9" operator="equal">
      <formula>"Nok"</formula>
    </cfRule>
    <cfRule type="cellIs" dxfId="22" priority="10" operator="equal">
      <formula>"Ok"</formula>
    </cfRule>
  </conditionalFormatting>
  <conditionalFormatting sqref="P22">
    <cfRule type="cellIs" dxfId="21" priority="5" operator="equal">
      <formula>"Nok"</formula>
    </cfRule>
    <cfRule type="cellIs" dxfId="20" priority="6" operator="equal">
      <formula>"Ok"</formula>
    </cfRule>
  </conditionalFormatting>
  <conditionalFormatting sqref="P24">
    <cfRule type="cellIs" dxfId="19" priority="3" operator="equal">
      <formula>"Nok"</formula>
    </cfRule>
    <cfRule type="cellIs" dxfId="18" priority="4" operator="equal">
      <formula>"Ok"</formula>
    </cfRule>
  </conditionalFormatting>
  <conditionalFormatting sqref="P25">
    <cfRule type="cellIs" dxfId="17" priority="1" operator="equal">
      <formula>"Nok"</formula>
    </cfRule>
    <cfRule type="cellIs" dxfId="16" priority="2" operator="equal">
      <formula>"Ok"</formula>
    </cfRule>
  </conditionalFormatting>
  <dataValidations count="3">
    <dataValidation type="list" allowBlank="1" showInputMessage="1" showErrorMessage="1" sqref="B5" xr:uid="{688DBE64-8F94-489B-8CDA-89AD67C91F00}">
      <formula1>"Nominal, Robustness, Endurance, Qualification"</formula1>
    </dataValidation>
    <dataValidation type="list" allowBlank="1" showInputMessage="1" showErrorMessage="1" sqref="B9" xr:uid="{EFDC98B5-7637-46D0-99DD-6FBA90619399}">
      <formula1>"Ok, Nok, Not run, NA"</formula1>
    </dataValidation>
    <dataValidation type="list" allowBlank="1" showInputMessage="1" showErrorMessage="1" sqref="P22:P25" xr:uid="{BA5139E3-0FE3-4604-84AC-2CAE3A2257A4}">
      <formula1>"Ok, Nok, Not run, ,"</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33F89-5888-4E08-8559-231A927E53CC}">
  <sheetPr codeName="Sheet31"/>
  <dimension ref="A1:P30"/>
  <sheetViews>
    <sheetView workbookViewId="0"/>
  </sheetViews>
  <sheetFormatPr defaultColWidth="9.33203125" defaultRowHeight="13.2" x14ac:dyDescent="0.25"/>
  <cols>
    <col min="1" max="1" width="20.33203125" style="99"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0" t="s">
        <v>40</v>
      </c>
      <c r="B1" s="208" t="s">
        <v>337</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1" t="s">
        <v>45</v>
      </c>
      <c r="B3" s="211" t="s">
        <v>292</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0"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0" t="s">
        <v>41</v>
      </c>
      <c r="B7" s="211" t="s">
        <v>295</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0" t="s">
        <v>42</v>
      </c>
      <c r="B9" s="104"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7" t="s">
        <v>109</v>
      </c>
      <c r="B11" s="199" t="s">
        <v>297</v>
      </c>
      <c r="C11" s="200"/>
      <c r="D11" s="200"/>
      <c r="E11" s="200"/>
      <c r="F11" s="200"/>
      <c r="G11" s="201"/>
      <c r="H11" s="74"/>
      <c r="I11" s="74"/>
      <c r="J11" s="74"/>
      <c r="K11" s="74"/>
      <c r="L11" s="74"/>
      <c r="M11" s="74"/>
      <c r="N11" s="74"/>
      <c r="O11" s="74"/>
    </row>
    <row r="12" spans="1:15" x14ac:dyDescent="0.25">
      <c r="A12" s="198"/>
      <c r="B12" s="202"/>
      <c r="C12" s="214"/>
      <c r="D12" s="214"/>
      <c r="E12" s="214"/>
      <c r="F12" s="214"/>
      <c r="G12" s="204"/>
      <c r="H12" s="74"/>
      <c r="I12" s="74"/>
      <c r="J12" s="74"/>
      <c r="K12" s="74"/>
      <c r="L12" s="74"/>
      <c r="M12" s="74"/>
      <c r="N12" s="74"/>
      <c r="O12" s="74"/>
    </row>
    <row r="13" spans="1:15" x14ac:dyDescent="0.25">
      <c r="A13" s="198"/>
      <c r="B13" s="202"/>
      <c r="C13" s="214"/>
      <c r="D13" s="214"/>
      <c r="E13" s="214"/>
      <c r="F13" s="214"/>
      <c r="G13" s="204"/>
      <c r="H13" s="72"/>
      <c r="I13" s="74"/>
      <c r="J13" s="74"/>
      <c r="K13" s="74"/>
      <c r="L13" s="74"/>
      <c r="M13" s="74"/>
      <c r="N13" s="74"/>
      <c r="O13" s="74"/>
    </row>
    <row r="14" spans="1:15" ht="13.8" thickBot="1" x14ac:dyDescent="0.3">
      <c r="A14" s="198"/>
      <c r="B14" s="205"/>
      <c r="C14" s="206"/>
      <c r="D14" s="206"/>
      <c r="E14" s="206"/>
      <c r="F14" s="206"/>
      <c r="G14" s="207"/>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7" t="s">
        <v>43</v>
      </c>
      <c r="B16" s="199" t="s">
        <v>298</v>
      </c>
      <c r="C16" s="200"/>
      <c r="D16" s="200"/>
      <c r="E16" s="200"/>
      <c r="F16" s="200"/>
      <c r="G16" s="201"/>
      <c r="H16" s="74"/>
      <c r="I16" s="74"/>
      <c r="J16" s="74"/>
      <c r="K16" s="74"/>
      <c r="L16" s="74"/>
      <c r="M16" s="74"/>
      <c r="N16" s="74"/>
      <c r="O16" s="74"/>
    </row>
    <row r="17" spans="1:16" x14ac:dyDescent="0.25">
      <c r="A17" s="198"/>
      <c r="B17" s="202"/>
      <c r="C17" s="203"/>
      <c r="D17" s="203"/>
      <c r="E17" s="203"/>
      <c r="F17" s="203"/>
      <c r="G17" s="204"/>
      <c r="H17" s="74"/>
      <c r="I17" s="74"/>
      <c r="J17" s="74"/>
      <c r="K17" s="74"/>
      <c r="L17" s="74"/>
      <c r="M17" s="74"/>
      <c r="N17" s="74"/>
      <c r="O17" s="74"/>
    </row>
    <row r="18" spans="1:16" x14ac:dyDescent="0.25">
      <c r="A18" s="198"/>
      <c r="B18" s="202"/>
      <c r="C18" s="203"/>
      <c r="D18" s="203"/>
      <c r="E18" s="203"/>
      <c r="F18" s="203"/>
      <c r="G18" s="204"/>
      <c r="H18" s="72"/>
      <c r="I18" s="74"/>
      <c r="J18" s="74"/>
      <c r="K18" s="74"/>
      <c r="L18" s="74"/>
      <c r="M18" s="74"/>
      <c r="N18" s="74"/>
      <c r="O18" s="74"/>
    </row>
    <row r="19" spans="1:16" ht="13.8" thickBot="1" x14ac:dyDescent="0.3">
      <c r="A19" s="198"/>
      <c r="B19" s="205"/>
      <c r="C19" s="206"/>
      <c r="D19" s="206"/>
      <c r="E19" s="206"/>
      <c r="F19" s="206"/>
      <c r="G19" s="207"/>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1" t="s">
        <v>47</v>
      </c>
      <c r="B21" s="192"/>
      <c r="C21" s="192"/>
      <c r="D21" s="192"/>
      <c r="E21" s="192"/>
      <c r="F21" s="192"/>
      <c r="G21" s="193"/>
      <c r="H21" s="191" t="s">
        <v>48</v>
      </c>
      <c r="I21" s="192"/>
      <c r="J21" s="192"/>
      <c r="K21" s="193"/>
      <c r="L21" s="191" t="s">
        <v>57</v>
      </c>
      <c r="M21" s="192"/>
      <c r="N21" s="192"/>
      <c r="O21" s="193"/>
      <c r="P21" s="102" t="s">
        <v>46</v>
      </c>
    </row>
    <row r="22" spans="1:16" ht="55.2" customHeight="1" x14ac:dyDescent="0.25">
      <c r="A22" s="103" t="s">
        <v>49</v>
      </c>
      <c r="B22" s="194" t="s">
        <v>141</v>
      </c>
      <c r="C22" s="195"/>
      <c r="D22" s="195"/>
      <c r="E22" s="195"/>
      <c r="F22" s="195"/>
      <c r="G22" s="196"/>
      <c r="H22" s="190" t="s">
        <v>134</v>
      </c>
      <c r="I22" s="190"/>
      <c r="J22" s="190"/>
      <c r="K22" s="190"/>
      <c r="L22" s="190" t="s">
        <v>134</v>
      </c>
      <c r="M22" s="190"/>
      <c r="N22" s="190"/>
      <c r="O22" s="190"/>
      <c r="P22" s="98" t="s">
        <v>128</v>
      </c>
    </row>
    <row r="23" spans="1:16" ht="36" customHeight="1" x14ac:dyDescent="0.25">
      <c r="A23" s="103" t="s">
        <v>50</v>
      </c>
      <c r="B23" s="215" t="s">
        <v>205</v>
      </c>
      <c r="C23" s="216"/>
      <c r="D23" s="216"/>
      <c r="E23" s="216"/>
      <c r="F23" s="216"/>
      <c r="G23" s="217"/>
      <c r="H23" s="190" t="s">
        <v>134</v>
      </c>
      <c r="I23" s="190"/>
      <c r="J23" s="190"/>
      <c r="K23" s="190"/>
      <c r="L23" s="190" t="s">
        <v>134</v>
      </c>
      <c r="M23" s="190"/>
      <c r="N23" s="190"/>
      <c r="O23" s="190"/>
      <c r="P23" s="98" t="s">
        <v>128</v>
      </c>
    </row>
    <row r="24" spans="1:16" ht="40.950000000000003" customHeight="1" x14ac:dyDescent="0.25">
      <c r="A24" s="103" t="s">
        <v>51</v>
      </c>
      <c r="B24" s="215" t="s">
        <v>206</v>
      </c>
      <c r="C24" s="216"/>
      <c r="D24" s="216"/>
      <c r="E24" s="216"/>
      <c r="F24" s="216"/>
      <c r="G24" s="217"/>
      <c r="H24" s="190"/>
      <c r="I24" s="190"/>
      <c r="J24" s="190"/>
      <c r="K24" s="190"/>
      <c r="L24" s="190"/>
      <c r="M24" s="190"/>
      <c r="N24" s="190"/>
      <c r="O24" s="190"/>
      <c r="P24" s="98"/>
    </row>
    <row r="25" spans="1:16" ht="54.75" customHeight="1" x14ac:dyDescent="0.25">
      <c r="A25" s="103" t="s">
        <v>52</v>
      </c>
      <c r="B25" s="215" t="s">
        <v>294</v>
      </c>
      <c r="C25" s="216"/>
      <c r="D25" s="216"/>
      <c r="E25" s="216"/>
      <c r="F25" s="216"/>
      <c r="G25" s="217"/>
      <c r="H25" s="190" t="s">
        <v>134</v>
      </c>
      <c r="I25" s="190"/>
      <c r="J25" s="190"/>
      <c r="K25" s="190"/>
      <c r="L25" s="190" t="s">
        <v>134</v>
      </c>
      <c r="M25" s="190"/>
      <c r="N25" s="190"/>
      <c r="O25" s="190"/>
      <c r="P25" s="98" t="s">
        <v>128</v>
      </c>
    </row>
    <row r="26" spans="1:16" ht="39.450000000000003" customHeight="1" x14ac:dyDescent="0.25">
      <c r="A26" s="103" t="s">
        <v>53</v>
      </c>
      <c r="B26" s="215"/>
      <c r="C26" s="216"/>
      <c r="D26" s="216"/>
      <c r="E26" s="216"/>
      <c r="F26" s="216"/>
      <c r="G26" s="217"/>
      <c r="H26" s="190"/>
      <c r="I26" s="190"/>
      <c r="J26" s="190"/>
      <c r="K26" s="190"/>
      <c r="L26" s="190"/>
      <c r="M26" s="190"/>
      <c r="N26" s="190"/>
      <c r="O26" s="190"/>
      <c r="P26" s="98"/>
    </row>
    <row r="27" spans="1:16" ht="86.25" customHeight="1" x14ac:dyDescent="0.25">
      <c r="A27" s="103" t="s">
        <v>54</v>
      </c>
      <c r="B27" s="215"/>
      <c r="C27" s="216"/>
      <c r="D27" s="216"/>
      <c r="E27" s="216"/>
      <c r="F27" s="216"/>
      <c r="G27" s="217"/>
      <c r="H27" s="189"/>
      <c r="I27" s="189"/>
      <c r="J27" s="189"/>
      <c r="K27" s="189"/>
      <c r="L27" s="189"/>
      <c r="M27" s="189"/>
      <c r="N27" s="189"/>
      <c r="O27" s="189"/>
      <c r="P27" s="98"/>
    </row>
    <row r="28" spans="1:16" ht="33.6" customHeight="1" x14ac:dyDescent="0.25">
      <c r="A28" s="103" t="s">
        <v>55</v>
      </c>
      <c r="B28" s="186"/>
      <c r="C28" s="187"/>
      <c r="D28" s="187"/>
      <c r="E28" s="187"/>
      <c r="F28" s="187"/>
      <c r="G28" s="188"/>
      <c r="H28" s="189"/>
      <c r="I28" s="189"/>
      <c r="J28" s="189"/>
      <c r="K28" s="189"/>
      <c r="L28" s="189"/>
      <c r="M28" s="189"/>
      <c r="N28" s="189"/>
      <c r="O28" s="189"/>
      <c r="P28" s="98"/>
    </row>
    <row r="29" spans="1:16" x14ac:dyDescent="0.25">
      <c r="B29" s="99"/>
      <c r="C29" s="99"/>
      <c r="D29" s="99"/>
      <c r="E29" s="99"/>
      <c r="F29" s="99"/>
      <c r="G29" s="99"/>
      <c r="H29" s="99"/>
    </row>
    <row r="30" spans="1:16" x14ac:dyDescent="0.25">
      <c r="B30" s="99"/>
      <c r="C30" s="99"/>
      <c r="D30" s="99"/>
      <c r="E30" s="99"/>
      <c r="F30" s="99"/>
      <c r="G30" s="99"/>
      <c r="H30" s="99"/>
    </row>
  </sheetData>
  <mergeCells count="31">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s>
  <conditionalFormatting sqref="B9:B10">
    <cfRule type="cellIs" dxfId="15" priority="25" operator="equal">
      <formula>"Nok"</formula>
    </cfRule>
    <cfRule type="cellIs" dxfId="14" priority="26" operator="equal">
      <formula>"Ok"</formula>
    </cfRule>
  </conditionalFormatting>
  <conditionalFormatting sqref="P28">
    <cfRule type="cellIs" dxfId="13" priority="23" operator="equal">
      <formula>"Nok"</formula>
    </cfRule>
    <cfRule type="cellIs" dxfId="12" priority="24" operator="equal">
      <formula>"Ok"</formula>
    </cfRule>
  </conditionalFormatting>
  <conditionalFormatting sqref="P27">
    <cfRule type="cellIs" dxfId="11" priority="21" operator="equal">
      <formula>"Nok"</formula>
    </cfRule>
    <cfRule type="cellIs" dxfId="10" priority="22" operator="equal">
      <formula>"Ok"</formula>
    </cfRule>
  </conditionalFormatting>
  <conditionalFormatting sqref="P25">
    <cfRule type="cellIs" dxfId="9" priority="9" operator="equal">
      <formula>"Nok"</formula>
    </cfRule>
    <cfRule type="cellIs" dxfId="8" priority="10" operator="equal">
      <formula>"Ok"</formula>
    </cfRule>
  </conditionalFormatting>
  <conditionalFormatting sqref="P24">
    <cfRule type="cellIs" dxfId="7" priority="7" operator="equal">
      <formula>"Nok"</formula>
    </cfRule>
    <cfRule type="cellIs" dxfId="6" priority="8" operator="equal">
      <formula>"Ok"</formula>
    </cfRule>
  </conditionalFormatting>
  <conditionalFormatting sqref="P23">
    <cfRule type="cellIs" dxfId="5" priority="5" operator="equal">
      <formula>"Nok"</formula>
    </cfRule>
    <cfRule type="cellIs" dxfId="4" priority="6" operator="equal">
      <formula>"Ok"</formula>
    </cfRule>
  </conditionalFormatting>
  <conditionalFormatting sqref="P26">
    <cfRule type="cellIs" dxfId="3" priority="3" operator="equal">
      <formula>"Nok"</formula>
    </cfRule>
    <cfRule type="cellIs" dxfId="2" priority="4" operator="equal">
      <formula>"Ok"</formula>
    </cfRule>
  </conditionalFormatting>
  <conditionalFormatting sqref="P22">
    <cfRule type="cellIs" dxfId="1" priority="1" operator="equal">
      <formula>"Nok"</formula>
    </cfRule>
    <cfRule type="cellIs" dxfId="0" priority="2" operator="equal">
      <formula>"Ok"</formula>
    </cfRule>
  </conditionalFormatting>
  <dataValidations count="3">
    <dataValidation type="list" allowBlank="1" showInputMessage="1" showErrorMessage="1" sqref="P22:P28" xr:uid="{4373D952-83F7-4D56-ACCF-03271C9AF477}">
      <formula1>"Ok, Nok, Not run, ,"</formula1>
    </dataValidation>
    <dataValidation type="list" allowBlank="1" showInputMessage="1" showErrorMessage="1" sqref="B9" xr:uid="{0A021517-7A5A-407C-A22C-AB672622C4D7}">
      <formula1>"Ok, Nok, Not run, NA"</formula1>
    </dataValidation>
    <dataValidation type="list" allowBlank="1" showInputMessage="1" showErrorMessage="1" sqref="B5" xr:uid="{C85F717E-9060-4398-A154-78CD18241AC8}">
      <formula1>"Nominal, Robustness, Endurance, Qualification"</formula1>
    </dataValidation>
  </dataValidations>
  <pageMargins left="0.7" right="0.7" top="0.75" bottom="0.75" header="0.3" footer="0.3"/>
  <pageSetup paperSize="9" orientation="portrait" r:id="rId1"/>
  <headerFooter>
    <oddFooter>&amp;LNA ver 1.3&amp;R&amp;P</oddFooter>
  </headerFooter>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F6"/>
  <sheetViews>
    <sheetView workbookViewId="0">
      <selection activeCell="C4" sqref="C4"/>
    </sheetView>
  </sheetViews>
  <sheetFormatPr defaultColWidth="9.33203125" defaultRowHeight="14.4" x14ac:dyDescent="0.3"/>
  <cols>
    <col min="1" max="1" width="4.33203125" style="79" customWidth="1"/>
    <col min="2" max="2" width="24.6640625" style="79" customWidth="1"/>
    <col min="3" max="3" width="4.5546875" style="79" customWidth="1"/>
    <col min="4" max="4" width="4.44140625" style="79" customWidth="1"/>
    <col min="5" max="5" width="29.6640625" style="79" bestFit="1" customWidth="1"/>
    <col min="6" max="6" width="7.6640625" style="79" bestFit="1" customWidth="1"/>
    <col min="7" max="16384" width="9.33203125" style="79"/>
  </cols>
  <sheetData>
    <row r="2" spans="2:6" x14ac:dyDescent="0.3">
      <c r="B2" s="80" t="s">
        <v>58</v>
      </c>
      <c r="C2" s="80">
        <f ca="1">COUNTIF('Tests Synthesis'!K3:K45, "Ok")</f>
        <v>20</v>
      </c>
      <c r="E2" s="81" t="s">
        <v>59</v>
      </c>
      <c r="F2" s="82">
        <f ca="1">IF(C6=0,0,C2/C6)</f>
        <v>0.95238095238095233</v>
      </c>
    </row>
    <row r="3" spans="2:6" x14ac:dyDescent="0.3">
      <c r="B3" s="80" t="s">
        <v>60</v>
      </c>
      <c r="C3" s="80">
        <f ca="1">COUNTIF('Tests Synthesis'!K3:K45, "Nok")</f>
        <v>1</v>
      </c>
      <c r="E3" s="81" t="s">
        <v>61</v>
      </c>
      <c r="F3" s="82">
        <f ca="1">IF(C6=0,0,C3/C6)</f>
        <v>4.7619047619047616E-2</v>
      </c>
    </row>
    <row r="4" spans="2:6" x14ac:dyDescent="0.3">
      <c r="B4" s="80" t="s">
        <v>62</v>
      </c>
      <c r="C4" s="80">
        <f ca="1">COUNTIF('Tests Synthesis'!K3:K45, "not run")</f>
        <v>0</v>
      </c>
      <c r="E4" s="80" t="s">
        <v>63</v>
      </c>
      <c r="F4" s="82">
        <f ca="1">IF(C6=0,0,C4/C6)</f>
        <v>0</v>
      </c>
    </row>
    <row r="5" spans="2:6" x14ac:dyDescent="0.3">
      <c r="B5" s="80" t="s">
        <v>114</v>
      </c>
      <c r="C5" s="80">
        <f ca="1">COUNTIF('Tests Synthesis'!K4:K46, "NA")</f>
        <v>0</v>
      </c>
      <c r="E5" s="80" t="s">
        <v>115</v>
      </c>
      <c r="F5" s="82">
        <f>IF(C7=0,0,C5/C7)</f>
        <v>0</v>
      </c>
    </row>
    <row r="6" spans="2:6" x14ac:dyDescent="0.3">
      <c r="B6" s="80" t="s">
        <v>64</v>
      </c>
      <c r="C6" s="80">
        <f ca="1">SUM(C2:C4)</f>
        <v>21</v>
      </c>
    </row>
  </sheetData>
  <pageMargins left="0.7" right="0.7" top="0.75" bottom="0.75" header="0.3" footer="0.3"/>
  <pageSetup paperSize="9" orientation="portrait" r:id="rId1"/>
  <headerFooter>
    <oddFooter>&amp;LNA ver 1.3&amp;R&amp;P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12</vt:i4>
      </vt:variant>
    </vt:vector>
  </HeadingPairs>
  <TitlesOfParts>
    <vt:vector size="38" baseType="lpstr">
      <vt:lpstr>FrontPage</vt:lpstr>
      <vt:lpstr>General info</vt:lpstr>
      <vt:lpstr>Guide (help)</vt:lpstr>
      <vt:lpstr>Tests Synthesis</vt:lpstr>
      <vt:lpstr>SW_IT_ATM_0001</vt:lpstr>
      <vt:lpstr>SW_IT_ATM_0002</vt:lpstr>
      <vt:lpstr>SW_IT_ATM_0003</vt:lpstr>
      <vt:lpstr>SW_IT_ATM_0004</vt:lpstr>
      <vt:lpstr>SW_IT_ATM_0005</vt:lpstr>
      <vt:lpstr>SW_IT_ATM_0006</vt:lpstr>
      <vt:lpstr>SW_IT_ATM_0007</vt:lpstr>
      <vt:lpstr>SW_IT_ATM_0008</vt:lpstr>
      <vt:lpstr>SW_IT_ATM_0009</vt:lpstr>
      <vt:lpstr>SW_IT_ATM_0010</vt:lpstr>
      <vt:lpstr>SW_IT_ATM_0011</vt:lpstr>
      <vt:lpstr>SW_IT_ATM_0012</vt:lpstr>
      <vt:lpstr>SW_IT_ATM_0013</vt:lpstr>
      <vt:lpstr>SW_IT_ATM_0014</vt:lpstr>
      <vt:lpstr>SW_IT_ATM_0015</vt:lpstr>
      <vt:lpstr>SW_IT_ATM_0016</vt:lpstr>
      <vt:lpstr>SW_IT_ATM_0017</vt:lpstr>
      <vt:lpstr>SW_IT_ATM_0018</vt:lpstr>
      <vt:lpstr>SW_IT_ATM_0019</vt:lpstr>
      <vt:lpstr>SW_IT_ATM_0020</vt:lpstr>
      <vt:lpstr>SW_IT_ATM_0021</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Kask</dc:creator>
  <cp:lastModifiedBy>Mihai Ianos</cp:lastModifiedBy>
  <cp:lastPrinted>2011-11-28T23:54:39Z</cp:lastPrinted>
  <dcterms:created xsi:type="dcterms:W3CDTF">2008-08-11T11:06:44Z</dcterms:created>
  <dcterms:modified xsi:type="dcterms:W3CDTF">2022-10-27T13:57:09Z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heckin User" linkTarget="PLMDocAuthor">
    <vt:lpwstr>Ciprian Galbau</vt:lpwstr>
  </property>
  <property fmtid="{D5CDD505-2E9C-101B-9397-08002B2CF9AE}" pid="15" name="MXCurrent">
    <vt:lpwstr>Preliminary</vt:lpwstr>
  </property>
  <property fmtid="{D5CDD505-2E9C-101B-9397-08002B2CF9AE}" pid="16" name="MXDescription">
    <vt:lpwstr/>
  </property>
  <property fmtid="{D5CDD505-2E9C-101B-9397-08002B2CF9AE}" pid="17" name="MXDesignated User">
    <vt:lpwstr>Unassigned</vt:lpwstr>
  </property>
  <property fmtid="{D5CDD505-2E9C-101B-9397-08002B2CF9AE}" pid="18" name="MXEmail">
    <vt:lpwstr>johannes.kask@autoliv.com</vt:lpwstr>
  </property>
  <property fmtid="{D5CDD505-2E9C-101B-9397-08002B2CF9AE}" pid="19" name="MXFirstName">
    <vt:lpwstr>Johannes</vt:lpwstr>
  </property>
  <property fmtid="{D5CDD505-2E9C-101B-9397-08002B2CF9AE}" pid="20" name="MXIs Version Object">
    <vt:lpwstr>False</vt:lpwstr>
  </property>
  <property fmtid="{D5CDD505-2E9C-101B-9397-08002B2CF9AE}" pid="21" name="MXLanguage">
    <vt:lpwstr>English</vt:lpwstr>
  </property>
  <property fmtid="{D5CDD505-2E9C-101B-9397-08002B2CF9AE}" pid="22" name="MXLastName">
    <vt:lpwstr>Kask</vt:lpwstr>
  </property>
  <property fmtid="{D5CDD505-2E9C-101B-9397-08002B2CF9AE}" pid="23" name="MXLatestVersion">
    <vt:lpwstr>3</vt:lpwstr>
  </property>
  <property fmtid="{D5CDD505-2E9C-101B-9397-08002B2CF9AE}" pid="24" name="MXMiddleName">
    <vt:lpwstr/>
  </property>
  <property fmtid="{D5CDD505-2E9C-101B-9397-08002B2CF9AE}" pid="25" name="MXMove Files To Version">
    <vt:lpwstr>False</vt:lpwstr>
  </property>
  <property fmtid="{D5CDD505-2E9C-101B-9397-08002B2CF9AE}" pid="26" name="MXOriginator">
    <vt:lpwstr>Mats Sundin</vt:lpwstr>
  </property>
  <property fmtid="{D5CDD505-2E9C-101B-9397-08002B2CF9AE}" pid="27" name="MXPolicy" linkTarget="MXPolicy">
    <vt:lpwstr>#REF!</vt:lpwstr>
  </property>
  <property fmtid="{D5CDD505-2E9C-101B-9397-08002B2CF9AE}" pid="28" name="MXPolicy.Localized">
    <vt:lpwstr>NoReview Document</vt:lpwstr>
  </property>
  <property fmtid="{D5CDD505-2E9C-101B-9397-08002B2CF9AE}" pid="29" name="MXRoute_In-Work_date">
    <vt:lpwstr/>
  </property>
  <property fmtid="{D5CDD505-2E9C-101B-9397-08002B2CF9AE}" pid="30" name="MXRoute_In-Work_name">
    <vt:lpwstr/>
  </property>
  <property fmtid="{D5CDD505-2E9C-101B-9397-08002B2CF9AE}" pid="31" name="MXRoute_Released_date">
    <vt:lpwstr/>
  </property>
  <property fmtid="{D5CDD505-2E9C-101B-9397-08002B2CF9AE}" pid="32" name="MXRoute_Released_name">
    <vt:lpwstr/>
  </property>
  <property fmtid="{D5CDD505-2E9C-101B-9397-08002B2CF9AE}" pid="33" name="MXRoute_Superseded_date">
    <vt:lpwstr/>
  </property>
  <property fmtid="{D5CDD505-2E9C-101B-9397-08002B2CF9AE}" pid="34" name="MXRoute_Superseded_name">
    <vt:lpwstr/>
  </property>
  <property fmtid="{D5CDD505-2E9C-101B-9397-08002B2CF9AE}" pid="35" name="MXSignatures_state_Preliminary">
    <vt:lpwstr/>
  </property>
  <property fmtid="{D5CDD505-2E9C-101B-9397-08002B2CF9AE}" pid="36" name="MXSignatures_state_Released">
    <vt:lpwstr/>
  </property>
  <property fmtid="{D5CDD505-2E9C-101B-9397-08002B2CF9AE}" pid="37" name="MXSignatures_state_Superceded">
    <vt:lpwstr/>
  </property>
  <property fmtid="{D5CDD505-2E9C-101B-9397-08002B2CF9AE}" pid="38" name="MXSuspend Versioning">
    <vt:lpwstr>False</vt:lpwstr>
  </property>
  <property fmtid="{D5CDD505-2E9C-101B-9397-08002B2CF9AE}" pid="39" name="MXType">
    <vt:lpwstr>alvProjectManagement</vt:lpwstr>
  </property>
  <property fmtid="{D5CDD505-2E9C-101B-9397-08002B2CF9AE}" pid="40" name="MXType.Localized" linkTarget="MXType.Localized">
    <vt:lpwstr>#REF!</vt:lpwstr>
  </property>
  <property fmtid="{D5CDD505-2E9C-101B-9397-08002B2CF9AE}" pid="41" name="MXDocTemplate_Name">
    <vt:lpwstr>SW04TEM001</vt:lpwstr>
  </property>
</Properties>
</file>