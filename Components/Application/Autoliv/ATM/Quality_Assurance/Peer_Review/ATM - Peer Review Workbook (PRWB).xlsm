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Users\tudor.gligor\Documents\Sandboxes\DAI_MMA\Components\Application\Autoliv\ATM\Quality_Assurance\Peer_Review\"/>
    </mc:Choice>
  </mc:AlternateContent>
  <xr:revisionPtr revIDLastSave="0" documentId="13_ncr:1_{A9A7CEE7-C1B3-45BE-85DD-79DCF25235CC}" xr6:coauthVersionLast="47" xr6:coauthVersionMax="47" xr10:uidLastSave="{00000000-0000-0000-0000-000000000000}"/>
  <bookViews>
    <workbookView xWindow="-108" yWindow="-108" windowWidth="23256" windowHeight="12576" tabRatio="750" activeTab="6"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functionGroups builtInGroupCount="19"/>
  <externalReferences>
    <externalReference r:id="rId11"/>
    <externalReference r:id="rId12"/>
    <externalReference r:id="rId13"/>
  </externalReferences>
  <definedNames>
    <definedName name="_xlnm._FilterDatabase" localSheetId="5" hidden="1">Review!$A$4:$M$191</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checklist'!$X$3</definedName>
    <definedName name="Title.Checklist.Guide.HowToRate" localSheetId="8">'ITSR checklist'!$N$3</definedName>
    <definedName name="Title.Checklist.Guide.HowToRate" localSheetId="6">'SDD checklist'!$T$3</definedName>
    <definedName name="Title.Checklist.Guide.HowToRate" localSheetId="9">'UTSR checklist'!$P$3</definedName>
    <definedName name="Title.Checklist.Guide.WhatToCheck" localSheetId="7">'CODE checklist'!$W$3</definedName>
    <definedName name="Title.Checklist.Guide.WhatToCheck" localSheetId="8">'ITSR checklist'!$M$3</definedName>
    <definedName name="Title.Checklist.Guide.WhatToCheck" localSheetId="6">'SDD checklist'!$S$3</definedName>
    <definedName name="Title.Checklist.Guide.WhatToCheck" localSheetId="9">'UTSR checklist'!$O$3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checklist'!$B$31</definedName>
    <definedName name="Title.Checklist.NoteForAuditor" localSheetId="7">'CODE checklist'!$W$2</definedName>
    <definedName name="Title.Checklist.NoteForAuditor" localSheetId="8">'ITSR checklist'!$M$2</definedName>
    <definedName name="Title.Checklist.NoteForAuditor" localSheetId="6">'SDD checklist'!$S$2</definedName>
    <definedName name="Title.Checklist.NoteForAuditor" localSheetId="9">'UTSR checklist'!$O$2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 i="198" l="1"/>
  <c r="K3" i="201"/>
  <c r="L3" i="201"/>
  <c r="U3" i="199"/>
  <c r="T3" i="199"/>
  <c r="Q3" i="199"/>
  <c r="K3" i="198"/>
  <c r="W5" i="38"/>
  <c r="W7" i="38"/>
  <c r="J3" i="201" l="1"/>
  <c r="P3" i="199"/>
  <c r="J3" i="198"/>
  <c r="O3" i="199"/>
  <c r="I3" i="198"/>
  <c r="N3" i="199"/>
  <c r="M3" i="199"/>
  <c r="L3" i="199"/>
  <c r="I3" i="201"/>
  <c r="H3" i="201"/>
  <c r="K3" i="199"/>
  <c r="G3" i="201"/>
  <c r="F3" i="201"/>
  <c r="K3" i="200"/>
  <c r="J3" i="200"/>
  <c r="I3" i="199"/>
  <c r="E3" i="201"/>
  <c r="G3" i="199"/>
  <c r="F3" i="199"/>
  <c r="F3" i="198"/>
  <c r="E3" i="198"/>
  <c r="I3" i="200" l="1"/>
  <c r="H3" i="200"/>
  <c r="G3" i="200"/>
  <c r="F3" i="200"/>
  <c r="E3" i="200"/>
  <c r="E3" i="199"/>
  <c r="D3" i="201" l="1"/>
  <c r="C3" i="200"/>
  <c r="D3" i="198"/>
  <c r="C3" i="198"/>
  <c r="G3" i="198"/>
  <c r="C3" i="201" l="1"/>
  <c r="E44" i="16" l="1"/>
  <c r="E37" i="16"/>
  <c r="H27" i="16"/>
  <c r="G27" i="16"/>
  <c r="F27" i="16"/>
  <c r="E27" i="16"/>
  <c r="M3" i="201" l="1"/>
  <c r="D3" i="200"/>
  <c r="S3" i="199"/>
  <c r="R3" i="199"/>
  <c r="J3" i="199"/>
  <c r="H3" i="199"/>
  <c r="D3" i="199"/>
  <c r="Q3" i="198"/>
  <c r="P3" i="198"/>
  <c r="O3" i="198"/>
  <c r="N3" i="198"/>
  <c r="L3" i="198"/>
  <c r="H3" i="198"/>
  <c r="X27" i="16"/>
  <c r="W27" i="16"/>
  <c r="V27" i="16"/>
  <c r="U27" i="16"/>
  <c r="T27" i="16"/>
  <c r="S27" i="16"/>
  <c r="R27" i="16"/>
  <c r="Q27" i="16"/>
  <c r="P27" i="16"/>
  <c r="O27" i="16"/>
  <c r="N27" i="16"/>
  <c r="M27" i="16"/>
  <c r="L27" i="16"/>
  <c r="K27" i="16"/>
  <c r="J27" i="16"/>
  <c r="I27" i="16"/>
  <c r="C3" i="199" l="1"/>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1"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<sst xmlns="http://schemas.openxmlformats.org/spreadsheetml/2006/main" count="3250" uniqueCount="675">
  <si>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</si>
  <si>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</si>
  <si>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</si>
  <si>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</si>
  <si>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</si>
  <si>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</si>
  <si>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</si>
  <si>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</si>
  <si>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</si>
  <si>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</si>
  <si>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</si>
  <si>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</si>
  <si>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</si>
  <si>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</si>
  <si>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</si>
  <si>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</si>
  <si>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</si>
  <si>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</si>
  <si>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</si>
  <si>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</si>
  <si>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</si>
  <si>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</si>
  <si>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</si>
  <si>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</si>
  <si>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</si>
  <si>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</si>
  <si>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</si>
  <si>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</si>
  <si>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</si>
  <si>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</si>
  <si>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</si>
  <si>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</si>
  <si>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</si>
  <si>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</si>
  <si>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</si>
  <si>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</si>
  <si>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</si>
  <si>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</si>
  <si>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</si>
  <si>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</si>
  <si>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</si>
  <si>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</si>
  <si>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</si>
  <si>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</si>
  <si>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</si>
  <si>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</si>
  <si>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</si>
  <si>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</si>
  <si>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</si>
  <si>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</si>
  <si>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</si>
  <si>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</si>
  <si>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</si>
  <si>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</si>
  <si>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</si>
  <si>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</si>
  <si>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</si>
  <si>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</si>
  <si>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</si>
  <si>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</si>
  <si>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</si>
  <si>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</si>
  <si>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</si>
  <si>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</si>
  <si>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</si>
  <si>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</si>
  <si>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</si>
  <si>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</si>
  <si>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</si>
  <si>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</si>
  <si>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</si>
  <si>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</si>
  <si>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</si>
  <si>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</si>
  <si>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</si>
  <si>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</si>
  <si>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</si>
  <si>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</si>
  <si>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</si>
  <si>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</si>
  <si>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</si>
  <si>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</si>
  <si>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</si>
  <si>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</si>
  <si>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</si>
  <si>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</si>
  <si>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</si>
  <si>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</si>
  <si>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</si>
  <si>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</si>
  <si>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</si>
  <si>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</si>
  <si>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</si>
  <si>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</si>
  <si>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</si>
  <si>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</si>
  <si>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</si>
  <si>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</si>
  <si>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</si>
  <si>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</si>
  <si>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</si>
  <si>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</si>
  <si>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</si>
  <si>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</si>
  <si>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</si>
  <si>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</si>
  <si>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</si>
  <si>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</si>
  <si>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</si>
  <si>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</si>
  <si>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</si>
  <si>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</si>
  <si>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</si>
  <si>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</si>
  <si>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</si>
  <si>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</si>
  <si>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</si>
  <si>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</si>
  <si>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</si>
  <si>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</si>
  <si>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</si>
  <si>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</si>
  <si>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</si>
  <si>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</si>
  <si>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</si>
  <si>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</si>
  <si>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</si>
  <si>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</si>
  <si>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</si>
  <si>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</si>
  <si>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</si>
  <si>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</si>
  <si>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</si>
  <si>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</si>
  <si>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</si>
  <si>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</si>
  <si>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</si>
  <si>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</si>
  <si>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</si>
  <si>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</si>
  <si>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</si>
  <si>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</si>
  <si>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</si>
  <si>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</si>
  <si>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</si>
  <si>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</si>
  <si>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</si>
  <si>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</si>
  <si>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</si>
  <si>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</si>
  <si>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</si>
  <si>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</si>
  <si>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</si>
  <si>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</si>
  <si>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</si>
  <si>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</si>
  <si>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</si>
  <si>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</si>
  <si>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</si>
  <si>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</si>
  <si>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</si>
  <si>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</si>
  <si>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</si>
  <si>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</si>
  <si>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</si>
  <si>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</si>
  <si>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</si>
  <si>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</si>
  <si>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</si>
  <si>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</si>
  <si>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</si>
  <si>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</si>
  <si>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</si>
  <si>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</si>
  <si>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</si>
  <si>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</si>
  <si>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</si>
  <si>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</si>
  <si>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</si>
  <si>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</si>
  <si>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</si>
  <si>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</si>
  <si>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</si>
  <si>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</si>
  <si>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</si>
  <si>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</si>
  <si>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</si>
  <si>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</si>
  <si>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</si>
  <si>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</si>
  <si>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</si>
  <si>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</si>
  <si>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</si>
  <si>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</si>
  <si>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</si>
  <si>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</si>
  <si>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</si>
  <si>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</si>
  <si>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</si>
  <si>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</si>
  <si>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</si>
  <si>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</si>
  <si>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</si>
  <si>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</si>
  <si>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</si>
  <si>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</si>
  <si>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</si>
  <si>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</si>
  <si>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</si>
  <si>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</si>
  <si>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</si>
  <si>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</si>
  <si>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</si>
  <si>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</si>
  <si>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</si>
  <si>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</si>
  <si>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</si>
  <si>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</si>
  <si>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</si>
  <si>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</si>
  <si>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</si>
  <si>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</si>
  <si>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</si>
  <si>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</si>
  <si>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</si>
  <si>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</si>
  <si>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</si>
  <si>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</si>
  <si>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</si>
  <si>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</si>
  <si>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</si>
  <si>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</si>
  <si>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</si>
  <si>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</si>
  <si>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</si>
  <si>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</si>
  <si>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</si>
  <si>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</si>
  <si>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</si>
  <si>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</si>
  <si>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</si>
  <si>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</si>
  <si>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</si>
  <si>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</si>
  <si>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</si>
  <si>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</si>
  <si>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</si>
  <si>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</si>
  <si>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</si>
  <si>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</si>
  <si>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</si>
  <si>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</si>
  <si>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</si>
  <si>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</si>
  <si>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</si>
  <si>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</si>
  <si>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</si>
  <si>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</si>
  <si>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</si>
  <si>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</si>
  <si>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</si>
  <si>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</si>
  <si>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</si>
  <si>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</si>
  <si>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</si>
  <si>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</si>
  <si>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</si>
  <si>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</si>
  <si>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</si>
  <si>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</si>
  <si>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</si>
  <si>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</si>
  <si>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</si>
  <si>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</si>
  <si>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</si>
  <si>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</si>
  <si>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</si>
  <si>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</si>
  <si>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</si>
  <si>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</si>
  <si>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</si>
  <si>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</si>
  <si>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</si>
  <si>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</si>
  <si>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</si>
  <si>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</si>
  <si>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</si>
  <si>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</si>
  <si>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</si>
  <si>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</si>
  <si>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</si>
  <si>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</si>
  <si>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</si>
  <si>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</si>
  <si>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</si>
  <si>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</si>
  <si>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</si>
  <si>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</si>
  <si>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</si>
  <si>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</si>
  <si>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</si>
  <si>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</si>
  <si>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</si>
  <si>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</si>
  <si>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</si>
  <si>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</si>
  <si>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</si>
  <si>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</si>
  <si>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</si>
  <si>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</si>
  <si>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</si>
  <si>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</si>
  <si>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</si>
  <si>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</si>
  <si>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</si>
  <si>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</si>
  <si>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</si>
  <si>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</si>
  <si>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</si>
  <si>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</si>
  <si>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</si>
  <si>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</si>
  <si>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</si>
  <si>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</si>
  <si>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</si>
  <si>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</si>
  <si>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</si>
  <si>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</si>
  <si>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</si>
  <si>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</si>
  <si>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</si>
  <si>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</si>
  <si>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</si>
  <si>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</si>
  <si>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</si>
  <si>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</si>
  <si>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</si>
  <si>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</si>
  <si>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</si>
  <si>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</si>
  <si>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</si>
  <si>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</si>
  <si>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</si>
  <si>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</si>
  <si>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</si>
  <si>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</si>
  <si>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</si>
  <si>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</si>
  <si>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</si>
  <si>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</si>
  <si>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</si>
  <si>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</si>
  <si>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</si>
  <si>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</si>
  <si>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</si>
  <si>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</si>
  <si>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</si>
  <si>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</si>
  <si>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</si>
  <si>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</si>
  <si>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</si>
  <si>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</si>
  <si>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</si>
  <si>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</si>
  <si>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</si>
  <si>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</si>
  <si>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</si>
  <si>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</si>
  <si>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</si>
  <si>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</si>
  <si>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</si>
  <si>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</si>
  <si>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</si>
  <si>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</si>
  <si>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</si>
  <si>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</si>
  <si>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</si>
  <si>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</si>
  <si>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</si>
  <si>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</si>
  <si>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</si>
  <si>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</si>
  <si>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</si>
  <si>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</si>
  <si>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</si>
  <si>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</si>
  <si>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</si>
  <si>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</si>
  <si>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</si>
  <si>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</si>
  <si>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</si>
  <si>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</si>
  <si>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</si>
  <si>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</si>
  <si>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</si>
  <si>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</si>
  <si>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</si>
  <si>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</si>
  <si>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</si>
  <si>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</si>
  <si>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Mihai Ianos</t>
  </si>
  <si>
    <t>254888 DAIMLER MER W174W178 EL SB</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</si>
  <si>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</si>
  <si>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</si>
  <si>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</si>
  <si>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</si>
  <si>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ATM - Peer Review Workbook</t>
  </si>
  <si>
    <t>ATM - Peer Review Workbook (PRWB).xlsm</t>
  </si>
  <si>
    <t>ATM - Software Integration Test Specification Report.xlsm</t>
  </si>
  <si>
    <t>08.09.2022</t>
  </si>
  <si>
    <t>Vlad Chiovenau</t>
  </si>
  <si>
    <t>No findings</t>
  </si>
  <si>
    <t>Vlad Chioveanu</t>
  </si>
  <si>
    <t>ATM - Software Integration Test Specification Report.xlsm v1.1</t>
  </si>
  <si>
    <t>Winideea cannot provide logs</t>
  </si>
  <si>
    <t>ATM - Unit test</t>
  </si>
  <si>
    <t>09.09.2022</t>
  </si>
  <si>
    <t>Ciprian Galbau</t>
  </si>
  <si>
    <t>ATM.tmb</t>
  </si>
  <si>
    <t>ATM.tmb 1.1</t>
  </si>
  <si>
    <t>ATM - Detail Design Document.DOCX</t>
  </si>
  <si>
    <t>12.09.2022</t>
  </si>
  <si>
    <t>Mirela Oada</t>
  </si>
  <si>
    <t>1.1.1.1.2.1</t>
  </si>
  <si>
    <t>ATM - Detail Design Document.docx</t>
  </si>
  <si>
    <t>Update document template (variables/constants/services etc. )</t>
  </si>
  <si>
    <t>Mirela Obada</t>
  </si>
  <si>
    <t>Remove empty heading from page 12</t>
  </si>
  <si>
    <t>Add diagrams for all functions</t>
  </si>
  <si>
    <t>Remove chapter 2.3</t>
  </si>
  <si>
    <t>Add chapter 1.4 as a sub chapter for 1.3</t>
  </si>
  <si>
    <t>Update revision number</t>
  </si>
  <si>
    <t>1.1.1.2</t>
  </si>
  <si>
    <t>ATM - List of Auto tests.xls</t>
  </si>
  <si>
    <t xml:space="preserve">Update document </t>
  </si>
  <si>
    <t>Code</t>
  </si>
  <si>
    <t>13.09.2022</t>
  </si>
  <si>
    <t>Stefan Dominte</t>
  </si>
  <si>
    <t>1.1.1.4.1.6.3.8</t>
  </si>
  <si>
    <t>ATM_cfg.c</t>
  </si>
  <si>
    <t>1.1.1.6.3.2</t>
  </si>
  <si>
    <t>ATM.c</t>
  </si>
  <si>
    <t>Add treaceability to design.</t>
  </si>
  <si>
    <t>Modify the applicable version of the template for the file including the correct comments for function/variables/defines.</t>
  </si>
  <si>
    <t>Remove the RTE comfort callback from EOL_cbk_CheckProductEndOfLifeMaxForce function.</t>
  </si>
  <si>
    <t>ATM.c 1.1.1.6.3.2</t>
  </si>
  <si>
    <t>ATM_cfg.c 1.1.1.4.1.6.3.8</t>
  </si>
  <si>
    <t>Rename local variables and function according to coding guideline naming.</t>
  </si>
  <si>
    <t xml:space="preserve">Resolve indentation warnings. </t>
  </si>
  <si>
    <t>31/10/2022</t>
  </si>
  <si>
    <t>1.1.1.1.2.3</t>
  </si>
  <si>
    <t>Update header version and document state.</t>
  </si>
  <si>
    <t>Add Tables of figures for the whole document.</t>
  </si>
  <si>
    <t>Rename atm_executeAutoTest and atm_isAutoTestEnabled to correct code naming.</t>
  </si>
  <si>
    <t>Remove CIL_Autotest_CheckImplausibleData_Ignition function and add the ATM function CIL_cbk_CheckImplausibleData_Ignition.</t>
  </si>
  <si>
    <t>Add missing function EOL_cbk_CheckProductEndOfLifeMaxForce.</t>
  </si>
  <si>
    <t>Update the diagram with the correct function name for following functions: PAL_cbk_CheckPowerSupplyOV,PAL_cbk_CheckPowerSupplyUV.</t>
  </si>
  <si>
    <t>Update template for Types.</t>
  </si>
  <si>
    <t>Update the correct arrays length for castRunningCyclicList, castStartupSequentialList and castStartupCyclicList.</t>
  </si>
  <si>
    <t>Remove 3.7 chapter.</t>
  </si>
  <si>
    <t>Rename U8_GET_AUTOTEST_ID define to U8_GET_AEC_ID.</t>
  </si>
  <si>
    <t>Remove KU8_ATM_ECU_KNOCKOUT_PERIODIC_100_MS define</t>
  </si>
  <si>
    <t>Add KU8_ATM_PERIODIC_20_MS define.</t>
  </si>
  <si>
    <t>Update KU8_NB_OF_STARTUP_CYCLIC_ELTS, KU8_NB_OF_RUNNING_CYCLIC_ELTS and ATM_KU8_NB_OF_STARTUP_AUTO_TESTS defines value.</t>
  </si>
  <si>
    <t>21.11.2022</t>
  </si>
  <si>
    <t>ATM - Detail Design Document.docx 1.1.1.1.2.1</t>
  </si>
  <si>
    <t>ATM - Detail Design Document.docx 1.1.1.1.2.3</t>
  </si>
  <si>
    <t>Remove all QAC comments from functions diagrams.</t>
  </si>
  <si>
    <t>no fix needed</t>
  </si>
  <si>
    <t>Values updated</t>
  </si>
  <si>
    <t>Define added</t>
  </si>
  <si>
    <t>Define removed</t>
  </si>
  <si>
    <t>Chapter removed</t>
  </si>
  <si>
    <t>Update done</t>
  </si>
  <si>
    <t>Table of figures added</t>
  </si>
  <si>
    <t>Header updated</t>
  </si>
  <si>
    <t xml:space="preserve">Shall be removed </t>
  </si>
  <si>
    <t>23.11.2022</t>
  </si>
  <si>
    <t>ATM - Detail Design Document.docx 1.1.1.1.2.4</t>
  </si>
  <si>
    <t>1.1.1.1.2.4</t>
  </si>
  <si>
    <t>1.1.1.4.1.6.3.12</t>
  </si>
  <si>
    <t>Update defines name in cau32InhibitingModes to be consistent with content of conditions</t>
  </si>
  <si>
    <t xml:space="preserve">Will be fixed </t>
  </si>
  <si>
    <t>Code (ATM_cfg.c)</t>
  </si>
  <si>
    <t>5.12.2022</t>
  </si>
  <si>
    <t>ATM_cfg.c 1.1.1.4.1.6.3.12</t>
  </si>
  <si>
    <t>ATM.can</t>
  </si>
  <si>
    <t>Victor Popina</t>
  </si>
  <si>
    <t>ATM.can - v1.1</t>
  </si>
  <si>
    <t>12.12.2022</t>
  </si>
  <si>
    <t>Albu Cornel</t>
  </si>
  <si>
    <t>ATM.tmb 1.2</t>
  </si>
  <si>
    <t>15.12.2022</t>
  </si>
  <si>
    <t>1.1.1.4.1.6.3.14</t>
  </si>
  <si>
    <t>ATM_cfg.c 1.1.1.4.1.6.3.14</t>
  </si>
  <si>
    <t>Code (ATM_cfg.c 14 version)</t>
  </si>
  <si>
    <t>SW_Int_ATM_CheckCommandConsistency_01.txt</t>
  </si>
  <si>
    <t>SW_Int_ATM_CheckCommandConsistency_01.txt - v1.1</t>
  </si>
  <si>
    <t>27.01.2023</t>
  </si>
  <si>
    <t>SW_Int_ATM_CheckProductEndOfLifeComfort_01.txt</t>
  </si>
  <si>
    <t>SW_Int_ATM_CheckMosfetHighSC_01.txt</t>
  </si>
  <si>
    <t>SW_Int_ATM_CheckProductEndOfLifeHighForce_01.txt</t>
  </si>
  <si>
    <t>SW_Int_ATM_CheckProductEndOfLifeLowForce_01.txt</t>
  </si>
  <si>
    <t>SW_Int_ATM_CheckMosfetHighSC_01.txt - v1.1</t>
  </si>
  <si>
    <t>SW_Int_ATM_CheckProductEndOfLifeComfort_01.txt - v1.1</t>
  </si>
  <si>
    <t>SW_Int_ATM_CheckProductEndOfLifeHighForce_01.txt - v1.1</t>
  </si>
  <si>
    <t>SW_Int_ATM_CheckProductEndOfLifeLowForce_01.txt - v1.1</t>
  </si>
  <si>
    <t>1.1.1.1.2.5</t>
  </si>
  <si>
    <t>13.02.2023</t>
  </si>
  <si>
    <t>ATM - Detail Design Document</t>
  </si>
  <si>
    <t>Update castStartupSequentialList with missing autotests.</t>
  </si>
  <si>
    <t>Update castRunningCyclicList with missing autotests.</t>
  </si>
  <si>
    <t>CIL_cbk_CheckSteeringConfiguration is missing from services list.</t>
  </si>
  <si>
    <t>Update CIL_cbk_SteeringConfiguration function Object.</t>
  </si>
  <si>
    <t>Update Figure 55 caption.</t>
  </si>
  <si>
    <t>Update the value of the KU8_NB_OF_RUNNING_CYCLIC_ELTS, KU8_NB_OF_STARTUP_CYCLIC_ELTS, ATM_KU8_NB_OF_STARTUP_AUTO_TESTS defines.</t>
  </si>
  <si>
    <t>ATM - Detail Design Document.docx 1.1.1.1.2.5</t>
  </si>
  <si>
    <t>Madalina Serban</t>
  </si>
  <si>
    <t>15.02.2023</t>
  </si>
  <si>
    <t>Remove unused function CIL_cbk_CheckSteeringConfiguration</t>
  </si>
  <si>
    <t>Add treaceabilty to design</t>
  </si>
  <si>
    <t>1.1.1.4.1.6.3.21</t>
  </si>
  <si>
    <t>1.1.1.6.3.5</t>
  </si>
  <si>
    <t>ATM.c 1.1.1.6.3.5</t>
  </si>
  <si>
    <t>ATM_cfg.c 1.1.1.4.1.6.3.21</t>
  </si>
  <si>
    <t>1.1.1.1.2.8</t>
  </si>
  <si>
    <t xml:space="preserve">Remove the ATM_AC_AutoTestManager_START_SEC_VAR_8 without ATM_AC_AutoTestManager_STOP_SEC_VAR_8. </t>
  </si>
  <si>
    <t>ATM - Detail Design Document.docx 1.1.1.1.2.8</t>
  </si>
  <si>
    <t>traceability not covering all ATM detailed design requirements</t>
  </si>
  <si>
    <t>Cornel Albu</t>
  </si>
  <si>
    <t>ATM.tmb 1.3</t>
  </si>
  <si>
    <t>Desk Check</t>
  </si>
  <si>
    <t>16.02.2023</t>
  </si>
  <si>
    <t>Traceability updated</t>
  </si>
  <si>
    <t>1.1.1.6.3.7</t>
  </si>
  <si>
    <t>17.02.2023</t>
  </si>
  <si>
    <t>ATM.c 1.1.1.6.3.7</t>
  </si>
  <si>
    <t>SW_IT_ATM_autotest_result_01.txt</t>
  </si>
  <si>
    <t>SW_IT_ATM_Buckle_CheckTimeoutError_01.txt</t>
  </si>
  <si>
    <t>SW_IT_ATM_CheckCommandConsistency_01.txt</t>
  </si>
  <si>
    <t>SW_IT_ATM_CheckCommandConsistency_02.txt</t>
  </si>
  <si>
    <t>SW_IT_ATM_CheckHallEffectSensor_02.txt</t>
  </si>
  <si>
    <t>SW_IT_ATM_CheckHighSideSwRegulation_01.txt</t>
  </si>
  <si>
    <t>SW_IT_ATM_CheckHWSelfProtection_01.txt</t>
  </si>
  <si>
    <t>SW_IT_ATM_CheckHWSelfProtection_02.txt</t>
  </si>
  <si>
    <t>SW_IT_ATM_CheckImplausibleData_Buckle_01.txt</t>
  </si>
  <si>
    <t>SW_IT_ATM_CheckImplausibleData_Ignition_01.txt</t>
  </si>
  <si>
    <t>SW_IT_ATM_CheckImplausibleData_ORC_01.txt</t>
  </si>
  <si>
    <t>SW_IT_ATM_CheckImplausibleData_Powertrain_01.txt</t>
  </si>
  <si>
    <t>SW_IT_ATM_CheckImplausibleData_Presafe_01.txt</t>
  </si>
  <si>
    <t>SW_IT_ATM_CheckMosfetHighSC_01.txt</t>
  </si>
  <si>
    <t>SW_IT_ATM_CheckMosfetHighSC_02.txt</t>
  </si>
  <si>
    <t>SW_IT_ATM_CheckMosfetLowSC_01.txt</t>
  </si>
  <si>
    <t>SW_IT_ATM_CheckMosfetLowSC_02.txt</t>
  </si>
  <si>
    <t>SW_IT_ATM_CheckMosfetOCAT_01.txt</t>
  </si>
  <si>
    <t>SW_IT_ATM_CheckMotorConnection_01.txt</t>
  </si>
  <si>
    <t>SW_IT_ATM_CheckMotorConnection_02.txt</t>
  </si>
  <si>
    <t>SW_IT_ATM_CheckMotorCurrent_02.txt</t>
  </si>
  <si>
    <t>SW_IT_ATM_CheckMotorDisengagement_02.txt</t>
  </si>
  <si>
    <t>SW_IT_ATM_CheckMotorPowerOrder_01.txt</t>
  </si>
  <si>
    <t>SW_IT_ATM_CheckMotorSC_01.txt</t>
  </si>
  <si>
    <t>SW_IT_ATM_CheckMotorThermalProctection_01.txt</t>
  </si>
  <si>
    <t>SW_IT_ATM_CheckPowerSupplyOVDuringActivation_01.txt</t>
  </si>
  <si>
    <t>SW_IT_ATM_CheckPowerSupplyOV_01.txt</t>
  </si>
  <si>
    <t>SW_IT_ATM_CheckPowerSupplyOV_02.txt</t>
  </si>
  <si>
    <t>SW_IT_ATM_CheckPowerSupplyUVDuringActivation_01.txt</t>
  </si>
  <si>
    <t>SW_IT_ATM_CheckPowerSupplyUV_01.txt</t>
  </si>
  <si>
    <t>SW_IT_ATM_CheckPowerSupplyUV_02.txt</t>
  </si>
  <si>
    <t>SW_IT_ATM_CheckProductEndOfLifeComfort_01.txt</t>
  </si>
  <si>
    <t>SW_IT_ATM_CheckProductEndOfLifeComfort_02.txt</t>
  </si>
  <si>
    <t>SW_IT_ATM_CheckProductEndOfLifeHighForce_01.txt</t>
  </si>
  <si>
    <t>SW_IT_ATM_CheckProductEndOfLifeHighForce_02.txt</t>
  </si>
  <si>
    <t>SW_IT_ATM_CheckProductEndOfLifeLowForce_01.txt</t>
  </si>
  <si>
    <t>SW_IT_ATM_CheckProductEndOfLifeLowForce_02.txt</t>
  </si>
  <si>
    <t>SW_IT_ATM_CheckProductEndOfLifeMaxForce_01.txt</t>
  </si>
  <si>
    <t>SW_IT_ATM_CheckProductEndOfLifeMaxForce_02.txt</t>
  </si>
  <si>
    <t>SW_IT_ATM_CheckSystemOV_01.txt</t>
  </si>
  <si>
    <t>SW_IT_ATM_CheckSystemUV_01.txt</t>
  </si>
  <si>
    <t>SW_IT_ATM_CheckTemperatureSensor_01.txt</t>
  </si>
  <si>
    <t>SW_IT_ATM_CheckTimeoutError_API_01.txt</t>
  </si>
  <si>
    <t>SW_IT_ATM_CheckTimeoutError_Belthandover_L_01.txt</t>
  </si>
  <si>
    <t>SW_IT_ATM_CheckTimeoutError_Belthandover_R_01.txt</t>
  </si>
  <si>
    <t>SW_IT_ATM_CheckTimeoutError_Ignition_01.txt</t>
  </si>
  <si>
    <t>SW_IT_ATM_CheckTimeoutError_Powertrain_01.txt</t>
  </si>
  <si>
    <t>SW_IT_ATM_inhibit_autotest_01.txt</t>
  </si>
  <si>
    <t>SW_IT_ATM_Init_01.txt</t>
  </si>
  <si>
    <t>SW_IT_ATM_Init_02.txt</t>
  </si>
  <si>
    <t>SW_IT_ATM_Presafe_CheckTimeoutError_01.txt</t>
  </si>
  <si>
    <t>SW_IT_ATM_runCheckModeStatus_01.txt</t>
  </si>
  <si>
    <t>SW_IT_ATM_runMainFunction_01.txt</t>
  </si>
  <si>
    <t>SW_IT_ATM_RunResetCause_01.txt</t>
  </si>
  <si>
    <t>SW_IT_ATM_SteeringConfiguration_01.txt</t>
  </si>
  <si>
    <t>ARCH_SW_ATM_0067 has no action attribute</t>
  </si>
  <si>
    <t>22.02.2023</t>
  </si>
  <si>
    <t>SW_Int_ATM_CheckCommandConsistency_01.txt - v1.2
SW_Int_ATM_CheckMosfetHighSC_01.txt - v1.2
SW_Int_ATM_CheckProductEndOfLifeComfort_01.txt - v1.2
SW_Int_ATM_CheckProductEndOfLifeHighForce_01.txt - v1.2
SW_Int_ATM_CheckProductEndOfLifeLowForce_01.txt - v1.2</t>
  </si>
  <si>
    <t>SW_IT_ATM_autotest_result_01.txt -v1.1
SW_IT_ATM_Buckle_CheckTimeoutError_01.txt -v1.1
SW_IT_ATM_CheckCommandConsistency_01.txt -v1.1
SW_IT_ATM_CheckCommandConsistency_02.txt -v1.1
SW_IT_ATM_CheckHallEffectSensor_02.txt -v1.1
SW_IT_ATM_CheckHighSideSwRegulation_01.txt -v1.1
SW_IT_ATM_CheckHWSelfProtection_01.txt -v1.1
SW_IT_ATM_CheckHWSelfProtection_02.txt -v1.1
SW_IT_ATM_CheckImplausibleData_Buckle_01.txt -v1.1
SW_IT_ATM_CheckImplausibleData_Ignition_01.txt -v1.1
SW_IT_ATM_CheckImplausibleData_ORC_01.txt -v1.1
SW_IT_ATM_CheckImplausibleData_Powertrain_01.txt -v1.1
SW_IT_ATM_CheckImplausibleData_Presafe_01.txt -v1.1
SW_IT_ATM_CheckMosfetHighSC_01.txt -v1.1
SW_IT_ATM_CheckMosfetHighSC_02.txt -v1.1
SW_IT_ATM_CheckMosfetLowSC_01.txt -v1.1
SW_IT_ATM_CheckMosfetLowSC_02.txt -v1.1
SW_IT_ATM_CheckMosfetOCAT_01.txt -v1.1
SW_IT_ATM_CheckMotorConnection_01.txt -v1.1
SW_IT_ATM_CheckMotorConnection_02.txt -v1.1
SW_IT_ATM_CheckMotorCurrent_02.txt -v1.1
SW_IT_ATM_CheckMotorDisengagement_02.txt -v1.1
SW_IT_ATM_CheckMotorPowerOrder_01.txt -v1.1
SW_IT_ATM_CheckMotorSC_01.txt -v1.1
SW_IT_ATM_CheckMotorThermalProctection_01.txt -v1.1
SW_IT_ATM_CheckPowerSupplyOVDuringActivation_01.txt -v1.1
SW_IT_ATM_CheckPowerSupplyOV_01.txt -v1.1
SW_IT_ATM_CheckPowerSupplyOV_02.txt -v1.1
SW_IT_ATM_CheckPowerSupplyUVDuringActivation_01.txt -v1.1
SW_IT_ATM_CheckPowerSupplyUV_01.txt -v1.1
SW_IT_ATM_CheckPowerSupplyUV_02.txt -v1.1
SW_IT_ATM_CheckProductEndOfLifeComfort_01.txt -v1.1
SW_IT_ATM_CheckProductEndOfLifeComfort_02.txt -v1.1
SW_IT_ATM_CheckProductEndOfLifeHighForce_01.txt -v1.1
SW_IT_ATM_CheckProductEndOfLifeHighForce_02.txt -v1.1
SW_IT_ATM_CheckProductEndOfLifeLowForce_01.txt -v1.1
SW_IT_ATM_CheckProductEndOfLifeLowForce_02.txt -v1.1
SW_IT_ATM_CheckProductEndOfLifeMaxForce_01.txt -v1.1
SW_IT_ATM_CheckProductEndOfLifeMaxForce_02.txt -v1.1
SW_IT_ATM_CheckSystemOV_01.txt -v1.1
SW_IT_ATM_CheckSystemUV_01.txt -v1.1
SW_IT_ATM_CheckTemperatureSensor_01.txt -v1.1
SW_IT_ATM_CheckTimeoutError_API_01.txt -v1.1
SW_IT_ATM_CheckTimeoutError_Belthandover_L_01.txt -v1.1
SW_IT_ATM_CheckTimeoutError_Belthandover_R_01.txt -v1.1
SW_IT_ATM_CheckTimeoutError_Ignition_01.txt -v1.1
SW_IT_ATM_CheckTimeoutError_Powertrain_01.txt -v1.1
SW_IT_ATM_inhibit_autotest_01.txt -v1.1
SW_IT_ATM_Init_01.txt -v1.1
SW_IT_ATM_Init_02.txt -v1.1
SW_IT_ATM_Presafe_CheckTimeoutError_01.txt -v1.1
SW_IT_ATM_runCheckModeStatus_01.txt -v1.1
SW_IT_ATM_runMainFunction_01.txt -v1.1
SW_IT_ATM_RunResetCause_01.txt -v1.1
SW_IT_ATM_SteeringConfiguration_01.txt -v1.1</t>
  </si>
  <si>
    <t xml:space="preserve">PTC added 1.1.1.2 version(binary the same) - No findings </t>
  </si>
  <si>
    <t>ARCH_SW_ATM_0067 has been added on 1.2.1.2</t>
  </si>
  <si>
    <t>Alexandru Nastase</t>
  </si>
  <si>
    <t>ATM.tmb - v1.4</t>
  </si>
  <si>
    <t>06.03.2023</t>
  </si>
  <si>
    <t>ATM.tmb 1.4</t>
  </si>
  <si>
    <t>Robert Hadadea</t>
  </si>
  <si>
    <t>ATM.tmb - v1.5</t>
  </si>
  <si>
    <t>19.04.2023</t>
  </si>
  <si>
    <t>ATM.tmb 1.5</t>
  </si>
  <si>
    <t>1.1.1.4.1.6.3.26</t>
  </si>
  <si>
    <t>ATM_cfg.c - 1.1.1.4.1.6.3.26</t>
  </si>
  <si>
    <t>02.05.2023</t>
  </si>
  <si>
    <t>ATM_cfg_public.h</t>
  </si>
  <si>
    <t>1.1.1.5.3.7</t>
  </si>
  <si>
    <t>ATM_cfg_public.h - 1.1.1.5.3.7</t>
  </si>
  <si>
    <t>08.05.2023</t>
  </si>
  <si>
    <t>1.1.1.1.2.10</t>
  </si>
  <si>
    <t>Values for castRunningCyclicList, castATMConfig[ATM_KU8_NB_OF_AUTOTEST] to be updated</t>
  </si>
  <si>
    <t>ATM - Detail Design Document.docx - 1.1.1.1.2.10</t>
  </si>
  <si>
    <t>ATM.tmb - v1.6</t>
  </si>
  <si>
    <t>23.05.2023</t>
  </si>
  <si>
    <t>Adina Macaveiu</t>
  </si>
  <si>
    <t>ATM.tmb 1.6</t>
  </si>
  <si>
    <t>ATM.tmb 1.7</t>
  </si>
  <si>
    <t>ATM.tmb - v1.7</t>
  </si>
  <si>
    <t>22.06.2023</t>
  </si>
  <si>
    <t>1.1.1.4.1.6.3.28</t>
  </si>
  <si>
    <t>CIL_cbk_CheckTimeoutError_BeltAdj has no function description</t>
  </si>
  <si>
    <t>Andreea Negrea</t>
  </si>
  <si>
    <t xml:space="preserve"> castRunningCyclicList is strangely configured regarding decade using . 6The prioritisation of autotest played should be all started together ( timeout autotest ) or using platform way is different time slots with consecutive decades.</t>
  </si>
  <si>
    <t>Implementation is not consistent with design.</t>
  </si>
  <si>
    <t>1.1.1.6.3.8</t>
  </si>
  <si>
    <t>1.1.1.5.3.8</t>
  </si>
  <si>
    <t>ATM_cfg_public.h - 1.1.1.5.3.8</t>
  </si>
  <si>
    <t>ATM.c 1.1.1.6.3.8</t>
  </si>
  <si>
    <t>ATM_cfg.c - 1.1.1.4.1.6.3.28</t>
  </si>
  <si>
    <t>KU8_ATM_PERIODIC_200_MS and KU8_ATM_PERIODIC_500_MS shpuld be used but not mentionned in design</t>
  </si>
  <si>
    <t>1.1.1.1.2.13</t>
  </si>
  <si>
    <t>/* 52 : ATM_KU8_ID_TIMEOUT_BELT_ADJ */ comment id should be 53</t>
  </si>
  <si>
    <t>1.1.1.4.1.6.3.29</t>
  </si>
  <si>
    <t>the decades used for slot 4 are not consecutive like the other autotest, Please justify or set them all to start at the same time.</t>
  </si>
  <si>
    <t>qac not updated.</t>
  </si>
  <si>
    <t>ATM - Detail Design Document.docx - 1.1.1.1.2.13</t>
  </si>
  <si>
    <t>ATM_cfg.c - 1.1.1.4.1.6.3.29</t>
  </si>
  <si>
    <t>Description added</t>
  </si>
  <si>
    <t>Defines added</t>
  </si>
  <si>
    <t>Comment corrected</t>
  </si>
  <si>
    <t xml:space="preserve">1.1.1.1.2.14 </t>
  </si>
  <si>
    <t>1.1.1.4.1.6.3.3_0</t>
  </si>
  <si>
    <t>ATM - Detail Design Document.docx 1.1.1.1.2.14</t>
  </si>
  <si>
    <t>ATM_cfg.c 1.1.1.4.1.6.3.30</t>
  </si>
  <si>
    <t>ATM.tmb - v1.8</t>
  </si>
  <si>
    <t>10.09.2023</t>
  </si>
  <si>
    <t>ATM.tmb 1.8</t>
  </si>
  <si>
    <t>1.1.1.1.2.15</t>
  </si>
  <si>
    <t>ATM - Detail Design Document.docx -  1.1.1.1.2.15</t>
  </si>
  <si>
    <t>1.1.1.4.1.6.3.31</t>
  </si>
  <si>
    <t>ATM_cfg.c- v1.1.1.4.1.6.3.31</t>
  </si>
  <si>
    <t>27.10.2023</t>
  </si>
  <si>
    <t>1.1.1.4.1.6.3.34</t>
  </si>
  <si>
    <t>1.1.1.6.3.9</t>
  </si>
  <si>
    <t>ATM_cfg.c- v1.1.1.4.1.6.3.34</t>
  </si>
  <si>
    <t>ATM.c 1.1.1.6.3.9</t>
  </si>
  <si>
    <t>ATM_cfg_public.h - 1.1.1.5.3.10</t>
  </si>
  <si>
    <t>23.01.2024</t>
  </si>
  <si>
    <t>1.1.1.1.2.16</t>
  </si>
  <si>
    <t>ATM - Detail Design Document.docx -  1.1.1.1.2.16</t>
  </si>
  <si>
    <t>ATM_cfg.c - 1.1.1.4.1.6.3.38</t>
  </si>
  <si>
    <t>1.1.1.4.1.6.3.38</t>
  </si>
  <si>
    <t>Tudor Gligor</t>
  </si>
  <si>
    <t>ATM.tmb - v1.9</t>
  </si>
  <si>
    <t>28.02.2024</t>
  </si>
  <si>
    <t>ATM.tmb 1.9</t>
  </si>
  <si>
    <t xml:space="preserve">
</t>
  </si>
  <si>
    <t xml:space="preserve">Not all TC's have a clear description of their purpose. </t>
  </si>
  <si>
    <t>Nastase Alexandru</t>
  </si>
  <si>
    <t>1.1.1.1.2.17</t>
  </si>
  <si>
    <t>ATM - Detail Design Document.docx -  1.1.1.1.2.17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</si>
</sst>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3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sz val="8"/>
      <name val="Arial"/>
      <family val="2"/>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1">
    <xf numFmtId="0" fontId="0" fillId="0" borderId="0"/>
    <xf numFmtId="0" fontId="80" fillId="6" borderId="14" applyNumberFormat="0" applyAlignment="0" applyProtection="0"/>
    <xf numFmtId="0" fontId="81" fillId="0" borderId="0" applyNumberFormat="0" applyFill="0" applyBorder="0" applyAlignment="0" applyProtection="0"/>
    <xf numFmtId="0" fontId="48" fillId="0" borderId="0"/>
    <xf numFmtId="0" fontId="75" fillId="0" borderId="0"/>
    <xf numFmtId="0" fontId="79" fillId="0" borderId="0"/>
    <xf numFmtId="0" fontId="48" fillId="0" borderId="0"/>
    <xf numFmtId="0" fontId="55" fillId="0" borderId="0"/>
    <xf numFmtId="0" fontId="83" fillId="6" borderId="15" applyNumberFormat="0" applyAlignment="0" applyProtection="0"/>
    <xf numFmtId="0" fontId="47" fillId="0" borderId="0"/>
    <xf numFmtId="0" fontId="46" fillId="0" borderId="0"/>
    <xf numFmtId="0" fontId="45" fillId="0" borderId="0"/>
    <xf numFmtId="0" fontId="108" fillId="25" borderId="14" applyNumberFormat="0" applyAlignment="0" applyProtection="0"/>
    <xf numFmtId="0" fontId="109" fillId="26" borderId="0" applyNumberFormat="0" applyBorder="0" applyAlignment="0" applyProtection="0"/>
    <xf numFmtId="0" fontId="44" fillId="27" borderId="0" applyNumberFormat="0" applyBorder="0" applyAlignment="0" applyProtection="0"/>
    <xf numFmtId="0" fontId="48" fillId="0" borderId="0"/>
    <xf numFmtId="0" fontId="43" fillId="27" borderId="0" applyNumberFormat="0" applyBorder="0" applyAlignment="0" applyProtection="0"/>
    <xf numFmtId="0" fontId="42" fillId="27" borderId="0" applyNumberFormat="0" applyBorder="0" applyAlignment="0" applyProtection="0"/>
    <xf numFmtId="0" fontId="41" fillId="27" borderId="0" applyNumberFormat="0" applyBorder="0" applyAlignment="0" applyProtection="0"/>
    <xf numFmtId="0" fontId="40" fillId="27" borderId="0" applyNumberFormat="0" applyBorder="0" applyAlignment="0" applyProtection="0"/>
    <xf numFmtId="0" fontId="39" fillId="27" borderId="0" applyNumberFormat="0" applyBorder="0" applyAlignment="0" applyProtection="0"/>
    <xf numFmtId="0" fontId="38" fillId="27" borderId="0" applyNumberFormat="0" applyBorder="0" applyAlignment="0" applyProtection="0"/>
    <xf numFmtId="0" fontId="37" fillId="27" borderId="0" applyNumberFormat="0" applyBorder="0" applyAlignment="0" applyProtection="0"/>
    <xf numFmtId="0" fontId="36" fillId="27" borderId="0" applyNumberFormat="0" applyBorder="0" applyAlignment="0" applyProtection="0"/>
    <xf numFmtId="0" fontId="35" fillId="27" borderId="0" applyNumberFormat="0" applyBorder="0" applyAlignment="0" applyProtection="0"/>
    <xf numFmtId="0" fontId="34" fillId="27" borderId="0" applyNumberFormat="0" applyBorder="0" applyAlignment="0" applyProtection="0"/>
    <xf numFmtId="0" fontId="33" fillId="27" borderId="0" applyNumberFormat="0" applyBorder="0" applyAlignment="0" applyProtection="0"/>
    <xf numFmtId="0" fontId="32" fillId="0" borderId="0"/>
    <xf numFmtId="0" fontId="31" fillId="27" borderId="0" applyNumberFormat="0" applyBorder="0" applyAlignment="0" applyProtection="0"/>
    <xf numFmtId="0" fontId="30" fillId="27" borderId="0" applyNumberFormat="0" applyBorder="0" applyAlignment="0" applyProtection="0"/>
    <xf numFmtId="0" fontId="128" fillId="0" borderId="0" applyNumberFormat="0" applyFill="0" applyBorder="0" applyAlignment="0" applyProtection="0"/>
  </cellStyleXfs>
  <cellXfs count="327">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49" fillId="3" borderId="12" xfId="0" applyFont="1" applyFill="1" applyBorder="1" applyAlignment="1">
      <alignment horizontal="center" wrapText="1"/>
    </xf>
    <xf numFmtId="0" fontId="0" fillId="2" borderId="0" xfId="0" applyFill="1" applyAlignment="1">
      <alignment horizontal="center"/>
    </xf>
    <xf numFmtId="0" fontId="4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48" fillId="0" borderId="1" xfId="0" applyFont="1" applyBorder="1" applyAlignment="1">
      <alignment vertical="center" wrapText="1"/>
    </xf>
    <xf numFmtId="0" fontId="48" fillId="3" borderId="1" xfId="0" applyFont="1" applyFill="1" applyBorder="1" applyAlignment="1">
      <alignment horizontal="center" vertical="center" wrapText="1"/>
    </xf>
    <xf numFmtId="0" fontId="48" fillId="2" borderId="0" xfId="0" applyFont="1" applyFill="1" applyAlignment="1">
      <alignment wrapText="1"/>
    </xf>
    <xf numFmtId="0" fontId="84" fillId="7" borderId="0" xfId="0" applyFont="1" applyFill="1" applyAlignment="1">
      <alignment horizontal="center" vertical="center" wrapText="1"/>
    </xf>
    <xf numFmtId="0" fontId="49" fillId="3" borderId="12" xfId="0" applyFont="1" applyFill="1" applyBorder="1" applyAlignment="1">
      <alignment horizontal="center" vertical="center" wrapText="1"/>
    </xf>
    <xf numFmtId="0" fontId="84" fillId="0" borderId="0" xfId="0" applyFont="1" applyAlignment="1">
      <alignment horizontal="center" vertical="center" wrapText="1"/>
    </xf>
    <xf numFmtId="0" fontId="84" fillId="0" borderId="0" xfId="0" applyFont="1" applyAlignment="1">
      <alignment vertical="center"/>
    </xf>
    <xf numFmtId="0" fontId="84" fillId="0" borderId="0" xfId="0" applyFont="1" applyAlignment="1">
      <alignment vertical="center" wrapText="1"/>
    </xf>
    <xf numFmtId="0" fontId="70" fillId="2" borderId="2" xfId="0" applyFont="1" applyFill="1" applyBorder="1"/>
    <xf numFmtId="0" fontId="48" fillId="2" borderId="0" xfId="0" applyFont="1" applyFill="1" applyAlignment="1">
      <alignment horizontal="center"/>
    </xf>
    <xf numFmtId="0" fontId="0" fillId="8" borderId="0" xfId="0" applyFill="1" applyAlignment="1">
      <alignment horizontal="center"/>
    </xf>
    <xf numFmtId="0" fontId="48" fillId="2" borderId="1" xfId="0" applyFont="1" applyFill="1" applyBorder="1" applyAlignment="1">
      <alignment horizontal="center" wrapText="1"/>
    </xf>
    <xf numFmtId="0" fontId="48" fillId="2" borderId="1" xfId="0" applyFont="1" applyFill="1" applyBorder="1" applyAlignment="1">
      <alignment horizontal="center" vertical="center" wrapText="1"/>
    </xf>
    <xf numFmtId="0" fontId="0" fillId="2" borderId="5" xfId="0" applyFill="1" applyBorder="1" applyAlignment="1">
      <alignment wrapText="1"/>
    </xf>
    <xf numFmtId="0" fontId="48" fillId="2" borderId="0" xfId="0" applyFont="1" applyFill="1"/>
    <xf numFmtId="0" fontId="49" fillId="9" borderId="1" xfId="0" applyFont="1" applyFill="1" applyBorder="1" applyAlignment="1">
      <alignment horizontal="center" vertical="center" wrapText="1"/>
    </xf>
    <xf numFmtId="0" fontId="48" fillId="2" borderId="10" xfId="0" applyFont="1" applyFill="1" applyBorder="1"/>
    <xf numFmtId="0" fontId="84"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48" fillId="8" borderId="0" xfId="0" applyFont="1" applyFill="1" applyAlignment="1">
      <alignment horizontal="center" vertical="center"/>
    </xf>
    <xf numFmtId="0" fontId="48" fillId="8" borderId="1" xfId="0" applyFont="1" applyFill="1" applyBorder="1" applyAlignment="1">
      <alignment horizontal="center" vertical="center"/>
    </xf>
    <xf numFmtId="0" fontId="48" fillId="13" borderId="1" xfId="0" applyFont="1" applyFill="1" applyBorder="1" applyAlignment="1">
      <alignment horizontal="center" vertical="center" wrapText="1"/>
    </xf>
    <xf numFmtId="0" fontId="49" fillId="3" borderId="16"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84" fillId="8" borderId="0" xfId="0" applyFont="1" applyFill="1" applyAlignment="1">
      <alignment horizontal="center" vertical="center" wrapText="1"/>
    </xf>
    <xf numFmtId="0" fontId="84" fillId="8" borderId="0" xfId="0" applyFont="1" applyFill="1" applyAlignment="1">
      <alignment vertical="center"/>
    </xf>
    <xf numFmtId="0" fontId="0" fillId="8" borderId="0" xfId="0" applyFill="1" applyAlignment="1">
      <alignment vertical="center"/>
    </xf>
    <xf numFmtId="0" fontId="0" fillId="8" borderId="0" xfId="0" applyFill="1"/>
    <xf numFmtId="0" fontId="51" fillId="14" borderId="1" xfId="0" applyFont="1" applyFill="1" applyBorder="1" applyAlignment="1">
      <alignment horizontal="center" vertical="center" wrapText="1"/>
    </xf>
    <xf numFmtId="0" fontId="84" fillId="0" borderId="0" xfId="0" applyFont="1" applyAlignment="1">
      <alignment horizontal="center" vertical="center"/>
    </xf>
    <xf numFmtId="14" fontId="0" fillId="13" borderId="1" xfId="0" applyNumberFormat="1" applyFill="1" applyBorder="1" applyAlignment="1">
      <alignment horizontal="center" vertical="center" wrapText="1"/>
    </xf>
    <xf numFmtId="0" fontId="54" fillId="13" borderId="1" xfId="0" applyFont="1" applyFill="1" applyBorder="1" applyAlignment="1">
      <alignment horizontal="center" vertical="center" wrapText="1"/>
    </xf>
    <xf numFmtId="0" fontId="0" fillId="13" borderId="1" xfId="0" applyFill="1" applyBorder="1" applyAlignment="1">
      <alignment horizontal="center" vertical="center"/>
    </xf>
    <xf numFmtId="0" fontId="48" fillId="2" borderId="5" xfId="0" applyFont="1" applyFill="1" applyBorder="1" applyAlignment="1">
      <alignment wrapText="1"/>
    </xf>
    <xf numFmtId="0" fontId="48" fillId="10" borderId="0" xfId="0" applyFont="1" applyFill="1" applyAlignment="1">
      <alignment horizontal="left" vertical="center"/>
    </xf>
    <xf numFmtId="0" fontId="48" fillId="12" borderId="0" xfId="0" applyFont="1" applyFill="1" applyAlignment="1">
      <alignment horizontal="left" vertical="center"/>
    </xf>
    <xf numFmtId="0" fontId="48" fillId="15" borderId="0" xfId="0" applyFont="1" applyFill="1" applyAlignment="1">
      <alignment horizontal="left" vertical="center"/>
    </xf>
    <xf numFmtId="0" fontId="48" fillId="13" borderId="0" xfId="0" applyFont="1" applyFill="1" applyAlignment="1">
      <alignment horizontal="left" vertical="center"/>
    </xf>
    <xf numFmtId="0" fontId="48" fillId="2" borderId="1" xfId="0" applyFont="1" applyFill="1" applyBorder="1"/>
    <xf numFmtId="0" fontId="0" fillId="2" borderId="0" xfId="0" applyFill="1" applyAlignment="1">
      <alignment horizontal="center" wrapText="1"/>
    </xf>
    <xf numFmtId="0" fontId="80" fillId="6" borderId="16" xfId="1" applyBorder="1" applyAlignment="1">
      <alignment horizontal="center" vertical="center"/>
    </xf>
    <xf numFmtId="0" fontId="48" fillId="3" borderId="12" xfId="0" applyFont="1" applyFill="1" applyBorder="1" applyAlignment="1">
      <alignment horizontal="center" vertical="center" wrapText="1"/>
    </xf>
    <xf numFmtId="0" fontId="80" fillId="6" borderId="1" xfId="1" applyBorder="1" applyAlignment="1">
      <alignment horizontal="center"/>
    </xf>
    <xf numFmtId="0" fontId="85" fillId="6" borderId="15" xfId="8" applyFont="1" applyAlignment="1">
      <alignment horizontal="center"/>
    </xf>
    <xf numFmtId="0" fontId="85" fillId="6" borderId="17" xfId="8" applyFont="1" applyBorder="1" applyAlignment="1">
      <alignment horizontal="center"/>
    </xf>
    <xf numFmtId="0" fontId="80" fillId="6" borderId="1" xfId="1" applyBorder="1" applyAlignment="1">
      <alignment horizontal="center" vertical="center"/>
    </xf>
    <xf numFmtId="0" fontId="82" fillId="6" borderId="16" xfId="1" applyFont="1" applyBorder="1" applyAlignment="1">
      <alignment horizontal="center" vertical="center"/>
    </xf>
    <xf numFmtId="0" fontId="49" fillId="3" borderId="1" xfId="0" applyFont="1" applyFill="1" applyBorder="1" applyAlignment="1">
      <alignment horizontal="center" vertical="center" wrapText="1"/>
    </xf>
    <xf numFmtId="0" fontId="48"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8" fillId="2" borderId="8" xfId="0" applyFont="1" applyFill="1" applyBorder="1" applyAlignment="1">
      <alignment wrapText="1" shrinkToFit="1"/>
    </xf>
    <xf numFmtId="0" fontId="48" fillId="2" borderId="0" xfId="0" applyFont="1" applyFill="1" applyAlignment="1">
      <alignment vertical="top"/>
    </xf>
    <xf numFmtId="0" fontId="48" fillId="0" borderId="0" xfId="3" applyAlignment="1">
      <alignment vertical="center"/>
    </xf>
    <xf numFmtId="0" fontId="52" fillId="0" borderId="0" xfId="3" applyFont="1" applyAlignment="1">
      <alignment vertical="center" wrapText="1"/>
    </xf>
    <xf numFmtId="164" fontId="52" fillId="0" borderId="0" xfId="3" applyNumberFormat="1" applyFont="1" applyAlignment="1">
      <alignment horizontal="center" vertical="center" wrapText="1"/>
    </xf>
    <xf numFmtId="20" fontId="52" fillId="0" borderId="0" xfId="3" applyNumberFormat="1" applyFont="1" applyAlignment="1">
      <alignment vertical="center" wrapText="1"/>
    </xf>
    <xf numFmtId="0" fontId="52" fillId="0" borderId="0" xfId="3" applyFont="1" applyAlignment="1">
      <alignment horizontal="left" vertical="center" wrapText="1"/>
    </xf>
    <xf numFmtId="0" fontId="86" fillId="0" borderId="0" xfId="3" quotePrefix="1" applyFont="1" applyAlignment="1">
      <alignment horizontal="right" vertical="center"/>
    </xf>
    <xf numFmtId="0" fontId="53" fillId="0" borderId="0" xfId="3" applyFont="1" applyAlignment="1">
      <alignment horizontal="left" vertical="center" wrapText="1"/>
    </xf>
    <xf numFmtId="0" fontId="48" fillId="0" borderId="0" xfId="3" applyAlignment="1">
      <alignment vertical="center" shrinkToFit="1"/>
    </xf>
    <xf numFmtId="0" fontId="88" fillId="0" borderId="0" xfId="3" applyFont="1" applyAlignment="1">
      <alignment horizontal="left" vertical="center" shrinkToFit="1"/>
    </xf>
    <xf numFmtId="0" fontId="49" fillId="0" borderId="0" xfId="3" applyFont="1" applyAlignment="1">
      <alignment horizontal="left" vertical="center" shrinkToFit="1"/>
    </xf>
    <xf numFmtId="0" fontId="48" fillId="0" borderId="0" xfId="3" applyAlignment="1" applyProtection="1">
      <alignment vertical="center"/>
      <protection locked="0"/>
    </xf>
    <xf numFmtId="0" fontId="48" fillId="0" borderId="0" xfId="3" applyAlignment="1" applyProtection="1">
      <alignment vertical="center" shrinkToFit="1"/>
      <protection locked="0"/>
    </xf>
    <xf numFmtId="0" fontId="93" fillId="0" borderId="2" xfId="3" applyFont="1" applyBorder="1" applyAlignment="1" applyProtection="1">
      <alignment horizontal="left" vertical="center" wrapText="1" shrinkToFit="1"/>
      <protection locked="0"/>
    </xf>
    <xf numFmtId="0" fontId="94" fillId="0" borderId="0" xfId="3" applyFont="1" applyAlignment="1" applyProtection="1">
      <alignment horizontal="left" vertical="center" shrinkToFit="1"/>
      <protection locked="0"/>
    </xf>
    <xf numFmtId="0" fontId="93" fillId="0" borderId="0" xfId="3" applyFont="1" applyAlignment="1" applyProtection="1">
      <alignment horizontal="left" vertical="center" wrapText="1" shrinkToFit="1"/>
      <protection locked="0"/>
    </xf>
    <xf numFmtId="0" fontId="94" fillId="0" borderId="3" xfId="3" applyFont="1" applyBorder="1" applyAlignment="1" applyProtection="1">
      <alignment horizontal="left" vertical="center" shrinkToFit="1"/>
      <protection locked="0"/>
    </xf>
    <xf numFmtId="0" fontId="97" fillId="0" borderId="0" xfId="3" applyFont="1" applyAlignment="1" applyProtection="1">
      <alignment vertical="center"/>
      <protection locked="0"/>
    </xf>
    <xf numFmtId="0" fontId="98" fillId="0" borderId="0" xfId="3" applyFont="1" applyAlignment="1" applyProtection="1">
      <alignment horizontal="center" vertical="center"/>
      <protection locked="0"/>
    </xf>
    <xf numFmtId="0" fontId="47" fillId="8" borderId="0" xfId="9" applyFill="1"/>
    <xf numFmtId="0" fontId="99" fillId="0" borderId="0" xfId="3" applyFont="1" applyAlignment="1">
      <alignment horizontal="right" vertical="center"/>
    </xf>
    <xf numFmtId="0" fontId="100" fillId="0" borderId="18" xfId="3" applyFont="1" applyBorder="1" applyAlignment="1" applyProtection="1">
      <alignment vertical="center"/>
      <protection locked="0"/>
    </xf>
    <xf numFmtId="0" fontId="48" fillId="0" borderId="18" xfId="3" applyBorder="1" applyAlignment="1" applyProtection="1">
      <alignment vertical="center"/>
      <protection locked="0"/>
    </xf>
    <xf numFmtId="0" fontId="101" fillId="0" borderId="0" xfId="3" applyFont="1" applyAlignment="1" applyProtection="1">
      <alignment horizontal="left" vertical="center"/>
      <protection locked="0"/>
    </xf>
    <xf numFmtId="0" fontId="57" fillId="0" borderId="0" xfId="3" applyFont="1" applyAlignment="1" applyProtection="1">
      <alignment horizontal="left" vertical="center"/>
      <protection locked="0"/>
    </xf>
    <xf numFmtId="0" fontId="78" fillId="0" borderId="0" xfId="3" applyFont="1" applyAlignment="1" applyProtection="1">
      <alignment vertical="center"/>
      <protection locked="0"/>
    </xf>
    <xf numFmtId="0" fontId="49" fillId="0" borderId="0" xfId="3" applyFont="1" applyAlignment="1" applyProtection="1">
      <alignment vertical="center"/>
      <protection locked="0"/>
    </xf>
    <xf numFmtId="49" fontId="102" fillId="0" borderId="0" xfId="3" applyNumberFormat="1" applyFont="1" applyAlignment="1" applyProtection="1">
      <alignment horizontal="left" vertical="center"/>
      <protection locked="0"/>
    </xf>
    <xf numFmtId="49" fontId="48" fillId="0" borderId="0" xfId="3" applyNumberFormat="1" applyAlignment="1">
      <alignment horizontal="center" vertical="center" wrapText="1"/>
    </xf>
    <xf numFmtId="49" fontId="48" fillId="0" borderId="0" xfId="3" applyNumberFormat="1" applyAlignment="1" applyProtection="1">
      <alignment horizontal="left" vertical="center" wrapText="1"/>
      <protection locked="0"/>
    </xf>
    <xf numFmtId="49" fontId="48" fillId="0" borderId="0" xfId="3" applyNumberFormat="1" applyAlignment="1">
      <alignment horizontal="left" vertical="center" wrapText="1"/>
    </xf>
    <xf numFmtId="14" fontId="48" fillId="0" borderId="0" xfId="3" applyNumberFormat="1" applyAlignment="1" applyProtection="1">
      <alignment vertical="center"/>
      <protection locked="0"/>
    </xf>
    <xf numFmtId="0" fontId="103" fillId="0" borderId="0" xfId="3" applyFont="1" applyAlignment="1" applyProtection="1">
      <alignment horizontal="left" vertical="center"/>
      <protection locked="0"/>
    </xf>
    <xf numFmtId="0" fontId="48" fillId="0" borderId="0" xfId="3" applyAlignment="1">
      <alignment horizontal="left" vertical="center" wrapText="1"/>
    </xf>
    <xf numFmtId="0" fontId="100" fillId="0" borderId="5" xfId="3" applyFont="1" applyBorder="1" applyAlignment="1" applyProtection="1">
      <alignment vertical="center"/>
      <protection locked="0"/>
    </xf>
    <xf numFmtId="49" fontId="48" fillId="0" borderId="5" xfId="3" applyNumberFormat="1" applyBorder="1" applyAlignment="1" applyProtection="1">
      <alignment horizontal="left" vertical="center" wrapText="1"/>
      <protection locked="0"/>
    </xf>
    <xf numFmtId="0" fontId="48" fillId="0" borderId="5" xfId="3" applyBorder="1" applyAlignment="1">
      <alignment horizontal="left" vertical="center" wrapText="1"/>
    </xf>
    <xf numFmtId="0" fontId="100" fillId="0" borderId="0" xfId="3" applyFont="1" applyAlignment="1" applyProtection="1">
      <alignment vertical="center"/>
      <protection locked="0"/>
    </xf>
    <xf numFmtId="49" fontId="48" fillId="0" borderId="0" xfId="3" applyNumberFormat="1" applyAlignment="1" applyProtection="1">
      <alignment horizontal="left" vertical="center"/>
      <protection locked="0"/>
    </xf>
    <xf numFmtId="0" fontId="48" fillId="0" borderId="0" xfId="3" applyAlignment="1">
      <alignment horizontal="left" vertical="center"/>
    </xf>
    <xf numFmtId="0" fontId="49" fillId="2" borderId="1" xfId="0" applyFont="1" applyFill="1" applyBorder="1" applyAlignment="1">
      <alignment horizontal="center" vertical="center"/>
    </xf>
    <xf numFmtId="0" fontId="48" fillId="21" borderId="0" xfId="0" applyFont="1" applyFill="1" applyAlignment="1">
      <alignment horizontal="left" vertical="top" wrapText="1"/>
    </xf>
    <xf numFmtId="0" fontId="48" fillId="21" borderId="0" xfId="0" applyFont="1" applyFill="1" applyAlignment="1">
      <alignment wrapText="1"/>
    </xf>
    <xf numFmtId="0" fontId="0" fillId="21" borderId="0" xfId="0" applyFill="1" applyAlignment="1">
      <alignment wrapText="1"/>
    </xf>
    <xf numFmtId="0" fontId="48" fillId="9" borderId="0" xfId="0" applyFont="1" applyFill="1" applyAlignment="1">
      <alignment wrapText="1"/>
    </xf>
    <xf numFmtId="0" fontId="0" fillId="9" borderId="0" xfId="0" applyFill="1" applyAlignment="1">
      <alignment wrapText="1"/>
    </xf>
    <xf numFmtId="0" fontId="48" fillId="2" borderId="2" xfId="0" applyFont="1" applyFill="1" applyBorder="1" applyAlignment="1">
      <alignment horizontal="right"/>
    </xf>
    <xf numFmtId="0" fontId="0" fillId="2" borderId="4" xfId="0" applyFill="1" applyBorder="1" applyAlignment="1">
      <alignment horizontal="right"/>
    </xf>
    <xf numFmtId="0" fontId="45" fillId="0" borderId="0" xfId="11"/>
    <xf numFmtId="0" fontId="51" fillId="10" borderId="1" xfId="0" applyFont="1" applyFill="1" applyBorder="1" applyAlignment="1">
      <alignment horizontal="center" vertical="center" wrapText="1"/>
    </xf>
    <xf numFmtId="0" fontId="110" fillId="12" borderId="1" xfId="0" applyFont="1" applyFill="1" applyBorder="1" applyAlignment="1">
      <alignment horizontal="center" vertical="center" wrapText="1"/>
    </xf>
    <xf numFmtId="0" fontId="51" fillId="11" borderId="1" xfId="0" applyFont="1" applyFill="1" applyBorder="1" applyAlignment="1">
      <alignment horizontal="center" vertical="center" wrapText="1"/>
    </xf>
    <xf numFmtId="14" fontId="51" fillId="11" borderId="1" xfId="0" applyNumberFormat="1" applyFont="1" applyFill="1" applyBorder="1" applyAlignment="1">
      <alignment horizontal="center" vertical="center" wrapText="1"/>
    </xf>
    <xf numFmtId="0" fontId="72" fillId="8" borderId="0" xfId="0" applyFont="1" applyFill="1" applyAlignment="1">
      <alignment horizontal="center" vertical="center"/>
    </xf>
    <xf numFmtId="0" fontId="72" fillId="8" borderId="0" xfId="0" applyFont="1" applyFill="1" applyAlignment="1">
      <alignment vertical="center"/>
    </xf>
    <xf numFmtId="0" fontId="72" fillId="0" borderId="0" xfId="0" applyFont="1" applyAlignment="1">
      <alignment vertical="center"/>
    </xf>
    <xf numFmtId="0" fontId="51" fillId="0" borderId="0" xfId="0" applyFont="1" applyAlignment="1">
      <alignment vertical="center"/>
    </xf>
    <xf numFmtId="0" fontId="112" fillId="29" borderId="20" xfId="14" applyFont="1" applyFill="1" applyBorder="1" applyAlignment="1" applyProtection="1">
      <alignment horizontal="center" vertical="center" wrapText="1"/>
      <protection locked="0"/>
    </xf>
    <xf numFmtId="0" fontId="113" fillId="13" borderId="20" xfId="14" applyFont="1" applyFill="1" applyBorder="1" applyAlignment="1" applyProtection="1">
      <alignment horizontal="center" vertical="center" wrapText="1"/>
    </xf>
    <xf numFmtId="0" fontId="112" fillId="7" borderId="1" xfId="14" applyFont="1" applyFill="1" applyBorder="1" applyAlignment="1">
      <alignment horizontal="left" vertical="center"/>
    </xf>
    <xf numFmtId="0" fontId="108" fillId="25" borderId="14" xfId="12" applyAlignment="1">
      <alignment horizontal="center" vertical="center"/>
    </xf>
    <xf numFmtId="0" fontId="112" fillId="7" borderId="1" xfId="14" applyFont="1" applyFill="1" applyBorder="1" applyAlignment="1">
      <alignment horizontal="center" vertical="center"/>
    </xf>
    <xf numFmtId="0" fontId="48" fillId="5" borderId="0" xfId="15" applyFill="1" applyAlignment="1">
      <alignment vertical="center"/>
    </xf>
    <xf numFmtId="0" fontId="48" fillId="5" borderId="0" xfId="15" applyFill="1" applyAlignment="1">
      <alignment vertical="center" wrapText="1"/>
    </xf>
    <xf numFmtId="0" fontId="48" fillId="0" borderId="1" xfId="3" applyBorder="1" applyAlignment="1">
      <alignment vertical="center"/>
    </xf>
    <xf numFmtId="0" fontId="50" fillId="5" borderId="0" xfId="15" applyFont="1" applyFill="1" applyAlignment="1">
      <alignment vertical="center"/>
    </xf>
    <xf numFmtId="0" fontId="89" fillId="30" borderId="10" xfId="15" applyFont="1" applyFill="1" applyBorder="1" applyAlignment="1">
      <alignment vertical="center"/>
    </xf>
    <xf numFmtId="0" fontId="118" fillId="30" borderId="19" xfId="15" applyFont="1" applyFill="1" applyBorder="1" applyAlignment="1">
      <alignment vertical="center" wrapText="1"/>
    </xf>
    <xf numFmtId="0" fontId="118" fillId="30" borderId="11" xfId="15" applyFont="1" applyFill="1" applyBorder="1" applyAlignment="1">
      <alignment vertical="center" wrapText="1"/>
    </xf>
    <xf numFmtId="0" fontId="48" fillId="5" borderId="1" xfId="15" applyFill="1" applyBorder="1" applyAlignment="1">
      <alignment vertical="center"/>
    </xf>
    <xf numFmtId="0" fontId="48" fillId="0" borderId="12" xfId="3" applyBorder="1" applyAlignment="1">
      <alignment vertical="center"/>
    </xf>
    <xf numFmtId="0" fontId="48" fillId="0" borderId="7" xfId="3" applyBorder="1" applyAlignment="1">
      <alignment vertical="center"/>
    </xf>
    <xf numFmtId="0" fontId="119" fillId="5" borderId="1" xfId="15" applyFont="1" applyFill="1" applyBorder="1" applyAlignment="1">
      <alignment horizontal="center" vertical="center"/>
    </xf>
    <xf numFmtId="0" fontId="48" fillId="5" borderId="1" xfId="15" applyFill="1" applyBorder="1" applyAlignment="1">
      <alignment vertical="center" wrapText="1"/>
    </xf>
    <xf numFmtId="0" fontId="89" fillId="32" borderId="10" xfId="15" applyFont="1" applyFill="1" applyBorder="1" applyAlignment="1">
      <alignment vertical="center"/>
    </xf>
    <xf numFmtId="0" fontId="58" fillId="32" borderId="8" xfId="15" applyFont="1" applyFill="1" applyBorder="1" applyAlignment="1">
      <alignment horizontal="center" vertical="center" wrapText="1"/>
    </xf>
    <xf numFmtId="0" fontId="118" fillId="32" borderId="19" xfId="15" applyFont="1" applyFill="1" applyBorder="1" applyAlignment="1">
      <alignment vertical="center" wrapText="1"/>
    </xf>
    <xf numFmtId="0" fontId="118" fillId="32" borderId="11" xfId="15" applyFont="1" applyFill="1" applyBorder="1" applyAlignment="1">
      <alignment vertical="center" wrapText="1"/>
    </xf>
    <xf numFmtId="0" fontId="89" fillId="33" borderId="1" xfId="15" applyFont="1" applyFill="1" applyBorder="1" applyAlignment="1">
      <alignment horizontal="center" vertical="center" textRotation="45" wrapText="1"/>
    </xf>
    <xf numFmtId="0" fontId="116" fillId="33" borderId="1" xfId="15" applyFont="1" applyFill="1" applyBorder="1" applyAlignment="1">
      <alignment horizontal="center" vertical="center" wrapText="1"/>
    </xf>
    <xf numFmtId="0" fontId="104" fillId="33" borderId="1" xfId="15" applyFont="1" applyFill="1" applyBorder="1" applyAlignment="1">
      <alignment horizontal="center" vertical="center" textRotation="45"/>
    </xf>
    <xf numFmtId="0" fontId="104" fillId="33" borderId="1" xfId="15" applyFont="1" applyFill="1" applyBorder="1" applyAlignment="1">
      <alignment horizontal="center" vertical="center" wrapText="1"/>
    </xf>
    <xf numFmtId="0" fontId="89" fillId="33" borderId="13" xfId="15" applyFont="1" applyFill="1" applyBorder="1" applyAlignment="1">
      <alignment horizontal="center" vertical="center"/>
    </xf>
    <xf numFmtId="0" fontId="117" fillId="33" borderId="13" xfId="15" applyFont="1" applyFill="1" applyBorder="1" applyAlignment="1">
      <alignment horizontal="center" vertical="center" wrapText="1"/>
    </xf>
    <xf numFmtId="0" fontId="89" fillId="24" borderId="7" xfId="15" applyFont="1" applyFill="1" applyBorder="1" applyAlignment="1">
      <alignment horizontal="center" vertical="center"/>
    </xf>
    <xf numFmtId="0" fontId="120" fillId="24" borderId="8" xfId="15" applyFont="1" applyFill="1" applyBorder="1" applyAlignment="1">
      <alignment horizontal="center" vertical="center" wrapText="1"/>
    </xf>
    <xf numFmtId="0" fontId="117" fillId="24" borderId="8" xfId="15" applyFont="1" applyFill="1" applyBorder="1" applyAlignment="1">
      <alignment horizontal="center" vertical="center" wrapText="1"/>
    </xf>
    <xf numFmtId="0" fontId="117" fillId="24" borderId="9" xfId="15" applyFont="1" applyFill="1" applyBorder="1" applyAlignment="1">
      <alignment horizontal="center" vertical="center" wrapText="1"/>
    </xf>
    <xf numFmtId="0" fontId="58" fillId="30" borderId="19" xfId="15" applyFont="1" applyFill="1" applyBorder="1" applyAlignment="1">
      <alignment vertical="center" wrapText="1"/>
    </xf>
    <xf numFmtId="0" fontId="0" fillId="0" borderId="0" xfId="0" applyAlignment="1" applyProtection="1">
      <alignment vertical="center"/>
      <protection locked="0"/>
    </xf>
    <xf numFmtId="0" fontId="101" fillId="0" borderId="0" xfId="0" applyFont="1" applyAlignment="1" applyProtection="1">
      <alignment horizontal="left" vertical="center"/>
      <protection locked="0"/>
    </xf>
    <xf numFmtId="0" fontId="48" fillId="0" borderId="1" xfId="15" applyBorder="1" applyAlignment="1">
      <alignment vertical="center" wrapText="1"/>
    </xf>
    <xf numFmtId="0" fontId="58" fillId="31" borderId="0" xfId="3" applyFont="1" applyFill="1" applyAlignment="1">
      <alignment horizontal="center" wrapText="1"/>
    </xf>
    <xf numFmtId="0" fontId="70" fillId="31" borderId="0" xfId="3" applyFont="1" applyFill="1" applyAlignment="1">
      <alignment horizontal="center" wrapText="1"/>
    </xf>
    <xf numFmtId="0" fontId="112" fillId="29" borderId="12" xfId="29" applyFont="1" applyFill="1" applyBorder="1" applyAlignment="1">
      <alignment horizontal="center" vertical="center" wrapText="1"/>
    </xf>
    <xf numFmtId="0" fontId="125" fillId="0" borderId="2" xfId="0" applyFont="1" applyBorder="1" applyAlignment="1">
      <alignment horizontal="right" vertical="center"/>
    </xf>
    <xf numFmtId="0" fontId="127" fillId="0" borderId="0" xfId="0" applyFont="1" applyAlignment="1">
      <alignment wrapText="1"/>
    </xf>
    <xf numFmtId="0" fontId="109" fillId="7" borderId="1" xfId="14" applyFont="1" applyFill="1" applyBorder="1" applyAlignment="1">
      <alignment horizontal="center" vertical="center"/>
    </xf>
    <xf numFmtId="0" fontId="128" fillId="8" borderId="0" xfId="30" applyFill="1" applyAlignment="1">
      <alignment horizontal="center" wrapText="1"/>
    </xf>
    <xf numFmtId="0" fontId="29" fillId="0" borderId="0" xfId="11" applyFont="1"/>
    <xf numFmtId="0" fontId="0" fillId="6" borderId="14" xfId="1" applyFont="1"/>
    <xf numFmtId="0" fontId="28" fillId="0" borderId="0" xfId="11" applyFont="1"/>
    <xf numFmtId="0" fontId="48" fillId="0" borderId="1" xfId="0" applyFont="1" applyBorder="1" applyAlignment="1">
      <alignment horizontal="center" vertical="center" wrapText="1"/>
    </xf>
    <xf numFmtId="14" fontId="48" fillId="13" borderId="1" xfId="0" applyNumberFormat="1" applyFont="1" applyFill="1" applyBorder="1" applyAlignment="1">
      <alignment horizontal="center" vertical="center" wrapText="1"/>
    </xf>
    <xf numFmtId="0" fontId="27" fillId="0" borderId="0" xfId="11" applyFont="1"/>
    <xf numFmtId="0" fontId="26" fillId="0" borderId="0" xfId="11" applyFont="1"/>
    <xf numFmtId="0" fontId="25" fillId="0" borderId="0" xfId="11" applyFont="1"/>
    <xf numFmtId="0" fontId="80" fillId="6" borderId="14" xfId="1"/>
    <xf numFmtId="0" fontId="24" fillId="0" borderId="0" xfId="11" applyFont="1"/>
    <xf numFmtId="0" fontId="23" fillId="0" borderId="0" xfId="11" applyFont="1"/>
    <xf numFmtId="0" fontId="22" fillId="0" borderId="0" xfId="11" applyFont="1"/>
    <xf numFmtId="0" fontId="48" fillId="0" borderId="1" xfId="0" applyFont="1" applyBorder="1" applyAlignment="1">
      <alignment horizontal="center" vertical="center"/>
    </xf>
    <xf numFmtId="0" fontId="21" fillId="0" borderId="0" xfId="11" applyFont="1"/>
    <xf numFmtId="0" fontId="20" fillId="0" borderId="0" xfId="11" applyFont="1"/>
    <xf numFmtId="0" fontId="19" fillId="0" borderId="0" xfId="11" applyFont="1"/>
    <xf numFmtId="0" fontId="18" fillId="0" borderId="0" xfId="11" applyFont="1"/>
    <xf numFmtId="0" fontId="17" fillId="0" borderId="0" xfId="11" applyFont="1"/>
    <xf numFmtId="0" fontId="16" fillId="0" borderId="0" xfId="11" applyFont="1"/>
    <xf numFmtId="0" fontId="15" fillId="0" borderId="0" xfId="11" applyFont="1"/>
    <xf numFmtId="0" fontId="14" fillId="0" borderId="0" xfId="11" applyFont="1"/>
    <xf numFmtId="0" fontId="48" fillId="0" borderId="0" xfId="0" applyFont="1" applyAlignment="1">
      <alignment wrapText="1"/>
    </xf>
    <xf numFmtId="0" fontId="48" fillId="0" borderId="0" xfId="0" applyFont="1"/>
    <xf numFmtId="0" fontId="13" fillId="0" borderId="0" xfId="11" applyFont="1"/>
    <xf numFmtId="0" fontId="12" fillId="0" borderId="0" xfId="11" applyFont="1"/>
    <xf numFmtId="0" fontId="11" fillId="0" borderId="0" xfId="11" applyFont="1"/>
    <xf numFmtId="0" fontId="104" fillId="33" borderId="1" xfId="15" applyFont="1" applyFill="1" applyBorder="1" applyAlignment="1">
      <alignment horizontal="center" vertical="center" textRotation="45" wrapText="1"/>
    </xf>
    <xf numFmtId="0" fontId="0" fillId="0" borderId="1" xfId="0" applyBorder="1"/>
    <xf numFmtId="0" fontId="10" fillId="0" borderId="0" xfId="11" applyFont="1"/>
    <xf numFmtId="0" fontId="9" fillId="0" borderId="0" xfId="11" applyFont="1"/>
    <xf numFmtId="0" fontId="8" fillId="0" borderId="0" xfId="11" applyFont="1"/>
    <xf numFmtId="0" fontId="7" fillId="0" borderId="0" xfId="11" applyFont="1"/>
    <xf numFmtId="0" fontId="6" fillId="0" borderId="0" xfId="11" applyFont="1"/>
    <xf numFmtId="0" fontId="5" fillId="0" borderId="0" xfId="11" applyFont="1"/>
    <xf numFmtId="0" fontId="4" fillId="0" borderId="0" xfId="11" applyFont="1"/>
    <xf numFmtId="0" fontId="3" fillId="0" borderId="0" xfId="11" applyFont="1"/>
    <xf numFmtId="0" fontId="48" fillId="0" borderId="0" xfId="3" applyBorder="1" applyAlignment="1">
      <alignment vertical="center"/>
    </xf>
    <xf numFmtId="0" fontId="2" fillId="0" borderId="0" xfId="11" applyFont="1"/>
    <xf numFmtId="0" fontId="1" fillId="0" borderId="0" xfId="11" applyFont="1"/>
    <xf numFmtId="0" fontId="48" fillId="0" borderId="1" xfId="3" applyBorder="1" applyAlignment="1">
      <alignment vertical="center" wrapText="1"/>
    </xf>
    <xf numFmtId="0" fontId="53" fillId="0" borderId="7" xfId="3" applyFont="1" applyBorder="1" applyAlignment="1">
      <alignment horizontal="left" vertical="center" shrinkToFit="1"/>
    </xf>
    <xf numFmtId="0" fontId="53" fillId="0" borderId="8" xfId="3" applyFont="1" applyBorder="1" applyAlignment="1">
      <alignment horizontal="left" vertical="center" shrinkToFit="1"/>
    </xf>
    <xf numFmtId="0" fontId="53" fillId="0" borderId="9" xfId="3" applyFont="1" applyBorder="1" applyAlignment="1">
      <alignment horizontal="left" vertical="center" shrinkToFit="1"/>
    </xf>
    <xf numFmtId="0" fontId="53" fillId="0" borderId="7" xfId="3" applyFont="1" applyBorder="1" applyAlignment="1">
      <alignment horizontal="left" vertical="center" wrapText="1"/>
    </xf>
    <xf numFmtId="0" fontId="53" fillId="0" borderId="8" xfId="3" applyFont="1" applyBorder="1" applyAlignment="1">
      <alignment horizontal="left" vertical="center" wrapText="1"/>
    </xf>
    <xf numFmtId="0" fontId="53" fillId="0" borderId="9" xfId="3" applyFont="1" applyBorder="1" applyAlignment="1">
      <alignment horizontal="left" vertical="center" wrapText="1"/>
    </xf>
    <xf numFmtId="0" fontId="87" fillId="0" borderId="4" xfId="0" applyFont="1" applyBorder="1" applyAlignment="1">
      <alignment horizontal="left" vertical="center" shrinkToFit="1"/>
    </xf>
    <xf numFmtId="0" fontId="87" fillId="0" borderId="5" xfId="0" applyFont="1" applyBorder="1" applyAlignment="1">
      <alignment horizontal="left" vertical="center" shrinkToFit="1"/>
    </xf>
    <xf numFmtId="0" fontId="87" fillId="0" borderId="6" xfId="0" applyFont="1" applyBorder="1" applyAlignment="1">
      <alignment horizontal="left" vertical="center" shrinkToFit="1"/>
    </xf>
    <xf numFmtId="17" fontId="87" fillId="0" borderId="4" xfId="0" applyNumberFormat="1" applyFont="1" applyBorder="1" applyAlignment="1">
      <alignment horizontal="left" vertical="center" shrinkToFit="1"/>
    </xf>
    <xf numFmtId="0" fontId="87" fillId="0" borderId="4" xfId="3" applyFont="1" applyBorder="1" applyAlignment="1">
      <alignment horizontal="left" vertical="center" shrinkToFit="1"/>
    </xf>
    <xf numFmtId="0" fontId="87" fillId="0" borderId="5" xfId="3" applyFont="1" applyBorder="1" applyAlignment="1">
      <alignment horizontal="left" vertical="center" shrinkToFit="1"/>
    </xf>
    <xf numFmtId="0" fontId="87" fillId="0" borderId="6" xfId="3" applyFont="1" applyBorder="1" applyAlignment="1">
      <alignment horizontal="left" vertical="center" shrinkToFit="1"/>
    </xf>
    <xf numFmtId="0" fontId="98" fillId="0" borderId="0" xfId="3" applyFont="1" applyAlignment="1" applyProtection="1">
      <alignment horizontal="center" vertical="center" wrapText="1"/>
      <protection locked="0"/>
    </xf>
    <xf numFmtId="0" fontId="48" fillId="0" borderId="0" xfId="3" applyAlignment="1">
      <alignment vertical="center" wrapText="1"/>
    </xf>
    <xf numFmtId="0" fontId="89" fillId="16" borderId="2" xfId="3" applyFont="1" applyFill="1" applyBorder="1" applyAlignment="1" applyProtection="1">
      <alignment horizontal="center" vertical="center" shrinkToFit="1"/>
      <protection locked="0"/>
    </xf>
    <xf numFmtId="0" fontId="89" fillId="16" borderId="0" xfId="3" applyFont="1" applyFill="1" applyAlignment="1" applyProtection="1">
      <alignment horizontal="center" vertical="center" shrinkToFit="1"/>
      <protection locked="0"/>
    </xf>
    <xf numFmtId="0" fontId="89" fillId="16" borderId="3" xfId="3" applyFont="1" applyFill="1" applyBorder="1" applyAlignment="1" applyProtection="1">
      <alignment horizontal="center" vertical="center" shrinkToFit="1"/>
      <protection locked="0"/>
    </xf>
    <xf numFmtId="0" fontId="48" fillId="0" borderId="4" xfId="3" applyBorder="1" applyAlignment="1" applyProtection="1">
      <alignment horizontal="right" vertical="top" wrapText="1" shrinkToFit="1"/>
      <protection locked="0"/>
    </xf>
    <xf numFmtId="0" fontId="48" fillId="0" borderId="5" xfId="3" applyBorder="1" applyAlignment="1" applyProtection="1">
      <alignment horizontal="right" vertical="top" wrapText="1" shrinkToFit="1"/>
      <protection locked="0"/>
    </xf>
    <xf numFmtId="0" fontId="90" fillId="0" borderId="5" xfId="0" applyFont="1" applyBorder="1" applyAlignment="1" applyProtection="1">
      <alignment horizontal="left" vertical="top" wrapText="1" shrinkToFit="1"/>
      <protection locked="0"/>
    </xf>
    <xf numFmtId="0" fontId="90" fillId="0" borderId="6" xfId="0" applyFont="1" applyBorder="1" applyAlignment="1" applyProtection="1">
      <alignment horizontal="left" vertical="top" wrapText="1" shrinkToFit="1"/>
      <protection locked="0"/>
    </xf>
    <xf numFmtId="0" fontId="50" fillId="0" borderId="5" xfId="3" applyFont="1" applyBorder="1" applyAlignment="1" applyProtection="1">
      <alignment horizontal="left" vertical="top" wrapText="1" shrinkToFit="1"/>
      <protection locked="0"/>
    </xf>
    <xf numFmtId="0" fontId="92" fillId="0" borderId="5" xfId="3" applyFont="1" applyBorder="1" applyAlignment="1" applyProtection="1">
      <alignment horizontal="left" vertical="top" shrinkToFit="1"/>
      <protection locked="0"/>
    </xf>
    <xf numFmtId="0" fontId="92" fillId="0" borderId="6" xfId="3" applyFont="1" applyBorder="1" applyAlignment="1" applyProtection="1">
      <alignment horizontal="left" vertical="top" shrinkToFit="1"/>
      <protection locked="0"/>
    </xf>
    <xf numFmtId="0" fontId="89" fillId="16" borderId="7" xfId="3" applyFont="1" applyFill="1" applyBorder="1" applyAlignment="1" applyProtection="1">
      <alignment horizontal="center" vertical="center" shrinkToFit="1"/>
      <protection locked="0"/>
    </xf>
    <xf numFmtId="0" fontId="89" fillId="16" borderId="8" xfId="3" applyFont="1" applyFill="1" applyBorder="1" applyAlignment="1" applyProtection="1">
      <alignment horizontal="center" vertical="center" shrinkToFit="1"/>
      <protection locked="0"/>
    </xf>
    <xf numFmtId="0" fontId="89" fillId="16" borderId="9" xfId="3" applyFont="1" applyFill="1" applyBorder="1" applyAlignment="1" applyProtection="1">
      <alignment horizontal="center" vertical="center" shrinkToFit="1"/>
      <protection locked="0"/>
    </xf>
    <xf numFmtId="0" fontId="48" fillId="0" borderId="4" xfId="3" applyBorder="1" applyAlignment="1" applyProtection="1">
      <alignment horizontal="center" vertical="top" wrapText="1" shrinkToFit="1"/>
      <protection locked="0"/>
    </xf>
    <xf numFmtId="0" fontId="48" fillId="0" borderId="5" xfId="3" applyBorder="1" applyAlignment="1" applyProtection="1">
      <alignment horizontal="center" vertical="top" wrapText="1" shrinkToFit="1"/>
      <protection locked="0"/>
    </xf>
    <xf numFmtId="0" fontId="48" fillId="0" borderId="6" xfId="3" applyBorder="1" applyAlignment="1" applyProtection="1">
      <alignment horizontal="center" vertical="top" wrapText="1" shrinkToFit="1"/>
      <protection locked="0"/>
    </xf>
    <xf numFmtId="0" fontId="89" fillId="16" borderId="8" xfId="3" applyFont="1" applyFill="1" applyBorder="1" applyAlignment="1" applyProtection="1">
      <alignment horizontal="center" vertical="center" wrapText="1"/>
      <protection locked="0"/>
    </xf>
    <xf numFmtId="0" fontId="89" fillId="16" borderId="0" xfId="3" applyFont="1" applyFill="1" applyAlignment="1" applyProtection="1">
      <alignment horizontal="center" vertical="center" wrapText="1"/>
      <protection locked="0"/>
    </xf>
    <xf numFmtId="0" fontId="48" fillId="0" borderId="7" xfId="3" applyBorder="1" applyAlignment="1" applyProtection="1">
      <alignment horizontal="left" vertical="top"/>
      <protection locked="0"/>
    </xf>
    <xf numFmtId="0" fontId="48" fillId="0" borderId="8" xfId="3" applyBorder="1" applyAlignment="1" applyProtection="1">
      <alignment horizontal="left" vertical="top"/>
      <protection locked="0"/>
    </xf>
    <xf numFmtId="0" fontId="48" fillId="0" borderId="9" xfId="3" applyBorder="1" applyAlignment="1" applyProtection="1">
      <alignment horizontal="left" vertical="top"/>
      <protection locked="0"/>
    </xf>
    <xf numFmtId="0" fontId="48" fillId="0" borderId="4" xfId="3" applyBorder="1" applyAlignment="1" applyProtection="1">
      <alignment horizontal="left" vertical="top"/>
      <protection locked="0"/>
    </xf>
    <xf numFmtId="0" fontId="48" fillId="0" borderId="5" xfId="3" applyBorder="1" applyAlignment="1" applyProtection="1">
      <alignment horizontal="left" vertical="top"/>
      <protection locked="0"/>
    </xf>
    <xf numFmtId="0" fontId="48" fillId="0" borderId="6" xfId="3" applyBorder="1" applyAlignment="1" applyProtection="1">
      <alignment horizontal="left" vertical="top"/>
      <protection locked="0"/>
    </xf>
    <xf numFmtId="0" fontId="89" fillId="16" borderId="2" xfId="3" applyFont="1" applyFill="1" applyBorder="1" applyAlignment="1" applyProtection="1">
      <alignment horizontal="center" vertical="center" wrapText="1" shrinkToFit="1"/>
      <protection locked="0"/>
    </xf>
    <xf numFmtId="0" fontId="89" fillId="16" borderId="0" xfId="3" applyFont="1" applyFill="1" applyAlignment="1" applyProtection="1">
      <alignment horizontal="center" vertical="center" wrapText="1" shrinkToFit="1"/>
      <protection locked="0"/>
    </xf>
    <xf numFmtId="0" fontId="108" fillId="25" borderId="14" xfId="12" applyAlignment="1" applyProtection="1">
      <alignment horizontal="center" vertical="center"/>
      <protection locked="0"/>
    </xf>
    <xf numFmtId="0" fontId="122" fillId="2" borderId="10" xfId="7" applyFont="1" applyFill="1" applyBorder="1" applyAlignment="1">
      <alignment horizontal="center" vertical="center"/>
    </xf>
    <xf numFmtId="0" fontId="122" fillId="2" borderId="19" xfId="7" applyFont="1" applyFill="1" applyBorder="1" applyAlignment="1">
      <alignment horizontal="center" vertical="center"/>
    </xf>
    <xf numFmtId="0" fontId="122" fillId="2" borderId="11" xfId="7" applyFont="1" applyFill="1" applyBorder="1" applyAlignment="1">
      <alignment horizontal="center" vertical="center"/>
    </xf>
    <xf numFmtId="0" fontId="55" fillId="2" borderId="10" xfId="7" applyFill="1" applyBorder="1" applyAlignment="1">
      <alignment horizontal="justify" vertical="center" wrapText="1"/>
    </xf>
    <xf numFmtId="0" fontId="55" fillId="2" borderId="19" xfId="7" applyFill="1" applyBorder="1" applyAlignment="1">
      <alignment horizontal="justify" vertical="center" wrapText="1"/>
    </xf>
    <xf numFmtId="0" fontId="55" fillId="2" borderId="11" xfId="7" applyFill="1" applyBorder="1" applyAlignment="1">
      <alignment horizontal="justify" vertical="center" wrapText="1"/>
    </xf>
    <xf numFmtId="49" fontId="48" fillId="0" borderId="10" xfId="3" applyNumberFormat="1" applyBorder="1" applyAlignment="1" applyProtection="1">
      <alignment horizontal="center" vertical="center" wrapText="1"/>
      <protection locked="0"/>
    </xf>
    <xf numFmtId="49" fontId="48" fillId="0" borderId="19" xfId="3" applyNumberFormat="1" applyBorder="1" applyAlignment="1" applyProtection="1">
      <alignment horizontal="center" vertical="center" wrapText="1"/>
      <protection locked="0"/>
    </xf>
    <xf numFmtId="49" fontId="48" fillId="0" borderId="11" xfId="3" applyNumberFormat="1" applyBorder="1" applyAlignment="1" applyProtection="1">
      <alignment horizontal="center" vertical="center" wrapText="1"/>
      <protection locked="0"/>
    </xf>
    <xf numFmtId="14" fontId="48" fillId="0" borderId="10" xfId="3" applyNumberFormat="1" applyBorder="1" applyAlignment="1" applyProtection="1">
      <alignment horizontal="left" vertical="center" wrapText="1"/>
      <protection locked="0"/>
    </xf>
    <xf numFmtId="14" fontId="48" fillId="0" borderId="19" xfId="3" applyNumberFormat="1" applyBorder="1" applyAlignment="1" applyProtection="1">
      <alignment horizontal="left" vertical="center" wrapText="1"/>
      <protection locked="0"/>
    </xf>
    <xf numFmtId="14" fontId="48" fillId="0" borderId="11" xfId="3" applyNumberFormat="1" applyBorder="1" applyAlignment="1" applyProtection="1">
      <alignment horizontal="left" vertical="center" wrapText="1"/>
      <protection locked="0"/>
    </xf>
    <xf numFmtId="49" fontId="48" fillId="0" borderId="1" xfId="3" applyNumberFormat="1" applyBorder="1" applyAlignment="1" applyProtection="1">
      <alignment horizontal="left" vertical="center" wrapText="1"/>
      <protection locked="0"/>
    </xf>
    <xf numFmtId="49" fontId="48" fillId="0" borderId="1" xfId="3" applyNumberFormat="1" applyBorder="1" applyAlignment="1">
      <alignment horizontal="left" vertical="center" wrapText="1"/>
    </xf>
    <xf numFmtId="49" fontId="48" fillId="23" borderId="1" xfId="3" applyNumberFormat="1" applyFill="1" applyBorder="1" applyAlignment="1" applyProtection="1">
      <alignment horizontal="center" vertical="center" wrapText="1"/>
      <protection locked="0"/>
    </xf>
    <xf numFmtId="49" fontId="48" fillId="34" borderId="1" xfId="3" applyNumberFormat="1" applyFill="1" applyBorder="1" applyAlignment="1" applyProtection="1">
      <alignment horizontal="center" vertical="center" wrapText="1"/>
      <protection locked="0"/>
    </xf>
    <xf numFmtId="0" fontId="53" fillId="17" borderId="7" xfId="3" applyFont="1" applyFill="1" applyBorder="1" applyAlignment="1">
      <alignment horizontal="left" vertical="center" wrapText="1"/>
    </xf>
    <xf numFmtId="0" fontId="53" fillId="17" borderId="8" xfId="3" applyFont="1" applyFill="1" applyBorder="1" applyAlignment="1">
      <alignment horizontal="left" vertical="center" wrapText="1"/>
    </xf>
    <xf numFmtId="0" fontId="53" fillId="17" borderId="9" xfId="3" applyFont="1" applyFill="1" applyBorder="1" applyAlignment="1">
      <alignment horizontal="left" vertical="center" wrapText="1"/>
    </xf>
    <xf numFmtId="0" fontId="87" fillId="17" borderId="4" xfId="3" applyFont="1" applyFill="1" applyBorder="1" applyAlignment="1">
      <alignment horizontal="left" vertical="center" shrinkToFit="1"/>
    </xf>
    <xf numFmtId="0" fontId="87" fillId="17" borderId="5" xfId="3" applyFont="1" applyFill="1" applyBorder="1" applyAlignment="1">
      <alignment horizontal="left" vertical="center" shrinkToFit="1"/>
    </xf>
    <xf numFmtId="0" fontId="87" fillId="17" borderId="6" xfId="3" applyFont="1" applyFill="1" applyBorder="1" applyAlignment="1">
      <alignment horizontal="left" vertical="center" shrinkToFit="1"/>
    </xf>
    <xf numFmtId="0" fontId="53" fillId="17" borderId="7" xfId="3" applyFont="1" applyFill="1" applyBorder="1" applyAlignment="1">
      <alignment horizontal="left" vertical="center" shrinkToFit="1"/>
    </xf>
    <xf numFmtId="0" fontId="53" fillId="17" borderId="8" xfId="3" applyFont="1" applyFill="1" applyBorder="1" applyAlignment="1">
      <alignment horizontal="left" vertical="center" shrinkToFit="1"/>
    </xf>
    <xf numFmtId="0" fontId="53" fillId="17" borderId="9" xfId="3" applyFont="1" applyFill="1" applyBorder="1" applyAlignment="1">
      <alignment horizontal="left" vertical="center" shrinkToFit="1"/>
    </xf>
    <xf numFmtId="0" fontId="88" fillId="17" borderId="4" xfId="3" applyFont="1" applyFill="1" applyBorder="1" applyAlignment="1">
      <alignment horizontal="left" vertical="center" shrinkToFit="1"/>
    </xf>
    <xf numFmtId="0" fontId="88" fillId="17" borderId="5" xfId="3" applyFont="1" applyFill="1" applyBorder="1" applyAlignment="1">
      <alignment horizontal="left" vertical="center" shrinkToFit="1"/>
    </xf>
    <xf numFmtId="0" fontId="88" fillId="17" borderId="6" xfId="3" applyFont="1" applyFill="1" applyBorder="1" applyAlignment="1">
      <alignment horizontal="left" vertical="center" shrinkToFit="1"/>
    </xf>
    <xf numFmtId="0" fontId="67" fillId="18" borderId="1" xfId="3" applyFont="1" applyFill="1" applyBorder="1" applyAlignment="1" applyProtection="1">
      <alignment horizontal="center" vertical="center" wrapText="1"/>
      <protection locked="0"/>
    </xf>
    <xf numFmtId="0" fontId="48" fillId="18" borderId="1" xfId="3" applyFill="1" applyBorder="1" applyAlignment="1" applyProtection="1">
      <alignment horizontal="center" vertical="center" wrapText="1"/>
      <protection locked="0"/>
    </xf>
    <xf numFmtId="49" fontId="48" fillId="19" borderId="1" xfId="3" applyNumberFormat="1" applyFill="1" applyBorder="1" applyAlignment="1" applyProtection="1">
      <alignment horizontal="center" vertical="center" wrapText="1"/>
      <protection locked="0"/>
    </xf>
    <xf numFmtId="49" fontId="48" fillId="22" borderId="1" xfId="3" applyNumberFormat="1" applyFill="1" applyBorder="1" applyAlignment="1" applyProtection="1">
      <alignment horizontal="center" vertical="center" wrapText="1"/>
      <protection locked="0"/>
    </xf>
    <xf numFmtId="0" fontId="48" fillId="0" borderId="1" xfId="3" applyBorder="1" applyAlignment="1">
      <alignment horizontal="center" vertical="center" wrapText="1"/>
    </xf>
    <xf numFmtId="49" fontId="84" fillId="24" borderId="1" xfId="3" applyNumberFormat="1" applyFont="1" applyFill="1" applyBorder="1" applyAlignment="1" applyProtection="1">
      <alignment horizontal="center" vertical="center" wrapText="1"/>
      <protection locked="0"/>
    </xf>
    <xf numFmtId="49" fontId="48" fillId="0" borderId="1" xfId="3" applyNumberFormat="1" applyBorder="1" applyAlignment="1" applyProtection="1">
      <alignment horizontal="center" vertical="center" wrapText="1"/>
      <protection locked="0"/>
    </xf>
    <xf numFmtId="49" fontId="48" fillId="0" borderId="1" xfId="3" applyNumberFormat="1" applyBorder="1" applyAlignment="1">
      <alignment horizontal="center" vertical="center" wrapText="1"/>
    </xf>
    <xf numFmtId="49" fontId="48" fillId="0" borderId="1" xfId="3" applyNumberFormat="1" applyBorder="1" applyAlignment="1" applyProtection="1">
      <alignment vertical="center" wrapText="1"/>
      <protection locked="0"/>
    </xf>
    <xf numFmtId="0" fontId="48" fillId="0" borderId="1" xfId="3" applyBorder="1" applyAlignment="1">
      <alignment horizontal="left" vertical="center" wrapText="1"/>
    </xf>
    <xf numFmtId="0" fontId="104" fillId="20" borderId="1" xfId="3" applyFont="1" applyFill="1" applyBorder="1" applyAlignment="1">
      <alignment horizontal="center" vertical="center" wrapText="1"/>
    </xf>
    <xf numFmtId="0" fontId="48" fillId="0" borderId="10" xfId="3" applyBorder="1" applyAlignment="1">
      <alignment horizontal="left" vertical="center" wrapText="1"/>
    </xf>
    <xf numFmtId="0" fontId="48" fillId="0" borderId="19" xfId="3" applyBorder="1" applyAlignment="1">
      <alignment horizontal="left" vertical="center" wrapText="1"/>
    </xf>
    <xf numFmtId="0" fontId="48" fillId="0" borderId="11" xfId="3" applyBorder="1" applyAlignment="1">
      <alignment horizontal="left" vertical="center" wrapText="1"/>
    </xf>
    <xf numFmtId="0" fontId="81" fillId="0" borderId="10" xfId="2" applyBorder="1" applyAlignment="1">
      <alignment horizontal="left" vertical="center" wrapText="1"/>
    </xf>
    <xf numFmtId="0" fontId="49" fillId="21" borderId="2" xfId="0" applyFont="1" applyFill="1" applyBorder="1" applyAlignment="1">
      <alignment horizontal="center" vertical="top" textRotation="45"/>
    </xf>
    <xf numFmtId="0" fontId="49" fillId="9" borderId="2" xfId="0" applyFont="1" applyFill="1" applyBorder="1" applyAlignment="1">
      <alignment horizontal="center" vertical="center" textRotation="45"/>
    </xf>
    <xf numFmtId="0" fontId="56" fillId="3" borderId="7" xfId="7" applyFont="1" applyFill="1" applyBorder="1" applyAlignment="1">
      <alignment horizontal="center" vertical="distributed"/>
    </xf>
    <xf numFmtId="0" fontId="56" fillId="3" borderId="8" xfId="7" applyFont="1" applyFill="1" applyBorder="1" applyAlignment="1">
      <alignment horizontal="center" vertical="distributed"/>
    </xf>
    <xf numFmtId="0" fontId="56" fillId="3" borderId="9" xfId="7" applyFont="1" applyFill="1" applyBorder="1" applyAlignment="1">
      <alignment horizontal="center" vertical="distributed"/>
    </xf>
    <xf numFmtId="0" fontId="49" fillId="3" borderId="7" xfId="0" applyFont="1" applyFill="1" applyBorder="1" applyAlignment="1">
      <alignment horizontal="center" wrapText="1"/>
    </xf>
    <xf numFmtId="0" fontId="49" fillId="3" borderId="8" xfId="0" applyFont="1" applyFill="1" applyBorder="1" applyAlignment="1">
      <alignment horizontal="center" wrapText="1"/>
    </xf>
    <xf numFmtId="0" fontId="49" fillId="3" borderId="9" xfId="0" applyFont="1" applyFill="1" applyBorder="1" applyAlignment="1">
      <alignment horizontal="center" wrapText="1"/>
    </xf>
    <xf numFmtId="0" fontId="48" fillId="2" borderId="10" xfId="0" applyFont="1" applyFill="1" applyBorder="1" applyAlignment="1">
      <alignment horizontal="left" vertical="center" wrapText="1" shrinkToFit="1"/>
    </xf>
    <xf numFmtId="0" fontId="48" fillId="2" borderId="11" xfId="0" applyFont="1" applyFill="1" applyBorder="1" applyAlignment="1">
      <alignment horizontal="left" vertical="center" wrapText="1" shrinkToFit="1"/>
    </xf>
    <xf numFmtId="0" fontId="111" fillId="28" borderId="4" xfId="13" applyFont="1" applyFill="1" applyBorder="1" applyAlignment="1" applyProtection="1">
      <alignment horizontal="center" vertical="center" wrapText="1"/>
      <protection locked="0"/>
    </xf>
    <xf numFmtId="0" fontId="111" fillId="28" borderId="5" xfId="13" applyFont="1" applyFill="1" applyBorder="1" applyAlignment="1" applyProtection="1">
      <alignment horizontal="center" vertical="center" wrapText="1"/>
      <protection locked="0"/>
    </xf>
    <xf numFmtId="0" fontId="111" fillId="28" borderId="6" xfId="13" applyFont="1" applyFill="1" applyBorder="1" applyAlignment="1" applyProtection="1">
      <alignment horizontal="center" vertical="center" wrapText="1"/>
      <protection locked="0"/>
    </xf>
    <xf numFmtId="0" fontId="111" fillId="16" borderId="4" xfId="13" applyFont="1" applyFill="1" applyBorder="1" applyAlignment="1" applyProtection="1">
      <alignment horizontal="center" vertical="center" wrapText="1"/>
    </xf>
    <xf numFmtId="0" fontId="111" fillId="16" borderId="5" xfId="13" applyFont="1" applyFill="1" applyBorder="1" applyAlignment="1" applyProtection="1">
      <alignment horizontal="center" vertical="center" wrapText="1"/>
    </xf>
    <xf numFmtId="0" fontId="108" fillId="25" borderId="14" xfId="12" applyAlignment="1">
      <alignment horizontal="left" vertical="center"/>
    </xf>
    <xf numFmtId="0" fontId="58" fillId="8" borderId="5" xfId="0" applyFont="1" applyFill="1" applyBorder="1" applyAlignment="1">
      <alignment horizontal="center" vertical="center"/>
    </xf>
    <xf numFmtId="0" fontId="58" fillId="8" borderId="6" xfId="0" applyFont="1" applyFill="1" applyBorder="1" applyAlignment="1">
      <alignment horizontal="center" vertical="center"/>
    </xf>
    <xf numFmtId="0" fontId="116" fillId="28" borderId="10" xfId="2" applyFont="1" applyFill="1" applyBorder="1" applyAlignment="1" applyProtection="1">
      <alignment horizontal="center" vertical="center" wrapText="1"/>
      <protection locked="0"/>
    </xf>
    <xf numFmtId="0" fontId="116"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78">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6545580</xdr:colOff>
          <xdr:row>117</xdr:row>
          <xdr:rowOff>68580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4" totalsRowShown="0" headerRowDxfId="57" headerRowBorderDxfId="56" tableBorderDxfId="55" headerRowCellStyle="40% - Accent5" dataCellStyle="Normal 4">
  <autoFilter ref="A2:O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22" zoomScale="130" zoomScaleNormal="130" workbookViewId="0">
      <selection activeCell="E16" sqref="E16:AG16"/>
    </sheetView>
  </sheetViews>
  <sheetFormatPr defaultColWidth="0" defaultRowHeight="12.75" customHeight="1" zeroHeight="1"/>
  <cols>
    <col min="1" max="3" width="2.6640625" style="94" customWidth="1"/>
    <col min="4" max="4" width="3.33203125" style="94" customWidth="1"/>
    <col min="5" max="33" width="2.6640625" style="94" customWidth="1"/>
    <col min="34" max="34" width="1.33203125" style="94" customWidth="1"/>
    <col min="35" max="60" width="3.33203125" style="94" hidden="1" customWidth="1"/>
    <col min="61" max="16384" width="0" style="94" hidden="1"/>
  </cols>
  <sheetData>
    <row r="1" spans="1:37" s="84" customFormat="1" ht="13.2">
      <c r="C1" s="85"/>
      <c r="D1" s="85"/>
      <c r="E1" s="85"/>
      <c r="F1" s="85"/>
      <c r="G1" s="86"/>
      <c r="H1" s="87"/>
      <c r="I1" s="87"/>
      <c r="J1" s="87"/>
      <c r="K1" s="87"/>
      <c r="L1" s="87"/>
      <c r="M1" s="87"/>
      <c r="N1" s="87"/>
      <c r="O1" s="87"/>
      <c r="P1" s="88"/>
      <c r="Q1" s="88"/>
      <c r="R1" s="88"/>
      <c r="S1" s="88"/>
      <c r="T1" s="88"/>
      <c r="U1" s="88"/>
      <c r="V1" s="88"/>
      <c r="W1" s="88"/>
      <c r="X1" s="88"/>
      <c r="Y1" s="88"/>
      <c r="Z1" s="88"/>
      <c r="AA1" s="88"/>
      <c r="AB1" s="88"/>
      <c r="AC1" s="88"/>
      <c r="AD1" s="88"/>
      <c r="AE1" s="88"/>
      <c r="AF1" s="88"/>
      <c r="AG1" s="88"/>
      <c r="AH1" s="88"/>
      <c r="AI1" s="88"/>
      <c r="AJ1" s="88"/>
      <c r="AK1" s="88"/>
    </row>
    <row r="2" spans="1:37" s="84" customFormat="1" ht="13.2"/>
    <row r="3" spans="1:37" s="84" customFormat="1" ht="13.2">
      <c r="AD3" s="89" t="s">
        <v>407</v>
      </c>
    </row>
    <row r="4" spans="1:37" s="84" customFormat="1" ht="11.1" customHeight="1">
      <c r="A4" s="222" t="s">
        <v>5</v>
      </c>
      <c r="B4" s="223"/>
      <c r="C4" s="223"/>
      <c r="D4" s="223"/>
      <c r="E4" s="223"/>
      <c r="F4" s="223"/>
      <c r="G4" s="223"/>
      <c r="H4" s="223"/>
      <c r="I4" s="223"/>
      <c r="J4" s="223"/>
      <c r="K4" s="223"/>
      <c r="L4" s="223"/>
      <c r="M4" s="223"/>
      <c r="N4" s="223"/>
      <c r="O4" s="223"/>
      <c r="P4" s="223"/>
      <c r="Q4" s="224"/>
      <c r="R4" s="225" t="s">
        <v>12</v>
      </c>
      <c r="S4" s="226"/>
      <c r="T4" s="226"/>
      <c r="U4" s="226"/>
      <c r="V4" s="227"/>
      <c r="W4" s="225" t="s">
        <v>6</v>
      </c>
      <c r="X4" s="226"/>
      <c r="Y4" s="226"/>
      <c r="Z4" s="226"/>
      <c r="AA4" s="227"/>
      <c r="AB4" s="222" t="s">
        <v>137</v>
      </c>
      <c r="AC4" s="223"/>
      <c r="AD4" s="223"/>
      <c r="AE4" s="223"/>
      <c r="AF4" s="223"/>
      <c r="AG4" s="224"/>
      <c r="AH4" s="90"/>
      <c r="AI4" s="90"/>
      <c r="AJ4" s="90"/>
    </row>
    <row r="5" spans="1:37" s="91" customFormat="1" ht="12.75" customHeight="1">
      <c r="A5" s="228" t="s">
        <v>401</v>
      </c>
      <c r="B5" s="229"/>
      <c r="C5" s="229"/>
      <c r="D5" s="229"/>
      <c r="E5" s="229"/>
      <c r="F5" s="229"/>
      <c r="G5" s="229"/>
      <c r="H5" s="229"/>
      <c r="I5" s="229"/>
      <c r="J5" s="229"/>
      <c r="K5" s="229"/>
      <c r="L5" s="229"/>
      <c r="M5" s="229"/>
      <c r="N5" s="229"/>
      <c r="O5" s="229"/>
      <c r="P5" s="229"/>
      <c r="Q5" s="230"/>
      <c r="R5" s="228" t="s">
        <v>138</v>
      </c>
      <c r="S5" s="229"/>
      <c r="T5" s="229"/>
      <c r="U5" s="229"/>
      <c r="V5" s="230"/>
      <c r="W5" s="228" t="str">
        <f ca="1" xml:space="preserve"> IFERROR(IF([2]!alvDocProperty("MXCurrent.Localized")="","Template released",[2]!alvDocProperty("MXCurrent.Localized")),"Template released")</f>
        <v>Template released</v>
      </c>
      <c r="X5" s="229"/>
      <c r="Y5" s="229"/>
      <c r="Z5" s="229"/>
      <c r="AA5" s="230"/>
      <c r="AB5" s="231">
        <v>44963</v>
      </c>
      <c r="AC5" s="229"/>
      <c r="AD5" s="229"/>
      <c r="AE5" s="229"/>
      <c r="AF5" s="229"/>
      <c r="AG5" s="230"/>
    </row>
    <row r="6" spans="1:37" s="84" customFormat="1" ht="11.1" customHeight="1">
      <c r="A6" s="225" t="s">
        <v>7</v>
      </c>
      <c r="B6" s="226"/>
      <c r="C6" s="226"/>
      <c r="D6" s="227"/>
      <c r="E6" s="225" t="s">
        <v>8</v>
      </c>
      <c r="F6" s="226"/>
      <c r="G6" s="226"/>
      <c r="H6" s="226"/>
      <c r="I6" s="226"/>
      <c r="J6" s="226"/>
      <c r="K6" s="226"/>
      <c r="L6" s="226"/>
      <c r="M6" s="226"/>
      <c r="N6" s="226"/>
      <c r="O6" s="226"/>
      <c r="P6" s="226"/>
      <c r="Q6" s="226"/>
      <c r="R6" s="226"/>
      <c r="S6" s="226"/>
      <c r="T6" s="226"/>
      <c r="U6" s="226"/>
      <c r="V6" s="227"/>
      <c r="W6" s="222" t="s">
        <v>10</v>
      </c>
      <c r="X6" s="223"/>
      <c r="Y6" s="223"/>
      <c r="Z6" s="223"/>
      <c r="AA6" s="224"/>
      <c r="AB6" s="225" t="s">
        <v>34</v>
      </c>
      <c r="AC6" s="226"/>
      <c r="AD6" s="227"/>
      <c r="AE6" s="225" t="s">
        <v>9</v>
      </c>
      <c r="AF6" s="226"/>
      <c r="AG6" s="227"/>
    </row>
    <row r="7" spans="1:37" s="91" customFormat="1" ht="12.75" customHeight="1">
      <c r="A7" s="228" t="s">
        <v>11</v>
      </c>
      <c r="B7" s="229"/>
      <c r="C7" s="229"/>
      <c r="D7" s="230"/>
      <c r="E7" s="228" t="s">
        <v>406</v>
      </c>
      <c r="F7" s="229"/>
      <c r="G7" s="229"/>
      <c r="H7" s="229"/>
      <c r="I7" s="229"/>
      <c r="J7" s="229"/>
      <c r="K7" s="229"/>
      <c r="L7" s="229"/>
      <c r="M7" s="229"/>
      <c r="N7" s="229"/>
      <c r="O7" s="229"/>
      <c r="P7" s="229"/>
      <c r="Q7" s="229"/>
      <c r="R7" s="229"/>
      <c r="S7" s="229"/>
      <c r="T7" s="229"/>
      <c r="U7" s="229"/>
      <c r="V7" s="230"/>
      <c r="W7" s="232" t="str">
        <f ca="1" xml:space="preserve"> IFERROR(IF([2]!alvDocProperty("MXDocTemplate_Name")="","AEF1007",[2]!alvDocProperty("MXDocTemplate_Name")),"AEF1007")</f>
        <v>AEF1007</v>
      </c>
      <c r="X7" s="233"/>
      <c r="Y7" s="233"/>
      <c r="Z7" s="233"/>
      <c r="AA7" s="234"/>
      <c r="AB7" s="228">
        <v>1</v>
      </c>
      <c r="AC7" s="229"/>
      <c r="AD7" s="230"/>
      <c r="AE7" s="228">
        <v>17</v>
      </c>
      <c r="AF7" s="229"/>
      <c r="AG7" s="230"/>
    </row>
    <row r="8" spans="1:37" s="91" customFormat="1" ht="13.2">
      <c r="A8" s="92"/>
      <c r="B8" s="92"/>
      <c r="C8" s="92"/>
      <c r="D8" s="92"/>
      <c r="E8" s="92"/>
      <c r="F8" s="92"/>
      <c r="G8" s="92"/>
      <c r="H8" s="92"/>
      <c r="I8" s="92"/>
      <c r="J8" s="92"/>
      <c r="K8" s="92"/>
      <c r="L8" s="92"/>
      <c r="M8" s="92"/>
      <c r="N8" s="92"/>
      <c r="O8" s="92"/>
      <c r="P8" s="92"/>
      <c r="Q8" s="92"/>
      <c r="R8" s="92"/>
      <c r="S8" s="92"/>
      <c r="T8" s="92"/>
      <c r="U8" s="92"/>
      <c r="V8" s="92"/>
      <c r="W8" s="93"/>
      <c r="X8" s="93"/>
      <c r="Y8" s="93"/>
      <c r="Z8" s="93"/>
      <c r="AA8" s="93"/>
      <c r="AB8" s="92"/>
      <c r="AC8" s="92"/>
      <c r="AD8" s="92"/>
      <c r="AE8" s="92"/>
      <c r="AF8" s="92"/>
      <c r="AG8" s="92"/>
    </row>
    <row r="9" spans="1:37" ht="11.1" customHeight="1">
      <c r="A9" s="237" t="s">
        <v>61</v>
      </c>
      <c r="B9" s="238"/>
      <c r="C9" s="238"/>
      <c r="D9" s="238"/>
      <c r="E9" s="238"/>
      <c r="F9" s="238"/>
      <c r="G9" s="238"/>
      <c r="H9" s="238"/>
      <c r="I9" s="238"/>
      <c r="J9" s="238"/>
      <c r="K9" s="239"/>
      <c r="L9" s="237" t="s">
        <v>12</v>
      </c>
      <c r="M9" s="238"/>
      <c r="N9" s="238"/>
      <c r="O9" s="238"/>
      <c r="P9" s="238"/>
      <c r="Q9" s="238"/>
      <c r="R9" s="238"/>
      <c r="S9" s="238"/>
      <c r="T9" s="238"/>
      <c r="U9" s="238"/>
      <c r="V9" s="239"/>
      <c r="W9" s="237" t="s">
        <v>17</v>
      </c>
      <c r="X9" s="238"/>
      <c r="Y9" s="238"/>
      <c r="Z9" s="238"/>
      <c r="AA9" s="238"/>
      <c r="AB9" s="238"/>
      <c r="AC9" s="238"/>
      <c r="AD9" s="238"/>
      <c r="AE9" s="238"/>
      <c r="AF9" s="238"/>
      <c r="AG9" s="239"/>
    </row>
    <row r="10" spans="1:37" s="95" customFormat="1" ht="39" customHeight="1">
      <c r="A10" s="240" t="s">
        <v>139</v>
      </c>
      <c r="B10" s="241"/>
      <c r="C10" s="241"/>
      <c r="D10" s="241"/>
      <c r="E10" s="241"/>
      <c r="F10" s="242" t="s">
        <v>400</v>
      </c>
      <c r="G10" s="242"/>
      <c r="H10" s="242"/>
      <c r="I10" s="242"/>
      <c r="J10" s="242"/>
      <c r="K10" s="243"/>
      <c r="L10" s="244" t="s">
        <v>140</v>
      </c>
      <c r="M10" s="245"/>
      <c r="N10" s="245"/>
      <c r="O10" s="245"/>
      <c r="P10" s="245"/>
      <c r="Q10" s="245"/>
      <c r="R10" s="245"/>
      <c r="S10" s="245"/>
      <c r="T10" s="245"/>
      <c r="U10" s="245"/>
      <c r="V10" s="246"/>
      <c r="W10" s="244" t="s">
        <v>140</v>
      </c>
      <c r="X10" s="245"/>
      <c r="Y10" s="245"/>
      <c r="Z10" s="245"/>
      <c r="AA10" s="245"/>
      <c r="AB10" s="245"/>
      <c r="AC10" s="245"/>
      <c r="AD10" s="245"/>
      <c r="AE10" s="245"/>
      <c r="AF10" s="245"/>
      <c r="AG10" s="246"/>
    </row>
    <row r="11" spans="1:37" s="95" customFormat="1" ht="4.5" customHeight="1">
      <c r="A11" s="96"/>
      <c r="B11" s="97"/>
      <c r="C11" s="97"/>
      <c r="D11" s="97"/>
      <c r="E11" s="97"/>
      <c r="F11" s="97"/>
      <c r="G11" s="97"/>
      <c r="H11" s="97"/>
      <c r="I11" s="97"/>
      <c r="J11" s="97"/>
      <c r="K11" s="97"/>
      <c r="L11" s="98"/>
      <c r="M11" s="97"/>
      <c r="N11" s="97"/>
      <c r="O11" s="97"/>
      <c r="P11" s="97"/>
      <c r="Q11" s="97"/>
      <c r="R11" s="97"/>
      <c r="S11" s="97"/>
      <c r="T11" s="97"/>
      <c r="U11" s="97"/>
      <c r="V11" s="97"/>
      <c r="W11" s="98"/>
      <c r="X11" s="97"/>
      <c r="Y11" s="97"/>
      <c r="Z11" s="97"/>
      <c r="AA11" s="97"/>
      <c r="AB11" s="97"/>
      <c r="AC11" s="97"/>
      <c r="AD11" s="97"/>
      <c r="AE11" s="97"/>
      <c r="AF11" s="97"/>
      <c r="AG11" s="99"/>
    </row>
    <row r="12" spans="1:37" ht="11.1" customHeight="1">
      <c r="A12" s="247" t="s">
        <v>141</v>
      </c>
      <c r="B12" s="24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9"/>
    </row>
    <row r="13" spans="1:37" s="95" customFormat="1" ht="28.5" customHeight="1">
      <c r="A13" s="250" t="s">
        <v>142</v>
      </c>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2"/>
    </row>
    <row r="14" spans="1:37" s="95" customFormat="1" ht="4.5" customHeight="1">
      <c r="A14" s="98"/>
      <c r="B14" s="97"/>
      <c r="C14" s="97"/>
      <c r="D14" s="97"/>
      <c r="E14" s="97"/>
      <c r="F14" s="97"/>
      <c r="G14" s="97"/>
      <c r="H14" s="97"/>
      <c r="I14" s="97"/>
      <c r="J14" s="97"/>
      <c r="K14" s="97"/>
      <c r="L14" s="98"/>
      <c r="M14" s="97"/>
      <c r="N14" s="97"/>
      <c r="O14" s="97"/>
      <c r="P14" s="97"/>
      <c r="Q14" s="97"/>
      <c r="R14" s="97"/>
      <c r="S14" s="97"/>
      <c r="T14" s="97"/>
      <c r="U14" s="97"/>
      <c r="V14" s="97"/>
      <c r="W14" s="98"/>
      <c r="X14" s="97"/>
      <c r="Y14" s="97"/>
      <c r="Z14" s="97"/>
      <c r="AA14" s="97"/>
      <c r="AB14" s="97"/>
      <c r="AC14" s="97"/>
      <c r="AD14" s="97"/>
      <c r="AE14" s="97"/>
      <c r="AF14" s="97"/>
      <c r="AG14" s="97"/>
    </row>
    <row r="15" spans="1:37" ht="37.5" customHeight="1">
      <c r="A15" s="253" t="s">
        <v>143</v>
      </c>
      <c r="B15" s="253"/>
      <c r="C15" s="253"/>
      <c r="D15" s="253"/>
      <c r="E15" s="255"/>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7"/>
    </row>
    <row r="16" spans="1:37" ht="37.5" customHeight="1">
      <c r="A16" s="254"/>
      <c r="B16" s="254"/>
      <c r="C16" s="254"/>
      <c r="D16" s="254"/>
      <c r="E16" s="258"/>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60"/>
    </row>
    <row r="17" spans="1:33" ht="13.2">
      <c r="A17" s="100"/>
    </row>
    <row r="18" spans="1:33" ht="26.25" customHeight="1">
      <c r="A18" s="261" t="s">
        <v>398</v>
      </c>
      <c r="B18" s="262"/>
      <c r="C18" s="262"/>
      <c r="D18" s="262"/>
      <c r="E18" s="263" t="s">
        <v>397</v>
      </c>
      <c r="F18" s="263"/>
      <c r="G18" s="263"/>
      <c r="H18" s="263"/>
      <c r="I18" s="263"/>
      <c r="J18" s="263"/>
      <c r="K18" s="263"/>
      <c r="L18" s="263"/>
      <c r="M18" s="263"/>
      <c r="N18" s="263"/>
      <c r="O18" s="263"/>
      <c r="P18" s="263"/>
    </row>
    <row r="19" spans="1:33" ht="13.2"/>
    <row r="20" spans="1:33" ht="13.2"/>
    <row r="21" spans="1:33" ht="15.75" customHeight="1">
      <c r="Q21" s="101"/>
    </row>
    <row r="22" spans="1:33" ht="12" customHeight="1">
      <c r="Q22" s="101"/>
    </row>
    <row r="23" spans="1:33" ht="60" customHeight="1">
      <c r="A23" s="235" t="str">
        <f>MXTitle</f>
        <v>ATM - Peer Review Workbook</v>
      </c>
      <c r="B23" s="236"/>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row>
    <row r="24" spans="1:33" ht="24.6">
      <c r="Q24" s="101"/>
    </row>
    <row r="25" spans="1:33" ht="13.2"/>
    <row r="26" spans="1:33" ht="13.2"/>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105" type="noConversion"/>
  <conditionalFormatting sqref="W5">
    <cfRule type="cellIs" dxfId="77" priority="19" operator="equal">
      <formula>"draft"</formula>
    </cfRule>
  </conditionalFormatting>
  <conditionalFormatting sqref="W5:AA5">
    <cfRule type="cellIs" dxfId="76" priority="1" operator="equal">
      <formula>"In-Work"</formula>
    </cfRule>
    <cfRule type="cellIs" dxfId="75" priority="2" stopIfTrue="1" operator="equal">
      <formula>"draft"</formula>
    </cfRule>
    <cfRule type="cellIs" dxfId="74" priority="3" operator="equal">
      <formula>"In-Work"</formula>
    </cfRule>
    <cfRule type="cellIs" dxfId="73" priority="4" stopIfTrue="1" operator="equal">
      <formula>"draft"</formula>
    </cfRule>
    <cfRule type="cellIs" dxfId="72" priority="5" operator="equal">
      <formula>"In-Work"</formula>
    </cfRule>
    <cfRule type="cellIs" dxfId="71" priority="6" stopIfTrue="1" operator="equal">
      <formula>"draft"</formula>
    </cfRule>
    <cfRule type="cellIs" dxfId="70" priority="7" operator="equal">
      <formula>"In-Work"</formula>
    </cfRule>
    <cfRule type="cellIs" dxfId="69" priority="8" stopIfTrue="1" operator="equal">
      <formula>"draft"</formula>
    </cfRule>
    <cfRule type="cellIs" dxfId="68" priority="9" operator="equal">
      <formula>"In-Work"</formula>
    </cfRule>
    <cfRule type="cellIs" dxfId="67" priority="10" stopIfTrue="1" operator="equal">
      <formula>"draft"</formula>
    </cfRule>
    <cfRule type="cellIs" dxfId="66" priority="11" operator="equal">
      <formula>"In-Work"</formula>
    </cfRule>
    <cfRule type="cellIs" dxfId="65" priority="12" stopIfTrue="1" operator="equal">
      <formula>"draft"</formula>
    </cfRule>
    <cfRule type="cellIs" dxfId="64" priority="13" operator="equal">
      <formula>"In-Work"</formula>
    </cfRule>
    <cfRule type="cellIs" dxfId="63" priority="14" stopIfTrue="1" operator="equal">
      <formula>"draft"</formula>
    </cfRule>
    <cfRule type="cellIs" dxfId="62" priority="15" operator="equal">
      <formula>"In-Work"</formula>
    </cfRule>
    <cfRule type="cellIs" dxfId="61" priority="16" stopIfTrue="1" operator="equal">
      <formula>"draft"</formula>
    </cfRule>
    <cfRule type="cellIs" dxfId="60" priority="17" operator="equal">
      <formula>"In-Work"</formula>
    </cfRule>
    <cfRule type="cellIs" dxfId="59"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94" zoomScaleNormal="100" workbookViewId="0">
      <selection activeCell="AJ79" sqref="AJ79"/>
    </sheetView>
  </sheetViews>
  <sheetFormatPr defaultColWidth="9.33203125" defaultRowHeight="14.4"/>
  <cols>
    <col min="1" max="34" width="2.6640625" style="102" customWidth="1"/>
    <col min="35" max="35" width="9.33203125" style="102"/>
    <col min="36" max="36" width="22" style="102" customWidth="1"/>
    <col min="37" max="16384" width="9.33203125" style="102"/>
  </cols>
  <sheetData>
    <row r="1" spans="1:34">
      <c r="A1" s="84"/>
      <c r="B1" s="84"/>
      <c r="C1" s="85"/>
      <c r="D1" s="85"/>
      <c r="E1" s="85"/>
      <c r="F1" s="85"/>
      <c r="G1" s="86"/>
      <c r="H1" s="87"/>
      <c r="I1" s="87"/>
      <c r="J1" s="87"/>
      <c r="K1" s="87"/>
      <c r="L1" s="87"/>
      <c r="M1" s="87"/>
      <c r="N1" s="87"/>
      <c r="O1" s="87"/>
      <c r="P1" s="88"/>
      <c r="Q1" s="88"/>
      <c r="R1" s="88"/>
      <c r="S1" s="88"/>
      <c r="T1" s="88"/>
      <c r="U1" s="88"/>
      <c r="V1" s="88"/>
      <c r="W1" s="88"/>
      <c r="X1" s="88"/>
      <c r="Y1" s="88"/>
      <c r="Z1" s="88"/>
      <c r="AA1" s="88"/>
      <c r="AB1" s="88"/>
      <c r="AC1" s="88"/>
      <c r="AD1" s="88"/>
      <c r="AE1" s="88"/>
      <c r="AF1" s="88"/>
      <c r="AG1" s="88"/>
      <c r="AH1" s="88"/>
    </row>
    <row r="2" spans="1:34">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row>
    <row r="3" spans="1:34">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103" t="str">
        <f>FileName</f>
        <v>ATM - Peer Review Workbook (PRWB).xlsm</v>
      </c>
      <c r="AE3" s="84"/>
      <c r="AF3" s="84"/>
      <c r="AG3" s="84"/>
      <c r="AH3" s="84"/>
    </row>
    <row r="4" spans="1:34">
      <c r="A4" s="222" t="s">
        <v>5</v>
      </c>
      <c r="B4" s="223"/>
      <c r="C4" s="223"/>
      <c r="D4" s="223"/>
      <c r="E4" s="223"/>
      <c r="F4" s="223"/>
      <c r="G4" s="223"/>
      <c r="H4" s="223"/>
      <c r="I4" s="223"/>
      <c r="J4" s="223"/>
      <c r="K4" s="223"/>
      <c r="L4" s="223"/>
      <c r="M4" s="223"/>
      <c r="N4" s="223"/>
      <c r="O4" s="223"/>
      <c r="P4" s="223"/>
      <c r="Q4" s="223"/>
      <c r="R4" s="223"/>
      <c r="S4" s="223"/>
      <c r="T4" s="223"/>
      <c r="U4" s="223"/>
      <c r="V4" s="224"/>
      <c r="W4" s="280" t="s">
        <v>6</v>
      </c>
      <c r="X4" s="281"/>
      <c r="Y4" s="281"/>
      <c r="Z4" s="281"/>
      <c r="AA4" s="282"/>
      <c r="AB4" s="222" t="s">
        <v>137</v>
      </c>
      <c r="AC4" s="223"/>
      <c r="AD4" s="223"/>
      <c r="AE4" s="223"/>
      <c r="AF4" s="223"/>
      <c r="AG4" s="224"/>
      <c r="AH4" s="90"/>
    </row>
    <row r="5" spans="1:34">
      <c r="A5" s="232" t="s">
        <v>214</v>
      </c>
      <c r="B5" s="233"/>
      <c r="C5" s="233"/>
      <c r="D5" s="233"/>
      <c r="E5" s="233"/>
      <c r="F5" s="233"/>
      <c r="G5" s="233"/>
      <c r="H5" s="233"/>
      <c r="I5" s="233"/>
      <c r="J5" s="233"/>
      <c r="K5" s="233"/>
      <c r="L5" s="233"/>
      <c r="M5" s="233"/>
      <c r="N5" s="233"/>
      <c r="O5" s="233"/>
      <c r="P5" s="233"/>
      <c r="Q5" s="233"/>
      <c r="R5" s="233"/>
      <c r="S5" s="233"/>
      <c r="T5" s="233"/>
      <c r="U5" s="233"/>
      <c r="V5" s="234"/>
      <c r="W5" s="283" t="s">
        <v>213</v>
      </c>
      <c r="X5" s="284"/>
      <c r="Y5" s="284"/>
      <c r="Z5" s="284"/>
      <c r="AA5" s="285"/>
      <c r="AB5" s="232" t="s">
        <v>212</v>
      </c>
      <c r="AC5" s="233"/>
      <c r="AD5" s="233"/>
      <c r="AE5" s="233"/>
      <c r="AF5" s="233"/>
      <c r="AG5" s="234"/>
      <c r="AH5" s="91"/>
    </row>
    <row r="6" spans="1:34">
      <c r="A6" s="286" t="s">
        <v>7</v>
      </c>
      <c r="B6" s="287"/>
      <c r="C6" s="287"/>
      <c r="D6" s="288"/>
      <c r="E6" s="286" t="s">
        <v>8</v>
      </c>
      <c r="F6" s="287"/>
      <c r="G6" s="287"/>
      <c r="H6" s="287"/>
      <c r="I6" s="287"/>
      <c r="J6" s="287"/>
      <c r="K6" s="287"/>
      <c r="L6" s="287"/>
      <c r="M6" s="287"/>
      <c r="N6" s="287"/>
      <c r="O6" s="287"/>
      <c r="P6" s="287"/>
      <c r="Q6" s="287"/>
      <c r="R6" s="287"/>
      <c r="S6" s="287"/>
      <c r="T6" s="287"/>
      <c r="U6" s="287"/>
      <c r="V6" s="288"/>
      <c r="W6" s="222" t="s">
        <v>10</v>
      </c>
      <c r="X6" s="223"/>
      <c r="Y6" s="223"/>
      <c r="Z6" s="223"/>
      <c r="AA6" s="224"/>
      <c r="AB6" s="280" t="s">
        <v>34</v>
      </c>
      <c r="AC6" s="281"/>
      <c r="AD6" s="282"/>
      <c r="AE6" s="280" t="s">
        <v>9</v>
      </c>
      <c r="AF6" s="281"/>
      <c r="AG6" s="282"/>
      <c r="AH6" s="84"/>
    </row>
    <row r="7" spans="1:34">
      <c r="A7" s="283" t="s">
        <v>211</v>
      </c>
      <c r="B7" s="284"/>
      <c r="C7" s="284"/>
      <c r="D7" s="285"/>
      <c r="E7" s="283" t="s">
        <v>216</v>
      </c>
      <c r="F7" s="284"/>
      <c r="G7" s="284"/>
      <c r="H7" s="284"/>
      <c r="I7" s="284"/>
      <c r="J7" s="284"/>
      <c r="K7" s="284"/>
      <c r="L7" s="284"/>
      <c r="M7" s="284"/>
      <c r="N7" s="284"/>
      <c r="O7" s="284"/>
      <c r="P7" s="284"/>
      <c r="Q7" s="284"/>
      <c r="R7" s="284"/>
      <c r="S7" s="284"/>
      <c r="T7" s="284"/>
      <c r="U7" s="284"/>
      <c r="V7" s="285"/>
      <c r="W7" s="283" t="str">
        <f ca="1">TemplateRef</f>
        <v>AEF1007</v>
      </c>
      <c r="X7" s="284"/>
      <c r="Y7" s="284"/>
      <c r="Z7" s="284"/>
      <c r="AA7" s="285"/>
      <c r="AB7" s="283" t="s">
        <v>215</v>
      </c>
      <c r="AC7" s="284"/>
      <c r="AD7" s="285"/>
      <c r="AE7" s="283" t="s">
        <v>215</v>
      </c>
      <c r="AF7" s="284"/>
      <c r="AG7" s="285"/>
      <c r="AH7" s="91"/>
    </row>
    <row r="8" spans="1:34">
      <c r="A8" s="286" t="s">
        <v>144</v>
      </c>
      <c r="B8" s="287"/>
      <c r="C8" s="287"/>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8"/>
      <c r="AH8" s="94"/>
    </row>
    <row r="9" spans="1:34">
      <c r="A9" s="289" t="s">
        <v>145</v>
      </c>
      <c r="B9" s="290"/>
      <c r="C9" s="290"/>
      <c r="D9" s="290"/>
      <c r="E9" s="290"/>
      <c r="F9" s="290"/>
      <c r="G9" s="290"/>
      <c r="H9" s="290"/>
      <c r="I9" s="290"/>
      <c r="J9" s="290"/>
      <c r="K9" s="290"/>
      <c r="L9" s="290"/>
      <c r="M9" s="290"/>
      <c r="N9" s="290"/>
      <c r="O9" s="290"/>
      <c r="P9" s="290"/>
      <c r="Q9" s="290"/>
      <c r="R9" s="290"/>
      <c r="S9" s="290"/>
      <c r="T9" s="290"/>
      <c r="U9" s="290"/>
      <c r="V9" s="290"/>
      <c r="W9" s="290"/>
      <c r="X9" s="290"/>
      <c r="Y9" s="290"/>
      <c r="Z9" s="290"/>
      <c r="AA9" s="290"/>
      <c r="AB9" s="290"/>
      <c r="AC9" s="290"/>
      <c r="AD9" s="290"/>
      <c r="AE9" s="290"/>
      <c r="AF9" s="290"/>
      <c r="AG9" s="291"/>
      <c r="AH9" s="94"/>
    </row>
    <row r="10" spans="1:34">
      <c r="A10" s="94"/>
      <c r="B10" s="94"/>
      <c r="C10" s="94"/>
      <c r="D10" s="94"/>
      <c r="E10" s="94"/>
      <c r="F10" s="94"/>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c r="AF10" s="94"/>
      <c r="AG10" s="94"/>
      <c r="AH10" s="94"/>
    </row>
    <row r="11" spans="1:34">
      <c r="A11" s="94"/>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row>
    <row r="12" spans="1:34" ht="24.6">
      <c r="A12" s="94"/>
      <c r="B12" s="104" t="s">
        <v>146</v>
      </c>
      <c r="C12" s="105"/>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94"/>
      <c r="AH12" s="94"/>
    </row>
    <row r="13" spans="1:34">
      <c r="A13" s="94"/>
      <c r="B13" s="94"/>
      <c r="C13" s="94"/>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row>
    <row r="14" spans="1:34" ht="20.399999999999999">
      <c r="A14" s="94"/>
      <c r="B14" s="106" t="s">
        <v>147</v>
      </c>
      <c r="C14" s="107"/>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4"/>
      <c r="AH14" s="94"/>
    </row>
    <row r="15" spans="1:34">
      <c r="A15" s="94"/>
      <c r="B15" s="292" t="s">
        <v>148</v>
      </c>
      <c r="C15" s="293"/>
      <c r="D15" s="293"/>
      <c r="E15" s="293"/>
      <c r="F15" s="293"/>
      <c r="G15" s="292" t="s">
        <v>149</v>
      </c>
      <c r="H15" s="292"/>
      <c r="I15" s="292"/>
      <c r="J15" s="292"/>
      <c r="K15" s="292"/>
      <c r="L15" s="292"/>
      <c r="M15" s="292"/>
      <c r="N15" s="292"/>
      <c r="O15" s="292"/>
      <c r="P15" s="292"/>
      <c r="Q15" s="292"/>
      <c r="R15" s="292"/>
      <c r="S15" s="292"/>
      <c r="T15" s="292"/>
      <c r="U15" s="292"/>
      <c r="V15" s="292"/>
      <c r="W15" s="292"/>
      <c r="X15" s="292"/>
      <c r="Y15" s="292"/>
      <c r="Z15" s="292"/>
      <c r="AA15" s="292"/>
      <c r="AB15" s="292"/>
      <c r="AC15" s="292"/>
      <c r="AD15" s="292"/>
      <c r="AE15" s="292"/>
      <c r="AF15" s="292"/>
      <c r="AG15" s="94"/>
      <c r="AH15" s="94"/>
    </row>
    <row r="16" spans="1:34" ht="55.5" customHeight="1">
      <c r="A16" s="94"/>
      <c r="B16" s="294" t="s">
        <v>150</v>
      </c>
      <c r="C16" s="294"/>
      <c r="D16" s="294"/>
      <c r="E16" s="294"/>
      <c r="F16" s="294"/>
      <c r="G16" s="276" t="s">
        <v>151</v>
      </c>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94"/>
      <c r="AH16" s="94"/>
    </row>
    <row r="17" spans="1:34">
      <c r="A17" s="94"/>
      <c r="B17" s="294" t="s">
        <v>152</v>
      </c>
      <c r="C17" s="294"/>
      <c r="D17" s="294"/>
      <c r="E17" s="294"/>
      <c r="F17" s="294"/>
      <c r="G17" s="276" t="s">
        <v>153</v>
      </c>
      <c r="H17" s="276"/>
      <c r="I17" s="276"/>
      <c r="J17" s="276"/>
      <c r="K17" s="276"/>
      <c r="L17" s="276"/>
      <c r="M17" s="276"/>
      <c r="N17" s="276"/>
      <c r="O17" s="276"/>
      <c r="P17" s="276"/>
      <c r="Q17" s="276"/>
      <c r="R17" s="276"/>
      <c r="S17" s="276"/>
      <c r="T17" s="276"/>
      <c r="U17" s="276"/>
      <c r="V17" s="276"/>
      <c r="W17" s="276"/>
      <c r="X17" s="276"/>
      <c r="Y17" s="276"/>
      <c r="Z17" s="276"/>
      <c r="AA17" s="276"/>
      <c r="AB17" s="276"/>
      <c r="AC17" s="276"/>
      <c r="AD17" s="276"/>
      <c r="AE17" s="276"/>
      <c r="AF17" s="276"/>
      <c r="AG17" s="94"/>
      <c r="AH17" s="94"/>
    </row>
    <row r="18" spans="1:34" ht="15" customHeight="1">
      <c r="A18" s="94"/>
      <c r="B18" s="294" t="s">
        <v>15</v>
      </c>
      <c r="C18" s="294"/>
      <c r="D18" s="294"/>
      <c r="E18" s="294"/>
      <c r="F18" s="294"/>
      <c r="G18" s="276" t="s">
        <v>154</v>
      </c>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94"/>
      <c r="AH18" s="94"/>
    </row>
    <row r="19" spans="1:34" ht="24" customHeight="1">
      <c r="A19" s="94"/>
      <c r="B19" s="295" t="s">
        <v>189</v>
      </c>
      <c r="C19" s="295"/>
      <c r="D19" s="295"/>
      <c r="E19" s="295"/>
      <c r="F19" s="295"/>
      <c r="G19" s="276" t="s">
        <v>154</v>
      </c>
      <c r="H19" s="276"/>
      <c r="I19" s="276"/>
      <c r="J19" s="276"/>
      <c r="K19" s="276"/>
      <c r="L19" s="276"/>
      <c r="M19" s="276"/>
      <c r="N19" s="276"/>
      <c r="O19" s="276"/>
      <c r="P19" s="276"/>
      <c r="Q19" s="276"/>
      <c r="R19" s="276"/>
      <c r="S19" s="276"/>
      <c r="T19" s="276"/>
      <c r="U19" s="276"/>
      <c r="V19" s="276"/>
      <c r="W19" s="276"/>
      <c r="X19" s="276"/>
      <c r="Y19" s="276"/>
      <c r="Z19" s="276"/>
      <c r="AA19" s="276"/>
      <c r="AB19" s="276"/>
      <c r="AC19" s="276"/>
      <c r="AD19" s="276"/>
      <c r="AE19" s="276"/>
      <c r="AF19" s="276"/>
      <c r="AG19" s="94"/>
      <c r="AH19" s="94"/>
    </row>
    <row r="20" spans="1:34">
      <c r="A20" s="94"/>
      <c r="B20" s="278" t="s">
        <v>190</v>
      </c>
      <c r="C20" s="278"/>
      <c r="D20" s="278"/>
      <c r="E20" s="278"/>
      <c r="F20" s="278"/>
      <c r="G20" s="276" t="s">
        <v>154</v>
      </c>
      <c r="H20" s="276"/>
      <c r="I20" s="276"/>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6"/>
      <c r="AG20" s="94"/>
      <c r="AH20" s="94"/>
    </row>
    <row r="21" spans="1:34" ht="35.25" customHeight="1">
      <c r="A21" s="94"/>
      <c r="B21" s="279" t="s">
        <v>311</v>
      </c>
      <c r="C21" s="279"/>
      <c r="D21" s="279"/>
      <c r="E21" s="279"/>
      <c r="F21" s="279"/>
      <c r="G21" s="276" t="s">
        <v>312</v>
      </c>
      <c r="H21" s="276"/>
      <c r="I21" s="276"/>
      <c r="J21" s="276"/>
      <c r="K21" s="276"/>
      <c r="L21" s="276"/>
      <c r="M21" s="276"/>
      <c r="N21" s="276"/>
      <c r="O21" s="276"/>
      <c r="P21" s="276"/>
      <c r="Q21" s="276"/>
      <c r="R21" s="276"/>
      <c r="S21" s="276"/>
      <c r="T21" s="276"/>
      <c r="U21" s="276"/>
      <c r="V21" s="276"/>
      <c r="W21" s="276"/>
      <c r="X21" s="276"/>
      <c r="Y21" s="276"/>
      <c r="Z21" s="276"/>
      <c r="AA21" s="276"/>
      <c r="AB21" s="276"/>
      <c r="AC21" s="276"/>
      <c r="AD21" s="276"/>
      <c r="AE21" s="276"/>
      <c r="AF21" s="276"/>
      <c r="AG21" s="94"/>
      <c r="AH21" s="94"/>
    </row>
    <row r="22" spans="1:34" ht="28.5" customHeight="1">
      <c r="A22" s="94"/>
      <c r="B22" s="279" t="s">
        <v>313</v>
      </c>
      <c r="C22" s="279"/>
      <c r="D22" s="279"/>
      <c r="E22" s="279"/>
      <c r="F22" s="279"/>
      <c r="G22" s="276" t="s">
        <v>314</v>
      </c>
      <c r="H22" s="276"/>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94"/>
      <c r="AH22" s="94"/>
    </row>
    <row r="23" spans="1:34" ht="22.5" customHeight="1">
      <c r="A23" s="94"/>
      <c r="B23" s="279" t="s">
        <v>315</v>
      </c>
      <c r="C23" s="279"/>
      <c r="D23" s="279"/>
      <c r="E23" s="279"/>
      <c r="F23" s="279"/>
      <c r="G23" s="276" t="s">
        <v>316</v>
      </c>
      <c r="H23" s="276"/>
      <c r="I23" s="276"/>
      <c r="J23" s="276"/>
      <c r="K23" s="276"/>
      <c r="L23" s="276"/>
      <c r="M23" s="276"/>
      <c r="N23" s="276"/>
      <c r="O23" s="276"/>
      <c r="P23" s="276"/>
      <c r="Q23" s="276"/>
      <c r="R23" s="276"/>
      <c r="S23" s="276"/>
      <c r="T23" s="276"/>
      <c r="U23" s="276"/>
      <c r="V23" s="276"/>
      <c r="W23" s="276"/>
      <c r="X23" s="276"/>
      <c r="Y23" s="276"/>
      <c r="Z23" s="276"/>
      <c r="AA23" s="276"/>
      <c r="AB23" s="276"/>
      <c r="AC23" s="276"/>
      <c r="AD23" s="276"/>
      <c r="AE23" s="276"/>
      <c r="AF23" s="276"/>
      <c r="AG23" s="94"/>
      <c r="AH23" s="94"/>
    </row>
    <row r="24" spans="1:34" ht="45" customHeight="1">
      <c r="A24" s="94"/>
      <c r="B24" s="297" t="s">
        <v>191</v>
      </c>
      <c r="C24" s="297"/>
      <c r="D24" s="297"/>
      <c r="E24" s="297"/>
      <c r="F24" s="297"/>
      <c r="G24" s="276" t="s">
        <v>395</v>
      </c>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6"/>
      <c r="AF24" s="276"/>
      <c r="AG24" s="94"/>
      <c r="AH24" s="94"/>
    </row>
    <row r="25" spans="1:34">
      <c r="A25" s="94"/>
      <c r="B25" s="94"/>
      <c r="C25" s="108"/>
      <c r="D25" s="94"/>
      <c r="E25" s="94"/>
      <c r="F25" s="94"/>
      <c r="G25" s="94"/>
      <c r="H25" s="94"/>
      <c r="I25" s="109"/>
      <c r="J25" s="94"/>
      <c r="K25" s="94"/>
      <c r="L25" s="94"/>
      <c r="M25" s="94"/>
      <c r="N25" s="94"/>
      <c r="O25" s="94"/>
      <c r="P25" s="94"/>
      <c r="Q25" s="94"/>
      <c r="R25" s="94"/>
      <c r="S25" s="94"/>
      <c r="T25" s="94"/>
      <c r="U25" s="94"/>
      <c r="V25" s="94"/>
      <c r="W25" s="94"/>
      <c r="X25" s="94"/>
      <c r="Y25" s="94"/>
      <c r="Z25" s="94"/>
      <c r="AA25" s="94"/>
      <c r="AB25" s="94"/>
      <c r="AC25" s="94"/>
      <c r="AD25" s="94"/>
      <c r="AE25" s="94"/>
      <c r="AF25" s="94"/>
      <c r="AG25" s="94"/>
      <c r="AH25" s="94"/>
    </row>
    <row r="26" spans="1:34" ht="20.399999999999999">
      <c r="A26" s="106"/>
      <c r="B26" s="106" t="s">
        <v>155</v>
      </c>
      <c r="C26" s="108"/>
      <c r="D26" s="94"/>
      <c r="E26" s="94"/>
      <c r="F26" s="94"/>
      <c r="G26" s="94"/>
      <c r="H26" s="94"/>
      <c r="I26" s="109"/>
      <c r="J26" s="94"/>
      <c r="K26" s="94"/>
      <c r="L26" s="94"/>
      <c r="M26" s="94"/>
      <c r="N26" s="94"/>
      <c r="O26" s="94"/>
      <c r="P26" s="94"/>
      <c r="Q26" s="94"/>
      <c r="R26" s="94"/>
      <c r="S26" s="94"/>
      <c r="T26" s="94"/>
      <c r="U26" s="94"/>
      <c r="V26" s="94"/>
      <c r="W26" s="94"/>
      <c r="X26" s="94"/>
      <c r="Y26" s="94"/>
      <c r="Z26" s="94"/>
      <c r="AA26" s="94"/>
      <c r="AB26" s="94"/>
      <c r="AC26" s="94"/>
      <c r="AD26" s="94"/>
      <c r="AE26" s="94"/>
      <c r="AF26" s="94"/>
      <c r="AG26" s="94"/>
      <c r="AH26" s="94"/>
    </row>
    <row r="27" spans="1:34">
      <c r="A27" s="94"/>
      <c r="B27" s="292" t="s">
        <v>34</v>
      </c>
      <c r="C27" s="296"/>
      <c r="D27" s="296"/>
      <c r="E27" s="292" t="s">
        <v>93</v>
      </c>
      <c r="F27" s="292"/>
      <c r="G27" s="292"/>
      <c r="H27" s="292"/>
      <c r="I27" s="292" t="s">
        <v>156</v>
      </c>
      <c r="J27" s="296"/>
      <c r="K27" s="296"/>
      <c r="L27" s="296"/>
      <c r="M27" s="296"/>
      <c r="N27" s="296"/>
      <c r="O27" s="296"/>
      <c r="P27" s="296"/>
      <c r="Q27" s="296"/>
      <c r="R27" s="292" t="s">
        <v>157</v>
      </c>
      <c r="S27" s="292"/>
      <c r="T27" s="292"/>
      <c r="U27" s="292"/>
      <c r="V27" s="292"/>
      <c r="W27" s="292"/>
      <c r="X27" s="292"/>
      <c r="Y27" s="292"/>
      <c r="Z27" s="292"/>
      <c r="AA27" s="292"/>
      <c r="AB27" s="292"/>
      <c r="AC27" s="292"/>
      <c r="AD27" s="292"/>
      <c r="AE27" s="292"/>
      <c r="AF27" s="292"/>
      <c r="AG27" s="94"/>
      <c r="AH27" s="94"/>
    </row>
    <row r="28" spans="1:34" ht="40.5" customHeight="1">
      <c r="A28" s="94"/>
      <c r="B28" s="270" t="s">
        <v>3</v>
      </c>
      <c r="C28" s="271" t="s">
        <v>3</v>
      </c>
      <c r="D28" s="272" t="s">
        <v>3</v>
      </c>
      <c r="E28" s="273"/>
      <c r="F28" s="274"/>
      <c r="G28" s="274"/>
      <c r="H28" s="275"/>
      <c r="I28" s="276"/>
      <c r="J28" s="277"/>
      <c r="K28" s="277"/>
      <c r="L28" s="277"/>
      <c r="M28" s="277"/>
      <c r="N28" s="277"/>
      <c r="O28" s="277"/>
      <c r="P28" s="277"/>
      <c r="Q28" s="277"/>
      <c r="R28" s="276" t="s">
        <v>14</v>
      </c>
      <c r="S28" s="276" t="s">
        <v>14</v>
      </c>
      <c r="T28" s="276" t="s">
        <v>14</v>
      </c>
      <c r="U28" s="276" t="s">
        <v>14</v>
      </c>
      <c r="V28" s="276" t="s">
        <v>14</v>
      </c>
      <c r="W28" s="276" t="s">
        <v>14</v>
      </c>
      <c r="X28" s="276" t="s">
        <v>14</v>
      </c>
      <c r="Y28" s="276" t="s">
        <v>14</v>
      </c>
      <c r="Z28" s="276" t="s">
        <v>14</v>
      </c>
      <c r="AA28" s="276" t="s">
        <v>14</v>
      </c>
      <c r="AB28" s="276" t="s">
        <v>14</v>
      </c>
      <c r="AC28" s="276" t="s">
        <v>14</v>
      </c>
      <c r="AD28" s="276" t="s">
        <v>14</v>
      </c>
      <c r="AE28" s="276" t="s">
        <v>14</v>
      </c>
      <c r="AF28" s="276" t="s">
        <v>14</v>
      </c>
      <c r="AG28" s="94"/>
      <c r="AH28" s="94"/>
    </row>
    <row r="29" spans="1:34" ht="60" customHeight="1">
      <c r="A29" s="94"/>
      <c r="B29" s="270" t="s">
        <v>18</v>
      </c>
      <c r="C29" s="271" t="s">
        <v>18</v>
      </c>
      <c r="D29" s="272" t="s">
        <v>18</v>
      </c>
      <c r="E29" s="273">
        <v>40591.490486111114</v>
      </c>
      <c r="F29" s="274">
        <v>40591.490486111114</v>
      </c>
      <c r="G29" s="274">
        <v>40591.490486111114</v>
      </c>
      <c r="H29" s="275">
        <v>40591.490486111114</v>
      </c>
      <c r="I29" s="276" t="s">
        <v>4</v>
      </c>
      <c r="J29" s="277" t="s">
        <v>4</v>
      </c>
      <c r="K29" s="277" t="s">
        <v>4</v>
      </c>
      <c r="L29" s="277" t="s">
        <v>4</v>
      </c>
      <c r="M29" s="277" t="s">
        <v>4</v>
      </c>
      <c r="N29" s="277" t="s">
        <v>4</v>
      </c>
      <c r="O29" s="277" t="s">
        <v>4</v>
      </c>
      <c r="P29" s="277" t="s">
        <v>4</v>
      </c>
      <c r="Q29" s="277" t="s">
        <v>4</v>
      </c>
      <c r="R29" s="276" t="s">
        <v>35</v>
      </c>
      <c r="S29" s="276" t="s">
        <v>35</v>
      </c>
      <c r="T29" s="276" t="s">
        <v>35</v>
      </c>
      <c r="U29" s="276" t="s">
        <v>35</v>
      </c>
      <c r="V29" s="276" t="s">
        <v>35</v>
      </c>
      <c r="W29" s="276" t="s">
        <v>35</v>
      </c>
      <c r="X29" s="276" t="s">
        <v>35</v>
      </c>
      <c r="Y29" s="276" t="s">
        <v>35</v>
      </c>
      <c r="Z29" s="276" t="s">
        <v>35</v>
      </c>
      <c r="AA29" s="276" t="s">
        <v>35</v>
      </c>
      <c r="AB29" s="276" t="s">
        <v>35</v>
      </c>
      <c r="AC29" s="276" t="s">
        <v>35</v>
      </c>
      <c r="AD29" s="276" t="s">
        <v>35</v>
      </c>
      <c r="AE29" s="276" t="s">
        <v>35</v>
      </c>
      <c r="AF29" s="276" t="s">
        <v>35</v>
      </c>
      <c r="AG29" s="94"/>
      <c r="AH29" s="94"/>
    </row>
    <row r="30" spans="1:34" ht="291" customHeight="1">
      <c r="A30" s="94"/>
      <c r="B30" s="270" t="s">
        <v>99</v>
      </c>
      <c r="C30" s="271" t="s">
        <v>99</v>
      </c>
      <c r="D30" s="272" t="s">
        <v>99</v>
      </c>
      <c r="E30" s="273">
        <v>41071.656145833331</v>
      </c>
      <c r="F30" s="274">
        <v>41071.656145833331</v>
      </c>
      <c r="G30" s="274">
        <v>41071.656145833331</v>
      </c>
      <c r="H30" s="275">
        <v>41071.656145833331</v>
      </c>
      <c r="I30" s="276" t="s">
        <v>4</v>
      </c>
      <c r="J30" s="277" t="s">
        <v>4</v>
      </c>
      <c r="K30" s="277" t="s">
        <v>4</v>
      </c>
      <c r="L30" s="277" t="s">
        <v>4</v>
      </c>
      <c r="M30" s="277" t="s">
        <v>4</v>
      </c>
      <c r="N30" s="277" t="s">
        <v>4</v>
      </c>
      <c r="O30" s="277" t="s">
        <v>4</v>
      </c>
      <c r="P30" s="277" t="s">
        <v>4</v>
      </c>
      <c r="Q30" s="277" t="s">
        <v>4</v>
      </c>
      <c r="R30" s="276" t="s">
        <v>130</v>
      </c>
      <c r="S30" s="276" t="s">
        <v>130</v>
      </c>
      <c r="T30" s="276" t="s">
        <v>130</v>
      </c>
      <c r="U30" s="276" t="s">
        <v>130</v>
      </c>
      <c r="V30" s="276" t="s">
        <v>130</v>
      </c>
      <c r="W30" s="276" t="s">
        <v>130</v>
      </c>
      <c r="X30" s="276" t="s">
        <v>130</v>
      </c>
      <c r="Y30" s="276" t="s">
        <v>130</v>
      </c>
      <c r="Z30" s="276" t="s">
        <v>130</v>
      </c>
      <c r="AA30" s="276" t="s">
        <v>130</v>
      </c>
      <c r="AB30" s="276" t="s">
        <v>130</v>
      </c>
      <c r="AC30" s="276" t="s">
        <v>130</v>
      </c>
      <c r="AD30" s="276" t="s">
        <v>130</v>
      </c>
      <c r="AE30" s="276" t="s">
        <v>130</v>
      </c>
      <c r="AF30" s="276" t="s">
        <v>130</v>
      </c>
      <c r="AG30" s="94"/>
      <c r="AH30" s="94"/>
    </row>
    <row r="31" spans="1:34" ht="40.5" customHeight="1">
      <c r="A31" s="94"/>
      <c r="B31" s="270" t="s">
        <v>87</v>
      </c>
      <c r="C31" s="271" t="s">
        <v>87</v>
      </c>
      <c r="D31" s="272" t="s">
        <v>87</v>
      </c>
      <c r="E31" s="273">
        <v>41071.656145833331</v>
      </c>
      <c r="F31" s="274">
        <v>41071.656145833331</v>
      </c>
      <c r="G31" s="274">
        <v>41071.656145833331</v>
      </c>
      <c r="H31" s="275">
        <v>41071.656145833331</v>
      </c>
      <c r="I31" s="276" t="s">
        <v>88</v>
      </c>
      <c r="J31" s="277" t="s">
        <v>88</v>
      </c>
      <c r="K31" s="277" t="s">
        <v>88</v>
      </c>
      <c r="L31" s="277" t="s">
        <v>88</v>
      </c>
      <c r="M31" s="277" t="s">
        <v>88</v>
      </c>
      <c r="N31" s="277" t="s">
        <v>88</v>
      </c>
      <c r="O31" s="277" t="s">
        <v>88</v>
      </c>
      <c r="P31" s="277" t="s">
        <v>88</v>
      </c>
      <c r="Q31" s="277" t="s">
        <v>88</v>
      </c>
      <c r="R31" s="276" t="s">
        <v>101</v>
      </c>
      <c r="S31" s="276" t="s">
        <v>101</v>
      </c>
      <c r="T31" s="276" t="s">
        <v>101</v>
      </c>
      <c r="U31" s="276" t="s">
        <v>101</v>
      </c>
      <c r="V31" s="276" t="s">
        <v>101</v>
      </c>
      <c r="W31" s="276" t="s">
        <v>101</v>
      </c>
      <c r="X31" s="276" t="s">
        <v>101</v>
      </c>
      <c r="Y31" s="276" t="s">
        <v>101</v>
      </c>
      <c r="Z31" s="276" t="s">
        <v>101</v>
      </c>
      <c r="AA31" s="276" t="s">
        <v>101</v>
      </c>
      <c r="AB31" s="276" t="s">
        <v>101</v>
      </c>
      <c r="AC31" s="276" t="s">
        <v>101</v>
      </c>
      <c r="AD31" s="276" t="s">
        <v>101</v>
      </c>
      <c r="AE31" s="276" t="s">
        <v>101</v>
      </c>
      <c r="AF31" s="276" t="s">
        <v>101</v>
      </c>
      <c r="AG31" s="94"/>
      <c r="AH31" s="94"/>
    </row>
    <row r="32" spans="1:34" ht="121.5" customHeight="1">
      <c r="A32" s="94"/>
      <c r="B32" s="270"/>
      <c r="C32" s="271"/>
      <c r="D32" s="272"/>
      <c r="E32" s="273">
        <v>42195</v>
      </c>
      <c r="F32" s="274">
        <v>42195</v>
      </c>
      <c r="G32" s="274">
        <v>42195</v>
      </c>
      <c r="H32" s="275">
        <v>42195</v>
      </c>
      <c r="I32" s="276" t="s">
        <v>100</v>
      </c>
      <c r="J32" s="277" t="s">
        <v>100</v>
      </c>
      <c r="K32" s="277" t="s">
        <v>100</v>
      </c>
      <c r="L32" s="277" t="s">
        <v>100</v>
      </c>
      <c r="M32" s="277" t="s">
        <v>100</v>
      </c>
      <c r="N32" s="277" t="s">
        <v>100</v>
      </c>
      <c r="O32" s="277" t="s">
        <v>100</v>
      </c>
      <c r="P32" s="277" t="s">
        <v>100</v>
      </c>
      <c r="Q32" s="277" t="s">
        <v>100</v>
      </c>
      <c r="R32" s="276" t="s">
        <v>103</v>
      </c>
      <c r="S32" s="276" t="s">
        <v>103</v>
      </c>
      <c r="T32" s="276" t="s">
        <v>103</v>
      </c>
      <c r="U32" s="276" t="s">
        <v>103</v>
      </c>
      <c r="V32" s="276" t="s">
        <v>103</v>
      </c>
      <c r="W32" s="276" t="s">
        <v>103</v>
      </c>
      <c r="X32" s="276" t="s">
        <v>103</v>
      </c>
      <c r="Y32" s="276" t="s">
        <v>103</v>
      </c>
      <c r="Z32" s="276" t="s">
        <v>103</v>
      </c>
      <c r="AA32" s="276" t="s">
        <v>103</v>
      </c>
      <c r="AB32" s="276" t="s">
        <v>103</v>
      </c>
      <c r="AC32" s="276" t="s">
        <v>103</v>
      </c>
      <c r="AD32" s="276" t="s">
        <v>103</v>
      </c>
      <c r="AE32" s="276" t="s">
        <v>103</v>
      </c>
      <c r="AF32" s="276" t="s">
        <v>103</v>
      </c>
      <c r="AG32" s="94"/>
      <c r="AH32" s="94"/>
    </row>
    <row r="33" spans="1:34" ht="114" customHeight="1">
      <c r="A33" s="94"/>
      <c r="B33" s="270" t="s">
        <v>104</v>
      </c>
      <c r="C33" s="271" t="s">
        <v>104</v>
      </c>
      <c r="D33" s="272" t="s">
        <v>104</v>
      </c>
      <c r="E33" s="273">
        <v>42391.634837962964</v>
      </c>
      <c r="F33" s="274">
        <v>42391.634837962964</v>
      </c>
      <c r="G33" s="274">
        <v>42391.634837962964</v>
      </c>
      <c r="H33" s="275">
        <v>42391.634837962964</v>
      </c>
      <c r="I33" s="276" t="s">
        <v>105</v>
      </c>
      <c r="J33" s="277" t="s">
        <v>105</v>
      </c>
      <c r="K33" s="277" t="s">
        <v>105</v>
      </c>
      <c r="L33" s="277" t="s">
        <v>105</v>
      </c>
      <c r="M33" s="277" t="s">
        <v>105</v>
      </c>
      <c r="N33" s="277" t="s">
        <v>105</v>
      </c>
      <c r="O33" s="277" t="s">
        <v>105</v>
      </c>
      <c r="P33" s="277" t="s">
        <v>105</v>
      </c>
      <c r="Q33" s="277" t="s">
        <v>105</v>
      </c>
      <c r="R33" s="276" t="s">
        <v>129</v>
      </c>
      <c r="S33" s="276" t="s">
        <v>129</v>
      </c>
      <c r="T33" s="276" t="s">
        <v>129</v>
      </c>
      <c r="U33" s="276" t="s">
        <v>129</v>
      </c>
      <c r="V33" s="276" t="s">
        <v>129</v>
      </c>
      <c r="W33" s="276" t="s">
        <v>129</v>
      </c>
      <c r="X33" s="276" t="s">
        <v>129</v>
      </c>
      <c r="Y33" s="276" t="s">
        <v>129</v>
      </c>
      <c r="Z33" s="276" t="s">
        <v>129</v>
      </c>
      <c r="AA33" s="276" t="s">
        <v>129</v>
      </c>
      <c r="AB33" s="276" t="s">
        <v>129</v>
      </c>
      <c r="AC33" s="276" t="s">
        <v>129</v>
      </c>
      <c r="AD33" s="276" t="s">
        <v>129</v>
      </c>
      <c r="AE33" s="276" t="s">
        <v>129</v>
      </c>
      <c r="AF33" s="276" t="s">
        <v>129</v>
      </c>
      <c r="AG33" s="94"/>
      <c r="AH33" s="94"/>
    </row>
    <row r="34" spans="1:34" ht="40.5" customHeight="1">
      <c r="A34" s="94"/>
      <c r="B34" s="298" t="s">
        <v>192</v>
      </c>
      <c r="C34" s="299"/>
      <c r="D34" s="299"/>
      <c r="E34" s="273"/>
      <c r="F34" s="274"/>
      <c r="G34" s="274"/>
      <c r="H34" s="275"/>
      <c r="I34" s="276"/>
      <c r="J34" s="277"/>
      <c r="K34" s="277"/>
      <c r="L34" s="277"/>
      <c r="M34" s="277"/>
      <c r="N34" s="277"/>
      <c r="O34" s="277"/>
      <c r="P34" s="277"/>
      <c r="Q34" s="277"/>
      <c r="R34" s="276" t="s">
        <v>193</v>
      </c>
      <c r="S34" s="276"/>
      <c r="T34" s="276"/>
      <c r="U34" s="276"/>
      <c r="V34" s="276"/>
      <c r="W34" s="276"/>
      <c r="X34" s="276"/>
      <c r="Y34" s="276"/>
      <c r="Z34" s="276"/>
      <c r="AA34" s="276"/>
      <c r="AB34" s="276"/>
      <c r="AC34" s="276"/>
      <c r="AD34" s="276"/>
      <c r="AE34" s="276"/>
      <c r="AF34" s="276"/>
      <c r="AG34" s="94"/>
      <c r="AH34" s="94"/>
    </row>
    <row r="35" spans="1:34">
      <c r="A35" s="94"/>
      <c r="B35" s="110" t="s">
        <v>158</v>
      </c>
      <c r="C35" s="111"/>
      <c r="D35" s="111"/>
      <c r="E35" s="112"/>
      <c r="F35" s="112"/>
      <c r="G35" s="112"/>
      <c r="H35" s="112"/>
      <c r="I35" s="112"/>
      <c r="J35" s="113"/>
      <c r="K35" s="113"/>
      <c r="L35" s="113"/>
      <c r="M35" s="113"/>
      <c r="N35" s="113"/>
      <c r="O35" s="113"/>
      <c r="P35" s="113"/>
      <c r="Q35" s="113"/>
      <c r="R35" s="112"/>
      <c r="S35" s="112"/>
      <c r="T35" s="112"/>
      <c r="U35" s="112"/>
      <c r="V35" s="112"/>
      <c r="W35" s="112"/>
      <c r="X35" s="112"/>
      <c r="Y35" s="112"/>
      <c r="Z35" s="112"/>
      <c r="AA35" s="112"/>
      <c r="AB35" s="112"/>
      <c r="AC35" s="112"/>
      <c r="AD35" s="112"/>
      <c r="AE35" s="112"/>
      <c r="AF35" s="112"/>
      <c r="AG35" s="94"/>
      <c r="AH35" s="94"/>
    </row>
    <row r="36" spans="1:34">
      <c r="A36" s="94"/>
      <c r="B36" s="94"/>
      <c r="C36" s="108"/>
      <c r="D36" s="94"/>
      <c r="E36" s="94"/>
      <c r="F36" s="94"/>
      <c r="G36" s="94"/>
      <c r="H36" s="94"/>
      <c r="I36" s="109"/>
      <c r="J36" s="94"/>
      <c r="K36" s="94"/>
      <c r="L36" s="94"/>
      <c r="M36" s="94"/>
      <c r="N36" s="94"/>
      <c r="O36" s="94"/>
      <c r="P36" s="94"/>
      <c r="Q36" s="94"/>
      <c r="R36" s="94"/>
      <c r="S36" s="94"/>
      <c r="T36" s="94"/>
      <c r="U36" s="94"/>
      <c r="V36" s="94"/>
      <c r="W36" s="94"/>
      <c r="X36" s="94"/>
      <c r="Y36" s="94"/>
      <c r="Z36" s="94"/>
      <c r="AA36" s="94"/>
      <c r="AB36" s="94"/>
      <c r="AC36" s="94"/>
      <c r="AD36" s="94"/>
      <c r="AE36" s="94"/>
      <c r="AF36" s="94"/>
      <c r="AG36" s="94"/>
      <c r="AH36" s="94"/>
    </row>
    <row r="37" spans="1:34">
      <c r="A37" s="94"/>
      <c r="B37" s="94"/>
      <c r="C37" s="94"/>
      <c r="D37" s="94"/>
      <c r="E37" s="94"/>
      <c r="F37" s="94"/>
      <c r="G37" s="94"/>
      <c r="H37" s="94"/>
      <c r="I37" s="94"/>
      <c r="J37" s="114"/>
      <c r="K37" s="94"/>
      <c r="L37" s="94"/>
      <c r="M37" s="94"/>
      <c r="N37" s="94"/>
      <c r="O37" s="94"/>
      <c r="P37" s="94"/>
      <c r="Q37" s="94"/>
      <c r="R37" s="94"/>
      <c r="S37" s="94"/>
      <c r="T37" s="94"/>
      <c r="U37" s="94"/>
      <c r="V37" s="94"/>
      <c r="W37" s="94"/>
      <c r="X37" s="94"/>
      <c r="Y37" s="94"/>
      <c r="Z37" s="94"/>
      <c r="AA37" s="94"/>
      <c r="AB37" s="94"/>
      <c r="AC37" s="94"/>
      <c r="AD37" s="94"/>
      <c r="AE37" s="94"/>
      <c r="AF37" s="94"/>
      <c r="AG37" s="94"/>
      <c r="AH37" s="94"/>
    </row>
    <row r="38" spans="1:34" ht="20.399999999999999">
      <c r="A38" s="94"/>
      <c r="B38" s="106" t="s">
        <v>159</v>
      </c>
      <c r="C38" s="107"/>
      <c r="D38" s="94"/>
      <c r="E38" s="94"/>
      <c r="F38" s="94"/>
      <c r="G38" s="94"/>
      <c r="H38" s="94"/>
      <c r="I38" s="109"/>
      <c r="J38" s="94"/>
      <c r="K38" s="94"/>
      <c r="L38" s="94"/>
      <c r="M38" s="94"/>
      <c r="N38" s="94"/>
      <c r="O38" s="94"/>
      <c r="P38" s="94"/>
      <c r="Q38" s="94"/>
      <c r="R38" s="94"/>
      <c r="S38" s="94"/>
      <c r="T38" s="94"/>
      <c r="U38" s="94"/>
      <c r="V38" s="94"/>
      <c r="W38" s="94"/>
      <c r="X38" s="94"/>
      <c r="Y38" s="94"/>
      <c r="Z38" s="94"/>
      <c r="AA38" s="94"/>
      <c r="AB38" s="94"/>
      <c r="AC38" s="94"/>
      <c r="AD38" s="94"/>
      <c r="AE38" s="94"/>
      <c r="AF38" s="94"/>
      <c r="AG38" s="94"/>
      <c r="AH38" s="94"/>
    </row>
    <row r="39" spans="1:34" ht="18">
      <c r="A39" s="94"/>
      <c r="B39" s="115" t="s">
        <v>160</v>
      </c>
      <c r="C39" s="107"/>
      <c r="D39" s="94"/>
      <c r="E39" s="94"/>
      <c r="F39" s="94"/>
      <c r="G39" s="94"/>
      <c r="H39" s="94"/>
      <c r="I39" s="109"/>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94"/>
    </row>
    <row r="40" spans="1:34">
      <c r="A40" s="94"/>
      <c r="B40" s="292" t="s">
        <v>161</v>
      </c>
      <c r="C40" s="292"/>
      <c r="D40" s="292"/>
      <c r="E40" s="292" t="s">
        <v>162</v>
      </c>
      <c r="F40" s="296"/>
      <c r="G40" s="296"/>
      <c r="H40" s="296"/>
      <c r="I40" s="296"/>
      <c r="J40" s="296"/>
      <c r="K40" s="296"/>
      <c r="L40" s="296"/>
      <c r="M40" s="296"/>
      <c r="N40" s="296"/>
      <c r="O40" s="296"/>
      <c r="P40" s="296"/>
      <c r="Q40" s="296"/>
      <c r="R40" s="296"/>
      <c r="S40" s="296"/>
      <c r="T40" s="296"/>
      <c r="U40" s="296"/>
      <c r="V40" s="296"/>
      <c r="W40" s="296"/>
      <c r="X40" s="296"/>
      <c r="Y40" s="292" t="s">
        <v>163</v>
      </c>
      <c r="Z40" s="292"/>
      <c r="AA40" s="292"/>
      <c r="AB40" s="292"/>
      <c r="AC40" s="292"/>
      <c r="AD40" s="292"/>
      <c r="AE40" s="292"/>
      <c r="AF40" s="292"/>
      <c r="AG40" s="94"/>
      <c r="AH40" s="94"/>
    </row>
    <row r="41" spans="1:34">
      <c r="A41" s="94"/>
      <c r="B41" s="300"/>
      <c r="C41" s="300"/>
      <c r="D41" s="300"/>
      <c r="E41" s="276"/>
      <c r="F41" s="301"/>
      <c r="G41" s="301"/>
      <c r="H41" s="301"/>
      <c r="I41" s="301"/>
      <c r="J41" s="301"/>
      <c r="K41" s="301"/>
      <c r="L41" s="301"/>
      <c r="M41" s="301"/>
      <c r="N41" s="301"/>
      <c r="O41" s="301"/>
      <c r="P41" s="301"/>
      <c r="Q41" s="301"/>
      <c r="R41" s="301"/>
      <c r="S41" s="301"/>
      <c r="T41" s="301"/>
      <c r="U41" s="301"/>
      <c r="V41" s="301"/>
      <c r="W41" s="301"/>
      <c r="X41" s="301"/>
      <c r="Y41" s="276"/>
      <c r="Z41" s="301"/>
      <c r="AA41" s="301"/>
      <c r="AB41" s="301"/>
      <c r="AC41" s="301"/>
      <c r="AD41" s="301"/>
      <c r="AE41" s="301"/>
      <c r="AF41" s="301"/>
      <c r="AG41" s="94"/>
      <c r="AH41" s="94"/>
    </row>
    <row r="42" spans="1:34">
      <c r="A42" s="94"/>
      <c r="B42" s="300"/>
      <c r="C42" s="300"/>
      <c r="D42" s="300"/>
      <c r="E42" s="276"/>
      <c r="F42" s="301"/>
      <c r="G42" s="301"/>
      <c r="H42" s="301"/>
      <c r="I42" s="301"/>
      <c r="J42" s="301"/>
      <c r="K42" s="301"/>
      <c r="L42" s="301"/>
      <c r="M42" s="301"/>
      <c r="N42" s="301"/>
      <c r="O42" s="301"/>
      <c r="P42" s="301"/>
      <c r="Q42" s="301"/>
      <c r="R42" s="301"/>
      <c r="S42" s="301"/>
      <c r="T42" s="301"/>
      <c r="U42" s="301"/>
      <c r="V42" s="301"/>
      <c r="W42" s="301"/>
      <c r="X42" s="301"/>
      <c r="Y42" s="276"/>
      <c r="Z42" s="301"/>
      <c r="AA42" s="301"/>
      <c r="AB42" s="301"/>
      <c r="AC42" s="301"/>
      <c r="AD42" s="301"/>
      <c r="AE42" s="301"/>
      <c r="AF42" s="301"/>
      <c r="AG42" s="94"/>
      <c r="AH42" s="94"/>
    </row>
    <row r="43" spans="1:34">
      <c r="A43" s="94"/>
      <c r="B43" s="300"/>
      <c r="C43" s="300"/>
      <c r="D43" s="300"/>
      <c r="E43" s="276"/>
      <c r="F43" s="301"/>
      <c r="G43" s="301"/>
      <c r="H43" s="301"/>
      <c r="I43" s="301"/>
      <c r="J43" s="301"/>
      <c r="K43" s="301"/>
      <c r="L43" s="301"/>
      <c r="M43" s="301"/>
      <c r="N43" s="301"/>
      <c r="O43" s="301"/>
      <c r="P43" s="301"/>
      <c r="Q43" s="301"/>
      <c r="R43" s="301"/>
      <c r="S43" s="301"/>
      <c r="T43" s="301"/>
      <c r="U43" s="301"/>
      <c r="V43" s="301"/>
      <c r="W43" s="301"/>
      <c r="X43" s="301"/>
      <c r="Y43" s="276"/>
      <c r="Z43" s="301"/>
      <c r="AA43" s="301"/>
      <c r="AB43" s="301"/>
      <c r="AC43" s="301"/>
      <c r="AD43" s="301"/>
      <c r="AE43" s="301"/>
      <c r="AF43" s="301"/>
      <c r="AG43" s="94"/>
      <c r="AH43" s="94"/>
    </row>
    <row r="44" spans="1:34">
      <c r="A44" s="94"/>
      <c r="B44" s="300"/>
      <c r="C44" s="300"/>
      <c r="D44" s="300"/>
      <c r="E44" s="276"/>
      <c r="F44" s="301"/>
      <c r="G44" s="301"/>
      <c r="H44" s="301"/>
      <c r="I44" s="301"/>
      <c r="J44" s="301"/>
      <c r="K44" s="301"/>
      <c r="L44" s="301"/>
      <c r="M44" s="301"/>
      <c r="N44" s="301"/>
      <c r="O44" s="301"/>
      <c r="P44" s="301"/>
      <c r="Q44" s="301"/>
      <c r="R44" s="301"/>
      <c r="S44" s="301"/>
      <c r="T44" s="301"/>
      <c r="U44" s="301"/>
      <c r="V44" s="301"/>
      <c r="W44" s="301"/>
      <c r="X44" s="301"/>
      <c r="Y44" s="276"/>
      <c r="Z44" s="301"/>
      <c r="AA44" s="301"/>
      <c r="AB44" s="301"/>
      <c r="AC44" s="301"/>
      <c r="AD44" s="301"/>
      <c r="AE44" s="301"/>
      <c r="AF44" s="301"/>
      <c r="AG44" s="94"/>
      <c r="AH44" s="94"/>
    </row>
    <row r="45" spans="1:34" ht="18">
      <c r="A45" s="94"/>
      <c r="B45" s="115" t="s">
        <v>164</v>
      </c>
      <c r="C45" s="107"/>
      <c r="D45" s="94"/>
      <c r="E45" s="94"/>
      <c r="F45" s="94"/>
      <c r="G45" s="94"/>
      <c r="H45" s="94"/>
      <c r="I45" s="109"/>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row>
    <row r="46" spans="1:34">
      <c r="A46" s="94"/>
      <c r="B46" s="292" t="s">
        <v>161</v>
      </c>
      <c r="C46" s="292"/>
      <c r="D46" s="292"/>
      <c r="E46" s="292" t="s">
        <v>162</v>
      </c>
      <c r="F46" s="296"/>
      <c r="G46" s="296"/>
      <c r="H46" s="296"/>
      <c r="I46" s="296"/>
      <c r="J46" s="296"/>
      <c r="K46" s="296"/>
      <c r="L46" s="296"/>
      <c r="M46" s="296"/>
      <c r="N46" s="296"/>
      <c r="O46" s="296"/>
      <c r="P46" s="296"/>
      <c r="Q46" s="296"/>
      <c r="R46" s="296"/>
      <c r="S46" s="296"/>
      <c r="T46" s="296"/>
      <c r="U46" s="296"/>
      <c r="V46" s="296"/>
      <c r="W46" s="296"/>
      <c r="X46" s="296"/>
      <c r="Y46" s="292" t="s">
        <v>163</v>
      </c>
      <c r="Z46" s="292"/>
      <c r="AA46" s="292"/>
      <c r="AB46" s="292"/>
      <c r="AC46" s="292"/>
      <c r="AD46" s="292"/>
      <c r="AE46" s="292"/>
      <c r="AF46" s="292"/>
      <c r="AG46" s="94"/>
      <c r="AH46" s="94"/>
    </row>
    <row r="47" spans="1:34">
      <c r="A47" s="94"/>
      <c r="B47" s="300"/>
      <c r="C47" s="300"/>
      <c r="D47" s="300"/>
      <c r="E47" s="276"/>
      <c r="F47" s="301"/>
      <c r="G47" s="301"/>
      <c r="H47" s="301"/>
      <c r="I47" s="301"/>
      <c r="J47" s="301"/>
      <c r="K47" s="301"/>
      <c r="L47" s="301"/>
      <c r="M47" s="301"/>
      <c r="N47" s="301"/>
      <c r="O47" s="301"/>
      <c r="P47" s="301"/>
      <c r="Q47" s="301"/>
      <c r="R47" s="301"/>
      <c r="S47" s="301"/>
      <c r="T47" s="301"/>
      <c r="U47" s="301"/>
      <c r="V47" s="301"/>
      <c r="W47" s="301"/>
      <c r="X47" s="301"/>
      <c r="Y47" s="276"/>
      <c r="Z47" s="301"/>
      <c r="AA47" s="301"/>
      <c r="AB47" s="301"/>
      <c r="AC47" s="301"/>
      <c r="AD47" s="301"/>
      <c r="AE47" s="301"/>
      <c r="AF47" s="301"/>
      <c r="AG47" s="94"/>
      <c r="AH47" s="94"/>
    </row>
    <row r="48" spans="1:34">
      <c r="A48" s="94"/>
      <c r="B48" s="300"/>
      <c r="C48" s="300"/>
      <c r="D48" s="300"/>
      <c r="E48" s="276"/>
      <c r="F48" s="301"/>
      <c r="G48" s="301"/>
      <c r="H48" s="301"/>
      <c r="I48" s="301"/>
      <c r="J48" s="301"/>
      <c r="K48" s="301"/>
      <c r="L48" s="301"/>
      <c r="M48" s="301"/>
      <c r="N48" s="301"/>
      <c r="O48" s="301"/>
      <c r="P48" s="301"/>
      <c r="Q48" s="301"/>
      <c r="R48" s="301"/>
      <c r="S48" s="301"/>
      <c r="T48" s="301"/>
      <c r="U48" s="301"/>
      <c r="V48" s="301"/>
      <c r="W48" s="301"/>
      <c r="X48" s="301"/>
      <c r="Y48" s="276"/>
      <c r="Z48" s="301"/>
      <c r="AA48" s="301"/>
      <c r="AB48" s="301"/>
      <c r="AC48" s="301"/>
      <c r="AD48" s="301"/>
      <c r="AE48" s="301"/>
      <c r="AF48" s="301"/>
      <c r="AG48" s="94"/>
      <c r="AH48" s="94"/>
    </row>
    <row r="49" spans="1:34">
      <c r="A49" s="94"/>
      <c r="B49" s="300"/>
      <c r="C49" s="300"/>
      <c r="D49" s="300"/>
      <c r="E49" s="276"/>
      <c r="F49" s="301"/>
      <c r="G49" s="301"/>
      <c r="H49" s="301"/>
      <c r="I49" s="301"/>
      <c r="J49" s="301"/>
      <c r="K49" s="301"/>
      <c r="L49" s="301"/>
      <c r="M49" s="301"/>
      <c r="N49" s="301"/>
      <c r="O49" s="301"/>
      <c r="P49" s="301"/>
      <c r="Q49" s="301"/>
      <c r="R49" s="301"/>
      <c r="S49" s="301"/>
      <c r="T49" s="301"/>
      <c r="U49" s="301"/>
      <c r="V49" s="301"/>
      <c r="W49" s="301"/>
      <c r="X49" s="301"/>
      <c r="Y49" s="276"/>
      <c r="Z49" s="301"/>
      <c r="AA49" s="301"/>
      <c r="AB49" s="301"/>
      <c r="AC49" s="301"/>
      <c r="AD49" s="301"/>
      <c r="AE49" s="301"/>
      <c r="AF49" s="301"/>
      <c r="AG49" s="94"/>
      <c r="AH49" s="94"/>
    </row>
    <row r="50" spans="1:34">
      <c r="A50" s="94"/>
      <c r="B50" s="300"/>
      <c r="C50" s="300"/>
      <c r="D50" s="300"/>
      <c r="E50" s="276"/>
      <c r="F50" s="301"/>
      <c r="G50" s="301"/>
      <c r="H50" s="301"/>
      <c r="I50" s="301"/>
      <c r="J50" s="301"/>
      <c r="K50" s="301"/>
      <c r="L50" s="301"/>
      <c r="M50" s="301"/>
      <c r="N50" s="301"/>
      <c r="O50" s="301"/>
      <c r="P50" s="301"/>
      <c r="Q50" s="301"/>
      <c r="R50" s="301"/>
      <c r="S50" s="301"/>
      <c r="T50" s="301"/>
      <c r="U50" s="301"/>
      <c r="V50" s="301"/>
      <c r="W50" s="301"/>
      <c r="X50" s="301"/>
      <c r="Y50" s="276"/>
      <c r="Z50" s="301"/>
      <c r="AA50" s="301"/>
      <c r="AB50" s="301"/>
      <c r="AC50" s="301"/>
      <c r="AD50" s="301"/>
      <c r="AE50" s="301"/>
      <c r="AF50" s="301"/>
      <c r="AG50" s="94"/>
      <c r="AH50" s="94"/>
    </row>
    <row r="51" spans="1:34">
      <c r="A51" s="94"/>
      <c r="B51" s="94"/>
      <c r="C51" s="108"/>
      <c r="D51" s="94"/>
      <c r="E51" s="94"/>
      <c r="F51" s="94"/>
      <c r="G51" s="94"/>
      <c r="H51" s="94"/>
      <c r="I51" s="109"/>
      <c r="J51" s="94"/>
      <c r="K51" s="94"/>
      <c r="L51" s="94"/>
      <c r="M51" s="94"/>
      <c r="N51" s="94"/>
      <c r="O51" s="94"/>
      <c r="P51" s="94"/>
      <c r="Q51" s="94"/>
      <c r="R51" s="94"/>
      <c r="S51" s="94"/>
      <c r="T51" s="94"/>
      <c r="U51" s="94"/>
      <c r="V51" s="94"/>
      <c r="W51" s="94"/>
      <c r="X51" s="94"/>
      <c r="Y51" s="94"/>
      <c r="Z51" s="94"/>
      <c r="AA51" s="94"/>
      <c r="AB51" s="94"/>
      <c r="AC51" s="94"/>
      <c r="AD51" s="94"/>
      <c r="AE51" s="94"/>
      <c r="AF51" s="94"/>
      <c r="AG51" s="94"/>
      <c r="AH51" s="94"/>
    </row>
    <row r="52" spans="1:34" ht="20.399999999999999">
      <c r="A52" s="94"/>
      <c r="B52" s="106" t="s">
        <v>165</v>
      </c>
      <c r="C52" s="107"/>
      <c r="D52" s="94"/>
      <c r="E52" s="94"/>
      <c r="F52" s="94"/>
      <c r="G52" s="94"/>
      <c r="H52" s="94"/>
      <c r="I52" s="109"/>
      <c r="J52" s="94"/>
      <c r="K52" s="94"/>
      <c r="L52" s="94"/>
      <c r="M52" s="94"/>
      <c r="N52" s="94"/>
      <c r="O52" s="94"/>
      <c r="P52" s="94"/>
      <c r="Q52" s="94"/>
      <c r="R52" s="94"/>
      <c r="S52" s="94"/>
      <c r="T52" s="94"/>
      <c r="U52" s="94"/>
      <c r="V52" s="94"/>
      <c r="W52" s="94"/>
      <c r="X52" s="94"/>
      <c r="Y52" s="94"/>
      <c r="Z52" s="94"/>
      <c r="AA52" s="94"/>
      <c r="AB52" s="94"/>
      <c r="AC52" s="94"/>
      <c r="AD52" s="94"/>
      <c r="AE52" s="94"/>
      <c r="AF52" s="94"/>
      <c r="AG52" s="94"/>
      <c r="AH52" s="94"/>
    </row>
    <row r="53" spans="1:34">
      <c r="A53" s="94"/>
      <c r="B53" s="292" t="s">
        <v>166</v>
      </c>
      <c r="C53" s="292"/>
      <c r="D53" s="292"/>
      <c r="E53" s="292"/>
      <c r="F53" s="292"/>
      <c r="G53" s="292"/>
      <c r="H53" s="302"/>
      <c r="I53" s="302"/>
      <c r="J53" s="302"/>
      <c r="K53" s="302"/>
      <c r="L53" s="302"/>
      <c r="M53" s="302"/>
      <c r="N53" s="302"/>
      <c r="O53" s="302"/>
      <c r="P53" s="302"/>
      <c r="Q53" s="302"/>
      <c r="R53" s="302"/>
      <c r="S53" s="302"/>
      <c r="T53" s="302"/>
      <c r="U53" s="302"/>
      <c r="V53" s="302"/>
      <c r="W53" s="302"/>
      <c r="X53" s="302"/>
      <c r="Y53" s="302"/>
      <c r="Z53" s="302"/>
      <c r="AA53" s="302"/>
      <c r="AB53" s="302"/>
      <c r="AC53" s="302"/>
      <c r="AD53" s="302"/>
      <c r="AE53" s="302"/>
      <c r="AF53" s="302"/>
      <c r="AG53" s="94"/>
      <c r="AH53" s="94"/>
    </row>
    <row r="54" spans="1:34" ht="27.75" customHeight="1">
      <c r="A54" s="94"/>
      <c r="B54" s="270" t="s">
        <v>167</v>
      </c>
      <c r="C54" s="271"/>
      <c r="D54" s="271"/>
      <c r="E54" s="271"/>
      <c r="F54" s="271"/>
      <c r="G54" s="272"/>
      <c r="H54" s="306" t="s">
        <v>168</v>
      </c>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5"/>
      <c r="AG54" s="94"/>
      <c r="AH54" s="94"/>
    </row>
    <row r="55" spans="1:34">
      <c r="A55" s="94"/>
      <c r="B55" s="270"/>
      <c r="C55" s="271"/>
      <c r="D55" s="271"/>
      <c r="E55" s="271"/>
      <c r="F55" s="271"/>
      <c r="G55" s="272"/>
      <c r="H55" s="303"/>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5"/>
      <c r="AG55" s="94"/>
      <c r="AH55" s="94"/>
    </row>
    <row r="56" spans="1:34">
      <c r="A56" s="94"/>
      <c r="B56" s="270"/>
      <c r="C56" s="271"/>
      <c r="D56" s="271"/>
      <c r="E56" s="271"/>
      <c r="F56" s="271"/>
      <c r="G56" s="272"/>
      <c r="H56" s="303"/>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5"/>
      <c r="AG56" s="94"/>
      <c r="AH56" s="94"/>
    </row>
    <row r="57" spans="1:34">
      <c r="A57" s="94"/>
      <c r="B57" s="270"/>
      <c r="C57" s="271"/>
      <c r="D57" s="271"/>
      <c r="E57" s="271"/>
      <c r="F57" s="271"/>
      <c r="G57" s="272"/>
      <c r="H57" s="303"/>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5"/>
      <c r="AG57" s="94"/>
      <c r="AH57" s="94"/>
    </row>
    <row r="58" spans="1:34">
      <c r="A58" s="94"/>
      <c r="B58" s="270"/>
      <c r="C58" s="271"/>
      <c r="D58" s="271"/>
      <c r="E58" s="271"/>
      <c r="F58" s="271"/>
      <c r="G58" s="272"/>
      <c r="H58" s="303"/>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5"/>
      <c r="AG58" s="94"/>
      <c r="AH58" s="94"/>
    </row>
    <row r="59" spans="1:34">
      <c r="A59" s="94"/>
      <c r="B59" s="112"/>
      <c r="C59" s="112"/>
      <c r="D59" s="112"/>
      <c r="E59" s="112"/>
      <c r="F59" s="112"/>
      <c r="G59" s="112"/>
      <c r="H59" s="116"/>
      <c r="I59" s="116"/>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94"/>
      <c r="AH59" s="94"/>
    </row>
    <row r="60" spans="1:34">
      <c r="A60" s="94"/>
      <c r="B60" s="112"/>
      <c r="C60" s="112"/>
      <c r="D60" s="112"/>
      <c r="E60" s="112"/>
      <c r="F60" s="112"/>
      <c r="G60" s="112"/>
      <c r="H60" s="116"/>
      <c r="I60" s="116"/>
      <c r="J60" s="116"/>
      <c r="K60" s="116"/>
      <c r="L60" s="116"/>
      <c r="M60" s="116"/>
      <c r="N60" s="116"/>
      <c r="O60" s="116"/>
      <c r="P60" s="116"/>
      <c r="Q60" s="116"/>
      <c r="R60" s="116"/>
      <c r="S60" s="116"/>
      <c r="T60" s="116"/>
      <c r="U60" s="116"/>
      <c r="V60" s="116"/>
      <c r="W60" s="116"/>
      <c r="X60" s="116"/>
      <c r="Y60" s="116"/>
      <c r="Z60" s="116"/>
      <c r="AA60" s="116"/>
      <c r="AB60" s="116"/>
      <c r="AC60" s="116"/>
      <c r="AD60" s="116"/>
      <c r="AE60" s="116"/>
      <c r="AF60" s="116"/>
      <c r="AG60" s="94"/>
      <c r="AH60" s="94"/>
    </row>
    <row r="61" spans="1:34" ht="24.6">
      <c r="A61" s="94"/>
      <c r="B61" s="117" t="s">
        <v>169</v>
      </c>
      <c r="C61" s="118"/>
      <c r="D61" s="118"/>
      <c r="E61" s="118"/>
      <c r="F61" s="118"/>
      <c r="G61" s="118"/>
      <c r="H61" s="119"/>
      <c r="I61" s="119"/>
      <c r="J61" s="119"/>
      <c r="K61" s="119"/>
      <c r="L61" s="119"/>
      <c r="M61" s="119"/>
      <c r="N61" s="119"/>
      <c r="O61" s="119"/>
      <c r="P61" s="119"/>
      <c r="Q61" s="119"/>
      <c r="R61" s="119"/>
      <c r="S61" s="119"/>
      <c r="T61" s="119"/>
      <c r="U61" s="119"/>
      <c r="V61" s="119"/>
      <c r="W61" s="119"/>
      <c r="X61" s="119"/>
      <c r="Y61" s="119"/>
      <c r="Z61" s="119"/>
      <c r="AA61" s="119"/>
      <c r="AB61" s="119"/>
      <c r="AC61" s="119"/>
      <c r="AD61" s="119"/>
      <c r="AE61" s="119"/>
      <c r="AF61" s="119"/>
      <c r="AG61" s="94"/>
      <c r="AH61" s="94"/>
    </row>
    <row r="62" spans="1:34" ht="24.6">
      <c r="A62" s="94"/>
      <c r="B62" s="120"/>
      <c r="C62" s="112"/>
      <c r="D62" s="112"/>
      <c r="E62" s="112"/>
      <c r="F62" s="112"/>
      <c r="G62" s="112"/>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94"/>
      <c r="AH62" s="94"/>
    </row>
    <row r="63" spans="1:34" s="172" customFormat="1" ht="20.399999999999999">
      <c r="B63" s="173" t="s">
        <v>287</v>
      </c>
    </row>
    <row r="64" spans="1:34">
      <c r="A64" s="94"/>
      <c r="B64" s="121"/>
      <c r="C64" s="121"/>
      <c r="D64" s="121"/>
      <c r="E64" s="121"/>
      <c r="F64" s="121"/>
      <c r="G64" s="121"/>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94"/>
      <c r="AH64" s="94"/>
    </row>
    <row r="65" spans="1:36" ht="52.5" customHeight="1">
      <c r="A65" s="94"/>
      <c r="B65" s="264" t="s">
        <v>283</v>
      </c>
      <c r="C65" s="265"/>
      <c r="D65" s="265"/>
      <c r="E65" s="265"/>
      <c r="F65" s="265"/>
      <c r="G65" s="266"/>
      <c r="H65" s="267" t="s">
        <v>278</v>
      </c>
      <c r="I65" s="268"/>
      <c r="J65" s="268"/>
      <c r="K65" s="268"/>
      <c r="L65" s="268"/>
      <c r="M65" s="268"/>
      <c r="N65" s="268"/>
      <c r="O65" s="268"/>
      <c r="P65" s="268"/>
      <c r="Q65" s="268"/>
      <c r="R65" s="268"/>
      <c r="S65" s="268"/>
      <c r="T65" s="268"/>
      <c r="U65" s="268"/>
      <c r="V65" s="268"/>
      <c r="W65" s="268"/>
      <c r="X65" s="268"/>
      <c r="Y65" s="268"/>
      <c r="Z65" s="268"/>
      <c r="AA65" s="268"/>
      <c r="AB65" s="268"/>
      <c r="AC65" s="268"/>
      <c r="AD65" s="268"/>
      <c r="AE65" s="268"/>
      <c r="AF65" s="269"/>
      <c r="AG65" s="94"/>
      <c r="AH65" s="94"/>
    </row>
    <row r="66" spans="1:36" ht="111" customHeight="1">
      <c r="A66" s="94"/>
      <c r="B66" s="264" t="s">
        <v>284</v>
      </c>
      <c r="C66" s="265"/>
      <c r="D66" s="265"/>
      <c r="E66" s="265"/>
      <c r="F66" s="265"/>
      <c r="G66" s="266"/>
      <c r="H66" s="267" t="s">
        <v>280</v>
      </c>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9"/>
      <c r="AG66" s="94"/>
      <c r="AH66" s="94"/>
    </row>
    <row r="67" spans="1:36" ht="52.5" customHeight="1">
      <c r="A67" s="94"/>
      <c r="B67" s="264" t="s">
        <v>285</v>
      </c>
      <c r="C67" s="265"/>
      <c r="D67" s="265"/>
      <c r="E67" s="265"/>
      <c r="F67" s="265"/>
      <c r="G67" s="266"/>
      <c r="H67" s="267" t="s">
        <v>288</v>
      </c>
      <c r="I67" s="268"/>
      <c r="J67" s="268"/>
      <c r="K67" s="268"/>
      <c r="L67" s="268"/>
      <c r="M67" s="268"/>
      <c r="N67" s="268"/>
      <c r="O67" s="268"/>
      <c r="P67" s="268"/>
      <c r="Q67" s="268"/>
      <c r="R67" s="268"/>
      <c r="S67" s="268"/>
      <c r="T67" s="268"/>
      <c r="U67" s="268"/>
      <c r="V67" s="268"/>
      <c r="W67" s="268"/>
      <c r="X67" s="268"/>
      <c r="Y67" s="268"/>
      <c r="Z67" s="268"/>
      <c r="AA67" s="268"/>
      <c r="AB67" s="268"/>
      <c r="AC67" s="268"/>
      <c r="AD67" s="268"/>
      <c r="AE67" s="268"/>
      <c r="AF67" s="269"/>
      <c r="AG67" s="94"/>
      <c r="AH67" s="94"/>
    </row>
    <row r="68" spans="1:36" ht="52.5" customHeight="1">
      <c r="A68" s="94"/>
      <c r="B68" s="264" t="s">
        <v>277</v>
      </c>
      <c r="C68" s="265"/>
      <c r="D68" s="265"/>
      <c r="E68" s="265"/>
      <c r="F68" s="265"/>
      <c r="G68" s="266"/>
      <c r="H68" s="267" t="s">
        <v>281</v>
      </c>
      <c r="I68" s="268"/>
      <c r="J68" s="268"/>
      <c r="K68" s="268"/>
      <c r="L68" s="268"/>
      <c r="M68" s="268"/>
      <c r="N68" s="268"/>
      <c r="O68" s="268"/>
      <c r="P68" s="268"/>
      <c r="Q68" s="268"/>
      <c r="R68" s="268"/>
      <c r="S68" s="268"/>
      <c r="T68" s="268"/>
      <c r="U68" s="268"/>
      <c r="V68" s="268"/>
      <c r="W68" s="268"/>
      <c r="X68" s="268"/>
      <c r="Y68" s="268"/>
      <c r="Z68" s="268"/>
      <c r="AA68" s="268"/>
      <c r="AB68" s="268"/>
      <c r="AC68" s="268"/>
      <c r="AD68" s="268"/>
      <c r="AE68" s="268"/>
      <c r="AF68" s="269"/>
      <c r="AG68" s="94"/>
      <c r="AH68" s="94"/>
    </row>
    <row r="69" spans="1:36" ht="81" customHeight="1">
      <c r="A69" s="94"/>
      <c r="B69" s="264" t="s">
        <v>286</v>
      </c>
      <c r="C69" s="265"/>
      <c r="D69" s="265"/>
      <c r="E69" s="265"/>
      <c r="F69" s="265"/>
      <c r="G69" s="266"/>
      <c r="H69" s="267" t="s">
        <v>289</v>
      </c>
      <c r="I69" s="268"/>
      <c r="J69" s="268"/>
      <c r="K69" s="268"/>
      <c r="L69" s="268"/>
      <c r="M69" s="268"/>
      <c r="N69" s="268"/>
      <c r="O69" s="268"/>
      <c r="P69" s="268"/>
      <c r="Q69" s="268"/>
      <c r="R69" s="268"/>
      <c r="S69" s="268"/>
      <c r="T69" s="268"/>
      <c r="U69" s="268"/>
      <c r="V69" s="268"/>
      <c r="W69" s="268"/>
      <c r="X69" s="268"/>
      <c r="Y69" s="268"/>
      <c r="Z69" s="268"/>
      <c r="AA69" s="268"/>
      <c r="AB69" s="268"/>
      <c r="AC69" s="268"/>
      <c r="AD69" s="268"/>
      <c r="AE69" s="268"/>
      <c r="AF69" s="269"/>
      <c r="AG69" s="94"/>
      <c r="AH69" s="94"/>
    </row>
    <row r="70" spans="1:36" ht="97.5" customHeight="1">
      <c r="A70" s="94"/>
      <c r="B70" s="264" t="s">
        <v>279</v>
      </c>
      <c r="C70" s="265"/>
      <c r="D70" s="265"/>
      <c r="E70" s="265"/>
      <c r="F70" s="265"/>
      <c r="G70" s="266"/>
      <c r="H70" s="267" t="s">
        <v>282</v>
      </c>
      <c r="I70" s="268"/>
      <c r="J70" s="268"/>
      <c r="K70" s="268"/>
      <c r="L70" s="268"/>
      <c r="M70" s="268"/>
      <c r="N70" s="268"/>
      <c r="O70" s="268"/>
      <c r="P70" s="268"/>
      <c r="Q70" s="268"/>
      <c r="R70" s="268"/>
      <c r="S70" s="268"/>
      <c r="T70" s="268"/>
      <c r="U70" s="268"/>
      <c r="V70" s="268"/>
      <c r="W70" s="268"/>
      <c r="X70" s="268"/>
      <c r="Y70" s="268"/>
      <c r="Z70" s="268"/>
      <c r="AA70" s="268"/>
      <c r="AB70" s="268"/>
      <c r="AC70" s="268"/>
      <c r="AD70" s="268"/>
      <c r="AE70" s="268"/>
      <c r="AF70" s="269"/>
      <c r="AG70" s="94"/>
      <c r="AH70" s="94"/>
    </row>
    <row r="71" spans="1:36">
      <c r="A71" s="94"/>
      <c r="B71" s="121"/>
      <c r="C71" s="121"/>
      <c r="D71" s="121"/>
      <c r="E71" s="121"/>
      <c r="F71" s="121"/>
      <c r="G71" s="121"/>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94"/>
      <c r="AH71" s="94"/>
    </row>
    <row r="72" spans="1:36">
      <c r="A72" s="94"/>
      <c r="B72" s="121"/>
      <c r="C72" s="121"/>
      <c r="D72" s="121"/>
      <c r="E72" s="121"/>
      <c r="F72" s="121"/>
      <c r="G72" s="121"/>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94"/>
      <c r="AH72" s="94"/>
    </row>
    <row r="73" spans="1:36">
      <c r="A73" s="94"/>
      <c r="B73" s="121"/>
      <c r="C73" s="121"/>
      <c r="D73" s="121"/>
      <c r="E73" s="121"/>
      <c r="F73" s="121"/>
      <c r="G73" s="121"/>
      <c r="H73" s="122"/>
      <c r="I73" s="122"/>
      <c r="J73" s="122"/>
      <c r="K73" s="122"/>
      <c r="L73" s="122"/>
      <c r="M73" s="122"/>
      <c r="N73" s="122"/>
      <c r="O73" s="122"/>
      <c r="P73" s="122"/>
      <c r="Q73" s="122"/>
      <c r="R73" s="122"/>
      <c r="S73" s="122"/>
      <c r="T73" s="122"/>
      <c r="U73" s="122"/>
      <c r="V73" s="122"/>
      <c r="W73" s="122"/>
      <c r="X73" s="122"/>
      <c r="Y73" s="122"/>
      <c r="Z73" s="122"/>
      <c r="AA73" s="122"/>
      <c r="AB73" s="122"/>
      <c r="AC73" s="122"/>
      <c r="AD73" s="122"/>
      <c r="AE73" s="122"/>
      <c r="AF73" s="122"/>
      <c r="AG73" s="94"/>
      <c r="AH73" s="94"/>
    </row>
    <row r="74" spans="1:36" ht="24.6">
      <c r="A74" s="94"/>
      <c r="B74" s="117" t="s">
        <v>170</v>
      </c>
      <c r="C74" s="118"/>
      <c r="D74" s="118"/>
      <c r="E74" s="118"/>
      <c r="F74" s="118"/>
      <c r="G74" s="118"/>
      <c r="H74" s="119"/>
      <c r="I74" s="119"/>
      <c r="J74" s="119"/>
      <c r="K74" s="119"/>
      <c r="L74" s="119"/>
      <c r="M74" s="119"/>
      <c r="N74" s="119"/>
      <c r="O74" s="119"/>
      <c r="P74" s="119"/>
      <c r="Q74" s="119"/>
      <c r="R74" s="119"/>
      <c r="S74" s="119"/>
      <c r="T74" s="119"/>
      <c r="U74" s="119"/>
      <c r="V74" s="119"/>
      <c r="W74" s="119"/>
      <c r="X74" s="119"/>
      <c r="Y74" s="119"/>
      <c r="Z74" s="119"/>
      <c r="AA74" s="119"/>
      <c r="AB74" s="119"/>
      <c r="AC74" s="119"/>
      <c r="AD74" s="119"/>
      <c r="AE74" s="119"/>
      <c r="AF74" s="119"/>
      <c r="AG74" s="94"/>
      <c r="AH74" s="94"/>
    </row>
    <row r="75" spans="1:36">
      <c r="A75" s="94"/>
      <c r="B75" s="121"/>
      <c r="C75" s="121"/>
      <c r="D75" s="121"/>
      <c r="E75" s="121"/>
      <c r="F75" s="121"/>
      <c r="G75" s="121"/>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94"/>
      <c r="AH75" s="94"/>
    </row>
    <row r="76" spans="1:36">
      <c r="A76" s="94"/>
      <c r="B76" s="121" t="s">
        <v>171</v>
      </c>
      <c r="C76" s="121"/>
      <c r="D76" s="121"/>
      <c r="E76" s="121"/>
      <c r="F76" s="121"/>
      <c r="G76" s="121"/>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94"/>
      <c r="AH76" s="94"/>
    </row>
    <row r="77" spans="1:36" ht="68.400000000000006">
      <c r="A77" s="94"/>
      <c r="B77" s="121"/>
      <c r="C77" s="121"/>
      <c r="D77" s="121"/>
      <c r="E77" s="121"/>
      <c r="F77" s="121"/>
      <c r="G77" s="121"/>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94"/>
      <c r="AH77" s="94"/>
      <c r="AJ77" s="181" t="s">
        <v>396</v>
      </c>
    </row>
    <row r="78" spans="1:36" ht="18">
      <c r="A78" s="94"/>
      <c r="C78" s="121"/>
      <c r="D78" s="121"/>
      <c r="E78" s="121"/>
      <c r="F78" s="121"/>
      <c r="G78" s="121"/>
      <c r="H78" s="122"/>
      <c r="I78" s="122"/>
      <c r="J78" s="122"/>
      <c r="K78" s="122"/>
      <c r="L78" s="122"/>
      <c r="M78" s="122"/>
      <c r="N78" s="122"/>
      <c r="O78" s="122"/>
      <c r="P78" s="122"/>
      <c r="Q78" s="122"/>
      <c r="R78" s="122"/>
      <c r="S78" s="122"/>
      <c r="T78" s="122"/>
      <c r="U78" s="122"/>
      <c r="V78" s="122"/>
      <c r="W78" s="122"/>
      <c r="X78" s="122"/>
      <c r="Y78" s="122"/>
      <c r="Z78" s="122"/>
      <c r="AA78" s="122"/>
      <c r="AB78" s="122"/>
      <c r="AC78" s="122"/>
      <c r="AD78" s="122"/>
      <c r="AE78" s="122"/>
      <c r="AF78" s="122"/>
      <c r="AG78" s="94"/>
      <c r="AH78" s="94"/>
      <c r="AI78" s="142"/>
      <c r="AJ78" s="180" t="s">
        <v>397</v>
      </c>
    </row>
    <row r="79" spans="1:36">
      <c r="A79" s="94"/>
      <c r="C79" s="121"/>
      <c r="D79" s="121"/>
      <c r="E79" s="121"/>
      <c r="F79" s="121"/>
      <c r="G79" s="121"/>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94"/>
      <c r="AH79" s="94"/>
      <c r="AI79" s="143" t="s">
        <v>226</v>
      </c>
      <c r="AJ79" s="143" t="s">
        <v>172</v>
      </c>
    </row>
    <row r="80" spans="1:36">
      <c r="A80" s="94"/>
      <c r="C80" s="121"/>
      <c r="D80" s="121"/>
      <c r="E80" s="121"/>
      <c r="F80" s="121"/>
      <c r="G80" s="121"/>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94"/>
      <c r="AH80" s="94"/>
      <c r="AI80" s="143" t="s">
        <v>23</v>
      </c>
      <c r="AJ80" s="143" t="s">
        <v>174</v>
      </c>
    </row>
    <row r="81" spans="1:36">
      <c r="A81" s="94"/>
      <c r="C81" s="121"/>
      <c r="D81" s="121"/>
      <c r="E81" s="121"/>
      <c r="F81" s="121"/>
      <c r="G81" s="121"/>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94"/>
      <c r="AH81" s="94"/>
      <c r="AI81" s="143" t="s">
        <v>11</v>
      </c>
      <c r="AJ81" s="143" t="s">
        <v>228</v>
      </c>
    </row>
    <row r="82" spans="1:36" ht="18">
      <c r="A82" s="94"/>
      <c r="C82" s="121"/>
      <c r="D82" s="121"/>
      <c r="E82" s="121"/>
      <c r="F82" s="121"/>
      <c r="G82" s="121"/>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94"/>
      <c r="AH82" s="94"/>
      <c r="AI82" s="144"/>
      <c r="AJ82" s="143" t="s">
        <v>175</v>
      </c>
    </row>
    <row r="83" spans="1:36">
      <c r="A83" s="94"/>
      <c r="B83" s="121"/>
      <c r="C83" s="121"/>
      <c r="D83" s="121"/>
      <c r="E83" s="121"/>
      <c r="F83" s="121"/>
      <c r="G83" s="121"/>
      <c r="H83" s="122"/>
      <c r="I83" s="122"/>
      <c r="J83" s="122"/>
      <c r="K83" s="122"/>
      <c r="L83" s="122"/>
      <c r="M83" s="122"/>
      <c r="N83" s="122"/>
      <c r="O83" s="122"/>
      <c r="P83" s="122"/>
      <c r="Q83" s="122"/>
      <c r="R83" s="122"/>
      <c r="S83" s="122"/>
      <c r="T83" s="122"/>
      <c r="U83" s="122"/>
      <c r="V83" s="122"/>
      <c r="W83" s="122"/>
      <c r="X83" s="122"/>
      <c r="Y83" s="122"/>
      <c r="Z83" s="122"/>
      <c r="AA83" s="122"/>
      <c r="AB83" s="122"/>
      <c r="AC83" s="122"/>
      <c r="AD83" s="122"/>
      <c r="AE83" s="122"/>
      <c r="AF83" s="122"/>
      <c r="AG83" s="94"/>
      <c r="AH83" s="94"/>
      <c r="AJ83" s="143" t="s">
        <v>299</v>
      </c>
    </row>
    <row r="84" spans="1:36">
      <c r="A84" s="94"/>
      <c r="B84" s="94"/>
      <c r="C84" s="94"/>
      <c r="D84" s="94"/>
      <c r="E84" s="94"/>
      <c r="F84" s="94"/>
      <c r="G84" s="94"/>
      <c r="H84" s="94"/>
      <c r="I84" s="94"/>
      <c r="J84" s="94"/>
      <c r="K84" s="94"/>
      <c r="L84" s="94"/>
      <c r="M84" s="94"/>
      <c r="N84" s="94"/>
      <c r="O84" s="94"/>
      <c r="P84" s="94"/>
      <c r="Q84" s="94"/>
      <c r="R84" s="94"/>
      <c r="S84" s="94"/>
      <c r="T84" s="94"/>
      <c r="U84" s="94"/>
      <c r="V84" s="94"/>
      <c r="W84" s="94"/>
      <c r="X84" s="94"/>
      <c r="Y84" s="94"/>
      <c r="Z84" s="94"/>
      <c r="AA84" s="94"/>
      <c r="AB84" s="94"/>
      <c r="AC84" s="94"/>
      <c r="AD84" s="94"/>
      <c r="AE84" s="94"/>
      <c r="AF84" s="94"/>
      <c r="AG84" s="94"/>
      <c r="AH84" s="94"/>
      <c r="AJ84" s="143" t="s">
        <v>173</v>
      </c>
    </row>
    <row r="85" spans="1:36">
      <c r="AJ85" s="143" t="s">
        <v>232</v>
      </c>
    </row>
    <row r="86" spans="1:36">
      <c r="AJ86" s="143" t="s">
        <v>300</v>
      </c>
    </row>
    <row r="87" spans="1:36">
      <c r="AJ87" s="143" t="s">
        <v>301</v>
      </c>
    </row>
    <row r="88" spans="1:36">
      <c r="AJ88" s="143" t="s">
        <v>302</v>
      </c>
    </row>
    <row r="89" spans="1:36">
      <c r="AJ89" s="143" t="s">
        <v>303</v>
      </c>
    </row>
    <row r="90" spans="1:36">
      <c r="AJ90" s="143" t="s">
        <v>309</v>
      </c>
    </row>
    <row r="91" spans="1:36">
      <c r="AJ91" s="143" t="s">
        <v>176</v>
      </c>
    </row>
    <row r="92" spans="1:36">
      <c r="AJ92" s="143" t="s">
        <v>304</v>
      </c>
    </row>
    <row r="93" spans="1:36">
      <c r="AJ93" s="143" t="s">
        <v>305</v>
      </c>
    </row>
    <row r="94" spans="1:36">
      <c r="AJ94" s="143" t="s">
        <v>306</v>
      </c>
    </row>
    <row r="95" spans="1:36">
      <c r="AJ95" s="143" t="s">
        <v>307</v>
      </c>
    </row>
    <row r="96" spans="1:36">
      <c r="AJ96" s="143" t="s">
        <v>308</v>
      </c>
    </row>
    <row r="97" spans="36:36">
      <c r="AJ97" s="143" t="s">
        <v>177</v>
      </c>
    </row>
    <row r="98" spans="36:36">
      <c r="AJ98" s="143" t="s">
        <v>310</v>
      </c>
    </row>
    <row r="99" spans="36:36" ht="18">
      <c r="AJ99" s="144" t="s">
        <v>305</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105"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8" activePane="bottomLeft" state="frozenSplit"/>
      <selection pane="bottomLeft" activeCell="B13" sqref="B13:B15"/>
    </sheetView>
  </sheetViews>
  <sheetFormatPr defaultColWidth="9.33203125" defaultRowHeight="13.2"/>
  <cols>
    <col min="1" max="1" width="3.6640625" style="1" customWidth="1"/>
    <col min="2" max="2" width="19.44140625" style="1" customWidth="1"/>
    <col min="3" max="3" width="100.6640625" style="1" customWidth="1"/>
    <col min="4" max="16384" width="9.33203125" style="1"/>
  </cols>
  <sheetData>
    <row r="1" spans="1:8" ht="18.600000000000001">
      <c r="A1" s="309" t="s">
        <v>15</v>
      </c>
      <c r="B1" s="310"/>
      <c r="C1" s="310"/>
      <c r="D1" s="311"/>
    </row>
    <row r="3" spans="1:8">
      <c r="B3" s="312" t="s">
        <v>16</v>
      </c>
      <c r="C3" s="313"/>
      <c r="D3" s="314"/>
    </row>
    <row r="4" spans="1:8">
      <c r="B4" s="68" t="s">
        <v>97</v>
      </c>
      <c r="C4" s="41"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68" t="s">
        <v>84</v>
      </c>
      <c r="C9" s="41" t="s">
        <v>85</v>
      </c>
      <c r="D9" s="12"/>
    </row>
    <row r="10" spans="1:8">
      <c r="B10" s="68" t="s">
        <v>58</v>
      </c>
      <c r="C10" s="41" t="s">
        <v>59</v>
      </c>
      <c r="D10" s="12"/>
    </row>
    <row r="12" spans="1:8">
      <c r="B12" s="312" t="s">
        <v>185</v>
      </c>
      <c r="C12" s="313"/>
      <c r="D12" s="314"/>
    </row>
    <row r="13" spans="1:8" ht="24.75" customHeight="1">
      <c r="B13" s="123" t="s">
        <v>180</v>
      </c>
      <c r="C13" s="315" t="s">
        <v>182</v>
      </c>
      <c r="D13" s="316"/>
    </row>
    <row r="14" spans="1:8" ht="25.5" customHeight="1">
      <c r="B14" s="123" t="s">
        <v>107</v>
      </c>
      <c r="C14" s="315" t="s">
        <v>183</v>
      </c>
      <c r="D14" s="316"/>
      <c r="E14" s="79"/>
      <c r="F14" s="79"/>
      <c r="G14" s="79"/>
      <c r="H14" s="79"/>
    </row>
    <row r="15" spans="1:8" ht="49.5" customHeight="1">
      <c r="B15" s="123" t="s">
        <v>181</v>
      </c>
      <c r="C15" s="315" t="s">
        <v>184</v>
      </c>
      <c r="D15" s="316"/>
      <c r="F15" s="39" t="s">
        <v>136</v>
      </c>
    </row>
    <row r="17" spans="2:6">
      <c r="B17" s="312" t="s">
        <v>13</v>
      </c>
      <c r="C17" s="313"/>
      <c r="D17" s="314"/>
    </row>
    <row r="18" spans="2:6">
      <c r="B18" s="2"/>
      <c r="D18" s="3"/>
      <c r="F18" s="39" t="s">
        <v>133</v>
      </c>
    </row>
    <row r="19" spans="2:6" s="80" customFormat="1" ht="39.6">
      <c r="B19" s="307" t="s">
        <v>186</v>
      </c>
      <c r="C19" s="124" t="s">
        <v>108</v>
      </c>
      <c r="D19" s="81"/>
      <c r="F19" s="83" t="s">
        <v>134</v>
      </c>
    </row>
    <row r="20" spans="2:6">
      <c r="B20" s="307"/>
      <c r="C20" s="125"/>
      <c r="D20" s="3"/>
      <c r="F20" s="39" t="s">
        <v>135</v>
      </c>
    </row>
    <row r="21" spans="2:6" ht="26.4">
      <c r="B21" s="307"/>
      <c r="C21" s="126" t="s">
        <v>109</v>
      </c>
      <c r="D21" s="3"/>
    </row>
    <row r="22" spans="2:6" ht="26.4">
      <c r="B22" s="307"/>
      <c r="C22" s="126" t="s">
        <v>0</v>
      </c>
      <c r="D22" s="3"/>
    </row>
    <row r="23" spans="2:6">
      <c r="B23" s="307"/>
      <c r="C23" s="126" t="s">
        <v>1</v>
      </c>
      <c r="D23" s="3"/>
    </row>
    <row r="24" spans="2:6">
      <c r="B24" s="2"/>
      <c r="C24" s="24"/>
      <c r="D24" s="3"/>
    </row>
    <row r="25" spans="2:6">
      <c r="B25" s="308" t="s">
        <v>187</v>
      </c>
      <c r="C25" s="127" t="s">
        <v>57</v>
      </c>
      <c r="D25" s="3"/>
    </row>
    <row r="26" spans="2:6" ht="26.4">
      <c r="B26" s="308"/>
      <c r="C26" s="128" t="s">
        <v>2</v>
      </c>
      <c r="D26" s="3"/>
    </row>
    <row r="27" spans="2:6">
      <c r="B27" s="308"/>
      <c r="C27" s="127" t="s">
        <v>131</v>
      </c>
      <c r="D27" s="3"/>
    </row>
    <row r="28" spans="2:6">
      <c r="B28" s="2"/>
      <c r="C28" s="24"/>
      <c r="D28" s="3"/>
    </row>
    <row r="29" spans="2:6">
      <c r="B29" s="4"/>
      <c r="C29" s="5"/>
      <c r="D29" s="6"/>
    </row>
    <row r="32" spans="2:6">
      <c r="B32" s="13" t="s">
        <v>52</v>
      </c>
    </row>
    <row r="33" spans="2:4">
      <c r="B33" s="7"/>
      <c r="C33" s="8"/>
      <c r="D33" s="9"/>
    </row>
    <row r="34" spans="2:4" ht="17.399999999999999">
      <c r="B34" s="33" t="s">
        <v>55</v>
      </c>
      <c r="D34" s="3"/>
    </row>
    <row r="35" spans="2:4" ht="26.4">
      <c r="B35" s="2"/>
      <c r="C35" s="27" t="s">
        <v>53</v>
      </c>
      <c r="D35" s="3"/>
    </row>
    <row r="36" spans="2:4">
      <c r="B36" s="4"/>
      <c r="C36" s="63"/>
      <c r="D36" s="6"/>
    </row>
    <row r="37" spans="2:4">
      <c r="B37" s="2"/>
      <c r="C37" s="27"/>
      <c r="D37" s="3"/>
    </row>
    <row r="38" spans="2:4" ht="17.399999999999999">
      <c r="B38" s="33" t="s">
        <v>89</v>
      </c>
      <c r="C38" s="27"/>
      <c r="D38" s="3"/>
    </row>
    <row r="39" spans="2:4" ht="17.399999999999999">
      <c r="B39" s="33"/>
      <c r="C39" s="27"/>
      <c r="D39" s="3"/>
    </row>
    <row r="40" spans="2:4" ht="17.399999999999999">
      <c r="B40" s="33"/>
      <c r="C40" s="27"/>
      <c r="D40" s="3"/>
    </row>
    <row r="41" spans="2:4" ht="17.399999999999999">
      <c r="B41" s="33"/>
      <c r="C41" s="27"/>
      <c r="D41" s="3"/>
    </row>
    <row r="42" spans="2:4" ht="17.399999999999999">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799999999999997">
      <c r="B50" s="178" t="s">
        <v>393</v>
      </c>
      <c r="C50" s="179" t="s">
        <v>394</v>
      </c>
      <c r="D50" s="3"/>
    </row>
    <row r="51" spans="2:4">
      <c r="B51" s="4"/>
      <c r="C51" s="38"/>
      <c r="D51" s="6"/>
    </row>
    <row r="52" spans="2:4">
      <c r="B52" s="2"/>
      <c r="C52" s="27"/>
      <c r="D52" s="3"/>
    </row>
    <row r="53" spans="2:4" ht="17.399999999999999">
      <c r="B53" s="33" t="s">
        <v>83</v>
      </c>
      <c r="C53" s="27"/>
      <c r="D53" s="3"/>
    </row>
    <row r="54" spans="2:4">
      <c r="B54" s="2"/>
      <c r="C54" s="64" t="s">
        <v>60</v>
      </c>
      <c r="D54" s="3"/>
    </row>
    <row r="55" spans="2:4">
      <c r="B55" s="2"/>
      <c r="C55" s="65" t="s">
        <v>61</v>
      </c>
      <c r="D55" s="3"/>
    </row>
    <row r="56" spans="2:4">
      <c r="B56" s="2"/>
      <c r="C56" s="66" t="s">
        <v>62</v>
      </c>
      <c r="D56" s="3"/>
    </row>
    <row r="57" spans="2:4">
      <c r="B57" s="2"/>
      <c r="C57" s="67" t="s">
        <v>132</v>
      </c>
      <c r="D57" s="3"/>
    </row>
    <row r="58" spans="2:4">
      <c r="B58" s="4"/>
      <c r="C58" s="38"/>
      <c r="D58" s="6"/>
    </row>
    <row r="59" spans="2:4">
      <c r="B59" s="2"/>
      <c r="C59" s="24"/>
      <c r="D59" s="3"/>
    </row>
    <row r="60" spans="2:4" ht="17.399999999999999">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6.4">
      <c r="B111" s="13" t="s">
        <v>56</v>
      </c>
    </row>
    <row r="112" spans="2:4">
      <c r="B112" s="7"/>
      <c r="C112" s="8"/>
      <c r="D112" s="9"/>
    </row>
    <row r="113" spans="2:4">
      <c r="B113" s="2"/>
      <c r="D113" s="3"/>
    </row>
    <row r="114" spans="2:4">
      <c r="B114" s="2"/>
      <c r="D114" s="3"/>
    </row>
    <row r="115" spans="2:4">
      <c r="B115" s="2"/>
      <c r="C115" s="39" t="s">
        <v>86</v>
      </c>
      <c r="D115" s="3"/>
    </row>
    <row r="116" spans="2:4">
      <c r="B116" s="2"/>
      <c r="D116" s="3"/>
    </row>
    <row r="117" spans="2:4" ht="12.75" customHeight="1">
      <c r="B117" s="2"/>
      <c r="C117" s="39" t="s">
        <v>81</v>
      </c>
      <c r="D117" s="3"/>
    </row>
    <row r="118" spans="2:4" ht="12.75" customHeight="1">
      <c r="B118" s="2"/>
      <c r="D118" s="3"/>
    </row>
    <row r="119" spans="2:4" ht="12.75" customHeight="1">
      <c r="B119" s="2"/>
      <c r="D119" s="3"/>
    </row>
    <row r="120" spans="2:4">
      <c r="B120" s="4"/>
      <c r="C120" s="5"/>
      <c r="D120" s="6"/>
    </row>
    <row r="122" spans="2:4">
      <c r="B122" s="13" t="s">
        <v>110</v>
      </c>
    </row>
    <row r="123" spans="2:4" ht="39.6">
      <c r="B123" s="7"/>
      <c r="C123" s="82" t="s">
        <v>112</v>
      </c>
      <c r="D123" s="9"/>
    </row>
    <row r="124" spans="2:4">
      <c r="B124" s="129" t="s">
        <v>188</v>
      </c>
      <c r="C124" s="1" t="s">
        <v>111</v>
      </c>
      <c r="D124" s="3"/>
    </row>
    <row r="125" spans="2:4">
      <c r="B125" s="129" t="s">
        <v>188</v>
      </c>
      <c r="C125" s="27" t="s">
        <v>115</v>
      </c>
      <c r="D125" s="3"/>
    </row>
    <row r="126" spans="2:4">
      <c r="B126" s="129" t="s">
        <v>188</v>
      </c>
      <c r="C126" s="24" t="s">
        <v>116</v>
      </c>
      <c r="D126" s="3"/>
    </row>
    <row r="127" spans="2:4">
      <c r="B127" s="129" t="s">
        <v>188</v>
      </c>
      <c r="C127" s="24" t="s">
        <v>117</v>
      </c>
      <c r="D127" s="3"/>
    </row>
    <row r="128" spans="2:4">
      <c r="B128" s="129" t="s">
        <v>188</v>
      </c>
      <c r="C128" s="24" t="s">
        <v>118</v>
      </c>
      <c r="D128" s="3"/>
    </row>
    <row r="129" spans="2:4">
      <c r="B129" s="129" t="s">
        <v>188</v>
      </c>
      <c r="C129" s="24" t="s">
        <v>122</v>
      </c>
      <c r="D129" s="3"/>
    </row>
    <row r="130" spans="2:4">
      <c r="B130" s="129" t="s">
        <v>188</v>
      </c>
      <c r="C130" s="24" t="s">
        <v>123</v>
      </c>
      <c r="D130" s="3"/>
    </row>
    <row r="131" spans="2:4">
      <c r="B131" s="129" t="s">
        <v>188</v>
      </c>
      <c r="C131" s="27" t="s">
        <v>125</v>
      </c>
      <c r="D131" s="3"/>
    </row>
    <row r="132" spans="2:4">
      <c r="B132" s="129" t="s">
        <v>188</v>
      </c>
      <c r="C132" s="27" t="s">
        <v>126</v>
      </c>
      <c r="D132" s="3"/>
    </row>
    <row r="133" spans="2:4">
      <c r="B133" s="129" t="s">
        <v>188</v>
      </c>
      <c r="C133" s="1" t="s">
        <v>124</v>
      </c>
      <c r="D133" s="3"/>
    </row>
    <row r="134" spans="2:4">
      <c r="B134" s="129" t="s">
        <v>188</v>
      </c>
      <c r="C134" s="24" t="s">
        <v>119</v>
      </c>
      <c r="D134" s="3"/>
    </row>
    <row r="135" spans="2:4">
      <c r="B135" s="129" t="s">
        <v>188</v>
      </c>
      <c r="C135" s="24" t="s">
        <v>114</v>
      </c>
      <c r="D135" s="3"/>
    </row>
    <row r="136" spans="2:4">
      <c r="B136" s="129" t="s">
        <v>188</v>
      </c>
      <c r="C136" s="27" t="s">
        <v>120</v>
      </c>
      <c r="D136" s="3"/>
    </row>
    <row r="137" spans="2:4">
      <c r="B137" s="129" t="s">
        <v>188</v>
      </c>
      <c r="C137" s="27" t="s">
        <v>128</v>
      </c>
      <c r="D137" s="3"/>
    </row>
    <row r="138" spans="2:4">
      <c r="B138" s="129" t="s">
        <v>188</v>
      </c>
      <c r="C138" s="27" t="s">
        <v>113</v>
      </c>
      <c r="D138" s="3"/>
    </row>
    <row r="139" spans="2:4">
      <c r="B139" s="129" t="s">
        <v>188</v>
      </c>
      <c r="C139" s="27" t="s">
        <v>127</v>
      </c>
      <c r="D139" s="3"/>
    </row>
    <row r="140" spans="2:4">
      <c r="B140" s="130"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5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6545580</xdr:colOff>
                    <xdr:row>117</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31" activePane="bottomLeft" state="frozen"/>
      <selection pane="bottomLeft" activeCell="E40" sqref="E40:E44"/>
    </sheetView>
  </sheetViews>
  <sheetFormatPr defaultColWidth="9.33203125" defaultRowHeight="13.2" outlineLevelCol="1"/>
  <cols>
    <col min="1" max="1" width="9.33203125" style="14" collapsed="1"/>
    <col min="2" max="2" width="9.33203125" style="14" hidden="1" customWidth="1" outlineLevel="1"/>
    <col min="3" max="3" width="24" style="14" bestFit="1" customWidth="1"/>
    <col min="4" max="4" width="14.6640625" style="14" customWidth="1"/>
    <col min="5" max="5" width="10.33203125" style="14" customWidth="1"/>
    <col min="6" max="6" width="11.44140625" style="14" customWidth="1"/>
    <col min="7" max="7" width="9.33203125" style="14" customWidth="1"/>
    <col min="8" max="8" width="10.5546875" style="14" customWidth="1"/>
    <col min="9" max="9" width="12.6640625" style="14" customWidth="1"/>
    <col min="10" max="10" width="13.5546875" style="14" customWidth="1"/>
    <col min="11" max="11" width="9.33203125" style="14" customWidth="1"/>
    <col min="12" max="13" width="12.33203125" style="14" customWidth="1"/>
    <col min="14" max="14" width="10.5546875" style="14" customWidth="1"/>
    <col min="15" max="15" width="9.33203125" style="14" customWidth="1"/>
    <col min="16" max="16" width="10.33203125" style="14" customWidth="1"/>
    <col min="17" max="18" width="10" style="14" bestFit="1" customWidth="1"/>
    <col min="19" max="19" width="11.33203125" style="14" customWidth="1"/>
    <col min="20" max="16384" width="9.332031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69" customFormat="1" ht="79.2">
      <c r="B24" s="71" t="s">
        <v>90</v>
      </c>
      <c r="C24" s="29" t="s">
        <v>51</v>
      </c>
      <c r="D24" s="50" t="s">
        <v>69</v>
      </c>
      <c r="E24" s="71" t="s">
        <v>304</v>
      </c>
      <c r="F24" s="71" t="s">
        <v>305</v>
      </c>
      <c r="G24" s="71" t="s">
        <v>306</v>
      </c>
      <c r="H24" s="71" t="s">
        <v>307</v>
      </c>
      <c r="I24" s="71" t="s">
        <v>299</v>
      </c>
      <c r="J24" s="71" t="s">
        <v>173</v>
      </c>
      <c r="K24" s="71" t="s">
        <v>232</v>
      </c>
      <c r="L24" s="71" t="s">
        <v>300</v>
      </c>
      <c r="M24" s="71" t="s">
        <v>301</v>
      </c>
      <c r="N24" s="71" t="s">
        <v>302</v>
      </c>
      <c r="O24" s="71" t="s">
        <v>303</v>
      </c>
      <c r="P24" s="71" t="s">
        <v>309</v>
      </c>
      <c r="Q24" s="71" t="s">
        <v>176</v>
      </c>
      <c r="R24" s="71" t="s">
        <v>304</v>
      </c>
      <c r="S24" s="71" t="s">
        <v>305</v>
      </c>
      <c r="T24" s="71" t="s">
        <v>306</v>
      </c>
      <c r="U24" s="71" t="s">
        <v>307</v>
      </c>
      <c r="V24" s="71" t="s">
        <v>308</v>
      </c>
      <c r="W24" s="71" t="s">
        <v>177</v>
      </c>
      <c r="X24" s="71" t="s">
        <v>310</v>
      </c>
      <c r="Y24" s="71" t="s">
        <v>173</v>
      </c>
      <c r="Z24" s="71" t="s">
        <v>232</v>
      </c>
    </row>
    <row r="25" spans="2:52" ht="14.4">
      <c r="B25" s="73"/>
      <c r="C25" s="36" t="s">
        <v>77</v>
      </c>
      <c r="D25" s="70">
        <f>SUM(E25:AA25)</f>
        <v>1</v>
      </c>
      <c r="E25" s="73">
        <v>0</v>
      </c>
      <c r="F25" s="73">
        <v>0</v>
      </c>
      <c r="G25" s="73">
        <v>0</v>
      </c>
      <c r="H25" s="73">
        <v>0</v>
      </c>
      <c r="I25" s="73">
        <v>0</v>
      </c>
      <c r="J25" s="73">
        <v>0</v>
      </c>
      <c r="K25" s="73">
        <v>0</v>
      </c>
      <c r="L25" s="73">
        <v>0</v>
      </c>
      <c r="M25" s="73">
        <v>0</v>
      </c>
      <c r="N25" s="73">
        <v>0</v>
      </c>
      <c r="O25" s="73">
        <v>0</v>
      </c>
      <c r="P25" s="73">
        <v>0</v>
      </c>
      <c r="Q25" s="73">
        <v>0</v>
      </c>
      <c r="R25" s="73">
        <v>0</v>
      </c>
      <c r="S25" s="73">
        <v>0</v>
      </c>
      <c r="T25" s="73">
        <v>0</v>
      </c>
      <c r="U25" s="73">
        <v>0</v>
      </c>
      <c r="V25" s="73">
        <v>0</v>
      </c>
      <c r="W25" s="73">
        <v>0</v>
      </c>
      <c r="X25" s="73">
        <v>0</v>
      </c>
      <c r="Y25" s="73">
        <v>0</v>
      </c>
      <c r="Z25" s="73">
        <v>1</v>
      </c>
    </row>
    <row r="26" spans="2:52" ht="14.4">
      <c r="B26" s="74"/>
      <c r="C26" s="37" t="s">
        <v>78</v>
      </c>
      <c r="D26" s="70">
        <f>SUM(E26:AA26)</f>
        <v>0</v>
      </c>
      <c r="E26" s="74">
        <v>0</v>
      </c>
      <c r="F26" s="74">
        <v>0</v>
      </c>
      <c r="G26" s="74">
        <v>0</v>
      </c>
      <c r="H26" s="74">
        <v>0</v>
      </c>
      <c r="I26" s="74">
        <v>0</v>
      </c>
      <c r="J26" s="74">
        <v>0</v>
      </c>
      <c r="K26" s="74">
        <v>0</v>
      </c>
      <c r="L26" s="74">
        <v>0</v>
      </c>
      <c r="M26" s="74">
        <v>0</v>
      </c>
      <c r="N26" s="74">
        <v>0</v>
      </c>
      <c r="O26" s="74">
        <v>0</v>
      </c>
      <c r="P26" s="74">
        <v>0</v>
      </c>
      <c r="Q26" s="74">
        <v>0</v>
      </c>
      <c r="R26" s="74">
        <v>0</v>
      </c>
      <c r="S26" s="74">
        <v>0</v>
      </c>
      <c r="T26" s="74">
        <v>0</v>
      </c>
      <c r="U26" s="74">
        <v>0</v>
      </c>
      <c r="V26" s="74">
        <v>0</v>
      </c>
      <c r="W26" s="74">
        <v>0</v>
      </c>
      <c r="X26" s="74">
        <v>0</v>
      </c>
      <c r="Y26" s="74">
        <v>0</v>
      </c>
      <c r="Z26" s="74">
        <v>0</v>
      </c>
    </row>
    <row r="27" spans="2:52" ht="14.4">
      <c r="B27" s="72">
        <f>B25+B26</f>
        <v>0</v>
      </c>
      <c r="C27" s="40" t="s">
        <v>22</v>
      </c>
      <c r="D27" s="72">
        <f t="shared" ref="D27" si="0">D25+D26</f>
        <v>1</v>
      </c>
      <c r="E27" s="72">
        <f>E25+E26</f>
        <v>0</v>
      </c>
      <c r="F27" s="72">
        <f>F25+F26</f>
        <v>0</v>
      </c>
      <c r="G27" s="72">
        <f>G25+G26</f>
        <v>0</v>
      </c>
      <c r="H27" s="72">
        <f>H25+H26</f>
        <v>0</v>
      </c>
      <c r="I27" s="72">
        <f t="shared" ref="I27:X27" si="1">I25+I26</f>
        <v>0</v>
      </c>
      <c r="J27" s="72">
        <f t="shared" si="1"/>
        <v>0</v>
      </c>
      <c r="K27" s="72">
        <f t="shared" si="1"/>
        <v>0</v>
      </c>
      <c r="L27" s="72">
        <f t="shared" si="1"/>
        <v>0</v>
      </c>
      <c r="M27" s="72">
        <f t="shared" si="1"/>
        <v>0</v>
      </c>
      <c r="N27" s="72">
        <f t="shared" si="1"/>
        <v>0</v>
      </c>
      <c r="O27" s="72">
        <f t="shared" si="1"/>
        <v>0</v>
      </c>
      <c r="P27" s="72">
        <f t="shared" si="1"/>
        <v>0</v>
      </c>
      <c r="Q27" s="72">
        <f t="shared" si="1"/>
        <v>0</v>
      </c>
      <c r="R27" s="72">
        <f t="shared" si="1"/>
        <v>0</v>
      </c>
      <c r="S27" s="72">
        <f t="shared" si="1"/>
        <v>0</v>
      </c>
      <c r="T27" s="72">
        <f t="shared" si="1"/>
        <v>0</v>
      </c>
      <c r="U27" s="72">
        <f t="shared" si="1"/>
        <v>0</v>
      </c>
      <c r="V27" s="72">
        <f t="shared" si="1"/>
        <v>0</v>
      </c>
      <c r="W27" s="72">
        <f t="shared" si="1"/>
        <v>0</v>
      </c>
      <c r="X27" s="72">
        <f t="shared" si="1"/>
        <v>0</v>
      </c>
      <c r="Y27" s="72">
        <f t="shared" ref="Y27:Z27" si="2">Y25+Y26</f>
        <v>0</v>
      </c>
      <c r="Z27" s="72">
        <f t="shared" si="2"/>
        <v>1</v>
      </c>
    </row>
    <row r="28" spans="2:52">
      <c r="H28" s="34"/>
    </row>
    <row r="29" spans="2:52">
      <c r="H29" s="34"/>
    </row>
    <row r="30" spans="2:52">
      <c r="H30" s="34"/>
    </row>
    <row r="31" spans="2:52" s="69" customFormat="1" ht="60" customHeight="1">
      <c r="B31" s="71" t="s">
        <v>91</v>
      </c>
      <c r="C31" s="29" t="s">
        <v>47</v>
      </c>
      <c r="D31" s="50" t="s">
        <v>69</v>
      </c>
      <c r="E31" s="71"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4">
      <c r="B32" s="73"/>
      <c r="C32" s="37" t="s">
        <v>19</v>
      </c>
      <c r="D32" s="76">
        <f>SUM(E32:AA32)</f>
        <v>0</v>
      </c>
      <c r="E32" s="73">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4">
      <c r="B33" s="74"/>
      <c r="C33" s="37" t="s">
        <v>44</v>
      </c>
      <c r="D33" s="76">
        <f>SUM(E33:AA33)</f>
        <v>0</v>
      </c>
      <c r="E33" s="74">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4">
      <c r="B34" s="74"/>
      <c r="C34" s="37" t="s">
        <v>20</v>
      </c>
      <c r="D34" s="76">
        <f>SUM(E34:AA34)</f>
        <v>0</v>
      </c>
      <c r="E34" s="74">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4">
      <c r="B35" s="74"/>
      <c r="C35" s="37" t="s">
        <v>21</v>
      </c>
      <c r="D35" s="76">
        <f>SUM(E35:AA35)</f>
        <v>0</v>
      </c>
      <c r="E35" s="74">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4">
      <c r="B36" s="74"/>
      <c r="C36" s="37" t="s">
        <v>79</v>
      </c>
      <c r="D36" s="76">
        <f>SUM(E36:AA36)</f>
        <v>0</v>
      </c>
      <c r="E36" s="74">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4">
      <c r="B37" s="75">
        <f>SUM(B32:B36)</f>
        <v>0</v>
      </c>
      <c r="C37" s="40" t="s">
        <v>22</v>
      </c>
      <c r="D37" s="75">
        <f>SUM(D32:D36)</f>
        <v>0</v>
      </c>
      <c r="E37" s="75">
        <f>SUM(E32:E36)</f>
        <v>0</v>
      </c>
    </row>
    <row r="38" spans="2:52">
      <c r="H38" s="34"/>
    </row>
    <row r="39" spans="2:52">
      <c r="H39" s="34"/>
    </row>
    <row r="40" spans="2:52" s="69" customFormat="1" ht="66">
      <c r="B40" s="71" t="s">
        <v>91</v>
      </c>
      <c r="C40" s="29" t="s">
        <v>68</v>
      </c>
      <c r="D40" s="50" t="s">
        <v>69</v>
      </c>
      <c r="E40" s="71"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4">
      <c r="B41" s="74"/>
      <c r="C41" s="37" t="s">
        <v>76</v>
      </c>
      <c r="D41" s="76">
        <f>SUM(E41:AA41)</f>
        <v>0</v>
      </c>
      <c r="E41" s="74">
        <v>0</v>
      </c>
    </row>
    <row r="42" spans="2:52" ht="14.4">
      <c r="B42" s="74"/>
      <c r="C42" s="37" t="s">
        <v>75</v>
      </c>
      <c r="D42" s="76">
        <f>SUM(E42:AA42)</f>
        <v>0</v>
      </c>
      <c r="E42" s="74">
        <v>0</v>
      </c>
    </row>
    <row r="43" spans="2:52" s="15" customFormat="1" ht="14.4">
      <c r="B43" s="74"/>
      <c r="C43" s="37" t="s">
        <v>102</v>
      </c>
      <c r="D43" s="76">
        <f>SUM(E43:AA43)</f>
        <v>0</v>
      </c>
      <c r="E43" s="74">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4">
      <c r="B44" s="75">
        <f>SUM(B41:B43)</f>
        <v>0</v>
      </c>
      <c r="C44" s="40" t="s">
        <v>22</v>
      </c>
      <c r="D44" s="75">
        <f>SUM(D41:D43)</f>
        <v>0</v>
      </c>
      <c r="E44" s="75">
        <f>SUM(E41:E43)</f>
        <v>0</v>
      </c>
    </row>
    <row r="47" spans="2:52" ht="26.4">
      <c r="C47" s="77" t="s">
        <v>60</v>
      </c>
      <c r="D47" s="26" t="s">
        <v>93</v>
      </c>
      <c r="E47" s="26" t="s">
        <v>92</v>
      </c>
    </row>
    <row r="48" spans="2:52">
      <c r="C48" s="78" t="s">
        <v>94</v>
      </c>
      <c r="D48" s="78" t="s">
        <v>95</v>
      </c>
      <c r="E48" s="78" t="s">
        <v>96</v>
      </c>
    </row>
  </sheetData>
  <phoneticPr fontId="5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92"/>
  <sheetViews>
    <sheetView showGridLines="0" topLeftCell="A66" zoomScaleNormal="100" workbookViewId="0">
      <selection activeCell="D94" sqref="D94"/>
    </sheetView>
  </sheetViews>
  <sheetFormatPr defaultColWidth="8.6640625" defaultRowHeight="14.4" outlineLevelCol="1"/>
  <cols>
    <col min="1" max="2" width="31.5546875" style="131" customWidth="1"/>
    <col min="3" max="3" width="43.33203125" style="131" customWidth="1"/>
    <col min="4" max="4" width="13.44140625" style="131" customWidth="1"/>
    <col min="5" max="5" width="18.33203125" style="131" customWidth="1"/>
    <col min="6" max="14" width="15.33203125" style="131" customWidth="1" outlineLevel="1"/>
    <col min="15" max="15" width="16.6640625" style="131" customWidth="1" outlineLevel="1"/>
    <col min="16" max="16384" width="8.6640625" style="131"/>
  </cols>
  <sheetData>
    <row r="1" spans="1:15" ht="21" customHeight="1">
      <c r="A1" s="317" t="s">
        <v>195</v>
      </c>
      <c r="B1" s="318"/>
      <c r="C1" s="318"/>
      <c r="D1" s="318"/>
      <c r="E1" s="319"/>
      <c r="F1" s="320" t="s">
        <v>210</v>
      </c>
      <c r="G1" s="321"/>
      <c r="H1" s="321"/>
      <c r="I1" s="321"/>
      <c r="J1" s="321"/>
      <c r="K1" s="321"/>
      <c r="L1" s="321"/>
      <c r="M1" s="321"/>
      <c r="N1" s="321"/>
      <c r="O1" s="321"/>
    </row>
    <row r="2" spans="1:15" ht="18">
      <c r="A2" s="140" t="s">
        <v>198</v>
      </c>
      <c r="B2" s="140" t="s">
        <v>194</v>
      </c>
      <c r="C2" s="140" t="s">
        <v>196</v>
      </c>
      <c r="D2" s="140" t="s">
        <v>197</v>
      </c>
      <c r="E2" s="140" t="s">
        <v>199</v>
      </c>
      <c r="F2" s="141" t="s">
        <v>200</v>
      </c>
      <c r="G2" s="141" t="s">
        <v>201</v>
      </c>
      <c r="H2" s="141" t="s">
        <v>202</v>
      </c>
      <c r="I2" s="141" t="s">
        <v>203</v>
      </c>
      <c r="J2" s="141" t="s">
        <v>204</v>
      </c>
      <c r="K2" s="141" t="s">
        <v>205</v>
      </c>
      <c r="L2" s="141" t="s">
        <v>206</v>
      </c>
      <c r="M2" s="141" t="s">
        <v>207</v>
      </c>
      <c r="N2" s="141" t="s">
        <v>208</v>
      </c>
      <c r="O2" s="141" t="s">
        <v>209</v>
      </c>
    </row>
    <row r="3" spans="1:15">
      <c r="A3" s="184" t="s">
        <v>408</v>
      </c>
      <c r="B3" s="131" t="s">
        <v>180</v>
      </c>
      <c r="C3" s="184" t="s">
        <v>409</v>
      </c>
      <c r="D3" s="184" t="s">
        <v>409</v>
      </c>
      <c r="E3" s="183">
        <v>120</v>
      </c>
      <c r="F3" s="184" t="s">
        <v>410</v>
      </c>
      <c r="G3" s="182"/>
    </row>
    <row r="4" spans="1:15">
      <c r="A4" s="188" t="s">
        <v>415</v>
      </c>
      <c r="C4" s="187" t="s">
        <v>416</v>
      </c>
      <c r="D4" s="187" t="s">
        <v>416</v>
      </c>
      <c r="E4" s="183">
        <v>90</v>
      </c>
      <c r="F4" s="187" t="s">
        <v>417</v>
      </c>
    </row>
    <row r="5" spans="1:15">
      <c r="A5" s="189" t="s">
        <v>420</v>
      </c>
      <c r="B5" s="131" t="s">
        <v>180</v>
      </c>
      <c r="C5" s="189" t="s">
        <v>421</v>
      </c>
      <c r="D5" s="189" t="s">
        <v>421</v>
      </c>
      <c r="E5" s="190">
        <v>40</v>
      </c>
      <c r="F5" s="189" t="s">
        <v>422</v>
      </c>
    </row>
    <row r="6" spans="1:15">
      <c r="A6" s="191" t="s">
        <v>435</v>
      </c>
      <c r="C6" s="191" t="s">
        <v>436</v>
      </c>
      <c r="D6" s="191" t="s">
        <v>436</v>
      </c>
      <c r="E6" s="131">
        <v>180</v>
      </c>
      <c r="F6" s="191" t="s">
        <v>437</v>
      </c>
    </row>
    <row r="7" spans="1:15">
      <c r="A7" s="213" t="s">
        <v>420</v>
      </c>
      <c r="B7" s="131" t="s">
        <v>180</v>
      </c>
      <c r="C7" s="192" t="s">
        <v>464</v>
      </c>
      <c r="D7" s="192" t="s">
        <v>464</v>
      </c>
      <c r="E7" s="190">
        <v>180</v>
      </c>
      <c r="F7" s="191" t="s">
        <v>437</v>
      </c>
    </row>
    <row r="8" spans="1:15">
      <c r="A8" s="189" t="s">
        <v>420</v>
      </c>
      <c r="B8" s="131" t="s">
        <v>180</v>
      </c>
      <c r="C8" s="193" t="s">
        <v>477</v>
      </c>
      <c r="D8" s="193" t="s">
        <v>477</v>
      </c>
      <c r="E8" s="190">
        <v>60</v>
      </c>
      <c r="F8" s="191" t="s">
        <v>437</v>
      </c>
    </row>
    <row r="9" spans="1:15">
      <c r="A9" s="195" t="s">
        <v>483</v>
      </c>
      <c r="B9" s="195" t="s">
        <v>180</v>
      </c>
      <c r="C9" s="195" t="s">
        <v>484</v>
      </c>
      <c r="D9" s="195" t="s">
        <v>484</v>
      </c>
      <c r="E9" s="131">
        <v>30</v>
      </c>
      <c r="F9" s="195" t="s">
        <v>400</v>
      </c>
    </row>
    <row r="10" spans="1:15">
      <c r="A10" s="196" t="s">
        <v>486</v>
      </c>
      <c r="B10" s="196" t="s">
        <v>180</v>
      </c>
      <c r="C10" s="196" t="s">
        <v>489</v>
      </c>
      <c r="D10" s="196" t="s">
        <v>489</v>
      </c>
      <c r="E10" s="131">
        <v>30</v>
      </c>
      <c r="F10" s="196" t="s">
        <v>410</v>
      </c>
    </row>
    <row r="11" spans="1:15">
      <c r="A11" s="197" t="s">
        <v>418</v>
      </c>
      <c r="B11" s="197" t="s">
        <v>180</v>
      </c>
      <c r="C11" s="197" t="s">
        <v>489</v>
      </c>
      <c r="D11" s="197" t="s">
        <v>489</v>
      </c>
      <c r="E11" s="131">
        <v>30</v>
      </c>
      <c r="F11" s="197" t="s">
        <v>410</v>
      </c>
    </row>
    <row r="12" spans="1:15">
      <c r="A12" s="199" t="s">
        <v>495</v>
      </c>
      <c r="B12" s="195" t="s">
        <v>180</v>
      </c>
      <c r="C12" s="198" t="s">
        <v>492</v>
      </c>
      <c r="D12" s="198" t="s">
        <v>492</v>
      </c>
      <c r="E12" s="131">
        <v>30</v>
      </c>
      <c r="F12" s="191" t="s">
        <v>437</v>
      </c>
    </row>
    <row r="13" spans="1:15">
      <c r="A13" s="200" t="s">
        <v>496</v>
      </c>
      <c r="B13" s="200" t="s">
        <v>180</v>
      </c>
      <c r="C13" s="200" t="s">
        <v>498</v>
      </c>
      <c r="D13" s="200" t="s">
        <v>498</v>
      </c>
      <c r="E13" s="131">
        <v>30</v>
      </c>
      <c r="F13" s="200" t="s">
        <v>410</v>
      </c>
    </row>
    <row r="14" spans="1:15">
      <c r="A14" s="200" t="s">
        <v>500</v>
      </c>
      <c r="B14" s="200" t="s">
        <v>180</v>
      </c>
      <c r="C14" s="200" t="s">
        <v>498</v>
      </c>
      <c r="D14" s="200" t="s">
        <v>498</v>
      </c>
      <c r="E14" s="131">
        <v>30</v>
      </c>
      <c r="F14" s="200" t="s">
        <v>410</v>
      </c>
    </row>
    <row r="15" spans="1:15">
      <c r="A15" s="131" t="s">
        <v>499</v>
      </c>
      <c r="B15" s="200" t="s">
        <v>180</v>
      </c>
      <c r="C15" s="200" t="s">
        <v>498</v>
      </c>
      <c r="D15" s="200" t="s">
        <v>498</v>
      </c>
      <c r="E15" s="131">
        <v>30</v>
      </c>
      <c r="F15" s="200" t="s">
        <v>410</v>
      </c>
    </row>
    <row r="16" spans="1:15">
      <c r="A16" s="200" t="s">
        <v>501</v>
      </c>
      <c r="B16" s="200" t="s">
        <v>180</v>
      </c>
      <c r="C16" s="200" t="s">
        <v>498</v>
      </c>
      <c r="D16" s="200" t="s">
        <v>498</v>
      </c>
      <c r="E16" s="131">
        <v>30</v>
      </c>
      <c r="F16" s="200" t="s">
        <v>410</v>
      </c>
    </row>
    <row r="17" spans="1:6">
      <c r="A17" s="200" t="s">
        <v>502</v>
      </c>
      <c r="B17" s="200" t="s">
        <v>180</v>
      </c>
      <c r="C17" s="200" t="s">
        <v>498</v>
      </c>
      <c r="D17" s="200" t="s">
        <v>498</v>
      </c>
      <c r="E17" s="131">
        <v>30</v>
      </c>
      <c r="F17" s="200" t="s">
        <v>410</v>
      </c>
    </row>
    <row r="18" spans="1:6">
      <c r="A18" s="201" t="s">
        <v>509</v>
      </c>
      <c r="B18" s="131" t="s">
        <v>180</v>
      </c>
      <c r="C18" s="201" t="s">
        <v>508</v>
      </c>
      <c r="D18" s="201" t="s">
        <v>508</v>
      </c>
      <c r="E18" s="190">
        <v>120</v>
      </c>
      <c r="F18" s="191" t="s">
        <v>437</v>
      </c>
    </row>
    <row r="19" spans="1:6">
      <c r="A19" s="201" t="s">
        <v>509</v>
      </c>
      <c r="B19" s="131" t="s">
        <v>180</v>
      </c>
      <c r="C19" s="202" t="s">
        <v>518</v>
      </c>
      <c r="D19" s="202" t="s">
        <v>518</v>
      </c>
      <c r="E19" s="190">
        <v>30</v>
      </c>
      <c r="F19" s="191" t="s">
        <v>437</v>
      </c>
    </row>
    <row r="20" spans="1:6">
      <c r="A20" s="191" t="s">
        <v>435</v>
      </c>
      <c r="B20" s="131" t="s">
        <v>180</v>
      </c>
      <c r="C20" s="202" t="s">
        <v>518</v>
      </c>
      <c r="D20" s="202" t="s">
        <v>518</v>
      </c>
      <c r="E20" s="131">
        <v>120</v>
      </c>
      <c r="F20" s="191" t="s">
        <v>437</v>
      </c>
    </row>
    <row r="21" spans="1:6">
      <c r="A21" s="205" t="s">
        <v>418</v>
      </c>
      <c r="B21" s="205" t="s">
        <v>531</v>
      </c>
      <c r="C21" s="205" t="s">
        <v>532</v>
      </c>
      <c r="D21" s="205" t="s">
        <v>532</v>
      </c>
      <c r="E21" s="131">
        <v>30</v>
      </c>
      <c r="F21" s="205" t="s">
        <v>529</v>
      </c>
    </row>
    <row r="22" spans="1:6">
      <c r="A22" s="212" t="s">
        <v>435</v>
      </c>
      <c r="B22" s="131" t="s">
        <v>180</v>
      </c>
      <c r="C22" s="206" t="s">
        <v>535</v>
      </c>
      <c r="D22" s="206" t="s">
        <v>535</v>
      </c>
      <c r="E22" s="131">
        <v>30</v>
      </c>
      <c r="F22" s="191" t="s">
        <v>437</v>
      </c>
    </row>
    <row r="23" spans="1:6">
      <c r="A23" t="s">
        <v>496</v>
      </c>
      <c r="B23" s="131" t="s">
        <v>180</v>
      </c>
      <c r="C23" s="207" t="s">
        <v>593</v>
      </c>
      <c r="D23" s="207" t="s">
        <v>593</v>
      </c>
      <c r="E23" s="131">
        <v>15</v>
      </c>
      <c r="F23" s="207" t="s">
        <v>410</v>
      </c>
    </row>
    <row r="24" spans="1:6">
      <c r="A24" t="s">
        <v>500</v>
      </c>
      <c r="B24" s="131" t="s">
        <v>180</v>
      </c>
      <c r="C24" s="207" t="s">
        <v>593</v>
      </c>
      <c r="D24" s="207" t="s">
        <v>593</v>
      </c>
      <c r="E24" s="131">
        <v>15</v>
      </c>
      <c r="F24" s="207" t="s">
        <v>410</v>
      </c>
    </row>
    <row r="25" spans="1:6">
      <c r="A25" t="s">
        <v>499</v>
      </c>
      <c r="B25" s="131" t="s">
        <v>180</v>
      </c>
      <c r="C25" s="207" t="s">
        <v>593</v>
      </c>
      <c r="D25" s="207" t="s">
        <v>593</v>
      </c>
      <c r="E25" s="131">
        <v>15</v>
      </c>
      <c r="F25" s="207" t="s">
        <v>410</v>
      </c>
    </row>
    <row r="26" spans="1:6">
      <c r="A26" t="s">
        <v>501</v>
      </c>
      <c r="B26" s="131" t="s">
        <v>180</v>
      </c>
      <c r="C26" s="207" t="s">
        <v>593</v>
      </c>
      <c r="D26" s="207" t="s">
        <v>593</v>
      </c>
      <c r="E26" s="131">
        <v>15</v>
      </c>
      <c r="F26" s="207" t="s">
        <v>410</v>
      </c>
    </row>
    <row r="27" spans="1:6">
      <c r="A27" t="s">
        <v>502</v>
      </c>
      <c r="B27" s="131" t="s">
        <v>180</v>
      </c>
      <c r="C27" s="207" t="s">
        <v>593</v>
      </c>
      <c r="D27" s="207" t="s">
        <v>593</v>
      </c>
      <c r="E27" s="131">
        <v>15</v>
      </c>
      <c r="F27" s="207" t="s">
        <v>410</v>
      </c>
    </row>
    <row r="28" spans="1:6">
      <c r="A28" t="s">
        <v>537</v>
      </c>
      <c r="B28" s="131" t="s">
        <v>180</v>
      </c>
      <c r="C28" s="207" t="s">
        <v>593</v>
      </c>
      <c r="D28" s="207" t="s">
        <v>593</v>
      </c>
      <c r="E28" s="131">
        <v>15</v>
      </c>
      <c r="F28" s="207" t="s">
        <v>410</v>
      </c>
    </row>
    <row r="29" spans="1:6">
      <c r="A29" t="s">
        <v>538</v>
      </c>
      <c r="B29" s="131" t="s">
        <v>180</v>
      </c>
      <c r="C29" s="207" t="s">
        <v>593</v>
      </c>
      <c r="D29" s="207" t="s">
        <v>593</v>
      </c>
      <c r="E29" s="131">
        <v>15</v>
      </c>
      <c r="F29" s="207" t="s">
        <v>410</v>
      </c>
    </row>
    <row r="30" spans="1:6">
      <c r="A30" t="s">
        <v>539</v>
      </c>
      <c r="B30" s="131" t="s">
        <v>180</v>
      </c>
      <c r="C30" s="207" t="s">
        <v>593</v>
      </c>
      <c r="D30" s="207" t="s">
        <v>593</v>
      </c>
      <c r="E30" s="131">
        <v>15</v>
      </c>
      <c r="F30" s="207" t="s">
        <v>410</v>
      </c>
    </row>
    <row r="31" spans="1:6">
      <c r="A31" t="s">
        <v>540</v>
      </c>
      <c r="B31" s="131" t="s">
        <v>180</v>
      </c>
      <c r="C31" s="207" t="s">
        <v>593</v>
      </c>
      <c r="D31" s="207" t="s">
        <v>593</v>
      </c>
      <c r="E31" s="131">
        <v>15</v>
      </c>
      <c r="F31" s="207" t="s">
        <v>410</v>
      </c>
    </row>
    <row r="32" spans="1:6">
      <c r="A32" t="s">
        <v>541</v>
      </c>
      <c r="B32" s="131" t="s">
        <v>180</v>
      </c>
      <c r="C32" s="207" t="s">
        <v>593</v>
      </c>
      <c r="D32" s="207" t="s">
        <v>593</v>
      </c>
      <c r="E32" s="131">
        <v>15</v>
      </c>
      <c r="F32" s="207" t="s">
        <v>410</v>
      </c>
    </row>
    <row r="33" spans="1:6">
      <c r="A33" t="s">
        <v>542</v>
      </c>
      <c r="B33" s="131" t="s">
        <v>180</v>
      </c>
      <c r="C33" s="207" t="s">
        <v>593</v>
      </c>
      <c r="D33" s="207" t="s">
        <v>593</v>
      </c>
      <c r="E33" s="131">
        <v>15</v>
      </c>
      <c r="F33" s="207" t="s">
        <v>410</v>
      </c>
    </row>
    <row r="34" spans="1:6">
      <c r="A34" t="s">
        <v>543</v>
      </c>
      <c r="B34" s="131" t="s">
        <v>180</v>
      </c>
      <c r="C34" s="207" t="s">
        <v>593</v>
      </c>
      <c r="D34" s="207" t="s">
        <v>593</v>
      </c>
      <c r="E34" s="131">
        <v>15</v>
      </c>
      <c r="F34" s="207" t="s">
        <v>410</v>
      </c>
    </row>
    <row r="35" spans="1:6">
      <c r="A35" t="s">
        <v>544</v>
      </c>
      <c r="B35" s="131" t="s">
        <v>180</v>
      </c>
      <c r="C35" s="207" t="s">
        <v>593</v>
      </c>
      <c r="D35" s="207" t="s">
        <v>593</v>
      </c>
      <c r="E35" s="131">
        <v>15</v>
      </c>
      <c r="F35" s="207" t="s">
        <v>410</v>
      </c>
    </row>
    <row r="36" spans="1:6">
      <c r="A36" t="s">
        <v>545</v>
      </c>
      <c r="B36" s="131" t="s">
        <v>180</v>
      </c>
      <c r="C36" s="207" t="s">
        <v>593</v>
      </c>
      <c r="D36" s="207" t="s">
        <v>593</v>
      </c>
      <c r="E36" s="131">
        <v>15</v>
      </c>
      <c r="F36" s="207" t="s">
        <v>410</v>
      </c>
    </row>
    <row r="37" spans="1:6">
      <c r="A37" t="s">
        <v>546</v>
      </c>
      <c r="B37" s="131" t="s">
        <v>180</v>
      </c>
      <c r="C37" s="207" t="s">
        <v>593</v>
      </c>
      <c r="D37" s="207" t="s">
        <v>593</v>
      </c>
      <c r="E37" s="131">
        <v>15</v>
      </c>
      <c r="F37" s="207" t="s">
        <v>410</v>
      </c>
    </row>
    <row r="38" spans="1:6">
      <c r="A38" t="s">
        <v>547</v>
      </c>
      <c r="B38" s="131" t="s">
        <v>180</v>
      </c>
      <c r="C38" s="207" t="s">
        <v>593</v>
      </c>
      <c r="D38" s="207" t="s">
        <v>593</v>
      </c>
      <c r="E38" s="131">
        <v>15</v>
      </c>
      <c r="F38" s="207" t="s">
        <v>410</v>
      </c>
    </row>
    <row r="39" spans="1:6">
      <c r="A39" t="s">
        <v>548</v>
      </c>
      <c r="B39" s="131" t="s">
        <v>180</v>
      </c>
      <c r="C39" s="207" t="s">
        <v>593</v>
      </c>
      <c r="D39" s="207" t="s">
        <v>593</v>
      </c>
      <c r="E39" s="131">
        <v>15</v>
      </c>
      <c r="F39" s="207" t="s">
        <v>410</v>
      </c>
    </row>
    <row r="40" spans="1:6">
      <c r="A40" t="s">
        <v>549</v>
      </c>
      <c r="B40" s="131" t="s">
        <v>180</v>
      </c>
      <c r="C40" s="207" t="s">
        <v>593</v>
      </c>
      <c r="D40" s="207" t="s">
        <v>593</v>
      </c>
      <c r="E40" s="131">
        <v>15</v>
      </c>
      <c r="F40" s="207" t="s">
        <v>410</v>
      </c>
    </row>
    <row r="41" spans="1:6">
      <c r="A41" t="s">
        <v>550</v>
      </c>
      <c r="B41" s="131" t="s">
        <v>180</v>
      </c>
      <c r="C41" s="207" t="s">
        <v>593</v>
      </c>
      <c r="D41" s="207" t="s">
        <v>593</v>
      </c>
      <c r="E41" s="131">
        <v>15</v>
      </c>
      <c r="F41" s="207" t="s">
        <v>410</v>
      </c>
    </row>
    <row r="42" spans="1:6">
      <c r="A42" t="s">
        <v>551</v>
      </c>
      <c r="B42" s="131" t="s">
        <v>180</v>
      </c>
      <c r="C42" s="207" t="s">
        <v>593</v>
      </c>
      <c r="D42" s="207" t="s">
        <v>593</v>
      </c>
      <c r="E42" s="131">
        <v>15</v>
      </c>
      <c r="F42" s="207" t="s">
        <v>410</v>
      </c>
    </row>
    <row r="43" spans="1:6">
      <c r="A43" t="s">
        <v>552</v>
      </c>
      <c r="B43" s="131" t="s">
        <v>180</v>
      </c>
      <c r="C43" s="207" t="s">
        <v>593</v>
      </c>
      <c r="D43" s="207" t="s">
        <v>593</v>
      </c>
      <c r="E43" s="131">
        <v>15</v>
      </c>
      <c r="F43" s="207" t="s">
        <v>410</v>
      </c>
    </row>
    <row r="44" spans="1:6">
      <c r="A44" t="s">
        <v>553</v>
      </c>
      <c r="B44" s="131" t="s">
        <v>180</v>
      </c>
      <c r="C44" s="207" t="s">
        <v>593</v>
      </c>
      <c r="D44" s="207" t="s">
        <v>593</v>
      </c>
      <c r="E44" s="131">
        <v>15</v>
      </c>
      <c r="F44" s="207" t="s">
        <v>410</v>
      </c>
    </row>
    <row r="45" spans="1:6">
      <c r="A45" t="s">
        <v>554</v>
      </c>
      <c r="B45" s="131" t="s">
        <v>180</v>
      </c>
      <c r="C45" s="207" t="s">
        <v>593</v>
      </c>
      <c r="D45" s="207" t="s">
        <v>593</v>
      </c>
      <c r="E45" s="131">
        <v>15</v>
      </c>
      <c r="F45" s="207" t="s">
        <v>410</v>
      </c>
    </row>
    <row r="46" spans="1:6">
      <c r="A46" t="s">
        <v>555</v>
      </c>
      <c r="B46" s="131" t="s">
        <v>180</v>
      </c>
      <c r="C46" s="207" t="s">
        <v>593</v>
      </c>
      <c r="D46" s="207" t="s">
        <v>593</v>
      </c>
      <c r="E46" s="131">
        <v>15</v>
      </c>
      <c r="F46" s="207" t="s">
        <v>410</v>
      </c>
    </row>
    <row r="47" spans="1:6">
      <c r="A47" t="s">
        <v>556</v>
      </c>
      <c r="B47" s="131" t="s">
        <v>180</v>
      </c>
      <c r="C47" s="207" t="s">
        <v>593</v>
      </c>
      <c r="D47" s="207" t="s">
        <v>593</v>
      </c>
      <c r="E47" s="131">
        <v>15</v>
      </c>
      <c r="F47" s="207" t="s">
        <v>410</v>
      </c>
    </row>
    <row r="48" spans="1:6">
      <c r="A48" t="s">
        <v>557</v>
      </c>
      <c r="B48" s="131" t="s">
        <v>180</v>
      </c>
      <c r="C48" s="207" t="s">
        <v>593</v>
      </c>
      <c r="D48" s="207" t="s">
        <v>593</v>
      </c>
      <c r="E48" s="131">
        <v>15</v>
      </c>
      <c r="F48" s="207" t="s">
        <v>410</v>
      </c>
    </row>
    <row r="49" spans="1:6">
      <c r="A49" t="s">
        <v>558</v>
      </c>
      <c r="B49" s="131" t="s">
        <v>180</v>
      </c>
      <c r="C49" s="207" t="s">
        <v>593</v>
      </c>
      <c r="D49" s="207" t="s">
        <v>593</v>
      </c>
      <c r="E49" s="131">
        <v>15</v>
      </c>
      <c r="F49" s="207" t="s">
        <v>410</v>
      </c>
    </row>
    <row r="50" spans="1:6">
      <c r="A50" t="s">
        <v>559</v>
      </c>
      <c r="B50" s="131" t="s">
        <v>180</v>
      </c>
      <c r="C50" s="207" t="s">
        <v>593</v>
      </c>
      <c r="D50" s="207" t="s">
        <v>593</v>
      </c>
      <c r="E50" s="131">
        <v>15</v>
      </c>
      <c r="F50" s="207" t="s">
        <v>410</v>
      </c>
    </row>
    <row r="51" spans="1:6">
      <c r="A51" t="s">
        <v>560</v>
      </c>
      <c r="B51" s="131" t="s">
        <v>180</v>
      </c>
      <c r="C51" s="207" t="s">
        <v>593</v>
      </c>
      <c r="D51" s="207" t="s">
        <v>593</v>
      </c>
      <c r="E51" s="131">
        <v>15</v>
      </c>
      <c r="F51" s="207" t="s">
        <v>410</v>
      </c>
    </row>
    <row r="52" spans="1:6">
      <c r="A52" t="s">
        <v>561</v>
      </c>
      <c r="B52" s="131" t="s">
        <v>180</v>
      </c>
      <c r="C52" s="207" t="s">
        <v>593</v>
      </c>
      <c r="D52" s="207" t="s">
        <v>593</v>
      </c>
      <c r="E52" s="131">
        <v>15</v>
      </c>
      <c r="F52" s="207" t="s">
        <v>410</v>
      </c>
    </row>
    <row r="53" spans="1:6">
      <c r="A53" t="s">
        <v>562</v>
      </c>
      <c r="B53" s="131" t="s">
        <v>180</v>
      </c>
      <c r="C53" s="207" t="s">
        <v>593</v>
      </c>
      <c r="D53" s="207" t="s">
        <v>593</v>
      </c>
      <c r="E53" s="131">
        <v>15</v>
      </c>
      <c r="F53" s="207" t="s">
        <v>410</v>
      </c>
    </row>
    <row r="54" spans="1:6">
      <c r="A54" t="s">
        <v>563</v>
      </c>
      <c r="B54" s="131" t="s">
        <v>180</v>
      </c>
      <c r="C54" s="207" t="s">
        <v>593</v>
      </c>
      <c r="D54" s="207" t="s">
        <v>593</v>
      </c>
      <c r="E54" s="131">
        <v>15</v>
      </c>
      <c r="F54" s="207" t="s">
        <v>410</v>
      </c>
    </row>
    <row r="55" spans="1:6">
      <c r="A55" t="s">
        <v>564</v>
      </c>
      <c r="B55" s="131" t="s">
        <v>180</v>
      </c>
      <c r="C55" s="207" t="s">
        <v>593</v>
      </c>
      <c r="D55" s="207" t="s">
        <v>593</v>
      </c>
      <c r="E55" s="131">
        <v>15</v>
      </c>
      <c r="F55" s="207" t="s">
        <v>410</v>
      </c>
    </row>
    <row r="56" spans="1:6">
      <c r="A56" t="s">
        <v>565</v>
      </c>
      <c r="B56" s="131" t="s">
        <v>180</v>
      </c>
      <c r="C56" s="207" t="s">
        <v>593</v>
      </c>
      <c r="D56" s="207" t="s">
        <v>593</v>
      </c>
      <c r="E56" s="131">
        <v>15</v>
      </c>
      <c r="F56" s="207" t="s">
        <v>410</v>
      </c>
    </row>
    <row r="57" spans="1:6">
      <c r="A57" t="s">
        <v>566</v>
      </c>
      <c r="B57" s="131" t="s">
        <v>180</v>
      </c>
      <c r="C57" s="207" t="s">
        <v>593</v>
      </c>
      <c r="D57" s="207" t="s">
        <v>593</v>
      </c>
      <c r="E57" s="131">
        <v>15</v>
      </c>
      <c r="F57" s="207" t="s">
        <v>410</v>
      </c>
    </row>
    <row r="58" spans="1:6">
      <c r="A58" t="s">
        <v>567</v>
      </c>
      <c r="B58" s="131" t="s">
        <v>180</v>
      </c>
      <c r="C58" s="207" t="s">
        <v>593</v>
      </c>
      <c r="D58" s="207" t="s">
        <v>593</v>
      </c>
      <c r="E58" s="131">
        <v>15</v>
      </c>
      <c r="F58" s="207" t="s">
        <v>410</v>
      </c>
    </row>
    <row r="59" spans="1:6">
      <c r="A59" t="s">
        <v>568</v>
      </c>
      <c r="B59" s="131" t="s">
        <v>180</v>
      </c>
      <c r="C59" s="207" t="s">
        <v>593</v>
      </c>
      <c r="D59" s="207" t="s">
        <v>593</v>
      </c>
      <c r="E59" s="131">
        <v>15</v>
      </c>
      <c r="F59" s="207" t="s">
        <v>410</v>
      </c>
    </row>
    <row r="60" spans="1:6">
      <c r="A60" t="s">
        <v>569</v>
      </c>
      <c r="B60" s="131" t="s">
        <v>180</v>
      </c>
      <c r="C60" s="207" t="s">
        <v>593</v>
      </c>
      <c r="D60" s="207" t="s">
        <v>593</v>
      </c>
      <c r="E60" s="131">
        <v>15</v>
      </c>
      <c r="F60" s="207" t="s">
        <v>410</v>
      </c>
    </row>
    <row r="61" spans="1:6">
      <c r="A61" t="s">
        <v>570</v>
      </c>
      <c r="B61" s="131" t="s">
        <v>180</v>
      </c>
      <c r="C61" s="207" t="s">
        <v>593</v>
      </c>
      <c r="D61" s="207" t="s">
        <v>593</v>
      </c>
      <c r="E61" s="131">
        <v>15</v>
      </c>
      <c r="F61" s="207" t="s">
        <v>410</v>
      </c>
    </row>
    <row r="62" spans="1:6">
      <c r="A62" t="s">
        <v>571</v>
      </c>
      <c r="B62" s="131" t="s">
        <v>180</v>
      </c>
      <c r="C62" s="207" t="s">
        <v>593</v>
      </c>
      <c r="D62" s="207" t="s">
        <v>593</v>
      </c>
      <c r="E62" s="131">
        <v>15</v>
      </c>
      <c r="F62" s="207" t="s">
        <v>410</v>
      </c>
    </row>
    <row r="63" spans="1:6">
      <c r="A63" t="s">
        <v>572</v>
      </c>
      <c r="B63" s="131" t="s">
        <v>180</v>
      </c>
      <c r="C63" s="207" t="s">
        <v>593</v>
      </c>
      <c r="D63" s="207" t="s">
        <v>593</v>
      </c>
      <c r="E63" s="131">
        <v>15</v>
      </c>
      <c r="F63" s="207" t="s">
        <v>410</v>
      </c>
    </row>
    <row r="64" spans="1:6">
      <c r="A64" t="s">
        <v>573</v>
      </c>
      <c r="B64" s="131" t="s">
        <v>180</v>
      </c>
      <c r="C64" s="207" t="s">
        <v>593</v>
      </c>
      <c r="D64" s="207" t="s">
        <v>593</v>
      </c>
      <c r="E64" s="131">
        <v>15</v>
      </c>
      <c r="F64" s="207" t="s">
        <v>410</v>
      </c>
    </row>
    <row r="65" spans="1:6">
      <c r="A65" t="s">
        <v>574</v>
      </c>
      <c r="B65" s="131" t="s">
        <v>180</v>
      </c>
      <c r="C65" s="207" t="s">
        <v>593</v>
      </c>
      <c r="D65" s="207" t="s">
        <v>593</v>
      </c>
      <c r="E65" s="131">
        <v>15</v>
      </c>
      <c r="F65" s="207" t="s">
        <v>410</v>
      </c>
    </row>
    <row r="66" spans="1:6">
      <c r="A66" t="s">
        <v>575</v>
      </c>
      <c r="B66" s="131" t="s">
        <v>180</v>
      </c>
      <c r="C66" s="207" t="s">
        <v>593</v>
      </c>
      <c r="D66" s="207" t="s">
        <v>593</v>
      </c>
      <c r="E66" s="131">
        <v>15</v>
      </c>
      <c r="F66" s="207" t="s">
        <v>410</v>
      </c>
    </row>
    <row r="67" spans="1:6">
      <c r="A67" t="s">
        <v>576</v>
      </c>
      <c r="B67" s="131" t="s">
        <v>180</v>
      </c>
      <c r="C67" s="207" t="s">
        <v>593</v>
      </c>
      <c r="D67" s="207" t="s">
        <v>593</v>
      </c>
      <c r="E67" s="131">
        <v>15</v>
      </c>
      <c r="F67" s="207" t="s">
        <v>410</v>
      </c>
    </row>
    <row r="68" spans="1:6">
      <c r="A68" t="s">
        <v>577</v>
      </c>
      <c r="B68" s="131" t="s">
        <v>180</v>
      </c>
      <c r="C68" s="207" t="s">
        <v>593</v>
      </c>
      <c r="D68" s="207" t="s">
        <v>593</v>
      </c>
      <c r="E68" s="131">
        <v>15</v>
      </c>
      <c r="F68" s="207" t="s">
        <v>410</v>
      </c>
    </row>
    <row r="69" spans="1:6">
      <c r="A69" t="s">
        <v>578</v>
      </c>
      <c r="B69" s="131" t="s">
        <v>180</v>
      </c>
      <c r="C69" s="207" t="s">
        <v>593</v>
      </c>
      <c r="D69" s="207" t="s">
        <v>593</v>
      </c>
      <c r="E69" s="131">
        <v>15</v>
      </c>
      <c r="F69" s="207" t="s">
        <v>410</v>
      </c>
    </row>
    <row r="70" spans="1:6">
      <c r="A70" t="s">
        <v>579</v>
      </c>
      <c r="B70" s="131" t="s">
        <v>180</v>
      </c>
      <c r="C70" s="207" t="s">
        <v>593</v>
      </c>
      <c r="D70" s="207" t="s">
        <v>593</v>
      </c>
      <c r="E70" s="131">
        <v>15</v>
      </c>
      <c r="F70" s="207" t="s">
        <v>410</v>
      </c>
    </row>
    <row r="71" spans="1:6">
      <c r="A71" t="s">
        <v>580</v>
      </c>
      <c r="B71" s="131" t="s">
        <v>180</v>
      </c>
      <c r="C71" s="207" t="s">
        <v>593</v>
      </c>
      <c r="D71" s="207" t="s">
        <v>593</v>
      </c>
      <c r="E71" s="131">
        <v>15</v>
      </c>
      <c r="F71" s="207" t="s">
        <v>410</v>
      </c>
    </row>
    <row r="72" spans="1:6">
      <c r="A72" t="s">
        <v>581</v>
      </c>
      <c r="B72" s="131" t="s">
        <v>180</v>
      </c>
      <c r="C72" s="207" t="s">
        <v>593</v>
      </c>
      <c r="D72" s="207" t="s">
        <v>593</v>
      </c>
      <c r="E72" s="131">
        <v>15</v>
      </c>
      <c r="F72" s="207" t="s">
        <v>410</v>
      </c>
    </row>
    <row r="73" spans="1:6">
      <c r="A73" t="s">
        <v>582</v>
      </c>
      <c r="B73" s="131" t="s">
        <v>180</v>
      </c>
      <c r="C73" s="207" t="s">
        <v>593</v>
      </c>
      <c r="D73" s="207" t="s">
        <v>593</v>
      </c>
      <c r="E73" s="131">
        <v>15</v>
      </c>
      <c r="F73" s="207" t="s">
        <v>410</v>
      </c>
    </row>
    <row r="74" spans="1:6">
      <c r="A74" t="s">
        <v>583</v>
      </c>
      <c r="B74" s="131" t="s">
        <v>180</v>
      </c>
      <c r="C74" s="207" t="s">
        <v>593</v>
      </c>
      <c r="D74" s="207" t="s">
        <v>593</v>
      </c>
      <c r="E74" s="131">
        <v>15</v>
      </c>
      <c r="F74" s="207" t="s">
        <v>410</v>
      </c>
    </row>
    <row r="75" spans="1:6">
      <c r="A75" t="s">
        <v>584</v>
      </c>
      <c r="B75" s="131" t="s">
        <v>180</v>
      </c>
      <c r="C75" s="207" t="s">
        <v>593</v>
      </c>
      <c r="D75" s="207" t="s">
        <v>593</v>
      </c>
      <c r="E75" s="131">
        <v>15</v>
      </c>
      <c r="F75" s="207" t="s">
        <v>410</v>
      </c>
    </row>
    <row r="76" spans="1:6">
      <c r="A76" t="s">
        <v>585</v>
      </c>
      <c r="B76" s="131" t="s">
        <v>180</v>
      </c>
      <c r="C76" s="207" t="s">
        <v>593</v>
      </c>
      <c r="D76" s="207" t="s">
        <v>593</v>
      </c>
      <c r="E76" s="131">
        <v>15</v>
      </c>
      <c r="F76" s="207" t="s">
        <v>410</v>
      </c>
    </row>
    <row r="77" spans="1:6">
      <c r="A77" t="s">
        <v>586</v>
      </c>
      <c r="B77" s="131" t="s">
        <v>180</v>
      </c>
      <c r="C77" s="207" t="s">
        <v>593</v>
      </c>
      <c r="D77" s="207" t="s">
        <v>593</v>
      </c>
      <c r="E77" s="131">
        <v>15</v>
      </c>
      <c r="F77" s="207" t="s">
        <v>410</v>
      </c>
    </row>
    <row r="78" spans="1:6">
      <c r="A78" t="s">
        <v>587</v>
      </c>
      <c r="B78" s="131" t="s">
        <v>180</v>
      </c>
      <c r="C78" s="207" t="s">
        <v>593</v>
      </c>
      <c r="D78" s="207" t="s">
        <v>593</v>
      </c>
      <c r="E78" s="131">
        <v>15</v>
      </c>
      <c r="F78" s="207" t="s">
        <v>410</v>
      </c>
    </row>
    <row r="79" spans="1:6">
      <c r="A79" t="s">
        <v>588</v>
      </c>
      <c r="B79" s="131" t="s">
        <v>180</v>
      </c>
      <c r="C79" s="207" t="s">
        <v>593</v>
      </c>
      <c r="D79" s="207" t="s">
        <v>593</v>
      </c>
      <c r="E79" s="131">
        <v>15</v>
      </c>
      <c r="F79" s="207" t="s">
        <v>410</v>
      </c>
    </row>
    <row r="80" spans="1:6">
      <c r="A80" t="s">
        <v>589</v>
      </c>
      <c r="B80" s="131" t="s">
        <v>180</v>
      </c>
      <c r="C80" s="207" t="s">
        <v>593</v>
      </c>
      <c r="D80" s="207" t="s">
        <v>593</v>
      </c>
      <c r="E80" s="131">
        <v>15</v>
      </c>
      <c r="F80" s="207" t="s">
        <v>410</v>
      </c>
    </row>
    <row r="81" spans="1:6">
      <c r="A81" t="s">
        <v>590</v>
      </c>
      <c r="B81" s="131" t="s">
        <v>180</v>
      </c>
      <c r="C81" s="207" t="s">
        <v>593</v>
      </c>
      <c r="D81" s="207" t="s">
        <v>593</v>
      </c>
      <c r="E81" s="131">
        <v>15</v>
      </c>
      <c r="F81" s="207" t="s">
        <v>410</v>
      </c>
    </row>
    <row r="82" spans="1:6">
      <c r="A82" t="s">
        <v>591</v>
      </c>
      <c r="B82" s="131" t="s">
        <v>180</v>
      </c>
      <c r="C82" s="207" t="s">
        <v>593</v>
      </c>
      <c r="D82" s="207" t="s">
        <v>593</v>
      </c>
      <c r="E82" s="131">
        <v>15</v>
      </c>
      <c r="F82" s="207" t="s">
        <v>410</v>
      </c>
    </row>
    <row r="83" spans="1:6">
      <c r="A83" s="210" t="s">
        <v>599</v>
      </c>
      <c r="B83" s="210" t="s">
        <v>180</v>
      </c>
      <c r="C83" s="210" t="s">
        <v>600</v>
      </c>
      <c r="D83" s="210" t="s">
        <v>600</v>
      </c>
      <c r="E83" s="131">
        <v>15</v>
      </c>
      <c r="F83" s="210" t="s">
        <v>410</v>
      </c>
    </row>
    <row r="84" spans="1:6">
      <c r="A84" s="211" t="s">
        <v>603</v>
      </c>
      <c r="B84" s="210" t="s">
        <v>180</v>
      </c>
      <c r="C84" s="211" t="s">
        <v>604</v>
      </c>
      <c r="D84" s="211" t="s">
        <v>604</v>
      </c>
      <c r="E84" s="131">
        <v>15</v>
      </c>
      <c r="F84" s="211" t="s">
        <v>602</v>
      </c>
    </row>
    <row r="85" spans="1:6">
      <c r="A85" s="212" t="s">
        <v>435</v>
      </c>
      <c r="B85" s="210" t="s">
        <v>180</v>
      </c>
      <c r="C85" s="212" t="s">
        <v>608</v>
      </c>
      <c r="D85" s="212" t="s">
        <v>608</v>
      </c>
      <c r="E85" s="131">
        <v>30</v>
      </c>
      <c r="F85" s="212" t="s">
        <v>517</v>
      </c>
    </row>
    <row r="86" spans="1:6">
      <c r="A86" s="213" t="s">
        <v>420</v>
      </c>
      <c r="B86" s="210" t="s">
        <v>180</v>
      </c>
      <c r="C86" s="213" t="s">
        <v>612</v>
      </c>
      <c r="D86" s="213" t="s">
        <v>612</v>
      </c>
      <c r="E86" s="131">
        <v>30</v>
      </c>
      <c r="F86" s="217" t="s">
        <v>517</v>
      </c>
    </row>
    <row r="87" spans="1:6">
      <c r="A87" s="214" t="s">
        <v>616</v>
      </c>
      <c r="B87" s="214" t="s">
        <v>180</v>
      </c>
      <c r="C87" s="214" t="s">
        <v>617</v>
      </c>
      <c r="D87" s="214" t="s">
        <v>617</v>
      </c>
      <c r="E87" s="131">
        <v>30</v>
      </c>
      <c r="F87" s="214" t="s">
        <v>487</v>
      </c>
    </row>
    <row r="88" spans="1:6">
      <c r="A88" s="214" t="s">
        <v>621</v>
      </c>
      <c r="B88" s="214" t="s">
        <v>180</v>
      </c>
      <c r="C88" s="215" t="s">
        <v>622</v>
      </c>
      <c r="D88" s="215" t="s">
        <v>622</v>
      </c>
      <c r="E88" s="131">
        <v>30</v>
      </c>
      <c r="F88" s="215" t="s">
        <v>410</v>
      </c>
    </row>
    <row r="89" spans="1:6">
      <c r="A89" s="214" t="s">
        <v>648</v>
      </c>
      <c r="B89" s="214" t="s">
        <v>180</v>
      </c>
      <c r="C89" s="216" t="s">
        <v>649</v>
      </c>
      <c r="D89" s="216" t="s">
        <v>649</v>
      </c>
      <c r="E89" s="131">
        <v>30</v>
      </c>
      <c r="F89" s="216" t="s">
        <v>410</v>
      </c>
    </row>
    <row r="90" spans="1:6">
      <c r="A90" s="217" t="s">
        <v>435</v>
      </c>
      <c r="B90" s="214" t="s">
        <v>180</v>
      </c>
      <c r="C90" s="217" t="s">
        <v>655</v>
      </c>
      <c r="D90" s="217" t="s">
        <v>655</v>
      </c>
      <c r="E90" s="131">
        <v>30</v>
      </c>
      <c r="F90" s="217" t="s">
        <v>517</v>
      </c>
    </row>
    <row r="91" spans="1:6">
      <c r="A91" s="213" t="s">
        <v>420</v>
      </c>
      <c r="B91" s="210" t="s">
        <v>180</v>
      </c>
      <c r="C91" s="219" t="s">
        <v>661</v>
      </c>
      <c r="D91" s="219" t="s">
        <v>661</v>
      </c>
      <c r="E91" s="131">
        <v>30</v>
      </c>
      <c r="F91" s="217" t="s">
        <v>517</v>
      </c>
    </row>
    <row r="92" spans="1:6">
      <c r="A92" s="220" t="s">
        <v>667</v>
      </c>
      <c r="B92" s="214" t="s">
        <v>180</v>
      </c>
      <c r="C92" s="220" t="s">
        <v>668</v>
      </c>
      <c r="D92" s="220" t="s">
        <v>668</v>
      </c>
      <c r="E92" s="131">
        <v>30</v>
      </c>
      <c r="F92" s="220" t="s">
        <v>487</v>
      </c>
    </row>
  </sheetData>
  <mergeCells count="2">
    <mergeCell ref="A1:E1"/>
    <mergeCell ref="F1:O1"/>
  </mergeCells>
  <phoneticPr fontId="129" type="noConversion"/>
  <conditionalFormatting sqref="A23:A82">
    <cfRule type="expression" dxfId="58" priority="1" stopIfTrue="1">
      <formula>AND($M23="Approved",OR($L23=$R$1,$L23=$T$1))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B3:B4 B6 B10:B11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91"/>
  <sheetViews>
    <sheetView zoomScale="115" zoomScaleNormal="115" workbookViewId="0">
      <pane xSplit="1" ySplit="4" topLeftCell="B137" activePane="bottomRight" state="frozenSplit"/>
      <selection activeCell="K17" sqref="K17"/>
      <selection pane="topRight" activeCell="K17" sqref="K17"/>
      <selection pane="bottomLeft" activeCell="K17" sqref="K17"/>
      <selection pane="bottomRight" activeCell="C146" sqref="C146"/>
    </sheetView>
  </sheetViews>
  <sheetFormatPr defaultRowHeight="13.2" outlineLevelRow="1" outlineLevelCol="1"/>
  <cols>
    <col min="1" max="1" width="5.33203125" style="46" customWidth="1"/>
    <col min="2" max="2" width="15.33203125" style="43" customWidth="1"/>
    <col min="3" max="3" width="20.33203125" style="43" customWidth="1"/>
    <col min="4" max="4" width="59" style="44" bestFit="1" customWidth="1"/>
    <col min="5" max="5" width="11" style="45" customWidth="1" outlineLevel="1"/>
    <col min="6" max="6" width="14.5546875" style="43" customWidth="1" outlineLevel="1"/>
    <col min="7" max="7" width="33.6640625" style="44" customWidth="1"/>
    <col min="8" max="9" width="11.33203125" style="43" customWidth="1" outlineLevel="1"/>
    <col min="10" max="10" width="18.33203125" style="43" customWidth="1" outlineLevel="1"/>
    <col min="11" max="11" width="12.5546875" style="45" customWidth="1"/>
    <col min="12" max="12" width="13.6640625" style="46" customWidth="1"/>
    <col min="13" max="13" width="13.33203125" style="46" customWidth="1"/>
    <col min="14" max="14" width="12" style="35" bestFit="1" customWidth="1"/>
    <col min="15" max="15" width="20.6640625" style="35" bestFit="1" customWidth="1"/>
    <col min="16" max="16" width="13.33203125" style="35" bestFit="1" customWidth="1"/>
    <col min="17" max="22" width="11.44140625" style="57" customWidth="1"/>
    <col min="23" max="23" width="11.6640625" style="57" bestFit="1" customWidth="1"/>
    <col min="24" max="24" width="15.5546875" bestFit="1" customWidth="1"/>
    <col min="25" max="25" width="15" bestFit="1" customWidth="1"/>
    <col min="26" max="26" width="9.6640625" bestFit="1" customWidth="1"/>
  </cols>
  <sheetData>
    <row r="1" spans="1:46" s="22" customFormat="1" ht="52.8" hidden="1">
      <c r="A1" s="59"/>
      <c r="B1" s="42"/>
      <c r="C1" s="42"/>
      <c r="D1" s="42" t="s">
        <v>50</v>
      </c>
      <c r="E1" s="59"/>
      <c r="F1" s="59"/>
      <c r="G1" s="42"/>
      <c r="H1" s="42" t="s">
        <v>50</v>
      </c>
      <c r="I1" s="42"/>
      <c r="J1" s="42"/>
      <c r="K1" s="42"/>
      <c r="L1" s="26" t="s">
        <v>65</v>
      </c>
      <c r="M1" s="26" t="s">
        <v>80</v>
      </c>
      <c r="N1" s="26" t="s">
        <v>66</v>
      </c>
      <c r="O1" s="26" t="s">
        <v>67</v>
      </c>
      <c r="P1" s="51"/>
      <c r="Q1" s="26" t="s">
        <v>44</v>
      </c>
      <c r="R1" s="26" t="s">
        <v>20</v>
      </c>
      <c r="S1" s="26" t="s">
        <v>21</v>
      </c>
      <c r="T1" s="26" t="s">
        <v>27</v>
      </c>
      <c r="U1" s="26" t="s">
        <v>19</v>
      </c>
      <c r="V1" s="52"/>
      <c r="W1" s="53"/>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59"/>
      <c r="B2" s="42"/>
      <c r="C2" s="28"/>
      <c r="D2" s="42" t="s">
        <v>45</v>
      </c>
      <c r="E2" s="59"/>
      <c r="F2" s="59"/>
      <c r="G2" s="28"/>
      <c r="H2" s="42" t="s">
        <v>45</v>
      </c>
      <c r="I2" s="42"/>
      <c r="J2" s="28"/>
      <c r="K2" s="28"/>
      <c r="L2" s="49">
        <f>COUNTA(D5:D486)+COUNTIF(L5:L486,"=Open")+COUNTIF(L5:L486,"=To be fixed")-COUNTA(L5:L486)</f>
        <v>0</v>
      </c>
      <c r="M2" s="49">
        <f>COUNTIF(M5:M486,"=Rejected")</f>
        <v>0</v>
      </c>
      <c r="N2" s="49">
        <f>COUNTA(D5:D486)-COUNTIF(M5:M486,"=Approved")</f>
        <v>0</v>
      </c>
      <c r="O2" s="49">
        <f>COUNTIFS(L5:L486,"=Postponed",M5:M486,"=Approved")</f>
        <v>7</v>
      </c>
      <c r="P2" s="54"/>
      <c r="Q2" s="49">
        <f>COUNTIF($L5:$L486,"=" &amp; Q1)</f>
        <v>0</v>
      </c>
      <c r="R2" s="49">
        <f>COUNTIF($L5:$L486,"=" &amp; R1)</f>
        <v>41</v>
      </c>
      <c r="S2" s="49">
        <f>COUNTIF($L5:$L486,"=" &amp; S1)</f>
        <v>7</v>
      </c>
      <c r="T2" s="49">
        <f>COUNTIF($L5:$L486,"=" &amp; T1)</f>
        <v>94</v>
      </c>
      <c r="U2" s="49">
        <f>COUNTIF($L5:$L486,"=" &amp; U1)+COUNTIFS($L5:$L486,"",$D5:$D486,"&lt;&gt;")</f>
        <v>0</v>
      </c>
      <c r="V2" s="54"/>
      <c r="W2" s="55"/>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30"/>
      <c r="AC2" s="30"/>
      <c r="AD2" s="30"/>
      <c r="AE2" s="30"/>
      <c r="AF2" s="30"/>
      <c r="AH2" s="49">
        <f>COUNTIF($M5:$M486,"=" &amp; AH1)</f>
        <v>142</v>
      </c>
      <c r="AI2" s="49">
        <f>COUNTIF($M5:$M486,"=" &amp; AI1)</f>
        <v>0</v>
      </c>
      <c r="AJ2" s="49">
        <f>COUNTIF($M5:$M486,"=" &amp; AJ1)</f>
        <v>0</v>
      </c>
      <c r="AM2" s="30"/>
      <c r="AN2" s="30"/>
      <c r="AO2" s="30"/>
      <c r="AP2" s="32"/>
      <c r="AQ2" s="32"/>
      <c r="AR2" s="30"/>
      <c r="AS2" s="32"/>
      <c r="AT2" s="32"/>
    </row>
    <row r="3" spans="1:46" s="48" customFormat="1" ht="25.5" customHeight="1" outlineLevel="1">
      <c r="A3" s="323" t="str">
        <f>IF(Issue_to_treat=1,NbOfNotTreatedIssues+NbOfRejectedIssues&amp;" issue(s) to treat",IF(Issues_to_approve=1,NbOfNotApprovedIssues&amp;" issue(s) to approve",IF(Issues_postponed=1,NbOfNotApprovedAndPostponedIssues&amp;" issue(s) postponed","Status OK")))</f>
        <v>7 issue(s) postponed</v>
      </c>
      <c r="B3" s="323"/>
      <c r="C3" s="324"/>
      <c r="D3" s="58" t="s">
        <v>64</v>
      </c>
      <c r="E3" s="322" t="s">
        <v>82</v>
      </c>
      <c r="F3" s="322"/>
      <c r="G3" s="322"/>
      <c r="H3" s="47"/>
      <c r="I3" s="47"/>
      <c r="J3" s="47"/>
      <c r="K3" s="47"/>
      <c r="L3" s="47"/>
      <c r="M3" s="47"/>
      <c r="N3" s="53"/>
      <c r="O3" s="53"/>
      <c r="P3" s="53"/>
      <c r="Q3" s="56"/>
      <c r="R3" s="56"/>
      <c r="S3" s="56"/>
      <c r="T3" s="56"/>
      <c r="U3" s="56"/>
      <c r="V3" s="56"/>
      <c r="W3" s="56"/>
      <c r="X3" s="23"/>
      <c r="Y3" s="23"/>
      <c r="Z3" s="23"/>
      <c r="AA3" s="23"/>
      <c r="AB3" s="23"/>
    </row>
    <row r="4" spans="1:46" s="139" customFormat="1" ht="31.2">
      <c r="A4" s="132" t="s">
        <v>30</v>
      </c>
      <c r="B4" s="132" t="s">
        <v>9</v>
      </c>
      <c r="C4" s="132" t="s">
        <v>32</v>
      </c>
      <c r="D4" s="132" t="s">
        <v>178</v>
      </c>
      <c r="E4" s="132" t="s">
        <v>70</v>
      </c>
      <c r="F4" s="132" t="s">
        <v>31</v>
      </c>
      <c r="G4" s="133" t="s">
        <v>46</v>
      </c>
      <c r="H4" s="134" t="s">
        <v>48</v>
      </c>
      <c r="I4" s="134" t="s">
        <v>106</v>
      </c>
      <c r="J4" s="134" t="s">
        <v>33</v>
      </c>
      <c r="K4" s="135" t="s">
        <v>49</v>
      </c>
      <c r="L4" s="134" t="s">
        <v>47</v>
      </c>
      <c r="M4" s="132" t="s">
        <v>179</v>
      </c>
      <c r="N4" s="136"/>
      <c r="O4" s="136"/>
      <c r="P4" s="136"/>
      <c r="Q4" s="137"/>
      <c r="R4" s="137"/>
      <c r="S4" s="137"/>
      <c r="T4" s="137"/>
      <c r="U4" s="137"/>
      <c r="V4" s="137"/>
      <c r="W4" s="137"/>
      <c r="X4" s="138"/>
      <c r="Y4" s="138"/>
      <c r="Z4" s="138"/>
      <c r="AA4" s="138"/>
      <c r="AB4" s="138"/>
    </row>
    <row r="5" spans="1:46" s="23" customFormat="1" ht="52.8">
      <c r="A5" s="62">
        <v>1</v>
      </c>
      <c r="B5" s="19">
        <v>1.1000000000000001</v>
      </c>
      <c r="C5" s="185" t="s">
        <v>408</v>
      </c>
      <c r="D5" s="25" t="s">
        <v>411</v>
      </c>
      <c r="E5" s="186" t="s">
        <v>409</v>
      </c>
      <c r="F5" s="49" t="s">
        <v>412</v>
      </c>
      <c r="G5" s="16"/>
      <c r="H5" s="20"/>
      <c r="I5" s="20"/>
      <c r="J5" s="20"/>
      <c r="K5" s="21"/>
      <c r="L5" s="20" t="s">
        <v>27</v>
      </c>
      <c r="M5" s="20" t="s">
        <v>28</v>
      </c>
      <c r="N5" s="53"/>
      <c r="O5" s="53"/>
      <c r="P5" s="53"/>
      <c r="Q5" s="56"/>
      <c r="R5" s="56"/>
      <c r="S5" s="56"/>
      <c r="T5" s="56"/>
      <c r="U5" s="56"/>
      <c r="V5" s="56"/>
      <c r="W5" s="56"/>
    </row>
    <row r="6" spans="1:46" s="23" customFormat="1">
      <c r="A6" s="62">
        <v>2</v>
      </c>
      <c r="B6" s="19">
        <v>1.1000000000000001</v>
      </c>
      <c r="C6" s="185" t="s">
        <v>418</v>
      </c>
      <c r="D6" s="25" t="s">
        <v>411</v>
      </c>
      <c r="E6" s="186" t="s">
        <v>416</v>
      </c>
      <c r="F6" s="49" t="s">
        <v>417</v>
      </c>
      <c r="G6" s="16"/>
      <c r="H6" s="20"/>
      <c r="I6" s="20"/>
      <c r="J6" s="20"/>
      <c r="K6" s="21"/>
      <c r="L6" s="20" t="s">
        <v>27</v>
      </c>
      <c r="M6" s="20" t="s">
        <v>28</v>
      </c>
      <c r="N6" s="53"/>
      <c r="O6" s="53"/>
      <c r="P6" s="53"/>
      <c r="Q6" s="56"/>
      <c r="R6" s="56"/>
      <c r="S6" s="56"/>
      <c r="T6" s="56"/>
      <c r="U6" s="56"/>
      <c r="V6" s="56"/>
      <c r="W6" s="56"/>
    </row>
    <row r="7" spans="1:46" s="23" customFormat="1" ht="26.4">
      <c r="A7" s="62">
        <v>2</v>
      </c>
      <c r="B7" s="19" t="s">
        <v>423</v>
      </c>
      <c r="C7" s="19" t="s">
        <v>424</v>
      </c>
      <c r="D7" s="16" t="s">
        <v>425</v>
      </c>
      <c r="E7" s="60">
        <v>44816.49391203704</v>
      </c>
      <c r="F7" s="49" t="s">
        <v>426</v>
      </c>
      <c r="G7" s="25" t="s">
        <v>473</v>
      </c>
      <c r="H7" s="20"/>
      <c r="I7" s="20" t="s">
        <v>26</v>
      </c>
      <c r="J7" s="20" t="s">
        <v>426</v>
      </c>
      <c r="K7" s="21">
        <v>44903.473055555558</v>
      </c>
      <c r="L7" s="20" t="s">
        <v>20</v>
      </c>
      <c r="M7" s="20" t="s">
        <v>28</v>
      </c>
      <c r="N7" s="53"/>
      <c r="O7" s="53"/>
      <c r="P7" s="53"/>
      <c r="Q7" s="56"/>
      <c r="R7" s="56"/>
      <c r="S7" s="56"/>
      <c r="T7" s="56"/>
      <c r="U7" s="56"/>
      <c r="V7" s="56"/>
      <c r="W7" s="56"/>
    </row>
    <row r="8" spans="1:46" s="23" customFormat="1" ht="26.4">
      <c r="A8" s="62">
        <v>3</v>
      </c>
      <c r="B8" s="19" t="s">
        <v>423</v>
      </c>
      <c r="C8" s="19" t="s">
        <v>424</v>
      </c>
      <c r="D8" s="25" t="s">
        <v>427</v>
      </c>
      <c r="E8" s="60">
        <v>44816.495173611111</v>
      </c>
      <c r="F8" s="49" t="s">
        <v>426</v>
      </c>
      <c r="G8" s="25" t="s">
        <v>473</v>
      </c>
      <c r="H8" s="20"/>
      <c r="I8" s="20" t="s">
        <v>26</v>
      </c>
      <c r="J8" s="20" t="s">
        <v>426</v>
      </c>
      <c r="K8" s="21">
        <v>44904</v>
      </c>
      <c r="L8" s="20" t="s">
        <v>20</v>
      </c>
      <c r="M8" s="20" t="s">
        <v>28</v>
      </c>
      <c r="N8" s="53"/>
      <c r="O8" s="53"/>
      <c r="P8" s="53"/>
      <c r="Q8" s="56"/>
      <c r="R8" s="56"/>
      <c r="S8" s="56"/>
      <c r="T8" s="56"/>
      <c r="U8" s="56"/>
      <c r="V8" s="56"/>
      <c r="W8" s="56"/>
    </row>
    <row r="9" spans="1:46" s="23" customFormat="1" ht="26.4">
      <c r="A9" s="62">
        <v>4</v>
      </c>
      <c r="B9" s="19" t="s">
        <v>423</v>
      </c>
      <c r="C9" s="19" t="s">
        <v>424</v>
      </c>
      <c r="D9" s="16" t="s">
        <v>428</v>
      </c>
      <c r="E9" s="60">
        <v>44816.495370370372</v>
      </c>
      <c r="F9" s="49" t="s">
        <v>426</v>
      </c>
      <c r="G9" s="25" t="s">
        <v>473</v>
      </c>
      <c r="H9" s="20"/>
      <c r="I9" s="20" t="s">
        <v>26</v>
      </c>
      <c r="J9" s="20" t="s">
        <v>426</v>
      </c>
      <c r="K9" s="21">
        <v>44905</v>
      </c>
      <c r="L9" s="20" t="s">
        <v>20</v>
      </c>
      <c r="M9" s="20" t="s">
        <v>28</v>
      </c>
      <c r="N9" s="53"/>
      <c r="O9" s="53"/>
      <c r="P9" s="53"/>
      <c r="Q9" s="56"/>
      <c r="R9" s="56"/>
      <c r="S9" s="56"/>
      <c r="T9" s="56"/>
      <c r="U9" s="56"/>
      <c r="V9" s="56"/>
      <c r="W9" s="56"/>
    </row>
    <row r="10" spans="1:46" s="23" customFormat="1" ht="26.4">
      <c r="A10" s="62">
        <v>5</v>
      </c>
      <c r="B10" s="19" t="s">
        <v>423</v>
      </c>
      <c r="C10" s="19" t="s">
        <v>424</v>
      </c>
      <c r="D10" s="16" t="s">
        <v>429</v>
      </c>
      <c r="E10" s="60">
        <v>44816.497071759259</v>
      </c>
      <c r="F10" s="49" t="s">
        <v>426</v>
      </c>
      <c r="G10" s="25" t="s">
        <v>473</v>
      </c>
      <c r="H10" s="20"/>
      <c r="I10" s="20" t="s">
        <v>26</v>
      </c>
      <c r="J10" s="20" t="s">
        <v>426</v>
      </c>
      <c r="K10" s="21">
        <v>44906</v>
      </c>
      <c r="L10" s="20" t="s">
        <v>20</v>
      </c>
      <c r="M10" s="20" t="s">
        <v>28</v>
      </c>
      <c r="N10" s="53"/>
      <c r="O10" s="53"/>
      <c r="P10" s="53"/>
      <c r="Q10" s="56"/>
      <c r="R10" s="56"/>
      <c r="S10" s="56"/>
      <c r="T10" s="56"/>
      <c r="U10" s="56"/>
      <c r="V10" s="56"/>
      <c r="W10" s="56"/>
    </row>
    <row r="11" spans="1:46" s="23" customFormat="1" ht="26.4">
      <c r="A11" s="62">
        <v>6</v>
      </c>
      <c r="B11" s="19" t="s">
        <v>423</v>
      </c>
      <c r="C11" s="19" t="s">
        <v>424</v>
      </c>
      <c r="D11" s="16" t="s">
        <v>430</v>
      </c>
      <c r="E11" s="60">
        <v>44816.497349537036</v>
      </c>
      <c r="F11" s="49" t="s">
        <v>426</v>
      </c>
      <c r="G11" s="25" t="s">
        <v>473</v>
      </c>
      <c r="H11" s="20"/>
      <c r="I11" s="20" t="s">
        <v>26</v>
      </c>
      <c r="J11" s="20" t="s">
        <v>426</v>
      </c>
      <c r="K11" s="21">
        <v>44907</v>
      </c>
      <c r="L11" s="20" t="s">
        <v>20</v>
      </c>
      <c r="M11" s="20" t="s">
        <v>28</v>
      </c>
      <c r="N11" s="53"/>
      <c r="O11" s="53"/>
      <c r="P11" s="53"/>
      <c r="Q11" s="56"/>
      <c r="R11" s="56"/>
      <c r="S11" s="56"/>
      <c r="T11" s="56"/>
      <c r="U11" s="56"/>
      <c r="V11" s="56"/>
      <c r="W11" s="56"/>
    </row>
    <row r="12" spans="1:46" s="23" customFormat="1" ht="26.4">
      <c r="A12" s="62">
        <v>7</v>
      </c>
      <c r="B12" s="19" t="s">
        <v>423</v>
      </c>
      <c r="C12" s="19" t="s">
        <v>424</v>
      </c>
      <c r="D12" s="16" t="s">
        <v>431</v>
      </c>
      <c r="E12" s="60">
        <v>44816.527349537035</v>
      </c>
      <c r="F12" s="49" t="s">
        <v>426</v>
      </c>
      <c r="G12" s="25" t="s">
        <v>473</v>
      </c>
      <c r="H12" s="20"/>
      <c r="I12" s="20" t="s">
        <v>26</v>
      </c>
      <c r="J12" s="20" t="s">
        <v>426</v>
      </c>
      <c r="K12" s="21">
        <v>44908</v>
      </c>
      <c r="L12" s="20" t="s">
        <v>20</v>
      </c>
      <c r="M12" s="20" t="s">
        <v>28</v>
      </c>
      <c r="N12" s="53"/>
      <c r="O12" s="53"/>
      <c r="P12" s="53"/>
      <c r="Q12" s="56"/>
      <c r="R12" s="56"/>
      <c r="S12" s="56"/>
      <c r="T12" s="56"/>
      <c r="U12" s="56"/>
      <c r="V12" s="56"/>
      <c r="W12" s="56"/>
    </row>
    <row r="13" spans="1:46" s="23" customFormat="1" ht="26.4">
      <c r="A13" s="62">
        <v>8</v>
      </c>
      <c r="B13" s="19" t="s">
        <v>432</v>
      </c>
      <c r="C13" s="185" t="s">
        <v>433</v>
      </c>
      <c r="D13" s="16" t="s">
        <v>434</v>
      </c>
      <c r="E13" s="60">
        <v>44816.528090277781</v>
      </c>
      <c r="F13" s="49" t="s">
        <v>426</v>
      </c>
      <c r="G13" s="25" t="s">
        <v>473</v>
      </c>
      <c r="H13" s="20"/>
      <c r="I13" s="20" t="s">
        <v>26</v>
      </c>
      <c r="J13" s="20" t="s">
        <v>426</v>
      </c>
      <c r="K13" s="21">
        <v>44909</v>
      </c>
      <c r="L13" s="20" t="s">
        <v>20</v>
      </c>
      <c r="M13" s="20" t="s">
        <v>28</v>
      </c>
      <c r="N13" s="53"/>
      <c r="O13" s="53"/>
      <c r="P13" s="53"/>
      <c r="Q13" s="56"/>
      <c r="R13" s="56"/>
      <c r="S13" s="56"/>
      <c r="T13" s="56"/>
      <c r="U13" s="56"/>
      <c r="V13" s="56"/>
      <c r="W13" s="56"/>
    </row>
    <row r="14" spans="1:46" s="23" customFormat="1">
      <c r="A14" s="62">
        <v>10</v>
      </c>
      <c r="B14" s="185" t="s">
        <v>438</v>
      </c>
      <c r="C14" s="185" t="s">
        <v>439</v>
      </c>
      <c r="D14" s="25" t="s">
        <v>442</v>
      </c>
      <c r="E14" s="60">
        <v>44817.437569444446</v>
      </c>
      <c r="F14" s="49" t="s">
        <v>437</v>
      </c>
      <c r="G14" s="16"/>
      <c r="H14" s="20">
        <v>815514</v>
      </c>
      <c r="I14" s="20" t="s">
        <v>26</v>
      </c>
      <c r="J14" s="20" t="s">
        <v>426</v>
      </c>
      <c r="K14" s="21" t="s">
        <v>449</v>
      </c>
      <c r="L14" s="20" t="s">
        <v>21</v>
      </c>
      <c r="M14" s="20" t="s">
        <v>28</v>
      </c>
      <c r="N14" s="53"/>
      <c r="O14" s="53"/>
      <c r="P14" s="53"/>
      <c r="Q14" s="56"/>
      <c r="R14" s="56"/>
      <c r="S14" s="56"/>
      <c r="T14" s="56"/>
      <c r="U14" s="56"/>
      <c r="V14" s="56"/>
      <c r="W14" s="56"/>
    </row>
    <row r="15" spans="1:46" s="23" customFormat="1">
      <c r="A15" s="62">
        <v>11</v>
      </c>
      <c r="B15" s="185" t="s">
        <v>440</v>
      </c>
      <c r="C15" s="185" t="s">
        <v>441</v>
      </c>
      <c r="D15" s="25" t="s">
        <v>442</v>
      </c>
      <c r="E15" s="60">
        <v>44817.437581018516</v>
      </c>
      <c r="F15" s="61" t="s">
        <v>437</v>
      </c>
      <c r="G15" s="16"/>
      <c r="H15" s="20">
        <v>814596</v>
      </c>
      <c r="I15" s="20" t="s">
        <v>26</v>
      </c>
      <c r="J15" s="20" t="s">
        <v>426</v>
      </c>
      <c r="K15" s="21" t="s">
        <v>449</v>
      </c>
      <c r="L15" s="194" t="s">
        <v>20</v>
      </c>
      <c r="M15" s="20" t="s">
        <v>28</v>
      </c>
      <c r="N15" s="53"/>
      <c r="O15" s="53"/>
      <c r="P15" s="53"/>
      <c r="Q15" s="56"/>
      <c r="R15" s="56"/>
      <c r="S15" s="56"/>
      <c r="T15" s="56"/>
      <c r="U15" s="56"/>
      <c r="V15" s="56"/>
      <c r="W15" s="56"/>
    </row>
    <row r="16" spans="1:46" s="23" customFormat="1">
      <c r="A16" s="62">
        <v>12</v>
      </c>
      <c r="B16" s="185" t="s">
        <v>440</v>
      </c>
      <c r="C16" s="185" t="s">
        <v>441</v>
      </c>
      <c r="D16" s="25" t="s">
        <v>448</v>
      </c>
      <c r="E16" s="60">
        <v>44817.445474537039</v>
      </c>
      <c r="F16" s="61" t="s">
        <v>437</v>
      </c>
      <c r="G16" s="16"/>
      <c r="H16" s="20">
        <v>814596</v>
      </c>
      <c r="I16" s="20" t="s">
        <v>26</v>
      </c>
      <c r="J16" s="20" t="s">
        <v>426</v>
      </c>
      <c r="K16" s="21" t="s">
        <v>449</v>
      </c>
      <c r="L16" s="20" t="s">
        <v>20</v>
      </c>
      <c r="M16" s="20" t="s">
        <v>28</v>
      </c>
      <c r="N16" s="53"/>
      <c r="O16" s="53"/>
      <c r="P16" s="53"/>
      <c r="Q16" s="56"/>
      <c r="R16" s="56"/>
      <c r="S16" s="56"/>
      <c r="T16" s="56"/>
      <c r="U16" s="56"/>
      <c r="V16" s="56"/>
      <c r="W16" s="56"/>
    </row>
    <row r="17" spans="1:23" s="23" customFormat="1" ht="26.4">
      <c r="A17" s="62">
        <v>13</v>
      </c>
      <c r="B17" s="185" t="s">
        <v>438</v>
      </c>
      <c r="C17" s="185" t="s">
        <v>439</v>
      </c>
      <c r="D17" s="25" t="s">
        <v>443</v>
      </c>
      <c r="E17" s="60">
        <v>44817.447592592594</v>
      </c>
      <c r="F17" s="61" t="s">
        <v>437</v>
      </c>
      <c r="G17" s="16"/>
      <c r="H17" s="20">
        <v>814596</v>
      </c>
      <c r="I17" s="20" t="s">
        <v>26</v>
      </c>
      <c r="J17" s="20" t="s">
        <v>426</v>
      </c>
      <c r="K17" s="21" t="s">
        <v>449</v>
      </c>
      <c r="L17" s="20" t="s">
        <v>20</v>
      </c>
      <c r="M17" s="20" t="s">
        <v>28</v>
      </c>
      <c r="N17" s="53"/>
      <c r="O17" s="53"/>
      <c r="P17" s="53"/>
      <c r="Q17" s="56"/>
      <c r="R17" s="56"/>
      <c r="S17" s="56"/>
      <c r="T17" s="56"/>
      <c r="U17" s="56"/>
      <c r="V17" s="56"/>
      <c r="W17" s="56"/>
    </row>
    <row r="18" spans="1:23" s="23" customFormat="1" ht="26.4">
      <c r="A18" s="62">
        <v>14</v>
      </c>
      <c r="B18" s="185" t="s">
        <v>440</v>
      </c>
      <c r="C18" s="185" t="s">
        <v>441</v>
      </c>
      <c r="D18" s="25" t="s">
        <v>443</v>
      </c>
      <c r="E18" s="60">
        <v>44817.447615740741</v>
      </c>
      <c r="F18" s="61" t="s">
        <v>437</v>
      </c>
      <c r="G18" s="16"/>
      <c r="H18" s="20">
        <v>814596</v>
      </c>
      <c r="I18" s="20" t="s">
        <v>26</v>
      </c>
      <c r="J18" s="20" t="s">
        <v>426</v>
      </c>
      <c r="K18" s="21" t="s">
        <v>449</v>
      </c>
      <c r="L18" s="20" t="s">
        <v>20</v>
      </c>
      <c r="M18" s="20" t="s">
        <v>28</v>
      </c>
      <c r="N18" s="53"/>
      <c r="O18" s="53"/>
      <c r="P18" s="53"/>
      <c r="Q18" s="56"/>
      <c r="R18" s="56"/>
      <c r="S18" s="56"/>
      <c r="T18" s="56"/>
      <c r="U18" s="56"/>
      <c r="V18" s="56"/>
      <c r="W18" s="56"/>
    </row>
    <row r="19" spans="1:23" s="23" customFormat="1" ht="26.4">
      <c r="A19" s="62">
        <v>15</v>
      </c>
      <c r="B19" s="185" t="s">
        <v>440</v>
      </c>
      <c r="C19" s="185" t="s">
        <v>441</v>
      </c>
      <c r="D19" s="25" t="s">
        <v>444</v>
      </c>
      <c r="E19" s="60">
        <v>44817.59884259259</v>
      </c>
      <c r="F19" s="61" t="s">
        <v>437</v>
      </c>
      <c r="G19" s="16"/>
      <c r="H19" s="20">
        <v>815514</v>
      </c>
      <c r="I19" s="20" t="s">
        <v>26</v>
      </c>
      <c r="J19" s="20" t="s">
        <v>426</v>
      </c>
      <c r="K19" s="21" t="s">
        <v>449</v>
      </c>
      <c r="L19" s="20" t="s">
        <v>21</v>
      </c>
      <c r="M19" s="20" t="s">
        <v>28</v>
      </c>
      <c r="N19" s="53"/>
      <c r="O19" s="53"/>
      <c r="P19" s="53"/>
      <c r="Q19" s="56"/>
      <c r="R19" s="56"/>
      <c r="S19" s="56"/>
      <c r="T19" s="56"/>
      <c r="U19" s="56"/>
      <c r="V19" s="56"/>
      <c r="W19" s="56"/>
    </row>
    <row r="20" spans="1:23" s="23" customFormat="1" ht="26.4">
      <c r="A20" s="62">
        <v>16</v>
      </c>
      <c r="B20" s="19" t="s">
        <v>423</v>
      </c>
      <c r="C20" s="19" t="s">
        <v>424</v>
      </c>
      <c r="D20" s="25" t="s">
        <v>447</v>
      </c>
      <c r="E20" s="60">
        <v>44817.606585648151</v>
      </c>
      <c r="F20" s="61" t="s">
        <v>437</v>
      </c>
      <c r="G20" s="16"/>
      <c r="H20" s="20">
        <v>814596</v>
      </c>
      <c r="I20" s="20" t="s">
        <v>26</v>
      </c>
      <c r="J20" s="20" t="s">
        <v>426</v>
      </c>
      <c r="K20" s="21" t="s">
        <v>449</v>
      </c>
      <c r="L20" s="20" t="s">
        <v>20</v>
      </c>
      <c r="M20" s="20" t="s">
        <v>28</v>
      </c>
      <c r="N20" s="53"/>
      <c r="O20" s="53"/>
      <c r="P20" s="53"/>
      <c r="Q20" s="56"/>
      <c r="R20" s="56"/>
      <c r="S20" s="56"/>
      <c r="T20" s="56"/>
      <c r="U20" s="56"/>
      <c r="V20" s="56"/>
      <c r="W20" s="56"/>
    </row>
    <row r="21" spans="1:23" s="23" customFormat="1" ht="26.4">
      <c r="A21" s="62">
        <v>17</v>
      </c>
      <c r="B21" s="185" t="s">
        <v>450</v>
      </c>
      <c r="C21" s="19" t="s">
        <v>424</v>
      </c>
      <c r="D21" s="16" t="s">
        <v>451</v>
      </c>
      <c r="E21" s="60">
        <v>44886.480451388888</v>
      </c>
      <c r="F21" s="61" t="s">
        <v>437</v>
      </c>
      <c r="G21" s="25" t="s">
        <v>475</v>
      </c>
      <c r="H21" s="20"/>
      <c r="I21" s="20" t="s">
        <v>26</v>
      </c>
      <c r="J21" s="20" t="s">
        <v>426</v>
      </c>
      <c r="K21" s="21">
        <v>44887.414571759262</v>
      </c>
      <c r="L21" s="20" t="s">
        <v>20</v>
      </c>
      <c r="M21" s="20" t="s">
        <v>28</v>
      </c>
      <c r="N21" s="53"/>
      <c r="O21" s="53"/>
      <c r="P21" s="53"/>
      <c r="Q21" s="56"/>
      <c r="R21" s="56"/>
      <c r="S21" s="56"/>
      <c r="T21" s="56"/>
      <c r="U21" s="56"/>
      <c r="V21" s="56"/>
      <c r="W21" s="56"/>
    </row>
    <row r="22" spans="1:23" s="23" customFormat="1" ht="26.4">
      <c r="A22" s="62">
        <v>18</v>
      </c>
      <c r="B22" s="185" t="s">
        <v>450</v>
      </c>
      <c r="C22" s="19" t="s">
        <v>424</v>
      </c>
      <c r="D22" s="16" t="s">
        <v>452</v>
      </c>
      <c r="E22" s="60">
        <v>44886.482002314813</v>
      </c>
      <c r="F22" s="61" t="s">
        <v>437</v>
      </c>
      <c r="G22" s="25" t="s">
        <v>474</v>
      </c>
      <c r="H22" s="20"/>
      <c r="I22" s="20" t="s">
        <v>26</v>
      </c>
      <c r="J22" s="20" t="s">
        <v>426</v>
      </c>
      <c r="K22" s="21">
        <v>44887.452824074076</v>
      </c>
      <c r="L22" s="20" t="s">
        <v>20</v>
      </c>
      <c r="M22" s="20" t="s">
        <v>28</v>
      </c>
      <c r="N22" s="53"/>
      <c r="O22" s="53"/>
      <c r="P22" s="53"/>
      <c r="Q22" s="56"/>
      <c r="R22" s="56"/>
      <c r="S22" s="56"/>
      <c r="T22" s="56"/>
      <c r="U22" s="56"/>
      <c r="V22" s="56"/>
      <c r="W22" s="56"/>
    </row>
    <row r="23" spans="1:23" s="23" customFormat="1" ht="26.4">
      <c r="A23" s="62">
        <v>19</v>
      </c>
      <c r="B23" s="185" t="s">
        <v>450</v>
      </c>
      <c r="C23" s="19" t="s">
        <v>424</v>
      </c>
      <c r="D23" s="16" t="s">
        <v>453</v>
      </c>
      <c r="E23" s="60">
        <v>44886.502824074072</v>
      </c>
      <c r="F23" s="61" t="s">
        <v>437</v>
      </c>
      <c r="G23" s="25" t="s">
        <v>468</v>
      </c>
      <c r="H23" s="20"/>
      <c r="I23" s="20" t="s">
        <v>26</v>
      </c>
      <c r="J23" s="20" t="s">
        <v>426</v>
      </c>
      <c r="K23" s="21">
        <v>44887.456192129626</v>
      </c>
      <c r="L23" s="20" t="s">
        <v>27</v>
      </c>
      <c r="M23" s="20" t="s">
        <v>28</v>
      </c>
      <c r="N23" s="53"/>
      <c r="O23" s="53"/>
      <c r="P23" s="53"/>
      <c r="Q23" s="56"/>
      <c r="R23" s="56"/>
      <c r="S23" s="56"/>
      <c r="T23" s="56"/>
      <c r="U23" s="56"/>
      <c r="V23" s="56"/>
      <c r="W23" s="56"/>
    </row>
    <row r="24" spans="1:23" s="23" customFormat="1" ht="26.4">
      <c r="A24" s="62">
        <v>20</v>
      </c>
      <c r="B24" s="185" t="s">
        <v>450</v>
      </c>
      <c r="C24" s="19" t="s">
        <v>424</v>
      </c>
      <c r="D24" s="25" t="s">
        <v>467</v>
      </c>
      <c r="E24" s="60">
        <v>44886.50304398148</v>
      </c>
      <c r="F24" s="61" t="s">
        <v>437</v>
      </c>
      <c r="G24" s="25" t="s">
        <v>20</v>
      </c>
      <c r="H24" s="20"/>
      <c r="I24" s="20" t="s">
        <v>26</v>
      </c>
      <c r="J24" s="20" t="s">
        <v>426</v>
      </c>
      <c r="K24" s="21">
        <v>44887.45275462963</v>
      </c>
      <c r="L24" s="20" t="s">
        <v>20</v>
      </c>
      <c r="M24" s="20" t="s">
        <v>28</v>
      </c>
      <c r="N24" s="53"/>
      <c r="O24" s="53"/>
      <c r="P24" s="53"/>
      <c r="Q24" s="56"/>
      <c r="R24" s="56"/>
      <c r="S24" s="56"/>
      <c r="T24" s="56"/>
      <c r="U24" s="56"/>
      <c r="V24" s="56"/>
      <c r="W24" s="56"/>
    </row>
    <row r="25" spans="1:23" s="23" customFormat="1" ht="26.4">
      <c r="A25" s="62">
        <v>21</v>
      </c>
      <c r="B25" s="185" t="s">
        <v>450</v>
      </c>
      <c r="C25" s="19" t="s">
        <v>424</v>
      </c>
      <c r="D25" s="25" t="s">
        <v>454</v>
      </c>
      <c r="E25" s="60">
        <v>44886.505162037036</v>
      </c>
      <c r="F25" s="61" t="s">
        <v>437</v>
      </c>
      <c r="G25" s="25" t="s">
        <v>473</v>
      </c>
      <c r="H25" s="20"/>
      <c r="I25" s="20" t="s">
        <v>26</v>
      </c>
      <c r="J25" s="20" t="s">
        <v>426</v>
      </c>
      <c r="K25" s="21">
        <v>44887.456412037034</v>
      </c>
      <c r="L25" s="20" t="s">
        <v>20</v>
      </c>
      <c r="M25" s="20" t="s">
        <v>28</v>
      </c>
      <c r="N25" s="53"/>
      <c r="O25" s="53"/>
      <c r="P25" s="53"/>
      <c r="Q25" s="56"/>
      <c r="R25" s="56"/>
      <c r="S25" s="56"/>
      <c r="T25" s="56"/>
      <c r="U25" s="56"/>
      <c r="V25" s="56"/>
      <c r="W25" s="56"/>
    </row>
    <row r="26" spans="1:23" s="23" customFormat="1" ht="26.4">
      <c r="A26" s="62">
        <v>22</v>
      </c>
      <c r="B26" s="185" t="s">
        <v>450</v>
      </c>
      <c r="C26" s="19" t="s">
        <v>424</v>
      </c>
      <c r="D26" s="25" t="s">
        <v>455</v>
      </c>
      <c r="E26" s="60">
        <v>44886.51321759259</v>
      </c>
      <c r="F26" s="61" t="s">
        <v>437</v>
      </c>
      <c r="G26" s="25" t="s">
        <v>476</v>
      </c>
      <c r="H26" s="20"/>
      <c r="I26" s="20" t="s">
        <v>26</v>
      </c>
      <c r="J26" s="20" t="s">
        <v>426</v>
      </c>
      <c r="K26" s="21">
        <v>44887.475370370368</v>
      </c>
      <c r="L26" s="20" t="s">
        <v>27</v>
      </c>
      <c r="M26" s="20" t="s">
        <v>28</v>
      </c>
      <c r="N26" s="53"/>
      <c r="O26" s="53"/>
      <c r="P26" s="53"/>
      <c r="Q26" s="56"/>
      <c r="R26" s="56"/>
      <c r="S26" s="56"/>
      <c r="T26" s="56"/>
      <c r="U26" s="56"/>
      <c r="V26" s="56"/>
      <c r="W26" s="56"/>
    </row>
    <row r="27" spans="1:23" s="23" customFormat="1" ht="39.6">
      <c r="A27" s="62">
        <v>23</v>
      </c>
      <c r="B27" s="185" t="s">
        <v>450</v>
      </c>
      <c r="C27" s="19" t="s">
        <v>424</v>
      </c>
      <c r="D27" s="25" t="s">
        <v>456</v>
      </c>
      <c r="E27" s="60">
        <v>44886.5153125</v>
      </c>
      <c r="F27" s="61" t="s">
        <v>437</v>
      </c>
      <c r="G27" s="25" t="s">
        <v>473</v>
      </c>
      <c r="H27" s="20"/>
      <c r="I27" s="20" t="s">
        <v>26</v>
      </c>
      <c r="J27" s="20" t="s">
        <v>426</v>
      </c>
      <c r="K27" s="21">
        <v>44887.474918981483</v>
      </c>
      <c r="L27" s="20" t="s">
        <v>20</v>
      </c>
      <c r="M27" s="20" t="s">
        <v>28</v>
      </c>
      <c r="N27" s="53"/>
      <c r="O27" s="53"/>
      <c r="P27" s="53"/>
      <c r="Q27" s="56"/>
      <c r="R27" s="56"/>
      <c r="S27" s="56"/>
      <c r="T27" s="56"/>
      <c r="U27" s="56"/>
      <c r="V27" s="56"/>
      <c r="W27" s="56"/>
    </row>
    <row r="28" spans="1:23" s="23" customFormat="1" ht="26.4">
      <c r="A28" s="62">
        <v>24</v>
      </c>
      <c r="B28" s="185" t="s">
        <v>450</v>
      </c>
      <c r="C28" s="19" t="s">
        <v>424</v>
      </c>
      <c r="D28" s="25" t="s">
        <v>457</v>
      </c>
      <c r="E28" s="60">
        <v>44886.519062500003</v>
      </c>
      <c r="F28" s="61" t="s">
        <v>437</v>
      </c>
      <c r="G28" s="25" t="s">
        <v>473</v>
      </c>
      <c r="H28" s="20"/>
      <c r="I28" s="20" t="s">
        <v>26</v>
      </c>
      <c r="J28" s="20" t="s">
        <v>426</v>
      </c>
      <c r="K28" s="21">
        <v>44887.464525462965</v>
      </c>
      <c r="L28" s="20" t="s">
        <v>20</v>
      </c>
      <c r="M28" s="20" t="s">
        <v>28</v>
      </c>
      <c r="N28" s="53"/>
      <c r="O28" s="53"/>
      <c r="P28" s="53"/>
      <c r="Q28" s="56"/>
      <c r="R28" s="56"/>
      <c r="S28" s="56"/>
      <c r="T28" s="56"/>
      <c r="U28" s="56"/>
      <c r="V28" s="56"/>
      <c r="W28" s="56"/>
    </row>
    <row r="29" spans="1:23" s="23" customFormat="1" ht="39.6">
      <c r="A29" s="62">
        <v>25</v>
      </c>
      <c r="B29" s="185" t="s">
        <v>450</v>
      </c>
      <c r="C29" s="19" t="s">
        <v>424</v>
      </c>
      <c r="D29" s="25" t="s">
        <v>456</v>
      </c>
      <c r="E29" s="60">
        <v>44886.521527777775</v>
      </c>
      <c r="F29" s="61" t="s">
        <v>437</v>
      </c>
      <c r="G29" s="25" t="s">
        <v>473</v>
      </c>
      <c r="H29" s="20"/>
      <c r="I29" s="20" t="s">
        <v>26</v>
      </c>
      <c r="J29" s="20" t="s">
        <v>426</v>
      </c>
      <c r="K29" s="21">
        <v>44887.474456018521</v>
      </c>
      <c r="L29" s="20" t="s">
        <v>20</v>
      </c>
      <c r="M29" s="20" t="s">
        <v>28</v>
      </c>
      <c r="N29" s="53"/>
      <c r="O29" s="53"/>
      <c r="P29" s="53"/>
      <c r="Q29" s="56"/>
      <c r="R29" s="56"/>
      <c r="S29" s="56"/>
      <c r="T29" s="56"/>
      <c r="U29" s="56"/>
      <c r="V29" s="56"/>
      <c r="W29" s="56"/>
    </row>
    <row r="30" spans="1:23" s="23" customFormat="1" ht="26.4">
      <c r="A30" s="62">
        <v>26</v>
      </c>
      <c r="B30" s="185" t="s">
        <v>450</v>
      </c>
      <c r="C30" s="19" t="s">
        <v>424</v>
      </c>
      <c r="D30" s="25" t="s">
        <v>458</v>
      </c>
      <c r="E30" s="60">
        <v>44886.522060185183</v>
      </c>
      <c r="F30" s="49" t="s">
        <v>437</v>
      </c>
      <c r="G30" s="25" t="s">
        <v>469</v>
      </c>
      <c r="H30" s="20"/>
      <c r="I30" s="20" t="s">
        <v>26</v>
      </c>
      <c r="J30" s="20" t="s">
        <v>426</v>
      </c>
      <c r="K30" s="21">
        <v>44887.464328703703</v>
      </c>
      <c r="L30" s="20" t="s">
        <v>20</v>
      </c>
      <c r="M30" s="20" t="s">
        <v>28</v>
      </c>
      <c r="N30" s="53"/>
      <c r="O30" s="53"/>
      <c r="P30" s="53"/>
      <c r="Q30" s="56"/>
      <c r="R30" s="56"/>
      <c r="S30" s="56"/>
      <c r="T30" s="56"/>
      <c r="U30" s="56"/>
      <c r="V30" s="56"/>
      <c r="W30" s="56"/>
    </row>
    <row r="31" spans="1:23" s="23" customFormat="1" ht="26.4">
      <c r="A31" s="62">
        <v>27</v>
      </c>
      <c r="B31" s="185" t="s">
        <v>450</v>
      </c>
      <c r="C31" s="19" t="s">
        <v>424</v>
      </c>
      <c r="D31" s="25" t="s">
        <v>459</v>
      </c>
      <c r="E31" s="60">
        <v>44886.523819444446</v>
      </c>
      <c r="F31" s="61" t="s">
        <v>437</v>
      </c>
      <c r="G31" s="25" t="s">
        <v>472</v>
      </c>
      <c r="H31" s="20"/>
      <c r="I31" s="20" t="s">
        <v>26</v>
      </c>
      <c r="J31" s="20" t="s">
        <v>426</v>
      </c>
      <c r="K31" s="21">
        <v>44887.413981481484</v>
      </c>
      <c r="L31" s="20" t="s">
        <v>20</v>
      </c>
      <c r="M31" s="20" t="s">
        <v>28</v>
      </c>
      <c r="N31" s="53"/>
      <c r="O31" s="53"/>
      <c r="P31" s="53"/>
      <c r="Q31" s="56"/>
      <c r="R31" s="56"/>
      <c r="S31" s="56"/>
      <c r="T31" s="56"/>
      <c r="U31" s="56"/>
      <c r="V31" s="56"/>
      <c r="W31" s="56"/>
    </row>
    <row r="32" spans="1:23" s="23" customFormat="1" ht="26.4">
      <c r="A32" s="62">
        <v>28</v>
      </c>
      <c r="B32" s="185" t="s">
        <v>450</v>
      </c>
      <c r="C32" s="19" t="s">
        <v>424</v>
      </c>
      <c r="D32" s="25" t="s">
        <v>460</v>
      </c>
      <c r="E32" s="60">
        <v>44886.525543981479</v>
      </c>
      <c r="F32" s="61" t="s">
        <v>437</v>
      </c>
      <c r="G32" s="25" t="s">
        <v>20</v>
      </c>
      <c r="H32" s="20"/>
      <c r="I32" s="20" t="s">
        <v>26</v>
      </c>
      <c r="J32" s="20" t="s">
        <v>426</v>
      </c>
      <c r="K32" s="21">
        <v>44887.459224537037</v>
      </c>
      <c r="L32" s="20" t="s">
        <v>20</v>
      </c>
      <c r="M32" s="20" t="s">
        <v>28</v>
      </c>
      <c r="N32" s="53"/>
      <c r="O32" s="53"/>
      <c r="P32" s="53"/>
      <c r="Q32" s="56"/>
      <c r="R32" s="56"/>
      <c r="S32" s="56"/>
      <c r="T32" s="56"/>
      <c r="U32" s="56"/>
      <c r="V32" s="56"/>
      <c r="W32" s="56"/>
    </row>
    <row r="33" spans="1:23" s="23" customFormat="1" ht="26.4">
      <c r="A33" s="62">
        <v>29</v>
      </c>
      <c r="B33" s="185" t="s">
        <v>450</v>
      </c>
      <c r="C33" s="19" t="s">
        <v>424</v>
      </c>
      <c r="D33" s="25" t="s">
        <v>461</v>
      </c>
      <c r="E33" s="60">
        <v>44886.52621527778</v>
      </c>
      <c r="F33" s="61" t="s">
        <v>437</v>
      </c>
      <c r="G33" s="25" t="s">
        <v>471</v>
      </c>
      <c r="H33" s="20"/>
      <c r="I33" s="20" t="s">
        <v>26</v>
      </c>
      <c r="J33" s="20" t="s">
        <v>426</v>
      </c>
      <c r="K33" s="21">
        <v>44887.459872685184</v>
      </c>
      <c r="L33" s="20" t="s">
        <v>20</v>
      </c>
      <c r="M33" s="20" t="s">
        <v>28</v>
      </c>
      <c r="N33" s="53"/>
      <c r="O33" s="53"/>
      <c r="P33" s="53"/>
      <c r="Q33" s="56"/>
      <c r="R33" s="56"/>
      <c r="S33" s="56"/>
      <c r="T33" s="56"/>
      <c r="U33" s="56"/>
      <c r="V33" s="56"/>
      <c r="W33" s="56"/>
    </row>
    <row r="34" spans="1:23" s="23" customFormat="1" ht="26.4">
      <c r="A34" s="62">
        <v>30</v>
      </c>
      <c r="B34" s="185" t="s">
        <v>450</v>
      </c>
      <c r="C34" s="19" t="s">
        <v>424</v>
      </c>
      <c r="D34" s="25" t="s">
        <v>462</v>
      </c>
      <c r="E34" s="60">
        <v>44886.527071759258</v>
      </c>
      <c r="F34" s="61" t="s">
        <v>437</v>
      </c>
      <c r="G34" s="25" t="s">
        <v>470</v>
      </c>
      <c r="H34" s="20"/>
      <c r="I34" s="20" t="s">
        <v>26</v>
      </c>
      <c r="J34" s="20" t="s">
        <v>426</v>
      </c>
      <c r="K34" s="21">
        <v>44887.46056712963</v>
      </c>
      <c r="L34" s="20" t="s">
        <v>20</v>
      </c>
      <c r="M34" s="20" t="s">
        <v>28</v>
      </c>
      <c r="N34" s="53"/>
      <c r="O34" s="53"/>
      <c r="P34" s="53"/>
      <c r="Q34" s="56"/>
      <c r="R34" s="56"/>
      <c r="S34" s="56"/>
      <c r="T34" s="56"/>
      <c r="U34" s="56"/>
      <c r="V34" s="56"/>
      <c r="W34" s="56"/>
    </row>
    <row r="35" spans="1:23" s="23" customFormat="1" ht="39.6">
      <c r="A35" s="62">
        <v>31</v>
      </c>
      <c r="B35" s="185" t="s">
        <v>450</v>
      </c>
      <c r="C35" s="19" t="s">
        <v>424</v>
      </c>
      <c r="D35" s="25" t="s">
        <v>463</v>
      </c>
      <c r="E35" s="60">
        <v>44886.528217592589</v>
      </c>
      <c r="F35" s="61" t="s">
        <v>437</v>
      </c>
      <c r="G35" s="25" t="s">
        <v>469</v>
      </c>
      <c r="H35" s="20"/>
      <c r="I35" s="20" t="s">
        <v>26</v>
      </c>
      <c r="J35" s="194" t="s">
        <v>426</v>
      </c>
      <c r="K35" s="21">
        <v>44583</v>
      </c>
      <c r="L35" s="20" t="s">
        <v>20</v>
      </c>
      <c r="M35" s="20" t="s">
        <v>28</v>
      </c>
      <c r="N35" s="53"/>
      <c r="O35" s="53"/>
      <c r="P35" s="53"/>
      <c r="Q35" s="56"/>
      <c r="R35" s="56"/>
      <c r="S35" s="56"/>
      <c r="T35" s="56"/>
      <c r="U35" s="56"/>
      <c r="V35" s="56"/>
      <c r="W35" s="56"/>
    </row>
    <row r="36" spans="1:23" s="23" customFormat="1" ht="26.4">
      <c r="A36" s="62">
        <v>32</v>
      </c>
      <c r="B36" s="185" t="s">
        <v>479</v>
      </c>
      <c r="C36" s="19" t="s">
        <v>424</v>
      </c>
      <c r="D36" s="25" t="s">
        <v>411</v>
      </c>
      <c r="E36" s="60">
        <v>44888.428981481484</v>
      </c>
      <c r="F36" s="61" t="s">
        <v>437</v>
      </c>
      <c r="G36" s="16"/>
      <c r="H36" s="20"/>
      <c r="I36" s="20"/>
      <c r="J36" s="20" t="s">
        <v>437</v>
      </c>
      <c r="K36" s="21">
        <v>44888.429039351853</v>
      </c>
      <c r="L36" s="20" t="s">
        <v>27</v>
      </c>
      <c r="M36" s="20" t="s">
        <v>28</v>
      </c>
      <c r="N36" s="53"/>
      <c r="O36" s="53"/>
      <c r="P36" s="53"/>
      <c r="Q36" s="56"/>
      <c r="R36" s="56"/>
      <c r="S36" s="56"/>
      <c r="T36" s="56"/>
      <c r="U36" s="56"/>
      <c r="V36" s="56"/>
      <c r="W36" s="56"/>
    </row>
    <row r="37" spans="1:23" s="23" customFormat="1" ht="26.4">
      <c r="A37" s="62">
        <v>33</v>
      </c>
      <c r="B37" s="185" t="s">
        <v>480</v>
      </c>
      <c r="C37" s="185" t="s">
        <v>439</v>
      </c>
      <c r="D37" s="25" t="s">
        <v>481</v>
      </c>
      <c r="E37" s="60">
        <v>44903.392245370371</v>
      </c>
      <c r="F37" s="61" t="s">
        <v>400</v>
      </c>
      <c r="G37" s="25" t="s">
        <v>482</v>
      </c>
      <c r="H37" s="20">
        <v>815514</v>
      </c>
      <c r="I37" s="20" t="s">
        <v>26</v>
      </c>
      <c r="J37" s="20" t="s">
        <v>426</v>
      </c>
      <c r="K37" s="21">
        <v>44569</v>
      </c>
      <c r="L37" s="194" t="s">
        <v>21</v>
      </c>
      <c r="M37" s="20" t="s">
        <v>28</v>
      </c>
      <c r="N37" s="53"/>
      <c r="O37" s="53"/>
      <c r="P37" s="53"/>
      <c r="Q37" s="56"/>
      <c r="R37" s="56"/>
      <c r="S37" s="56"/>
      <c r="T37" s="56"/>
      <c r="U37" s="56"/>
      <c r="V37" s="56"/>
      <c r="W37" s="56"/>
    </row>
    <row r="38" spans="1:23" s="23" customFormat="1">
      <c r="A38" s="62">
        <v>34</v>
      </c>
      <c r="B38" s="19">
        <v>1.1000000000000001</v>
      </c>
      <c r="C38" s="185" t="s">
        <v>486</v>
      </c>
      <c r="D38" s="25" t="s">
        <v>411</v>
      </c>
      <c r="E38" s="60">
        <v>44907.330821759257</v>
      </c>
      <c r="F38" s="61" t="s">
        <v>412</v>
      </c>
      <c r="G38" s="16"/>
      <c r="H38" s="20"/>
      <c r="I38" s="20"/>
      <c r="J38" s="194" t="s">
        <v>487</v>
      </c>
      <c r="K38" s="21">
        <v>44907.330972222226</v>
      </c>
      <c r="L38" s="20" t="s">
        <v>27</v>
      </c>
      <c r="M38" s="20" t="s">
        <v>28</v>
      </c>
      <c r="N38" s="53"/>
      <c r="O38" s="53"/>
      <c r="P38" s="53"/>
      <c r="Q38" s="56"/>
      <c r="R38" s="56"/>
      <c r="S38" s="56"/>
      <c r="T38" s="56"/>
      <c r="U38" s="56"/>
      <c r="V38" s="56"/>
      <c r="W38" s="56"/>
    </row>
    <row r="39" spans="1:23" s="23" customFormat="1">
      <c r="A39" s="62">
        <v>35</v>
      </c>
      <c r="B39" s="19">
        <v>1.2</v>
      </c>
      <c r="C39" s="185" t="s">
        <v>418</v>
      </c>
      <c r="D39" s="25" t="s">
        <v>411</v>
      </c>
      <c r="E39" s="60">
        <v>44907.405393518522</v>
      </c>
      <c r="F39" s="61" t="s">
        <v>412</v>
      </c>
      <c r="G39" s="16"/>
      <c r="H39" s="20"/>
      <c r="I39" s="20"/>
      <c r="J39" s="194" t="s">
        <v>490</v>
      </c>
      <c r="K39" s="21">
        <v>44907.405462962961</v>
      </c>
      <c r="L39" s="20" t="s">
        <v>27</v>
      </c>
      <c r="M39" s="20" t="s">
        <v>28</v>
      </c>
      <c r="N39" s="53"/>
      <c r="O39" s="53"/>
      <c r="P39" s="53"/>
      <c r="Q39" s="56"/>
      <c r="R39" s="56"/>
      <c r="S39" s="56"/>
      <c r="T39" s="56"/>
      <c r="U39" s="56"/>
      <c r="V39" s="56"/>
      <c r="W39" s="56"/>
    </row>
    <row r="40" spans="1:23" s="23" customFormat="1">
      <c r="A40" s="62">
        <v>36</v>
      </c>
      <c r="B40" s="185" t="s">
        <v>493</v>
      </c>
      <c r="C40" s="185" t="s">
        <v>439</v>
      </c>
      <c r="D40" s="25" t="s">
        <v>411</v>
      </c>
      <c r="E40" s="60">
        <v>44910.498101851852</v>
      </c>
      <c r="F40" s="61" t="s">
        <v>437</v>
      </c>
      <c r="G40" s="16"/>
      <c r="H40" s="20"/>
      <c r="I40" s="20"/>
      <c r="J40" s="20" t="s">
        <v>437</v>
      </c>
      <c r="K40" s="21">
        <v>44910.498148148145</v>
      </c>
      <c r="L40" s="20" t="s">
        <v>27</v>
      </c>
      <c r="M40" s="20" t="s">
        <v>28</v>
      </c>
      <c r="N40" s="53"/>
      <c r="O40" s="53"/>
      <c r="P40" s="53"/>
      <c r="Q40" s="56"/>
      <c r="R40" s="56"/>
      <c r="S40" s="56"/>
      <c r="T40" s="56"/>
      <c r="U40" s="56"/>
      <c r="V40" s="56"/>
      <c r="W40" s="56"/>
    </row>
    <row r="41" spans="1:23" s="23" customFormat="1" ht="39.6">
      <c r="A41" s="62">
        <v>37</v>
      </c>
      <c r="B41" s="19">
        <v>1.1000000000000001</v>
      </c>
      <c r="C41" s="185" t="s">
        <v>496</v>
      </c>
      <c r="D41" s="25" t="s">
        <v>411</v>
      </c>
      <c r="E41" s="60">
        <v>44953.635451388887</v>
      </c>
      <c r="F41" s="61" t="s">
        <v>412</v>
      </c>
      <c r="G41" s="16"/>
      <c r="H41" s="20"/>
      <c r="I41" s="20"/>
      <c r="J41" s="194" t="s">
        <v>417</v>
      </c>
      <c r="K41" s="21">
        <v>44953.63553240741</v>
      </c>
      <c r="L41" s="20" t="s">
        <v>27</v>
      </c>
      <c r="M41" s="20" t="s">
        <v>28</v>
      </c>
      <c r="N41" s="53"/>
      <c r="O41" s="53"/>
      <c r="P41" s="53"/>
      <c r="Q41" s="56"/>
      <c r="R41" s="56"/>
      <c r="S41" s="56"/>
      <c r="T41" s="56"/>
      <c r="U41" s="56"/>
      <c r="V41" s="56"/>
      <c r="W41" s="56"/>
    </row>
    <row r="42" spans="1:23" s="23" customFormat="1" ht="26.4">
      <c r="A42" s="62">
        <v>38</v>
      </c>
      <c r="B42" s="19">
        <v>1.1000000000000001</v>
      </c>
      <c r="C42" s="185" t="s">
        <v>500</v>
      </c>
      <c r="D42" s="25" t="s">
        <v>411</v>
      </c>
      <c r="E42" s="60">
        <v>44953.637129629627</v>
      </c>
      <c r="F42" s="61" t="s">
        <v>412</v>
      </c>
      <c r="G42" s="16"/>
      <c r="H42" s="20"/>
      <c r="I42" s="20"/>
      <c r="J42" s="194" t="s">
        <v>417</v>
      </c>
      <c r="K42" s="21">
        <v>44953.637187499997</v>
      </c>
      <c r="L42" s="20" t="s">
        <v>27</v>
      </c>
      <c r="M42" s="20" t="s">
        <v>28</v>
      </c>
      <c r="N42" s="53"/>
      <c r="O42" s="53"/>
      <c r="P42" s="53"/>
      <c r="Q42" s="56"/>
      <c r="R42" s="56"/>
      <c r="S42" s="56"/>
      <c r="T42" s="56"/>
      <c r="U42" s="56"/>
      <c r="V42" s="56"/>
      <c r="W42" s="56"/>
    </row>
    <row r="43" spans="1:23" s="23" customFormat="1" ht="39.6">
      <c r="A43" s="62">
        <v>39</v>
      </c>
      <c r="B43" s="19">
        <v>1.1000000000000001</v>
      </c>
      <c r="C43" s="185" t="s">
        <v>499</v>
      </c>
      <c r="D43" s="25" t="s">
        <v>411</v>
      </c>
      <c r="E43" s="60">
        <v>44953.638622685183</v>
      </c>
      <c r="F43" s="61" t="s">
        <v>412</v>
      </c>
      <c r="G43" s="16"/>
      <c r="H43" s="20"/>
      <c r="I43" s="20"/>
      <c r="J43" s="194" t="s">
        <v>417</v>
      </c>
      <c r="K43" s="21">
        <v>44953.638726851852</v>
      </c>
      <c r="L43" s="20" t="s">
        <v>27</v>
      </c>
      <c r="M43" s="20" t="s">
        <v>28</v>
      </c>
      <c r="N43" s="53"/>
      <c r="O43" s="53"/>
      <c r="P43" s="53"/>
      <c r="Q43" s="56"/>
      <c r="R43" s="56"/>
      <c r="S43" s="56"/>
      <c r="T43" s="56"/>
      <c r="U43" s="56"/>
      <c r="V43" s="56"/>
      <c r="W43" s="56"/>
    </row>
    <row r="44" spans="1:23" s="23" customFormat="1" ht="39.6">
      <c r="A44" s="62">
        <v>40</v>
      </c>
      <c r="B44" s="19">
        <v>1.1000000000000001</v>
      </c>
      <c r="C44" s="185" t="s">
        <v>501</v>
      </c>
      <c r="D44" s="25" t="s">
        <v>411</v>
      </c>
      <c r="E44" s="60">
        <v>44953.638645833336</v>
      </c>
      <c r="F44" s="61" t="s">
        <v>412</v>
      </c>
      <c r="G44" s="16"/>
      <c r="H44" s="20"/>
      <c r="I44" s="20"/>
      <c r="J44" s="194" t="s">
        <v>417</v>
      </c>
      <c r="K44" s="21">
        <v>44953.638749999998</v>
      </c>
      <c r="L44" s="20" t="s">
        <v>27</v>
      </c>
      <c r="M44" s="20" t="s">
        <v>28</v>
      </c>
      <c r="N44" s="53"/>
      <c r="O44" s="53"/>
      <c r="P44" s="53"/>
      <c r="Q44" s="56"/>
      <c r="R44" s="56"/>
      <c r="S44" s="56"/>
      <c r="T44" s="56"/>
      <c r="U44" s="56"/>
      <c r="V44" s="56"/>
      <c r="W44" s="56"/>
    </row>
    <row r="45" spans="1:23" s="23" customFormat="1" ht="39.6">
      <c r="A45" s="62">
        <v>41</v>
      </c>
      <c r="B45" s="19">
        <v>1.1000000000000001</v>
      </c>
      <c r="C45" s="185" t="s">
        <v>502</v>
      </c>
      <c r="D45" s="25" t="s">
        <v>411</v>
      </c>
      <c r="E45" s="60">
        <v>44953.638668981483</v>
      </c>
      <c r="F45" s="61" t="s">
        <v>412</v>
      </c>
      <c r="G45" s="16"/>
      <c r="H45" s="20"/>
      <c r="I45" s="20"/>
      <c r="J45" s="194" t="s">
        <v>417</v>
      </c>
      <c r="K45" s="21">
        <v>44953.638807870368</v>
      </c>
      <c r="L45" s="20" t="s">
        <v>27</v>
      </c>
      <c r="M45" s="20" t="s">
        <v>28</v>
      </c>
      <c r="N45" s="53"/>
      <c r="O45" s="53"/>
      <c r="P45" s="53"/>
      <c r="Q45" s="56"/>
      <c r="R45" s="56"/>
      <c r="S45" s="56"/>
      <c r="T45" s="56"/>
      <c r="U45" s="56"/>
      <c r="V45" s="56"/>
      <c r="W45" s="56"/>
    </row>
    <row r="46" spans="1:23" s="23" customFormat="1" ht="26.4">
      <c r="A46" s="62">
        <v>42</v>
      </c>
      <c r="B46" s="185" t="s">
        <v>507</v>
      </c>
      <c r="C46" s="19" t="s">
        <v>424</v>
      </c>
      <c r="D46" s="25" t="s">
        <v>510</v>
      </c>
      <c r="E46" s="60">
        <v>44971.393194444441</v>
      </c>
      <c r="F46" s="61" t="s">
        <v>437</v>
      </c>
      <c r="G46" s="16" t="s">
        <v>20</v>
      </c>
      <c r="H46" s="20"/>
      <c r="I46" s="20"/>
      <c r="J46" s="194" t="s">
        <v>517</v>
      </c>
      <c r="K46" s="21">
        <v>44971</v>
      </c>
      <c r="L46" s="20" t="s">
        <v>20</v>
      </c>
      <c r="M46" s="20" t="s">
        <v>28</v>
      </c>
      <c r="N46" s="53"/>
      <c r="O46" s="53"/>
      <c r="P46" s="53"/>
      <c r="Q46" s="56"/>
      <c r="R46" s="56"/>
      <c r="S46" s="56"/>
      <c r="T46" s="56"/>
      <c r="U46" s="56"/>
      <c r="V46" s="56"/>
      <c r="W46" s="56"/>
    </row>
    <row r="47" spans="1:23" s="23" customFormat="1" ht="26.4">
      <c r="A47" s="62">
        <v>43</v>
      </c>
      <c r="B47" s="185" t="s">
        <v>507</v>
      </c>
      <c r="C47" s="19" t="s">
        <v>424</v>
      </c>
      <c r="D47" s="25" t="s">
        <v>511</v>
      </c>
      <c r="E47" s="60">
        <v>44971.394016203703</v>
      </c>
      <c r="F47" s="61" t="s">
        <v>437</v>
      </c>
      <c r="G47" s="16" t="s">
        <v>20</v>
      </c>
      <c r="H47" s="20"/>
      <c r="I47" s="20"/>
      <c r="J47" s="194" t="s">
        <v>517</v>
      </c>
      <c r="K47" s="21">
        <v>44971</v>
      </c>
      <c r="L47" s="20" t="s">
        <v>20</v>
      </c>
      <c r="M47" s="20" t="s">
        <v>28</v>
      </c>
      <c r="N47" s="53"/>
      <c r="O47" s="53"/>
      <c r="P47" s="53"/>
      <c r="Q47" s="56"/>
      <c r="R47" s="56"/>
      <c r="S47" s="56"/>
      <c r="T47" s="56"/>
      <c r="U47" s="56"/>
      <c r="V47" s="56"/>
      <c r="W47" s="56"/>
    </row>
    <row r="48" spans="1:23" s="23" customFormat="1" ht="26.4">
      <c r="A48" s="62">
        <v>44</v>
      </c>
      <c r="B48" s="185" t="s">
        <v>507</v>
      </c>
      <c r="C48" s="19" t="s">
        <v>424</v>
      </c>
      <c r="D48" s="25" t="s">
        <v>512</v>
      </c>
      <c r="E48" s="60">
        <v>44971.402094907404</v>
      </c>
      <c r="F48" s="61" t="s">
        <v>437</v>
      </c>
      <c r="G48" s="16" t="s">
        <v>20</v>
      </c>
      <c r="H48" s="20"/>
      <c r="I48" s="20"/>
      <c r="J48" s="194" t="s">
        <v>517</v>
      </c>
      <c r="K48" s="21">
        <v>44971</v>
      </c>
      <c r="L48" s="20" t="s">
        <v>20</v>
      </c>
      <c r="M48" s="20" t="s">
        <v>28</v>
      </c>
      <c r="N48" s="53"/>
      <c r="O48" s="53"/>
      <c r="P48" s="53"/>
      <c r="Q48" s="56"/>
      <c r="R48" s="56"/>
      <c r="S48" s="56"/>
      <c r="T48" s="56"/>
      <c r="U48" s="56"/>
      <c r="V48" s="56"/>
      <c r="W48" s="56"/>
    </row>
    <row r="49" spans="1:23" s="23" customFormat="1" ht="26.4">
      <c r="A49" s="62">
        <v>45</v>
      </c>
      <c r="B49" s="185" t="s">
        <v>507</v>
      </c>
      <c r="C49" s="19" t="s">
        <v>424</v>
      </c>
      <c r="D49" s="25" t="s">
        <v>513</v>
      </c>
      <c r="E49" s="60">
        <v>44971.403182870374</v>
      </c>
      <c r="F49" s="61" t="s">
        <v>437</v>
      </c>
      <c r="G49" s="16" t="s">
        <v>20</v>
      </c>
      <c r="H49" s="20"/>
      <c r="I49" s="20"/>
      <c r="J49" s="194" t="s">
        <v>517</v>
      </c>
      <c r="K49" s="21">
        <v>44971</v>
      </c>
      <c r="L49" s="20" t="s">
        <v>20</v>
      </c>
      <c r="M49" s="20" t="s">
        <v>28</v>
      </c>
      <c r="N49" s="53"/>
      <c r="O49" s="53"/>
      <c r="P49" s="53"/>
      <c r="Q49" s="56"/>
      <c r="R49" s="56"/>
      <c r="S49" s="56"/>
      <c r="T49" s="56"/>
      <c r="U49" s="56"/>
      <c r="V49" s="56"/>
      <c r="W49" s="56"/>
    </row>
    <row r="50" spans="1:23" s="23" customFormat="1" ht="26.4">
      <c r="A50" s="62">
        <v>46</v>
      </c>
      <c r="B50" s="185" t="s">
        <v>507</v>
      </c>
      <c r="C50" s="19" t="s">
        <v>424</v>
      </c>
      <c r="D50" s="25" t="s">
        <v>514</v>
      </c>
      <c r="E50" s="60">
        <v>44971.404247685183</v>
      </c>
      <c r="F50" s="61" t="s">
        <v>437</v>
      </c>
      <c r="G50" s="16" t="s">
        <v>20</v>
      </c>
      <c r="H50" s="20"/>
      <c r="I50" s="20"/>
      <c r="J50" s="194" t="s">
        <v>517</v>
      </c>
      <c r="K50" s="21">
        <v>44971</v>
      </c>
      <c r="L50" s="20" t="s">
        <v>20</v>
      </c>
      <c r="M50" s="20" t="s">
        <v>28</v>
      </c>
      <c r="N50" s="53"/>
      <c r="O50" s="53"/>
      <c r="P50" s="53"/>
      <c r="Q50" s="56"/>
      <c r="R50" s="56"/>
      <c r="S50" s="56"/>
      <c r="T50" s="56"/>
      <c r="U50" s="56"/>
      <c r="V50" s="56"/>
      <c r="W50" s="56"/>
    </row>
    <row r="51" spans="1:23" s="23" customFormat="1" ht="39.6">
      <c r="A51" s="62">
        <v>47</v>
      </c>
      <c r="B51" s="185" t="s">
        <v>507</v>
      </c>
      <c r="C51" s="19" t="s">
        <v>424</v>
      </c>
      <c r="D51" s="25" t="s">
        <v>515</v>
      </c>
      <c r="E51" s="60">
        <v>44971.406828703701</v>
      </c>
      <c r="F51" s="61" t="s">
        <v>437</v>
      </c>
      <c r="G51" s="16" t="s">
        <v>20</v>
      </c>
      <c r="H51" s="20"/>
      <c r="I51" s="20"/>
      <c r="J51" s="194" t="s">
        <v>517</v>
      </c>
      <c r="K51" s="21">
        <v>44971</v>
      </c>
      <c r="L51" s="20" t="s">
        <v>20</v>
      </c>
      <c r="M51" s="20" t="s">
        <v>28</v>
      </c>
      <c r="N51" s="53"/>
      <c r="O51" s="53"/>
      <c r="P51" s="53"/>
      <c r="Q51" s="56"/>
      <c r="R51" s="56"/>
      <c r="S51" s="56"/>
      <c r="T51" s="56"/>
      <c r="U51" s="56"/>
      <c r="V51" s="56"/>
      <c r="W51" s="56"/>
    </row>
    <row r="52" spans="1:23" s="23" customFormat="1" ht="26.4">
      <c r="A52" s="62">
        <v>48</v>
      </c>
      <c r="B52" s="185" t="s">
        <v>525</v>
      </c>
      <c r="C52" s="185" t="s">
        <v>424</v>
      </c>
      <c r="D52" s="16" t="s">
        <v>411</v>
      </c>
      <c r="E52" s="60">
        <v>44972.367662037039</v>
      </c>
      <c r="F52" s="61" t="s">
        <v>437</v>
      </c>
      <c r="G52" s="16"/>
      <c r="H52" s="20"/>
      <c r="I52" s="20"/>
      <c r="J52" s="20" t="s">
        <v>437</v>
      </c>
      <c r="K52" s="21">
        <v>44972.367719907408</v>
      </c>
      <c r="L52" s="20" t="s">
        <v>27</v>
      </c>
      <c r="M52" s="20" t="s">
        <v>28</v>
      </c>
      <c r="N52" s="53"/>
      <c r="O52" s="53"/>
      <c r="P52" s="53"/>
      <c r="Q52" s="56"/>
      <c r="R52" s="56"/>
      <c r="S52" s="56"/>
      <c r="T52" s="56"/>
      <c r="U52" s="56"/>
      <c r="V52" s="56"/>
      <c r="W52" s="56"/>
    </row>
    <row r="53" spans="1:23" s="23" customFormat="1">
      <c r="A53" s="62">
        <v>49</v>
      </c>
      <c r="B53" s="185" t="s">
        <v>521</v>
      </c>
      <c r="C53" s="185" t="s">
        <v>439</v>
      </c>
      <c r="D53" s="203" t="s">
        <v>519</v>
      </c>
      <c r="E53" s="60">
        <v>44972.551412037035</v>
      </c>
      <c r="F53" s="61" t="s">
        <v>437</v>
      </c>
      <c r="G53" s="16" t="s">
        <v>482</v>
      </c>
      <c r="H53" s="20">
        <v>816274</v>
      </c>
      <c r="I53" s="20"/>
      <c r="J53" s="20" t="s">
        <v>426</v>
      </c>
      <c r="K53" s="21"/>
      <c r="L53" s="20" t="s">
        <v>21</v>
      </c>
      <c r="M53" s="20" t="s">
        <v>28</v>
      </c>
      <c r="N53" s="53"/>
      <c r="O53" s="53"/>
      <c r="P53" s="53"/>
      <c r="Q53" s="56"/>
      <c r="R53" s="56"/>
      <c r="S53" s="56"/>
      <c r="T53" s="56"/>
      <c r="U53" s="56"/>
      <c r="V53" s="56"/>
      <c r="W53" s="56"/>
    </row>
    <row r="54" spans="1:23" s="23" customFormat="1">
      <c r="A54" s="62">
        <v>50</v>
      </c>
      <c r="B54" s="185" t="s">
        <v>521</v>
      </c>
      <c r="C54" s="185" t="s">
        <v>439</v>
      </c>
      <c r="D54" s="25" t="s">
        <v>520</v>
      </c>
      <c r="E54" s="60">
        <v>44972.551504629628</v>
      </c>
      <c r="F54" s="61" t="s">
        <v>437</v>
      </c>
      <c r="G54" s="25" t="s">
        <v>533</v>
      </c>
      <c r="H54" s="20"/>
      <c r="I54" s="20"/>
      <c r="J54" s="20" t="s">
        <v>426</v>
      </c>
      <c r="K54" s="21">
        <v>44974.62703703704</v>
      </c>
      <c r="L54" s="20" t="s">
        <v>20</v>
      </c>
      <c r="M54" s="20" t="s">
        <v>28</v>
      </c>
      <c r="N54" s="53"/>
      <c r="O54" s="53"/>
      <c r="P54" s="53"/>
      <c r="Q54" s="56"/>
      <c r="R54" s="56"/>
      <c r="S54" s="56"/>
      <c r="T54" s="56"/>
      <c r="U54" s="56"/>
      <c r="V54" s="56"/>
      <c r="W54" s="56"/>
    </row>
    <row r="55" spans="1:23" s="23" customFormat="1">
      <c r="A55" s="62">
        <v>51</v>
      </c>
      <c r="B55" s="185" t="s">
        <v>522</v>
      </c>
      <c r="C55" s="185" t="s">
        <v>441</v>
      </c>
      <c r="D55" s="25" t="s">
        <v>520</v>
      </c>
      <c r="E55" s="60">
        <v>44972.551516203705</v>
      </c>
      <c r="F55" s="61" t="s">
        <v>437</v>
      </c>
      <c r="G55" s="25" t="s">
        <v>533</v>
      </c>
      <c r="H55" s="20"/>
      <c r="I55" s="20"/>
      <c r="J55" s="20" t="s">
        <v>426</v>
      </c>
      <c r="K55" s="21">
        <v>44974.626956018517</v>
      </c>
      <c r="L55" s="20" t="s">
        <v>20</v>
      </c>
      <c r="M55" s="20" t="s">
        <v>28</v>
      </c>
      <c r="N55" s="53"/>
      <c r="O55" s="53"/>
      <c r="P55" s="53"/>
      <c r="Q55" s="56"/>
      <c r="R55" s="56"/>
      <c r="S55" s="56"/>
      <c r="T55" s="56"/>
      <c r="U55" s="56"/>
      <c r="V55" s="56"/>
      <c r="W55" s="56"/>
    </row>
    <row r="56" spans="1:23" s="23" customFormat="1" ht="26.4">
      <c r="A56" s="62">
        <v>52</v>
      </c>
      <c r="B56" s="185" t="s">
        <v>522</v>
      </c>
      <c r="C56" s="185" t="s">
        <v>441</v>
      </c>
      <c r="D56" s="25" t="s">
        <v>526</v>
      </c>
      <c r="E56" s="60">
        <v>44972.566400462965</v>
      </c>
      <c r="F56" s="61" t="s">
        <v>437</v>
      </c>
      <c r="G56" s="16" t="s">
        <v>482</v>
      </c>
      <c r="H56" s="20">
        <v>816274</v>
      </c>
      <c r="I56" s="20"/>
      <c r="J56" s="20" t="s">
        <v>426</v>
      </c>
      <c r="K56" s="21"/>
      <c r="L56" s="20" t="s">
        <v>21</v>
      </c>
      <c r="M56" s="20" t="s">
        <v>28</v>
      </c>
      <c r="N56" s="53"/>
      <c r="O56" s="53"/>
      <c r="P56" s="53"/>
      <c r="Q56" s="56"/>
      <c r="R56" s="56"/>
      <c r="S56" s="56"/>
      <c r="T56" s="56"/>
      <c r="U56" s="56"/>
      <c r="V56" s="56"/>
      <c r="W56" s="56"/>
    </row>
    <row r="57" spans="1:23" s="23" customFormat="1">
      <c r="A57" s="62">
        <v>53</v>
      </c>
      <c r="B57" s="19">
        <v>1.3</v>
      </c>
      <c r="C57" s="185" t="s">
        <v>418</v>
      </c>
      <c r="D57" s="204" t="s">
        <v>528</v>
      </c>
      <c r="E57" s="60">
        <v>44973</v>
      </c>
      <c r="F57" s="49" t="s">
        <v>529</v>
      </c>
      <c r="G57" s="16" t="s">
        <v>20</v>
      </c>
      <c r="H57" s="20"/>
      <c r="I57" s="20"/>
      <c r="J57" s="20" t="s">
        <v>412</v>
      </c>
      <c r="K57" s="21">
        <v>45005.537523148145</v>
      </c>
      <c r="L57" s="20" t="s">
        <v>20</v>
      </c>
      <c r="M57" s="20" t="s">
        <v>28</v>
      </c>
      <c r="N57" s="53"/>
      <c r="O57" s="53"/>
      <c r="P57" s="53"/>
      <c r="Q57" s="56"/>
      <c r="R57" s="56"/>
      <c r="S57" s="56"/>
      <c r="T57" s="56"/>
      <c r="U57" s="56"/>
      <c r="V57" s="56"/>
      <c r="W57" s="56"/>
    </row>
    <row r="58" spans="1:23" s="23" customFormat="1">
      <c r="A58" s="62">
        <v>54</v>
      </c>
      <c r="B58" s="185" t="s">
        <v>534</v>
      </c>
      <c r="C58" s="185" t="s">
        <v>441</v>
      </c>
      <c r="D58" s="25" t="s">
        <v>411</v>
      </c>
      <c r="E58" s="60">
        <v>44974.634930555556</v>
      </c>
      <c r="F58" s="61" t="s">
        <v>437</v>
      </c>
      <c r="G58" s="16"/>
      <c r="H58" s="20"/>
      <c r="I58" s="20"/>
      <c r="J58" s="20" t="s">
        <v>437</v>
      </c>
      <c r="K58" s="21">
        <v>44974.634976851848</v>
      </c>
      <c r="L58" s="20" t="s">
        <v>27</v>
      </c>
      <c r="M58" s="20" t="s">
        <v>28</v>
      </c>
      <c r="N58" s="53"/>
      <c r="O58" s="53"/>
      <c r="P58" s="53"/>
      <c r="Q58" s="56"/>
      <c r="R58" s="56"/>
      <c r="S58" s="56"/>
      <c r="T58" s="56"/>
      <c r="U58" s="56"/>
      <c r="V58" s="56"/>
      <c r="W58" s="56"/>
    </row>
    <row r="59" spans="1:23" s="23" customFormat="1">
      <c r="A59" s="62">
        <v>55</v>
      </c>
      <c r="B59" s="19">
        <v>1.2</v>
      </c>
      <c r="C59" s="209" t="s">
        <v>496</v>
      </c>
      <c r="D59" s="25" t="s">
        <v>596</v>
      </c>
      <c r="E59" s="60">
        <v>44979.566400462965</v>
      </c>
      <c r="F59" s="61" t="s">
        <v>412</v>
      </c>
      <c r="G59" s="16"/>
      <c r="H59" s="20"/>
      <c r="I59" s="20"/>
      <c r="J59" s="20" t="s">
        <v>417</v>
      </c>
      <c r="K59" s="21">
        <v>44979.575208333335</v>
      </c>
      <c r="L59" s="20" t="s">
        <v>27</v>
      </c>
      <c r="M59" s="20" t="s">
        <v>28</v>
      </c>
      <c r="N59" s="53"/>
      <c r="O59" s="53"/>
      <c r="P59" s="53"/>
      <c r="Q59" s="56"/>
      <c r="R59" s="56"/>
      <c r="S59" s="56"/>
      <c r="T59" s="56"/>
      <c r="U59" s="56"/>
      <c r="V59" s="56"/>
      <c r="W59" s="56"/>
    </row>
    <row r="60" spans="1:23" s="23" customFormat="1">
      <c r="A60" s="62">
        <v>56</v>
      </c>
      <c r="B60" s="19">
        <v>1.2</v>
      </c>
      <c r="C60" s="209" t="s">
        <v>500</v>
      </c>
      <c r="D60" s="25" t="s">
        <v>596</v>
      </c>
      <c r="E60" s="60">
        <v>44979.566516203704</v>
      </c>
      <c r="F60" s="61" t="s">
        <v>412</v>
      </c>
      <c r="G60" s="16"/>
      <c r="H60" s="20"/>
      <c r="I60" s="20"/>
      <c r="J60" s="20" t="s">
        <v>417</v>
      </c>
      <c r="K60" s="21">
        <v>44979.575729166667</v>
      </c>
      <c r="L60" s="20" t="s">
        <v>27</v>
      </c>
      <c r="M60" s="20" t="s">
        <v>28</v>
      </c>
      <c r="N60" s="53"/>
      <c r="O60" s="53"/>
      <c r="P60" s="53"/>
      <c r="Q60" s="56"/>
      <c r="R60" s="56"/>
      <c r="S60" s="56"/>
      <c r="T60" s="56"/>
      <c r="U60" s="56"/>
      <c r="V60" s="56"/>
      <c r="W60" s="56"/>
    </row>
    <row r="61" spans="1:23" s="23" customFormat="1">
      <c r="A61" s="62">
        <v>57</v>
      </c>
      <c r="B61" s="19">
        <v>1.2</v>
      </c>
      <c r="C61" s="209" t="s">
        <v>499</v>
      </c>
      <c r="D61" s="25" t="s">
        <v>596</v>
      </c>
      <c r="E61" s="60">
        <v>44979.566562499997</v>
      </c>
      <c r="F61" s="61" t="s">
        <v>412</v>
      </c>
      <c r="G61" s="16"/>
      <c r="H61" s="20"/>
      <c r="I61" s="20"/>
      <c r="J61" s="20" t="s">
        <v>417</v>
      </c>
      <c r="K61" s="21">
        <v>44979.575729166667</v>
      </c>
      <c r="L61" s="20" t="s">
        <v>27</v>
      </c>
      <c r="M61" s="20" t="s">
        <v>28</v>
      </c>
      <c r="N61" s="53"/>
      <c r="O61" s="53"/>
      <c r="P61" s="53"/>
      <c r="Q61" s="56"/>
      <c r="R61" s="56"/>
      <c r="S61" s="56"/>
      <c r="T61" s="56"/>
      <c r="U61" s="56"/>
      <c r="V61" s="56"/>
      <c r="W61" s="56"/>
    </row>
    <row r="62" spans="1:23" s="23" customFormat="1">
      <c r="A62" s="62">
        <v>58</v>
      </c>
      <c r="B62" s="19">
        <v>1.2</v>
      </c>
      <c r="C62" s="209" t="s">
        <v>501</v>
      </c>
      <c r="D62" s="25" t="s">
        <v>596</v>
      </c>
      <c r="E62" s="60">
        <v>44979.56658564815</v>
      </c>
      <c r="F62" s="61" t="s">
        <v>412</v>
      </c>
      <c r="G62" s="16"/>
      <c r="H62" s="20"/>
      <c r="I62" s="20"/>
      <c r="J62" s="20" t="s">
        <v>417</v>
      </c>
      <c r="K62" s="21">
        <v>44979.575729166667</v>
      </c>
      <c r="L62" s="20" t="s">
        <v>27</v>
      </c>
      <c r="M62" s="20" t="s">
        <v>28</v>
      </c>
      <c r="N62" s="53"/>
      <c r="O62" s="53"/>
      <c r="P62" s="53"/>
      <c r="Q62" s="56"/>
      <c r="R62" s="56"/>
      <c r="S62" s="56"/>
      <c r="T62" s="56"/>
      <c r="U62" s="56"/>
      <c r="V62" s="56"/>
      <c r="W62" s="56"/>
    </row>
    <row r="63" spans="1:23" s="23" customFormat="1">
      <c r="A63" s="62">
        <v>59</v>
      </c>
      <c r="B63" s="19">
        <v>1.2</v>
      </c>
      <c r="C63" s="209" t="s">
        <v>502</v>
      </c>
      <c r="D63" s="25" t="s">
        <v>596</v>
      </c>
      <c r="E63" s="60">
        <v>44979.56658564815</v>
      </c>
      <c r="F63" s="61" t="s">
        <v>412</v>
      </c>
      <c r="G63" s="16"/>
      <c r="H63" s="20"/>
      <c r="I63" s="20"/>
      <c r="J63" s="20" t="s">
        <v>417</v>
      </c>
      <c r="K63" s="21">
        <v>44979.575729166667</v>
      </c>
      <c r="L63" s="20" t="s">
        <v>27</v>
      </c>
      <c r="M63" s="20" t="s">
        <v>28</v>
      </c>
      <c r="N63" s="53"/>
      <c r="O63" s="53"/>
      <c r="P63" s="53"/>
      <c r="Q63" s="56"/>
      <c r="R63" s="56"/>
      <c r="S63" s="56"/>
      <c r="T63" s="56"/>
      <c r="U63" s="56"/>
      <c r="V63" s="56"/>
      <c r="W63" s="56"/>
    </row>
    <row r="64" spans="1:23" s="23" customFormat="1">
      <c r="A64" s="62">
        <v>60</v>
      </c>
      <c r="B64" s="19">
        <v>1.1000000000000001</v>
      </c>
      <c r="C64" s="209" t="s">
        <v>537</v>
      </c>
      <c r="D64" s="25" t="s">
        <v>596</v>
      </c>
      <c r="E64" s="60">
        <v>44979.566608796296</v>
      </c>
      <c r="F64" s="61" t="s">
        <v>412</v>
      </c>
      <c r="G64" s="16"/>
      <c r="H64" s="20"/>
      <c r="I64" s="20"/>
      <c r="J64" s="20" t="s">
        <v>417</v>
      </c>
      <c r="K64" s="21">
        <v>44979.575729166667</v>
      </c>
      <c r="L64" s="20" t="s">
        <v>27</v>
      </c>
      <c r="M64" s="20" t="s">
        <v>28</v>
      </c>
      <c r="N64" s="53"/>
      <c r="O64" s="53"/>
      <c r="P64" s="53"/>
      <c r="Q64" s="56"/>
      <c r="R64" s="56"/>
      <c r="S64" s="56"/>
      <c r="T64" s="56"/>
      <c r="U64" s="56"/>
      <c r="V64" s="56"/>
      <c r="W64" s="56"/>
    </row>
    <row r="65" spans="1:23" s="23" customFormat="1">
      <c r="A65" s="62">
        <v>61</v>
      </c>
      <c r="B65" s="19">
        <v>1.1000000000000001</v>
      </c>
      <c r="C65" s="209" t="s">
        <v>538</v>
      </c>
      <c r="D65" s="25" t="s">
        <v>596</v>
      </c>
      <c r="E65" s="60">
        <v>44979.566631944443</v>
      </c>
      <c r="F65" s="61" t="s">
        <v>412</v>
      </c>
      <c r="G65" s="16"/>
      <c r="H65" s="20"/>
      <c r="I65" s="20"/>
      <c r="J65" s="20" t="s">
        <v>417</v>
      </c>
      <c r="K65" s="21">
        <v>44979.575729166667</v>
      </c>
      <c r="L65" s="20" t="s">
        <v>27</v>
      </c>
      <c r="M65" s="20" t="s">
        <v>28</v>
      </c>
      <c r="N65" s="53"/>
      <c r="O65" s="53"/>
      <c r="P65" s="53"/>
      <c r="Q65" s="56"/>
      <c r="R65" s="56"/>
      <c r="S65" s="56"/>
      <c r="T65" s="56"/>
      <c r="U65" s="56"/>
      <c r="V65" s="56"/>
      <c r="W65" s="56"/>
    </row>
    <row r="66" spans="1:23" s="23" customFormat="1">
      <c r="A66" s="62">
        <v>62</v>
      </c>
      <c r="B66" s="19">
        <v>1.1000000000000001</v>
      </c>
      <c r="C66" s="209" t="s">
        <v>539</v>
      </c>
      <c r="D66" s="25" t="s">
        <v>596</v>
      </c>
      <c r="E66" s="60">
        <v>44979.566643518519</v>
      </c>
      <c r="F66" s="61" t="s">
        <v>412</v>
      </c>
      <c r="G66" s="16"/>
      <c r="H66" s="20"/>
      <c r="I66" s="20"/>
      <c r="J66" s="20" t="s">
        <v>417</v>
      </c>
      <c r="K66" s="21">
        <v>44979.575729166667</v>
      </c>
      <c r="L66" s="20" t="s">
        <v>27</v>
      </c>
      <c r="M66" s="20" t="s">
        <v>28</v>
      </c>
      <c r="N66" s="53"/>
      <c r="O66" s="53"/>
      <c r="P66" s="53"/>
      <c r="Q66" s="56"/>
      <c r="R66" s="56"/>
      <c r="S66" s="56"/>
      <c r="T66" s="56"/>
      <c r="U66" s="56"/>
      <c r="V66" s="56"/>
      <c r="W66" s="56"/>
    </row>
    <row r="67" spans="1:23" s="23" customFormat="1">
      <c r="A67" s="62">
        <v>63</v>
      </c>
      <c r="B67" s="19">
        <v>1.1000000000000001</v>
      </c>
      <c r="C67" s="209" t="s">
        <v>540</v>
      </c>
      <c r="D67" s="25" t="s">
        <v>596</v>
      </c>
      <c r="E67" s="60">
        <v>44979.566666666666</v>
      </c>
      <c r="F67" s="61" t="s">
        <v>412</v>
      </c>
      <c r="G67" s="16"/>
      <c r="H67" s="20"/>
      <c r="I67" s="20"/>
      <c r="J67" s="20" t="s">
        <v>417</v>
      </c>
      <c r="K67" s="21">
        <v>44979.575729166667</v>
      </c>
      <c r="L67" s="20" t="s">
        <v>27</v>
      </c>
      <c r="M67" s="20" t="s">
        <v>28</v>
      </c>
      <c r="N67" s="53"/>
      <c r="O67" s="53"/>
      <c r="P67" s="53"/>
      <c r="Q67" s="56"/>
      <c r="R67" s="56"/>
      <c r="S67" s="56"/>
      <c r="T67" s="56"/>
      <c r="U67" s="56"/>
      <c r="V67" s="56"/>
      <c r="W67" s="56"/>
    </row>
    <row r="68" spans="1:23" s="23" customFormat="1">
      <c r="A68" s="62">
        <v>64</v>
      </c>
      <c r="B68" s="19">
        <v>1.1000000000000001</v>
      </c>
      <c r="C68" s="209" t="s">
        <v>541</v>
      </c>
      <c r="D68" s="25" t="s">
        <v>596</v>
      </c>
      <c r="E68" s="60">
        <v>44979.566678240742</v>
      </c>
      <c r="F68" s="61" t="s">
        <v>412</v>
      </c>
      <c r="G68" s="16"/>
      <c r="H68" s="20"/>
      <c r="I68" s="20"/>
      <c r="J68" s="20" t="s">
        <v>417</v>
      </c>
      <c r="K68" s="21">
        <v>44979.575729166667</v>
      </c>
      <c r="L68" s="20" t="s">
        <v>27</v>
      </c>
      <c r="M68" s="20" t="s">
        <v>28</v>
      </c>
      <c r="N68" s="53"/>
      <c r="O68" s="53"/>
      <c r="P68" s="53"/>
      <c r="Q68" s="56"/>
      <c r="R68" s="56"/>
      <c r="S68" s="56"/>
      <c r="T68" s="56"/>
      <c r="U68" s="56"/>
      <c r="V68" s="56"/>
      <c r="W68" s="56"/>
    </row>
    <row r="69" spans="1:23" s="23" customFormat="1">
      <c r="A69" s="62">
        <v>65</v>
      </c>
      <c r="B69" s="19">
        <v>1.1000000000000001</v>
      </c>
      <c r="C69" s="209" t="s">
        <v>542</v>
      </c>
      <c r="D69" s="25" t="s">
        <v>596</v>
      </c>
      <c r="E69" s="60">
        <v>44979.566701388889</v>
      </c>
      <c r="F69" s="61" t="s">
        <v>412</v>
      </c>
      <c r="G69" s="16"/>
      <c r="H69" s="20"/>
      <c r="I69" s="20"/>
      <c r="J69" s="20" t="s">
        <v>417</v>
      </c>
      <c r="K69" s="21">
        <v>44979.575729166667</v>
      </c>
      <c r="L69" s="20" t="s">
        <v>27</v>
      </c>
      <c r="M69" s="20" t="s">
        <v>28</v>
      </c>
      <c r="N69" s="53"/>
      <c r="O69" s="53"/>
      <c r="P69" s="53"/>
      <c r="Q69" s="56"/>
      <c r="R69" s="56"/>
      <c r="S69" s="56"/>
      <c r="T69" s="56"/>
      <c r="U69" s="56"/>
      <c r="V69" s="56"/>
      <c r="W69" s="56"/>
    </row>
    <row r="70" spans="1:23" s="23" customFormat="1">
      <c r="A70" s="62">
        <v>66</v>
      </c>
      <c r="B70" s="19">
        <v>1.1000000000000001</v>
      </c>
      <c r="C70" s="209" t="s">
        <v>543</v>
      </c>
      <c r="D70" s="25" t="s">
        <v>596</v>
      </c>
      <c r="E70" s="60">
        <v>44979.566712962966</v>
      </c>
      <c r="F70" s="61" t="s">
        <v>412</v>
      </c>
      <c r="G70" s="16"/>
      <c r="H70" s="20"/>
      <c r="I70" s="20"/>
      <c r="J70" s="20" t="s">
        <v>417</v>
      </c>
      <c r="K70" s="21">
        <v>44979.575729166667</v>
      </c>
      <c r="L70" s="20" t="s">
        <v>27</v>
      </c>
      <c r="M70" s="20" t="s">
        <v>28</v>
      </c>
      <c r="N70" s="53"/>
      <c r="O70" s="53"/>
      <c r="P70" s="53"/>
      <c r="Q70" s="56"/>
      <c r="R70" s="56"/>
      <c r="S70" s="56"/>
      <c r="T70" s="56"/>
      <c r="U70" s="56"/>
      <c r="V70" s="56"/>
      <c r="W70" s="56"/>
    </row>
    <row r="71" spans="1:23" s="23" customFormat="1">
      <c r="A71" s="62">
        <v>67</v>
      </c>
      <c r="B71" s="19">
        <v>1.1000000000000001</v>
      </c>
      <c r="C71" s="209" t="s">
        <v>544</v>
      </c>
      <c r="D71" s="25" t="s">
        <v>596</v>
      </c>
      <c r="E71" s="60">
        <v>44979.566817129627</v>
      </c>
      <c r="F71" s="61" t="s">
        <v>412</v>
      </c>
      <c r="G71" s="16"/>
      <c r="H71" s="20"/>
      <c r="I71" s="20"/>
      <c r="J71" s="20" t="s">
        <v>417</v>
      </c>
      <c r="K71" s="21">
        <v>44979.575729166667</v>
      </c>
      <c r="L71" s="20" t="s">
        <v>27</v>
      </c>
      <c r="M71" s="20" t="s">
        <v>28</v>
      </c>
      <c r="N71" s="53"/>
      <c r="O71" s="53"/>
      <c r="P71" s="53"/>
      <c r="Q71" s="56"/>
      <c r="R71" s="56"/>
      <c r="S71" s="56"/>
      <c r="T71" s="56"/>
      <c r="U71" s="56"/>
      <c r="V71" s="56"/>
      <c r="W71" s="56"/>
    </row>
    <row r="72" spans="1:23" s="23" customFormat="1">
      <c r="A72" s="62">
        <v>68</v>
      </c>
      <c r="B72" s="19">
        <v>1.1000000000000001</v>
      </c>
      <c r="C72" s="209" t="s">
        <v>545</v>
      </c>
      <c r="D72" s="25" t="s">
        <v>596</v>
      </c>
      <c r="E72" s="60">
        <v>44979.566828703704</v>
      </c>
      <c r="F72" s="61" t="s">
        <v>412</v>
      </c>
      <c r="G72" s="16"/>
      <c r="H72" s="20"/>
      <c r="I72" s="20"/>
      <c r="J72" s="20" t="s">
        <v>417</v>
      </c>
      <c r="K72" s="21">
        <v>44979.575729166667</v>
      </c>
      <c r="L72" s="20" t="s">
        <v>27</v>
      </c>
      <c r="M72" s="20" t="s">
        <v>28</v>
      </c>
      <c r="N72" s="53"/>
      <c r="O72" s="53"/>
      <c r="P72" s="53"/>
      <c r="Q72" s="56"/>
      <c r="R72" s="56"/>
      <c r="S72" s="56"/>
      <c r="T72" s="56"/>
      <c r="U72" s="56"/>
      <c r="V72" s="56"/>
      <c r="W72" s="56"/>
    </row>
    <row r="73" spans="1:23" s="23" customFormat="1">
      <c r="A73" s="62">
        <v>69</v>
      </c>
      <c r="B73" s="19">
        <v>1.1000000000000001</v>
      </c>
      <c r="C73" s="209" t="s">
        <v>546</v>
      </c>
      <c r="D73" s="25" t="s">
        <v>596</v>
      </c>
      <c r="E73" s="60">
        <v>44979.566851851851</v>
      </c>
      <c r="F73" s="61" t="s">
        <v>412</v>
      </c>
      <c r="G73" s="16"/>
      <c r="H73" s="20"/>
      <c r="I73" s="20"/>
      <c r="J73" s="20" t="s">
        <v>417</v>
      </c>
      <c r="K73" s="21">
        <v>44979.575729166667</v>
      </c>
      <c r="L73" s="20" t="s">
        <v>27</v>
      </c>
      <c r="M73" s="20" t="s">
        <v>28</v>
      </c>
      <c r="N73" s="53"/>
      <c r="O73" s="53"/>
      <c r="P73" s="53"/>
      <c r="Q73" s="56"/>
      <c r="R73" s="56"/>
      <c r="S73" s="56"/>
      <c r="T73" s="56"/>
      <c r="U73" s="56"/>
      <c r="V73" s="56"/>
      <c r="W73" s="56"/>
    </row>
    <row r="74" spans="1:23" s="23" customFormat="1">
      <c r="A74" s="62">
        <v>70</v>
      </c>
      <c r="B74" s="19">
        <v>1.1000000000000001</v>
      </c>
      <c r="C74" s="209" t="s">
        <v>547</v>
      </c>
      <c r="D74" s="25" t="s">
        <v>596</v>
      </c>
      <c r="E74" s="60">
        <v>44979.566863425927</v>
      </c>
      <c r="F74" s="61" t="s">
        <v>412</v>
      </c>
      <c r="G74" s="16"/>
      <c r="H74" s="20"/>
      <c r="I74" s="20"/>
      <c r="J74" s="20" t="s">
        <v>417</v>
      </c>
      <c r="K74" s="21">
        <v>44979.575729166667</v>
      </c>
      <c r="L74" s="20" t="s">
        <v>27</v>
      </c>
      <c r="M74" s="20" t="s">
        <v>28</v>
      </c>
      <c r="N74" s="53"/>
      <c r="O74" s="53"/>
      <c r="P74" s="53"/>
      <c r="Q74" s="56"/>
      <c r="R74" s="56"/>
      <c r="S74" s="56"/>
      <c r="T74" s="56"/>
      <c r="U74" s="56"/>
      <c r="V74" s="56"/>
      <c r="W74" s="56"/>
    </row>
    <row r="75" spans="1:23" s="23" customFormat="1">
      <c r="A75" s="62">
        <v>71</v>
      </c>
      <c r="B75" s="19">
        <v>1.1000000000000001</v>
      </c>
      <c r="C75" s="209" t="s">
        <v>548</v>
      </c>
      <c r="D75" s="25" t="s">
        <v>596</v>
      </c>
      <c r="E75" s="60">
        <v>44979.56689814815</v>
      </c>
      <c r="F75" s="61" t="s">
        <v>412</v>
      </c>
      <c r="G75" s="16"/>
      <c r="H75" s="20"/>
      <c r="I75" s="20"/>
      <c r="J75" s="20" t="s">
        <v>417</v>
      </c>
      <c r="K75" s="21">
        <v>44979.575729166667</v>
      </c>
      <c r="L75" s="20" t="s">
        <v>27</v>
      </c>
      <c r="M75" s="20" t="s">
        <v>28</v>
      </c>
      <c r="N75" s="53"/>
      <c r="O75" s="53"/>
      <c r="P75" s="53"/>
      <c r="Q75" s="56"/>
      <c r="R75" s="56"/>
      <c r="S75" s="56"/>
      <c r="T75" s="56"/>
      <c r="U75" s="56"/>
      <c r="V75" s="56"/>
      <c r="W75" s="56"/>
    </row>
    <row r="76" spans="1:23" s="23" customFormat="1">
      <c r="A76" s="62">
        <v>72</v>
      </c>
      <c r="B76" s="19">
        <v>1.1000000000000001</v>
      </c>
      <c r="C76" s="209" t="s">
        <v>549</v>
      </c>
      <c r="D76" s="25" t="s">
        <v>596</v>
      </c>
      <c r="E76" s="60">
        <v>44979.56690972222</v>
      </c>
      <c r="F76" s="61" t="s">
        <v>412</v>
      </c>
      <c r="G76" s="16"/>
      <c r="H76" s="20"/>
      <c r="I76" s="20"/>
      <c r="J76" s="20" t="s">
        <v>417</v>
      </c>
      <c r="K76" s="21">
        <v>44979.575729166667</v>
      </c>
      <c r="L76" s="20" t="s">
        <v>27</v>
      </c>
      <c r="M76" s="20" t="s">
        <v>28</v>
      </c>
      <c r="N76" s="53"/>
      <c r="O76" s="53"/>
      <c r="P76" s="53"/>
      <c r="Q76" s="56"/>
      <c r="R76" s="56"/>
      <c r="S76" s="56"/>
      <c r="T76" s="56"/>
      <c r="U76" s="56"/>
      <c r="V76" s="56"/>
      <c r="W76" s="56"/>
    </row>
    <row r="77" spans="1:23" s="23" customFormat="1">
      <c r="A77" s="62">
        <v>73</v>
      </c>
      <c r="B77" s="19">
        <v>1.1000000000000001</v>
      </c>
      <c r="C77" s="209" t="s">
        <v>550</v>
      </c>
      <c r="D77" s="25" t="s">
        <v>596</v>
      </c>
      <c r="E77" s="60">
        <v>44979.566944444443</v>
      </c>
      <c r="F77" s="61" t="s">
        <v>412</v>
      </c>
      <c r="G77" s="16"/>
      <c r="H77" s="20"/>
      <c r="I77" s="20"/>
      <c r="J77" s="20" t="s">
        <v>417</v>
      </c>
      <c r="K77" s="21">
        <v>44979.575729166667</v>
      </c>
      <c r="L77" s="20" t="s">
        <v>27</v>
      </c>
      <c r="M77" s="20" t="s">
        <v>28</v>
      </c>
      <c r="N77" s="53"/>
      <c r="O77" s="53"/>
      <c r="P77" s="53"/>
      <c r="Q77" s="56"/>
      <c r="R77" s="56"/>
      <c r="S77" s="56"/>
      <c r="T77" s="56"/>
      <c r="U77" s="56"/>
      <c r="V77" s="56"/>
      <c r="W77" s="56"/>
    </row>
    <row r="78" spans="1:23" s="23" customFormat="1">
      <c r="A78" s="62">
        <v>74</v>
      </c>
      <c r="B78" s="19">
        <v>1.1000000000000001</v>
      </c>
      <c r="C78" s="209" t="s">
        <v>551</v>
      </c>
      <c r="D78" s="25" t="s">
        <v>596</v>
      </c>
      <c r="E78" s="60">
        <v>44979.56695601852</v>
      </c>
      <c r="F78" s="61" t="s">
        <v>412</v>
      </c>
      <c r="G78" s="16"/>
      <c r="H78" s="20"/>
      <c r="I78" s="20"/>
      <c r="J78" s="20" t="s">
        <v>417</v>
      </c>
      <c r="K78" s="21">
        <v>44979.575729166667</v>
      </c>
      <c r="L78" s="20" t="s">
        <v>27</v>
      </c>
      <c r="M78" s="20" t="s">
        <v>28</v>
      </c>
      <c r="N78" s="53"/>
      <c r="O78" s="53"/>
      <c r="P78" s="53"/>
      <c r="Q78" s="56"/>
      <c r="R78" s="56"/>
      <c r="S78" s="56"/>
      <c r="T78" s="56"/>
      <c r="U78" s="56"/>
      <c r="V78" s="56"/>
      <c r="W78" s="56"/>
    </row>
    <row r="79" spans="1:23" s="23" customFormat="1">
      <c r="A79" s="62">
        <v>75</v>
      </c>
      <c r="B79" s="19">
        <v>1.1000000000000001</v>
      </c>
      <c r="C79" s="209" t="s">
        <v>552</v>
      </c>
      <c r="D79" s="25" t="s">
        <v>596</v>
      </c>
      <c r="E79" s="60">
        <v>44979.566967592589</v>
      </c>
      <c r="F79" s="61" t="s">
        <v>412</v>
      </c>
      <c r="G79" s="16"/>
      <c r="H79" s="20"/>
      <c r="I79" s="20"/>
      <c r="J79" s="20" t="s">
        <v>417</v>
      </c>
      <c r="K79" s="21">
        <v>44979.575729166667</v>
      </c>
      <c r="L79" s="20" t="s">
        <v>27</v>
      </c>
      <c r="M79" s="20" t="s">
        <v>28</v>
      </c>
      <c r="N79" s="53"/>
      <c r="O79" s="53"/>
      <c r="P79" s="53"/>
      <c r="Q79" s="56"/>
      <c r="R79" s="56"/>
      <c r="S79" s="56"/>
      <c r="T79" s="56"/>
      <c r="U79" s="56"/>
      <c r="V79" s="56"/>
      <c r="W79" s="56"/>
    </row>
    <row r="80" spans="1:23" s="23" customFormat="1">
      <c r="A80" s="62">
        <v>76</v>
      </c>
      <c r="B80" s="19">
        <v>1.1000000000000001</v>
      </c>
      <c r="C80" s="209" t="s">
        <v>553</v>
      </c>
      <c r="D80" s="25" t="s">
        <v>596</v>
      </c>
      <c r="E80" s="60">
        <v>44979.567002314812</v>
      </c>
      <c r="F80" s="61" t="s">
        <v>412</v>
      </c>
      <c r="G80" s="16"/>
      <c r="H80" s="20"/>
      <c r="I80" s="20"/>
      <c r="J80" s="20" t="s">
        <v>417</v>
      </c>
      <c r="K80" s="21">
        <v>44979.575729166667</v>
      </c>
      <c r="L80" s="20" t="s">
        <v>27</v>
      </c>
      <c r="M80" s="20" t="s">
        <v>28</v>
      </c>
      <c r="N80" s="53"/>
      <c r="O80" s="53"/>
      <c r="P80" s="53"/>
      <c r="Q80" s="56"/>
      <c r="R80" s="56"/>
      <c r="S80" s="56"/>
      <c r="T80" s="56"/>
      <c r="U80" s="56"/>
      <c r="V80" s="56"/>
      <c r="W80" s="56"/>
    </row>
    <row r="81" spans="1:16">
      <c r="A81" s="62">
        <v>77</v>
      </c>
      <c r="B81" s="19">
        <v>1.1000000000000001</v>
      </c>
      <c r="C81" s="209" t="s">
        <v>554</v>
      </c>
      <c r="D81" s="25" t="s">
        <v>596</v>
      </c>
      <c r="E81" s="60">
        <v>44979.567013888889</v>
      </c>
      <c r="F81" s="61" t="s">
        <v>412</v>
      </c>
      <c r="G81" s="16"/>
      <c r="H81" s="20"/>
      <c r="I81" s="20"/>
      <c r="J81" s="20" t="s">
        <v>417</v>
      </c>
      <c r="K81" s="21">
        <v>44979.575729166667</v>
      </c>
      <c r="L81" s="20" t="s">
        <v>27</v>
      </c>
      <c r="M81" s="20" t="s">
        <v>28</v>
      </c>
      <c r="N81" s="53"/>
      <c r="O81" s="53"/>
      <c r="P81" s="53"/>
    </row>
    <row r="82" spans="1:16">
      <c r="A82" s="62">
        <v>78</v>
      </c>
      <c r="B82" s="19">
        <v>1.1000000000000001</v>
      </c>
      <c r="C82" s="209" t="s">
        <v>555</v>
      </c>
      <c r="D82" s="25" t="s">
        <v>596</v>
      </c>
      <c r="E82" s="60">
        <v>44979.567037037035</v>
      </c>
      <c r="F82" s="61" t="s">
        <v>412</v>
      </c>
      <c r="G82" s="16"/>
      <c r="H82" s="20"/>
      <c r="I82" s="20"/>
      <c r="J82" s="20" t="s">
        <v>417</v>
      </c>
      <c r="K82" s="21">
        <v>44979.575729166667</v>
      </c>
      <c r="L82" s="20" t="s">
        <v>27</v>
      </c>
      <c r="M82" s="20" t="s">
        <v>28</v>
      </c>
      <c r="N82" s="53"/>
      <c r="O82" s="53"/>
      <c r="P82" s="53"/>
    </row>
    <row r="83" spans="1:16">
      <c r="A83" s="62">
        <v>79</v>
      </c>
      <c r="B83" s="19">
        <v>1.1000000000000001</v>
      </c>
      <c r="C83" s="209" t="s">
        <v>556</v>
      </c>
      <c r="D83" s="25" t="s">
        <v>596</v>
      </c>
      <c r="E83" s="60">
        <v>44979.567048611112</v>
      </c>
      <c r="F83" s="61" t="s">
        <v>412</v>
      </c>
      <c r="G83" s="16"/>
      <c r="H83" s="20"/>
      <c r="I83" s="20"/>
      <c r="J83" s="20" t="s">
        <v>417</v>
      </c>
      <c r="K83" s="21">
        <v>44979.575729166667</v>
      </c>
      <c r="L83" s="20" t="s">
        <v>27</v>
      </c>
      <c r="M83" s="20" t="s">
        <v>28</v>
      </c>
      <c r="N83" s="53"/>
      <c r="O83" s="53"/>
      <c r="P83" s="53"/>
    </row>
    <row r="84" spans="1:16">
      <c r="A84" s="62">
        <v>80</v>
      </c>
      <c r="B84" s="19">
        <v>1.1000000000000001</v>
      </c>
      <c r="C84" s="209" t="s">
        <v>557</v>
      </c>
      <c r="D84" s="25" t="s">
        <v>596</v>
      </c>
      <c r="E84" s="60">
        <v>44979.567071759258</v>
      </c>
      <c r="F84" s="61" t="s">
        <v>412</v>
      </c>
      <c r="G84" s="16"/>
      <c r="H84" s="20"/>
      <c r="I84" s="20"/>
      <c r="J84" s="20" t="s">
        <v>417</v>
      </c>
      <c r="K84" s="21">
        <v>44979.575729166667</v>
      </c>
      <c r="L84" s="20" t="s">
        <v>27</v>
      </c>
      <c r="M84" s="20" t="s">
        <v>28</v>
      </c>
      <c r="N84" s="53"/>
      <c r="O84" s="53"/>
      <c r="P84" s="53"/>
    </row>
    <row r="85" spans="1:16">
      <c r="A85" s="62">
        <v>81</v>
      </c>
      <c r="B85" s="19">
        <v>1.1000000000000001</v>
      </c>
      <c r="C85" s="209" t="s">
        <v>558</v>
      </c>
      <c r="D85" s="25" t="s">
        <v>596</v>
      </c>
      <c r="E85" s="60">
        <v>44979.567083333335</v>
      </c>
      <c r="F85" s="61" t="s">
        <v>412</v>
      </c>
      <c r="G85" s="16"/>
      <c r="H85" s="20"/>
      <c r="I85" s="20"/>
      <c r="J85" s="20" t="s">
        <v>417</v>
      </c>
      <c r="K85" s="21">
        <v>44979.575729166667</v>
      </c>
      <c r="L85" s="20" t="s">
        <v>27</v>
      </c>
      <c r="M85" s="20" t="s">
        <v>28</v>
      </c>
      <c r="N85" s="53"/>
      <c r="O85" s="53"/>
      <c r="P85" s="53"/>
    </row>
    <row r="86" spans="1:16">
      <c r="A86" s="62">
        <v>82</v>
      </c>
      <c r="B86" s="19">
        <v>1.1000000000000001</v>
      </c>
      <c r="C86" s="209" t="s">
        <v>559</v>
      </c>
      <c r="D86" s="25" t="s">
        <v>596</v>
      </c>
      <c r="E86" s="60">
        <v>44979.567094907405</v>
      </c>
      <c r="F86" s="61" t="s">
        <v>412</v>
      </c>
      <c r="G86" s="16"/>
      <c r="H86" s="20"/>
      <c r="I86" s="20"/>
      <c r="J86" s="20" t="s">
        <v>417</v>
      </c>
      <c r="K86" s="21">
        <v>44979.575729166667</v>
      </c>
      <c r="L86" s="20" t="s">
        <v>27</v>
      </c>
      <c r="M86" s="20" t="s">
        <v>28</v>
      </c>
      <c r="N86" s="53"/>
      <c r="O86" s="53"/>
      <c r="P86" s="53"/>
    </row>
    <row r="87" spans="1:16">
      <c r="A87" s="62">
        <v>83</v>
      </c>
      <c r="B87" s="19">
        <v>1.1000000000000001</v>
      </c>
      <c r="C87" s="209" t="s">
        <v>560</v>
      </c>
      <c r="D87" s="25" t="s">
        <v>596</v>
      </c>
      <c r="E87" s="60">
        <v>44979.567129629628</v>
      </c>
      <c r="F87" s="61" t="s">
        <v>412</v>
      </c>
      <c r="G87" s="16"/>
      <c r="H87" s="20"/>
      <c r="I87" s="20"/>
      <c r="J87" s="20" t="s">
        <v>417</v>
      </c>
      <c r="K87" s="21">
        <v>44979.575729166667</v>
      </c>
      <c r="L87" s="20" t="s">
        <v>27</v>
      </c>
      <c r="M87" s="20" t="s">
        <v>28</v>
      </c>
      <c r="N87" s="53"/>
      <c r="O87" s="53"/>
      <c r="P87" s="53"/>
    </row>
    <row r="88" spans="1:16">
      <c r="A88" s="62">
        <v>84</v>
      </c>
      <c r="B88" s="19">
        <v>1.1000000000000001</v>
      </c>
      <c r="C88" s="209" t="s">
        <v>561</v>
      </c>
      <c r="D88" s="25" t="s">
        <v>596</v>
      </c>
      <c r="E88" s="60">
        <v>44979.567141203705</v>
      </c>
      <c r="F88" s="61" t="s">
        <v>412</v>
      </c>
      <c r="G88" s="16"/>
      <c r="H88" s="20"/>
      <c r="I88" s="20"/>
      <c r="J88" s="20" t="s">
        <v>417</v>
      </c>
      <c r="K88" s="21">
        <v>44979.575729166667</v>
      </c>
      <c r="L88" s="20" t="s">
        <v>27</v>
      </c>
      <c r="M88" s="20" t="s">
        <v>28</v>
      </c>
      <c r="N88" s="53"/>
      <c r="O88" s="53"/>
      <c r="P88" s="53"/>
    </row>
    <row r="89" spans="1:16">
      <c r="A89" s="62">
        <v>85</v>
      </c>
      <c r="B89" s="19">
        <v>1.1000000000000001</v>
      </c>
      <c r="C89" s="209" t="s">
        <v>562</v>
      </c>
      <c r="D89" s="25" t="s">
        <v>596</v>
      </c>
      <c r="E89" s="60">
        <v>44979.567152777781</v>
      </c>
      <c r="F89" s="61" t="s">
        <v>412</v>
      </c>
      <c r="G89" s="16"/>
      <c r="H89" s="20"/>
      <c r="I89" s="20"/>
      <c r="J89" s="20" t="s">
        <v>417</v>
      </c>
      <c r="K89" s="21">
        <v>44979.575729166667</v>
      </c>
      <c r="L89" s="20" t="s">
        <v>27</v>
      </c>
      <c r="M89" s="20" t="s">
        <v>28</v>
      </c>
      <c r="N89" s="53"/>
      <c r="O89" s="53"/>
      <c r="P89" s="53"/>
    </row>
    <row r="90" spans="1:16">
      <c r="A90" s="62">
        <v>86</v>
      </c>
      <c r="B90" s="19">
        <v>1.1000000000000001</v>
      </c>
      <c r="C90" s="209" t="s">
        <v>563</v>
      </c>
      <c r="D90" s="25" t="s">
        <v>596</v>
      </c>
      <c r="E90" s="60">
        <v>44979.567175925928</v>
      </c>
      <c r="F90" s="61" t="s">
        <v>412</v>
      </c>
      <c r="G90" s="16"/>
      <c r="H90" s="20"/>
      <c r="I90" s="20"/>
      <c r="J90" s="20" t="s">
        <v>417</v>
      </c>
      <c r="K90" s="21">
        <v>44979.575729166667</v>
      </c>
      <c r="L90" s="20" t="s">
        <v>27</v>
      </c>
      <c r="M90" s="20" t="s">
        <v>28</v>
      </c>
      <c r="N90" s="53"/>
      <c r="O90" s="53"/>
      <c r="P90" s="53"/>
    </row>
    <row r="91" spans="1:16">
      <c r="A91" s="62">
        <v>87</v>
      </c>
      <c r="B91" s="19">
        <v>1.1000000000000001</v>
      </c>
      <c r="C91" s="209" t="s">
        <v>564</v>
      </c>
      <c r="D91" s="25" t="s">
        <v>596</v>
      </c>
      <c r="E91" s="60">
        <v>44979.567199074074</v>
      </c>
      <c r="F91" s="61" t="s">
        <v>412</v>
      </c>
      <c r="G91" s="16"/>
      <c r="H91" s="20"/>
      <c r="I91" s="20"/>
      <c r="J91" s="20" t="s">
        <v>417</v>
      </c>
      <c r="K91" s="21">
        <v>44979.575729166667</v>
      </c>
      <c r="L91" s="20" t="s">
        <v>27</v>
      </c>
      <c r="M91" s="20" t="s">
        <v>28</v>
      </c>
      <c r="N91" s="53"/>
      <c r="O91" s="53"/>
      <c r="P91" s="53"/>
    </row>
    <row r="92" spans="1:16">
      <c r="A92" s="62">
        <v>88</v>
      </c>
      <c r="B92" s="19">
        <v>1.1000000000000001</v>
      </c>
      <c r="C92" s="209" t="s">
        <v>565</v>
      </c>
      <c r="D92" s="25" t="s">
        <v>596</v>
      </c>
      <c r="E92" s="60">
        <v>44979.567210648151</v>
      </c>
      <c r="F92" s="61" t="s">
        <v>412</v>
      </c>
      <c r="G92" s="16"/>
      <c r="H92" s="20"/>
      <c r="I92" s="20"/>
      <c r="J92" s="20" t="s">
        <v>417</v>
      </c>
      <c r="K92" s="21">
        <v>44979.575729166667</v>
      </c>
      <c r="L92" s="20" t="s">
        <v>27</v>
      </c>
      <c r="M92" s="20" t="s">
        <v>28</v>
      </c>
      <c r="N92" s="53"/>
      <c r="O92" s="53"/>
      <c r="P92" s="53"/>
    </row>
    <row r="93" spans="1:16">
      <c r="A93" s="62">
        <v>89</v>
      </c>
      <c r="B93" s="19">
        <v>1.1000000000000001</v>
      </c>
      <c r="C93" s="209" t="s">
        <v>566</v>
      </c>
      <c r="D93" s="25" t="s">
        <v>596</v>
      </c>
      <c r="E93" s="60">
        <v>44979.56722222222</v>
      </c>
      <c r="F93" s="61" t="s">
        <v>412</v>
      </c>
      <c r="G93" s="16"/>
      <c r="H93" s="20"/>
      <c r="I93" s="20"/>
      <c r="J93" s="20" t="s">
        <v>417</v>
      </c>
      <c r="K93" s="21">
        <v>44979.575729166667</v>
      </c>
      <c r="L93" s="20" t="s">
        <v>27</v>
      </c>
      <c r="M93" s="20" t="s">
        <v>28</v>
      </c>
    </row>
    <row r="94" spans="1:16">
      <c r="A94" s="62">
        <v>90</v>
      </c>
      <c r="B94" s="19">
        <v>1.1000000000000001</v>
      </c>
      <c r="C94" s="209" t="s">
        <v>567</v>
      </c>
      <c r="D94" s="25" t="s">
        <v>596</v>
      </c>
      <c r="E94" s="60">
        <v>44979.56758101852</v>
      </c>
      <c r="F94" s="61" t="s">
        <v>412</v>
      </c>
      <c r="G94" s="16"/>
      <c r="H94" s="20"/>
      <c r="I94" s="20"/>
      <c r="J94" s="20" t="s">
        <v>417</v>
      </c>
      <c r="K94" s="21">
        <v>44979.575729166667</v>
      </c>
      <c r="L94" s="20" t="s">
        <v>27</v>
      </c>
      <c r="M94" s="20" t="s">
        <v>28</v>
      </c>
    </row>
    <row r="95" spans="1:16">
      <c r="A95" s="62">
        <v>91</v>
      </c>
      <c r="B95" s="19">
        <v>1.1000000000000001</v>
      </c>
      <c r="C95" s="209" t="s">
        <v>568</v>
      </c>
      <c r="D95" s="25" t="s">
        <v>596</v>
      </c>
      <c r="E95" s="60">
        <v>44979.567615740743</v>
      </c>
      <c r="F95" s="61" t="s">
        <v>412</v>
      </c>
      <c r="G95" s="16"/>
      <c r="H95" s="20"/>
      <c r="I95" s="20"/>
      <c r="J95" s="20" t="s">
        <v>417</v>
      </c>
      <c r="K95" s="21">
        <v>44979.575729166667</v>
      </c>
      <c r="L95" s="20" t="s">
        <v>27</v>
      </c>
      <c r="M95" s="20" t="s">
        <v>28</v>
      </c>
    </row>
    <row r="96" spans="1:16">
      <c r="A96" s="62">
        <v>92</v>
      </c>
      <c r="B96" s="19">
        <v>1.1000000000000001</v>
      </c>
      <c r="C96" s="209" t="s">
        <v>569</v>
      </c>
      <c r="D96" s="25" t="s">
        <v>596</v>
      </c>
      <c r="E96" s="60">
        <v>44979.56763888889</v>
      </c>
      <c r="F96" s="61" t="s">
        <v>412</v>
      </c>
      <c r="G96" s="16"/>
      <c r="H96" s="20"/>
      <c r="I96" s="20"/>
      <c r="J96" s="20" t="s">
        <v>417</v>
      </c>
      <c r="K96" s="21">
        <v>44979.575729166667</v>
      </c>
      <c r="L96" s="20" t="s">
        <v>27</v>
      </c>
      <c r="M96" s="20" t="s">
        <v>28</v>
      </c>
    </row>
    <row r="97" spans="1:13">
      <c r="A97" s="62">
        <v>93</v>
      </c>
      <c r="B97" s="19">
        <v>1.1000000000000001</v>
      </c>
      <c r="C97" s="209" t="s">
        <v>570</v>
      </c>
      <c r="D97" s="25" t="s">
        <v>596</v>
      </c>
      <c r="E97" s="60">
        <v>44979.567650462966</v>
      </c>
      <c r="F97" s="61" t="s">
        <v>412</v>
      </c>
      <c r="G97" s="16"/>
      <c r="H97" s="20"/>
      <c r="I97" s="20"/>
      <c r="J97" s="20" t="s">
        <v>417</v>
      </c>
      <c r="K97" s="21">
        <v>44979.575729166667</v>
      </c>
      <c r="L97" s="20" t="s">
        <v>27</v>
      </c>
      <c r="M97" s="20" t="s">
        <v>28</v>
      </c>
    </row>
    <row r="98" spans="1:13">
      <c r="A98" s="62">
        <v>94</v>
      </c>
      <c r="B98" s="19">
        <v>1.1000000000000001</v>
      </c>
      <c r="C98" s="209" t="s">
        <v>571</v>
      </c>
      <c r="D98" s="25" t="s">
        <v>596</v>
      </c>
      <c r="E98" s="60">
        <v>44979.567673611113</v>
      </c>
      <c r="F98" s="61" t="s">
        <v>412</v>
      </c>
      <c r="G98" s="16"/>
      <c r="H98" s="20"/>
      <c r="I98" s="20"/>
      <c r="J98" s="20" t="s">
        <v>417</v>
      </c>
      <c r="K98" s="21">
        <v>44979.575729166667</v>
      </c>
      <c r="L98" s="20" t="s">
        <v>27</v>
      </c>
      <c r="M98" s="20" t="s">
        <v>28</v>
      </c>
    </row>
    <row r="99" spans="1:13">
      <c r="A99" s="62">
        <v>95</v>
      </c>
      <c r="B99" s="19">
        <v>1.1000000000000001</v>
      </c>
      <c r="C99" s="209" t="s">
        <v>572</v>
      </c>
      <c r="D99" s="25" t="s">
        <v>596</v>
      </c>
      <c r="E99" s="60">
        <v>44979.567696759259</v>
      </c>
      <c r="F99" s="61" t="s">
        <v>412</v>
      </c>
      <c r="G99" s="16"/>
      <c r="H99" s="20"/>
      <c r="I99" s="20"/>
      <c r="J99" s="20" t="s">
        <v>417</v>
      </c>
      <c r="K99" s="21">
        <v>44979.575729166667</v>
      </c>
      <c r="L99" s="20" t="s">
        <v>27</v>
      </c>
      <c r="M99" s="20" t="s">
        <v>28</v>
      </c>
    </row>
    <row r="100" spans="1:13">
      <c r="A100" s="62">
        <v>96</v>
      </c>
      <c r="B100" s="19">
        <v>1.1000000000000001</v>
      </c>
      <c r="C100" s="209" t="s">
        <v>573</v>
      </c>
      <c r="D100" s="25" t="s">
        <v>596</v>
      </c>
      <c r="E100" s="60">
        <v>44979.567708333336</v>
      </c>
      <c r="F100" s="61" t="s">
        <v>412</v>
      </c>
      <c r="G100" s="16"/>
      <c r="H100" s="20"/>
      <c r="I100" s="20"/>
      <c r="J100" s="20" t="s">
        <v>417</v>
      </c>
      <c r="K100" s="21">
        <v>44979.575729166667</v>
      </c>
      <c r="L100" s="20" t="s">
        <v>27</v>
      </c>
      <c r="M100" s="20" t="s">
        <v>28</v>
      </c>
    </row>
    <row r="101" spans="1:13">
      <c r="A101" s="62">
        <v>97</v>
      </c>
      <c r="B101" s="19">
        <v>1.1000000000000001</v>
      </c>
      <c r="C101" s="209" t="s">
        <v>574</v>
      </c>
      <c r="D101" s="25" t="s">
        <v>596</v>
      </c>
      <c r="E101" s="60">
        <v>44979.567719907405</v>
      </c>
      <c r="F101" s="61" t="s">
        <v>412</v>
      </c>
      <c r="G101" s="16"/>
      <c r="H101" s="20"/>
      <c r="I101" s="20"/>
      <c r="J101" s="20" t="s">
        <v>417</v>
      </c>
      <c r="K101" s="21">
        <v>44979.575729166667</v>
      </c>
      <c r="L101" s="20" t="s">
        <v>27</v>
      </c>
      <c r="M101" s="20" t="s">
        <v>28</v>
      </c>
    </row>
    <row r="102" spans="1:13">
      <c r="A102" s="62">
        <v>98</v>
      </c>
      <c r="B102" s="19">
        <v>1.1000000000000001</v>
      </c>
      <c r="C102" s="209" t="s">
        <v>575</v>
      </c>
      <c r="D102" s="25" t="s">
        <v>596</v>
      </c>
      <c r="E102" s="60">
        <v>44979.567777777775</v>
      </c>
      <c r="F102" s="61" t="s">
        <v>412</v>
      </c>
      <c r="G102" s="16"/>
      <c r="H102" s="20"/>
      <c r="I102" s="20"/>
      <c r="J102" s="20" t="s">
        <v>417</v>
      </c>
      <c r="K102" s="21">
        <v>44979.575729166667</v>
      </c>
      <c r="L102" s="20" t="s">
        <v>27</v>
      </c>
      <c r="M102" s="20" t="s">
        <v>28</v>
      </c>
    </row>
    <row r="103" spans="1:13">
      <c r="A103" s="62">
        <v>99</v>
      </c>
      <c r="B103" s="19">
        <v>1.1000000000000001</v>
      </c>
      <c r="C103" s="209" t="s">
        <v>576</v>
      </c>
      <c r="D103" s="25" t="s">
        <v>596</v>
      </c>
      <c r="E103" s="60">
        <v>44979.567789351851</v>
      </c>
      <c r="F103" s="61" t="s">
        <v>412</v>
      </c>
      <c r="G103" s="16"/>
      <c r="H103" s="20"/>
      <c r="I103" s="20"/>
      <c r="J103" s="20" t="s">
        <v>417</v>
      </c>
      <c r="K103" s="21">
        <v>44979.575729166667</v>
      </c>
      <c r="L103" s="20" t="s">
        <v>27</v>
      </c>
      <c r="M103" s="20" t="s">
        <v>28</v>
      </c>
    </row>
    <row r="104" spans="1:13">
      <c r="A104" s="62">
        <v>100</v>
      </c>
      <c r="B104" s="19">
        <v>1.1000000000000001</v>
      </c>
      <c r="C104" s="209" t="s">
        <v>577</v>
      </c>
      <c r="D104" s="25" t="s">
        <v>596</v>
      </c>
      <c r="E104" s="60">
        <v>44979.567800925928</v>
      </c>
      <c r="F104" s="61" t="s">
        <v>412</v>
      </c>
      <c r="G104" s="16"/>
      <c r="H104" s="20"/>
      <c r="I104" s="20"/>
      <c r="J104" s="20" t="s">
        <v>417</v>
      </c>
      <c r="K104" s="21">
        <v>44979.575729166667</v>
      </c>
      <c r="L104" s="20" t="s">
        <v>27</v>
      </c>
      <c r="M104" s="20" t="s">
        <v>28</v>
      </c>
    </row>
    <row r="105" spans="1:13">
      <c r="A105" s="62">
        <v>101</v>
      </c>
      <c r="B105" s="19">
        <v>1.1000000000000001</v>
      </c>
      <c r="C105" s="209" t="s">
        <v>578</v>
      </c>
      <c r="D105" s="25" t="s">
        <v>596</v>
      </c>
      <c r="E105" s="60">
        <v>44979.567812499998</v>
      </c>
      <c r="F105" s="61" t="s">
        <v>412</v>
      </c>
      <c r="G105" s="16"/>
      <c r="H105" s="20"/>
      <c r="I105" s="20"/>
      <c r="J105" s="20" t="s">
        <v>417</v>
      </c>
      <c r="K105" s="21">
        <v>44979.575729166667</v>
      </c>
      <c r="L105" s="20" t="s">
        <v>27</v>
      </c>
      <c r="M105" s="20" t="s">
        <v>28</v>
      </c>
    </row>
    <row r="106" spans="1:13">
      <c r="A106" s="62">
        <v>102</v>
      </c>
      <c r="B106" s="19">
        <v>1.1000000000000001</v>
      </c>
      <c r="C106" s="209" t="s">
        <v>579</v>
      </c>
      <c r="D106" s="25" t="s">
        <v>596</v>
      </c>
      <c r="E106" s="60">
        <v>44979.567824074074</v>
      </c>
      <c r="F106" s="61" t="s">
        <v>412</v>
      </c>
      <c r="G106" s="16"/>
      <c r="H106" s="20"/>
      <c r="I106" s="20"/>
      <c r="J106" s="20" t="s">
        <v>417</v>
      </c>
      <c r="K106" s="21">
        <v>44979.575729166667</v>
      </c>
      <c r="L106" s="20" t="s">
        <v>27</v>
      </c>
      <c r="M106" s="20" t="s">
        <v>28</v>
      </c>
    </row>
    <row r="107" spans="1:13">
      <c r="A107" s="62">
        <v>103</v>
      </c>
      <c r="B107" s="19">
        <v>1.1000000000000001</v>
      </c>
      <c r="C107" s="209" t="s">
        <v>580</v>
      </c>
      <c r="D107" s="25" t="s">
        <v>596</v>
      </c>
      <c r="E107" s="60">
        <v>44979.568159722221</v>
      </c>
      <c r="F107" s="61" t="s">
        <v>412</v>
      </c>
      <c r="G107" s="16"/>
      <c r="H107" s="20"/>
      <c r="I107" s="20"/>
      <c r="J107" s="20" t="s">
        <v>417</v>
      </c>
      <c r="K107" s="21">
        <v>44979.575729166667</v>
      </c>
      <c r="L107" s="20" t="s">
        <v>27</v>
      </c>
      <c r="M107" s="20" t="s">
        <v>28</v>
      </c>
    </row>
    <row r="108" spans="1:13">
      <c r="A108" s="62">
        <v>104</v>
      </c>
      <c r="B108" s="19">
        <v>1.1000000000000001</v>
      </c>
      <c r="C108" s="209" t="s">
        <v>581</v>
      </c>
      <c r="D108" s="25" t="s">
        <v>596</v>
      </c>
      <c r="E108" s="60">
        <v>44979.568252314813</v>
      </c>
      <c r="F108" s="61" t="s">
        <v>412</v>
      </c>
      <c r="G108" s="16"/>
      <c r="H108" s="20"/>
      <c r="I108" s="20"/>
      <c r="J108" s="20" t="s">
        <v>417</v>
      </c>
      <c r="K108" s="21">
        <v>44979.575729166667</v>
      </c>
      <c r="L108" s="20" t="s">
        <v>27</v>
      </c>
      <c r="M108" s="20" t="s">
        <v>28</v>
      </c>
    </row>
    <row r="109" spans="1:13">
      <c r="A109" s="62">
        <v>105</v>
      </c>
      <c r="B109" s="19">
        <v>1.1000000000000001</v>
      </c>
      <c r="C109" s="209" t="s">
        <v>582</v>
      </c>
      <c r="D109" s="25" t="s">
        <v>596</v>
      </c>
      <c r="E109" s="60">
        <v>44979.568287037036</v>
      </c>
      <c r="F109" s="61" t="s">
        <v>412</v>
      </c>
      <c r="G109" s="16"/>
      <c r="H109" s="20"/>
      <c r="I109" s="20"/>
      <c r="J109" s="20" t="s">
        <v>417</v>
      </c>
      <c r="K109" s="21">
        <v>44979.575729166667</v>
      </c>
      <c r="L109" s="20" t="s">
        <v>27</v>
      </c>
      <c r="M109" s="20" t="s">
        <v>28</v>
      </c>
    </row>
    <row r="110" spans="1:13">
      <c r="A110" s="62">
        <v>106</v>
      </c>
      <c r="B110" s="19">
        <v>1.1000000000000001</v>
      </c>
      <c r="C110" s="209" t="s">
        <v>583</v>
      </c>
      <c r="D110" s="25" t="s">
        <v>596</v>
      </c>
      <c r="E110" s="60">
        <v>44979.568310185183</v>
      </c>
      <c r="F110" s="61" t="s">
        <v>412</v>
      </c>
      <c r="G110" s="16"/>
      <c r="H110" s="20"/>
      <c r="I110" s="20"/>
      <c r="J110" s="20" t="s">
        <v>417</v>
      </c>
      <c r="K110" s="21">
        <v>44979.575729166667</v>
      </c>
      <c r="L110" s="20" t="s">
        <v>27</v>
      </c>
      <c r="M110" s="20" t="s">
        <v>28</v>
      </c>
    </row>
    <row r="111" spans="1:13" ht="26.4">
      <c r="A111" s="62">
        <v>107</v>
      </c>
      <c r="B111" s="19">
        <v>1.1000000000000001</v>
      </c>
      <c r="C111" s="209" t="s">
        <v>584</v>
      </c>
      <c r="D111" s="25" t="s">
        <v>592</v>
      </c>
      <c r="E111" s="60">
        <v>44979.56832175926</v>
      </c>
      <c r="F111" s="61" t="s">
        <v>412</v>
      </c>
      <c r="G111" s="25" t="s">
        <v>597</v>
      </c>
      <c r="H111" s="20"/>
      <c r="I111" s="20"/>
      <c r="J111" s="20" t="s">
        <v>417</v>
      </c>
      <c r="K111" s="21">
        <v>44979.575729166667</v>
      </c>
      <c r="L111" s="194" t="s">
        <v>20</v>
      </c>
      <c r="M111" s="20" t="s">
        <v>28</v>
      </c>
    </row>
    <row r="112" spans="1:13">
      <c r="A112" s="62">
        <v>108</v>
      </c>
      <c r="B112" s="19">
        <v>1.1000000000000001</v>
      </c>
      <c r="C112" s="209" t="s">
        <v>585</v>
      </c>
      <c r="D112" s="25" t="s">
        <v>596</v>
      </c>
      <c r="E112" s="60">
        <v>44979.568333333336</v>
      </c>
      <c r="F112" s="61" t="s">
        <v>412</v>
      </c>
      <c r="G112" s="16"/>
      <c r="H112" s="20"/>
      <c r="I112" s="20"/>
      <c r="J112" s="20" t="s">
        <v>417</v>
      </c>
      <c r="K112" s="21">
        <v>44979.575729166667</v>
      </c>
      <c r="L112" s="20" t="s">
        <v>27</v>
      </c>
      <c r="M112" s="20" t="s">
        <v>28</v>
      </c>
    </row>
    <row r="113" spans="1:13">
      <c r="A113" s="62">
        <v>109</v>
      </c>
      <c r="B113" s="19">
        <v>1.1000000000000001</v>
      </c>
      <c r="C113" s="209" t="s">
        <v>586</v>
      </c>
      <c r="D113" s="25" t="s">
        <v>596</v>
      </c>
      <c r="E113" s="60">
        <v>44979.568344907406</v>
      </c>
      <c r="F113" s="61" t="s">
        <v>412</v>
      </c>
      <c r="G113" s="16"/>
      <c r="H113" s="20"/>
      <c r="I113" s="20"/>
      <c r="J113" s="20" t="s">
        <v>417</v>
      </c>
      <c r="K113" s="21">
        <v>44979.575729166667</v>
      </c>
      <c r="L113" s="20" t="s">
        <v>27</v>
      </c>
      <c r="M113" s="20" t="s">
        <v>28</v>
      </c>
    </row>
    <row r="114" spans="1:13">
      <c r="A114" s="62">
        <v>110</v>
      </c>
      <c r="B114" s="19">
        <v>1.1000000000000001</v>
      </c>
      <c r="C114" s="209" t="s">
        <v>587</v>
      </c>
      <c r="D114" s="25" t="s">
        <v>596</v>
      </c>
      <c r="E114" s="60">
        <v>44979.568356481483</v>
      </c>
      <c r="F114" s="61" t="s">
        <v>412</v>
      </c>
      <c r="G114" s="16"/>
      <c r="H114" s="20"/>
      <c r="I114" s="20"/>
      <c r="J114" s="20" t="s">
        <v>417</v>
      </c>
      <c r="K114" s="21">
        <v>44979.575729166667</v>
      </c>
      <c r="L114" s="20" t="s">
        <v>27</v>
      </c>
      <c r="M114" s="20" t="s">
        <v>28</v>
      </c>
    </row>
    <row r="115" spans="1:13">
      <c r="A115" s="62">
        <v>111</v>
      </c>
      <c r="B115" s="19">
        <v>1.1000000000000001</v>
      </c>
      <c r="C115" s="209" t="s">
        <v>588</v>
      </c>
      <c r="D115" s="25" t="s">
        <v>596</v>
      </c>
      <c r="E115" s="60">
        <v>44979.568368055552</v>
      </c>
      <c r="F115" s="61" t="s">
        <v>412</v>
      </c>
      <c r="G115" s="16"/>
      <c r="H115" s="20"/>
      <c r="I115" s="20"/>
      <c r="J115" s="20" t="s">
        <v>417</v>
      </c>
      <c r="K115" s="21">
        <v>44979.575729166667</v>
      </c>
      <c r="L115" s="20" t="s">
        <v>27</v>
      </c>
      <c r="M115" s="20" t="s">
        <v>28</v>
      </c>
    </row>
    <row r="116" spans="1:13">
      <c r="A116" s="62">
        <v>112</v>
      </c>
      <c r="B116" s="19">
        <v>1.1000000000000001</v>
      </c>
      <c r="C116" s="209" t="s">
        <v>589</v>
      </c>
      <c r="D116" s="25" t="s">
        <v>596</v>
      </c>
      <c r="E116" s="60">
        <v>44979.568391203706</v>
      </c>
      <c r="F116" s="61" t="s">
        <v>412</v>
      </c>
      <c r="G116" s="16"/>
      <c r="H116" s="20"/>
      <c r="I116" s="20"/>
      <c r="J116" s="20" t="s">
        <v>417</v>
      </c>
      <c r="K116" s="21">
        <v>44979.575729166667</v>
      </c>
      <c r="L116" s="20" t="s">
        <v>27</v>
      </c>
      <c r="M116" s="20" t="s">
        <v>28</v>
      </c>
    </row>
    <row r="117" spans="1:13">
      <c r="A117" s="62">
        <v>113</v>
      </c>
      <c r="B117" s="19">
        <v>1.1000000000000001</v>
      </c>
      <c r="C117" s="209" t="s">
        <v>590</v>
      </c>
      <c r="D117" s="25" t="s">
        <v>596</v>
      </c>
      <c r="E117" s="60">
        <v>44979.568402777775</v>
      </c>
      <c r="F117" s="61" t="s">
        <v>412</v>
      </c>
      <c r="G117" s="16"/>
      <c r="H117" s="20"/>
      <c r="I117" s="20"/>
      <c r="J117" s="20" t="s">
        <v>417</v>
      </c>
      <c r="K117" s="21">
        <v>44979.575729166667</v>
      </c>
      <c r="L117" s="20" t="s">
        <v>27</v>
      </c>
      <c r="M117" s="20" t="s">
        <v>28</v>
      </c>
    </row>
    <row r="118" spans="1:13">
      <c r="A118" s="62">
        <v>114</v>
      </c>
      <c r="B118" s="19">
        <v>1.1000000000000001</v>
      </c>
      <c r="C118" s="209" t="s">
        <v>591</v>
      </c>
      <c r="D118" s="25" t="s">
        <v>596</v>
      </c>
      <c r="E118" s="60">
        <v>44979.568414351852</v>
      </c>
      <c r="F118" s="61" t="s">
        <v>412</v>
      </c>
      <c r="G118" s="16"/>
      <c r="H118" s="20"/>
      <c r="I118" s="20"/>
      <c r="J118" s="20" t="s">
        <v>417</v>
      </c>
      <c r="K118" s="21">
        <v>44979.575729166667</v>
      </c>
      <c r="L118" s="20" t="s">
        <v>27</v>
      </c>
      <c r="M118" s="20" t="s">
        <v>28</v>
      </c>
    </row>
    <row r="119" spans="1:13">
      <c r="A119" s="62">
        <v>115</v>
      </c>
      <c r="B119" s="19">
        <v>1.4</v>
      </c>
      <c r="C119" s="185" t="s">
        <v>418</v>
      </c>
      <c r="D119" s="25" t="s">
        <v>411</v>
      </c>
      <c r="E119" s="60">
        <v>44991.58766203704</v>
      </c>
      <c r="F119" s="61" t="s">
        <v>412</v>
      </c>
      <c r="G119" s="16"/>
      <c r="H119" s="20"/>
      <c r="I119" s="20"/>
      <c r="J119" s="194" t="s">
        <v>598</v>
      </c>
      <c r="K119" s="21">
        <v>44991.587858796294</v>
      </c>
      <c r="L119" s="20" t="s">
        <v>27</v>
      </c>
      <c r="M119" s="20" t="s">
        <v>28</v>
      </c>
    </row>
    <row r="120" spans="1:13">
      <c r="A120" s="62">
        <v>116</v>
      </c>
      <c r="B120" s="19">
        <v>1.5</v>
      </c>
      <c r="C120" s="185" t="s">
        <v>418</v>
      </c>
      <c r="D120" s="25" t="s">
        <v>411</v>
      </c>
      <c r="E120" s="60">
        <v>45035</v>
      </c>
      <c r="F120" s="49" t="s">
        <v>602</v>
      </c>
      <c r="G120" s="16"/>
      <c r="H120" s="20"/>
      <c r="I120" s="20"/>
      <c r="J120" s="194" t="s">
        <v>598</v>
      </c>
      <c r="K120" s="60">
        <v>45035</v>
      </c>
      <c r="L120" s="20" t="s">
        <v>27</v>
      </c>
      <c r="M120" s="20" t="s">
        <v>28</v>
      </c>
    </row>
    <row r="121" spans="1:13" ht="26.4">
      <c r="A121" s="62">
        <v>117</v>
      </c>
      <c r="B121" s="185" t="s">
        <v>606</v>
      </c>
      <c r="C121" s="185" t="s">
        <v>439</v>
      </c>
      <c r="D121" s="25" t="s">
        <v>411</v>
      </c>
      <c r="E121" s="60">
        <v>45048.498807870368</v>
      </c>
      <c r="F121" s="61" t="s">
        <v>517</v>
      </c>
      <c r="G121" s="16"/>
      <c r="H121" s="20"/>
      <c r="I121" s="20"/>
      <c r="J121" s="194" t="s">
        <v>426</v>
      </c>
      <c r="K121" s="21">
        <v>45048.498923611114</v>
      </c>
      <c r="L121" s="20" t="s">
        <v>27</v>
      </c>
      <c r="M121" s="20" t="s">
        <v>28</v>
      </c>
    </row>
    <row r="122" spans="1:13" ht="26.4">
      <c r="A122" s="62">
        <v>118</v>
      </c>
      <c r="B122" s="185" t="s">
        <v>610</v>
      </c>
      <c r="C122" s="185" t="s">
        <v>609</v>
      </c>
      <c r="D122" s="25" t="s">
        <v>411</v>
      </c>
      <c r="E122" s="60">
        <v>45048.580277777779</v>
      </c>
      <c r="F122" s="61" t="s">
        <v>517</v>
      </c>
      <c r="G122" s="16"/>
      <c r="H122" s="20"/>
      <c r="I122" s="20"/>
      <c r="J122" s="194" t="s">
        <v>426</v>
      </c>
      <c r="K122" s="21">
        <v>45048.580381944441</v>
      </c>
      <c r="L122" s="20" t="s">
        <v>27</v>
      </c>
      <c r="M122" s="20" t="s">
        <v>28</v>
      </c>
    </row>
    <row r="123" spans="1:13" ht="26.4">
      <c r="A123" s="62">
        <v>119</v>
      </c>
      <c r="B123" s="185" t="s">
        <v>613</v>
      </c>
      <c r="C123" s="185" t="s">
        <v>424</v>
      </c>
      <c r="D123" s="25" t="s">
        <v>614</v>
      </c>
      <c r="E123" s="60">
        <v>45054.649537037039</v>
      </c>
      <c r="F123" s="61" t="s">
        <v>517</v>
      </c>
      <c r="G123" s="16" t="s">
        <v>469</v>
      </c>
      <c r="H123" s="20"/>
      <c r="I123" s="20"/>
      <c r="J123" s="20" t="s">
        <v>426</v>
      </c>
      <c r="K123" s="21">
        <v>45056.367847222224</v>
      </c>
      <c r="L123" s="194" t="s">
        <v>20</v>
      </c>
      <c r="M123" s="20" t="s">
        <v>28</v>
      </c>
    </row>
    <row r="124" spans="1:13">
      <c r="A124" s="62">
        <v>120</v>
      </c>
      <c r="B124" s="19">
        <v>1.6</v>
      </c>
      <c r="C124" s="185" t="s">
        <v>418</v>
      </c>
      <c r="D124" s="25" t="s">
        <v>411</v>
      </c>
      <c r="E124" s="60">
        <v>45069.61246527778</v>
      </c>
      <c r="F124" s="61" t="s">
        <v>487</v>
      </c>
      <c r="G124" s="16"/>
      <c r="H124" s="20"/>
      <c r="I124" s="20"/>
      <c r="J124" s="194" t="s">
        <v>618</v>
      </c>
      <c r="K124" s="21">
        <v>45069</v>
      </c>
      <c r="L124" s="20" t="s">
        <v>27</v>
      </c>
      <c r="M124" s="194" t="s">
        <v>28</v>
      </c>
    </row>
    <row r="125" spans="1:13">
      <c r="A125" s="62">
        <v>121</v>
      </c>
      <c r="B125" s="19">
        <v>1.7</v>
      </c>
      <c r="C125" s="185" t="s">
        <v>418</v>
      </c>
      <c r="D125" s="25" t="s">
        <v>411</v>
      </c>
      <c r="E125" s="60">
        <v>45099.373842592591</v>
      </c>
      <c r="F125" s="61" t="s">
        <v>412</v>
      </c>
      <c r="G125" s="16"/>
      <c r="H125" s="20"/>
      <c r="I125" s="20"/>
      <c r="J125" s="194" t="s">
        <v>618</v>
      </c>
      <c r="K125" s="21">
        <v>45099.37395833333</v>
      </c>
      <c r="L125" s="194" t="s">
        <v>27</v>
      </c>
      <c r="M125" s="20" t="s">
        <v>28</v>
      </c>
    </row>
    <row r="126" spans="1:13">
      <c r="A126" s="62">
        <v>122</v>
      </c>
      <c r="B126" s="185" t="s">
        <v>623</v>
      </c>
      <c r="C126" s="185" t="s">
        <v>439</v>
      </c>
      <c r="D126" s="25" t="s">
        <v>624</v>
      </c>
      <c r="E126" s="60">
        <v>45148.516967592594</v>
      </c>
      <c r="F126" s="61" t="s">
        <v>625</v>
      </c>
      <c r="G126" s="25" t="s">
        <v>641</v>
      </c>
      <c r="H126" s="20"/>
      <c r="I126" s="20" t="s">
        <v>26</v>
      </c>
      <c r="J126" s="20" t="s">
        <v>426</v>
      </c>
      <c r="K126" s="21">
        <v>45170.675462962965</v>
      </c>
      <c r="L126" s="20" t="s">
        <v>20</v>
      </c>
      <c r="M126" s="20" t="s">
        <v>28</v>
      </c>
    </row>
    <row r="127" spans="1:13" ht="52.8">
      <c r="A127" s="62">
        <v>123</v>
      </c>
      <c r="B127" s="185" t="s">
        <v>623</v>
      </c>
      <c r="C127" s="185" t="s">
        <v>439</v>
      </c>
      <c r="D127" s="25" t="s">
        <v>626</v>
      </c>
      <c r="E127" s="60">
        <v>45148.517523148148</v>
      </c>
      <c r="F127" s="61" t="s">
        <v>625</v>
      </c>
      <c r="G127" s="25" t="s">
        <v>482</v>
      </c>
      <c r="H127" s="20">
        <v>819347</v>
      </c>
      <c r="I127" s="20" t="s">
        <v>26</v>
      </c>
      <c r="J127" s="20" t="s">
        <v>426</v>
      </c>
      <c r="K127" s="21">
        <v>45170.675462962965</v>
      </c>
      <c r="L127" s="20" t="s">
        <v>21</v>
      </c>
      <c r="M127" s="20" t="s">
        <v>28</v>
      </c>
    </row>
    <row r="128" spans="1:13">
      <c r="A128" s="62">
        <v>124</v>
      </c>
      <c r="B128" s="185" t="s">
        <v>623</v>
      </c>
      <c r="C128" s="185" t="s">
        <v>439</v>
      </c>
      <c r="D128" s="25" t="s">
        <v>627</v>
      </c>
      <c r="E128" s="60">
        <v>45148.519930555558</v>
      </c>
      <c r="F128" s="61" t="s">
        <v>625</v>
      </c>
      <c r="G128" s="25" t="s">
        <v>473</v>
      </c>
      <c r="H128" s="20"/>
      <c r="I128" s="20" t="s">
        <v>26</v>
      </c>
      <c r="J128" s="20" t="s">
        <v>426</v>
      </c>
      <c r="K128" s="21">
        <v>45170.693148148152</v>
      </c>
      <c r="L128" s="20" t="s">
        <v>20</v>
      </c>
      <c r="M128" s="20" t="s">
        <v>28</v>
      </c>
    </row>
    <row r="129" spans="1:13">
      <c r="A129" s="62">
        <v>125</v>
      </c>
      <c r="B129" s="185" t="s">
        <v>628</v>
      </c>
      <c r="C129" s="25" t="s">
        <v>441</v>
      </c>
      <c r="D129" s="203" t="s">
        <v>411</v>
      </c>
      <c r="E129" s="60">
        <v>45148.520069444443</v>
      </c>
      <c r="F129" s="61" t="s">
        <v>625</v>
      </c>
      <c r="G129" s="16"/>
      <c r="H129" s="20"/>
      <c r="I129" s="20" t="s">
        <v>26</v>
      </c>
      <c r="J129" s="20" t="s">
        <v>625</v>
      </c>
      <c r="K129" s="21">
        <v>45148.520428240743</v>
      </c>
      <c r="L129" s="20" t="s">
        <v>27</v>
      </c>
      <c r="M129" s="20" t="s">
        <v>28</v>
      </c>
    </row>
    <row r="130" spans="1:13">
      <c r="A130" s="62">
        <v>126</v>
      </c>
      <c r="B130" s="185" t="s">
        <v>629</v>
      </c>
      <c r="C130" s="185" t="s">
        <v>609</v>
      </c>
      <c r="D130" s="16" t="s">
        <v>411</v>
      </c>
      <c r="E130" s="60">
        <v>45148.520856481482</v>
      </c>
      <c r="F130" s="61" t="s">
        <v>625</v>
      </c>
      <c r="G130" s="16"/>
      <c r="H130" s="20"/>
      <c r="I130" s="20" t="s">
        <v>26</v>
      </c>
      <c r="J130" s="20" t="s">
        <v>625</v>
      </c>
      <c r="K130" s="21">
        <v>45148.520949074074</v>
      </c>
      <c r="L130" s="20" t="s">
        <v>27</v>
      </c>
      <c r="M130" s="20" t="s">
        <v>28</v>
      </c>
    </row>
    <row r="131" spans="1:13" ht="26.4">
      <c r="A131" s="62">
        <v>127</v>
      </c>
      <c r="B131" s="185" t="s">
        <v>634</v>
      </c>
      <c r="C131" s="185" t="s">
        <v>424</v>
      </c>
      <c r="D131" s="25" t="s">
        <v>633</v>
      </c>
      <c r="E131" s="60">
        <v>45168.675879629627</v>
      </c>
      <c r="F131" s="61" t="s">
        <v>625</v>
      </c>
      <c r="G131" s="25" t="s">
        <v>642</v>
      </c>
      <c r="H131" s="20"/>
      <c r="I131" s="20" t="s">
        <v>26</v>
      </c>
      <c r="J131" s="20" t="s">
        <v>426</v>
      </c>
      <c r="K131" s="21">
        <v>45170.697997685187</v>
      </c>
      <c r="L131" s="20" t="s">
        <v>20</v>
      </c>
      <c r="M131" s="20" t="s">
        <v>28</v>
      </c>
    </row>
    <row r="132" spans="1:13" ht="26.4">
      <c r="A132" s="62">
        <v>128</v>
      </c>
      <c r="B132" s="185" t="s">
        <v>636</v>
      </c>
      <c r="C132" s="185" t="s">
        <v>439</v>
      </c>
      <c r="D132" s="25" t="s">
        <v>635</v>
      </c>
      <c r="E132" s="60">
        <v>45168.67765046296</v>
      </c>
      <c r="F132" s="61" t="s">
        <v>625</v>
      </c>
      <c r="G132" s="25" t="s">
        <v>643</v>
      </c>
      <c r="H132" s="20"/>
      <c r="I132" s="20" t="s">
        <v>26</v>
      </c>
      <c r="J132" s="20" t="s">
        <v>426</v>
      </c>
      <c r="K132" s="21">
        <v>45170.698437500003</v>
      </c>
      <c r="L132" s="20" t="s">
        <v>20</v>
      </c>
      <c r="M132" s="20" t="s">
        <v>28</v>
      </c>
    </row>
    <row r="133" spans="1:13" ht="26.4">
      <c r="A133" s="62">
        <v>129</v>
      </c>
      <c r="B133" s="185" t="s">
        <v>636</v>
      </c>
      <c r="C133" s="185" t="s">
        <v>439</v>
      </c>
      <c r="D133" s="25" t="s">
        <v>637</v>
      </c>
      <c r="E133" s="60">
        <v>45168.680312500001</v>
      </c>
      <c r="F133" s="61" t="s">
        <v>625</v>
      </c>
      <c r="G133" s="25" t="s">
        <v>482</v>
      </c>
      <c r="H133" s="20">
        <v>819347</v>
      </c>
      <c r="I133" s="20" t="s">
        <v>26</v>
      </c>
      <c r="J133" s="20" t="s">
        <v>426</v>
      </c>
      <c r="K133" s="21">
        <v>45170.698437500003</v>
      </c>
      <c r="L133" s="20" t="s">
        <v>21</v>
      </c>
      <c r="M133" s="20" t="s">
        <v>28</v>
      </c>
    </row>
    <row r="134" spans="1:13">
      <c r="A134" s="62">
        <v>130</v>
      </c>
      <c r="B134" s="185" t="s">
        <v>636</v>
      </c>
      <c r="C134" s="185" t="s">
        <v>439</v>
      </c>
      <c r="D134" s="25" t="s">
        <v>638</v>
      </c>
      <c r="E134" s="60">
        <v>45168.680787037039</v>
      </c>
      <c r="F134" s="61" t="s">
        <v>625</v>
      </c>
      <c r="G134" s="16"/>
      <c r="H134" s="20"/>
      <c r="I134" s="20" t="s">
        <v>26</v>
      </c>
      <c r="J134" s="194" t="s">
        <v>517</v>
      </c>
      <c r="K134" s="21">
        <v>45170.698437500003</v>
      </c>
      <c r="L134" s="20" t="s">
        <v>20</v>
      </c>
      <c r="M134" s="20" t="s">
        <v>28</v>
      </c>
    </row>
    <row r="135" spans="1:13" ht="26.4">
      <c r="A135" s="62">
        <v>131</v>
      </c>
      <c r="B135" s="185" t="s">
        <v>644</v>
      </c>
      <c r="C135" s="185" t="s">
        <v>424</v>
      </c>
      <c r="D135" s="25" t="s">
        <v>411</v>
      </c>
      <c r="E135" s="60">
        <v>45173.394479166665</v>
      </c>
      <c r="F135" s="61" t="s">
        <v>625</v>
      </c>
      <c r="G135" s="16"/>
      <c r="H135" s="20"/>
      <c r="I135" s="20" t="s">
        <v>26</v>
      </c>
      <c r="J135" s="20" t="s">
        <v>625</v>
      </c>
      <c r="K135" s="21">
        <v>45173.394571759258</v>
      </c>
      <c r="L135" s="20" t="s">
        <v>27</v>
      </c>
      <c r="M135" s="20" t="s">
        <v>28</v>
      </c>
    </row>
    <row r="136" spans="1:13">
      <c r="A136" s="62">
        <v>132</v>
      </c>
      <c r="B136" s="185" t="s">
        <v>645</v>
      </c>
      <c r="C136" s="185" t="s">
        <v>439</v>
      </c>
      <c r="D136" s="25" t="s">
        <v>411</v>
      </c>
      <c r="E136" s="60">
        <v>45173.394791666666</v>
      </c>
      <c r="F136" s="61" t="s">
        <v>625</v>
      </c>
      <c r="G136" s="16"/>
      <c r="H136" s="20"/>
      <c r="I136" s="20" t="s">
        <v>26</v>
      </c>
      <c r="J136" s="20" t="s">
        <v>625</v>
      </c>
      <c r="K136" s="21">
        <v>45173.394895833335</v>
      </c>
      <c r="L136" s="20" t="s">
        <v>27</v>
      </c>
      <c r="M136" s="20" t="s">
        <v>28</v>
      </c>
    </row>
    <row r="137" spans="1:13">
      <c r="A137" s="62">
        <v>133</v>
      </c>
      <c r="B137" s="19">
        <v>1.8</v>
      </c>
      <c r="C137" s="185" t="s">
        <v>418</v>
      </c>
      <c r="D137" s="25" t="s">
        <v>411</v>
      </c>
      <c r="E137" s="60">
        <v>45179.438969907409</v>
      </c>
      <c r="F137" s="61" t="s">
        <v>412</v>
      </c>
      <c r="G137" s="16"/>
      <c r="H137" s="20"/>
      <c r="I137" s="20"/>
      <c r="J137" s="194" t="s">
        <v>618</v>
      </c>
      <c r="K137" s="21">
        <v>45179.439120370371</v>
      </c>
      <c r="L137" s="20" t="s">
        <v>27</v>
      </c>
      <c r="M137" s="20" t="s">
        <v>28</v>
      </c>
    </row>
    <row r="138" spans="1:13" ht="26.4">
      <c r="A138" s="62">
        <v>134</v>
      </c>
      <c r="B138" s="185" t="s">
        <v>651</v>
      </c>
      <c r="C138" s="185" t="s">
        <v>424</v>
      </c>
      <c r="D138" s="25" t="s">
        <v>411</v>
      </c>
      <c r="E138" s="60">
        <v>45205.577581018515</v>
      </c>
      <c r="F138" s="61" t="s">
        <v>625</v>
      </c>
      <c r="G138" s="16"/>
      <c r="H138" s="20"/>
      <c r="I138" s="20" t="s">
        <v>26</v>
      </c>
      <c r="J138" s="20" t="s">
        <v>625</v>
      </c>
      <c r="K138" s="21">
        <v>45205.577650462961</v>
      </c>
      <c r="L138" s="20" t="s">
        <v>27</v>
      </c>
      <c r="M138" s="20" t="s">
        <v>28</v>
      </c>
    </row>
    <row r="139" spans="1:13">
      <c r="A139" s="62">
        <v>135</v>
      </c>
      <c r="B139" s="185" t="s">
        <v>653</v>
      </c>
      <c r="C139" s="185" t="s">
        <v>439</v>
      </c>
      <c r="D139" s="25" t="s">
        <v>411</v>
      </c>
      <c r="E139" s="60">
        <v>45205.578414351854</v>
      </c>
      <c r="F139" s="61" t="s">
        <v>625</v>
      </c>
      <c r="G139" s="16"/>
      <c r="H139" s="20"/>
      <c r="I139" s="20" t="s">
        <v>26</v>
      </c>
      <c r="J139" s="20" t="s">
        <v>625</v>
      </c>
      <c r="K139" s="21">
        <v>45205.578506944446</v>
      </c>
      <c r="L139" s="20" t="s">
        <v>27</v>
      </c>
      <c r="M139" s="20" t="s">
        <v>28</v>
      </c>
    </row>
    <row r="140" spans="1:13" ht="26.4">
      <c r="A140" s="62">
        <v>136</v>
      </c>
      <c r="B140" s="185" t="s">
        <v>656</v>
      </c>
      <c r="C140" s="185" t="s">
        <v>439</v>
      </c>
      <c r="D140" s="25" t="s">
        <v>411</v>
      </c>
      <c r="E140" s="60">
        <v>45226.399780092594</v>
      </c>
      <c r="F140" s="61" t="s">
        <v>517</v>
      </c>
      <c r="G140" s="16"/>
      <c r="H140" s="20"/>
      <c r="I140" s="20" t="s">
        <v>26</v>
      </c>
      <c r="J140" s="194" t="s">
        <v>426</v>
      </c>
      <c r="K140" s="21">
        <v>45226.401597222219</v>
      </c>
      <c r="L140" s="20" t="s">
        <v>27</v>
      </c>
      <c r="M140" s="20" t="s">
        <v>28</v>
      </c>
    </row>
    <row r="141" spans="1:13" ht="26.4">
      <c r="A141" s="62">
        <v>137</v>
      </c>
      <c r="B141" s="19" t="s">
        <v>657</v>
      </c>
      <c r="C141" s="185" t="s">
        <v>441</v>
      </c>
      <c r="D141" s="25" t="s">
        <v>411</v>
      </c>
      <c r="E141" s="60">
        <v>45226.40148148148</v>
      </c>
      <c r="F141" s="61" t="s">
        <v>517</v>
      </c>
      <c r="G141" s="16"/>
      <c r="H141" s="20"/>
      <c r="I141" s="20" t="s">
        <v>26</v>
      </c>
      <c r="J141" s="194" t="s">
        <v>426</v>
      </c>
      <c r="K141" s="21">
        <v>45226.401608796295</v>
      </c>
      <c r="L141" s="20" t="s">
        <v>27</v>
      </c>
      <c r="M141" s="20" t="s">
        <v>28</v>
      </c>
    </row>
    <row r="142" spans="1:13" ht="26.4">
      <c r="A142" s="62">
        <v>138</v>
      </c>
      <c r="B142" s="19"/>
      <c r="C142" s="185" t="s">
        <v>609</v>
      </c>
      <c r="D142" s="25" t="s">
        <v>411</v>
      </c>
      <c r="E142" s="60">
        <v>45226.404398148145</v>
      </c>
      <c r="F142" s="61" t="s">
        <v>517</v>
      </c>
      <c r="G142" s="16"/>
      <c r="H142" s="20"/>
      <c r="I142" s="20" t="s">
        <v>26</v>
      </c>
      <c r="J142" s="194" t="s">
        <v>426</v>
      </c>
      <c r="K142" s="21">
        <v>45226.404513888891</v>
      </c>
      <c r="L142" s="20" t="s">
        <v>27</v>
      </c>
      <c r="M142" s="20" t="s">
        <v>28</v>
      </c>
    </row>
    <row r="143" spans="1:13" ht="26.4">
      <c r="A143" s="62">
        <v>139</v>
      </c>
      <c r="B143" s="185" t="s">
        <v>662</v>
      </c>
      <c r="C143" s="185" t="s">
        <v>424</v>
      </c>
      <c r="D143" s="25" t="s">
        <v>411</v>
      </c>
      <c r="E143" s="60">
        <v>45314.670613425929</v>
      </c>
      <c r="F143" s="61" t="s">
        <v>517</v>
      </c>
      <c r="G143" s="16"/>
      <c r="H143" s="20"/>
      <c r="I143" s="20"/>
      <c r="J143" s="194" t="s">
        <v>426</v>
      </c>
      <c r="K143" s="21">
        <v>45314.670694444445</v>
      </c>
      <c r="L143" s="20" t="s">
        <v>27</v>
      </c>
      <c r="M143" s="20" t="s">
        <v>28</v>
      </c>
    </row>
    <row r="144" spans="1:13">
      <c r="A144" s="62">
        <v>140</v>
      </c>
      <c r="B144" s="19" t="s">
        <v>665</v>
      </c>
      <c r="C144" s="185" t="s">
        <v>439</v>
      </c>
      <c r="D144" s="25" t="s">
        <v>411</v>
      </c>
      <c r="E144" s="60">
        <v>45334.484548611108</v>
      </c>
      <c r="F144" s="49" t="s">
        <v>666</v>
      </c>
      <c r="G144" s="16"/>
      <c r="H144" s="20"/>
      <c r="I144" s="20" t="s">
        <v>26</v>
      </c>
      <c r="J144" s="194" t="s">
        <v>426</v>
      </c>
      <c r="K144" s="21">
        <v>45334.4846412037</v>
      </c>
      <c r="L144" s="20" t="s">
        <v>27</v>
      </c>
      <c r="M144" s="20" t="s">
        <v>28</v>
      </c>
    </row>
    <row r="145" spans="1:13">
      <c r="A145" s="62">
        <v>141</v>
      </c>
      <c r="B145" s="19">
        <v>1.9</v>
      </c>
      <c r="C145" s="185" t="s">
        <v>418</v>
      </c>
      <c r="D145" s="25" t="s">
        <v>411</v>
      </c>
      <c r="E145" s="60">
        <v>45350</v>
      </c>
      <c r="F145" s="49" t="s">
        <v>487</v>
      </c>
      <c r="G145" s="16"/>
      <c r="H145" s="20"/>
      <c r="I145" s="20"/>
      <c r="J145" s="194" t="s">
        <v>672</v>
      </c>
      <c r="K145" s="60">
        <v>45350</v>
      </c>
      <c r="L145" s="20" t="s">
        <v>27</v>
      </c>
      <c r="M145" s="20" t="s">
        <v>28</v>
      </c>
    </row>
    <row r="146" spans="1:13" ht="26.4">
      <c r="A146" s="62">
        <v>142</v>
      </c>
      <c r="B146" s="185" t="s">
        <v>673</v>
      </c>
      <c r="C146" s="185" t="s">
        <v>424</v>
      </c>
      <c r="D146" s="25" t="s">
        <v>411</v>
      </c>
      <c r="E146" s="60">
        <v>45386.376458333332</v>
      </c>
      <c r="F146" s="61" t="s">
        <v>666</v>
      </c>
      <c r="G146" s="16"/>
      <c r="H146" s="20"/>
      <c r="I146" s="20" t="s">
        <v>26</v>
      </c>
      <c r="J146" s="194" t="s">
        <v>426</v>
      </c>
      <c r="K146" s="21">
        <v>45386.376527777778</v>
      </c>
      <c r="L146" s="20" t="s">
        <v>27</v>
      </c>
      <c r="M146" s="20" t="s">
        <v>28</v>
      </c>
    </row>
    <row r="147" spans="1:13">
      <c r="A147" s="62">
        <v>143</v>
      </c>
      <c r="B147" s="19"/>
      <c r="C147" s="19"/>
      <c r="D147" s="16"/>
      <c r="E147" s="60"/>
      <c r="F147" s="61"/>
      <c r="G147" s="16"/>
      <c r="H147" s="20"/>
      <c r="I147" s="20"/>
      <c r="J147" s="20"/>
      <c r="K147" s="21"/>
      <c r="L147" s="20"/>
      <c r="M147" s="20"/>
    </row>
    <row r="148" spans="1:13">
      <c r="A148" s="62">
        <v>144</v>
      </c>
      <c r="B148" s="19"/>
      <c r="C148" s="19"/>
      <c r="D148" s="16"/>
      <c r="E148" s="60"/>
      <c r="F148" s="61"/>
      <c r="G148" s="16"/>
      <c r="H148" s="20"/>
      <c r="I148" s="20"/>
      <c r="J148" s="20"/>
      <c r="K148" s="21"/>
      <c r="L148" s="20"/>
      <c r="M148" s="20"/>
    </row>
    <row r="149" spans="1:13">
      <c r="A149" s="62">
        <v>145</v>
      </c>
      <c r="B149" s="19"/>
      <c r="C149" s="19"/>
      <c r="D149" s="16"/>
      <c r="E149" s="60"/>
      <c r="F149" s="61"/>
      <c r="G149" s="16"/>
      <c r="H149" s="20"/>
      <c r="I149" s="20"/>
      <c r="J149" s="20"/>
      <c r="K149" s="21"/>
      <c r="L149" s="20"/>
      <c r="M149" s="20"/>
    </row>
    <row r="150" spans="1:13">
      <c r="A150" s="62">
        <v>146</v>
      </c>
      <c r="B150" s="19"/>
      <c r="C150" s="19"/>
      <c r="D150" s="16"/>
      <c r="E150" s="60"/>
      <c r="F150" s="61"/>
      <c r="G150" s="16"/>
      <c r="H150" s="20"/>
      <c r="I150" s="20"/>
      <c r="J150" s="20"/>
      <c r="K150" s="21"/>
      <c r="L150" s="20"/>
      <c r="M150" s="20"/>
    </row>
    <row r="151" spans="1:13">
      <c r="A151" s="62">
        <v>147</v>
      </c>
      <c r="B151" s="19"/>
      <c r="C151" s="19"/>
      <c r="D151" s="16"/>
      <c r="E151" s="60"/>
      <c r="F151" s="61"/>
      <c r="G151" s="16"/>
      <c r="H151" s="20"/>
      <c r="I151" s="20"/>
      <c r="J151" s="20"/>
      <c r="K151" s="21"/>
      <c r="L151" s="20"/>
      <c r="M151" s="20"/>
    </row>
    <row r="152" spans="1:13">
      <c r="A152" s="62">
        <v>148</v>
      </c>
      <c r="B152" s="19"/>
      <c r="C152" s="19"/>
      <c r="D152" s="16"/>
      <c r="E152" s="60"/>
      <c r="F152" s="61"/>
      <c r="G152" s="16"/>
      <c r="H152" s="20"/>
      <c r="I152" s="20"/>
      <c r="J152" s="20"/>
      <c r="K152" s="21"/>
      <c r="L152" s="20"/>
      <c r="M152" s="20"/>
    </row>
    <row r="153" spans="1:13">
      <c r="A153" s="62">
        <v>149</v>
      </c>
      <c r="B153" s="19"/>
      <c r="C153" s="19"/>
      <c r="D153" s="16"/>
      <c r="E153" s="60"/>
      <c r="F153" s="61"/>
      <c r="G153" s="16"/>
      <c r="H153" s="20"/>
      <c r="I153" s="20"/>
      <c r="J153" s="20"/>
      <c r="K153" s="21"/>
      <c r="L153" s="20"/>
      <c r="M153" s="20"/>
    </row>
    <row r="154" spans="1:13">
      <c r="A154" s="62">
        <v>150</v>
      </c>
      <c r="B154" s="19"/>
      <c r="C154" s="19"/>
      <c r="D154" s="16"/>
      <c r="E154" s="60"/>
      <c r="F154" s="61"/>
      <c r="G154" s="16"/>
      <c r="H154" s="20"/>
      <c r="I154" s="20"/>
      <c r="J154" s="20"/>
      <c r="K154" s="21"/>
      <c r="L154" s="20"/>
      <c r="M154" s="20"/>
    </row>
    <row r="155" spans="1:13">
      <c r="A155" s="62">
        <v>151</v>
      </c>
      <c r="B155" s="19"/>
      <c r="C155" s="19"/>
      <c r="D155" s="16"/>
      <c r="E155" s="60"/>
      <c r="F155" s="61"/>
      <c r="G155" s="16"/>
      <c r="H155" s="20"/>
      <c r="I155" s="20"/>
      <c r="J155" s="20"/>
      <c r="K155" s="21"/>
      <c r="L155" s="20"/>
      <c r="M155" s="20"/>
    </row>
    <row r="156" spans="1:13">
      <c r="A156" s="62">
        <v>152</v>
      </c>
      <c r="B156" s="19"/>
      <c r="C156" s="19"/>
      <c r="D156" s="16"/>
      <c r="E156" s="60"/>
      <c r="F156" s="61"/>
      <c r="G156" s="16"/>
      <c r="H156" s="20"/>
      <c r="I156" s="20"/>
      <c r="J156" s="20"/>
      <c r="K156" s="21"/>
      <c r="L156" s="20"/>
      <c r="M156" s="20"/>
    </row>
    <row r="157" spans="1:13">
      <c r="A157" s="62">
        <v>153</v>
      </c>
      <c r="B157" s="19"/>
      <c r="C157" s="19"/>
      <c r="D157" s="16"/>
      <c r="E157" s="60"/>
      <c r="F157" s="61"/>
      <c r="G157" s="16"/>
      <c r="H157" s="20"/>
      <c r="I157" s="20"/>
      <c r="J157" s="20"/>
      <c r="K157" s="21"/>
      <c r="L157" s="20"/>
      <c r="M157" s="20"/>
    </row>
    <row r="158" spans="1:13">
      <c r="A158" s="62">
        <v>154</v>
      </c>
      <c r="B158" s="19"/>
      <c r="C158" s="19"/>
      <c r="D158" s="16"/>
      <c r="E158" s="60"/>
      <c r="F158" s="61"/>
      <c r="G158" s="16"/>
      <c r="H158" s="20"/>
      <c r="I158" s="20"/>
      <c r="J158" s="20"/>
      <c r="K158" s="21"/>
      <c r="L158" s="20"/>
      <c r="M158" s="20"/>
    </row>
    <row r="159" spans="1:13">
      <c r="A159" s="62">
        <v>155</v>
      </c>
      <c r="B159" s="19"/>
      <c r="C159" s="19"/>
      <c r="D159" s="16"/>
      <c r="E159" s="60"/>
      <c r="F159" s="61"/>
      <c r="G159" s="16"/>
      <c r="H159" s="20"/>
      <c r="I159" s="20"/>
      <c r="J159" s="20"/>
      <c r="K159" s="21"/>
      <c r="L159" s="20"/>
      <c r="M159" s="20"/>
    </row>
    <row r="160" spans="1:13">
      <c r="A160" s="62">
        <v>156</v>
      </c>
      <c r="B160" s="19"/>
      <c r="C160" s="19"/>
      <c r="D160" s="16"/>
      <c r="E160" s="60"/>
      <c r="F160" s="61"/>
      <c r="G160" s="16"/>
      <c r="H160" s="20"/>
      <c r="I160" s="20"/>
      <c r="J160" s="20"/>
      <c r="K160" s="21"/>
      <c r="L160" s="20"/>
      <c r="M160" s="20"/>
    </row>
    <row r="161" spans="1:13">
      <c r="A161" s="62">
        <v>157</v>
      </c>
      <c r="B161" s="19"/>
      <c r="C161" s="19"/>
      <c r="D161" s="16"/>
      <c r="E161" s="60"/>
      <c r="F161" s="61"/>
      <c r="G161" s="16"/>
      <c r="H161" s="20"/>
      <c r="I161" s="20"/>
      <c r="J161" s="20"/>
      <c r="K161" s="21"/>
      <c r="L161" s="20"/>
      <c r="M161" s="20"/>
    </row>
    <row r="162" spans="1:13">
      <c r="A162" s="62">
        <v>158</v>
      </c>
      <c r="B162" s="19"/>
      <c r="C162" s="19"/>
      <c r="D162" s="16"/>
      <c r="E162" s="60"/>
      <c r="F162" s="61"/>
      <c r="G162" s="16"/>
      <c r="H162" s="20"/>
      <c r="I162" s="20"/>
      <c r="J162" s="20"/>
      <c r="K162" s="21"/>
      <c r="L162" s="20"/>
      <c r="M162" s="20"/>
    </row>
    <row r="163" spans="1:13">
      <c r="A163" s="62">
        <v>159</v>
      </c>
      <c r="B163" s="19"/>
      <c r="C163" s="19"/>
      <c r="D163" s="16"/>
      <c r="E163" s="60"/>
      <c r="F163" s="61"/>
      <c r="G163" s="16"/>
      <c r="H163" s="20"/>
      <c r="I163" s="20"/>
      <c r="J163" s="20"/>
      <c r="K163" s="21"/>
      <c r="L163" s="20"/>
      <c r="M163" s="20"/>
    </row>
    <row r="164" spans="1:13">
      <c r="A164" s="62">
        <v>160</v>
      </c>
      <c r="B164" s="19"/>
      <c r="C164" s="19"/>
      <c r="D164" s="16"/>
      <c r="E164" s="60"/>
      <c r="F164" s="61"/>
      <c r="G164" s="16"/>
      <c r="H164" s="20"/>
      <c r="I164" s="20"/>
      <c r="J164" s="20"/>
      <c r="K164" s="21"/>
      <c r="L164" s="20"/>
      <c r="M164" s="20"/>
    </row>
    <row r="165" spans="1:13">
      <c r="A165" s="62">
        <v>161</v>
      </c>
      <c r="B165" s="19"/>
      <c r="C165" s="19"/>
      <c r="D165" s="16"/>
      <c r="E165" s="60"/>
      <c r="F165" s="61"/>
      <c r="G165" s="16"/>
      <c r="H165" s="20"/>
      <c r="I165" s="20"/>
      <c r="J165" s="20"/>
      <c r="K165" s="21"/>
      <c r="L165" s="20"/>
      <c r="M165" s="20"/>
    </row>
    <row r="166" spans="1:13">
      <c r="A166" s="62">
        <v>162</v>
      </c>
      <c r="B166" s="19"/>
      <c r="C166" s="19"/>
      <c r="D166" s="16"/>
      <c r="E166" s="60"/>
      <c r="F166" s="61"/>
      <c r="G166" s="16"/>
      <c r="H166" s="20"/>
      <c r="I166" s="20"/>
      <c r="J166" s="20"/>
      <c r="K166" s="21"/>
      <c r="L166" s="20"/>
      <c r="M166" s="20"/>
    </row>
    <row r="167" spans="1:13">
      <c r="A167" s="62">
        <v>163</v>
      </c>
      <c r="B167" s="19"/>
      <c r="C167" s="19"/>
      <c r="D167" s="16"/>
      <c r="E167" s="60"/>
      <c r="F167" s="61"/>
      <c r="G167" s="16"/>
      <c r="H167" s="20"/>
      <c r="I167" s="20"/>
      <c r="J167" s="20"/>
      <c r="K167" s="21"/>
      <c r="L167" s="20"/>
      <c r="M167" s="20"/>
    </row>
    <row r="168" spans="1:13">
      <c r="A168" s="62">
        <v>164</v>
      </c>
      <c r="B168" s="19"/>
      <c r="C168" s="19"/>
      <c r="D168" s="16"/>
      <c r="E168" s="60"/>
      <c r="F168" s="61"/>
      <c r="G168" s="16"/>
      <c r="H168" s="20"/>
      <c r="I168" s="20"/>
      <c r="J168" s="20"/>
      <c r="K168" s="21"/>
      <c r="L168" s="20"/>
      <c r="M168" s="20"/>
    </row>
    <row r="169" spans="1:13">
      <c r="A169" s="62">
        <v>165</v>
      </c>
      <c r="B169" s="19"/>
      <c r="C169" s="19"/>
      <c r="D169" s="16"/>
      <c r="E169" s="60"/>
      <c r="F169" s="61"/>
      <c r="G169" s="16"/>
      <c r="H169" s="20"/>
      <c r="I169" s="20"/>
      <c r="J169" s="20"/>
      <c r="K169" s="21"/>
      <c r="L169" s="20"/>
      <c r="M169" s="20"/>
    </row>
    <row r="170" spans="1:13">
      <c r="A170" s="62">
        <v>166</v>
      </c>
      <c r="B170" s="19"/>
      <c r="C170" s="19"/>
      <c r="D170" s="16"/>
      <c r="E170" s="60"/>
      <c r="F170" s="61"/>
      <c r="G170" s="16"/>
      <c r="H170" s="20"/>
      <c r="I170" s="20"/>
      <c r="J170" s="20"/>
      <c r="K170" s="21"/>
      <c r="L170" s="20"/>
      <c r="M170" s="20"/>
    </row>
    <row r="171" spans="1:13">
      <c r="A171" s="62">
        <v>167</v>
      </c>
      <c r="B171" s="19"/>
      <c r="C171" s="19"/>
      <c r="D171" s="16"/>
      <c r="E171" s="60"/>
      <c r="F171" s="61"/>
      <c r="G171" s="16"/>
      <c r="H171" s="20"/>
      <c r="I171" s="20"/>
      <c r="J171" s="20"/>
      <c r="K171" s="21"/>
      <c r="L171" s="20"/>
      <c r="M171" s="20"/>
    </row>
    <row r="172" spans="1:13">
      <c r="A172" s="62">
        <v>168</v>
      </c>
      <c r="B172" s="19"/>
      <c r="C172" s="19"/>
      <c r="D172" s="16"/>
      <c r="E172" s="60"/>
      <c r="F172" s="61"/>
      <c r="G172" s="16"/>
      <c r="H172" s="20"/>
      <c r="I172" s="20"/>
      <c r="J172" s="20"/>
      <c r="K172" s="21"/>
      <c r="L172" s="20"/>
      <c r="M172" s="20"/>
    </row>
    <row r="173" spans="1:13">
      <c r="A173" s="62">
        <v>169</v>
      </c>
      <c r="B173" s="19"/>
      <c r="C173" s="19"/>
      <c r="D173" s="16"/>
      <c r="E173" s="60"/>
      <c r="F173" s="61"/>
      <c r="G173" s="16"/>
      <c r="H173" s="20"/>
      <c r="I173" s="20"/>
      <c r="J173" s="20"/>
      <c r="K173" s="21"/>
      <c r="L173" s="20"/>
      <c r="M173" s="20"/>
    </row>
    <row r="174" spans="1:13">
      <c r="A174" s="62">
        <v>170</v>
      </c>
      <c r="B174" s="19"/>
      <c r="C174" s="19"/>
      <c r="D174" s="16"/>
      <c r="E174" s="60"/>
      <c r="F174" s="61"/>
      <c r="G174" s="16"/>
      <c r="H174" s="20"/>
      <c r="I174" s="20"/>
      <c r="J174" s="20"/>
      <c r="K174" s="21"/>
      <c r="L174" s="20"/>
      <c r="M174" s="20"/>
    </row>
    <row r="175" spans="1:13">
      <c r="A175" s="62">
        <v>171</v>
      </c>
      <c r="B175" s="19"/>
      <c r="C175" s="19"/>
      <c r="D175" s="16"/>
      <c r="E175" s="60"/>
      <c r="F175" s="61"/>
      <c r="G175" s="16"/>
      <c r="H175" s="20"/>
      <c r="I175" s="20"/>
      <c r="J175" s="20"/>
      <c r="K175" s="21"/>
      <c r="L175" s="20"/>
      <c r="M175" s="20"/>
    </row>
    <row r="176" spans="1:13">
      <c r="A176" s="62">
        <v>172</v>
      </c>
      <c r="B176" s="19"/>
      <c r="C176" s="19"/>
      <c r="D176" s="16"/>
      <c r="E176" s="60"/>
      <c r="F176" s="61"/>
      <c r="G176" s="16"/>
      <c r="H176" s="20"/>
      <c r="I176" s="20"/>
      <c r="J176" s="20"/>
      <c r="K176" s="21"/>
      <c r="L176" s="20"/>
      <c r="M176" s="20"/>
    </row>
    <row r="177" spans="1:13">
      <c r="A177" s="62">
        <v>173</v>
      </c>
      <c r="B177" s="19"/>
      <c r="C177" s="19"/>
      <c r="D177" s="16"/>
      <c r="E177" s="60"/>
      <c r="F177" s="61"/>
      <c r="G177" s="16"/>
      <c r="H177" s="20"/>
      <c r="I177" s="20"/>
      <c r="J177" s="20"/>
      <c r="K177" s="21"/>
      <c r="L177" s="20"/>
      <c r="M177" s="20"/>
    </row>
    <row r="178" spans="1:13">
      <c r="A178" s="62">
        <v>174</v>
      </c>
      <c r="B178" s="19"/>
      <c r="C178" s="19"/>
      <c r="D178" s="16"/>
      <c r="E178" s="60"/>
      <c r="F178" s="61"/>
      <c r="G178" s="16"/>
      <c r="H178" s="20"/>
      <c r="I178" s="20"/>
      <c r="J178" s="20"/>
      <c r="K178" s="21"/>
      <c r="L178" s="20"/>
      <c r="M178" s="20"/>
    </row>
    <row r="179" spans="1:13">
      <c r="A179" s="62">
        <v>175</v>
      </c>
      <c r="B179" s="19"/>
      <c r="C179" s="19"/>
      <c r="D179" s="16"/>
      <c r="E179" s="60"/>
      <c r="F179" s="61"/>
      <c r="G179" s="16"/>
      <c r="H179" s="20"/>
      <c r="I179" s="20"/>
      <c r="J179" s="20"/>
      <c r="K179" s="21"/>
      <c r="L179" s="20"/>
      <c r="M179" s="20"/>
    </row>
    <row r="180" spans="1:13">
      <c r="A180" s="62">
        <v>176</v>
      </c>
      <c r="B180" s="19"/>
      <c r="C180" s="19"/>
      <c r="D180" s="16"/>
      <c r="E180" s="60"/>
      <c r="F180" s="61"/>
      <c r="G180" s="16"/>
      <c r="H180" s="20"/>
      <c r="I180" s="20"/>
      <c r="J180" s="20"/>
      <c r="K180" s="21"/>
      <c r="L180" s="20"/>
      <c r="M180" s="20"/>
    </row>
    <row r="181" spans="1:13">
      <c r="A181" s="62">
        <v>177</v>
      </c>
      <c r="B181" s="19"/>
      <c r="C181" s="19"/>
      <c r="D181" s="16"/>
      <c r="E181" s="60"/>
      <c r="F181" s="61"/>
      <c r="G181" s="16"/>
      <c r="H181" s="20"/>
      <c r="I181" s="20"/>
      <c r="J181" s="20"/>
      <c r="K181" s="21"/>
      <c r="L181" s="20"/>
      <c r="M181" s="20"/>
    </row>
    <row r="182" spans="1:13">
      <c r="A182" s="62">
        <v>178</v>
      </c>
      <c r="B182" s="19"/>
      <c r="C182" s="19"/>
      <c r="D182" s="16"/>
      <c r="E182" s="60"/>
      <c r="F182" s="61"/>
      <c r="G182" s="16"/>
      <c r="H182" s="20"/>
      <c r="I182" s="20"/>
      <c r="J182" s="20"/>
      <c r="K182" s="21"/>
      <c r="L182" s="20"/>
      <c r="M182" s="20"/>
    </row>
    <row r="183" spans="1:13">
      <c r="A183" s="62">
        <v>179</v>
      </c>
      <c r="B183" s="19"/>
      <c r="C183" s="19"/>
      <c r="D183" s="16"/>
      <c r="E183" s="60"/>
      <c r="F183" s="61"/>
      <c r="G183" s="16"/>
      <c r="H183" s="20"/>
      <c r="I183" s="20"/>
      <c r="J183" s="20"/>
      <c r="K183" s="21"/>
      <c r="L183" s="20"/>
      <c r="M183" s="20"/>
    </row>
    <row r="184" spans="1:13">
      <c r="A184" s="62">
        <v>180</v>
      </c>
      <c r="B184" s="19"/>
      <c r="C184" s="19"/>
      <c r="D184" s="16"/>
      <c r="E184" s="60"/>
      <c r="F184" s="61"/>
      <c r="G184" s="16"/>
      <c r="H184" s="20"/>
      <c r="I184" s="20"/>
      <c r="J184" s="20"/>
      <c r="K184" s="21"/>
      <c r="L184" s="20"/>
      <c r="M184" s="20"/>
    </row>
    <row r="185" spans="1:13">
      <c r="A185" s="62">
        <v>181</v>
      </c>
      <c r="B185" s="19"/>
      <c r="C185" s="19"/>
      <c r="D185" s="16"/>
      <c r="E185" s="60"/>
      <c r="F185" s="61"/>
      <c r="G185" s="16"/>
      <c r="H185" s="20"/>
      <c r="I185" s="20"/>
      <c r="J185" s="20"/>
      <c r="K185" s="21"/>
      <c r="L185" s="20"/>
      <c r="M185" s="20"/>
    </row>
    <row r="186" spans="1:13">
      <c r="A186" s="62">
        <v>182</v>
      </c>
      <c r="B186" s="19"/>
      <c r="C186" s="19"/>
      <c r="D186" s="16"/>
      <c r="E186" s="60"/>
      <c r="F186" s="61"/>
      <c r="G186" s="16"/>
      <c r="H186" s="20"/>
      <c r="I186" s="20"/>
      <c r="J186" s="20"/>
      <c r="K186" s="21"/>
      <c r="L186" s="20"/>
      <c r="M186" s="20"/>
    </row>
    <row r="187" spans="1:13">
      <c r="A187" s="62">
        <v>183</v>
      </c>
      <c r="B187" s="19"/>
      <c r="C187" s="19"/>
      <c r="D187" s="16"/>
      <c r="E187" s="60"/>
      <c r="F187" s="61"/>
      <c r="G187" s="16"/>
      <c r="H187" s="20"/>
      <c r="I187" s="20"/>
      <c r="J187" s="20"/>
      <c r="K187" s="21"/>
      <c r="L187" s="20"/>
      <c r="M187" s="20"/>
    </row>
    <row r="188" spans="1:13">
      <c r="A188" s="62">
        <v>184</v>
      </c>
      <c r="B188" s="19"/>
      <c r="C188" s="19"/>
      <c r="D188" s="16"/>
      <c r="E188" s="60"/>
      <c r="F188" s="61"/>
      <c r="G188" s="16"/>
      <c r="H188" s="20"/>
      <c r="I188" s="20"/>
      <c r="J188" s="20"/>
      <c r="K188" s="21"/>
      <c r="L188" s="20"/>
      <c r="M188" s="20"/>
    </row>
    <row r="189" spans="1:13">
      <c r="A189" s="62">
        <v>185</v>
      </c>
      <c r="B189" s="19"/>
      <c r="C189" s="19"/>
      <c r="D189" s="16"/>
      <c r="E189" s="60"/>
      <c r="F189" s="61"/>
      <c r="G189" s="16"/>
      <c r="H189" s="20"/>
      <c r="I189" s="20"/>
      <c r="J189" s="20"/>
      <c r="K189" s="21"/>
      <c r="L189" s="20"/>
      <c r="M189" s="20"/>
    </row>
    <row r="190" spans="1:13">
      <c r="A190" s="62">
        <v>186</v>
      </c>
      <c r="B190" s="19"/>
      <c r="C190" s="19"/>
      <c r="D190" s="16"/>
      <c r="E190" s="60"/>
      <c r="F190" s="61"/>
      <c r="G190" s="16"/>
      <c r="H190" s="20"/>
      <c r="I190" s="20"/>
      <c r="J190" s="20"/>
      <c r="K190" s="21"/>
      <c r="L190" s="20"/>
      <c r="M190" s="20"/>
    </row>
    <row r="191" spans="1:13">
      <c r="A191" s="62">
        <v>187</v>
      </c>
      <c r="B191" s="19"/>
      <c r="C191" s="19"/>
      <c r="D191" s="16"/>
      <c r="E191" s="60"/>
      <c r="F191" s="61"/>
      <c r="G191" s="16"/>
      <c r="H191" s="20"/>
      <c r="I191" s="20"/>
      <c r="J191" s="20"/>
      <c r="K191" s="21"/>
      <c r="L191" s="20"/>
      <c r="M191" s="20"/>
    </row>
  </sheetData>
  <autoFilter ref="A4:M191" xr:uid="{00000000-0009-0000-0000-000003000000}"/>
  <dataConsolidate/>
  <mergeCells count="2">
    <mergeCell ref="E3:G3"/>
    <mergeCell ref="A3:C3"/>
  </mergeCells>
  <phoneticPr fontId="50" type="noConversion"/>
  <conditionalFormatting sqref="L192:L65522 P1:P2">
    <cfRule type="cellIs" dxfId="54" priority="59" stopIfTrue="1" operator="equal">
      <formula>"Fixed"</formula>
    </cfRule>
    <cfRule type="cellIs" dxfId="53" priority="60" stopIfTrue="1" operator="equal">
      <formula>"Open"</formula>
    </cfRule>
  </conditionalFormatting>
  <conditionalFormatting sqref="L4">
    <cfRule type="cellIs" dxfId="52" priority="61" stopIfTrue="1" operator="equal">
      <formula>"Open"</formula>
    </cfRule>
    <cfRule type="cellIs" dxfId="51" priority="62" stopIfTrue="1" operator="equal">
      <formula>"Fixed"</formula>
    </cfRule>
  </conditionalFormatting>
  <conditionalFormatting sqref="L5:L6 L14:L191">
    <cfRule type="expression" dxfId="50" priority="63" stopIfTrue="1">
      <formula>AND($M5="Approved",$L5="Fixed")</formula>
    </cfRule>
    <cfRule type="cellIs" dxfId="49" priority="64" stopIfTrue="1" operator="equal">
      <formula>"Fixed"</formula>
    </cfRule>
    <cfRule type="cellIs" dxfId="48" priority="65" stopIfTrue="1" operator="equal">
      <formula>"Open"</formula>
    </cfRule>
  </conditionalFormatting>
  <conditionalFormatting sqref="M5:M6 M14:M191">
    <cfRule type="expression" dxfId="47" priority="66" stopIfTrue="1">
      <formula>OR(M5="Fixed",M5="Approved")</formula>
    </cfRule>
    <cfRule type="cellIs" dxfId="46" priority="67" stopIfTrue="1" operator="equal">
      <formula>"Rejected"</formula>
    </cfRule>
  </conditionalFormatting>
  <conditionalFormatting sqref="A3">
    <cfRule type="expression" dxfId="45" priority="53" stopIfTrue="1">
      <formula>$X$2=1</formula>
    </cfRule>
    <cfRule type="expression" dxfId="44" priority="54" stopIfTrue="1">
      <formula>$Y$2=1</formula>
    </cfRule>
    <cfRule type="expression" dxfId="43" priority="56" stopIfTrue="1">
      <formula>$AA$2=1</formula>
    </cfRule>
  </conditionalFormatting>
  <conditionalFormatting sqref="A3:C3">
    <cfRule type="expression" dxfId="42" priority="55" stopIfTrue="1">
      <formula>$Z$2=1</formula>
    </cfRule>
  </conditionalFormatting>
  <conditionalFormatting sqref="A5:K6 D20:K24 E25:K25 A20:A36 D26:K36 A14:K19 A37:K45 E48:F48 D49:F51 D46:K46 D47:F47 G47:K51 A46:A52 D52:K52 E53:K53 A53:C53 A54:K56 A57:C57 E57:K57 A58:K126 E129:H129 A129:C129 A127:H128 I127:K129 A130:K191">
    <cfRule type="expression" dxfId="41" priority="237" stopIfTrue="1">
      <formula>AND($M5="Approved",OR($L5=$R$1,$L5=$T$1))</formula>
    </cfRule>
  </conditionalFormatting>
  <conditionalFormatting sqref="L7:L13">
    <cfRule type="expression" dxfId="40" priority="36" stopIfTrue="1">
      <formula>AND($M7="Approved",$L7="Fixed")</formula>
    </cfRule>
    <cfRule type="cellIs" dxfId="39" priority="37" stopIfTrue="1" operator="equal">
      <formula>"Fixed"</formula>
    </cfRule>
    <cfRule type="cellIs" dxfId="38" priority="38" stopIfTrue="1" operator="equal">
      <formula>"Open"</formula>
    </cfRule>
  </conditionalFormatting>
  <conditionalFormatting sqref="M7:M13">
    <cfRule type="expression" dxfId="37" priority="39" stopIfTrue="1">
      <formula>OR(M7="Fixed",M7="Approved")</formula>
    </cfRule>
    <cfRule type="cellIs" dxfId="36" priority="40" stopIfTrue="1" operator="equal">
      <formula>"Rejected"</formula>
    </cfRule>
  </conditionalFormatting>
  <conditionalFormatting sqref="I7:I15 A7:K13">
    <cfRule type="expression" dxfId="35" priority="41" stopIfTrue="1">
      <formula>AND($M7="Approved",OR($L7=$R$1,$L7=$T$1))</formula>
    </cfRule>
  </conditionalFormatting>
  <conditionalFormatting sqref="I16:I18">
    <cfRule type="expression" dxfId="34" priority="35" stopIfTrue="1">
      <formula>AND($M16="Approved",OR($L16=$R$1,$L16=$T$1))</formula>
    </cfRule>
  </conditionalFormatting>
  <conditionalFormatting sqref="I19:I20">
    <cfRule type="expression" dxfId="33" priority="34" stopIfTrue="1">
      <formula>AND($M19="Approved",OR($L19=$R$1,$L19=$T$1))</formula>
    </cfRule>
  </conditionalFormatting>
  <conditionalFormatting sqref="B20:C21">
    <cfRule type="expression" dxfId="32" priority="33" stopIfTrue="1">
      <formula>AND($M20="Approved",OR($L20=$R$1,$L20=$T$1))</formula>
    </cfRule>
  </conditionalFormatting>
  <conditionalFormatting sqref="I21">
    <cfRule type="expression" dxfId="31" priority="32" stopIfTrue="1">
      <formula>AND($M21="Approved",OR($L21=$R$1,$L21=$T$1))</formula>
    </cfRule>
  </conditionalFormatting>
  <conditionalFormatting sqref="B22:C22">
    <cfRule type="expression" dxfId="30" priority="31" stopIfTrue="1">
      <formula>AND($M22="Approved",OR($L22=$R$1,$L22=$T$1))</formula>
    </cfRule>
  </conditionalFormatting>
  <conditionalFormatting sqref="I22">
    <cfRule type="expression" dxfId="29" priority="30" stopIfTrue="1">
      <formula>AND($M22="Approved",OR($L22=$R$1,$L22=$T$1))</formula>
    </cfRule>
  </conditionalFormatting>
  <conditionalFormatting sqref="B23:C23">
    <cfRule type="expression" dxfId="28" priority="29" stopIfTrue="1">
      <formula>AND($M23="Approved",OR($L23=$R$1,$L23=$T$1))</formula>
    </cfRule>
  </conditionalFormatting>
  <conditionalFormatting sqref="B24:C24">
    <cfRule type="expression" dxfId="27" priority="28" stopIfTrue="1">
      <formula>AND($M24="Approved",OR($L24=$R$1,$L24=$T$1))</formula>
    </cfRule>
  </conditionalFormatting>
  <conditionalFormatting sqref="I23:I24">
    <cfRule type="expression" dxfId="26" priority="27" stopIfTrue="1">
      <formula>AND($M23="Approved",OR($L23=$R$1,$L23=$T$1))</formula>
    </cfRule>
  </conditionalFormatting>
  <conditionalFormatting sqref="B25:C25">
    <cfRule type="expression" dxfId="25" priority="26" stopIfTrue="1">
      <formula>AND($M25="Approved",OR($L25=$R$1,$L25=$T$1))</formula>
    </cfRule>
  </conditionalFormatting>
  <conditionalFormatting sqref="D25">
    <cfRule type="expression" dxfId="24" priority="25" stopIfTrue="1">
      <formula>AND($M25="Approved",OR($L25=$R$1,$L25=$T$1))</formula>
    </cfRule>
  </conditionalFormatting>
  <conditionalFormatting sqref="I25">
    <cfRule type="expression" dxfId="23" priority="24" stopIfTrue="1">
      <formula>AND($M25="Approved",OR($L25=$R$1,$L25=$T$1))</formula>
    </cfRule>
  </conditionalFormatting>
  <conditionalFormatting sqref="B26:C26">
    <cfRule type="expression" dxfId="22" priority="23" stopIfTrue="1">
      <formula>AND($M26="Approved",OR($L26=$R$1,$L26=$T$1))</formula>
    </cfRule>
  </conditionalFormatting>
  <conditionalFormatting sqref="I26">
    <cfRule type="expression" dxfId="21" priority="22" stopIfTrue="1">
      <formula>AND($M26="Approved",OR($L26=$R$1,$L26=$T$1))</formula>
    </cfRule>
  </conditionalFormatting>
  <conditionalFormatting sqref="B27:C27">
    <cfRule type="expression" dxfId="20" priority="21" stopIfTrue="1">
      <formula>AND($M27="Approved",OR($L27=$R$1,$L27=$T$1))</formula>
    </cfRule>
  </conditionalFormatting>
  <conditionalFormatting sqref="B29:C29">
    <cfRule type="expression" dxfId="19" priority="20" stopIfTrue="1">
      <formula>AND($M29="Approved",OR($L29=$R$1,$L29=$T$1))</formula>
    </cfRule>
  </conditionalFormatting>
  <conditionalFormatting sqref="B28:C28">
    <cfRule type="expression" dxfId="18" priority="19" stopIfTrue="1">
      <formula>AND($M28="Approved",OR($L28=$R$1,$L28=$T$1))</formula>
    </cfRule>
  </conditionalFormatting>
  <conditionalFormatting sqref="B30:C30">
    <cfRule type="expression" dxfId="17" priority="18" stopIfTrue="1">
      <formula>AND($M30="Approved",OR($L30=$R$1,$L30=$T$1))</formula>
    </cfRule>
  </conditionalFormatting>
  <conditionalFormatting sqref="I27:I30">
    <cfRule type="expression" dxfId="16" priority="17" stopIfTrue="1">
      <formula>AND($M27="Approved",OR($L27=$R$1,$L27=$T$1))</formula>
    </cfRule>
  </conditionalFormatting>
  <conditionalFormatting sqref="B31:C31">
    <cfRule type="expression" dxfId="15" priority="16" stopIfTrue="1">
      <formula>AND($M31="Approved",OR($L31=$R$1,$L31=$T$1))</formula>
    </cfRule>
  </conditionalFormatting>
  <conditionalFormatting sqref="I31">
    <cfRule type="expression" dxfId="14" priority="15" stopIfTrue="1">
      <formula>AND($M31="Approved",OR($L31=$R$1,$L31=$T$1))</formula>
    </cfRule>
  </conditionalFormatting>
  <conditionalFormatting sqref="B32:C32">
    <cfRule type="expression" dxfId="13" priority="14" stopIfTrue="1">
      <formula>AND($M32="Approved",OR($L32=$R$1,$L32=$T$1))</formula>
    </cfRule>
  </conditionalFormatting>
  <conditionalFormatting sqref="B33:C33">
    <cfRule type="expression" dxfId="12" priority="13" stopIfTrue="1">
      <formula>AND($M33="Approved",OR($L33=$R$1,$L33=$T$1))</formula>
    </cfRule>
  </conditionalFormatting>
  <conditionalFormatting sqref="B34:C34">
    <cfRule type="expression" dxfId="11" priority="12" stopIfTrue="1">
      <formula>AND($M34="Approved",OR($L34=$R$1,$L34=$T$1))</formula>
    </cfRule>
  </conditionalFormatting>
  <conditionalFormatting sqref="B35:C35">
    <cfRule type="expression" dxfId="10" priority="11" stopIfTrue="1">
      <formula>AND($M35="Approved",OR($L35=$R$1,$L35=$T$1))</formula>
    </cfRule>
  </conditionalFormatting>
  <conditionalFormatting sqref="I32:I35">
    <cfRule type="expression" dxfId="9" priority="10" stopIfTrue="1">
      <formula>AND($M32="Approved",OR($L32=$R$1,$L32=$T$1))</formula>
    </cfRule>
  </conditionalFormatting>
  <conditionalFormatting sqref="B36:C36">
    <cfRule type="expression" dxfId="8" priority="9" stopIfTrue="1">
      <formula>AND($M36="Approved",OR($L36=$R$1,$L36=$T$1))</formula>
    </cfRule>
  </conditionalFormatting>
  <conditionalFormatting sqref="B46:C46">
    <cfRule type="expression" dxfId="7" priority="8" stopIfTrue="1">
      <formula>AND($M46="Approved",OR($L46=$R$1,$L46=$T$1))</formula>
    </cfRule>
  </conditionalFormatting>
  <conditionalFormatting sqref="B47:C47">
    <cfRule type="expression" dxfId="6" priority="7" stopIfTrue="1">
      <formula>AND($M47="Approved",OR($L47=$R$1,$L47=$T$1))</formula>
    </cfRule>
  </conditionalFormatting>
  <conditionalFormatting sqref="B48:C48">
    <cfRule type="expression" dxfId="5" priority="6" stopIfTrue="1">
      <formula>AND($M48="Approved",OR($L48=$R$1,$L48=$T$1))</formula>
    </cfRule>
  </conditionalFormatting>
  <conditionalFormatting sqref="D48">
    <cfRule type="expression" dxfId="4" priority="5" stopIfTrue="1">
      <formula>AND($M48="Approved",OR($L48=$R$1,$L48=$T$1))</formula>
    </cfRule>
  </conditionalFormatting>
  <conditionalFormatting sqref="B49:C49">
    <cfRule type="expression" dxfId="3" priority="4" stopIfTrue="1">
      <formula>AND($M49="Approved",OR($L49=$R$1,$L49=$T$1))</formula>
    </cfRule>
  </conditionalFormatting>
  <conditionalFormatting sqref="B50:C50">
    <cfRule type="expression" dxfId="2" priority="3" stopIfTrue="1">
      <formula>AND($M50="Approved",OR($L50=$R$1,$L50=$T$1))</formula>
    </cfRule>
  </conditionalFormatting>
  <conditionalFormatting sqref="B51:C51">
    <cfRule type="expression" dxfId="1" priority="2" stopIfTrue="1">
      <formula>AND($M51="Approved",OR($L51=$R$1,$L51=$T$1))</formula>
    </cfRule>
  </conditionalFormatting>
  <conditionalFormatting sqref="B52:C52">
    <cfRule type="expression" dxfId="0" priority="1" stopIfTrue="1">
      <formula>AND($M52="Approved",OR($L52=$R$1,$L52=$T$1))</formula>
    </cfRule>
  </conditionalFormatting>
  <dataValidations count="3">
    <dataValidation type="list" allowBlank="1" showInputMessage="1" showErrorMessage="1" sqref="L5:L191" xr:uid="{00000000-0002-0000-0300-000000000000}">
      <formula1>$Q$1:$U$1</formula1>
    </dataValidation>
    <dataValidation type="list" allowBlank="1" showInputMessage="1" showErrorMessage="1" sqref="M5:M191" xr:uid="{00000000-0002-0000-0300-000001000000}">
      <formula1>$AH$1:$AI$1</formula1>
    </dataValidation>
    <dataValidation type="list" allowBlank="1" showInputMessage="1" showErrorMessage="1" sqref="I5:I191"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U33"/>
  <sheetViews>
    <sheetView tabSelected="1" zoomScaleNormal="100" zoomScaleSheetLayoutView="98" workbookViewId="0">
      <pane xSplit="1" ySplit="3" topLeftCell="B4" activePane="bottomRight" state="frozen"/>
      <selection pane="topRight" activeCell="B1" sqref="B1"/>
      <selection pane="bottomLeft" activeCell="A4" sqref="A4"/>
      <selection pane="bottomRight" activeCell="O6" sqref="O6"/>
    </sheetView>
  </sheetViews>
  <sheetFormatPr defaultColWidth="9.33203125" defaultRowHeight="13.2"/>
  <cols>
    <col min="1" max="1" width="11" style="148" bestFit="1" customWidth="1"/>
    <col min="2" max="2" width="61" style="146" customWidth="1"/>
    <col min="3" max="17" width="4.44140625" style="145" bestFit="1" customWidth="1"/>
    <col min="18" max="18" width="30.6640625" style="145" customWidth="1"/>
    <col min="19" max="20" width="27.6640625" style="145" customWidth="1"/>
    <col min="21" max="16384" width="9.33203125" style="145"/>
  </cols>
  <sheetData>
    <row r="2" spans="1:21" ht="74.25" customHeight="1">
      <c r="A2" s="161" t="s">
        <v>227</v>
      </c>
      <c r="B2" s="162" t="s">
        <v>261</v>
      </c>
      <c r="C2" s="163" t="s">
        <v>465</v>
      </c>
      <c r="D2" s="163" t="s">
        <v>466</v>
      </c>
      <c r="E2" s="163" t="s">
        <v>478</v>
      </c>
      <c r="F2" s="163" t="s">
        <v>516</v>
      </c>
      <c r="G2" s="163" t="s">
        <v>527</v>
      </c>
      <c r="H2" s="163" t="s">
        <v>615</v>
      </c>
      <c r="I2" s="163" t="s">
        <v>639</v>
      </c>
      <c r="J2" s="163" t="s">
        <v>646</v>
      </c>
      <c r="K2" s="163" t="s">
        <v>652</v>
      </c>
      <c r="L2" s="163" t="s">
        <v>663</v>
      </c>
      <c r="M2" s="163" t="s">
        <v>674</v>
      </c>
      <c r="N2" s="163" t="s">
        <v>399</v>
      </c>
      <c r="O2" s="163" t="s">
        <v>399</v>
      </c>
      <c r="P2" s="163" t="s">
        <v>399</v>
      </c>
      <c r="Q2" s="163" t="s">
        <v>399</v>
      </c>
      <c r="R2" s="164" t="s">
        <v>242</v>
      </c>
      <c r="S2" s="325" t="s">
        <v>187</v>
      </c>
      <c r="T2" s="326"/>
    </row>
    <row r="3" spans="1:21" ht="36">
      <c r="A3" s="165"/>
      <c r="B3" s="166"/>
      <c r="C3" s="166">
        <f t="shared" ref="C3:G3" si="0">COUNTIF(C5:C33,"Yes")</f>
        <v>11</v>
      </c>
      <c r="D3" s="166">
        <f t="shared" ref="D3:F3" si="1">COUNTIF(D5:D33,"Yes")</f>
        <v>12</v>
      </c>
      <c r="E3" s="166">
        <f t="shared" si="1"/>
        <v>14</v>
      </c>
      <c r="F3" s="166">
        <f t="shared" si="1"/>
        <v>13</v>
      </c>
      <c r="G3" s="166">
        <f t="shared" si="0"/>
        <v>14</v>
      </c>
      <c r="H3" s="166">
        <f t="shared" ref="H3:Q3" si="2">COUNTIF(H5:H33,"Yes")</f>
        <v>13</v>
      </c>
      <c r="I3" s="166">
        <f t="shared" ref="I3:J3" si="3">COUNTIF(I5:I33,"Yes")</f>
        <v>11</v>
      </c>
      <c r="J3" s="166">
        <f t="shared" si="3"/>
        <v>14</v>
      </c>
      <c r="K3" s="166">
        <f t="shared" ref="K3:M3" si="4">COUNTIF(K5:K33,"Yes")</f>
        <v>14</v>
      </c>
      <c r="L3" s="166">
        <f t="shared" si="2"/>
        <v>10</v>
      </c>
      <c r="M3" s="166">
        <f t="shared" si="4"/>
        <v>14</v>
      </c>
      <c r="N3" s="166">
        <f t="shared" si="2"/>
        <v>0</v>
      </c>
      <c r="O3" s="166">
        <f t="shared" si="2"/>
        <v>0</v>
      </c>
      <c r="P3" s="166">
        <f t="shared" si="2"/>
        <v>0</v>
      </c>
      <c r="Q3" s="166">
        <f t="shared" si="2"/>
        <v>0</v>
      </c>
      <c r="R3" s="153"/>
      <c r="S3" s="177" t="s">
        <v>233</v>
      </c>
      <c r="T3" s="177" t="s">
        <v>234</v>
      </c>
      <c r="U3" s="154"/>
    </row>
    <row r="4" spans="1:21" ht="17.399999999999999">
      <c r="A4" s="167"/>
      <c r="B4" s="168" t="s">
        <v>246</v>
      </c>
      <c r="C4" s="169"/>
      <c r="D4" s="169"/>
      <c r="E4" s="169"/>
      <c r="F4" s="169"/>
      <c r="G4" s="169"/>
      <c r="H4" s="169"/>
      <c r="I4" s="169"/>
      <c r="J4" s="169"/>
      <c r="K4" s="169"/>
      <c r="L4" s="169"/>
      <c r="M4" s="169"/>
      <c r="N4" s="169"/>
      <c r="O4" s="169"/>
      <c r="P4" s="169"/>
      <c r="Q4" s="169"/>
      <c r="R4" s="169"/>
      <c r="S4" s="169"/>
      <c r="T4" s="170"/>
      <c r="U4" s="84"/>
    </row>
    <row r="5" spans="1:21" ht="13.8">
      <c r="A5" s="149"/>
      <c r="B5" s="171" t="s">
        <v>245</v>
      </c>
      <c r="C5" s="150"/>
      <c r="D5" s="150"/>
      <c r="E5" s="150"/>
      <c r="F5" s="150"/>
      <c r="G5" s="150"/>
      <c r="H5" s="150"/>
      <c r="I5" s="150"/>
      <c r="J5" s="150"/>
      <c r="K5" s="150"/>
      <c r="L5" s="150"/>
      <c r="M5" s="150"/>
      <c r="N5" s="150"/>
      <c r="O5" s="150"/>
      <c r="P5" s="150"/>
      <c r="Q5" s="150"/>
      <c r="R5" s="150"/>
      <c r="S5" s="150"/>
      <c r="T5" s="151"/>
    </row>
    <row r="6" spans="1:21" ht="39.6">
      <c r="A6" s="155" t="s">
        <v>244</v>
      </c>
      <c r="B6" s="174" t="s">
        <v>260</v>
      </c>
      <c r="C6" s="147"/>
      <c r="D6" s="147"/>
      <c r="E6" s="147"/>
      <c r="F6" s="147"/>
      <c r="G6" s="147"/>
      <c r="H6" s="147"/>
      <c r="I6" s="147"/>
      <c r="J6" s="147"/>
      <c r="K6" s="147"/>
      <c r="L6" s="147"/>
      <c r="M6" s="147"/>
      <c r="N6" s="147"/>
      <c r="O6" s="147"/>
      <c r="P6" s="147"/>
      <c r="Q6" s="147"/>
      <c r="R6" s="147"/>
      <c r="S6" s="152"/>
      <c r="T6" s="152"/>
    </row>
    <row r="7" spans="1:21" ht="13.8">
      <c r="A7" s="149"/>
      <c r="B7" s="171" t="s">
        <v>317</v>
      </c>
      <c r="C7" s="150"/>
      <c r="D7" s="150"/>
      <c r="E7" s="150"/>
      <c r="F7" s="150"/>
      <c r="G7" s="150"/>
      <c r="H7" s="150"/>
      <c r="I7" s="150"/>
      <c r="J7" s="150"/>
      <c r="K7" s="150"/>
      <c r="L7" s="150"/>
      <c r="M7" s="150"/>
      <c r="N7" s="150"/>
      <c r="O7" s="150"/>
      <c r="P7" s="150"/>
      <c r="Q7" s="150"/>
      <c r="R7" s="150"/>
      <c r="S7" s="150"/>
      <c r="T7" s="151"/>
    </row>
    <row r="8" spans="1:21" ht="39.6">
      <c r="A8" s="155" t="s">
        <v>318</v>
      </c>
      <c r="B8" s="174" t="s">
        <v>319</v>
      </c>
      <c r="C8" s="147" t="s">
        <v>226</v>
      </c>
      <c r="D8" s="147" t="s">
        <v>226</v>
      </c>
      <c r="E8" s="147" t="s">
        <v>226</v>
      </c>
      <c r="F8" s="147" t="s">
        <v>226</v>
      </c>
      <c r="G8" s="147" t="s">
        <v>226</v>
      </c>
      <c r="H8" s="147" t="s">
        <v>226</v>
      </c>
      <c r="I8" s="147" t="s">
        <v>226</v>
      </c>
      <c r="J8" s="147" t="s">
        <v>226</v>
      </c>
      <c r="K8" s="147" t="s">
        <v>226</v>
      </c>
      <c r="L8" s="147" t="s">
        <v>23</v>
      </c>
      <c r="M8" s="147" t="s">
        <v>226</v>
      </c>
      <c r="N8" s="147"/>
      <c r="O8" s="147"/>
      <c r="P8" s="147"/>
      <c r="Q8" s="147"/>
      <c r="R8" s="147"/>
      <c r="S8" s="152"/>
      <c r="T8" s="152"/>
    </row>
    <row r="9" spans="1:21" ht="26.4">
      <c r="A9" s="155" t="s">
        <v>320</v>
      </c>
      <c r="B9" s="174" t="s">
        <v>321</v>
      </c>
      <c r="C9" s="147" t="s">
        <v>23</v>
      </c>
      <c r="D9" s="147" t="s">
        <v>226</v>
      </c>
      <c r="E9" s="147" t="s">
        <v>226</v>
      </c>
      <c r="F9" s="147" t="s">
        <v>226</v>
      </c>
      <c r="G9" s="147" t="s">
        <v>226</v>
      </c>
      <c r="H9" s="147" t="s">
        <v>226</v>
      </c>
      <c r="I9" s="147" t="s">
        <v>226</v>
      </c>
      <c r="J9" s="147" t="s">
        <v>226</v>
      </c>
      <c r="K9" s="147" t="s">
        <v>226</v>
      </c>
      <c r="L9" s="147" t="s">
        <v>23</v>
      </c>
      <c r="M9" s="147" t="s">
        <v>226</v>
      </c>
      <c r="N9" s="147"/>
      <c r="O9" s="147"/>
      <c r="P9" s="147"/>
      <c r="Q9" s="147"/>
      <c r="R9" s="147"/>
      <c r="S9" s="152"/>
      <c r="T9" s="152"/>
    </row>
    <row r="10" spans="1:21" ht="39.6">
      <c r="A10" s="155" t="s">
        <v>322</v>
      </c>
      <c r="B10" s="174" t="s">
        <v>323</v>
      </c>
      <c r="C10" s="147" t="s">
        <v>226</v>
      </c>
      <c r="D10" s="147" t="s">
        <v>226</v>
      </c>
      <c r="E10" s="147" t="s">
        <v>226</v>
      </c>
      <c r="F10" s="147" t="s">
        <v>226</v>
      </c>
      <c r="G10" s="147" t="s">
        <v>226</v>
      </c>
      <c r="H10" s="147" t="s">
        <v>226</v>
      </c>
      <c r="I10" s="147" t="s">
        <v>226</v>
      </c>
      <c r="J10" s="147" t="s">
        <v>226</v>
      </c>
      <c r="K10" s="147" t="s">
        <v>226</v>
      </c>
      <c r="L10" s="147" t="s">
        <v>23</v>
      </c>
      <c r="M10" s="147" t="s">
        <v>226</v>
      </c>
      <c r="N10" s="147"/>
      <c r="O10" s="147"/>
      <c r="P10" s="147"/>
      <c r="Q10" s="147"/>
      <c r="R10" s="147"/>
      <c r="S10" s="152"/>
      <c r="T10" s="152"/>
    </row>
    <row r="11" spans="1:21" ht="26.4">
      <c r="A11" s="155" t="s">
        <v>324</v>
      </c>
      <c r="B11" s="174" t="s">
        <v>325</v>
      </c>
      <c r="C11" s="147" t="s">
        <v>226</v>
      </c>
      <c r="D11" s="147" t="s">
        <v>226</v>
      </c>
      <c r="E11" s="147" t="s">
        <v>226</v>
      </c>
      <c r="F11" s="147" t="s">
        <v>226</v>
      </c>
      <c r="G11" s="147" t="s">
        <v>226</v>
      </c>
      <c r="H11" s="147" t="s">
        <v>226</v>
      </c>
      <c r="I11" s="147" t="s">
        <v>23</v>
      </c>
      <c r="J11" s="147" t="s">
        <v>226</v>
      </c>
      <c r="K11" s="147" t="s">
        <v>226</v>
      </c>
      <c r="L11" s="147" t="s">
        <v>23</v>
      </c>
      <c r="M11" s="147" t="s">
        <v>226</v>
      </c>
      <c r="N11" s="147"/>
      <c r="O11" s="147"/>
      <c r="P11" s="147"/>
      <c r="Q11" s="147"/>
      <c r="R11" s="147"/>
      <c r="S11" s="152"/>
      <c r="T11" s="152"/>
    </row>
    <row r="12" spans="1:21" ht="52.8">
      <c r="A12" s="155" t="s">
        <v>326</v>
      </c>
      <c r="B12" s="174" t="s">
        <v>327</v>
      </c>
      <c r="C12" s="147" t="s">
        <v>11</v>
      </c>
      <c r="D12" s="147" t="s">
        <v>11</v>
      </c>
      <c r="E12" s="147" t="s">
        <v>11</v>
      </c>
      <c r="F12" s="147" t="s">
        <v>11</v>
      </c>
      <c r="G12" s="147" t="s">
        <v>11</v>
      </c>
      <c r="H12" s="147" t="s">
        <v>11</v>
      </c>
      <c r="I12" s="147" t="s">
        <v>11</v>
      </c>
      <c r="J12" s="147" t="s">
        <v>11</v>
      </c>
      <c r="K12" s="147" t="s">
        <v>11</v>
      </c>
      <c r="L12" s="147" t="s">
        <v>11</v>
      </c>
      <c r="M12" s="147" t="s">
        <v>11</v>
      </c>
      <c r="N12" s="147"/>
      <c r="O12" s="147"/>
      <c r="P12" s="147"/>
      <c r="Q12" s="147"/>
      <c r="R12" s="147"/>
      <c r="S12" s="152"/>
      <c r="T12" s="152"/>
    </row>
    <row r="13" spans="1:21" ht="26.4">
      <c r="A13" s="155" t="s">
        <v>328</v>
      </c>
      <c r="B13" s="174" t="s">
        <v>329</v>
      </c>
      <c r="C13" s="147" t="s">
        <v>226</v>
      </c>
      <c r="D13" s="147" t="s">
        <v>226</v>
      </c>
      <c r="E13" s="147" t="s">
        <v>226</v>
      </c>
      <c r="F13" s="147" t="s">
        <v>23</v>
      </c>
      <c r="G13" s="147" t="s">
        <v>226</v>
      </c>
      <c r="H13" s="147" t="s">
        <v>226</v>
      </c>
      <c r="I13" s="147" t="s">
        <v>23</v>
      </c>
      <c r="J13" s="147" t="s">
        <v>226</v>
      </c>
      <c r="K13" s="147" t="s">
        <v>226</v>
      </c>
      <c r="L13" s="147" t="s">
        <v>226</v>
      </c>
      <c r="M13" s="147" t="s">
        <v>226</v>
      </c>
      <c r="N13" s="147"/>
      <c r="O13" s="147"/>
      <c r="P13" s="147"/>
      <c r="Q13" s="147"/>
      <c r="R13" s="147"/>
      <c r="S13" s="152"/>
      <c r="T13" s="152"/>
    </row>
    <row r="14" spans="1:21" ht="26.4">
      <c r="A14" s="155" t="s">
        <v>330</v>
      </c>
      <c r="B14" s="174" t="s">
        <v>331</v>
      </c>
      <c r="C14" s="147" t="s">
        <v>226</v>
      </c>
      <c r="D14" s="147" t="s">
        <v>226</v>
      </c>
      <c r="E14" s="147" t="s">
        <v>226</v>
      </c>
      <c r="F14" s="147" t="s">
        <v>226</v>
      </c>
      <c r="G14" s="147" t="s">
        <v>226</v>
      </c>
      <c r="H14" s="147" t="s">
        <v>226</v>
      </c>
      <c r="I14" s="147" t="s">
        <v>226</v>
      </c>
      <c r="J14" s="147" t="s">
        <v>226</v>
      </c>
      <c r="K14" s="147" t="s">
        <v>226</v>
      </c>
      <c r="L14" s="147" t="s">
        <v>226</v>
      </c>
      <c r="M14" s="147" t="s">
        <v>226</v>
      </c>
      <c r="N14" s="147"/>
      <c r="O14" s="147"/>
      <c r="P14" s="147"/>
      <c r="Q14" s="147"/>
      <c r="R14" s="147"/>
      <c r="S14" s="152"/>
      <c r="T14" s="152"/>
    </row>
    <row r="15" spans="1:21" ht="39.6">
      <c r="A15" s="155" t="s">
        <v>332</v>
      </c>
      <c r="B15" s="174" t="s">
        <v>333</v>
      </c>
      <c r="C15" s="147" t="s">
        <v>226</v>
      </c>
      <c r="D15" s="147" t="s">
        <v>226</v>
      </c>
      <c r="E15" s="147" t="s">
        <v>226</v>
      </c>
      <c r="F15" s="147" t="s">
        <v>226</v>
      </c>
      <c r="G15" s="147" t="s">
        <v>226</v>
      </c>
      <c r="H15" s="147" t="s">
        <v>226</v>
      </c>
      <c r="I15" s="147" t="s">
        <v>226</v>
      </c>
      <c r="J15" s="147" t="s">
        <v>226</v>
      </c>
      <c r="K15" s="147" t="s">
        <v>226</v>
      </c>
      <c r="L15" s="147" t="s">
        <v>226</v>
      </c>
      <c r="M15" s="147" t="s">
        <v>226</v>
      </c>
      <c r="N15" s="147"/>
      <c r="O15" s="147"/>
      <c r="P15" s="147"/>
      <c r="Q15" s="147"/>
      <c r="R15" s="147"/>
      <c r="S15" s="152"/>
      <c r="T15" s="152"/>
    </row>
    <row r="16" spans="1:21" ht="26.4">
      <c r="A16" s="155" t="s">
        <v>334</v>
      </c>
      <c r="B16" s="174" t="s">
        <v>335</v>
      </c>
      <c r="C16" s="147" t="s">
        <v>226</v>
      </c>
      <c r="D16" s="147" t="s">
        <v>226</v>
      </c>
      <c r="E16" s="147" t="s">
        <v>226</v>
      </c>
      <c r="F16" s="147" t="s">
        <v>226</v>
      </c>
      <c r="G16" s="147" t="s">
        <v>226</v>
      </c>
      <c r="H16" s="147" t="s">
        <v>226</v>
      </c>
      <c r="I16" s="147" t="s">
        <v>226</v>
      </c>
      <c r="J16" s="147" t="s">
        <v>226</v>
      </c>
      <c r="K16" s="147" t="s">
        <v>226</v>
      </c>
      <c r="L16" s="147" t="s">
        <v>226</v>
      </c>
      <c r="M16" s="147" t="s">
        <v>226</v>
      </c>
      <c r="N16" s="147"/>
      <c r="O16" s="147"/>
      <c r="P16" s="147"/>
      <c r="Q16" s="147"/>
      <c r="R16" s="147"/>
      <c r="S16" s="152"/>
      <c r="T16" s="152"/>
    </row>
    <row r="17" spans="1:20" ht="39.6">
      <c r="A17" s="155" t="s">
        <v>336</v>
      </c>
      <c r="B17" s="174" t="s">
        <v>337</v>
      </c>
      <c r="C17" s="147" t="s">
        <v>23</v>
      </c>
      <c r="D17" s="147" t="s">
        <v>23</v>
      </c>
      <c r="E17" s="147" t="s">
        <v>226</v>
      </c>
      <c r="F17" s="147" t="s">
        <v>226</v>
      </c>
      <c r="G17" s="147" t="s">
        <v>226</v>
      </c>
      <c r="H17" s="147" t="s">
        <v>23</v>
      </c>
      <c r="I17" s="147" t="s">
        <v>23</v>
      </c>
      <c r="J17" s="147" t="s">
        <v>226</v>
      </c>
      <c r="K17" s="147" t="s">
        <v>226</v>
      </c>
      <c r="L17" s="147" t="s">
        <v>226</v>
      </c>
      <c r="M17" s="147" t="s">
        <v>226</v>
      </c>
      <c r="N17" s="147"/>
      <c r="O17" s="147"/>
      <c r="P17" s="147"/>
      <c r="Q17" s="147"/>
      <c r="R17" s="147"/>
      <c r="S17" s="152"/>
      <c r="T17" s="152"/>
    </row>
    <row r="18" spans="1:20" ht="39.6">
      <c r="A18" s="155" t="s">
        <v>338</v>
      </c>
      <c r="B18" s="174" t="s">
        <v>339</v>
      </c>
      <c r="C18" s="147" t="s">
        <v>11</v>
      </c>
      <c r="D18" s="147" t="s">
        <v>11</v>
      </c>
      <c r="E18" s="147" t="s">
        <v>11</v>
      </c>
      <c r="F18" s="147" t="s">
        <v>11</v>
      </c>
      <c r="G18" s="147" t="s">
        <v>11</v>
      </c>
      <c r="H18" s="147" t="s">
        <v>11</v>
      </c>
      <c r="I18" s="147" t="s">
        <v>11</v>
      </c>
      <c r="J18" s="147" t="s">
        <v>11</v>
      </c>
      <c r="K18" s="147" t="s">
        <v>11</v>
      </c>
      <c r="L18" s="147" t="s">
        <v>11</v>
      </c>
      <c r="M18" s="147" t="s">
        <v>11</v>
      </c>
      <c r="N18" s="147"/>
      <c r="O18" s="147"/>
      <c r="P18" s="147"/>
      <c r="Q18" s="147"/>
      <c r="R18" s="147"/>
      <c r="S18" s="152"/>
      <c r="T18" s="152"/>
    </row>
    <row r="19" spans="1:20" ht="26.4">
      <c r="A19" s="155" t="s">
        <v>340</v>
      </c>
      <c r="B19" s="174" t="s">
        <v>341</v>
      </c>
      <c r="C19" s="147" t="s">
        <v>11</v>
      </c>
      <c r="D19" s="147" t="s">
        <v>11</v>
      </c>
      <c r="E19" s="147" t="s">
        <v>11</v>
      </c>
      <c r="F19" s="147" t="s">
        <v>11</v>
      </c>
      <c r="G19" s="147" t="s">
        <v>11</v>
      </c>
      <c r="H19" s="147" t="s">
        <v>11</v>
      </c>
      <c r="I19" s="147" t="s">
        <v>11</v>
      </c>
      <c r="J19" s="147" t="s">
        <v>11</v>
      </c>
      <c r="K19" s="147" t="s">
        <v>11</v>
      </c>
      <c r="L19" s="147" t="s">
        <v>11</v>
      </c>
      <c r="M19" s="147" t="s">
        <v>11</v>
      </c>
      <c r="N19" s="147"/>
      <c r="O19" s="147"/>
      <c r="P19" s="147"/>
      <c r="Q19" s="147"/>
      <c r="R19" s="147"/>
      <c r="S19" s="152"/>
      <c r="T19" s="152"/>
    </row>
    <row r="20" spans="1:20" ht="26.4">
      <c r="A20" s="155" t="s">
        <v>342</v>
      </c>
      <c r="B20" s="174" t="s">
        <v>343</v>
      </c>
      <c r="C20" s="147" t="s">
        <v>11</v>
      </c>
      <c r="D20" s="147" t="s">
        <v>11</v>
      </c>
      <c r="E20" s="147" t="s">
        <v>11</v>
      </c>
      <c r="F20" s="147" t="s">
        <v>11</v>
      </c>
      <c r="G20" s="147" t="s">
        <v>11</v>
      </c>
      <c r="H20" s="147" t="s">
        <v>11</v>
      </c>
      <c r="I20" s="147" t="s">
        <v>11</v>
      </c>
      <c r="J20" s="147" t="s">
        <v>11</v>
      </c>
      <c r="K20" s="147" t="s">
        <v>11</v>
      </c>
      <c r="L20" s="147" t="s">
        <v>11</v>
      </c>
      <c r="M20" s="147" t="s">
        <v>11</v>
      </c>
      <c r="N20" s="147"/>
      <c r="O20" s="147"/>
      <c r="P20" s="147"/>
      <c r="Q20" s="147"/>
      <c r="R20" s="147"/>
      <c r="S20" s="152"/>
      <c r="T20" s="152"/>
    </row>
    <row r="21" spans="1:20" ht="39.6">
      <c r="A21" s="155" t="s">
        <v>344</v>
      </c>
      <c r="B21" s="174" t="s">
        <v>345</v>
      </c>
      <c r="C21" s="147" t="s">
        <v>11</v>
      </c>
      <c r="D21" s="147" t="s">
        <v>11</v>
      </c>
      <c r="E21" s="147" t="s">
        <v>11</v>
      </c>
      <c r="F21" s="147" t="s">
        <v>11</v>
      </c>
      <c r="G21" s="147" t="s">
        <v>11</v>
      </c>
      <c r="H21" s="147" t="s">
        <v>11</v>
      </c>
      <c r="I21" s="147" t="s">
        <v>11</v>
      </c>
      <c r="J21" s="147" t="s">
        <v>11</v>
      </c>
      <c r="K21" s="147" t="s">
        <v>11</v>
      </c>
      <c r="L21" s="147" t="s">
        <v>11</v>
      </c>
      <c r="M21" s="147" t="s">
        <v>11</v>
      </c>
      <c r="N21" s="147"/>
      <c r="O21" s="147"/>
      <c r="P21" s="147"/>
      <c r="Q21" s="147"/>
      <c r="R21" s="147"/>
      <c r="S21" s="152"/>
      <c r="T21" s="152"/>
    </row>
    <row r="22" spans="1:20" ht="39.6">
      <c r="A22" s="155" t="s">
        <v>346</v>
      </c>
      <c r="B22" s="174" t="s">
        <v>347</v>
      </c>
      <c r="C22" s="147" t="s">
        <v>11</v>
      </c>
      <c r="D22" s="147" t="s">
        <v>11</v>
      </c>
      <c r="E22" s="147" t="s">
        <v>11</v>
      </c>
      <c r="F22" s="147" t="s">
        <v>11</v>
      </c>
      <c r="G22" s="147" t="s">
        <v>11</v>
      </c>
      <c r="H22" s="147" t="s">
        <v>11</v>
      </c>
      <c r="I22" s="147" t="s">
        <v>11</v>
      </c>
      <c r="J22" s="147" t="s">
        <v>11</v>
      </c>
      <c r="K22" s="147" t="s">
        <v>11</v>
      </c>
      <c r="L22" s="147" t="s">
        <v>11</v>
      </c>
      <c r="M22" s="147" t="s">
        <v>11</v>
      </c>
      <c r="N22" s="147"/>
      <c r="O22" s="147"/>
      <c r="P22" s="147"/>
      <c r="Q22" s="147"/>
      <c r="R22" s="147"/>
      <c r="S22" s="152"/>
      <c r="T22" s="152"/>
    </row>
    <row r="23" spans="1:20" ht="13.8">
      <c r="A23" s="149"/>
      <c r="B23" s="171" t="s">
        <v>230</v>
      </c>
      <c r="C23" s="150"/>
      <c r="D23" s="150"/>
      <c r="E23" s="150"/>
      <c r="F23" s="150"/>
      <c r="G23" s="150"/>
      <c r="H23" s="150"/>
      <c r="I23" s="150"/>
      <c r="J23" s="150"/>
      <c r="K23" s="150"/>
      <c r="L23" s="150"/>
      <c r="M23" s="150"/>
      <c r="N23" s="150"/>
      <c r="O23" s="150"/>
      <c r="P23" s="150"/>
      <c r="Q23" s="150"/>
      <c r="R23" s="150"/>
      <c r="S23" s="150"/>
      <c r="T23" s="151"/>
    </row>
    <row r="24" spans="1:20" ht="39.6">
      <c r="A24" s="155" t="s">
        <v>235</v>
      </c>
      <c r="B24" s="174" t="s">
        <v>220</v>
      </c>
      <c r="C24" s="147" t="s">
        <v>226</v>
      </c>
      <c r="D24" s="147" t="s">
        <v>23</v>
      </c>
      <c r="E24" s="147" t="s">
        <v>226</v>
      </c>
      <c r="F24" s="147" t="s">
        <v>226</v>
      </c>
      <c r="G24" s="147" t="s">
        <v>226</v>
      </c>
      <c r="H24" s="147" t="s">
        <v>226</v>
      </c>
      <c r="I24" s="147" t="s">
        <v>226</v>
      </c>
      <c r="J24" s="147" t="s">
        <v>226</v>
      </c>
      <c r="K24" s="147" t="s">
        <v>226</v>
      </c>
      <c r="L24" s="147" t="s">
        <v>226</v>
      </c>
      <c r="M24" s="147" t="s">
        <v>226</v>
      </c>
      <c r="N24" s="147"/>
      <c r="O24" s="147"/>
      <c r="P24" s="147"/>
      <c r="Q24" s="147"/>
      <c r="R24" s="147"/>
      <c r="S24" s="152"/>
      <c r="T24" s="152"/>
    </row>
    <row r="25" spans="1:20" ht="26.4">
      <c r="A25" s="155" t="s">
        <v>236</v>
      </c>
      <c r="B25" s="174" t="s">
        <v>221</v>
      </c>
      <c r="C25" s="147" t="s">
        <v>226</v>
      </c>
      <c r="D25" s="147" t="s">
        <v>226</v>
      </c>
      <c r="E25" s="147" t="s">
        <v>226</v>
      </c>
      <c r="F25" s="147" t="s">
        <v>226</v>
      </c>
      <c r="G25" s="147" t="s">
        <v>226</v>
      </c>
      <c r="H25" s="147" t="s">
        <v>226</v>
      </c>
      <c r="I25" s="147" t="s">
        <v>226</v>
      </c>
      <c r="J25" s="147" t="s">
        <v>226</v>
      </c>
      <c r="K25" s="147" t="s">
        <v>226</v>
      </c>
      <c r="L25" s="147" t="s">
        <v>226</v>
      </c>
      <c r="M25" s="147" t="s">
        <v>226</v>
      </c>
      <c r="N25" s="147"/>
      <c r="O25" s="147"/>
      <c r="P25" s="147"/>
      <c r="Q25" s="147"/>
      <c r="R25" s="147"/>
      <c r="S25" s="152"/>
      <c r="T25" s="152"/>
    </row>
    <row r="26" spans="1:20" ht="39.6">
      <c r="A26" s="155" t="s">
        <v>237</v>
      </c>
      <c r="B26" s="174" t="s">
        <v>222</v>
      </c>
      <c r="C26" s="147" t="s">
        <v>226</v>
      </c>
      <c r="D26" s="147" t="s">
        <v>226</v>
      </c>
      <c r="E26" s="147" t="s">
        <v>226</v>
      </c>
      <c r="F26" s="147" t="s">
        <v>226</v>
      </c>
      <c r="G26" s="147" t="s">
        <v>226</v>
      </c>
      <c r="H26" s="147" t="s">
        <v>226</v>
      </c>
      <c r="I26" s="147" t="s">
        <v>226</v>
      </c>
      <c r="J26" s="147" t="s">
        <v>226</v>
      </c>
      <c r="K26" s="147" t="s">
        <v>226</v>
      </c>
      <c r="L26" s="147" t="s">
        <v>226</v>
      </c>
      <c r="M26" s="147" t="s">
        <v>226</v>
      </c>
      <c r="N26" s="147"/>
      <c r="O26" s="147"/>
      <c r="P26" s="147"/>
      <c r="Q26" s="147"/>
      <c r="R26" s="147"/>
      <c r="S26" s="152"/>
      <c r="T26" s="152"/>
    </row>
    <row r="27" spans="1:20" ht="39.6">
      <c r="A27" s="155" t="s">
        <v>238</v>
      </c>
      <c r="B27" s="174" t="s">
        <v>223</v>
      </c>
      <c r="C27" s="147" t="s">
        <v>23</v>
      </c>
      <c r="D27" s="147" t="s">
        <v>226</v>
      </c>
      <c r="E27" s="147" t="s">
        <v>226</v>
      </c>
      <c r="F27" s="147" t="s">
        <v>226</v>
      </c>
      <c r="G27" s="147" t="s">
        <v>226</v>
      </c>
      <c r="H27" s="147" t="s">
        <v>226</v>
      </c>
      <c r="I27" s="147" t="s">
        <v>226</v>
      </c>
      <c r="J27" s="147" t="s">
        <v>226</v>
      </c>
      <c r="K27" s="147" t="s">
        <v>226</v>
      </c>
      <c r="L27" s="147" t="s">
        <v>226</v>
      </c>
      <c r="M27" s="147" t="s">
        <v>226</v>
      </c>
      <c r="N27" s="147"/>
      <c r="O27" s="147"/>
      <c r="P27" s="147"/>
      <c r="Q27" s="147"/>
      <c r="R27" s="147"/>
      <c r="S27" s="152"/>
      <c r="T27" s="152"/>
    </row>
    <row r="28" spans="1:20" ht="13.8">
      <c r="A28" s="149"/>
      <c r="B28" s="171" t="s">
        <v>231</v>
      </c>
      <c r="C28" s="150"/>
      <c r="D28" s="150"/>
      <c r="E28" s="150"/>
      <c r="F28" s="150"/>
      <c r="G28" s="150"/>
      <c r="H28" s="150"/>
      <c r="I28" s="150"/>
      <c r="J28" s="150"/>
      <c r="K28" s="150"/>
      <c r="L28" s="150"/>
      <c r="M28" s="150"/>
      <c r="N28" s="150"/>
      <c r="O28" s="150"/>
      <c r="P28" s="150"/>
      <c r="Q28" s="150"/>
      <c r="R28" s="150"/>
      <c r="S28" s="150"/>
      <c r="T28" s="151"/>
    </row>
    <row r="29" spans="1:20" ht="39.6">
      <c r="A29" s="155" t="s">
        <v>239</v>
      </c>
      <c r="B29" s="174" t="s">
        <v>224</v>
      </c>
      <c r="C29" s="147" t="s">
        <v>226</v>
      </c>
      <c r="D29" s="147" t="s">
        <v>226</v>
      </c>
      <c r="E29" s="147" t="s">
        <v>226</v>
      </c>
      <c r="F29" s="147" t="s">
        <v>226</v>
      </c>
      <c r="G29" s="147" t="s">
        <v>226</v>
      </c>
      <c r="H29" s="147" t="s">
        <v>226</v>
      </c>
      <c r="I29" s="147" t="s">
        <v>226</v>
      </c>
      <c r="J29" s="147" t="s">
        <v>226</v>
      </c>
      <c r="K29" s="147" t="s">
        <v>226</v>
      </c>
      <c r="L29" s="147" t="s">
        <v>226</v>
      </c>
      <c r="M29" s="147" t="s">
        <v>226</v>
      </c>
      <c r="N29" s="147"/>
      <c r="O29" s="147"/>
      <c r="P29" s="147"/>
      <c r="Q29" s="147"/>
      <c r="R29" s="147"/>
      <c r="S29" s="152"/>
      <c r="T29" s="152"/>
    </row>
    <row r="30" spans="1:20" ht="39.6">
      <c r="A30" s="155" t="s">
        <v>240</v>
      </c>
      <c r="B30" s="174" t="s">
        <v>225</v>
      </c>
      <c r="C30" s="147" t="s">
        <v>11</v>
      </c>
      <c r="D30" s="147" t="s">
        <v>11</v>
      </c>
      <c r="E30" s="147" t="s">
        <v>11</v>
      </c>
      <c r="F30" s="147" t="s">
        <v>11</v>
      </c>
      <c r="G30" s="147" t="s">
        <v>11</v>
      </c>
      <c r="H30" s="147" t="s">
        <v>11</v>
      </c>
      <c r="I30" s="147" t="s">
        <v>11</v>
      </c>
      <c r="J30" s="147" t="s">
        <v>11</v>
      </c>
      <c r="K30" s="147" t="s">
        <v>11</v>
      </c>
      <c r="L30" s="147" t="s">
        <v>11</v>
      </c>
      <c r="M30" s="147" t="s">
        <v>11</v>
      </c>
      <c r="N30" s="147"/>
      <c r="O30" s="147"/>
      <c r="P30" s="147"/>
      <c r="Q30" s="147"/>
      <c r="R30" s="147"/>
      <c r="S30" s="152"/>
      <c r="T30" s="152"/>
    </row>
    <row r="31" spans="1:20" ht="13.8">
      <c r="A31" s="149"/>
      <c r="B31" s="171" t="s">
        <v>217</v>
      </c>
      <c r="C31" s="150"/>
      <c r="D31" s="150"/>
      <c r="E31" s="150"/>
      <c r="F31" s="150"/>
      <c r="G31" s="150"/>
      <c r="H31" s="150"/>
      <c r="I31" s="150"/>
      <c r="J31" s="150"/>
      <c r="K31" s="150"/>
      <c r="L31" s="150"/>
      <c r="M31" s="150"/>
      <c r="N31" s="150"/>
      <c r="O31" s="150"/>
      <c r="P31" s="150"/>
      <c r="Q31" s="150"/>
      <c r="R31" s="150"/>
      <c r="S31" s="150"/>
      <c r="T31" s="151"/>
    </row>
    <row r="32" spans="1:20" ht="52.8">
      <c r="A32" s="155" t="s">
        <v>218</v>
      </c>
      <c r="B32" s="174" t="s">
        <v>219</v>
      </c>
      <c r="C32" s="147"/>
      <c r="D32" s="147"/>
      <c r="E32" s="147"/>
      <c r="F32" s="147"/>
      <c r="G32" s="147"/>
      <c r="H32" s="147"/>
      <c r="I32" s="147"/>
      <c r="J32" s="147"/>
      <c r="K32" s="147"/>
      <c r="L32" s="147"/>
      <c r="M32" s="147"/>
      <c r="N32" s="147"/>
      <c r="O32" s="147"/>
      <c r="P32" s="147"/>
      <c r="Q32" s="147"/>
      <c r="R32" s="147"/>
      <c r="S32" s="152"/>
      <c r="T32" s="152"/>
    </row>
    <row r="33" spans="1:20" ht="17.399999999999999">
      <c r="A33" s="175"/>
      <c r="B33" s="176" t="s">
        <v>241</v>
      </c>
      <c r="C33" s="175"/>
      <c r="D33" s="175"/>
      <c r="E33" s="175"/>
      <c r="F33" s="175"/>
      <c r="G33" s="175"/>
      <c r="H33" s="175"/>
      <c r="I33" s="175"/>
      <c r="J33" s="175"/>
      <c r="K33" s="175"/>
      <c r="L33" s="175"/>
      <c r="M33" s="175"/>
      <c r="N33" s="175"/>
      <c r="O33" s="175"/>
      <c r="P33" s="175"/>
      <c r="Q33" s="175"/>
      <c r="R33" s="175"/>
      <c r="S33" s="175"/>
      <c r="T33" s="175"/>
    </row>
  </sheetData>
  <mergeCells count="1">
    <mergeCell ref="S2:T2"/>
  </mergeCells>
  <dataValidations count="1">
    <dataValidation type="list" allowBlank="1" showInputMessage="1" showErrorMessage="1" sqref="C8:Q22 C6:Q6 C32:Q32 C29:Q30 C24:Q27" xr:uid="{E52B5CE3-7E01-462B-A4E6-4F4CA79C1633}">
      <formula1>Option_ReviewEvaluationScale</formula1>
    </dataValidation>
  </dataValidations>
  <pageMargins left="0.75" right="0.75" top="1" bottom="1" header="0.4921259845" footer="0.4921259845"/>
  <pageSetup paperSize="9" scale="40"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Y33"/>
  <sheetViews>
    <sheetView zoomScale="80" zoomScaleNormal="80" workbookViewId="0">
      <pane xSplit="1" ySplit="3" topLeftCell="B19" activePane="bottomRight" state="frozen"/>
      <selection pane="topRight" activeCell="B1" sqref="B1"/>
      <selection pane="bottomLeft" activeCell="A4" sqref="A4"/>
      <selection pane="bottomRight" activeCell="U2" sqref="U2"/>
    </sheetView>
  </sheetViews>
  <sheetFormatPr defaultColWidth="9.33203125" defaultRowHeight="13.2"/>
  <cols>
    <col min="1" max="1" width="11" style="148" bestFit="1" customWidth="1"/>
    <col min="2" max="2" width="61" style="146" customWidth="1"/>
    <col min="3" max="19" width="4.44140625" style="145" bestFit="1" customWidth="1"/>
    <col min="20" max="21" width="4.44140625" style="145" customWidth="1"/>
    <col min="22" max="22" width="30.6640625" style="145" customWidth="1"/>
    <col min="23" max="24" width="27.6640625" style="145" customWidth="1"/>
    <col min="25" max="16384" width="9.33203125" style="145"/>
  </cols>
  <sheetData>
    <row r="2" spans="1:25" ht="115.2">
      <c r="A2" s="161" t="s">
        <v>227</v>
      </c>
      <c r="B2" s="162" t="s">
        <v>262</v>
      </c>
      <c r="C2" s="163" t="s">
        <v>445</v>
      </c>
      <c r="D2" s="163" t="s">
        <v>446</v>
      </c>
      <c r="E2" s="163" t="s">
        <v>485</v>
      </c>
      <c r="F2" s="163" t="s">
        <v>494</v>
      </c>
      <c r="G2" s="163" t="s">
        <v>523</v>
      </c>
      <c r="H2" s="163" t="s">
        <v>524</v>
      </c>
      <c r="I2" s="163" t="s">
        <v>536</v>
      </c>
      <c r="J2" s="163" t="s">
        <v>607</v>
      </c>
      <c r="K2" s="163" t="s">
        <v>611</v>
      </c>
      <c r="L2" s="163" t="s">
        <v>630</v>
      </c>
      <c r="M2" s="163" t="s">
        <v>631</v>
      </c>
      <c r="N2" s="163" t="s">
        <v>632</v>
      </c>
      <c r="O2" s="163" t="s">
        <v>640</v>
      </c>
      <c r="P2" s="163" t="s">
        <v>647</v>
      </c>
      <c r="Q2" s="163" t="s">
        <v>654</v>
      </c>
      <c r="R2" s="163" t="s">
        <v>658</v>
      </c>
      <c r="S2" s="163" t="s">
        <v>659</v>
      </c>
      <c r="T2" s="163" t="s">
        <v>660</v>
      </c>
      <c r="U2" s="163" t="s">
        <v>664</v>
      </c>
      <c r="V2" s="164" t="s">
        <v>242</v>
      </c>
      <c r="W2" s="325" t="s">
        <v>187</v>
      </c>
      <c r="X2" s="326"/>
    </row>
    <row r="3" spans="1:25" ht="36">
      <c r="A3" s="165"/>
      <c r="B3" s="166"/>
      <c r="C3" s="166">
        <f t="shared" ref="C3:U3" si="0">COUNTIF(C5:C32,"Yes")</f>
        <v>10</v>
      </c>
      <c r="D3" s="166">
        <f t="shared" si="0"/>
        <v>10</v>
      </c>
      <c r="E3" s="166">
        <f t="shared" ref="E3:G3" si="1">COUNTIF(E5:E32,"Yes")</f>
        <v>12</v>
      </c>
      <c r="F3" s="166">
        <f t="shared" si="1"/>
        <v>13</v>
      </c>
      <c r="G3" s="166">
        <f t="shared" si="1"/>
        <v>10</v>
      </c>
      <c r="H3" s="166">
        <f t="shared" si="0"/>
        <v>13</v>
      </c>
      <c r="I3" s="166">
        <f t="shared" si="0"/>
        <v>13</v>
      </c>
      <c r="J3" s="166">
        <f t="shared" si="0"/>
        <v>13</v>
      </c>
      <c r="K3" s="166">
        <f>COUNTIF(K5:K32,"Yes")</f>
        <v>10</v>
      </c>
      <c r="L3" s="166">
        <f>COUNTIF(L5:L32,"Yes")</f>
        <v>10</v>
      </c>
      <c r="M3" s="166">
        <f t="shared" ref="M3:N3" si="2">COUNTIF(M5:M32,"Yes")</f>
        <v>13</v>
      </c>
      <c r="N3" s="166">
        <f t="shared" si="2"/>
        <v>9</v>
      </c>
      <c r="O3" s="166">
        <f t="shared" ref="O3:P3" si="3">COUNTIF(O5:O32,"Yes")</f>
        <v>10</v>
      </c>
      <c r="P3" s="166">
        <f t="shared" si="3"/>
        <v>13</v>
      </c>
      <c r="Q3" s="166">
        <f t="shared" ref="Q3" si="4">COUNTIF(Q5:Q32,"Yes")</f>
        <v>13</v>
      </c>
      <c r="R3" s="166">
        <f t="shared" si="0"/>
        <v>13</v>
      </c>
      <c r="S3" s="166">
        <f t="shared" si="0"/>
        <v>13</v>
      </c>
      <c r="T3" s="166">
        <f t="shared" si="0"/>
        <v>13</v>
      </c>
      <c r="U3" s="166">
        <f t="shared" si="0"/>
        <v>13</v>
      </c>
      <c r="V3" s="153"/>
      <c r="W3" s="177" t="s">
        <v>233</v>
      </c>
      <c r="X3" s="177" t="s">
        <v>234</v>
      </c>
      <c r="Y3" s="154"/>
    </row>
    <row r="4" spans="1:25" ht="17.399999999999999">
      <c r="A4" s="167"/>
      <c r="B4" s="168" t="s">
        <v>246</v>
      </c>
      <c r="C4" s="169"/>
      <c r="D4" s="169"/>
      <c r="E4" s="169"/>
      <c r="F4" s="169"/>
      <c r="G4" s="169"/>
      <c r="H4" s="169"/>
      <c r="I4" s="169"/>
      <c r="J4" s="169"/>
      <c r="K4" s="169"/>
      <c r="L4" s="169"/>
      <c r="M4" s="169"/>
      <c r="N4" s="169"/>
      <c r="O4" s="169"/>
      <c r="P4" s="169"/>
      <c r="Q4" s="169"/>
      <c r="R4" s="169"/>
      <c r="S4" s="169"/>
      <c r="T4" s="169"/>
      <c r="U4" s="169"/>
      <c r="V4" s="169"/>
      <c r="W4" s="169"/>
      <c r="X4" s="170"/>
      <c r="Y4" s="84"/>
    </row>
    <row r="5" spans="1:25" ht="13.8">
      <c r="A5" s="149"/>
      <c r="B5" s="171" t="s">
        <v>229</v>
      </c>
      <c r="C5" s="150"/>
      <c r="D5" s="150"/>
      <c r="E5" s="150"/>
      <c r="F5" s="150"/>
      <c r="G5" s="150"/>
      <c r="H5" s="150"/>
      <c r="I5" s="150"/>
      <c r="J5" s="150"/>
      <c r="K5" s="150"/>
      <c r="L5" s="150"/>
      <c r="M5" s="150"/>
      <c r="N5" s="150"/>
      <c r="O5" s="150"/>
      <c r="P5" s="150"/>
      <c r="Q5" s="150"/>
      <c r="R5" s="150"/>
      <c r="S5" s="150"/>
      <c r="T5" s="150"/>
      <c r="U5" s="150"/>
      <c r="V5" s="150"/>
      <c r="W5" s="150"/>
      <c r="X5" s="151"/>
    </row>
    <row r="6" spans="1:25" ht="39.6">
      <c r="A6" s="155" t="s">
        <v>263</v>
      </c>
      <c r="B6" s="174" t="s">
        <v>264</v>
      </c>
      <c r="C6" s="147" t="s">
        <v>23</v>
      </c>
      <c r="D6" s="147" t="s">
        <v>23</v>
      </c>
      <c r="E6" s="147" t="s">
        <v>23</v>
      </c>
      <c r="F6" s="147" t="s">
        <v>226</v>
      </c>
      <c r="G6" s="147" t="s">
        <v>23</v>
      </c>
      <c r="H6" s="147" t="s">
        <v>226</v>
      </c>
      <c r="I6" s="147" t="s">
        <v>226</v>
      </c>
      <c r="J6" s="147" t="s">
        <v>226</v>
      </c>
      <c r="K6" s="147" t="s">
        <v>226</v>
      </c>
      <c r="L6" s="147" t="s">
        <v>226</v>
      </c>
      <c r="M6" s="147" t="s">
        <v>226</v>
      </c>
      <c r="N6" s="147" t="s">
        <v>226</v>
      </c>
      <c r="O6" s="147" t="s">
        <v>226</v>
      </c>
      <c r="P6" s="147" t="s">
        <v>226</v>
      </c>
      <c r="Q6" s="147" t="s">
        <v>226</v>
      </c>
      <c r="R6" s="147" t="s">
        <v>226</v>
      </c>
      <c r="S6" s="147" t="s">
        <v>226</v>
      </c>
      <c r="T6" s="147" t="s">
        <v>226</v>
      </c>
      <c r="U6" s="147" t="s">
        <v>226</v>
      </c>
      <c r="V6" s="147"/>
      <c r="W6" s="152"/>
      <c r="X6" s="152"/>
    </row>
    <row r="7" spans="1:25" ht="26.4">
      <c r="A7" s="155" t="s">
        <v>265</v>
      </c>
      <c r="B7" s="174" t="s">
        <v>266</v>
      </c>
      <c r="C7" s="147" t="s">
        <v>226</v>
      </c>
      <c r="D7" s="147" t="s">
        <v>226</v>
      </c>
      <c r="E7" s="147" t="s">
        <v>226</v>
      </c>
      <c r="F7" s="147" t="s">
        <v>226</v>
      </c>
      <c r="G7" s="147" t="s">
        <v>226</v>
      </c>
      <c r="H7" s="147" t="s">
        <v>226</v>
      </c>
      <c r="I7" s="147" t="s">
        <v>226</v>
      </c>
      <c r="J7" s="147" t="s">
        <v>226</v>
      </c>
      <c r="K7" s="147" t="s">
        <v>226</v>
      </c>
      <c r="L7" s="147" t="s">
        <v>226</v>
      </c>
      <c r="M7" s="147" t="s">
        <v>226</v>
      </c>
      <c r="N7" s="147" t="s">
        <v>23</v>
      </c>
      <c r="O7" s="147" t="s">
        <v>23</v>
      </c>
      <c r="P7" s="147" t="s">
        <v>226</v>
      </c>
      <c r="Q7" s="147" t="s">
        <v>226</v>
      </c>
      <c r="R7" s="147" t="s">
        <v>226</v>
      </c>
      <c r="S7" s="147" t="s">
        <v>226</v>
      </c>
      <c r="T7" s="147" t="s">
        <v>226</v>
      </c>
      <c r="U7" s="147" t="s">
        <v>226</v>
      </c>
      <c r="V7" s="147"/>
      <c r="W7" s="152"/>
      <c r="X7" s="152"/>
    </row>
    <row r="8" spans="1:25" ht="13.8">
      <c r="A8" s="149"/>
      <c r="B8" s="171" t="s">
        <v>317</v>
      </c>
      <c r="C8" s="150"/>
      <c r="D8" s="150"/>
      <c r="E8" s="150"/>
      <c r="F8" s="150"/>
      <c r="G8" s="150"/>
      <c r="H8" s="150"/>
      <c r="I8" s="150"/>
      <c r="J8" s="150"/>
      <c r="K8" s="150"/>
      <c r="L8" s="150"/>
      <c r="M8" s="150"/>
      <c r="N8" s="150"/>
      <c r="O8" s="150"/>
      <c r="P8" s="150"/>
      <c r="Q8" s="150"/>
      <c r="R8" s="150"/>
      <c r="S8" s="150"/>
      <c r="T8" s="150"/>
      <c r="U8" s="150"/>
      <c r="V8" s="150"/>
      <c r="W8" s="150"/>
      <c r="X8" s="151"/>
    </row>
    <row r="9" spans="1:25" ht="26.4">
      <c r="A9" s="155" t="s">
        <v>348</v>
      </c>
      <c r="B9" s="174" t="s">
        <v>349</v>
      </c>
      <c r="C9" s="147" t="s">
        <v>23</v>
      </c>
      <c r="D9" s="147" t="s">
        <v>23</v>
      </c>
      <c r="E9" s="147" t="s">
        <v>226</v>
      </c>
      <c r="F9" s="147" t="s">
        <v>226</v>
      </c>
      <c r="G9" s="147" t="s">
        <v>23</v>
      </c>
      <c r="H9" s="147" t="s">
        <v>226</v>
      </c>
      <c r="I9" s="147" t="s">
        <v>226</v>
      </c>
      <c r="J9" s="147" t="s">
        <v>226</v>
      </c>
      <c r="K9" s="147" t="s">
        <v>226</v>
      </c>
      <c r="L9" s="147" t="s">
        <v>226</v>
      </c>
      <c r="M9" s="147" t="s">
        <v>226</v>
      </c>
      <c r="N9" s="147" t="s">
        <v>23</v>
      </c>
      <c r="O9" s="147" t="s">
        <v>226</v>
      </c>
      <c r="P9" s="147" t="s">
        <v>226</v>
      </c>
      <c r="Q9" s="147" t="s">
        <v>226</v>
      </c>
      <c r="R9" s="147" t="s">
        <v>226</v>
      </c>
      <c r="S9" s="147" t="s">
        <v>226</v>
      </c>
      <c r="T9" s="147" t="s">
        <v>226</v>
      </c>
      <c r="U9" s="147" t="s">
        <v>226</v>
      </c>
      <c r="V9" s="147"/>
      <c r="W9" s="152"/>
      <c r="X9" s="152"/>
    </row>
    <row r="10" spans="1:25" ht="39.6">
      <c r="A10" s="155" t="s">
        <v>350</v>
      </c>
      <c r="B10" s="174" t="s">
        <v>351</v>
      </c>
      <c r="C10" s="147" t="s">
        <v>226</v>
      </c>
      <c r="D10" s="147" t="s">
        <v>226</v>
      </c>
      <c r="E10" s="147" t="s">
        <v>226</v>
      </c>
      <c r="F10" s="147" t="s">
        <v>226</v>
      </c>
      <c r="G10" s="147" t="s">
        <v>226</v>
      </c>
      <c r="H10" s="147" t="s">
        <v>226</v>
      </c>
      <c r="I10" s="147" t="s">
        <v>226</v>
      </c>
      <c r="J10" s="147" t="s">
        <v>226</v>
      </c>
      <c r="K10" s="147" t="s">
        <v>226</v>
      </c>
      <c r="L10" s="147" t="s">
        <v>226</v>
      </c>
      <c r="M10" s="147" t="s">
        <v>226</v>
      </c>
      <c r="N10" s="147" t="s">
        <v>23</v>
      </c>
      <c r="O10" s="147" t="s">
        <v>226</v>
      </c>
      <c r="P10" s="147" t="s">
        <v>226</v>
      </c>
      <c r="Q10" s="147" t="s">
        <v>226</v>
      </c>
      <c r="R10" s="147" t="s">
        <v>226</v>
      </c>
      <c r="S10" s="147" t="s">
        <v>226</v>
      </c>
      <c r="T10" s="147" t="s">
        <v>226</v>
      </c>
      <c r="U10" s="147" t="s">
        <v>226</v>
      </c>
      <c r="V10" s="147"/>
      <c r="W10" s="152"/>
      <c r="X10" s="152"/>
    </row>
    <row r="11" spans="1:25" ht="26.4">
      <c r="A11" s="155" t="s">
        <v>352</v>
      </c>
      <c r="B11" s="174" t="s">
        <v>353</v>
      </c>
      <c r="C11" s="147" t="s">
        <v>226</v>
      </c>
      <c r="D11" s="147" t="s">
        <v>226</v>
      </c>
      <c r="E11" s="147" t="s">
        <v>226</v>
      </c>
      <c r="F11" s="147" t="s">
        <v>226</v>
      </c>
      <c r="G11" s="147" t="s">
        <v>226</v>
      </c>
      <c r="H11" s="147" t="s">
        <v>226</v>
      </c>
      <c r="I11" s="147" t="s">
        <v>226</v>
      </c>
      <c r="J11" s="147" t="s">
        <v>226</v>
      </c>
      <c r="K11" s="147" t="s">
        <v>226</v>
      </c>
      <c r="L11" s="147" t="s">
        <v>226</v>
      </c>
      <c r="M11" s="147" t="s">
        <v>226</v>
      </c>
      <c r="N11" s="147" t="s">
        <v>226</v>
      </c>
      <c r="O11" s="147" t="s">
        <v>226</v>
      </c>
      <c r="P11" s="147" t="s">
        <v>226</v>
      </c>
      <c r="Q11" s="147" t="s">
        <v>226</v>
      </c>
      <c r="R11" s="147" t="s">
        <v>226</v>
      </c>
      <c r="S11" s="147" t="s">
        <v>226</v>
      </c>
      <c r="T11" s="147" t="s">
        <v>226</v>
      </c>
      <c r="U11" s="147" t="s">
        <v>226</v>
      </c>
      <c r="V11" s="147"/>
      <c r="W11" s="152"/>
      <c r="X11" s="152"/>
    </row>
    <row r="12" spans="1:25" ht="26.4">
      <c r="A12" s="155" t="s">
        <v>354</v>
      </c>
      <c r="B12" s="174" t="s">
        <v>355</v>
      </c>
      <c r="C12" s="147" t="s">
        <v>226</v>
      </c>
      <c r="D12" s="147" t="s">
        <v>226</v>
      </c>
      <c r="E12" s="147" t="s">
        <v>226</v>
      </c>
      <c r="F12" s="147" t="s">
        <v>226</v>
      </c>
      <c r="G12" s="147" t="s">
        <v>226</v>
      </c>
      <c r="H12" s="147" t="s">
        <v>226</v>
      </c>
      <c r="I12" s="147" t="s">
        <v>226</v>
      </c>
      <c r="J12" s="147" t="s">
        <v>226</v>
      </c>
      <c r="K12" s="147" t="s">
        <v>226</v>
      </c>
      <c r="L12" s="147" t="s">
        <v>226</v>
      </c>
      <c r="M12" s="147" t="s">
        <v>226</v>
      </c>
      <c r="N12" s="147" t="s">
        <v>23</v>
      </c>
      <c r="O12" s="147" t="s">
        <v>23</v>
      </c>
      <c r="P12" s="147" t="s">
        <v>226</v>
      </c>
      <c r="Q12" s="147" t="s">
        <v>226</v>
      </c>
      <c r="R12" s="147" t="s">
        <v>226</v>
      </c>
      <c r="S12" s="147" t="s">
        <v>226</v>
      </c>
      <c r="T12" s="147" t="s">
        <v>226</v>
      </c>
      <c r="U12" s="147" t="s">
        <v>226</v>
      </c>
      <c r="V12" s="147"/>
      <c r="W12" s="152"/>
      <c r="X12" s="152"/>
    </row>
    <row r="13" spans="1:25" ht="26.4">
      <c r="A13" s="155" t="s">
        <v>356</v>
      </c>
      <c r="B13" s="174" t="s">
        <v>357</v>
      </c>
      <c r="C13" s="147" t="s">
        <v>11</v>
      </c>
      <c r="D13" s="147" t="s">
        <v>11</v>
      </c>
      <c r="E13" s="147" t="s">
        <v>11</v>
      </c>
      <c r="F13" s="147" t="s">
        <v>11</v>
      </c>
      <c r="G13" s="147" t="s">
        <v>11</v>
      </c>
      <c r="H13" s="147" t="s">
        <v>11</v>
      </c>
      <c r="I13" s="147" t="s">
        <v>11</v>
      </c>
      <c r="J13" s="147" t="s">
        <v>11</v>
      </c>
      <c r="K13" s="147" t="s">
        <v>11</v>
      </c>
      <c r="L13" s="147" t="s">
        <v>11</v>
      </c>
      <c r="M13" s="147" t="s">
        <v>11</v>
      </c>
      <c r="N13" s="147" t="s">
        <v>11</v>
      </c>
      <c r="O13" s="147" t="s">
        <v>11</v>
      </c>
      <c r="P13" s="147" t="s">
        <v>11</v>
      </c>
      <c r="Q13" s="147" t="s">
        <v>11</v>
      </c>
      <c r="R13" s="147" t="s">
        <v>11</v>
      </c>
      <c r="S13" s="147" t="s">
        <v>11</v>
      </c>
      <c r="T13" s="147" t="s">
        <v>11</v>
      </c>
      <c r="U13" s="147" t="s">
        <v>11</v>
      </c>
      <c r="V13" s="147"/>
      <c r="W13" s="152"/>
      <c r="X13" s="152"/>
    </row>
    <row r="14" spans="1:25" ht="52.8">
      <c r="A14" s="155" t="s">
        <v>358</v>
      </c>
      <c r="B14" s="174" t="s">
        <v>359</v>
      </c>
      <c r="C14" s="147" t="s">
        <v>11</v>
      </c>
      <c r="D14" s="147" t="s">
        <v>11</v>
      </c>
      <c r="E14" s="147" t="s">
        <v>11</v>
      </c>
      <c r="F14" s="147" t="s">
        <v>11</v>
      </c>
      <c r="G14" s="147" t="s">
        <v>11</v>
      </c>
      <c r="H14" s="147" t="s">
        <v>11</v>
      </c>
      <c r="I14" s="147" t="s">
        <v>11</v>
      </c>
      <c r="J14" s="147" t="s">
        <v>11</v>
      </c>
      <c r="K14" s="147" t="s">
        <v>11</v>
      </c>
      <c r="L14" s="147" t="s">
        <v>11</v>
      </c>
      <c r="M14" s="147" t="s">
        <v>11</v>
      </c>
      <c r="N14" s="147" t="s">
        <v>11</v>
      </c>
      <c r="O14" s="147" t="s">
        <v>11</v>
      </c>
      <c r="P14" s="147" t="s">
        <v>11</v>
      </c>
      <c r="Q14" s="147" t="s">
        <v>11</v>
      </c>
      <c r="R14" s="147" t="s">
        <v>11</v>
      </c>
      <c r="S14" s="147" t="s">
        <v>11</v>
      </c>
      <c r="T14" s="147" t="s">
        <v>11</v>
      </c>
      <c r="U14" s="147" t="s">
        <v>11</v>
      </c>
      <c r="V14" s="147"/>
      <c r="W14" s="152"/>
      <c r="X14" s="152"/>
    </row>
    <row r="15" spans="1:25" ht="39.6">
      <c r="A15" s="155" t="s">
        <v>360</v>
      </c>
      <c r="B15" s="174" t="s">
        <v>361</v>
      </c>
      <c r="C15" s="147" t="s">
        <v>226</v>
      </c>
      <c r="D15" s="147" t="s">
        <v>226</v>
      </c>
      <c r="E15" s="147" t="s">
        <v>226</v>
      </c>
      <c r="F15" s="147" t="s">
        <v>226</v>
      </c>
      <c r="G15" s="147" t="s">
        <v>226</v>
      </c>
      <c r="H15" s="147" t="s">
        <v>226</v>
      </c>
      <c r="I15" s="147" t="s">
        <v>226</v>
      </c>
      <c r="J15" s="147" t="s">
        <v>226</v>
      </c>
      <c r="K15" s="147" t="s">
        <v>11</v>
      </c>
      <c r="L15" s="147" t="s">
        <v>11</v>
      </c>
      <c r="M15" s="147" t="s">
        <v>226</v>
      </c>
      <c r="N15" s="147" t="s">
        <v>226</v>
      </c>
      <c r="O15" s="147" t="s">
        <v>226</v>
      </c>
      <c r="P15" s="147" t="s">
        <v>226</v>
      </c>
      <c r="Q15" s="147" t="s">
        <v>226</v>
      </c>
      <c r="R15" s="147" t="s">
        <v>226</v>
      </c>
      <c r="S15" s="147" t="s">
        <v>226</v>
      </c>
      <c r="T15" s="147" t="s">
        <v>226</v>
      </c>
      <c r="U15" s="147" t="s">
        <v>226</v>
      </c>
      <c r="V15" s="147"/>
      <c r="W15" s="152"/>
      <c r="X15" s="152"/>
    </row>
    <row r="16" spans="1:25" ht="52.8">
      <c r="A16" s="155" t="s">
        <v>362</v>
      </c>
      <c r="B16" s="174" t="s">
        <v>363</v>
      </c>
      <c r="C16" s="147" t="s">
        <v>226</v>
      </c>
      <c r="D16" s="147" t="s">
        <v>226</v>
      </c>
      <c r="E16" s="147" t="s">
        <v>226</v>
      </c>
      <c r="F16" s="147" t="s">
        <v>226</v>
      </c>
      <c r="G16" s="147" t="s">
        <v>226</v>
      </c>
      <c r="H16" s="147" t="s">
        <v>226</v>
      </c>
      <c r="I16" s="147" t="s">
        <v>226</v>
      </c>
      <c r="J16" s="147" t="s">
        <v>226</v>
      </c>
      <c r="K16" s="147" t="s">
        <v>226</v>
      </c>
      <c r="L16" s="147" t="s">
        <v>226</v>
      </c>
      <c r="M16" s="147" t="s">
        <v>226</v>
      </c>
      <c r="N16" s="147" t="s">
        <v>226</v>
      </c>
      <c r="O16" s="147" t="s">
        <v>226</v>
      </c>
      <c r="P16" s="147" t="s">
        <v>226</v>
      </c>
      <c r="Q16" s="147" t="s">
        <v>226</v>
      </c>
      <c r="R16" s="147" t="s">
        <v>226</v>
      </c>
      <c r="S16" s="147" t="s">
        <v>226</v>
      </c>
      <c r="T16" s="147" t="s">
        <v>226</v>
      </c>
      <c r="U16" s="147" t="s">
        <v>226</v>
      </c>
      <c r="V16" s="147"/>
      <c r="W16" s="152"/>
      <c r="X16" s="152"/>
    </row>
    <row r="17" spans="1:24" ht="39.6">
      <c r="A17" s="155" t="s">
        <v>364</v>
      </c>
      <c r="B17" s="174" t="s">
        <v>365</v>
      </c>
      <c r="C17" s="147" t="s">
        <v>11</v>
      </c>
      <c r="D17" s="147" t="s">
        <v>11</v>
      </c>
      <c r="E17" s="147" t="s">
        <v>11</v>
      </c>
      <c r="F17" s="147" t="s">
        <v>11</v>
      </c>
      <c r="G17" s="147" t="s">
        <v>11</v>
      </c>
      <c r="H17" s="147" t="s">
        <v>11</v>
      </c>
      <c r="I17" s="147" t="s">
        <v>11</v>
      </c>
      <c r="J17" s="147" t="s">
        <v>11</v>
      </c>
      <c r="K17" s="147" t="s">
        <v>11</v>
      </c>
      <c r="L17" s="147" t="s">
        <v>11</v>
      </c>
      <c r="M17" s="147" t="s">
        <v>11</v>
      </c>
      <c r="N17" s="147" t="s">
        <v>11</v>
      </c>
      <c r="O17" s="147" t="s">
        <v>11</v>
      </c>
      <c r="P17" s="147" t="s">
        <v>11</v>
      </c>
      <c r="Q17" s="147" t="s">
        <v>11</v>
      </c>
      <c r="R17" s="147" t="s">
        <v>11</v>
      </c>
      <c r="S17" s="147" t="s">
        <v>11</v>
      </c>
      <c r="T17" s="218" t="s">
        <v>11</v>
      </c>
      <c r="U17" s="218" t="s">
        <v>11</v>
      </c>
      <c r="W17" s="152"/>
      <c r="X17" s="152"/>
    </row>
    <row r="18" spans="1:24" ht="26.4">
      <c r="A18" s="155" t="s">
        <v>366</v>
      </c>
      <c r="B18" s="174" t="s">
        <v>367</v>
      </c>
      <c r="C18" s="147" t="s">
        <v>226</v>
      </c>
      <c r="D18" s="147" t="s">
        <v>226</v>
      </c>
      <c r="E18" s="147" t="s">
        <v>226</v>
      </c>
      <c r="F18" s="147" t="s">
        <v>226</v>
      </c>
      <c r="G18" s="147" t="s">
        <v>226</v>
      </c>
      <c r="H18" s="147" t="s">
        <v>226</v>
      </c>
      <c r="I18" s="147" t="s">
        <v>226</v>
      </c>
      <c r="J18" s="147" t="s">
        <v>226</v>
      </c>
      <c r="K18" s="147" t="s">
        <v>226</v>
      </c>
      <c r="L18" s="147" t="s">
        <v>226</v>
      </c>
      <c r="M18" s="147" t="s">
        <v>226</v>
      </c>
      <c r="N18" s="147" t="s">
        <v>226</v>
      </c>
      <c r="O18" s="147" t="s">
        <v>226</v>
      </c>
      <c r="P18" s="147" t="s">
        <v>226</v>
      </c>
      <c r="Q18" s="147" t="s">
        <v>226</v>
      </c>
      <c r="R18" s="147" t="s">
        <v>226</v>
      </c>
      <c r="S18" s="147" t="s">
        <v>226</v>
      </c>
      <c r="T18" s="147" t="s">
        <v>226</v>
      </c>
      <c r="U18" s="147" t="s">
        <v>226</v>
      </c>
      <c r="V18" s="147"/>
      <c r="W18" s="152"/>
      <c r="X18" s="152"/>
    </row>
    <row r="19" spans="1:24" ht="39.6">
      <c r="A19" s="155" t="s">
        <v>389</v>
      </c>
      <c r="B19" s="174" t="s">
        <v>390</v>
      </c>
      <c r="C19" s="147" t="s">
        <v>11</v>
      </c>
      <c r="D19" s="147" t="s">
        <v>11</v>
      </c>
      <c r="E19" s="147" t="s">
        <v>11</v>
      </c>
      <c r="F19" s="147" t="s">
        <v>11</v>
      </c>
      <c r="G19" s="147" t="s">
        <v>11</v>
      </c>
      <c r="H19" s="147" t="s">
        <v>11</v>
      </c>
      <c r="I19" s="147" t="s">
        <v>11</v>
      </c>
      <c r="J19" s="147" t="s">
        <v>11</v>
      </c>
      <c r="K19" s="147" t="s">
        <v>11</v>
      </c>
      <c r="L19" s="147" t="s">
        <v>11</v>
      </c>
      <c r="M19" s="147" t="s">
        <v>11</v>
      </c>
      <c r="N19" s="147" t="s">
        <v>11</v>
      </c>
      <c r="O19" s="147" t="s">
        <v>11</v>
      </c>
      <c r="P19" s="147" t="s">
        <v>11</v>
      </c>
      <c r="Q19" s="147" t="s">
        <v>11</v>
      </c>
      <c r="R19" s="147" t="s">
        <v>11</v>
      </c>
      <c r="S19" s="147" t="s">
        <v>11</v>
      </c>
      <c r="T19" s="147" t="s">
        <v>11</v>
      </c>
      <c r="U19" s="147" t="s">
        <v>11</v>
      </c>
      <c r="V19" s="147"/>
      <c r="W19" s="152"/>
      <c r="X19" s="152"/>
    </row>
    <row r="20" spans="1:24" ht="26.4">
      <c r="A20" s="155" t="s">
        <v>391</v>
      </c>
      <c r="B20" s="174" t="s">
        <v>392</v>
      </c>
      <c r="C20" s="147" t="s">
        <v>11</v>
      </c>
      <c r="D20" s="147" t="s">
        <v>11</v>
      </c>
      <c r="E20" s="147" t="s">
        <v>11</v>
      </c>
      <c r="F20" s="147" t="s">
        <v>11</v>
      </c>
      <c r="G20" s="147" t="s">
        <v>11</v>
      </c>
      <c r="H20" s="147" t="s">
        <v>11</v>
      </c>
      <c r="I20" s="147" t="s">
        <v>11</v>
      </c>
      <c r="J20" s="147" t="s">
        <v>11</v>
      </c>
      <c r="K20" s="147" t="s">
        <v>11</v>
      </c>
      <c r="L20" s="147" t="s">
        <v>11</v>
      </c>
      <c r="M20" s="147" t="s">
        <v>11</v>
      </c>
      <c r="N20" s="147" t="s">
        <v>11</v>
      </c>
      <c r="O20" s="147" t="s">
        <v>11</v>
      </c>
      <c r="P20" s="147" t="s">
        <v>11</v>
      </c>
      <c r="Q20" s="147" t="s">
        <v>11</v>
      </c>
      <c r="R20" s="147" t="s">
        <v>11</v>
      </c>
      <c r="S20" s="147" t="s">
        <v>11</v>
      </c>
      <c r="T20" s="147" t="s">
        <v>11</v>
      </c>
      <c r="U20" s="147" t="s">
        <v>11</v>
      </c>
      <c r="V20" s="147"/>
      <c r="W20" s="152"/>
      <c r="X20" s="152"/>
    </row>
    <row r="21" spans="1:24" ht="13.8">
      <c r="A21" s="149"/>
      <c r="B21" s="171" t="s">
        <v>230</v>
      </c>
      <c r="C21" s="150"/>
      <c r="D21" s="150"/>
      <c r="E21" s="150"/>
      <c r="F21" s="150"/>
      <c r="G21" s="150"/>
      <c r="H21" s="150"/>
      <c r="I21" s="150"/>
      <c r="J21" s="150"/>
      <c r="K21" s="150"/>
      <c r="L21" s="150"/>
      <c r="M21" s="150"/>
      <c r="N21" s="150"/>
      <c r="O21" s="150"/>
      <c r="P21" s="150"/>
      <c r="Q21" s="150"/>
      <c r="R21" s="150"/>
      <c r="S21" s="150"/>
      <c r="T21" s="150"/>
      <c r="U21" s="150"/>
      <c r="V21" s="150"/>
      <c r="W21" s="150"/>
      <c r="X21" s="151"/>
    </row>
    <row r="22" spans="1:24" ht="39.6">
      <c r="A22" s="155" t="s">
        <v>235</v>
      </c>
      <c r="B22" s="174" t="s">
        <v>220</v>
      </c>
      <c r="C22" s="147" t="s">
        <v>23</v>
      </c>
      <c r="D22" s="147" t="s">
        <v>23</v>
      </c>
      <c r="E22" s="147" t="s">
        <v>226</v>
      </c>
      <c r="F22" s="147" t="s">
        <v>226</v>
      </c>
      <c r="G22" s="147" t="s">
        <v>23</v>
      </c>
      <c r="H22" s="147" t="s">
        <v>226</v>
      </c>
      <c r="I22" s="147" t="s">
        <v>226</v>
      </c>
      <c r="J22" s="147" t="s">
        <v>226</v>
      </c>
      <c r="K22" s="147" t="s">
        <v>226</v>
      </c>
      <c r="L22" s="147" t="s">
        <v>226</v>
      </c>
      <c r="M22" s="147" t="s">
        <v>226</v>
      </c>
      <c r="N22" s="147" t="s">
        <v>226</v>
      </c>
      <c r="O22" s="147" t="s">
        <v>226</v>
      </c>
      <c r="P22" s="147" t="s">
        <v>226</v>
      </c>
      <c r="Q22" s="147" t="s">
        <v>226</v>
      </c>
      <c r="R22" s="147" t="s">
        <v>226</v>
      </c>
      <c r="S22" s="147" t="s">
        <v>226</v>
      </c>
      <c r="T22" s="147" t="s">
        <v>226</v>
      </c>
      <c r="U22" s="147" t="s">
        <v>226</v>
      </c>
      <c r="V22" s="147"/>
      <c r="W22" s="152"/>
      <c r="X22" s="152"/>
    </row>
    <row r="23" spans="1:24" ht="26.4">
      <c r="A23" s="155" t="s">
        <v>236</v>
      </c>
      <c r="B23" s="174" t="s">
        <v>221</v>
      </c>
      <c r="C23" s="147" t="s">
        <v>11</v>
      </c>
      <c r="D23" s="147" t="s">
        <v>11</v>
      </c>
      <c r="E23" s="147" t="s">
        <v>11</v>
      </c>
      <c r="F23" s="147" t="s">
        <v>11</v>
      </c>
      <c r="G23" s="147" t="s">
        <v>11</v>
      </c>
      <c r="H23" s="147" t="s">
        <v>11</v>
      </c>
      <c r="I23" s="147" t="s">
        <v>11</v>
      </c>
      <c r="J23" s="147" t="s">
        <v>11</v>
      </c>
      <c r="K23" s="147" t="s">
        <v>11</v>
      </c>
      <c r="L23" s="147" t="s">
        <v>11</v>
      </c>
      <c r="M23" s="147" t="s">
        <v>11</v>
      </c>
      <c r="N23" s="147" t="s">
        <v>11</v>
      </c>
      <c r="O23" s="147" t="s">
        <v>11</v>
      </c>
      <c r="P23" s="147" t="s">
        <v>11</v>
      </c>
      <c r="Q23" s="147" t="s">
        <v>11</v>
      </c>
      <c r="R23" s="147" t="s">
        <v>11</v>
      </c>
      <c r="S23" s="147" t="s">
        <v>11</v>
      </c>
      <c r="T23" s="147" t="s">
        <v>11</v>
      </c>
      <c r="U23" s="147" t="s">
        <v>11</v>
      </c>
      <c r="V23" s="147"/>
      <c r="W23" s="152"/>
      <c r="X23" s="152"/>
    </row>
    <row r="24" spans="1:24" ht="39.6">
      <c r="A24" s="155" t="s">
        <v>237</v>
      </c>
      <c r="B24" s="174" t="s">
        <v>222</v>
      </c>
      <c r="C24" s="147" t="s">
        <v>11</v>
      </c>
      <c r="D24" s="147" t="s">
        <v>11</v>
      </c>
      <c r="E24" s="147" t="s">
        <v>11</v>
      </c>
      <c r="F24" s="147" t="s">
        <v>11</v>
      </c>
      <c r="G24" s="147" t="s">
        <v>11</v>
      </c>
      <c r="H24" s="147" t="s">
        <v>11</v>
      </c>
      <c r="I24" s="147" t="s">
        <v>11</v>
      </c>
      <c r="J24" s="147" t="s">
        <v>11</v>
      </c>
      <c r="K24" s="147" t="s">
        <v>11</v>
      </c>
      <c r="L24" s="147" t="s">
        <v>11</v>
      </c>
      <c r="M24" s="147" t="s">
        <v>11</v>
      </c>
      <c r="N24" s="147" t="s">
        <v>11</v>
      </c>
      <c r="O24" s="147" t="s">
        <v>11</v>
      </c>
      <c r="P24" s="147" t="s">
        <v>11</v>
      </c>
      <c r="Q24" s="147" t="s">
        <v>11</v>
      </c>
      <c r="R24" s="147" t="s">
        <v>11</v>
      </c>
      <c r="S24" s="147" t="s">
        <v>11</v>
      </c>
      <c r="T24" s="147" t="s">
        <v>11</v>
      </c>
      <c r="U24" s="147" t="s">
        <v>11</v>
      </c>
      <c r="V24" s="147"/>
      <c r="W24" s="152"/>
      <c r="X24" s="152"/>
    </row>
    <row r="25" spans="1:24" ht="39.6">
      <c r="A25" s="155" t="s">
        <v>238</v>
      </c>
      <c r="B25" s="174" t="s">
        <v>223</v>
      </c>
      <c r="C25" s="147" t="s">
        <v>11</v>
      </c>
      <c r="D25" s="147" t="s">
        <v>11</v>
      </c>
      <c r="E25" s="147" t="s">
        <v>11</v>
      </c>
      <c r="F25" s="147" t="s">
        <v>11</v>
      </c>
      <c r="G25" s="147" t="s">
        <v>11</v>
      </c>
      <c r="H25" s="147" t="s">
        <v>11</v>
      </c>
      <c r="I25" s="147" t="s">
        <v>11</v>
      </c>
      <c r="J25" s="147" t="s">
        <v>11</v>
      </c>
      <c r="K25" s="147" t="s">
        <v>11</v>
      </c>
      <c r="L25" s="147" t="s">
        <v>11</v>
      </c>
      <c r="M25" s="147" t="s">
        <v>11</v>
      </c>
      <c r="N25" s="147" t="s">
        <v>11</v>
      </c>
      <c r="O25" s="147" t="s">
        <v>11</v>
      </c>
      <c r="P25" s="147" t="s">
        <v>11</v>
      </c>
      <c r="Q25" s="147" t="s">
        <v>11</v>
      </c>
      <c r="R25" s="147" t="s">
        <v>11</v>
      </c>
      <c r="S25" s="147" t="s">
        <v>11</v>
      </c>
      <c r="T25" s="147" t="s">
        <v>11</v>
      </c>
      <c r="U25" s="147" t="s">
        <v>11</v>
      </c>
      <c r="V25" s="147"/>
      <c r="W25" s="152"/>
      <c r="X25" s="152"/>
    </row>
    <row r="26" spans="1:24" ht="13.8">
      <c r="A26" s="149"/>
      <c r="B26" s="171" t="s">
        <v>231</v>
      </c>
      <c r="C26" s="150"/>
      <c r="D26" s="150"/>
      <c r="E26" s="150"/>
      <c r="F26" s="150"/>
      <c r="G26" s="150"/>
      <c r="H26" s="150"/>
      <c r="I26" s="150"/>
      <c r="J26" s="150"/>
      <c r="K26" s="150"/>
      <c r="L26" s="150"/>
      <c r="M26" s="150"/>
      <c r="N26" s="150"/>
      <c r="O26" s="150"/>
      <c r="P26" s="150"/>
      <c r="Q26" s="150"/>
      <c r="R26" s="150"/>
      <c r="S26" s="150"/>
      <c r="T26" s="150"/>
      <c r="U26" s="150"/>
      <c r="V26" s="150"/>
      <c r="W26" s="150"/>
      <c r="X26" s="151"/>
    </row>
    <row r="27" spans="1:24" ht="39.6">
      <c r="A27" s="155" t="s">
        <v>239</v>
      </c>
      <c r="B27" s="174" t="s">
        <v>224</v>
      </c>
      <c r="C27" s="147" t="s">
        <v>226</v>
      </c>
      <c r="D27" s="147" t="s">
        <v>226</v>
      </c>
      <c r="E27" s="147" t="s">
        <v>226</v>
      </c>
      <c r="F27" s="147" t="s">
        <v>226</v>
      </c>
      <c r="G27" s="147" t="s">
        <v>226</v>
      </c>
      <c r="H27" s="147" t="s">
        <v>226</v>
      </c>
      <c r="I27" s="147" t="s">
        <v>226</v>
      </c>
      <c r="J27" s="147" t="s">
        <v>226</v>
      </c>
      <c r="K27" s="147" t="s">
        <v>226</v>
      </c>
      <c r="L27" s="147" t="s">
        <v>226</v>
      </c>
      <c r="M27" s="147" t="s">
        <v>226</v>
      </c>
      <c r="N27" s="147" t="s">
        <v>226</v>
      </c>
      <c r="O27" s="147" t="s">
        <v>226</v>
      </c>
      <c r="P27" s="147" t="s">
        <v>226</v>
      </c>
      <c r="Q27" s="147" t="s">
        <v>226</v>
      </c>
      <c r="R27" s="147" t="s">
        <v>226</v>
      </c>
      <c r="S27" s="147" t="s">
        <v>226</v>
      </c>
      <c r="T27" s="147" t="s">
        <v>226</v>
      </c>
      <c r="U27" s="147" t="s">
        <v>226</v>
      </c>
      <c r="V27" s="147"/>
      <c r="W27" s="152"/>
      <c r="X27" s="152"/>
    </row>
    <row r="28" spans="1:24" ht="39.6">
      <c r="A28" s="155" t="s">
        <v>240</v>
      </c>
      <c r="B28" s="174" t="s">
        <v>225</v>
      </c>
      <c r="C28" s="147" t="s">
        <v>11</v>
      </c>
      <c r="D28" s="147" t="s">
        <v>11</v>
      </c>
      <c r="E28" s="147" t="s">
        <v>11</v>
      </c>
      <c r="F28" s="147" t="s">
        <v>11</v>
      </c>
      <c r="G28" s="147" t="s">
        <v>11</v>
      </c>
      <c r="H28" s="147" t="s">
        <v>11</v>
      </c>
      <c r="I28" s="147" t="s">
        <v>11</v>
      </c>
      <c r="J28" s="147" t="s">
        <v>11</v>
      </c>
      <c r="K28" s="147" t="s">
        <v>11</v>
      </c>
      <c r="L28" s="147" t="s">
        <v>11</v>
      </c>
      <c r="M28" s="147" t="s">
        <v>11</v>
      </c>
      <c r="N28" s="147" t="s">
        <v>11</v>
      </c>
      <c r="O28" s="147" t="s">
        <v>11</v>
      </c>
      <c r="P28" s="147" t="s">
        <v>11</v>
      </c>
      <c r="Q28" s="147" t="s">
        <v>11</v>
      </c>
      <c r="R28" s="147" t="s">
        <v>11</v>
      </c>
      <c r="S28" s="147" t="s">
        <v>11</v>
      </c>
      <c r="T28" s="147" t="s">
        <v>11</v>
      </c>
      <c r="U28" s="147" t="s">
        <v>11</v>
      </c>
      <c r="V28" s="147"/>
      <c r="W28" s="152"/>
      <c r="X28" s="152"/>
    </row>
    <row r="29" spans="1:24" ht="13.8">
      <c r="A29" s="149"/>
      <c r="B29" s="171" t="s">
        <v>217</v>
      </c>
      <c r="C29" s="150"/>
      <c r="D29" s="150"/>
      <c r="E29" s="150"/>
      <c r="F29" s="150"/>
      <c r="G29" s="150"/>
      <c r="H29" s="150"/>
      <c r="I29" s="150"/>
      <c r="J29" s="150"/>
      <c r="K29" s="150"/>
      <c r="L29" s="150"/>
      <c r="M29" s="150"/>
      <c r="N29" s="150"/>
      <c r="O29" s="150"/>
      <c r="P29" s="150"/>
      <c r="Q29" s="150"/>
      <c r="R29" s="150"/>
      <c r="S29" s="150"/>
      <c r="T29" s="150"/>
      <c r="U29" s="150"/>
      <c r="V29" s="150"/>
      <c r="W29" s="150"/>
      <c r="X29" s="151"/>
    </row>
    <row r="30" spans="1:24" ht="26.4">
      <c r="A30" s="155" t="s">
        <v>402</v>
      </c>
      <c r="B30" s="174" t="s">
        <v>403</v>
      </c>
      <c r="C30" s="152" t="s">
        <v>226</v>
      </c>
      <c r="D30" s="152" t="s">
        <v>226</v>
      </c>
      <c r="E30" s="152" t="s">
        <v>226</v>
      </c>
      <c r="F30" s="152" t="s">
        <v>226</v>
      </c>
      <c r="G30" s="152" t="s">
        <v>226</v>
      </c>
      <c r="H30" s="152" t="s">
        <v>226</v>
      </c>
      <c r="I30" s="152" t="s">
        <v>226</v>
      </c>
      <c r="J30" s="152" t="s">
        <v>226</v>
      </c>
      <c r="K30" s="152" t="s">
        <v>11</v>
      </c>
      <c r="L30" s="152" t="s">
        <v>11</v>
      </c>
      <c r="M30" s="152" t="s">
        <v>226</v>
      </c>
      <c r="N30" s="152" t="s">
        <v>226</v>
      </c>
      <c r="O30" s="152" t="s">
        <v>23</v>
      </c>
      <c r="P30" s="152" t="s">
        <v>226</v>
      </c>
      <c r="Q30" s="152" t="s">
        <v>226</v>
      </c>
      <c r="R30" s="152" t="s">
        <v>226</v>
      </c>
      <c r="S30" s="152" t="s">
        <v>226</v>
      </c>
      <c r="T30" s="152" t="s">
        <v>226</v>
      </c>
      <c r="U30" s="152" t="s">
        <v>226</v>
      </c>
      <c r="V30" s="152"/>
      <c r="W30" s="152"/>
      <c r="X30" s="152"/>
    </row>
    <row r="31" spans="1:24" ht="39.6">
      <c r="A31" s="155" t="s">
        <v>404</v>
      </c>
      <c r="B31" s="174" t="s">
        <v>405</v>
      </c>
      <c r="C31" s="152" t="s">
        <v>226</v>
      </c>
      <c r="D31" s="152" t="s">
        <v>226</v>
      </c>
      <c r="E31" s="152" t="s">
        <v>226</v>
      </c>
      <c r="F31" s="152" t="s">
        <v>226</v>
      </c>
      <c r="G31" s="152" t="s">
        <v>226</v>
      </c>
      <c r="H31" s="152" t="s">
        <v>226</v>
      </c>
      <c r="I31" s="152" t="s">
        <v>226</v>
      </c>
      <c r="J31" s="152" t="s">
        <v>226</v>
      </c>
      <c r="K31" s="152" t="s">
        <v>11</v>
      </c>
      <c r="L31" s="152" t="s">
        <v>11</v>
      </c>
      <c r="M31" s="152" t="s">
        <v>226</v>
      </c>
      <c r="N31" s="152" t="s">
        <v>226</v>
      </c>
      <c r="O31" s="152" t="s">
        <v>226</v>
      </c>
      <c r="P31" s="152" t="s">
        <v>226</v>
      </c>
      <c r="Q31" s="152" t="s">
        <v>226</v>
      </c>
      <c r="R31" s="152" t="s">
        <v>226</v>
      </c>
      <c r="S31" s="152" t="s">
        <v>226</v>
      </c>
      <c r="T31" s="152" t="s">
        <v>226</v>
      </c>
      <c r="U31" s="152" t="s">
        <v>226</v>
      </c>
      <c r="V31" s="152"/>
      <c r="W31" s="152"/>
      <c r="X31" s="152"/>
    </row>
    <row r="32" spans="1:24" ht="17.399999999999999">
      <c r="A32" s="175"/>
      <c r="B32" s="176" t="s">
        <v>241</v>
      </c>
      <c r="C32" s="175"/>
      <c r="D32" s="175"/>
      <c r="E32" s="175"/>
      <c r="F32" s="175"/>
      <c r="G32" s="175"/>
      <c r="H32" s="175"/>
      <c r="I32" s="175"/>
      <c r="J32" s="175"/>
      <c r="K32" s="175"/>
      <c r="L32" s="175"/>
      <c r="M32" s="175"/>
      <c r="N32" s="175"/>
      <c r="O32" s="175"/>
      <c r="P32" s="175"/>
      <c r="Q32" s="175"/>
      <c r="R32" s="175"/>
      <c r="S32" s="175"/>
      <c r="T32" s="175"/>
      <c r="U32" s="175"/>
      <c r="V32" s="175"/>
      <c r="W32" s="175"/>
      <c r="X32" s="175"/>
    </row>
    <row r="33" spans="1:24" ht="13.8">
      <c r="A33" s="157"/>
      <c r="B33" s="158" t="s">
        <v>243</v>
      </c>
      <c r="C33" s="159"/>
      <c r="D33" s="159"/>
      <c r="E33" s="159"/>
      <c r="F33" s="159"/>
      <c r="G33" s="159"/>
      <c r="H33" s="159"/>
      <c r="I33" s="159"/>
      <c r="J33" s="159"/>
      <c r="K33" s="159"/>
      <c r="L33" s="159"/>
      <c r="M33" s="159"/>
      <c r="N33" s="159"/>
      <c r="O33" s="159"/>
      <c r="P33" s="159"/>
      <c r="Q33" s="159"/>
      <c r="R33" s="159"/>
      <c r="S33" s="159"/>
      <c r="T33" s="159"/>
      <c r="U33" s="159"/>
      <c r="V33" s="159"/>
      <c r="W33" s="159"/>
      <c r="X33" s="160"/>
    </row>
  </sheetData>
  <mergeCells count="1">
    <mergeCell ref="W2:X2"/>
  </mergeCells>
  <dataValidations count="1">
    <dataValidation type="list" allowBlank="1" showInputMessage="1" showErrorMessage="1" sqref="C27:U28 C6:U7 C9:U20 C22:U25"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O34"/>
  <sheetViews>
    <sheetView zoomScale="110" zoomScaleNormal="110" workbookViewId="0">
      <pane xSplit="1" ySplit="3" topLeftCell="B4" activePane="bottomRight" state="frozen"/>
      <selection pane="topRight" activeCell="B1" sqref="B1"/>
      <selection pane="bottomLeft" activeCell="A4" sqref="A4"/>
      <selection pane="bottomRight" activeCell="J25" sqref="J25"/>
    </sheetView>
  </sheetViews>
  <sheetFormatPr defaultColWidth="9.33203125" defaultRowHeight="13.2"/>
  <cols>
    <col min="1" max="1" width="10.6640625" style="148" bestFit="1" customWidth="1"/>
    <col min="2" max="2" width="61" style="146" customWidth="1"/>
    <col min="3" max="11" width="4.44140625" style="145" bestFit="1" customWidth="1"/>
    <col min="12" max="12" width="30.6640625" style="145" customWidth="1"/>
    <col min="13" max="14" width="27.6640625" style="145" customWidth="1"/>
    <col min="15" max="16384" width="9.33203125" style="145"/>
  </cols>
  <sheetData>
    <row r="2" spans="1:15" ht="114.75" customHeight="1">
      <c r="A2" s="161" t="s">
        <v>227</v>
      </c>
      <c r="B2" s="162" t="s">
        <v>267</v>
      </c>
      <c r="C2" s="163" t="s">
        <v>413</v>
      </c>
      <c r="D2" s="163" t="s">
        <v>488</v>
      </c>
      <c r="E2" s="163" t="s">
        <v>497</v>
      </c>
      <c r="F2" s="163" t="s">
        <v>503</v>
      </c>
      <c r="G2" s="163" t="s">
        <v>504</v>
      </c>
      <c r="H2" s="163" t="s">
        <v>505</v>
      </c>
      <c r="I2" s="163" t="s">
        <v>506</v>
      </c>
      <c r="J2" s="163" t="s">
        <v>594</v>
      </c>
      <c r="K2" s="208" t="s">
        <v>595</v>
      </c>
      <c r="L2" s="164" t="s">
        <v>242</v>
      </c>
      <c r="M2" s="325" t="s">
        <v>187</v>
      </c>
      <c r="N2" s="326"/>
    </row>
    <row r="3" spans="1:15" ht="36">
      <c r="A3" s="165"/>
      <c r="B3" s="166"/>
      <c r="C3" s="166">
        <f t="shared" ref="C3:D3" si="0">COUNTIF(C5:C34,"Yes")</f>
        <v>14</v>
      </c>
      <c r="D3" s="166">
        <f t="shared" si="0"/>
        <v>17</v>
      </c>
      <c r="E3" s="166">
        <f t="shared" ref="E3:F3" si="1">COUNTIF(E5:E34,"Yes")</f>
        <v>17</v>
      </c>
      <c r="F3" s="166">
        <f t="shared" si="1"/>
        <v>17</v>
      </c>
      <c r="G3" s="166">
        <f t="shared" ref="G3:H3" si="2">COUNTIF(G5:G34,"Yes")</f>
        <v>17</v>
      </c>
      <c r="H3" s="166">
        <f t="shared" si="2"/>
        <v>17</v>
      </c>
      <c r="I3" s="166">
        <f t="shared" ref="I3:J3" si="3">COUNTIF(I5:I34,"Yes")</f>
        <v>17</v>
      </c>
      <c r="J3" s="166">
        <f t="shared" si="3"/>
        <v>17</v>
      </c>
      <c r="K3" s="166">
        <f t="shared" ref="K3" si="4">COUNTIF(K5:K34,"Yes")</f>
        <v>17</v>
      </c>
      <c r="L3" s="153"/>
      <c r="M3" s="177" t="s">
        <v>233</v>
      </c>
      <c r="N3" s="177" t="s">
        <v>234</v>
      </c>
      <c r="O3" s="154"/>
    </row>
    <row r="4" spans="1:15" ht="17.399999999999999">
      <c r="A4" s="167"/>
      <c r="B4" s="168" t="s">
        <v>246</v>
      </c>
      <c r="C4" s="169"/>
      <c r="D4" s="169"/>
      <c r="E4" s="169"/>
      <c r="F4" s="169"/>
      <c r="G4" s="169"/>
      <c r="H4" s="169"/>
      <c r="I4" s="169"/>
      <c r="J4" s="169"/>
      <c r="K4" s="169"/>
      <c r="L4" s="169"/>
      <c r="M4" s="169"/>
      <c r="N4" s="170"/>
      <c r="O4" s="84"/>
    </row>
    <row r="5" spans="1:15" ht="13.8">
      <c r="A5" s="149"/>
      <c r="B5" s="171" t="s">
        <v>247</v>
      </c>
      <c r="C5" s="150"/>
      <c r="D5" s="150"/>
      <c r="E5" s="150"/>
      <c r="F5" s="150"/>
      <c r="G5" s="150"/>
      <c r="H5" s="150"/>
      <c r="I5" s="150"/>
      <c r="J5" s="150"/>
      <c r="K5" s="150"/>
      <c r="L5" s="150"/>
      <c r="M5" s="150"/>
      <c r="N5" s="151"/>
    </row>
    <row r="6" spans="1:15" ht="26.4">
      <c r="A6" s="155" t="s">
        <v>268</v>
      </c>
      <c r="B6" s="174" t="s">
        <v>249</v>
      </c>
      <c r="C6" s="147" t="s">
        <v>226</v>
      </c>
      <c r="D6" s="147" t="s">
        <v>226</v>
      </c>
      <c r="E6" s="147" t="s">
        <v>226</v>
      </c>
      <c r="F6" s="147" t="s">
        <v>226</v>
      </c>
      <c r="G6" s="147" t="s">
        <v>226</v>
      </c>
      <c r="H6" s="147" t="s">
        <v>226</v>
      </c>
      <c r="I6" s="147" t="s">
        <v>226</v>
      </c>
      <c r="J6" s="147" t="s">
        <v>226</v>
      </c>
      <c r="K6" s="147" t="s">
        <v>226</v>
      </c>
      <c r="L6" s="147"/>
      <c r="M6" s="152"/>
      <c r="N6" s="152"/>
    </row>
    <row r="7" spans="1:15" ht="39.6">
      <c r="A7" s="155" t="s">
        <v>269</v>
      </c>
      <c r="B7" s="174" t="s">
        <v>290</v>
      </c>
      <c r="C7" s="147" t="s">
        <v>226</v>
      </c>
      <c r="D7" s="147" t="s">
        <v>226</v>
      </c>
      <c r="E7" s="147" t="s">
        <v>226</v>
      </c>
      <c r="F7" s="147" t="s">
        <v>226</v>
      </c>
      <c r="G7" s="147" t="s">
        <v>226</v>
      </c>
      <c r="H7" s="147" t="s">
        <v>226</v>
      </c>
      <c r="I7" s="147" t="s">
        <v>226</v>
      </c>
      <c r="J7" s="147" t="s">
        <v>226</v>
      </c>
      <c r="K7" s="147" t="s">
        <v>226</v>
      </c>
      <c r="L7" s="147"/>
      <c r="M7" s="156" t="s">
        <v>291</v>
      </c>
      <c r="N7" s="152"/>
    </row>
    <row r="8" spans="1:15" ht="39.6">
      <c r="A8" s="155" t="s">
        <v>253</v>
      </c>
      <c r="B8" s="174" t="s">
        <v>292</v>
      </c>
      <c r="C8" s="147" t="s">
        <v>226</v>
      </c>
      <c r="D8" s="147" t="s">
        <v>226</v>
      </c>
      <c r="E8" s="147" t="s">
        <v>226</v>
      </c>
      <c r="F8" s="147" t="s">
        <v>226</v>
      </c>
      <c r="G8" s="147" t="s">
        <v>226</v>
      </c>
      <c r="H8" s="147" t="s">
        <v>226</v>
      </c>
      <c r="I8" s="147" t="s">
        <v>226</v>
      </c>
      <c r="J8" s="147" t="s">
        <v>226</v>
      </c>
      <c r="K8" s="147" t="s">
        <v>226</v>
      </c>
      <c r="L8" s="147"/>
      <c r="M8" s="152"/>
      <c r="N8" s="152"/>
    </row>
    <row r="9" spans="1:15" ht="39.6">
      <c r="A9" s="155" t="s">
        <v>254</v>
      </c>
      <c r="B9" s="174" t="s">
        <v>293</v>
      </c>
      <c r="C9" s="147" t="s">
        <v>226</v>
      </c>
      <c r="D9" s="147" t="s">
        <v>226</v>
      </c>
      <c r="E9" s="147" t="s">
        <v>226</v>
      </c>
      <c r="F9" s="147" t="s">
        <v>226</v>
      </c>
      <c r="G9" s="147" t="s">
        <v>226</v>
      </c>
      <c r="H9" s="147" t="s">
        <v>226</v>
      </c>
      <c r="I9" s="147" t="s">
        <v>226</v>
      </c>
      <c r="J9" s="147" t="s">
        <v>226</v>
      </c>
      <c r="K9" s="147" t="s">
        <v>226</v>
      </c>
      <c r="L9" s="147"/>
      <c r="M9" s="152"/>
      <c r="N9" s="152"/>
    </row>
    <row r="10" spans="1:15" ht="26.4">
      <c r="A10" s="155" t="s">
        <v>294</v>
      </c>
      <c r="B10" s="174" t="s">
        <v>295</v>
      </c>
      <c r="C10" s="147" t="s">
        <v>226</v>
      </c>
      <c r="D10" s="147" t="s">
        <v>226</v>
      </c>
      <c r="E10" s="147" t="s">
        <v>226</v>
      </c>
      <c r="F10" s="147" t="s">
        <v>226</v>
      </c>
      <c r="G10" s="147" t="s">
        <v>226</v>
      </c>
      <c r="H10" s="147" t="s">
        <v>226</v>
      </c>
      <c r="I10" s="147" t="s">
        <v>226</v>
      </c>
      <c r="J10" s="147" t="s">
        <v>226</v>
      </c>
      <c r="K10" s="147" t="s">
        <v>226</v>
      </c>
      <c r="L10" s="147"/>
      <c r="M10" s="152"/>
      <c r="N10" s="152"/>
    </row>
    <row r="11" spans="1:15" ht="26.4">
      <c r="A11" s="155" t="s">
        <v>270</v>
      </c>
      <c r="B11" s="174" t="s">
        <v>250</v>
      </c>
      <c r="C11" s="147" t="s">
        <v>226</v>
      </c>
      <c r="D11" s="147" t="s">
        <v>226</v>
      </c>
      <c r="E11" s="147" t="s">
        <v>226</v>
      </c>
      <c r="F11" s="147" t="s">
        <v>226</v>
      </c>
      <c r="G11" s="147" t="s">
        <v>226</v>
      </c>
      <c r="H11" s="147" t="s">
        <v>226</v>
      </c>
      <c r="I11" s="147" t="s">
        <v>226</v>
      </c>
      <c r="J11" s="147" t="s">
        <v>226</v>
      </c>
      <c r="K11" s="147" t="s">
        <v>226</v>
      </c>
      <c r="L11" s="147"/>
      <c r="M11" s="152"/>
      <c r="N11" s="152"/>
    </row>
    <row r="12" spans="1:15" ht="52.8">
      <c r="A12" s="155" t="s">
        <v>255</v>
      </c>
      <c r="B12" s="174" t="s">
        <v>256</v>
      </c>
      <c r="C12" s="147" t="s">
        <v>226</v>
      </c>
      <c r="D12" s="147" t="s">
        <v>226</v>
      </c>
      <c r="E12" s="147" t="s">
        <v>226</v>
      </c>
      <c r="F12" s="147" t="s">
        <v>226</v>
      </c>
      <c r="G12" s="147" t="s">
        <v>226</v>
      </c>
      <c r="H12" s="147" t="s">
        <v>226</v>
      </c>
      <c r="I12" s="147" t="s">
        <v>226</v>
      </c>
      <c r="J12" s="147" t="s">
        <v>226</v>
      </c>
      <c r="K12" s="147" t="s">
        <v>226</v>
      </c>
      <c r="L12" s="147"/>
      <c r="M12" s="152"/>
      <c r="N12" s="152"/>
    </row>
    <row r="13" spans="1:15" ht="26.4">
      <c r="A13" s="155" t="s">
        <v>271</v>
      </c>
      <c r="B13" s="174" t="s">
        <v>296</v>
      </c>
      <c r="C13" s="147" t="s">
        <v>226</v>
      </c>
      <c r="D13" s="147" t="s">
        <v>226</v>
      </c>
      <c r="E13" s="147" t="s">
        <v>226</v>
      </c>
      <c r="F13" s="147" t="s">
        <v>226</v>
      </c>
      <c r="G13" s="147" t="s">
        <v>226</v>
      </c>
      <c r="H13" s="147" t="s">
        <v>226</v>
      </c>
      <c r="I13" s="147" t="s">
        <v>226</v>
      </c>
      <c r="J13" s="147" t="s">
        <v>226</v>
      </c>
      <c r="K13" s="147" t="s">
        <v>226</v>
      </c>
      <c r="L13" s="147"/>
      <c r="M13" s="152"/>
      <c r="N13" s="152"/>
    </row>
    <row r="14" spans="1:15" ht="39.6">
      <c r="A14" s="155" t="s">
        <v>297</v>
      </c>
      <c r="B14" s="174" t="s">
        <v>298</v>
      </c>
      <c r="C14" s="147" t="s">
        <v>226</v>
      </c>
      <c r="D14" s="147" t="s">
        <v>226</v>
      </c>
      <c r="E14" s="147" t="s">
        <v>226</v>
      </c>
      <c r="F14" s="147" t="s">
        <v>226</v>
      </c>
      <c r="G14" s="147" t="s">
        <v>226</v>
      </c>
      <c r="H14" s="147" t="s">
        <v>226</v>
      </c>
      <c r="I14" s="147" t="s">
        <v>226</v>
      </c>
      <c r="J14" s="147" t="s">
        <v>226</v>
      </c>
      <c r="K14" s="147" t="s">
        <v>226</v>
      </c>
      <c r="L14" s="147"/>
      <c r="M14" s="152"/>
      <c r="N14" s="152"/>
    </row>
    <row r="15" spans="1:15" ht="13.8">
      <c r="A15" s="149"/>
      <c r="B15" s="171" t="s">
        <v>248</v>
      </c>
      <c r="C15" s="150"/>
      <c r="D15" s="150"/>
      <c r="E15" s="150"/>
      <c r="F15" s="150"/>
      <c r="G15" s="150"/>
      <c r="H15" s="150"/>
      <c r="I15" s="150"/>
      <c r="J15" s="150"/>
      <c r="K15" s="150"/>
      <c r="L15" s="150"/>
      <c r="M15" s="150"/>
      <c r="N15" s="151"/>
    </row>
    <row r="16" spans="1:15" ht="66">
      <c r="A16" s="155" t="s">
        <v>272</v>
      </c>
      <c r="B16" s="174" t="s">
        <v>251</v>
      </c>
      <c r="C16" s="147" t="s">
        <v>23</v>
      </c>
      <c r="D16" s="147" t="s">
        <v>23</v>
      </c>
      <c r="E16" s="147" t="s">
        <v>23</v>
      </c>
      <c r="F16" s="147" t="s">
        <v>23</v>
      </c>
      <c r="G16" s="147" t="s">
        <v>23</v>
      </c>
      <c r="H16" s="147" t="s">
        <v>23</v>
      </c>
      <c r="I16" s="147" t="s">
        <v>23</v>
      </c>
      <c r="J16" s="147" t="s">
        <v>23</v>
      </c>
      <c r="K16" s="147" t="s">
        <v>23</v>
      </c>
      <c r="L16" s="147" t="s">
        <v>414</v>
      </c>
      <c r="M16" s="152"/>
      <c r="N16" s="152"/>
    </row>
    <row r="17" spans="1:14" ht="66">
      <c r="A17" s="155" t="s">
        <v>257</v>
      </c>
      <c r="B17" s="174" t="s">
        <v>252</v>
      </c>
      <c r="C17" s="147" t="s">
        <v>226</v>
      </c>
      <c r="D17" s="147" t="s">
        <v>226</v>
      </c>
      <c r="E17" s="147" t="s">
        <v>226</v>
      </c>
      <c r="F17" s="147" t="s">
        <v>226</v>
      </c>
      <c r="G17" s="147" t="s">
        <v>226</v>
      </c>
      <c r="H17" s="147" t="s">
        <v>226</v>
      </c>
      <c r="I17" s="147" t="s">
        <v>226</v>
      </c>
      <c r="J17" s="147" t="s">
        <v>226</v>
      </c>
      <c r="K17" s="147" t="s">
        <v>226</v>
      </c>
      <c r="L17" s="147"/>
      <c r="M17" s="152"/>
      <c r="N17" s="152"/>
    </row>
    <row r="18" spans="1:14" ht="52.8">
      <c r="A18" s="155" t="s">
        <v>273</v>
      </c>
      <c r="B18" s="174" t="s">
        <v>274</v>
      </c>
      <c r="C18" s="147" t="s">
        <v>226</v>
      </c>
      <c r="D18" s="147" t="s">
        <v>226</v>
      </c>
      <c r="E18" s="147" t="s">
        <v>226</v>
      </c>
      <c r="F18" s="147" t="s">
        <v>226</v>
      </c>
      <c r="G18" s="147" t="s">
        <v>226</v>
      </c>
      <c r="H18" s="147" t="s">
        <v>226</v>
      </c>
      <c r="I18" s="147" t="s">
        <v>226</v>
      </c>
      <c r="J18" s="147" t="s">
        <v>226</v>
      </c>
      <c r="K18" s="147" t="s">
        <v>226</v>
      </c>
      <c r="L18" s="147"/>
      <c r="M18" s="152"/>
      <c r="N18" s="152"/>
    </row>
    <row r="19" spans="1:14" ht="26.4">
      <c r="A19" s="155" t="s">
        <v>258</v>
      </c>
      <c r="B19" s="174" t="s">
        <v>259</v>
      </c>
      <c r="C19" s="147" t="s">
        <v>226</v>
      </c>
      <c r="D19" s="147" t="s">
        <v>226</v>
      </c>
      <c r="E19" s="147" t="s">
        <v>226</v>
      </c>
      <c r="F19" s="147" t="s">
        <v>226</v>
      </c>
      <c r="G19" s="147" t="s">
        <v>226</v>
      </c>
      <c r="H19" s="147" t="s">
        <v>226</v>
      </c>
      <c r="I19" s="147" t="s">
        <v>226</v>
      </c>
      <c r="J19" s="147" t="s">
        <v>226</v>
      </c>
      <c r="K19" s="147" t="s">
        <v>226</v>
      </c>
      <c r="L19" s="147"/>
      <c r="M19" s="152"/>
      <c r="N19" s="152"/>
    </row>
    <row r="20" spans="1:14" ht="13.8">
      <c r="A20" s="149"/>
      <c r="B20" s="171" t="s">
        <v>317</v>
      </c>
      <c r="C20" s="150"/>
      <c r="D20" s="150"/>
      <c r="E20" s="150"/>
      <c r="F20" s="150"/>
      <c r="G20" s="150"/>
      <c r="H20" s="150"/>
      <c r="I20" s="150"/>
      <c r="J20" s="150"/>
      <c r="K20" s="150"/>
      <c r="L20" s="150"/>
      <c r="M20" s="150"/>
      <c r="N20" s="151"/>
    </row>
    <row r="21" spans="1:14" ht="39.6">
      <c r="A21" s="155" t="s">
        <v>368</v>
      </c>
      <c r="B21" s="174" t="s">
        <v>369</v>
      </c>
      <c r="C21" s="147"/>
      <c r="D21" s="147" t="s">
        <v>226</v>
      </c>
      <c r="E21" s="147" t="s">
        <v>226</v>
      </c>
      <c r="F21" s="147" t="s">
        <v>226</v>
      </c>
      <c r="G21" s="147" t="s">
        <v>226</v>
      </c>
      <c r="H21" s="147" t="s">
        <v>226</v>
      </c>
      <c r="I21" s="147" t="s">
        <v>226</v>
      </c>
      <c r="J21" s="147" t="s">
        <v>226</v>
      </c>
      <c r="K21" s="147" t="s">
        <v>226</v>
      </c>
      <c r="L21" s="147"/>
      <c r="M21" s="152"/>
      <c r="N21" s="152"/>
    </row>
    <row r="22" spans="1:14" ht="39.6">
      <c r="A22" s="155" t="s">
        <v>370</v>
      </c>
      <c r="B22" s="174" t="s">
        <v>371</v>
      </c>
      <c r="C22" s="147"/>
      <c r="D22" s="147" t="s">
        <v>226</v>
      </c>
      <c r="E22" s="147" t="s">
        <v>226</v>
      </c>
      <c r="F22" s="147" t="s">
        <v>226</v>
      </c>
      <c r="G22" s="147" t="s">
        <v>226</v>
      </c>
      <c r="H22" s="147" t="s">
        <v>226</v>
      </c>
      <c r="I22" s="147" t="s">
        <v>226</v>
      </c>
      <c r="J22" s="147" t="s">
        <v>226</v>
      </c>
      <c r="K22" s="147" t="s">
        <v>226</v>
      </c>
      <c r="L22" s="147"/>
      <c r="M22" s="152"/>
      <c r="N22" s="152"/>
    </row>
    <row r="23" spans="1:14" ht="52.8">
      <c r="A23" s="155" t="s">
        <v>372</v>
      </c>
      <c r="B23" s="174" t="s">
        <v>373</v>
      </c>
      <c r="C23" s="147"/>
      <c r="D23" s="147" t="s">
        <v>226</v>
      </c>
      <c r="E23" s="147" t="s">
        <v>226</v>
      </c>
      <c r="F23" s="147" t="s">
        <v>226</v>
      </c>
      <c r="G23" s="147" t="s">
        <v>226</v>
      </c>
      <c r="H23" s="147" t="s">
        <v>226</v>
      </c>
      <c r="I23" s="147" t="s">
        <v>226</v>
      </c>
      <c r="J23" s="147" t="s">
        <v>226</v>
      </c>
      <c r="K23" s="147" t="s">
        <v>226</v>
      </c>
      <c r="L23" s="147"/>
      <c r="M23" s="152"/>
      <c r="N23" s="152"/>
    </row>
    <row r="24" spans="1:14" ht="13.8">
      <c r="A24" s="149"/>
      <c r="B24" s="171" t="s">
        <v>230</v>
      </c>
      <c r="C24" s="150"/>
      <c r="D24" s="150"/>
      <c r="E24" s="150"/>
      <c r="F24" s="150"/>
      <c r="G24" s="150"/>
      <c r="H24" s="150"/>
      <c r="I24" s="150"/>
      <c r="J24" s="150"/>
      <c r="K24" s="150"/>
      <c r="L24" s="150"/>
      <c r="M24" s="150"/>
      <c r="N24" s="151"/>
    </row>
    <row r="25" spans="1:14" ht="39.6">
      <c r="A25" s="155" t="s">
        <v>235</v>
      </c>
      <c r="B25" s="174" t="s">
        <v>220</v>
      </c>
      <c r="C25" s="147" t="s">
        <v>226</v>
      </c>
      <c r="D25" s="147" t="s">
        <v>226</v>
      </c>
      <c r="E25" s="147" t="s">
        <v>226</v>
      </c>
      <c r="F25" s="147" t="s">
        <v>226</v>
      </c>
      <c r="G25" s="147" t="s">
        <v>226</v>
      </c>
      <c r="H25" s="147" t="s">
        <v>226</v>
      </c>
      <c r="I25" s="147" t="s">
        <v>226</v>
      </c>
      <c r="J25" s="147" t="s">
        <v>226</v>
      </c>
      <c r="K25" s="147" t="s">
        <v>226</v>
      </c>
      <c r="L25" s="147"/>
      <c r="M25" s="152"/>
      <c r="N25" s="152"/>
    </row>
    <row r="26" spans="1:14" ht="26.4">
      <c r="A26" s="155" t="s">
        <v>236</v>
      </c>
      <c r="B26" s="174" t="s">
        <v>221</v>
      </c>
      <c r="C26" s="147" t="s">
        <v>11</v>
      </c>
      <c r="D26" s="147" t="s">
        <v>11</v>
      </c>
      <c r="E26" s="147" t="s">
        <v>11</v>
      </c>
      <c r="F26" s="147" t="s">
        <v>11</v>
      </c>
      <c r="G26" s="147" t="s">
        <v>11</v>
      </c>
      <c r="H26" s="147" t="s">
        <v>11</v>
      </c>
      <c r="I26" s="147" t="s">
        <v>11</v>
      </c>
      <c r="J26" s="147" t="s">
        <v>11</v>
      </c>
      <c r="K26" s="147" t="s">
        <v>11</v>
      </c>
      <c r="L26" s="147"/>
      <c r="M26" s="152"/>
      <c r="N26" s="152"/>
    </row>
    <row r="27" spans="1:14" ht="39.6">
      <c r="A27" s="155" t="s">
        <v>237</v>
      </c>
      <c r="B27" s="174" t="s">
        <v>222</v>
      </c>
      <c r="C27" s="147" t="s">
        <v>11</v>
      </c>
      <c r="D27" s="147" t="s">
        <v>11</v>
      </c>
      <c r="E27" s="147" t="s">
        <v>11</v>
      </c>
      <c r="F27" s="147" t="s">
        <v>11</v>
      </c>
      <c r="G27" s="147" t="s">
        <v>11</v>
      </c>
      <c r="H27" s="147" t="s">
        <v>11</v>
      </c>
      <c r="I27" s="147" t="s">
        <v>11</v>
      </c>
      <c r="J27" s="147" t="s">
        <v>11</v>
      </c>
      <c r="K27" s="147" t="s">
        <v>11</v>
      </c>
      <c r="L27" s="147"/>
      <c r="M27" s="152"/>
      <c r="N27" s="152"/>
    </row>
    <row r="28" spans="1:14" ht="39.6">
      <c r="A28" s="155" t="s">
        <v>238</v>
      </c>
      <c r="B28" s="174" t="s">
        <v>223</v>
      </c>
      <c r="C28" s="147" t="s">
        <v>226</v>
      </c>
      <c r="D28" s="147" t="s">
        <v>226</v>
      </c>
      <c r="E28" s="147" t="s">
        <v>226</v>
      </c>
      <c r="F28" s="147" t="s">
        <v>226</v>
      </c>
      <c r="G28" s="147" t="s">
        <v>226</v>
      </c>
      <c r="H28" s="147" t="s">
        <v>226</v>
      </c>
      <c r="I28" s="147" t="s">
        <v>226</v>
      </c>
      <c r="J28" s="147" t="s">
        <v>226</v>
      </c>
      <c r="K28" s="147" t="s">
        <v>226</v>
      </c>
      <c r="L28" s="147"/>
      <c r="M28" s="152"/>
      <c r="N28" s="152"/>
    </row>
    <row r="29" spans="1:14" ht="13.8">
      <c r="A29" s="149"/>
      <c r="B29" s="171" t="s">
        <v>231</v>
      </c>
      <c r="C29" s="150"/>
      <c r="D29" s="150"/>
      <c r="E29" s="150"/>
      <c r="F29" s="150"/>
      <c r="G29" s="150"/>
      <c r="H29" s="150"/>
      <c r="I29" s="150"/>
      <c r="J29" s="150"/>
      <c r="K29" s="150"/>
      <c r="L29" s="150"/>
      <c r="M29" s="150"/>
      <c r="N29" s="151"/>
    </row>
    <row r="30" spans="1:14" ht="39.6">
      <c r="A30" s="155" t="s">
        <v>239</v>
      </c>
      <c r="B30" s="174" t="s">
        <v>224</v>
      </c>
      <c r="C30" s="147" t="s">
        <v>11</v>
      </c>
      <c r="D30" s="147" t="s">
        <v>11</v>
      </c>
      <c r="E30" s="147" t="s">
        <v>11</v>
      </c>
      <c r="F30" s="147" t="s">
        <v>11</v>
      </c>
      <c r="G30" s="147" t="s">
        <v>11</v>
      </c>
      <c r="H30" s="147" t="s">
        <v>11</v>
      </c>
      <c r="I30" s="147" t="s">
        <v>11</v>
      </c>
      <c r="J30" s="147" t="s">
        <v>11</v>
      </c>
      <c r="K30" s="147" t="s">
        <v>11</v>
      </c>
      <c r="L30" s="147"/>
      <c r="M30" s="152"/>
      <c r="N30" s="152"/>
    </row>
    <row r="31" spans="1:14" ht="39.6">
      <c r="A31" s="155" t="s">
        <v>240</v>
      </c>
      <c r="B31" s="174" t="s">
        <v>225</v>
      </c>
      <c r="C31" s="147" t="s">
        <v>11</v>
      </c>
      <c r="D31" s="147" t="s">
        <v>11</v>
      </c>
      <c r="E31" s="147" t="s">
        <v>11</v>
      </c>
      <c r="F31" s="147" t="s">
        <v>11</v>
      </c>
      <c r="G31" s="147" t="s">
        <v>11</v>
      </c>
      <c r="H31" s="147" t="s">
        <v>11</v>
      </c>
      <c r="I31" s="147" t="s">
        <v>11</v>
      </c>
      <c r="J31" s="147" t="s">
        <v>11</v>
      </c>
      <c r="K31" s="147" t="s">
        <v>11</v>
      </c>
      <c r="L31" s="147"/>
      <c r="M31" s="152"/>
      <c r="N31" s="152"/>
    </row>
    <row r="32" spans="1:14" ht="13.8">
      <c r="A32" s="149"/>
      <c r="B32" s="171" t="s">
        <v>217</v>
      </c>
      <c r="C32" s="150"/>
      <c r="D32" s="150"/>
      <c r="E32" s="150"/>
      <c r="F32" s="150"/>
      <c r="G32" s="150"/>
      <c r="H32" s="150"/>
      <c r="I32" s="150"/>
      <c r="J32" s="150"/>
      <c r="K32" s="150"/>
      <c r="L32" s="150"/>
      <c r="M32" s="150"/>
      <c r="N32" s="151"/>
    </row>
    <row r="33" spans="1:14" ht="52.8">
      <c r="A33" s="155" t="s">
        <v>218</v>
      </c>
      <c r="B33" s="174" t="s">
        <v>219</v>
      </c>
      <c r="C33" s="147" t="s">
        <v>11</v>
      </c>
      <c r="D33" s="147" t="s">
        <v>11</v>
      </c>
      <c r="E33" s="147" t="s">
        <v>11</v>
      </c>
      <c r="F33" s="147" t="s">
        <v>11</v>
      </c>
      <c r="G33" s="147" t="s">
        <v>11</v>
      </c>
      <c r="H33" s="147" t="s">
        <v>11</v>
      </c>
      <c r="I33" s="147" t="s">
        <v>11</v>
      </c>
      <c r="J33" s="147" t="s">
        <v>11</v>
      </c>
      <c r="K33" s="147" t="s">
        <v>11</v>
      </c>
      <c r="L33" s="147"/>
      <c r="M33" s="152"/>
      <c r="N33" s="152"/>
    </row>
    <row r="34" spans="1:14" ht="17.399999999999999">
      <c r="A34" s="175"/>
      <c r="B34" s="176" t="s">
        <v>241</v>
      </c>
      <c r="C34" s="175"/>
      <c r="D34" s="175"/>
      <c r="E34" s="175"/>
      <c r="F34" s="175"/>
      <c r="G34" s="175"/>
      <c r="H34" s="175"/>
      <c r="I34" s="175"/>
      <c r="J34" s="175"/>
      <c r="K34" s="175"/>
      <c r="L34" s="175"/>
      <c r="M34" s="175"/>
      <c r="N34" s="175"/>
    </row>
  </sheetData>
  <mergeCells count="1">
    <mergeCell ref="M2:N2"/>
  </mergeCells>
  <dataValidations count="1">
    <dataValidation type="list" allowBlank="1" showInputMessage="1" showErrorMessage="1" sqref="C30:K31 C25:K28 C21:K23 C33:K33 C6:K14 C16:K19"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Q31"/>
  <sheetViews>
    <sheetView zoomScale="130" zoomScaleNormal="130" workbookViewId="0">
      <pane xSplit="1" ySplit="3" topLeftCell="B20" activePane="bottomRight" state="frozen"/>
      <selection pane="topRight" activeCell="B1" sqref="B1"/>
      <selection pane="bottomLeft" activeCell="A4" sqref="A4"/>
      <selection pane="bottomRight" activeCell="K13" sqref="K13"/>
    </sheetView>
  </sheetViews>
  <sheetFormatPr defaultColWidth="9.33203125" defaultRowHeight="13.2"/>
  <cols>
    <col min="1" max="1" width="10.6640625" style="148" bestFit="1" customWidth="1"/>
    <col min="2" max="2" width="61" style="146" customWidth="1"/>
    <col min="3" max="13" width="4.44140625" style="145" bestFit="1" customWidth="1"/>
    <col min="14" max="14" width="30.6640625" style="145" customWidth="1"/>
    <col min="15" max="16" width="27.6640625" style="145" customWidth="1"/>
    <col min="17" max="16384" width="9.33203125" style="145"/>
  </cols>
  <sheetData>
    <row r="2" spans="1:17" ht="68.400000000000006">
      <c r="A2" s="161" t="s">
        <v>227</v>
      </c>
      <c r="B2" s="162" t="s">
        <v>275</v>
      </c>
      <c r="C2" s="163" t="s">
        <v>419</v>
      </c>
      <c r="D2" s="163" t="s">
        <v>491</v>
      </c>
      <c r="E2" s="163" t="s">
        <v>530</v>
      </c>
      <c r="F2" s="163" t="s">
        <v>601</v>
      </c>
      <c r="G2" s="163" t="s">
        <v>605</v>
      </c>
      <c r="H2" s="163" t="s">
        <v>619</v>
      </c>
      <c r="I2" s="163" t="s">
        <v>620</v>
      </c>
      <c r="J2" s="163" t="s">
        <v>650</v>
      </c>
      <c r="K2" s="163" t="s">
        <v>669</v>
      </c>
      <c r="L2" s="163" t="s">
        <v>399</v>
      </c>
      <c r="M2" s="163" t="s">
        <v>399</v>
      </c>
      <c r="N2" s="164" t="s">
        <v>242</v>
      </c>
      <c r="O2" s="325" t="s">
        <v>187</v>
      </c>
      <c r="P2" s="326"/>
    </row>
    <row r="3" spans="1:17" ht="18">
      <c r="A3" s="165"/>
      <c r="B3" s="166"/>
      <c r="C3" s="166">
        <f t="shared" ref="C3:G3" si="0">COUNTIF(C5:C31,"Yes")</f>
        <v>6</v>
      </c>
      <c r="D3" s="166">
        <f t="shared" si="0"/>
        <v>6</v>
      </c>
      <c r="E3" s="166">
        <f t="shared" si="0"/>
        <v>6</v>
      </c>
      <c r="F3" s="166">
        <f t="shared" si="0"/>
        <v>6</v>
      </c>
      <c r="G3" s="166">
        <f t="shared" si="0"/>
        <v>6</v>
      </c>
      <c r="H3" s="166">
        <f t="shared" ref="H3:I3" si="1">COUNTIF(H5:H31,"Yes")</f>
        <v>6</v>
      </c>
      <c r="I3" s="166">
        <f t="shared" si="1"/>
        <v>6</v>
      </c>
      <c r="J3" s="166">
        <f t="shared" ref="J3:K3" si="2">COUNTIF(J5:J31,"Yes")</f>
        <v>6</v>
      </c>
      <c r="K3" s="166">
        <f t="shared" si="2"/>
        <v>7</v>
      </c>
      <c r="L3" s="166">
        <f t="shared" ref="L3" si="3">COUNTIF(L5:L31,"Yes")</f>
        <v>0</v>
      </c>
      <c r="M3" s="166">
        <f t="shared" ref="M3" si="4">COUNTIF(M5:M31,"Yes")</f>
        <v>0</v>
      </c>
      <c r="N3" s="153"/>
      <c r="O3" s="177" t="s">
        <v>233</v>
      </c>
      <c r="P3" s="177" t="s">
        <v>234</v>
      </c>
      <c r="Q3" s="154"/>
    </row>
    <row r="4" spans="1:17" ht="17.399999999999999">
      <c r="A4" s="167"/>
      <c r="B4" s="168" t="s">
        <v>246</v>
      </c>
      <c r="C4" s="169"/>
      <c r="D4" s="169"/>
      <c r="E4" s="169"/>
      <c r="F4" s="169"/>
      <c r="G4" s="169"/>
      <c r="H4" s="169"/>
      <c r="I4" s="169"/>
      <c r="J4" s="169"/>
      <c r="K4" s="169"/>
      <c r="L4" s="169"/>
      <c r="M4" s="169"/>
      <c r="N4" s="169"/>
      <c r="O4" s="169"/>
      <c r="P4" s="170"/>
      <c r="Q4" s="84"/>
    </row>
    <row r="5" spans="1:17" ht="13.8">
      <c r="A5" s="149"/>
      <c r="B5" s="171" t="s">
        <v>247</v>
      </c>
      <c r="C5" s="150"/>
      <c r="D5" s="150"/>
      <c r="E5" s="150"/>
      <c r="F5" s="150"/>
      <c r="G5" s="150"/>
      <c r="H5" s="150"/>
      <c r="I5" s="150"/>
      <c r="J5" s="150"/>
      <c r="K5" s="150"/>
      <c r="L5" s="150"/>
      <c r="M5" s="150"/>
      <c r="N5" s="150"/>
      <c r="O5" s="150"/>
      <c r="P5" s="151"/>
    </row>
    <row r="6" spans="1:17" ht="26.4">
      <c r="A6" s="155" t="s">
        <v>268</v>
      </c>
      <c r="B6" s="174" t="s">
        <v>249</v>
      </c>
      <c r="C6" s="147" t="s">
        <v>226</v>
      </c>
      <c r="D6" s="147" t="s">
        <v>226</v>
      </c>
      <c r="E6" s="147" t="s">
        <v>226</v>
      </c>
      <c r="F6" s="147" t="s">
        <v>226</v>
      </c>
      <c r="G6" s="147" t="s">
        <v>226</v>
      </c>
      <c r="H6" s="147" t="s">
        <v>226</v>
      </c>
      <c r="I6" s="147" t="s">
        <v>226</v>
      </c>
      <c r="J6" s="147" t="s">
        <v>226</v>
      </c>
      <c r="K6" s="147" t="s">
        <v>23</v>
      </c>
      <c r="L6" s="147"/>
      <c r="M6" s="147"/>
      <c r="N6" s="221" t="s">
        <v>671</v>
      </c>
      <c r="O6" s="152"/>
      <c r="P6" s="152"/>
    </row>
    <row r="7" spans="1:17" ht="39.6">
      <c r="A7" s="155" t="s">
        <v>269</v>
      </c>
      <c r="B7" s="174" t="s">
        <v>290</v>
      </c>
      <c r="C7" s="147" t="s">
        <v>226</v>
      </c>
      <c r="D7" s="147" t="s">
        <v>226</v>
      </c>
      <c r="E7" s="147" t="s">
        <v>226</v>
      </c>
      <c r="F7" s="147" t="s">
        <v>226</v>
      </c>
      <c r="G7" s="147" t="s">
        <v>226</v>
      </c>
      <c r="H7" s="147" t="s">
        <v>226</v>
      </c>
      <c r="I7" s="147" t="s">
        <v>226</v>
      </c>
      <c r="J7" s="147" t="s">
        <v>226</v>
      </c>
      <c r="K7" s="147" t="s">
        <v>226</v>
      </c>
      <c r="L7" s="147"/>
      <c r="M7" s="147"/>
      <c r="N7" s="221" t="s">
        <v>670</v>
      </c>
      <c r="O7" s="156" t="s">
        <v>291</v>
      </c>
      <c r="P7" s="152"/>
    </row>
    <row r="8" spans="1:17" ht="26.4">
      <c r="A8" s="155" t="s">
        <v>270</v>
      </c>
      <c r="B8" s="174" t="s">
        <v>250</v>
      </c>
      <c r="C8" s="147" t="s">
        <v>226</v>
      </c>
      <c r="D8" s="147" t="s">
        <v>226</v>
      </c>
      <c r="E8" s="147" t="s">
        <v>226</v>
      </c>
      <c r="F8" s="147" t="s">
        <v>226</v>
      </c>
      <c r="G8" s="147" t="s">
        <v>226</v>
      </c>
      <c r="H8" s="147" t="s">
        <v>226</v>
      </c>
      <c r="I8" s="147" t="s">
        <v>226</v>
      </c>
      <c r="J8" s="147" t="s">
        <v>226</v>
      </c>
      <c r="K8" s="147" t="s">
        <v>226</v>
      </c>
      <c r="L8" s="147"/>
      <c r="M8" s="147"/>
      <c r="N8" s="147"/>
      <c r="O8" s="152"/>
      <c r="P8" s="152"/>
    </row>
    <row r="9" spans="1:17" ht="26.4">
      <c r="A9" s="155" t="s">
        <v>271</v>
      </c>
      <c r="B9" s="174" t="s">
        <v>296</v>
      </c>
      <c r="C9" s="147" t="s">
        <v>23</v>
      </c>
      <c r="D9" s="147" t="s">
        <v>23</v>
      </c>
      <c r="E9" s="147" t="s">
        <v>23</v>
      </c>
      <c r="F9" s="147" t="s">
        <v>23</v>
      </c>
      <c r="G9" s="147" t="s">
        <v>23</v>
      </c>
      <c r="H9" s="147" t="s">
        <v>23</v>
      </c>
      <c r="I9" s="147" t="s">
        <v>23</v>
      </c>
      <c r="J9" s="147" t="s">
        <v>23</v>
      </c>
      <c r="K9" s="147" t="s">
        <v>226</v>
      </c>
      <c r="L9" s="147"/>
      <c r="M9" s="147"/>
      <c r="N9" s="147"/>
      <c r="O9" s="152"/>
      <c r="P9" s="152"/>
    </row>
    <row r="10" spans="1:17" ht="39.6">
      <c r="A10" s="155" t="s">
        <v>297</v>
      </c>
      <c r="B10" s="174" t="s">
        <v>298</v>
      </c>
      <c r="C10" s="147" t="s">
        <v>11</v>
      </c>
      <c r="D10" s="147" t="s">
        <v>11</v>
      </c>
      <c r="E10" s="147" t="s">
        <v>11</v>
      </c>
      <c r="F10" s="147" t="s">
        <v>11</v>
      </c>
      <c r="G10" s="147" t="s">
        <v>11</v>
      </c>
      <c r="H10" s="147" t="s">
        <v>11</v>
      </c>
      <c r="I10" s="147" t="s">
        <v>11</v>
      </c>
      <c r="J10" s="147" t="s">
        <v>11</v>
      </c>
      <c r="K10" s="147" t="s">
        <v>11</v>
      </c>
      <c r="L10" s="147"/>
      <c r="M10" s="147"/>
      <c r="N10" s="147"/>
      <c r="O10" s="152"/>
      <c r="P10" s="152"/>
    </row>
    <row r="11" spans="1:17" ht="13.8">
      <c r="A11" s="149"/>
      <c r="B11" s="171" t="s">
        <v>276</v>
      </c>
      <c r="C11" s="150"/>
      <c r="D11" s="150"/>
      <c r="E11" s="150"/>
      <c r="F11" s="150"/>
      <c r="G11" s="150"/>
      <c r="H11" s="150"/>
      <c r="I11" s="150"/>
      <c r="J11" s="150"/>
      <c r="K11" s="150"/>
      <c r="L11" s="150"/>
      <c r="M11" s="150"/>
      <c r="N11" s="150"/>
      <c r="O11" s="150"/>
      <c r="P11" s="151"/>
    </row>
    <row r="12" spans="1:17" ht="39.6">
      <c r="A12" s="155" t="s">
        <v>374</v>
      </c>
      <c r="B12" s="174" t="s">
        <v>375</v>
      </c>
      <c r="C12" s="147" t="s">
        <v>226</v>
      </c>
      <c r="D12" s="147" t="s">
        <v>226</v>
      </c>
      <c r="E12" s="147" t="s">
        <v>226</v>
      </c>
      <c r="F12" s="147" t="s">
        <v>226</v>
      </c>
      <c r="G12" s="147" t="s">
        <v>226</v>
      </c>
      <c r="H12" s="147" t="s">
        <v>226</v>
      </c>
      <c r="I12" s="147" t="s">
        <v>226</v>
      </c>
      <c r="J12" s="147" t="s">
        <v>226</v>
      </c>
      <c r="K12" s="147" t="s">
        <v>226</v>
      </c>
      <c r="L12" s="147"/>
      <c r="M12" s="147"/>
      <c r="N12" s="147"/>
      <c r="O12" s="152"/>
      <c r="P12" s="152"/>
    </row>
    <row r="13" spans="1:17" ht="79.2">
      <c r="A13" s="155" t="s">
        <v>376</v>
      </c>
      <c r="B13" s="174" t="s">
        <v>377</v>
      </c>
      <c r="C13" s="147" t="s">
        <v>23</v>
      </c>
      <c r="D13" s="147" t="s">
        <v>23</v>
      </c>
      <c r="E13" s="147" t="s">
        <v>23</v>
      </c>
      <c r="F13" s="147" t="s">
        <v>23</v>
      </c>
      <c r="G13" s="147" t="s">
        <v>23</v>
      </c>
      <c r="H13" s="147" t="s">
        <v>23</v>
      </c>
      <c r="I13" s="147" t="s">
        <v>23</v>
      </c>
      <c r="J13" s="147" t="s">
        <v>23</v>
      </c>
      <c r="K13" s="147" t="s">
        <v>226</v>
      </c>
      <c r="L13" s="147"/>
      <c r="M13" s="147"/>
      <c r="N13" s="147"/>
      <c r="O13" s="152"/>
      <c r="P13" s="152"/>
    </row>
    <row r="14" spans="1:17" ht="13.8">
      <c r="A14" s="149"/>
      <c r="B14" s="171" t="s">
        <v>317</v>
      </c>
      <c r="C14" s="150"/>
      <c r="D14" s="150"/>
      <c r="E14" s="150"/>
      <c r="F14" s="150"/>
      <c r="G14" s="150"/>
      <c r="H14" s="150"/>
      <c r="I14" s="150"/>
      <c r="J14" s="150"/>
      <c r="K14" s="150"/>
      <c r="L14" s="150"/>
      <c r="M14" s="150"/>
      <c r="N14" s="150"/>
      <c r="O14" s="150"/>
      <c r="P14" s="151"/>
    </row>
    <row r="15" spans="1:17" ht="52.8">
      <c r="A15" s="155" t="s">
        <v>378</v>
      </c>
      <c r="B15" s="174" t="s">
        <v>373</v>
      </c>
      <c r="C15" s="147" t="s">
        <v>11</v>
      </c>
      <c r="D15" s="147" t="s">
        <v>11</v>
      </c>
      <c r="E15" s="147" t="s">
        <v>11</v>
      </c>
      <c r="F15" s="147" t="s">
        <v>11</v>
      </c>
      <c r="G15" s="147" t="s">
        <v>11</v>
      </c>
      <c r="H15" s="147" t="s">
        <v>11</v>
      </c>
      <c r="I15" s="147" t="s">
        <v>11</v>
      </c>
      <c r="J15" s="147" t="s">
        <v>11</v>
      </c>
      <c r="K15" s="147" t="s">
        <v>11</v>
      </c>
      <c r="L15" s="147"/>
      <c r="M15" s="147"/>
      <c r="N15" s="147"/>
      <c r="O15" s="152"/>
      <c r="P15" s="152"/>
    </row>
    <row r="16" spans="1:17" ht="52.8">
      <c r="A16" s="155" t="s">
        <v>379</v>
      </c>
      <c r="B16" s="174" t="s">
        <v>380</v>
      </c>
      <c r="C16" s="147" t="s">
        <v>11</v>
      </c>
      <c r="D16" s="147" t="s">
        <v>11</v>
      </c>
      <c r="E16" s="147" t="s">
        <v>11</v>
      </c>
      <c r="F16" s="147" t="s">
        <v>11</v>
      </c>
      <c r="G16" s="147" t="s">
        <v>11</v>
      </c>
      <c r="H16" s="147" t="s">
        <v>11</v>
      </c>
      <c r="I16" s="147" t="s">
        <v>11</v>
      </c>
      <c r="J16" s="147" t="s">
        <v>11</v>
      </c>
      <c r="K16" s="147" t="s">
        <v>11</v>
      </c>
      <c r="L16" s="147"/>
      <c r="M16" s="147"/>
      <c r="N16" s="147"/>
      <c r="O16" s="152"/>
      <c r="P16" s="152"/>
    </row>
    <row r="17" spans="1:16" ht="52.8">
      <c r="A17" s="155" t="s">
        <v>381</v>
      </c>
      <c r="B17" s="174" t="s">
        <v>382</v>
      </c>
      <c r="C17" s="147" t="s">
        <v>11</v>
      </c>
      <c r="D17" s="147" t="s">
        <v>11</v>
      </c>
      <c r="E17" s="147" t="s">
        <v>11</v>
      </c>
      <c r="F17" s="147" t="s">
        <v>11</v>
      </c>
      <c r="G17" s="147" t="s">
        <v>11</v>
      </c>
      <c r="H17" s="147" t="s">
        <v>11</v>
      </c>
      <c r="I17" s="147" t="s">
        <v>11</v>
      </c>
      <c r="J17" s="147" t="s">
        <v>11</v>
      </c>
      <c r="K17" s="147" t="s">
        <v>11</v>
      </c>
      <c r="L17" s="147"/>
      <c r="M17" s="147"/>
      <c r="N17" s="147"/>
      <c r="O17" s="152"/>
      <c r="P17" s="152"/>
    </row>
    <row r="18" spans="1:16" ht="26.4">
      <c r="A18" s="155" t="s">
        <v>383</v>
      </c>
      <c r="B18" s="174" t="s">
        <v>384</v>
      </c>
      <c r="C18" s="147" t="s">
        <v>11</v>
      </c>
      <c r="D18" s="147" t="s">
        <v>11</v>
      </c>
      <c r="E18" s="147" t="s">
        <v>11</v>
      </c>
      <c r="F18" s="147" t="s">
        <v>11</v>
      </c>
      <c r="G18" s="147" t="s">
        <v>11</v>
      </c>
      <c r="H18" s="147" t="s">
        <v>11</v>
      </c>
      <c r="I18" s="147" t="s">
        <v>11</v>
      </c>
      <c r="J18" s="147" t="s">
        <v>11</v>
      </c>
      <c r="K18" s="147" t="s">
        <v>11</v>
      </c>
      <c r="L18" s="147"/>
      <c r="M18" s="147"/>
      <c r="N18" s="147"/>
      <c r="O18" s="152"/>
      <c r="P18" s="152"/>
    </row>
    <row r="19" spans="1:16" ht="52.8">
      <c r="A19" s="155" t="s">
        <v>385</v>
      </c>
      <c r="B19" s="174" t="s">
        <v>386</v>
      </c>
      <c r="C19" s="147" t="s">
        <v>11</v>
      </c>
      <c r="D19" s="147" t="s">
        <v>11</v>
      </c>
      <c r="E19" s="147" t="s">
        <v>11</v>
      </c>
      <c r="F19" s="147" t="s">
        <v>11</v>
      </c>
      <c r="G19" s="147" t="s">
        <v>11</v>
      </c>
      <c r="H19" s="147" t="s">
        <v>11</v>
      </c>
      <c r="I19" s="147" t="s">
        <v>11</v>
      </c>
      <c r="J19" s="147" t="s">
        <v>11</v>
      </c>
      <c r="K19" s="147" t="s">
        <v>11</v>
      </c>
      <c r="L19" s="147"/>
      <c r="M19" s="147"/>
      <c r="N19" s="147"/>
      <c r="O19" s="152"/>
      <c r="P19" s="152"/>
    </row>
    <row r="20" spans="1:16" ht="26.4">
      <c r="A20" s="155" t="s">
        <v>387</v>
      </c>
      <c r="B20" s="174" t="s">
        <v>388</v>
      </c>
      <c r="C20" s="147" t="s">
        <v>11</v>
      </c>
      <c r="D20" s="147" t="s">
        <v>11</v>
      </c>
      <c r="E20" s="147" t="s">
        <v>11</v>
      </c>
      <c r="F20" s="147" t="s">
        <v>11</v>
      </c>
      <c r="G20" s="147" t="s">
        <v>11</v>
      </c>
      <c r="H20" s="147" t="s">
        <v>11</v>
      </c>
      <c r="I20" s="147" t="s">
        <v>11</v>
      </c>
      <c r="J20" s="147" t="s">
        <v>11</v>
      </c>
      <c r="K20" s="147" t="s">
        <v>11</v>
      </c>
      <c r="L20" s="147"/>
      <c r="M20" s="147"/>
      <c r="N20" s="147"/>
      <c r="O20" s="152"/>
      <c r="P20" s="152"/>
    </row>
    <row r="21" spans="1:16" ht="13.8">
      <c r="A21" s="149"/>
      <c r="B21" s="171" t="s">
        <v>230</v>
      </c>
      <c r="C21" s="150"/>
      <c r="D21" s="150"/>
      <c r="E21" s="150"/>
      <c r="F21" s="150"/>
      <c r="G21" s="150"/>
      <c r="H21" s="150"/>
      <c r="I21" s="150"/>
      <c r="J21" s="150"/>
      <c r="K21" s="150"/>
      <c r="L21" s="150"/>
      <c r="M21" s="150"/>
      <c r="N21" s="150"/>
      <c r="O21" s="150"/>
      <c r="P21" s="151"/>
    </row>
    <row r="22" spans="1:16" ht="39.6">
      <c r="A22" s="155" t="s">
        <v>235</v>
      </c>
      <c r="B22" s="174" t="s">
        <v>220</v>
      </c>
      <c r="C22" s="147" t="s">
        <v>11</v>
      </c>
      <c r="D22" s="147" t="s">
        <v>11</v>
      </c>
      <c r="E22" s="147" t="s">
        <v>11</v>
      </c>
      <c r="F22" s="147" t="s">
        <v>11</v>
      </c>
      <c r="G22" s="147" t="s">
        <v>11</v>
      </c>
      <c r="H22" s="147" t="s">
        <v>11</v>
      </c>
      <c r="I22" s="147" t="s">
        <v>11</v>
      </c>
      <c r="J22" s="147" t="s">
        <v>11</v>
      </c>
      <c r="K22" s="147" t="s">
        <v>11</v>
      </c>
      <c r="L22" s="147"/>
      <c r="M22" s="147"/>
      <c r="N22" s="147"/>
      <c r="O22" s="152"/>
      <c r="P22" s="152"/>
    </row>
    <row r="23" spans="1:16" ht="26.4">
      <c r="A23" s="155" t="s">
        <v>236</v>
      </c>
      <c r="B23" s="174" t="s">
        <v>221</v>
      </c>
      <c r="C23" s="147" t="s">
        <v>11</v>
      </c>
      <c r="D23" s="147" t="s">
        <v>11</v>
      </c>
      <c r="E23" s="147" t="s">
        <v>11</v>
      </c>
      <c r="F23" s="147" t="s">
        <v>11</v>
      </c>
      <c r="G23" s="147" t="s">
        <v>11</v>
      </c>
      <c r="H23" s="147" t="s">
        <v>11</v>
      </c>
      <c r="I23" s="147" t="s">
        <v>11</v>
      </c>
      <c r="J23" s="147" t="s">
        <v>11</v>
      </c>
      <c r="K23" s="147" t="s">
        <v>11</v>
      </c>
      <c r="L23" s="147"/>
      <c r="M23" s="147"/>
      <c r="N23" s="147"/>
      <c r="O23" s="152"/>
      <c r="P23" s="152"/>
    </row>
    <row r="24" spans="1:16" ht="39.6">
      <c r="A24" s="155" t="s">
        <v>237</v>
      </c>
      <c r="B24" s="174" t="s">
        <v>222</v>
      </c>
      <c r="C24" s="147" t="s">
        <v>11</v>
      </c>
      <c r="D24" s="147" t="s">
        <v>11</v>
      </c>
      <c r="E24" s="147" t="s">
        <v>11</v>
      </c>
      <c r="F24" s="147" t="s">
        <v>11</v>
      </c>
      <c r="G24" s="147" t="s">
        <v>11</v>
      </c>
      <c r="H24" s="147" t="s">
        <v>11</v>
      </c>
      <c r="I24" s="147" t="s">
        <v>11</v>
      </c>
      <c r="J24" s="147" t="s">
        <v>11</v>
      </c>
      <c r="K24" s="147" t="s">
        <v>11</v>
      </c>
      <c r="L24" s="147"/>
      <c r="M24" s="147"/>
      <c r="N24" s="147"/>
      <c r="O24" s="152"/>
      <c r="P24" s="152"/>
    </row>
    <row r="25" spans="1:16" ht="39.6">
      <c r="A25" s="155" t="s">
        <v>238</v>
      </c>
      <c r="B25" s="174" t="s">
        <v>223</v>
      </c>
      <c r="C25" s="147" t="s">
        <v>11</v>
      </c>
      <c r="D25" s="147" t="s">
        <v>11</v>
      </c>
      <c r="E25" s="147" t="s">
        <v>11</v>
      </c>
      <c r="F25" s="147" t="s">
        <v>11</v>
      </c>
      <c r="G25" s="147" t="s">
        <v>11</v>
      </c>
      <c r="H25" s="147" t="s">
        <v>11</v>
      </c>
      <c r="I25" s="147" t="s">
        <v>11</v>
      </c>
      <c r="J25" s="147" t="s">
        <v>11</v>
      </c>
      <c r="K25" s="147" t="s">
        <v>11</v>
      </c>
      <c r="L25" s="147"/>
      <c r="M25" s="147"/>
      <c r="N25" s="147"/>
      <c r="O25" s="152"/>
      <c r="P25" s="152"/>
    </row>
    <row r="26" spans="1:16" ht="13.8">
      <c r="A26" s="149"/>
      <c r="B26" s="171" t="s">
        <v>231</v>
      </c>
      <c r="C26" s="150"/>
      <c r="D26" s="150"/>
      <c r="E26" s="150"/>
      <c r="F26" s="150"/>
      <c r="G26" s="150"/>
      <c r="H26" s="150"/>
      <c r="I26" s="150"/>
      <c r="J26" s="150"/>
      <c r="K26" s="150"/>
      <c r="L26" s="150"/>
      <c r="M26" s="150"/>
      <c r="N26" s="150"/>
      <c r="O26" s="150"/>
      <c r="P26" s="151"/>
    </row>
    <row r="27" spans="1:16" ht="39.6">
      <c r="A27" s="155" t="s">
        <v>239</v>
      </c>
      <c r="B27" s="174" t="s">
        <v>224</v>
      </c>
      <c r="C27" s="147" t="s">
        <v>226</v>
      </c>
      <c r="D27" s="147" t="s">
        <v>226</v>
      </c>
      <c r="E27" s="147" t="s">
        <v>226</v>
      </c>
      <c r="F27" s="147" t="s">
        <v>226</v>
      </c>
      <c r="G27" s="147" t="s">
        <v>226</v>
      </c>
      <c r="H27" s="147" t="s">
        <v>226</v>
      </c>
      <c r="I27" s="147" t="s">
        <v>226</v>
      </c>
      <c r="J27" s="147" t="s">
        <v>226</v>
      </c>
      <c r="K27" s="147" t="s">
        <v>226</v>
      </c>
      <c r="L27" s="147"/>
      <c r="M27" s="147"/>
      <c r="N27" s="147"/>
      <c r="O27" s="152"/>
      <c r="P27" s="152"/>
    </row>
    <row r="28" spans="1:16" ht="39.6">
      <c r="A28" s="155" t="s">
        <v>240</v>
      </c>
      <c r="B28" s="174" t="s">
        <v>225</v>
      </c>
      <c r="C28" s="147" t="s">
        <v>226</v>
      </c>
      <c r="D28" s="147" t="s">
        <v>226</v>
      </c>
      <c r="E28" s="147" t="s">
        <v>226</v>
      </c>
      <c r="F28" s="147" t="s">
        <v>226</v>
      </c>
      <c r="G28" s="147" t="s">
        <v>226</v>
      </c>
      <c r="H28" s="147" t="s">
        <v>226</v>
      </c>
      <c r="I28" s="147" t="s">
        <v>226</v>
      </c>
      <c r="J28" s="147" t="s">
        <v>226</v>
      </c>
      <c r="K28" s="147" t="s">
        <v>226</v>
      </c>
      <c r="L28" s="147"/>
      <c r="M28" s="147"/>
      <c r="N28" s="147"/>
      <c r="O28" s="152"/>
      <c r="P28" s="152"/>
    </row>
    <row r="29" spans="1:16" ht="13.8">
      <c r="A29" s="149"/>
      <c r="B29" s="171" t="s">
        <v>217</v>
      </c>
      <c r="C29" s="150"/>
      <c r="D29" s="150"/>
      <c r="E29" s="150"/>
      <c r="F29" s="150"/>
      <c r="G29" s="150"/>
      <c r="H29" s="150"/>
      <c r="I29" s="150"/>
      <c r="J29" s="150"/>
      <c r="K29" s="150"/>
      <c r="L29" s="150"/>
      <c r="M29" s="150"/>
      <c r="N29" s="150"/>
      <c r="O29" s="150"/>
      <c r="P29" s="151"/>
    </row>
    <row r="30" spans="1:16" ht="52.8">
      <c r="A30" s="155" t="s">
        <v>218</v>
      </c>
      <c r="B30" s="174" t="s">
        <v>219</v>
      </c>
      <c r="C30" s="147"/>
      <c r="D30" s="147"/>
      <c r="E30" s="147"/>
      <c r="F30" s="147"/>
      <c r="G30" s="147"/>
      <c r="H30" s="147"/>
      <c r="I30" s="147"/>
      <c r="J30" s="147"/>
      <c r="K30" s="147"/>
      <c r="L30" s="147"/>
      <c r="M30" s="147"/>
      <c r="N30" s="147"/>
      <c r="O30" s="152"/>
      <c r="P30" s="152"/>
    </row>
    <row r="31" spans="1:16" ht="17.399999999999999">
      <c r="A31" s="175"/>
      <c r="B31" s="176" t="s">
        <v>241</v>
      </c>
      <c r="C31" s="175"/>
      <c r="D31" s="175"/>
      <c r="E31" s="175"/>
      <c r="F31" s="175"/>
      <c r="G31" s="175"/>
      <c r="H31" s="175"/>
      <c r="I31" s="175"/>
      <c r="J31" s="175"/>
      <c r="K31" s="175"/>
      <c r="L31" s="175"/>
      <c r="M31" s="175"/>
      <c r="N31" s="175"/>
      <c r="O31" s="175"/>
      <c r="P31" s="175"/>
    </row>
  </sheetData>
  <mergeCells count="1">
    <mergeCell ref="O2:P2"/>
  </mergeCells>
  <dataValidations count="1">
    <dataValidation type="list" allowBlank="1" showInputMessage="1" showErrorMessage="1" sqref="C15:M20 C12:M13 C6:M10 C30:M30 C27:M28 C22:M25"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Tudor Gligor</cp:lastModifiedBy>
  <dcterms:created xsi:type="dcterms:W3CDTF">1996-10-21T11:03:58Z</dcterms:created>
  <dcterms:modified xsi:type="dcterms:W3CDTF">2024-04-04T06:03:48Z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