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updateLinks="never" codeName="ThisWorkbook" defaultThemeVersion="124226"/>
  <mc:AlternateContent xmlns:mc="http://schemas.openxmlformats.org/markup-compatibility/2006">
    <mc:Choice Requires="x15">
      <x15ac:absPath xmlns:x15ac="http://schemas.microsoft.com/office/spreadsheetml/2010/11/ac" url="C:\Users\alexandru.paval\Documents\Sandboxes\Daimler_MMA_ReVAS\Phase_02\View_Development\Components\Application\Autoliv\RCM\Quality_Assurance\Peer_Review\"/>
    </mc:Choice>
  </mc:AlternateContent>
  <xr:revisionPtr revIDLastSave="0" documentId="13_ncr:1_{89321D84-235E-4644-BD44-F292F40C1B3C}" xr6:coauthVersionLast="47" xr6:coauthVersionMax="47" xr10:uidLastSave="{00000000-0000-0000-0000-000000000000}"/>
  <bookViews>
    <workbookView xWindow="-120" yWindow="-120" windowWidth="29040" windowHeight="15525" tabRatio="750" firstSheet="1" activeTab="1"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DD checklist" sheetId="198" r:id="rId7"/>
    <sheet name="CODE checklist" sheetId="199" r:id="rId8"/>
    <sheet name="ITSR checklist" sheetId="200" r:id="rId9"/>
    <sheet name="UTSR checklist" sheetId="201" r:id="rId10"/>
  </sheets>
  <functionGroups builtInGroupCount="19"/>
  <externalReferences>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7">[1]FrontPage!$AB$5</definedName>
    <definedName name="MXActual_state_Released" localSheetId="8">[1]FrontPage!$AB$5</definedName>
    <definedName name="MXActual_state_Released" localSheetId="6">[1]FrontPage!$AB$5</definedName>
    <definedName name="MXActual_state_Released" localSheetId="9">[1]FrontPage!$AB$5</definedName>
    <definedName name="MXActual_state_Released">FrontPage!$AB$5</definedName>
    <definedName name="MXAuthority" localSheetId="7">[1]FrontPage!$A$5</definedName>
    <definedName name="MXAuthority" localSheetId="8">[1]FrontPage!$A$5</definedName>
    <definedName name="MXAuthority" localSheetId="6">[1]FrontPage!$A$5</definedName>
    <definedName name="MXAuthority" localSheetId="9">[1]FrontPage!$A$5</definedName>
    <definedName name="MXAuthority">FrontPage!$A$5</definedName>
    <definedName name="MXCurrent.Localized" localSheetId="7">[1]FrontPage!$W$5</definedName>
    <definedName name="MXCurrent.Localized" localSheetId="8">[1]FrontPage!$W$5</definedName>
    <definedName name="MXCurrent.Localized" localSheetId="6">[1]FrontPage!$W$5</definedName>
    <definedName name="MXCurrent.Localized" localSheetId="9">[1]FrontPage!$W$5</definedName>
    <definedName name="MXCurrent.Localized">FrontPage!$W$5</definedName>
    <definedName name="MXName" localSheetId="7">[1]FrontPage!$A$7</definedName>
    <definedName name="MXName" localSheetId="8">[1]FrontPage!$A$7</definedName>
    <definedName name="MXName" localSheetId="6">[1]FrontPage!$A$7</definedName>
    <definedName name="MXName" localSheetId="9">[1]FrontPage!$A$7</definedName>
    <definedName name="MXName">FrontPage!$A$7</definedName>
    <definedName name="MXRevision" localSheetId="7">[1]FrontPage!$AB$7</definedName>
    <definedName name="MXRevision" localSheetId="8">[1]FrontPage!$AB$7</definedName>
    <definedName name="MXRevision" localSheetId="6">[1]FrontPage!$AB$7</definedName>
    <definedName name="MXRevision" localSheetId="9">[1]FrontPage!$AB$7</definedName>
    <definedName name="MXRevision">FrontPage!$AB$7</definedName>
    <definedName name="MXTitle" localSheetId="7">[1]FrontPage!$E$7</definedName>
    <definedName name="MXTitle" localSheetId="8">[1]FrontPage!$E$7</definedName>
    <definedName name="MXTitle" localSheetId="6">[1]FrontPage!$E$7</definedName>
    <definedName name="MXTitle" localSheetId="9">[1]FrontPage!$E$7</definedName>
    <definedName name="MXTitle">FrontPage!$E$7</definedName>
    <definedName name="MXVersion" localSheetId="7">[1]FrontPage!$AE$7</definedName>
    <definedName name="MXVersion" localSheetId="8">[1]FrontPage!$AE$7</definedName>
    <definedName name="MXVersion" localSheetId="6">[1]FrontPage!$AE$7</definedName>
    <definedName name="MXVersion" localSheetId="9">[1]FrontPage!$AE$7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7">'CODE checklist'!$A$1</definedName>
    <definedName name="Sheet.ReviewTempate" localSheetId="8">'ITSR checklist'!$A$1</definedName>
    <definedName name="Sheet.ReviewTempate" localSheetId="6">'SDD checklist'!$A$1</definedName>
    <definedName name="Sheet.ReviewTempate" localSheetId="9">'UTSR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7">'CODE checklist'!$B$2</definedName>
    <definedName name="Template.Name" localSheetId="8">'ITSR checklist'!$B$2</definedName>
    <definedName name="Template.Name" localSheetId="6">'SDD checklist'!$B$2</definedName>
    <definedName name="Template.Name" localSheetId="9">'UTSR checklist'!$B$2</definedName>
    <definedName name="TemplateColumn">'Synthesis Charts'!$B:$B</definedName>
    <definedName name="TemplateRef" localSheetId="7">[1]FrontPage!$W$7</definedName>
    <definedName name="TemplateRef" localSheetId="8">[1]FrontPage!$W$7</definedName>
    <definedName name="TemplateRef" localSheetId="6">[1]FrontPage!$W$7</definedName>
    <definedName name="TemplateRef" localSheetId="9">[1]FrontPage!$W$7</definedName>
    <definedName name="TemplateRef">FrontPage!$W$7</definedName>
    <definedName name="Text.Released">'[1]General info'!$BJ$75</definedName>
    <definedName name="Text_AllChecklists">'General info'!$AJ$78</definedName>
    <definedName name="Title.Checklist.Guide.HowToRate" localSheetId="7">'CODE checklist'!$M$3</definedName>
    <definedName name="Title.Checklist.Guide.HowToRate" localSheetId="8">'ITSR checklist'!$M$3</definedName>
    <definedName name="Title.Checklist.Guide.HowToRate" localSheetId="6">'SDD checklist'!$M$3</definedName>
    <definedName name="Title.Checklist.Guide.HowToRate" localSheetId="9">'UTSR checklist'!$N$3</definedName>
    <definedName name="Title.Checklist.Guide.WhatToCheck" localSheetId="7">'CODE checklist'!$L$3</definedName>
    <definedName name="Title.Checklist.Guide.WhatToCheck" localSheetId="8">'ITSR checklist'!$L$3</definedName>
    <definedName name="Title.Checklist.Guide.WhatToCheck" localSheetId="6">'SDD checklist'!$L$3</definedName>
    <definedName name="Title.Checklist.Guide.WhatToCheck" localSheetId="9">'UTSR checklist'!$M$3</definedName>
    <definedName name="Title.Checklist.ManualQuestion" localSheetId="7">'CODE checklist'!$B$32</definedName>
    <definedName name="Title.Checklist.ManualQuestion" localSheetId="8">'ITSR checklist'!$B$34</definedName>
    <definedName name="Title.Checklist.ManualQuestion" localSheetId="6">'SDD checklist'!$B$33</definedName>
    <definedName name="Title.Checklist.ManualQuestion" localSheetId="9">'UTSR checklist'!$B$36</definedName>
    <definedName name="Title.Checklist.NoteForAuditor" localSheetId="7">'CODE checklist'!$L$2</definedName>
    <definedName name="Title.Checklist.NoteForAuditor" localSheetId="8">'ITSR checklist'!$L$2</definedName>
    <definedName name="Title.Checklist.NoteForAuditor" localSheetId="6">'SDD checklist'!$L$2</definedName>
    <definedName name="Title.Checklist.NoteForAuditor" localSheetId="9">'UTSR checklist'!$M$2</definedName>
    <definedName name="Title.Checklist.Question" localSheetId="7">'CODE checklist'!$B$4</definedName>
    <definedName name="Title.Checklist.Question" localSheetId="8">'ITSR checklist'!$B$4</definedName>
    <definedName name="Title.Checklist.Question" localSheetId="6">'SDD checklist'!$B$4</definedName>
    <definedName name="Title.Checklist.Question" localSheetId="9">'UTSR checklist'!$B$4</definedName>
    <definedName name="Title.Checklist.QuestionReference" localSheetId="7">'CODE checklist'!$A$2</definedName>
    <definedName name="Title.Checklist.QuestionReference" localSheetId="8">'ITSR checklist'!$A$2</definedName>
    <definedName name="Title.Checklist.QuestionReference" localSheetId="6">'SDD checklist'!$A$2</definedName>
    <definedName name="Title.Checklist.QuestionReference" localSheetId="9">'UTSR checklist'!$A$2</definedName>
    <definedName name="TitleRow" localSheetId="7">'CODE checklist'!$2:$2</definedName>
    <definedName name="TitleRow" localSheetId="8">'ITSR checklist'!$2:$2</definedName>
    <definedName name="TitleRow" localSheetId="6">'SDD checklist'!$2:$2</definedName>
    <definedName name="TitleRow" localSheetId="9">'UTSR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7" i="16" l="1"/>
  <c r="G27" i="16"/>
  <c r="F27" i="16"/>
  <c r="E27" i="16"/>
  <c r="E44" i="16"/>
  <c r="E37" i="16"/>
  <c r="E3" i="200" l="1"/>
  <c r="E3" i="201" l="1"/>
  <c r="E7" i="38"/>
  <c r="A5" i="38"/>
  <c r="AE7" i="38"/>
  <c r="AB7" i="38"/>
  <c r="K3" i="201" l="1"/>
  <c r="J3" i="201"/>
  <c r="I3" i="201"/>
  <c r="H3" i="201"/>
  <c r="G3" i="201"/>
  <c r="F3" i="201"/>
  <c r="D3" i="201"/>
  <c r="J3" i="200"/>
  <c r="I3" i="200"/>
  <c r="H3" i="200"/>
  <c r="G3" i="200"/>
  <c r="F3" i="200"/>
  <c r="D3" i="200"/>
  <c r="J3" i="199"/>
  <c r="I3" i="199"/>
  <c r="H3" i="199"/>
  <c r="G3" i="199"/>
  <c r="F3" i="199"/>
  <c r="E3" i="199"/>
  <c r="D3" i="199"/>
  <c r="J3" i="198"/>
  <c r="I3" i="198"/>
  <c r="H3" i="198"/>
  <c r="G3" i="198"/>
  <c r="F3" i="198"/>
  <c r="E3" i="198"/>
  <c r="D3" i="198"/>
  <c r="AB5" i="38"/>
  <c r="W7" i="38"/>
  <c r="X27" i="16"/>
  <c r="W27" i="16"/>
  <c r="V27" i="16"/>
  <c r="U27" i="16"/>
  <c r="T27" i="16"/>
  <c r="S27" i="16"/>
  <c r="R27" i="16"/>
  <c r="Q27" i="16"/>
  <c r="P27" i="16"/>
  <c r="O27" i="16"/>
  <c r="N27" i="16"/>
  <c r="M27" i="16"/>
  <c r="L27" i="16"/>
  <c r="K27" i="16"/>
  <c r="J27" i="16"/>
  <c r="I27" i="16"/>
  <c r="C3" i="201" l="1"/>
  <c r="C3" i="200"/>
  <c r="C3" i="199"/>
  <c r="C3" i="198"/>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 xml:space="preserve">Template from process AEM_PROCESS_1.17.00 
Last change : AEM_PROCESS_1.16.00 </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tc={8699B5DA-7E93-4AB4-B46B-56AC196FA737}</author>
    <author>tc={66B6A0BD-4904-4D0A-9946-AA5B2CFB9086}</author>
    <author>tc={8C8E8498-5537-4E4F-9E84-B9F1D528F5DF}</author>
    <author>tc={49381694-40CF-4F90-B6B3-85B44865BCAB}</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G24" authorId="1" shapeId="0" xr:uid="{8699B5DA-7E93-4AB4-B46B-56AC196FA737}">
      <text>
        <t>[Threaded comment]
Your version of Excel allows you to read this threaded comment; however, any edits to it will get removed if the file is opened in a newer version of Excel. Learn more: https://go.microsoft.com/fwlink/?linkid=870924
Comment:
    From Irina : I think all the checklists whould be listed here. Otherwise the "Content" part doesn`t seem to have a logic.
Reply:
    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
      </text>
    </comment>
    <comment ref="L26" authorId="2" shapeId="0" xr:uid="{66B6A0BD-4904-4D0A-9946-AA5B2CFB9086}">
      <text>
        <t>[Threaded comment]
Your version of Excel allows you to read this threaded comment; however, any edits to it will get removed if the file is opened in a newer version of Excel. Learn more: https://go.microsoft.com/fwlink/?linkid=870924
Comment:
    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
Reply:
    This is the goal of the row 34</t>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J38" authorId="3" shapeId="0" xr:uid="{8C8E8498-5537-4E4F-9E84-B9F1D528F5DF}">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N45" authorId="4" shapeId="0" xr:uid="{49381694-40CF-4F90-B6B3-85B44865BCAB}">
      <text>
        <t>[Threaded comment]
Your version of Excel allows you to read this threaded comment; however, any edits to it will get removed if the file is opened in a newer version of Excel. Learn more: https://go.microsoft.com/fwlink/?linkid=870924
Comment:
    From Irina Voica:
Do we acualy need this in thee PRWB? The reference document or the document under review is listed in the "review" tab
Reply:
    Standard Excel template</t>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5"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5" shapeId="0" xr:uid="{F17275A0-61EC-48C5-83D6-7710F1FB268A}">
      <text>
        <r>
          <rPr>
            <b/>
            <sz val="9"/>
            <color indexed="81"/>
            <rFont val="Tahoma"/>
            <family val="2"/>
          </rPr>
          <t>Don't change this cell</t>
        </r>
      </text>
    </comment>
    <comment ref="AJ78" authorId="5"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5" shapeId="0" xr:uid="{7EBCCB23-C7DD-49AE-A0C3-608CFE3FF3EB}">
      <text>
        <r>
          <rPr>
            <b/>
            <sz val="9"/>
            <color indexed="81"/>
            <rFont val="Tahoma"/>
            <family val="2"/>
          </rPr>
          <t>Don't change this cell</t>
        </r>
      </text>
    </comment>
    <comment ref="AJ99" authorId="5"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2"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
Reply:
    Updated in accordance with PRO483</t>
      </text>
    </comment>
    <comment ref="F18"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
Reply:
    I don't understand your comments</t>
      </text>
    </comment>
    <comment ref="F19"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0"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38"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tc={1D1A5DBC-754A-4340-B043-60B3E4FA0FD3}</author>
    <author>tc={9F1E263E-74BA-42AA-9DC1-0CE46D8D4B15}</author>
    <author>tc={B2293DC1-E782-4CFA-8652-A467D7132753}</author>
    <author>tc={2142051D-34BB-4812-A75B-3AAE49C7867C}</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5" shapeId="0" xr:uid="{1D1A5DBC-754A-4340-B043-60B3E4FA0FD3}">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5" authorId="6" shapeId="0" xr:uid="{9F1E263E-74BA-42AA-9DC1-0CE46D8D4B15}">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 ref="I6" authorId="7" shapeId="0" xr:uid="{B2293DC1-E782-4CFA-8652-A467D7132753}">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
Reply:
    Interesting =&gt; To be discussed</t>
      </text>
    </comment>
    <comment ref="J6" authorId="8" shapeId="0" xr:uid="{2142051D-34BB-4812-A75B-3AAE49C7867C}">
      <text>
        <t>[Threaded comment]
Your version of Excel allows you to read this threaded comment; however, any edits to it will get removed if the file is opened in a newer version of Excel. Learn more: https://go.microsoft.com/fwlink/?linkid=870924
Comment:
    These "fill in colors"for the Row 4, are not consistant with legend defined in sheet "Help"; reviewer will get lost as he/she have to fill many cells fill in  green/blue/pink,etc...
Reply:
    Correct
In the same time, I wander who should write the priority, actor name and target. For me this is the responsible.
Suggestion to discuss about it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6" authorId="0" shapeId="0" xr:uid="{02539354-75ED-42EB-9D25-C9E6FE1CA46B}">
      <text>
        <r>
          <rPr>
            <sz val="9"/>
            <color indexed="81"/>
            <rFont val="Tahoma"/>
            <family val="2"/>
          </rPr>
          <t>This row is mandatory to force the VBA script to generate the checklist</t>
        </r>
      </text>
    </comment>
    <comment ref="B33" authorId="0" shapeId="0" xr:uid="{F1321357-CF84-4710-9154-EDB0385D579A}">
      <text>
        <r>
          <rPr>
            <b/>
            <sz val="9"/>
            <color indexed="81"/>
            <rFont val="Tahoma"/>
            <family val="2"/>
          </rPr>
          <t xml:space="preserve">Everything above this row is generated by Question Library (TEM486 - Master questions library.xlsm)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2" authorId="0" shapeId="0" xr:uid="{A041FF8C-35B2-490F-875F-E3577501A040}">
      <text>
        <r>
          <rPr>
            <b/>
            <sz val="9"/>
            <color indexed="81"/>
            <rFont val="Tahoma"/>
            <family val="2"/>
          </rPr>
          <t xml:space="preserve">Everything above this row is generated by Question Library (TEM486 - Master questions library.xlsm)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Cyril Jouhanneau</author>
  </authors>
  <commentList>
    <comment ref="B10" authorId="0" shapeId="0" xr:uid="{9418B448-9750-4EF0-A44E-30F2516AB438}">
      <text>
        <r>
          <rPr>
            <b/>
            <sz val="8"/>
            <color indexed="81"/>
            <rFont val="Tahoma"/>
            <family val="2"/>
            <charset val="238"/>
          </rPr>
          <t>Author:</t>
        </r>
        <r>
          <rPr>
            <sz val="8"/>
            <color indexed="81"/>
            <rFont val="Tahoma"/>
            <family val="2"/>
            <charset val="238"/>
          </rPr>
          <t xml:space="preserve">
Test environment is defined at start-up,…</t>
        </r>
      </text>
    </comment>
    <comment ref="B34" authorId="1" shapeId="0" xr:uid="{CC79C0CB-5559-44EE-8DD6-49DB6314A0AB}">
      <text>
        <r>
          <rPr>
            <b/>
            <sz val="9"/>
            <color indexed="81"/>
            <rFont val="Tahoma"/>
            <family val="2"/>
          </rPr>
          <t xml:space="preserve">Everything above this row is generated by Question Library (TEM486 - Master questions library.xlsm)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6" authorId="0" shapeId="0" xr:uid="{EDC6E389-B6A5-4770-9E61-42F0324FA44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<sst xmlns="http://schemas.openxmlformats.org/spreadsheetml/2006/main" count="806" uniqueCount="416">
  <si>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</si>
  <si>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</si>
  <si>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</si>
  <si>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</si>
  <si>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</si>
  <si>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</si>
  <si>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</si>
  <si>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</si>
  <si>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</si>
  <si>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</si>
  <si>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</si>
  <si>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</si>
  <si>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</si>
  <si>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</si>
  <si>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</si>
  <si>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</si>
  <si>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</si>
  <si>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</si>
  <si>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</si>
  <si>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</si>
  <si>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</si>
  <si>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</si>
  <si>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</si>
  <si>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</si>
  <si>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</si>
  <si>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</si>
  <si>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</si>
  <si>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</si>
  <si>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</si>
  <si>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</si>
  <si>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</si>
  <si>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</si>
  <si>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</si>
  <si>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</si>
  <si>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</si>
  <si>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</si>
  <si>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</si>
  <si>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</si>
  <si>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</si>
  <si>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</si>
  <si>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</si>
  <si>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</si>
  <si>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</si>
  <si>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</si>
  <si>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</si>
  <si>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</si>
  <si>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</si>
  <si>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</si>
  <si>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</si>
  <si>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</si>
  <si>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</si>
  <si>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</si>
  <si>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</si>
  <si>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</si>
  <si>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</si>
  <si>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</si>
  <si>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</si>
  <si>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</si>
  <si>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</si>
  <si>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</si>
  <si>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</si>
  <si>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</si>
  <si>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</si>
  <si>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</si>
  <si>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</si>
  <si>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</si>
  <si>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</si>
  <si>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</si>
  <si>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</si>
  <si>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</si>
  <si>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</si>
  <si>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</si>
  <si>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</si>
  <si>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</si>
  <si>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</si>
  <si>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</si>
  <si>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</si>
  <si>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</si>
  <si>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</si>
  <si>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</si>
  <si>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</si>
  <si>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</si>
  <si>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</si>
  <si>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</si>
  <si>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</si>
  <si>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</si>
  <si>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</si>
  <si>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</si>
  <si>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</si>
  <si>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</si>
  <si>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</si>
  <si>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</si>
  <si>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</si>
  <si>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</si>
  <si>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</si>
  <si>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</si>
  <si>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</si>
  <si>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</si>
  <si>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</si>
  <si>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</si>
  <si>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</si>
  <si>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</si>
  <si>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</si>
  <si>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</si>
  <si>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</si>
  <si>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</si>
  <si>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</si>
  <si>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</si>
  <si>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</si>
  <si>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</si>
  <si>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</si>
  <si>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</si>
  <si>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</si>
  <si>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</si>
  <si>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</si>
  <si>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</si>
  <si>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</si>
  <si>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</si>
  <si>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</si>
  <si>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</si>
  <si>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</si>
  <si>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</si>
  <si>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</si>
  <si>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</si>
  <si>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</si>
  <si>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</si>
  <si>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</si>
  <si>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</si>
  <si>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</si>
  <si>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</si>
  <si>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</si>
  <si>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</si>
  <si>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</si>
  <si>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</si>
  <si>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</si>
  <si>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</si>
  <si>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</si>
  <si>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</si>
  <si>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</si>
  <si>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</si>
  <si>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</si>
  <si>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</si>
  <si>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</si>
  <si>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</si>
  <si>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</si>
  <si>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</si>
  <si>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</si>
  <si>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</si>
  <si>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</si>
  <si>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</si>
  <si>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</si>
  <si>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</si>
  <si>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</si>
  <si>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</si>
  <si>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</si>
  <si>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</si>
  <si>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</si>
  <si>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</si>
  <si>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</si>
  <si>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</si>
  <si>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</si>
  <si>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</si>
  <si>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</si>
  <si>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</si>
  <si>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</si>
  <si>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</si>
  <si>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</si>
  <si>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</si>
  <si>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</si>
  <si>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</si>
  <si>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</si>
  <si>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</si>
  <si>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</si>
  <si>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</si>
  <si>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</si>
  <si>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</si>
  <si>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</si>
  <si>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</si>
  <si>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</si>
  <si>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</si>
  <si>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</si>
  <si>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</si>
  <si>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</si>
  <si>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</si>
  <si>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</si>
  <si>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</si>
  <si>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</si>
  <si>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</si>
  <si>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</si>
  <si>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</si>
  <si>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</si>
  <si>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</si>
  <si>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</si>
  <si>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</si>
  <si>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</si>
  <si>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</si>
  <si>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</si>
  <si>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</si>
  <si>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</si>
  <si>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</si>
  <si>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</si>
  <si>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</si>
  <si>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</si>
  <si>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</si>
  <si>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</si>
  <si>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</si>
  <si>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</si>
  <si>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</si>
  <si>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</si>
  <si>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</si>
  <si>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</si>
  <si>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</si>
  <si>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</si>
  <si>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</si>
  <si>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</si>
  <si>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</si>
  <si>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</si>
  <si>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</si>
  <si>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</si>
  <si>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</si>
  <si>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</si>
  <si>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</si>
  <si>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</si>
  <si>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</si>
  <si>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</si>
  <si>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</si>
  <si>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</si>
  <si>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</si>
  <si>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</si>
  <si>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</si>
  <si>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</si>
  <si>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</si>
  <si>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</si>
  <si>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</si>
  <si>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</si>
  <si>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SW-R-CM-396</t>
  </si>
  <si>
    <t>SW-R-PM-397</t>
  </si>
  <si>
    <t>SW-R-PM-398</t>
  </si>
  <si>
    <t>SW-R-CM-399</t>
  </si>
  <si>
    <t>SW-R-REV-400</t>
  </si>
  <si>
    <t>SW-R-REV-401</t>
  </si>
  <si>
    <t>Questions out of questions library</t>
  </si>
  <si>
    <r>
      <t xml:space="preserve">Justification
</t>
    </r>
    <r>
      <rPr>
        <sz val="10"/>
        <color theme="0"/>
        <rFont val="Arial"/>
        <family val="2"/>
      </rPr>
      <t>(if not OK)</t>
    </r>
  </si>
  <si>
    <t>Functional Safety</t>
  </si>
  <si>
    <t>XX-R-REV-579</t>
  </si>
  <si>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</si>
  <si>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</si>
  <si>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</si>
  <si>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</si>
  <si>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</si>
  <si>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</si>
  <si>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</si>
  <si>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</si>
  <si>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t>SW-R-INT-589</t>
  </si>
  <si>
    <t>SW-R-INT-590</t>
  </si>
  <si>
    <t>SW-R-INT-594</t>
  </si>
  <si>
    <r>
      <rPr>
        <b/>
        <sz val="10"/>
        <rFont val="Arial"/>
        <family val="2"/>
      </rPr>
      <t xml:space="preserve">Tests types
</t>
    </r>
    <r>
      <rPr>
        <sz val="10"/>
        <rFont val="Arial"/>
        <family val="2"/>
      </rPr>
      <t>Are all defined test types used in test cases ?
Note: Nominal, Endurance, Robustness, Qualification…</t>
    </r>
  </si>
  <si>
    <t>XX-R-XX-596</t>
  </si>
  <si>
    <t>XX-R-XX-598</t>
  </si>
  <si>
    <r>
      <rPr>
        <b/>
        <sz val="10"/>
        <rFont val="Arial"/>
        <family val="2"/>
      </rPr>
      <t xml:space="preserve">Issue for fail tests
</t>
    </r>
    <r>
      <rPr>
        <sz val="10"/>
        <rFont val="Arial"/>
        <family val="2"/>
      </rPr>
      <t>If not fixed now : do all failed tests have an associated Issue number ?</t>
    </r>
  </si>
  <si>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</si>
  <si>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</si>
  <si>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</si>
  <si>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t>SW-R-COD-587</t>
  </si>
  <si>
    <r>
      <rPr>
        <b/>
        <sz val="10"/>
        <rFont val="Arial"/>
        <family val="2"/>
      </rPr>
      <t xml:space="preserve">Traceability
</t>
    </r>
    <r>
      <rPr>
        <sz val="10"/>
        <rFont val="Arial"/>
        <family val="2"/>
      </rPr>
      <t>Is the traceability done with module design and/or software specification?</t>
    </r>
  </si>
  <si>
    <t>SW-R-COD-588</t>
  </si>
  <si>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</si>
  <si>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</si>
  <si>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t>SW-R-XX-592</t>
  </si>
  <si>
    <t>SW-R-XX-586</t>
  </si>
  <si>
    <t>SW-R-XX-593</t>
  </si>
  <si>
    <t>SW-R-XX-583</t>
  </si>
  <si>
    <t>SW-R-XX-595</t>
  </si>
  <si>
    <t>XX-R-XX-597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</si>
  <si>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</si>
  <si>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</si>
  <si>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</si>
  <si>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</si>
  <si>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</si>
  <si>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</si>
  <si>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</si>
  <si>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</si>
  <si>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</si>
  <si>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</si>
  <si>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</si>
  <si>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</si>
  <si>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</si>
  <si>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</si>
  <si>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</si>
  <si>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</si>
  <si>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</si>
  <si>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</si>
  <si>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</si>
  <si>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</si>
  <si>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SW-R-XX-591</t>
  </si>
  <si>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</si>
  <si>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</si>
  <si>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t>SW-R-XX-611</t>
  </si>
  <si>
    <r>
      <rPr>
        <b/>
        <sz val="10"/>
        <rFont val="Arial"/>
        <family val="2"/>
      </rPr>
      <t xml:space="preserve">Equipment
</t>
    </r>
    <r>
      <rPr>
        <sz val="10"/>
        <rFont val="Arial"/>
        <family val="2"/>
      </rPr>
      <t>Are all equipement listed individually for every test bench with assigned owner?</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</si>
  <si>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</si>
  <si>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</si>
  <si>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</si>
  <si>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</si>
  <si>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</si>
  <si>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</si>
  <si>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</si>
  <si>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</si>
  <si>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</si>
  <si>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</si>
  <si>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</si>
  <si>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</si>
  <si>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</si>
  <si>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</si>
  <si>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</si>
  <si>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</si>
  <si>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</si>
  <si>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</si>
  <si>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</si>
  <si>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t>SW-R-DSG-767</t>
  </si>
  <si>
    <r>
      <rPr>
        <b/>
        <sz val="10"/>
        <rFont val="Arial"/>
        <family val="2"/>
      </rPr>
      <t>Diagram</t>
    </r>
    <r>
      <rPr>
        <sz val="10"/>
        <rFont val="Arial"/>
        <family val="2"/>
      </rPr>
      <t xml:space="preserve">
Is there a clear description (diagram/sequence/text) to explain each AAU functions role</t>
    </r>
  </si>
  <si>
    <t>SW-R-DSG-768</t>
  </si>
  <si>
    <r>
      <rPr>
        <b/>
        <sz val="10"/>
        <rFont val="Arial"/>
        <family val="2"/>
      </rPr>
      <t>Diagram</t>
    </r>
    <r>
      <rPr>
        <sz val="10"/>
        <rFont val="Arial"/>
        <family val="2"/>
      </rPr>
      <t xml:space="preserve">
Is created a function/sequence diagram for each function?</t>
    </r>
  </si>
  <si>
    <t>SW-R-DSG-769</t>
  </si>
  <si>
    <r>
      <rPr>
        <b/>
        <sz val="10"/>
        <rFont val="Arial"/>
        <family val="2"/>
      </rPr>
      <t>Interfaces</t>
    </r>
    <r>
      <rPr>
        <sz val="10"/>
        <rFont val="Arial"/>
        <family val="2"/>
      </rPr>
      <t xml:space="preserve">
Does the SW AAU design conform to the SW architecture (interfaces, namings, constraints)?</t>
    </r>
  </si>
  <si>
    <t>SW-R-DSG-770</t>
  </si>
  <si>
    <r>
      <rPr>
        <b/>
        <sz val="10"/>
        <rFont val="Arial"/>
        <family val="2"/>
      </rPr>
      <t>Design</t>
    </r>
    <r>
      <rPr>
        <sz val="10"/>
        <rFont val="Arial"/>
        <family val="2"/>
      </rPr>
      <t xml:space="preserve">
Does the SW AAU design conform to the SW requirements?</t>
    </r>
  </si>
  <si>
    <t>SW-R-DSG-771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</si>
  <si>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</si>
  <si>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SW-R-DSG-772</t>
  </si>
  <si>
    <r>
      <rPr>
        <b/>
        <sz val="10"/>
        <rFont val="Arial"/>
        <family val="2"/>
      </rPr>
      <t>Coding standard</t>
    </r>
    <r>
      <rPr>
        <sz val="10"/>
        <rFont val="Arial"/>
        <family val="2"/>
      </rPr>
      <t xml:space="preserve">
Does the SW AAU design conform to the SW coding standard ?</t>
    </r>
  </si>
  <si>
    <t>SW-R-DSG-773</t>
  </si>
  <si>
    <r>
      <rPr>
        <b/>
        <sz val="10"/>
        <rFont val="Arial"/>
        <family val="2"/>
      </rPr>
      <t>Testability</t>
    </r>
    <r>
      <rPr>
        <sz val="10"/>
        <rFont val="Arial"/>
        <family val="2"/>
      </rPr>
      <t xml:space="preserve">
Are software design requirements testable?</t>
    </r>
  </si>
  <si>
    <t>SW-R-DSG-774</t>
  </si>
  <si>
    <r>
      <rPr>
        <b/>
        <sz val="10"/>
        <rFont val="Arial"/>
        <family val="2"/>
      </rPr>
      <t>Traceability</t>
    </r>
    <r>
      <rPr>
        <sz val="10"/>
        <rFont val="Arial"/>
        <family val="2"/>
      </rPr>
      <t xml:space="preserve">
Do SW design requirements cover SW functional requirements using indirect and/or direct traceability ?</t>
    </r>
  </si>
  <si>
    <t>SW-R-DSG-775</t>
  </si>
  <si>
    <r>
      <rPr>
        <b/>
        <sz val="10"/>
        <rFont val="Arial"/>
        <family val="2"/>
      </rPr>
      <t>Consistency</t>
    </r>
    <r>
      <rPr>
        <sz val="10"/>
        <rFont val="Arial"/>
        <family val="2"/>
      </rPr>
      <t xml:space="preserve">
Is consitency of the traceability checked ?</t>
    </r>
  </si>
  <si>
    <t>SW-R-DSG-776</t>
  </si>
  <si>
    <r>
      <rPr>
        <b/>
        <sz val="10"/>
        <rFont val="Arial"/>
        <family val="2"/>
      </rPr>
      <t>Data structure</t>
    </r>
    <r>
      <rPr>
        <sz val="10"/>
        <rFont val="Arial"/>
        <family val="2"/>
      </rPr>
      <t xml:space="preserve">
Is the data structure organisation clearly defined in the AAU design including the memory location (ROM, RAM, RAM_NO_INIT, NVM ...)?</t>
    </r>
  </si>
  <si>
    <t>SW-R-DSG-777</t>
  </si>
  <si>
    <r>
      <rPr>
        <b/>
        <sz val="10"/>
        <rFont val="Arial"/>
        <family val="2"/>
      </rPr>
      <t>Variables</t>
    </r>
    <r>
      <rPr>
        <sz val="10"/>
        <rFont val="Arial"/>
        <family val="2"/>
      </rPr>
      <t xml:space="preserve">
Are shared variables protected with expected mechanisms (including initialization)?</t>
    </r>
  </si>
  <si>
    <t>SW-R-DSG-778</t>
  </si>
  <si>
    <r>
      <rPr>
        <b/>
        <sz val="10"/>
        <rFont val="Arial"/>
        <family val="2"/>
      </rPr>
      <t>Critical sections</t>
    </r>
    <r>
      <rPr>
        <sz val="10"/>
        <rFont val="Arial"/>
        <family val="2"/>
      </rPr>
      <t xml:space="preserve">
Are critical sections protected with expected mechanisms?</t>
    </r>
  </si>
  <si>
    <t>SW-R-DSG-779</t>
  </si>
  <si>
    <r>
      <rPr>
        <b/>
        <sz val="10"/>
        <rFont val="Arial"/>
        <family val="2"/>
      </rPr>
      <t>Critical data</t>
    </r>
    <r>
      <rPr>
        <sz val="10"/>
        <rFont val="Arial"/>
        <family val="2"/>
      </rPr>
      <t xml:space="preserve">
Are critical data protected with expected mechanisms?</t>
    </r>
  </si>
  <si>
    <t>SW-R-DSG-780</t>
  </si>
  <si>
    <r>
      <rPr>
        <b/>
        <sz val="10"/>
        <rFont val="Arial"/>
        <family val="2"/>
      </rPr>
      <t>MCU constraints</t>
    </r>
    <r>
      <rPr>
        <sz val="10"/>
        <rFont val="Arial"/>
        <family val="2"/>
      </rPr>
      <t xml:space="preserve">
Does the SW AAU design take into account the MCU resources constraints?</t>
    </r>
  </si>
  <si>
    <t>SW-R-DSG-781</t>
  </si>
  <si>
    <r>
      <rPr>
        <b/>
        <sz val="10"/>
        <rFont val="Arial"/>
        <family val="2"/>
      </rPr>
      <t>Dynamic behaviour</t>
    </r>
    <r>
      <rPr>
        <sz val="10"/>
        <rFont val="Arial"/>
        <family val="2"/>
      </rPr>
      <t xml:space="preserve">
Is the behaviour of the AAU properly described in each System phase (start-up, shutdow, limp mode)?</t>
    </r>
  </si>
  <si>
    <t>SW-R-COD-782</t>
  </si>
  <si>
    <r>
      <rPr>
        <b/>
        <sz val="10"/>
        <rFont val="Arial"/>
        <family val="2"/>
      </rPr>
      <t>Coding standard</t>
    </r>
    <r>
      <rPr>
        <sz val="10"/>
        <rFont val="Arial"/>
        <family val="2"/>
      </rPr>
      <t xml:space="preserve">
Does the SW AAU Code conform to the SW coding standard ?</t>
    </r>
  </si>
  <si>
    <t>SW-R-COD-783</t>
  </si>
  <si>
    <r>
      <rPr>
        <b/>
        <sz val="10"/>
        <rFont val="Arial"/>
        <family val="2"/>
      </rPr>
      <t>Static analysis</t>
    </r>
    <r>
      <rPr>
        <sz val="10"/>
        <rFont val="Arial"/>
        <family val="2"/>
      </rPr>
      <t xml:space="preserve">
Is static analysis performed and warnings corrected or justified?</t>
    </r>
  </si>
  <si>
    <t>SW-R-COD-784</t>
  </si>
  <si>
    <r>
      <rPr>
        <b/>
        <sz val="10"/>
        <rFont val="Arial"/>
        <family val="2"/>
      </rPr>
      <t>Design</t>
    </r>
    <r>
      <rPr>
        <sz val="10"/>
        <rFont val="Arial"/>
        <family val="2"/>
      </rPr>
      <t xml:space="preserve">
Is the SW Code compliant with design (namings, functions, variables, logic, …) ?</t>
    </r>
  </si>
  <si>
    <t>SW-R-COD-785</t>
  </si>
  <si>
    <r>
      <rPr>
        <b/>
        <sz val="10"/>
        <rFont val="Arial"/>
        <family val="2"/>
      </rPr>
      <t>Data structure</t>
    </r>
    <r>
      <rPr>
        <sz val="10"/>
        <rFont val="Arial"/>
        <family val="2"/>
      </rPr>
      <t xml:space="preserve">
Is Data structure organized in RAM (alignment, padding,..) verified?</t>
    </r>
  </si>
  <si>
    <t>SW-R-COD-786</t>
  </si>
  <si>
    <r>
      <rPr>
        <b/>
        <sz val="10"/>
        <rFont val="Arial"/>
        <family val="2"/>
      </rPr>
      <t>Comments</t>
    </r>
    <r>
      <rPr>
        <sz val="10"/>
        <rFont val="Arial"/>
        <family val="2"/>
      </rPr>
      <t xml:space="preserve">
Are the comments sufficient for comprehensibility?</t>
    </r>
  </si>
  <si>
    <t>SW-R-COD-787</t>
  </si>
  <si>
    <r>
      <rPr>
        <b/>
        <sz val="10"/>
        <rFont val="Arial"/>
        <family val="2"/>
      </rPr>
      <t>Execution</t>
    </r>
    <r>
      <rPr>
        <sz val="10"/>
        <rFont val="Arial"/>
        <family val="2"/>
      </rPr>
      <t xml:space="preserve">
Are SW loops (for, while) protected against infinite execution?</t>
    </r>
  </si>
  <si>
    <t>SW-R-COD-788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</si>
  <si>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</si>
  <si>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</si>
  <si>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</si>
  <si>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</si>
  <si>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</si>
  <si>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</si>
  <si>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</si>
  <si>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SW-R-COD-792</t>
  </si>
  <si>
    <r>
      <rPr>
        <b/>
        <sz val="10"/>
        <rFont val="Arial"/>
        <family val="2"/>
      </rPr>
      <t>Stack</t>
    </r>
    <r>
      <rPr>
        <sz val="10"/>
        <rFont val="Arial"/>
        <family val="2"/>
      </rPr>
      <t xml:space="preserve">
Are the impacts on stack size been considered ?</t>
    </r>
  </si>
  <si>
    <t>XX-R-INT-793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</si>
  <si>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</si>
  <si>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XX-R-INT-794</t>
  </si>
  <si>
    <r>
      <rPr>
        <b/>
        <sz val="10"/>
        <rFont val="Arial"/>
        <family val="2"/>
      </rPr>
      <t>Execution time</t>
    </r>
    <r>
      <rPr>
        <sz val="10"/>
        <rFont val="Arial"/>
        <family val="2"/>
      </rPr>
      <t xml:space="preserve">
Is the maximum execution time of functions called during initialization (before nominal OS execution) tested?</t>
    </r>
  </si>
  <si>
    <t>XX-R-INT-795</t>
  </si>
  <si>
    <r>
      <rPr>
        <b/>
        <sz val="10"/>
        <rFont val="Arial"/>
        <family val="2"/>
      </rPr>
      <t>Minimum stabilization time</t>
    </r>
    <r>
      <rPr>
        <sz val="10"/>
        <rFont val="Arial"/>
        <family val="2"/>
      </rPr>
      <t xml:space="preserve">
Is the minimum stabilization time required in HSIS tested by unit test cases?
(at AAU level "in product environnement, on target board")</t>
    </r>
  </si>
  <si>
    <t>SW-R-UV-796</t>
  </si>
  <si>
    <r>
      <rPr>
        <b/>
        <sz val="10"/>
        <rFont val="Arial"/>
        <family val="2"/>
      </rPr>
      <t>Traceability</t>
    </r>
    <r>
      <rPr>
        <sz val="10"/>
        <rFont val="Arial"/>
        <family val="2"/>
      </rPr>
      <t xml:space="preserve">
Are all software design requirements covered by the SW unit test cases according with the plan?</t>
    </r>
  </si>
  <si>
    <t>SW-R-UV-797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</si>
  <si>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</si>
  <si>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SW-R-UV-798</t>
  </si>
  <si>
    <t>SW-R-UV-799</t>
  </si>
  <si>
    <r>
      <rPr>
        <b/>
        <sz val="10"/>
        <rFont val="Arial"/>
        <family val="2"/>
      </rPr>
      <t>RAM, ROM consuption</t>
    </r>
    <r>
      <rPr>
        <sz val="10"/>
        <rFont val="Arial"/>
        <family val="2"/>
      </rPr>
      <t xml:space="preserve">
Is the RAM and ROM consumption measured and conform to the budgets?
(at AAU level "in product environnement, on target board")</t>
    </r>
  </si>
  <si>
    <t>SW-R-UV-800</t>
  </si>
  <si>
    <r>
      <rPr>
        <b/>
        <sz val="10"/>
        <rFont val="Arial"/>
        <family val="2"/>
      </rPr>
      <t>Shared variables</t>
    </r>
    <r>
      <rPr>
        <sz val="10"/>
        <rFont val="Arial"/>
        <family val="2"/>
      </rPr>
      <t xml:space="preserve">
Are shared variables (existing in AAU scope only) and critical sections tested?
(at AAU level "in product environnement, on target board")</t>
    </r>
  </si>
  <si>
    <t>SW-R-UV-801</t>
  </si>
  <si>
    <r>
      <rPr>
        <b/>
        <sz val="10"/>
        <rFont val="Arial"/>
        <family val="2"/>
      </rPr>
      <t>Out of bounds</t>
    </r>
    <r>
      <rPr>
        <sz val="10"/>
        <rFont val="Arial"/>
        <family val="2"/>
      </rPr>
      <t xml:space="preserve">
Are out of bounds access (array, pointer) tested?</t>
    </r>
  </si>
  <si>
    <t>SW-R-UV-802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</si>
  <si>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environnement, on target board")</t>
    </r>
  </si>
  <si>
    <t>SW-R-UV-803</t>
  </si>
  <si>
    <r>
      <rPr>
        <b/>
        <sz val="10"/>
        <rFont val="Arial"/>
        <family val="2"/>
      </rPr>
      <t>Structural coverage</t>
    </r>
    <r>
      <rPr>
        <sz val="10"/>
        <rFont val="Arial"/>
        <family val="2"/>
      </rPr>
      <t xml:space="preserve">
Are the structural coverage targets respected?</t>
    </r>
  </si>
  <si>
    <t>SW-R-COD-916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</si>
  <si>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</si>
  <si>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SW-R-COD-917</t>
  </si>
  <si>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</si>
  <si>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</si>
  <si>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</si>
  <si>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</si>
  <si>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</si>
  <si>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</si>
  <si>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</si>
  <si>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Name - Version</t>
  </si>
  <si>
    <t>In-Work</t>
  </si>
  <si>
    <t>A.Negrea</t>
  </si>
  <si>
    <t>Alexandru Paval</t>
  </si>
  <si>
    <t>RCM - Peer Review Workbook (PRWB).xlsm</t>
  </si>
  <si>
    <t>Rcm.c, RCM_autotests.c</t>
  </si>
  <si>
    <t>14.06.2022</t>
  </si>
  <si>
    <t>15.06.2022</t>
  </si>
  <si>
    <t>Rcm.c</t>
  </si>
  <si>
    <t>RCM_autotests.c</t>
  </si>
  <si>
    <t>No findings.</t>
  </si>
  <si>
    <t>1.1.1.3.3.1</t>
  </si>
  <si>
    <t>1.1.1.17.2.4</t>
  </si>
  <si>
    <t>Rcm.c - 1.1.1.17.2.4</t>
  </si>
  <si>
    <t>RCM_autotests.c - 1.1.1.3.3.1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</si>
</sst>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i/>
      <sz val="10"/>
      <color rgb="FF002060"/>
      <name val="Arial"/>
      <family val="2"/>
    </font>
  </fonts>
  <fills count="3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rgb="FFFFFFCC"/>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9" fillId="6" borderId="14" applyNumberFormat="0" applyAlignment="0" applyProtection="0"/>
    <xf numFmtId="0" fontId="60" fillId="0" borderId="0" applyNumberFormat="0" applyFill="0" applyBorder="0" applyAlignment="0" applyProtection="0"/>
    <xf numFmtId="0" fontId="27" fillId="0" borderId="0"/>
    <xf numFmtId="0" fontId="54" fillId="0" borderId="0"/>
    <xf numFmtId="0" fontId="58" fillId="0" borderId="0"/>
    <xf numFmtId="0" fontId="27" fillId="0" borderId="0"/>
    <xf numFmtId="0" fontId="34" fillId="0" borderId="0"/>
    <xf numFmtId="0" fontId="62" fillId="6" borderId="15" applyNumberFormat="0" applyAlignment="0" applyProtection="0"/>
    <xf numFmtId="0" fontId="26" fillId="0" borderId="0"/>
    <xf numFmtId="0" fontId="25" fillId="0" borderId="0"/>
    <xf numFmtId="0" fontId="24" fillId="0" borderId="0"/>
    <xf numFmtId="0" fontId="87" fillId="25" borderId="14" applyNumberFormat="0" applyAlignment="0" applyProtection="0"/>
    <xf numFmtId="0" fontId="88" fillId="26" borderId="0" applyNumberFormat="0" applyBorder="0" applyAlignment="0" applyProtection="0"/>
    <xf numFmtId="0" fontId="23" fillId="27" borderId="0" applyNumberFormat="0" applyBorder="0" applyAlignment="0" applyProtection="0"/>
    <xf numFmtId="0" fontId="27" fillId="0" borderId="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0" borderId="0"/>
    <xf numFmtId="0" fontId="10" fillId="27" borderId="0" applyNumberFormat="0" applyBorder="0" applyAlignment="0" applyProtection="0"/>
    <xf numFmtId="0" fontId="9" fillId="27" borderId="0" applyNumberFormat="0" applyBorder="0" applyAlignment="0" applyProtection="0"/>
    <xf numFmtId="0" fontId="107" fillId="0" borderId="0" applyNumberFormat="0" applyFill="0" applyBorder="0" applyAlignment="0" applyProtection="0"/>
  </cellStyleXfs>
  <cellXfs count="322">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8" fillId="3" borderId="12" xfId="0" applyFont="1" applyFill="1" applyBorder="1" applyAlignment="1">
      <alignment horizontal="center" wrapText="1"/>
    </xf>
    <xf numFmtId="0" fontId="0" fillId="2" borderId="0" xfId="0" applyFill="1" applyAlignment="1">
      <alignment horizontal="center"/>
    </xf>
    <xf numFmtId="0" fontId="28"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7" fillId="0" borderId="1" xfId="0" applyFont="1" applyBorder="1" applyAlignment="1">
      <alignment vertical="center" wrapText="1"/>
    </xf>
    <xf numFmtId="0" fontId="27" fillId="3" borderId="1" xfId="0" applyFont="1" applyFill="1" applyBorder="1" applyAlignment="1">
      <alignment horizontal="center" vertical="center" wrapText="1"/>
    </xf>
    <xf numFmtId="0" fontId="27" fillId="2" borderId="0" xfId="0" applyFont="1" applyFill="1" applyBorder="1" applyAlignment="1">
      <alignment wrapText="1"/>
    </xf>
    <xf numFmtId="0" fontId="63" fillId="7" borderId="0" xfId="0" applyFont="1" applyFill="1" applyBorder="1" applyAlignment="1">
      <alignment horizontal="center" vertical="center" wrapText="1"/>
    </xf>
    <xf numFmtId="0" fontId="28" fillId="3" borderId="12" xfId="0" applyFont="1" applyFill="1" applyBorder="1" applyAlignment="1">
      <alignment horizontal="center" vertical="center" wrapText="1"/>
    </xf>
    <xf numFmtId="0" fontId="63" fillId="0" borderId="0" xfId="0" applyFont="1" applyFill="1" applyBorder="1" applyAlignment="1">
      <alignment horizontal="center" vertical="center" wrapText="1"/>
    </xf>
    <xf numFmtId="0" fontId="63" fillId="0" borderId="0" xfId="0" applyFont="1" applyFill="1" applyAlignment="1">
      <alignment vertical="center"/>
    </xf>
    <xf numFmtId="0" fontId="63" fillId="0" borderId="0" xfId="0" applyFont="1" applyFill="1" applyBorder="1" applyAlignment="1">
      <alignment vertical="center" wrapText="1"/>
    </xf>
    <xf numFmtId="0" fontId="49" fillId="2" borderId="2" xfId="0" applyFont="1" applyFill="1" applyBorder="1"/>
    <xf numFmtId="0" fontId="27" fillId="2" borderId="0" xfId="0" applyFont="1" applyFill="1" applyAlignment="1">
      <alignment horizontal="center"/>
    </xf>
    <xf numFmtId="0" fontId="0" fillId="8" borderId="0" xfId="0" applyFill="1" applyAlignment="1">
      <alignment horizontal="center"/>
    </xf>
    <xf numFmtId="0" fontId="27" fillId="2" borderId="1" xfId="0" applyFont="1" applyFill="1" applyBorder="1" applyAlignment="1">
      <alignment horizontal="center" wrapText="1"/>
    </xf>
    <xf numFmtId="0" fontId="27" fillId="2" borderId="1" xfId="0" applyFont="1" applyFill="1" applyBorder="1" applyAlignment="1">
      <alignment horizontal="center" vertical="center" wrapText="1"/>
    </xf>
    <xf numFmtId="0" fontId="0" fillId="2" borderId="5" xfId="0" applyFill="1" applyBorder="1" applyAlignment="1">
      <alignment wrapText="1"/>
    </xf>
    <xf numFmtId="0" fontId="27" fillId="2" borderId="0" xfId="0" applyFont="1" applyFill="1" applyBorder="1"/>
    <xf numFmtId="0" fontId="28" fillId="9" borderId="1" xfId="0" applyFont="1" applyFill="1" applyBorder="1" applyAlignment="1">
      <alignment horizontal="center" vertical="center" wrapText="1"/>
    </xf>
    <xf numFmtId="0" fontId="27" fillId="2" borderId="10" xfId="0" applyFont="1" applyFill="1" applyBorder="1"/>
    <xf numFmtId="0" fontId="63"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7" fillId="8" borderId="0" xfId="0" applyFont="1" applyFill="1" applyBorder="1" applyAlignment="1">
      <alignment horizontal="center" vertical="center"/>
    </xf>
    <xf numFmtId="0" fontId="27" fillId="8" borderId="1" xfId="0" applyFont="1" applyFill="1" applyBorder="1" applyAlignment="1">
      <alignment horizontal="center" vertical="center"/>
    </xf>
    <xf numFmtId="0" fontId="27" fillId="13" borderId="1"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7"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3" fillId="8" borderId="0" xfId="0" applyFont="1" applyFill="1" applyBorder="1" applyAlignment="1">
      <alignment horizontal="center" vertical="center" wrapText="1"/>
    </xf>
    <xf numFmtId="0" fontId="63" fillId="8" borderId="0" xfId="0" applyFont="1" applyFill="1" applyAlignment="1">
      <alignment horizontal="center" vertical="center" wrapText="1"/>
    </xf>
    <xf numFmtId="0" fontId="63"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0" fillId="14" borderId="1" xfId="0" applyFont="1" applyFill="1" applyBorder="1" applyAlignment="1">
      <alignment horizontal="center" vertical="center" wrapText="1"/>
    </xf>
    <xf numFmtId="0" fontId="63"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3" fillId="13" borderId="1" xfId="0" applyFont="1" applyFill="1" applyBorder="1" applyAlignment="1">
      <alignment horizontal="center" vertical="center" wrapText="1"/>
    </xf>
    <xf numFmtId="0" fontId="0" fillId="0" borderId="0" xfId="0" applyFill="1" applyBorder="1" applyAlignment="1">
      <alignment horizontal="center"/>
    </xf>
    <xf numFmtId="0" fontId="27" fillId="13" borderId="1" xfId="0" applyFont="1" applyFill="1" applyBorder="1" applyAlignment="1">
      <alignment horizontal="center" vertical="center"/>
    </xf>
    <xf numFmtId="0" fontId="0" fillId="13" borderId="1" xfId="0" applyFill="1" applyBorder="1" applyAlignment="1">
      <alignment horizontal="center" vertical="center"/>
    </xf>
    <xf numFmtId="0" fontId="27" fillId="2" borderId="5" xfId="0" applyFont="1" applyFill="1" applyBorder="1" applyAlignment="1">
      <alignment wrapText="1"/>
    </xf>
    <xf numFmtId="0" fontId="27" fillId="10" borderId="0" xfId="0" applyFont="1" applyFill="1" applyBorder="1" applyAlignment="1">
      <alignment horizontal="left" vertical="center"/>
    </xf>
    <xf numFmtId="0" fontId="27" fillId="12" borderId="0" xfId="0" applyFont="1" applyFill="1" applyBorder="1" applyAlignment="1">
      <alignment horizontal="left" vertical="center"/>
    </xf>
    <xf numFmtId="0" fontId="27" fillId="15" borderId="0" xfId="0" applyFont="1" applyFill="1" applyBorder="1" applyAlignment="1">
      <alignment horizontal="left" vertical="center"/>
    </xf>
    <xf numFmtId="0" fontId="27" fillId="13" borderId="0" xfId="0" applyFont="1" applyFill="1" applyBorder="1" applyAlignment="1">
      <alignment horizontal="left" vertical="center"/>
    </xf>
    <xf numFmtId="0" fontId="27" fillId="2" borderId="1" xfId="0" applyFont="1" applyFill="1" applyBorder="1"/>
    <xf numFmtId="0" fontId="27" fillId="0" borderId="1" xfId="0" applyFont="1" applyBorder="1" applyAlignment="1">
      <alignment horizontal="center" vertical="center"/>
    </xf>
    <xf numFmtId="0" fontId="0" fillId="2" borderId="0" xfId="0" applyFill="1" applyAlignment="1">
      <alignment horizontal="center" wrapText="1"/>
    </xf>
    <xf numFmtId="0" fontId="59" fillId="6" borderId="16" xfId="1" applyBorder="1" applyAlignment="1">
      <alignment horizontal="center" vertical="center"/>
    </xf>
    <xf numFmtId="0" fontId="27" fillId="3" borderId="12" xfId="0" applyFont="1" applyFill="1" applyBorder="1" applyAlignment="1">
      <alignment horizontal="center" vertical="center" wrapText="1"/>
    </xf>
    <xf numFmtId="0" fontId="59" fillId="6" borderId="1" xfId="1" applyFont="1" applyBorder="1" applyAlignment="1">
      <alignment horizontal="center"/>
    </xf>
    <xf numFmtId="0" fontId="64" fillId="6" borderId="15" xfId="8" applyFont="1" applyAlignment="1">
      <alignment horizontal="center"/>
    </xf>
    <xf numFmtId="0" fontId="64" fillId="6" borderId="17" xfId="8" applyFont="1" applyBorder="1" applyAlignment="1">
      <alignment horizontal="center"/>
    </xf>
    <xf numFmtId="0" fontId="59" fillId="6" borderId="1" xfId="1" applyBorder="1" applyAlignment="1">
      <alignment horizontal="center" vertical="center"/>
    </xf>
    <xf numFmtId="0" fontId="61" fillId="6" borderId="16" xfId="1" applyFont="1" applyBorder="1" applyAlignment="1">
      <alignment horizontal="center" vertical="center"/>
    </xf>
    <xf numFmtId="0" fontId="28" fillId="3" borderId="1" xfId="0" applyFont="1" applyFill="1" applyBorder="1" applyAlignment="1">
      <alignment horizontal="center" vertical="center" wrapText="1"/>
    </xf>
    <xf numFmtId="0" fontId="27" fillId="2" borderId="1" xfId="0" applyFont="1" applyFill="1" applyBorder="1" applyAlignment="1">
      <alignment horizontal="center"/>
    </xf>
    <xf numFmtId="0" fontId="27"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7" fillId="2" borderId="8" xfId="0" applyFont="1" applyFill="1" applyBorder="1" applyAlignment="1">
      <alignment wrapText="1" shrinkToFit="1"/>
    </xf>
    <xf numFmtId="0" fontId="27" fillId="2" borderId="0" xfId="0" applyFont="1" applyFill="1"/>
    <xf numFmtId="0" fontId="27" fillId="2" borderId="0" xfId="0" applyFont="1" applyFill="1" applyAlignment="1">
      <alignment vertical="top"/>
    </xf>
    <xf numFmtId="0" fontId="27" fillId="0" borderId="0" xfId="3" applyAlignment="1">
      <alignment vertical="center"/>
    </xf>
    <xf numFmtId="0" fontId="31" fillId="0" borderId="0" xfId="3" applyFont="1" applyAlignment="1">
      <alignment vertical="center" wrapText="1"/>
    </xf>
    <xf numFmtId="164" fontId="31" fillId="0" borderId="0" xfId="3" applyNumberFormat="1" applyFont="1" applyAlignment="1">
      <alignment horizontal="center" vertical="center" wrapText="1"/>
    </xf>
    <xf numFmtId="20" fontId="31" fillId="0" borderId="0" xfId="3" applyNumberFormat="1" applyFont="1" applyAlignment="1">
      <alignment vertical="center" wrapText="1"/>
    </xf>
    <xf numFmtId="0" fontId="31" fillId="0" borderId="0" xfId="3" applyFont="1" applyAlignment="1">
      <alignment horizontal="left" vertical="center" wrapText="1"/>
    </xf>
    <xf numFmtId="0" fontId="65" fillId="0" borderId="0" xfId="3" quotePrefix="1" applyFont="1" applyAlignment="1">
      <alignment horizontal="right" vertical="center"/>
    </xf>
    <xf numFmtId="0" fontId="32" fillId="0" borderId="0" xfId="3" applyFont="1" applyAlignment="1">
      <alignment horizontal="left" vertical="center" wrapText="1"/>
    </xf>
    <xf numFmtId="0" fontId="27" fillId="0" borderId="0" xfId="3" applyAlignment="1">
      <alignment vertical="center" shrinkToFit="1"/>
    </xf>
    <xf numFmtId="0" fontId="67" fillId="0" borderId="0" xfId="3" applyFont="1" applyAlignment="1">
      <alignment horizontal="left" vertical="center" shrinkToFit="1"/>
    </xf>
    <xf numFmtId="0" fontId="28" fillId="0" borderId="0" xfId="3" applyFont="1" applyAlignment="1">
      <alignment horizontal="left" vertical="center" shrinkToFit="1"/>
    </xf>
    <xf numFmtId="0" fontId="27" fillId="0" borderId="0" xfId="3" applyAlignment="1" applyProtection="1">
      <alignment vertical="center"/>
      <protection locked="0"/>
    </xf>
    <xf numFmtId="0" fontId="27" fillId="0" borderId="0" xfId="3" applyAlignment="1" applyProtection="1">
      <alignment vertical="center" shrinkToFit="1"/>
      <protection locked="0"/>
    </xf>
    <xf numFmtId="0" fontId="72" fillId="0" borderId="2" xfId="3" applyFont="1" applyBorder="1" applyAlignment="1" applyProtection="1">
      <alignment horizontal="left" vertical="center" wrapText="1" shrinkToFit="1"/>
      <protection locked="0"/>
    </xf>
    <xf numFmtId="0" fontId="73" fillId="0" borderId="0" xfId="3" applyFont="1" applyAlignment="1" applyProtection="1">
      <alignment horizontal="left" vertical="center" shrinkToFit="1"/>
      <protection locked="0"/>
    </xf>
    <xf numFmtId="0" fontId="72" fillId="0" borderId="0" xfId="3" applyFont="1" applyAlignment="1" applyProtection="1">
      <alignment horizontal="left" vertical="center" wrapText="1" shrinkToFit="1"/>
      <protection locked="0"/>
    </xf>
    <xf numFmtId="0" fontId="73" fillId="0" borderId="3" xfId="3" applyFont="1" applyBorder="1" applyAlignment="1" applyProtection="1">
      <alignment horizontal="left" vertical="center" shrinkToFit="1"/>
      <protection locked="0"/>
    </xf>
    <xf numFmtId="0" fontId="76" fillId="0" borderId="0" xfId="3" applyFont="1" applyAlignment="1" applyProtection="1">
      <alignment vertical="center"/>
      <protection locked="0"/>
    </xf>
    <xf numFmtId="0" fontId="77" fillId="0" borderId="0" xfId="3" applyFont="1" applyAlignment="1" applyProtection="1">
      <alignment horizontal="center" vertical="center"/>
      <protection locked="0"/>
    </xf>
    <xf numFmtId="0" fontId="26" fillId="8" borderId="0" xfId="9" applyFill="1"/>
    <xf numFmtId="0" fontId="78" fillId="0" borderId="0" xfId="3" applyFont="1" applyAlignment="1">
      <alignment horizontal="right" vertical="center"/>
    </xf>
    <xf numFmtId="0" fontId="79" fillId="0" borderId="18" xfId="3" applyFont="1" applyBorder="1" applyAlignment="1" applyProtection="1">
      <alignment vertical="center"/>
      <protection locked="0"/>
    </xf>
    <xf numFmtId="0" fontId="27" fillId="0" borderId="18" xfId="3" applyBorder="1" applyAlignment="1" applyProtection="1">
      <alignment vertical="center"/>
      <protection locked="0"/>
    </xf>
    <xf numFmtId="0" fontId="80" fillId="0" borderId="0" xfId="3" applyFont="1" applyAlignment="1" applyProtection="1">
      <alignment horizontal="left" vertical="center"/>
      <protection locked="0"/>
    </xf>
    <xf numFmtId="0" fontId="36" fillId="0" borderId="0" xfId="3" applyFont="1" applyAlignment="1" applyProtection="1">
      <alignment horizontal="left" vertical="center"/>
      <protection locked="0"/>
    </xf>
    <xf numFmtId="0" fontId="57" fillId="0" borderId="0" xfId="3" applyFont="1" applyAlignment="1" applyProtection="1">
      <alignment vertical="center"/>
      <protection locked="0"/>
    </xf>
    <xf numFmtId="0" fontId="28" fillId="0" borderId="0" xfId="3" applyFont="1" applyAlignment="1" applyProtection="1">
      <alignment vertical="center"/>
      <protection locked="0"/>
    </xf>
    <xf numFmtId="49" fontId="81" fillId="0" borderId="0" xfId="3" applyNumberFormat="1" applyFont="1" applyAlignment="1" applyProtection="1">
      <alignment horizontal="left" vertical="center"/>
      <protection locked="0"/>
    </xf>
    <xf numFmtId="49" fontId="27" fillId="0" borderId="0" xfId="3" applyNumberFormat="1" applyAlignment="1">
      <alignment horizontal="center" vertical="center" wrapText="1"/>
    </xf>
    <xf numFmtId="49" fontId="27" fillId="0" borderId="0" xfId="3" applyNumberFormat="1" applyAlignment="1" applyProtection="1">
      <alignment horizontal="left" vertical="center" wrapText="1"/>
      <protection locked="0"/>
    </xf>
    <xf numFmtId="49" fontId="27" fillId="0" borderId="0" xfId="3" applyNumberFormat="1" applyAlignment="1">
      <alignment horizontal="left" vertical="center" wrapText="1"/>
    </xf>
    <xf numFmtId="14" fontId="27" fillId="0" borderId="0" xfId="3" applyNumberFormat="1" applyAlignment="1" applyProtection="1">
      <alignment vertical="center"/>
      <protection locked="0"/>
    </xf>
    <xf numFmtId="0" fontId="82" fillId="0" borderId="0" xfId="3" applyFont="1" applyAlignment="1" applyProtection="1">
      <alignment horizontal="left" vertical="center"/>
      <protection locked="0"/>
    </xf>
    <xf numFmtId="0" fontId="27" fillId="0" borderId="0" xfId="3" applyAlignment="1">
      <alignment horizontal="left" vertical="center" wrapText="1"/>
    </xf>
    <xf numFmtId="0" fontId="79" fillId="0" borderId="5" xfId="3" applyFont="1" applyBorder="1" applyAlignment="1" applyProtection="1">
      <alignment vertical="center"/>
      <protection locked="0"/>
    </xf>
    <xf numFmtId="49" fontId="27" fillId="0" borderId="5" xfId="3" applyNumberFormat="1" applyBorder="1" applyAlignment="1" applyProtection="1">
      <alignment horizontal="left" vertical="center" wrapText="1"/>
      <protection locked="0"/>
    </xf>
    <xf numFmtId="0" fontId="27" fillId="0" borderId="5" xfId="3" applyBorder="1" applyAlignment="1">
      <alignment horizontal="left" vertical="center" wrapText="1"/>
    </xf>
    <xf numFmtId="0" fontId="79" fillId="0" borderId="0" xfId="3" applyFont="1" applyAlignment="1" applyProtection="1">
      <alignment vertical="center"/>
      <protection locked="0"/>
    </xf>
    <xf numFmtId="49" fontId="27" fillId="0" borderId="0" xfId="3" applyNumberFormat="1" applyAlignment="1" applyProtection="1">
      <alignment horizontal="left" vertical="center"/>
      <protection locked="0"/>
    </xf>
    <xf numFmtId="0" fontId="27" fillId="0" borderId="0" xfId="3" applyAlignment="1">
      <alignment horizontal="left" vertical="center"/>
    </xf>
    <xf numFmtId="0" fontId="28" fillId="2" borderId="1" xfId="0" applyNumberFormat="1" applyFont="1" applyFill="1" applyBorder="1" applyAlignment="1">
      <alignment horizontal="center" vertical="center"/>
    </xf>
    <xf numFmtId="0" fontId="27" fillId="21" borderId="0" xfId="0" applyFont="1" applyFill="1" applyBorder="1" applyAlignment="1">
      <alignment horizontal="left" vertical="top" wrapText="1"/>
    </xf>
    <xf numFmtId="0" fontId="27" fillId="21" borderId="0" xfId="0" applyFont="1" applyFill="1" applyBorder="1" applyAlignment="1">
      <alignment wrapText="1"/>
    </xf>
    <xf numFmtId="0" fontId="0" fillId="21" borderId="0" xfId="0" applyFill="1" applyBorder="1" applyAlignment="1">
      <alignment wrapText="1"/>
    </xf>
    <xf numFmtId="0" fontId="27" fillId="9" borderId="0" xfId="0" applyFont="1" applyFill="1" applyBorder="1" applyAlignment="1">
      <alignment wrapText="1"/>
    </xf>
    <xf numFmtId="0" fontId="0" fillId="9" borderId="0" xfId="0" applyFill="1" applyBorder="1" applyAlignment="1">
      <alignment wrapText="1"/>
    </xf>
    <xf numFmtId="0" fontId="27" fillId="2" borderId="2" xfId="0" applyFont="1" applyFill="1" applyBorder="1" applyAlignment="1">
      <alignment horizontal="right"/>
    </xf>
    <xf numFmtId="0" fontId="0" fillId="2" borderId="4" xfId="0" applyFill="1" applyBorder="1" applyAlignment="1">
      <alignment horizontal="right"/>
    </xf>
    <xf numFmtId="0" fontId="24" fillId="0" borderId="0" xfId="11"/>
    <xf numFmtId="0" fontId="30" fillId="10" borderId="1" xfId="0" applyFont="1" applyFill="1" applyBorder="1" applyAlignment="1">
      <alignment horizontal="center" vertical="center" wrapText="1"/>
    </xf>
    <xf numFmtId="0" fontId="89" fillId="12" borderId="1" xfId="0" applyFont="1" applyFill="1" applyBorder="1" applyAlignment="1">
      <alignment horizontal="center" vertical="center" wrapText="1"/>
    </xf>
    <xf numFmtId="0" fontId="30" fillId="11" borderId="1" xfId="0" applyFont="1" applyFill="1" applyBorder="1" applyAlignment="1">
      <alignment horizontal="center" vertical="center" wrapText="1"/>
    </xf>
    <xf numFmtId="14" fontId="30" fillId="11" borderId="1" xfId="0" applyNumberFormat="1" applyFont="1" applyFill="1" applyBorder="1" applyAlignment="1">
      <alignment horizontal="center" vertical="center" wrapText="1"/>
    </xf>
    <xf numFmtId="0" fontId="51" fillId="8" borderId="0" xfId="0" applyFont="1" applyFill="1" applyAlignment="1">
      <alignment horizontal="center" vertical="center"/>
    </xf>
    <xf numFmtId="0" fontId="51" fillId="8" borderId="0" xfId="0" applyFont="1" applyFill="1" applyAlignment="1">
      <alignment vertical="center"/>
    </xf>
    <xf numFmtId="0" fontId="51" fillId="0" borderId="0" xfId="0" applyFont="1" applyAlignment="1">
      <alignment vertical="center"/>
    </xf>
    <xf numFmtId="0" fontId="30" fillId="0" borderId="0" xfId="0" applyFont="1" applyFill="1" applyAlignment="1">
      <alignment vertical="center"/>
    </xf>
    <xf numFmtId="0" fontId="59" fillId="6" borderId="14" xfId="1"/>
    <xf numFmtId="0" fontId="91" fillId="29" borderId="20" xfId="14" applyFont="1" applyFill="1" applyBorder="1" applyAlignment="1" applyProtection="1">
      <alignment horizontal="center" vertical="center" wrapText="1"/>
      <protection locked="0"/>
    </xf>
    <xf numFmtId="0" fontId="92" fillId="13" borderId="20" xfId="14" applyFont="1" applyFill="1" applyBorder="1" applyAlignment="1" applyProtection="1">
      <alignment horizontal="center" vertical="center" wrapText="1"/>
    </xf>
    <xf numFmtId="0" fontId="91" fillId="7" borderId="1" xfId="14" applyFont="1" applyFill="1" applyBorder="1" applyAlignment="1">
      <alignment horizontal="left" vertical="center"/>
    </xf>
    <xf numFmtId="0" fontId="87" fillId="25" borderId="14" xfId="12" applyAlignment="1">
      <alignment horizontal="center" vertical="center"/>
    </xf>
    <xf numFmtId="0" fontId="91" fillId="7" borderId="1" xfId="14" applyFont="1" applyFill="1" applyBorder="1" applyAlignment="1">
      <alignment horizontal="center" vertical="center"/>
    </xf>
    <xf numFmtId="0" fontId="27" fillId="5" borderId="0" xfId="15" applyFill="1" applyAlignment="1">
      <alignment vertical="center"/>
    </xf>
    <xf numFmtId="0" fontId="27" fillId="5" borderId="0" xfId="15" applyFill="1" applyAlignment="1">
      <alignment vertical="center" wrapText="1"/>
    </xf>
    <xf numFmtId="0" fontId="27" fillId="0" borderId="1" xfId="3" applyBorder="1" applyAlignment="1">
      <alignment vertical="center"/>
    </xf>
    <xf numFmtId="0" fontId="29" fillId="5" borderId="0" xfId="15" applyFont="1" applyFill="1" applyAlignment="1">
      <alignment vertical="center"/>
    </xf>
    <xf numFmtId="0" fontId="68" fillId="30" borderId="10" xfId="15" applyFont="1" applyFill="1" applyBorder="1" applyAlignment="1">
      <alignment vertical="center"/>
    </xf>
    <xf numFmtId="0" fontId="97" fillId="30" borderId="19" xfId="15" applyFont="1" applyFill="1" applyBorder="1" applyAlignment="1">
      <alignment vertical="center" wrapText="1"/>
    </xf>
    <xf numFmtId="0" fontId="97" fillId="30" borderId="11" xfId="15" applyFont="1" applyFill="1" applyBorder="1" applyAlignment="1">
      <alignment vertical="center" wrapText="1"/>
    </xf>
    <xf numFmtId="0" fontId="27" fillId="5" borderId="1" xfId="15" applyFill="1" applyBorder="1" applyAlignment="1">
      <alignment vertical="center"/>
    </xf>
    <xf numFmtId="0" fontId="27" fillId="0" borderId="12" xfId="3" applyBorder="1" applyAlignment="1">
      <alignment vertical="center"/>
    </xf>
    <xf numFmtId="0" fontId="27" fillId="0" borderId="7" xfId="3" applyBorder="1" applyAlignment="1">
      <alignment vertical="center"/>
    </xf>
    <xf numFmtId="0" fontId="98" fillId="5" borderId="1" xfId="15" applyFont="1" applyFill="1" applyBorder="1" applyAlignment="1">
      <alignment horizontal="center" vertical="center"/>
    </xf>
    <xf numFmtId="0" fontId="27" fillId="5" borderId="1" xfId="15" applyFill="1" applyBorder="1" applyAlignment="1">
      <alignment vertical="center" wrapText="1"/>
    </xf>
    <xf numFmtId="0" fontId="68" fillId="32" borderId="10" xfId="15" applyFont="1" applyFill="1" applyBorder="1" applyAlignment="1">
      <alignment vertical="center"/>
    </xf>
    <xf numFmtId="0" fontId="37" fillId="32" borderId="8" xfId="15" applyFont="1" applyFill="1" applyBorder="1" applyAlignment="1">
      <alignment horizontal="center" vertical="center" wrapText="1"/>
    </xf>
    <xf numFmtId="0" fontId="97" fillId="32" borderId="19" xfId="15" applyFont="1" applyFill="1" applyBorder="1" applyAlignment="1">
      <alignment vertical="center" wrapText="1"/>
    </xf>
    <xf numFmtId="0" fontId="97" fillId="32" borderId="11" xfId="15" applyFont="1" applyFill="1" applyBorder="1" applyAlignment="1">
      <alignment vertical="center" wrapText="1"/>
    </xf>
    <xf numFmtId="0" fontId="68" fillId="33" borderId="1" xfId="15" applyFont="1" applyFill="1" applyBorder="1" applyAlignment="1">
      <alignment horizontal="center" vertical="center" textRotation="45" wrapText="1"/>
    </xf>
    <xf numFmtId="0" fontId="95" fillId="33" borderId="1" xfId="15" applyFont="1" applyFill="1" applyBorder="1" applyAlignment="1">
      <alignment horizontal="center" vertical="center" wrapText="1"/>
    </xf>
    <xf numFmtId="0" fontId="83" fillId="33" borderId="1" xfId="15" applyFont="1" applyFill="1" applyBorder="1" applyAlignment="1">
      <alignment horizontal="center" vertical="center" textRotation="45"/>
    </xf>
    <xf numFmtId="0" fontId="83" fillId="33" borderId="1" xfId="15" applyFont="1" applyFill="1" applyBorder="1" applyAlignment="1">
      <alignment horizontal="center" vertical="center" wrapText="1"/>
    </xf>
    <xf numFmtId="0" fontId="68" fillId="33" borderId="13" xfId="15" applyFont="1" applyFill="1" applyBorder="1" applyAlignment="1">
      <alignment horizontal="center" vertical="center"/>
    </xf>
    <xf numFmtId="0" fontId="96" fillId="33" borderId="13" xfId="15" applyFont="1" applyFill="1" applyBorder="1" applyAlignment="1">
      <alignment horizontal="center" vertical="center" wrapText="1"/>
    </xf>
    <xf numFmtId="0" fontId="68" fillId="24" borderId="7" xfId="15" applyFont="1" applyFill="1" applyBorder="1" applyAlignment="1">
      <alignment horizontal="center" vertical="center"/>
    </xf>
    <xf numFmtId="0" fontId="99" fillId="24" borderId="8" xfId="15" applyFont="1" applyFill="1" applyBorder="1" applyAlignment="1">
      <alignment horizontal="center" vertical="center" wrapText="1"/>
    </xf>
    <xf numFmtId="0" fontId="96" fillId="24" borderId="8" xfId="15" applyFont="1" applyFill="1" applyBorder="1" applyAlignment="1">
      <alignment horizontal="center" vertical="center" wrapText="1"/>
    </xf>
    <xf numFmtId="0" fontId="96" fillId="24" borderId="9" xfId="15" applyFont="1" applyFill="1" applyBorder="1" applyAlignment="1">
      <alignment horizontal="center" vertical="center" wrapText="1"/>
    </xf>
    <xf numFmtId="0" fontId="37" fillId="30" borderId="19" xfId="15" applyFont="1" applyFill="1" applyBorder="1" applyAlignment="1">
      <alignment vertical="center" wrapText="1"/>
    </xf>
    <xf numFmtId="0" fontId="0" fillId="0" borderId="0" xfId="0" applyAlignment="1" applyProtection="1">
      <alignment vertical="center"/>
      <protection locked="0"/>
    </xf>
    <xf numFmtId="0" fontId="80" fillId="0" borderId="0" xfId="0" applyFont="1" applyAlignment="1" applyProtection="1">
      <alignment horizontal="left" vertical="center"/>
      <protection locked="0"/>
    </xf>
    <xf numFmtId="0" fontId="27" fillId="0" borderId="1" xfId="15" applyBorder="1" applyAlignment="1">
      <alignment vertical="center" wrapText="1"/>
    </xf>
    <xf numFmtId="0" fontId="37" fillId="31" borderId="0" xfId="3" applyFont="1" applyFill="1" applyAlignment="1">
      <alignment horizontal="center" wrapText="1"/>
    </xf>
    <xf numFmtId="0" fontId="49" fillId="31" borderId="0" xfId="3" applyFont="1" applyFill="1" applyAlignment="1">
      <alignment horizontal="center" wrapText="1"/>
    </xf>
    <xf numFmtId="0" fontId="91" fillId="29" borderId="12" xfId="29" applyFont="1" applyFill="1" applyBorder="1" applyAlignment="1">
      <alignment horizontal="center" vertical="center" wrapText="1"/>
    </xf>
    <xf numFmtId="0" fontId="104" fillId="0" borderId="2" xfId="0" applyFont="1" applyBorder="1" applyAlignment="1">
      <alignment horizontal="right" vertical="center"/>
    </xf>
    <xf numFmtId="0" fontId="106" fillId="0" borderId="0" xfId="0" applyFont="1" applyBorder="1" applyAlignment="1">
      <alignment wrapText="1"/>
    </xf>
    <xf numFmtId="0" fontId="88" fillId="7" borderId="1" xfId="14" applyFont="1" applyFill="1" applyBorder="1" applyAlignment="1">
      <alignment horizontal="center" vertical="center"/>
    </xf>
    <xf numFmtId="0" fontId="107" fillId="8" borderId="0" xfId="30" applyFill="1" applyAlignment="1">
      <alignment horizontal="center" wrapText="1"/>
    </xf>
    <xf numFmtId="0" fontId="24" fillId="0" borderId="0" xfId="11" applyFill="1" applyBorder="1"/>
    <xf numFmtId="0" fontId="59" fillId="6" borderId="21" xfId="1" applyBorder="1"/>
    <xf numFmtId="0" fontId="27" fillId="0" borderId="1" xfId="0" applyFont="1" applyFill="1" applyBorder="1" applyAlignment="1">
      <alignment horizontal="center" vertical="center" wrapText="1"/>
    </xf>
    <xf numFmtId="0" fontId="8" fillId="0" borderId="0" xfId="11" applyFont="1" applyFill="1" applyBorder="1"/>
    <xf numFmtId="0" fontId="8" fillId="0" borderId="0" xfId="11" applyFont="1"/>
    <xf numFmtId="0" fontId="7" fillId="0" borderId="0" xfId="11" applyFont="1" applyFill="1" applyBorder="1"/>
    <xf numFmtId="0" fontId="27" fillId="0" borderId="1" xfId="0" applyFont="1" applyBorder="1" applyAlignment="1">
      <alignment horizontal="center" vertical="center" wrapText="1"/>
    </xf>
    <xf numFmtId="0" fontId="6" fillId="0" borderId="0" xfId="11" applyFont="1"/>
    <xf numFmtId="0" fontId="5" fillId="0" borderId="0" xfId="11" applyFont="1" applyFill="1" applyBorder="1"/>
    <xf numFmtId="0" fontId="4" fillId="0" borderId="0" xfId="11" applyFont="1" applyFill="1" applyBorder="1"/>
    <xf numFmtId="0" fontId="83" fillId="33" borderId="1" xfId="15" applyFont="1" applyFill="1" applyBorder="1" applyAlignment="1">
      <alignment horizontal="right" vertical="center" wrapText="1"/>
    </xf>
    <xf numFmtId="0" fontId="3" fillId="0" borderId="0" xfId="11" applyFont="1" applyFill="1" applyBorder="1"/>
    <xf numFmtId="2" fontId="27" fillId="0" borderId="1" xfId="0" applyNumberFormat="1" applyFont="1" applyBorder="1" applyAlignment="1">
      <alignment horizontal="center" vertical="center" wrapText="1"/>
    </xf>
    <xf numFmtId="0" fontId="24" fillId="0" borderId="0" xfId="11" applyFill="1"/>
    <xf numFmtId="0" fontId="2" fillId="0" borderId="0" xfId="11" applyFont="1"/>
    <xf numFmtId="0" fontId="2" fillId="0" borderId="0" xfId="11" applyFont="1" applyFill="1" applyBorder="1"/>
    <xf numFmtId="0" fontId="77" fillId="0" borderId="0" xfId="3" applyFont="1" applyAlignment="1" applyProtection="1">
      <alignment horizontal="center" vertical="center" wrapText="1"/>
      <protection locked="0"/>
    </xf>
    <xf numFmtId="0" fontId="27" fillId="0" borderId="0" xfId="3" applyAlignment="1">
      <alignment vertical="center" wrapText="1"/>
    </xf>
    <xf numFmtId="0" fontId="68" fillId="16" borderId="2" xfId="3" applyFont="1" applyFill="1" applyBorder="1" applyAlignment="1" applyProtection="1">
      <alignment horizontal="center" vertical="center" shrinkToFit="1"/>
      <protection locked="0"/>
    </xf>
    <xf numFmtId="0" fontId="68" fillId="16" borderId="0" xfId="3" applyFont="1" applyFill="1" applyAlignment="1" applyProtection="1">
      <alignment horizontal="center" vertical="center" shrinkToFit="1"/>
      <protection locked="0"/>
    </xf>
    <xf numFmtId="0" fontId="68" fillId="16" borderId="3" xfId="3" applyFont="1" applyFill="1" applyBorder="1" applyAlignment="1" applyProtection="1">
      <alignment horizontal="center" vertical="center" shrinkToFit="1"/>
      <protection locked="0"/>
    </xf>
    <xf numFmtId="0" fontId="27" fillId="0" borderId="4" xfId="3" applyBorder="1" applyAlignment="1" applyProtection="1">
      <alignment horizontal="right" vertical="top" wrapText="1" shrinkToFit="1"/>
      <protection locked="0"/>
    </xf>
    <xf numFmtId="0" fontId="27" fillId="0" borderId="5" xfId="3" applyBorder="1" applyAlignment="1" applyProtection="1">
      <alignment horizontal="right" vertical="top" wrapText="1" shrinkToFit="1"/>
      <protection locked="0"/>
    </xf>
    <xf numFmtId="0" fontId="69" fillId="0" borderId="5" xfId="0" applyFont="1" applyBorder="1" applyAlignment="1" applyProtection="1">
      <alignment horizontal="left" vertical="top" wrapText="1" shrinkToFit="1"/>
      <protection locked="0"/>
    </xf>
    <xf numFmtId="0" fontId="69" fillId="0" borderId="6" xfId="0" applyFont="1" applyBorder="1" applyAlignment="1" applyProtection="1">
      <alignment horizontal="left" vertical="top" wrapText="1" shrinkToFit="1"/>
      <protection locked="0"/>
    </xf>
    <xf numFmtId="0" fontId="29" fillId="0" borderId="5" xfId="3" applyFont="1" applyBorder="1" applyAlignment="1" applyProtection="1">
      <alignment horizontal="left" vertical="top" wrapText="1" shrinkToFit="1"/>
      <protection locked="0"/>
    </xf>
    <xf numFmtId="0" fontId="71" fillId="0" borderId="5" xfId="3" applyFont="1" applyBorder="1" applyAlignment="1" applyProtection="1">
      <alignment horizontal="left" vertical="top" shrinkToFit="1"/>
      <protection locked="0"/>
    </xf>
    <xf numFmtId="0" fontId="71" fillId="0" borderId="6" xfId="3" applyFont="1" applyBorder="1" applyAlignment="1" applyProtection="1">
      <alignment horizontal="left" vertical="top" shrinkToFit="1"/>
      <protection locked="0"/>
    </xf>
    <xf numFmtId="0" fontId="68" fillId="16" borderId="7" xfId="3" applyFont="1" applyFill="1" applyBorder="1" applyAlignment="1" applyProtection="1">
      <alignment horizontal="center" vertical="center" shrinkToFit="1"/>
      <protection locked="0"/>
    </xf>
    <xf numFmtId="0" fontId="68" fillId="16" borderId="8" xfId="3" applyFont="1" applyFill="1" applyBorder="1" applyAlignment="1" applyProtection="1">
      <alignment horizontal="center" vertical="center" shrinkToFit="1"/>
      <protection locked="0"/>
    </xf>
    <xf numFmtId="0" fontId="68" fillId="16" borderId="9" xfId="3" applyFont="1" applyFill="1" applyBorder="1" applyAlignment="1" applyProtection="1">
      <alignment horizontal="center" vertical="center" shrinkToFit="1"/>
      <protection locked="0"/>
    </xf>
    <xf numFmtId="0" fontId="27" fillId="0" borderId="4" xfId="3" applyBorder="1" applyAlignment="1" applyProtection="1">
      <alignment horizontal="center" vertical="top" wrapText="1" shrinkToFit="1"/>
      <protection locked="0"/>
    </xf>
    <xf numFmtId="0" fontId="27" fillId="0" borderId="5" xfId="3" applyBorder="1" applyAlignment="1" applyProtection="1">
      <alignment horizontal="center" vertical="top" wrapText="1" shrinkToFit="1"/>
      <protection locked="0"/>
    </xf>
    <xf numFmtId="0" fontId="27" fillId="0" borderId="6" xfId="3" applyBorder="1" applyAlignment="1" applyProtection="1">
      <alignment horizontal="center" vertical="top" wrapText="1" shrinkToFit="1"/>
      <protection locked="0"/>
    </xf>
    <xf numFmtId="0" fontId="68" fillId="16" borderId="8" xfId="3" applyFont="1" applyFill="1" applyBorder="1" applyAlignment="1" applyProtection="1">
      <alignment horizontal="center" vertical="center" wrapText="1"/>
      <protection locked="0"/>
    </xf>
    <xf numFmtId="0" fontId="68" fillId="16" borderId="0" xfId="3" applyFont="1" applyFill="1" applyAlignment="1" applyProtection="1">
      <alignment horizontal="center" vertical="center" wrapText="1"/>
      <protection locked="0"/>
    </xf>
    <xf numFmtId="0" fontId="27" fillId="0" borderId="7" xfId="3" applyBorder="1" applyAlignment="1" applyProtection="1">
      <alignment horizontal="left" vertical="top"/>
      <protection locked="0"/>
    </xf>
    <xf numFmtId="0" fontId="27" fillId="0" borderId="8" xfId="3" applyBorder="1" applyAlignment="1" applyProtection="1">
      <alignment horizontal="left" vertical="top"/>
      <protection locked="0"/>
    </xf>
    <xf numFmtId="0" fontId="27" fillId="0" borderId="9" xfId="3" applyBorder="1" applyAlignment="1" applyProtection="1">
      <alignment horizontal="left" vertical="top"/>
      <protection locked="0"/>
    </xf>
    <xf numFmtId="0" fontId="27" fillId="0" borderId="4" xfId="3" applyBorder="1" applyAlignment="1" applyProtection="1">
      <alignment horizontal="left" vertical="top"/>
      <protection locked="0"/>
    </xf>
    <xf numFmtId="0" fontId="27" fillId="0" borderId="5" xfId="3" applyBorder="1" applyAlignment="1" applyProtection="1">
      <alignment horizontal="left" vertical="top"/>
      <protection locked="0"/>
    </xf>
    <xf numFmtId="0" fontId="27" fillId="0" borderId="6" xfId="3" applyBorder="1" applyAlignment="1" applyProtection="1">
      <alignment horizontal="left" vertical="top"/>
      <protection locked="0"/>
    </xf>
    <xf numFmtId="0" fontId="68" fillId="16" borderId="2" xfId="3" applyFont="1" applyFill="1" applyBorder="1" applyAlignment="1" applyProtection="1">
      <alignment horizontal="center" vertical="center" wrapText="1" shrinkToFit="1"/>
      <protection locked="0"/>
    </xf>
    <xf numFmtId="0" fontId="68" fillId="16" borderId="0" xfId="3" applyFont="1" applyFill="1" applyAlignment="1" applyProtection="1">
      <alignment horizontal="center" vertical="center" wrapText="1" shrinkToFit="1"/>
      <protection locked="0"/>
    </xf>
    <xf numFmtId="0" fontId="87" fillId="25" borderId="14" xfId="12" applyAlignment="1" applyProtection="1">
      <alignment horizontal="center" vertical="center"/>
      <protection locked="0"/>
    </xf>
    <xf numFmtId="0" fontId="32" fillId="0" borderId="7" xfId="3" applyFont="1" applyBorder="1" applyAlignment="1">
      <alignment horizontal="left" vertical="center" wrapText="1"/>
    </xf>
    <xf numFmtId="0" fontId="32" fillId="0" borderId="8" xfId="3" applyFont="1" applyBorder="1" applyAlignment="1">
      <alignment horizontal="left" vertical="center" wrapText="1"/>
    </xf>
    <xf numFmtId="0" fontId="32" fillId="0" borderId="9" xfId="3" applyFont="1" applyBorder="1" applyAlignment="1">
      <alignment horizontal="left" vertical="center" wrapText="1"/>
    </xf>
    <xf numFmtId="0" fontId="32" fillId="0" borderId="7" xfId="3" applyFont="1" applyBorder="1" applyAlignment="1">
      <alignment horizontal="left" vertical="center" shrinkToFit="1"/>
    </xf>
    <xf numFmtId="0" fontId="32" fillId="0" borderId="8" xfId="3" applyFont="1" applyBorder="1" applyAlignment="1">
      <alignment horizontal="left" vertical="center" shrinkToFit="1"/>
    </xf>
    <xf numFmtId="0" fontId="32" fillId="0" borderId="9" xfId="3" applyFont="1" applyBorder="1" applyAlignment="1">
      <alignment horizontal="left" vertical="center" shrinkToFit="1"/>
    </xf>
    <xf numFmtId="0" fontId="66" fillId="0" borderId="4" xfId="0" applyFont="1" applyBorder="1" applyAlignment="1">
      <alignment horizontal="left" vertical="center" shrinkToFit="1"/>
    </xf>
    <xf numFmtId="0" fontId="66" fillId="0" borderId="5" xfId="0" applyFont="1" applyBorder="1" applyAlignment="1">
      <alignment horizontal="left" vertical="center" shrinkToFit="1"/>
    </xf>
    <xf numFmtId="0" fontId="66" fillId="0" borderId="6" xfId="0" applyFont="1" applyBorder="1" applyAlignment="1">
      <alignment horizontal="left" vertical="center" shrinkToFit="1"/>
    </xf>
    <xf numFmtId="0" fontId="66" fillId="0" borderId="4" xfId="3" applyFont="1" applyBorder="1" applyAlignment="1">
      <alignment horizontal="left" vertical="center" shrinkToFit="1"/>
    </xf>
    <xf numFmtId="0" fontId="66" fillId="0" borderId="5" xfId="3" applyFont="1" applyBorder="1" applyAlignment="1">
      <alignment horizontal="left" vertical="center" shrinkToFit="1"/>
    </xf>
    <xf numFmtId="0" fontId="66" fillId="0" borderId="6" xfId="3" applyFont="1" applyBorder="1" applyAlignment="1">
      <alignment horizontal="left" vertical="center" shrinkToFit="1"/>
    </xf>
    <xf numFmtId="0" fontId="108" fillId="0" borderId="4" xfId="0" applyFont="1" applyBorder="1" applyAlignment="1">
      <alignment horizontal="left" vertical="center" shrinkToFit="1"/>
    </xf>
    <xf numFmtId="0" fontId="108" fillId="0" borderId="5" xfId="0" applyFont="1" applyBorder="1" applyAlignment="1">
      <alignment horizontal="left" vertical="center" shrinkToFit="1"/>
    </xf>
    <xf numFmtId="0" fontId="108" fillId="0" borderId="6" xfId="0" applyFont="1" applyBorder="1" applyAlignment="1">
      <alignment horizontal="left" vertical="center" shrinkToFit="1"/>
    </xf>
    <xf numFmtId="49" fontId="27" fillId="0" borderId="10" xfId="3" applyNumberFormat="1" applyBorder="1" applyAlignment="1" applyProtection="1">
      <alignment horizontal="center" vertical="center" wrapText="1"/>
      <protection locked="0"/>
    </xf>
    <xf numFmtId="49" fontId="27" fillId="0" borderId="19" xfId="3" applyNumberFormat="1" applyBorder="1" applyAlignment="1" applyProtection="1">
      <alignment horizontal="center" vertical="center" wrapText="1"/>
      <protection locked="0"/>
    </xf>
    <xf numFmtId="49" fontId="27" fillId="0" borderId="11" xfId="3" applyNumberFormat="1" applyBorder="1" applyAlignment="1" applyProtection="1">
      <alignment horizontal="center" vertical="center" wrapText="1"/>
      <protection locked="0"/>
    </xf>
    <xf numFmtId="0" fontId="27" fillId="0" borderId="10" xfId="3" applyBorder="1" applyAlignment="1">
      <alignment horizontal="left" vertical="center" wrapText="1"/>
    </xf>
    <xf numFmtId="0" fontId="27" fillId="0" borderId="19" xfId="3" applyBorder="1" applyAlignment="1">
      <alignment horizontal="left" vertical="center" wrapText="1"/>
    </xf>
    <xf numFmtId="0" fontId="27" fillId="0" borderId="11" xfId="3" applyBorder="1" applyAlignment="1">
      <alignment horizontal="left" vertical="center" wrapText="1"/>
    </xf>
    <xf numFmtId="0" fontId="60" fillId="0" borderId="10" xfId="2" applyBorder="1" applyAlignment="1">
      <alignment horizontal="left" vertical="center" wrapText="1"/>
    </xf>
    <xf numFmtId="0" fontId="46" fillId="18" borderId="1" xfId="3" applyFont="1" applyFill="1" applyBorder="1" applyAlignment="1" applyProtection="1">
      <alignment horizontal="center" vertical="center" wrapText="1"/>
      <protection locked="0"/>
    </xf>
    <xf numFmtId="0" fontId="83" fillId="20" borderId="1" xfId="3" applyFont="1" applyFill="1" applyBorder="1" applyAlignment="1">
      <alignment horizontal="center" vertical="center" wrapText="1"/>
    </xf>
    <xf numFmtId="49" fontId="27" fillId="0" borderId="1" xfId="3" applyNumberFormat="1" applyBorder="1" applyAlignment="1" applyProtection="1">
      <alignment vertical="center" wrapText="1"/>
      <protection locked="0"/>
    </xf>
    <xf numFmtId="49" fontId="27" fillId="0" borderId="1" xfId="3" applyNumberFormat="1" applyBorder="1" applyAlignment="1" applyProtection="1">
      <alignment horizontal="left" vertical="center" wrapText="1"/>
      <protection locked="0"/>
    </xf>
    <xf numFmtId="0" fontId="27" fillId="0" borderId="1" xfId="3" applyBorder="1" applyAlignment="1">
      <alignment horizontal="left" vertical="center" wrapText="1"/>
    </xf>
    <xf numFmtId="0" fontId="27" fillId="0" borderId="1" xfId="3" applyBorder="1" applyAlignment="1">
      <alignment horizontal="center" vertical="center" wrapText="1"/>
    </xf>
    <xf numFmtId="14" fontId="27" fillId="0" borderId="10" xfId="3" applyNumberFormat="1" applyBorder="1" applyAlignment="1" applyProtection="1">
      <alignment horizontal="left" vertical="center" wrapText="1"/>
      <protection locked="0"/>
    </xf>
    <xf numFmtId="14" fontId="27" fillId="0" borderId="19" xfId="3" applyNumberFormat="1" applyBorder="1" applyAlignment="1" applyProtection="1">
      <alignment horizontal="left" vertical="center" wrapText="1"/>
      <protection locked="0"/>
    </xf>
    <xf numFmtId="14" fontId="27" fillId="0" borderId="11" xfId="3" applyNumberFormat="1" applyBorder="1" applyAlignment="1" applyProtection="1">
      <alignment horizontal="left" vertical="center" wrapText="1"/>
      <protection locked="0"/>
    </xf>
    <xf numFmtId="49" fontId="27" fillId="0" borderId="1" xfId="3" applyNumberFormat="1" applyBorder="1" applyAlignment="1">
      <alignment horizontal="left" vertical="center" wrapText="1"/>
    </xf>
    <xf numFmtId="49" fontId="27" fillId="0" borderId="1" xfId="3" applyNumberFormat="1" applyBorder="1" applyAlignment="1" applyProtection="1">
      <alignment horizontal="center" vertical="center" wrapText="1"/>
      <protection locked="0"/>
    </xf>
    <xf numFmtId="49" fontId="27" fillId="0" borderId="1" xfId="3" applyNumberFormat="1" applyBorder="1" applyAlignment="1">
      <alignment horizontal="center" vertical="center" wrapText="1"/>
    </xf>
    <xf numFmtId="49" fontId="27" fillId="22" borderId="1" xfId="3" applyNumberFormat="1" applyFill="1" applyBorder="1" applyAlignment="1" applyProtection="1">
      <alignment horizontal="center" vertical="center" wrapText="1"/>
      <protection locked="0"/>
    </xf>
    <xf numFmtId="49" fontId="27" fillId="34" borderId="1" xfId="3" applyNumberFormat="1" applyFont="1" applyFill="1" applyBorder="1" applyAlignment="1" applyProtection="1">
      <alignment horizontal="center" vertical="center" wrapText="1"/>
      <protection locked="0"/>
    </xf>
    <xf numFmtId="49" fontId="63" fillId="24" borderId="1" xfId="3" applyNumberFormat="1" applyFont="1" applyFill="1" applyBorder="1" applyAlignment="1" applyProtection="1">
      <alignment horizontal="center" vertical="center" wrapText="1"/>
      <protection locked="0"/>
    </xf>
    <xf numFmtId="0" fontId="32" fillId="17" borderId="7" xfId="3" applyFont="1" applyFill="1" applyBorder="1" applyAlignment="1">
      <alignment horizontal="left" vertical="center" shrinkToFit="1"/>
    </xf>
    <xf numFmtId="0" fontId="32" fillId="17" borderId="8" xfId="3" applyFont="1" applyFill="1" applyBorder="1" applyAlignment="1">
      <alignment horizontal="left" vertical="center" shrinkToFit="1"/>
    </xf>
    <xf numFmtId="0" fontId="32" fillId="17" borderId="9" xfId="3" applyFont="1" applyFill="1" applyBorder="1" applyAlignment="1">
      <alignment horizontal="left" vertical="center" shrinkToFi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27" fillId="18" borderId="1" xfId="3" applyFill="1" applyBorder="1" applyAlignment="1" applyProtection="1">
      <alignment horizontal="center" vertical="center" wrapText="1"/>
      <protection locked="0"/>
    </xf>
    <xf numFmtId="49" fontId="27" fillId="19" borderId="1" xfId="3" applyNumberFormat="1" applyFill="1" applyBorder="1" applyAlignment="1" applyProtection="1">
      <alignment horizontal="center" vertical="center" wrapText="1"/>
      <protection locked="0"/>
    </xf>
    <xf numFmtId="0" fontId="32" fillId="17" borderId="7" xfId="3" applyFont="1" applyFill="1" applyBorder="1" applyAlignment="1">
      <alignment horizontal="left" vertical="center" wrapText="1"/>
    </xf>
    <xf numFmtId="0" fontId="32" fillId="17" borderId="8" xfId="3" applyFont="1" applyFill="1" applyBorder="1" applyAlignment="1">
      <alignment horizontal="left" vertical="center" wrapText="1"/>
    </xf>
    <xf numFmtId="0" fontId="32" fillId="17" borderId="9" xfId="3" applyFont="1" applyFill="1" applyBorder="1" applyAlignment="1">
      <alignment horizontal="left" vertical="center" wrapTex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49" fontId="27" fillId="23" borderId="1" xfId="3" applyNumberFormat="1" applyFill="1" applyBorder="1" applyAlignment="1" applyProtection="1">
      <alignment horizontal="center" vertical="center" wrapText="1"/>
      <protection locked="0"/>
    </xf>
    <xf numFmtId="0" fontId="101" fillId="2" borderId="10" xfId="7" applyFont="1" applyFill="1" applyBorder="1" applyAlignment="1">
      <alignment horizontal="center" vertical="center"/>
    </xf>
    <xf numFmtId="0" fontId="101" fillId="2" borderId="19" xfId="7" applyFont="1" applyFill="1" applyBorder="1" applyAlignment="1">
      <alignment horizontal="center" vertical="center"/>
    </xf>
    <xf numFmtId="0" fontId="101" fillId="2" borderId="11" xfId="7" applyFont="1" applyFill="1" applyBorder="1" applyAlignment="1">
      <alignment horizontal="center" vertical="center"/>
    </xf>
    <xf numFmtId="0" fontId="34" fillId="2" borderId="10" xfId="7" applyFill="1" applyBorder="1" applyAlignment="1">
      <alignment horizontal="justify" vertical="center" wrapText="1"/>
    </xf>
    <xf numFmtId="0" fontId="34" fillId="2" borderId="19" xfId="7" applyFill="1" applyBorder="1" applyAlignment="1">
      <alignment horizontal="justify" vertical="center" wrapText="1"/>
    </xf>
    <xf numFmtId="0" fontId="34" fillId="2" borderId="11" xfId="7" applyFill="1" applyBorder="1" applyAlignment="1">
      <alignment horizontal="justify" vertical="center" wrapText="1"/>
    </xf>
    <xf numFmtId="0" fontId="28" fillId="21" borderId="2" xfId="0" applyFont="1" applyFill="1" applyBorder="1" applyAlignment="1">
      <alignment horizontal="center" vertical="top" textRotation="45"/>
    </xf>
    <xf numFmtId="0" fontId="28" fillId="9" borderId="2" xfId="0" applyFont="1" applyFill="1" applyBorder="1" applyAlignment="1">
      <alignment horizontal="center" vertical="center" textRotation="45"/>
    </xf>
    <xf numFmtId="0" fontId="35" fillId="3" borderId="7" xfId="7" applyFont="1" applyFill="1" applyBorder="1" applyAlignment="1">
      <alignment horizontal="center" vertical="distributed"/>
    </xf>
    <xf numFmtId="0" fontId="35" fillId="3" borderId="8" xfId="7" applyFont="1" applyFill="1" applyBorder="1" applyAlignment="1">
      <alignment horizontal="center" vertical="distributed"/>
    </xf>
    <xf numFmtId="0" fontId="35" fillId="3" borderId="9" xfId="7" applyFont="1" applyFill="1" applyBorder="1" applyAlignment="1">
      <alignment horizontal="center" vertical="distributed"/>
    </xf>
    <xf numFmtId="0" fontId="28" fillId="3" borderId="7" xfId="0" applyFont="1" applyFill="1" applyBorder="1" applyAlignment="1">
      <alignment horizontal="center" wrapText="1"/>
    </xf>
    <xf numFmtId="0" fontId="28" fillId="3" borderId="8" xfId="0" applyFont="1" applyFill="1" applyBorder="1" applyAlignment="1">
      <alignment horizontal="center" wrapText="1"/>
    </xf>
    <xf numFmtId="0" fontId="28" fillId="3" borderId="9" xfId="0" applyFont="1" applyFill="1" applyBorder="1" applyAlignment="1">
      <alignment horizontal="center" wrapText="1"/>
    </xf>
    <xf numFmtId="0" fontId="27" fillId="2" borderId="10" xfId="0" applyFont="1" applyFill="1" applyBorder="1" applyAlignment="1">
      <alignment horizontal="left" vertical="center" wrapText="1" shrinkToFit="1"/>
    </xf>
    <xf numFmtId="0" fontId="27" fillId="2" borderId="11" xfId="0" applyFont="1" applyFill="1" applyBorder="1" applyAlignment="1">
      <alignment horizontal="left" vertical="center" wrapText="1" shrinkToFit="1"/>
    </xf>
    <xf numFmtId="0" fontId="90" fillId="28" borderId="4" xfId="13" applyFont="1" applyFill="1" applyBorder="1" applyAlignment="1" applyProtection="1">
      <alignment horizontal="center" vertical="center" wrapText="1"/>
      <protection locked="0"/>
    </xf>
    <xf numFmtId="0" fontId="90" fillId="28" borderId="5" xfId="13" applyFont="1" applyFill="1" applyBorder="1" applyAlignment="1" applyProtection="1">
      <alignment horizontal="center" vertical="center" wrapText="1"/>
      <protection locked="0"/>
    </xf>
    <xf numFmtId="0" fontId="90" fillId="28" borderId="6" xfId="13" applyFont="1" applyFill="1" applyBorder="1" applyAlignment="1" applyProtection="1">
      <alignment horizontal="center" vertical="center" wrapText="1"/>
      <protection locked="0"/>
    </xf>
    <xf numFmtId="0" fontId="90" fillId="16" borderId="4" xfId="13" applyFont="1" applyFill="1" applyBorder="1" applyAlignment="1" applyProtection="1">
      <alignment horizontal="center" vertical="center" wrapText="1"/>
    </xf>
    <xf numFmtId="0" fontId="90" fillId="16" borderId="5" xfId="13" applyFont="1" applyFill="1" applyBorder="1" applyAlignment="1" applyProtection="1">
      <alignment horizontal="center" vertical="center" wrapText="1"/>
    </xf>
    <xf numFmtId="0" fontId="87" fillId="25" borderId="14" xfId="12" applyAlignment="1">
      <alignment horizontal="left" vertical="center"/>
    </xf>
    <xf numFmtId="0" fontId="37" fillId="8" borderId="5" xfId="0" applyFont="1" applyFill="1" applyBorder="1" applyAlignment="1">
      <alignment horizontal="center" vertical="center"/>
    </xf>
    <xf numFmtId="0" fontId="37" fillId="8" borderId="6" xfId="0" applyFont="1" applyFill="1" applyBorder="1" applyAlignment="1">
      <alignment horizontal="center" vertical="center"/>
    </xf>
    <xf numFmtId="0" fontId="95" fillId="28" borderId="10" xfId="2" applyFont="1" applyFill="1" applyBorder="1" applyAlignment="1" applyProtection="1">
      <alignment horizontal="center" vertical="center" wrapText="1"/>
      <protection locked="0"/>
    </xf>
    <xf numFmtId="0" fontId="95" fillId="28" borderId="11" xfId="2" applyFont="1" applyFill="1" applyBorder="1" applyAlignment="1" applyProtection="1">
      <alignment horizontal="center" vertical="center" wrapText="1"/>
      <protection locked="0"/>
    </xf>
    <xf numFmtId="0" fontId="1" fillId="0" borderId="0" xfId="11" applyFont="1"/>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06">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16</c:v>
                </c:pt>
                <c:pt idx="1">
                  <c:v>1</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2</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2</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6534150</xdr:colOff>
          <xdr:row>117</xdr:row>
          <xdr:rowOff>57150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persons/person.xml><?xml version="1.0" encoding="utf-8"?>
<personList xmlns="http://schemas.microsoft.com/office/spreadsheetml/2018/threadedcomments" xmlns:x="http://schemas.openxmlformats.org/spreadsheetml/2006/main">
  <person displayName="Sue Liu" id="{AAD8775F-29BE-4E36-BA32-F1E128D72632}" userId="S::sue.liu@autoliv.com::ba361916-f96b-4efc-9b86-2df143bc14db" providerId="AD"/>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7" totalsRowShown="0" headerRowDxfId="86" headerRowBorderDxfId="85" tableBorderDxfId="84" headerRowCellStyle="40% - Accent5" dataCellStyle="Normal 4">
  <autoFilter ref="A2:O27"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4" dT="2021-03-10T09:15:28.47" personId="{4410F425-F88D-409E-83B0-3808B2D0FE08}" id="{8699B5DA-7E93-4AB4-B46B-56AC196FA737}">
    <text>From Irina : I think all the checklists whould be listed here. Otherwise the "Content" part doesn`t seem to have a logic.</text>
  </threadedComment>
  <threadedComment ref="G24" dT="2021-04-28T12:30:57.04" personId="{4410F425-F88D-409E-83B0-3808B2D0FE08}" id="{38C1EB5D-340B-4990-B6C0-76AF4F61FFAC}" parentId="{8699B5DA-7E93-4AB4-B46B-56AC196FA737}">
    <text>I wrote something generic to improve.
If you think it is not enough, please improve it because I agree with your comments.
WARNINS : because there is a risk that this field won't match with the checklists because they are automatically generated and I am afraid we won't think to update it after each generation</text>
  </threadedComment>
  <threadedComment ref="L26" dT="2021-03-10T09:16:47.35" personId="{4410F425-F88D-409E-83B0-3808B2D0FE08}" id="{66B6A0BD-4904-4D0A-9946-AA5B2CFB9086}">
    <text>From Irina Voica:
Revision history of the template itself, or this has to be completed on every update on the content of the document? If this is case then a statement regarding "revision history can be seen on the configuration mangement tool used on the project" I have seen the line 27, but i would replaced "templates" with "projects".</text>
  </threadedComment>
  <threadedComment ref="L26" dT="2021-04-28T12:31:50.85" personId="{4410F425-F88D-409E-83B0-3808B2D0FE08}" id="{82E74A2E-F360-4979-84A0-C1E48E54B891}" parentId="{66B6A0BD-4904-4D0A-9946-AA5B2CFB9086}">
    <text>This is the goal of the row 34</text>
  </threadedComment>
  <threadedComment ref="J38" dT="2021-03-10T09:17:24.81" personId="{4410F425-F88D-409E-83B0-3808B2D0FE08}" id="{8C8E8498-5537-4E4F-9E84-B9F1D528F5DF}">
    <text>From Irina Voica:
Do we acualy need this in thee PRWB? The reference document or the document under review is listed in the "review" tab</text>
  </threadedComment>
  <threadedComment ref="J38" dT="2021-04-28T12:32:21.56" personId="{4410F425-F88D-409E-83B0-3808B2D0FE08}" id="{897F3CCB-9348-42DC-942E-CBB29C4CD610}" parentId="{8C8E8498-5537-4E4F-9E84-B9F1D528F5DF}">
    <text>Standard Excel template</text>
  </threadedComment>
  <threadedComment ref="N45" dT="2021-03-10T09:17:24.81" personId="{4410F425-F88D-409E-83B0-3808B2D0FE08}" id="{49381694-40CF-4F90-B6B3-85B44865BCAB}">
    <text>From Irina Voica:
Do we acualy need this in thee PRWB? The reference document or the document under review is listed in the "review" tab</text>
  </threadedComment>
  <threadedComment ref="N45" dT="2021-04-28T12:32:43.82" personId="{4410F425-F88D-409E-83B0-3808B2D0FE08}" id="{432CA626-5E1E-41B2-AEC1-5F6C70AB4D5D}" parentId="{49381694-40CF-4F90-B6B3-85B44865BCAB}">
    <text>Standard Excel template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12" dT="2019-09-30T11:48:45.35" personId="{4410F425-F88D-409E-83B0-3808B2D0FE08}" id="{3BEEE150-CDB7-4B22-8521-FD3CA62DD140}">
    <text>To be reworked</text>
  </threadedComment>
  <threadedComment ref="B12"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B12" dT="2020-07-13T10:26:37.16" personId="{4410F425-F88D-409E-83B0-3808B2D0FE08}" id="{8B53A5B6-028E-4C73-B96D-1A20BBA0980B}" parentId="{3BEEE150-CDB7-4B22-8521-FD3CA62DD140}">
    <text>Updated in accordance with PRO483</text>
  </threadedComment>
  <threadedComment ref="F18"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18" dT="2021-04-28T12:33:53.05" personId="{4410F425-F88D-409E-83B0-3808B2D0FE08}" id="{E707EE7D-82EC-4D12-BD66-E49405DBC3EA}" parentId="{DC9E864A-8115-46A7-BAE5-993490F386FE}">
    <text>I don't understand your comments</text>
  </threadedComment>
  <threadedComment ref="F19" dT="2019-10-24T09:46:59.19" personId="{0C880BA8-B73D-4DFE-83DD-D2EA884542F3}" id="{0180DF6E-9091-4A6F-8AC9-1CBFDA59F091}">
    <text>KGAS_3236 Consumed effort and duration must be documented for all reviews.</text>
  </threadedComment>
  <threadedComment ref="F20" dT="2019-10-24T09:49:11.65" personId="{0C880BA8-B73D-4DFE-83DD-D2EA884542F3}" id="{DDB2772C-7E8E-4A53-898F-3615291C5B30}">
    <text>KGAS_3236 Consumed effort and duration must be documented for all reviews.</text>
  </threadedComment>
  <threadedComment ref="B38" dT="2019-09-30T11:47:04.11" personId="{4410F425-F88D-409E-83B0-3808B2D0FE08}" id="{177D809D-2020-41FD-A436-DB70B6139886}">
    <text>The moderator is missing in this 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I5" dT="2019-10-24T09:46:13.12" personId="{0C880BA8-B73D-4DFE-83DD-D2EA884542F3}" id="{1D1A5DBC-754A-4340-B043-60B3E4FA0FD3}">
    <text>KGAS "For all deviations identified in reviews, severity must be documented (e.g. critical for project, mediocre deviation, minor deviation)."</text>
  </threadedComment>
  <threadedComment ref="I5" dT="2021-04-28T12:17:04.16" personId="{4410F425-F88D-409E-83B0-3808B2D0FE08}" id="{7ABB3B9E-B007-48CD-A7C7-C66923872DA2}" parentId="{1D1A5DBC-754A-4340-B043-60B3E4FA0FD3}">
    <text>Interesting =&gt; To be discussed</text>
  </threadedComment>
  <threadedComment ref="J5" dT="2021-04-25T08:26:49.07" personId="{AAD8775F-29BE-4E36-BA32-F1E128D72632}" id="{9F1E263E-74BA-42AA-9DC1-0CE46D8D4B15}">
    <text>These "fill in colors"for the Row 4, are not consistant with legend defined in sheet "Help"; reviewer will get lost as he/she have to fill many cells fill in  green/blue/pink,etc...</text>
  </threadedComment>
  <threadedComment ref="J5" dT="2021-04-28T12:22:12.19" personId="{4410F425-F88D-409E-83B0-3808B2D0FE08}" id="{295C7353-D43E-423B-A539-A07B5F171ECB}" parentId="{9F1E263E-74BA-42AA-9DC1-0CE46D8D4B15}">
    <text>Correct
In the same time, I wander who should write the priority, actor name and target. For me this is the responsible.
Suggestion to discuss about it</text>
  </threadedComment>
  <threadedComment ref="I6" dT="2019-10-24T09:46:13.12" personId="{0C880BA8-B73D-4DFE-83DD-D2EA884542F3}" id="{B2293DC1-E782-4CFA-8652-A467D7132753}">
    <text>KGAS "For all deviations identified in reviews, severity must be documented (e.g. critical for project, mediocre deviation, minor deviation)."</text>
  </threadedComment>
  <threadedComment ref="I6" dT="2021-04-28T12:17:04.16" personId="{4410F425-F88D-409E-83B0-3808B2D0FE08}" id="{F72E2902-7FF6-47BF-9278-C79B87E4201D}" parentId="{B2293DC1-E782-4CFA-8652-A467D7132753}">
    <text>Interesting =&gt; To be discussed</text>
  </threadedComment>
  <threadedComment ref="J6" dT="2021-04-25T08:26:49.07" personId="{AAD8775F-29BE-4E36-BA32-F1E128D72632}" id="{2142051D-34BB-4812-A75B-3AAE49C7867C}">
    <text>These "fill in colors"for the Row 4, are not consistant with legend defined in sheet "Help"; reviewer will get lost as he/she have to fill many cells fill in  green/blue/pink,etc...</text>
  </threadedComment>
  <threadedComment ref="J6" dT="2021-04-28T12:22:12.19" personId="{4410F425-F88D-409E-83B0-3808B2D0FE08}" id="{74785A5A-B924-4DC8-86AF-0D0B89C98E9D}" parentId="{2142051D-34BB-4812-A75B-3AAE49C7867C}">
    <text>Correct
In the same time, I wander who should write the priority, actor name and target. For me this is the responsible.
Suggestion to discuss about it</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10" zoomScale="130" zoomScaleNormal="130" workbookViewId="0">
      <selection activeCell="E7" sqref="E7:V7"/>
    </sheetView>
  </sheetViews>
  <sheetFormatPr defaultColWidth="0" defaultRowHeight="12.75" customHeight="1" zeroHeight="1"/>
  <cols>
    <col min="1" max="3" width="2.7109375" style="109" customWidth="1"/>
    <col min="4" max="4" width="3.42578125" style="109" customWidth="1"/>
    <col min="5" max="33" width="2.7109375" style="109" customWidth="1"/>
    <col min="34" max="34" width="1.42578125" style="109" customWidth="1"/>
    <col min="35" max="60" width="3.42578125" style="109" hidden="1" customWidth="1"/>
    <col min="61" max="16384" width="0" style="109" hidden="1"/>
  </cols>
  <sheetData>
    <row r="1" spans="1:37" s="99" customFormat="1">
      <c r="C1" s="100"/>
      <c r="D1" s="100"/>
      <c r="E1" s="100"/>
      <c r="F1" s="100"/>
      <c r="G1" s="101"/>
      <c r="H1" s="102"/>
      <c r="I1" s="102"/>
      <c r="J1" s="102"/>
      <c r="K1" s="102"/>
      <c r="L1" s="102"/>
      <c r="M1" s="102"/>
      <c r="N1" s="102"/>
      <c r="O1" s="102"/>
      <c r="P1" s="103"/>
      <c r="Q1" s="103"/>
      <c r="R1" s="103"/>
      <c r="S1" s="103"/>
      <c r="T1" s="103"/>
      <c r="U1" s="103"/>
      <c r="V1" s="103"/>
      <c r="W1" s="103"/>
      <c r="X1" s="103"/>
      <c r="Y1" s="103"/>
      <c r="Z1" s="103"/>
      <c r="AA1" s="103"/>
      <c r="AB1" s="103"/>
      <c r="AC1" s="103"/>
      <c r="AD1" s="103"/>
      <c r="AE1" s="103"/>
      <c r="AF1" s="103"/>
      <c r="AG1" s="103"/>
      <c r="AH1" s="103"/>
      <c r="AI1" s="103"/>
      <c r="AJ1" s="103"/>
      <c r="AK1" s="103"/>
    </row>
    <row r="2" spans="1:37" s="99" customFormat="1"/>
    <row r="3" spans="1:37" s="99" customFormat="1">
      <c r="AD3" s="104" t="s">
        <v>405</v>
      </c>
    </row>
    <row r="4" spans="1:37" s="99" customFormat="1" ht="11.1" customHeight="1">
      <c r="A4" s="246" t="s">
        <v>5</v>
      </c>
      <c r="B4" s="247"/>
      <c r="C4" s="247"/>
      <c r="D4" s="247"/>
      <c r="E4" s="247"/>
      <c r="F4" s="247"/>
      <c r="G4" s="247"/>
      <c r="H4" s="247"/>
      <c r="I4" s="247"/>
      <c r="J4" s="247"/>
      <c r="K4" s="247"/>
      <c r="L4" s="247"/>
      <c r="M4" s="247"/>
      <c r="N4" s="247"/>
      <c r="O4" s="247"/>
      <c r="P4" s="247"/>
      <c r="Q4" s="248"/>
      <c r="R4" s="243" t="s">
        <v>12</v>
      </c>
      <c r="S4" s="244"/>
      <c r="T4" s="244"/>
      <c r="U4" s="244"/>
      <c r="V4" s="245"/>
      <c r="W4" s="243" t="s">
        <v>6</v>
      </c>
      <c r="X4" s="244"/>
      <c r="Y4" s="244"/>
      <c r="Z4" s="244"/>
      <c r="AA4" s="245"/>
      <c r="AB4" s="246" t="s">
        <v>137</v>
      </c>
      <c r="AC4" s="247"/>
      <c r="AD4" s="247"/>
      <c r="AE4" s="247"/>
      <c r="AF4" s="247"/>
      <c r="AG4" s="248"/>
      <c r="AH4" s="105"/>
      <c r="AI4" s="105"/>
      <c r="AJ4" s="105"/>
    </row>
    <row r="5" spans="1:37" s="106" customFormat="1" ht="12.75" customHeight="1">
      <c r="A5" s="249" t="str">
        <f ca="1" xml:space="preserve"> IFERROR(IF(alvDocProperty("MXAuthority")="","Process and method",alvDocProperty("MXAuthority")),"254888 DAIMLER MER W174W178 EL SB ECU")</f>
        <v>254888 DAIMLER MER W174W178 EL SB ECU</v>
      </c>
      <c r="B5" s="250"/>
      <c r="C5" s="250"/>
      <c r="D5" s="250"/>
      <c r="E5" s="250"/>
      <c r="F5" s="250"/>
      <c r="G5" s="250"/>
      <c r="H5" s="250"/>
      <c r="I5" s="250"/>
      <c r="J5" s="250"/>
      <c r="K5" s="250"/>
      <c r="L5" s="250"/>
      <c r="M5" s="250"/>
      <c r="N5" s="250"/>
      <c r="O5" s="250"/>
      <c r="P5" s="250"/>
      <c r="Q5" s="251"/>
      <c r="R5" s="249" t="s">
        <v>138</v>
      </c>
      <c r="S5" s="250"/>
      <c r="T5" s="250"/>
      <c r="U5" s="250"/>
      <c r="V5" s="251"/>
      <c r="W5" s="255" t="s">
        <v>402</v>
      </c>
      <c r="X5" s="256"/>
      <c r="Y5" s="256"/>
      <c r="Z5" s="256"/>
      <c r="AA5" s="257"/>
      <c r="AB5" s="249" t="str">
        <f ca="1" xml:space="preserve"> IFERROR(IF(alvDocProperty("MXActual_state_Released")="","2021-10",alvDocProperty("MXActual_state_Released")),"2021-10")</f>
        <v>2021-10</v>
      </c>
      <c r="AC5" s="250"/>
      <c r="AD5" s="250"/>
      <c r="AE5" s="250"/>
      <c r="AF5" s="250"/>
      <c r="AG5" s="251"/>
    </row>
    <row r="6" spans="1:37" s="99" customFormat="1" ht="11.1" customHeight="1">
      <c r="A6" s="243" t="s">
        <v>7</v>
      </c>
      <c r="B6" s="244"/>
      <c r="C6" s="244"/>
      <c r="D6" s="245"/>
      <c r="E6" s="243" t="s">
        <v>8</v>
      </c>
      <c r="F6" s="244"/>
      <c r="G6" s="244"/>
      <c r="H6" s="244"/>
      <c r="I6" s="244"/>
      <c r="J6" s="244"/>
      <c r="K6" s="244"/>
      <c r="L6" s="244"/>
      <c r="M6" s="244"/>
      <c r="N6" s="244"/>
      <c r="O6" s="244"/>
      <c r="P6" s="244"/>
      <c r="Q6" s="244"/>
      <c r="R6" s="244"/>
      <c r="S6" s="244"/>
      <c r="T6" s="244"/>
      <c r="U6" s="244"/>
      <c r="V6" s="245"/>
      <c r="W6" s="246" t="s">
        <v>10</v>
      </c>
      <c r="X6" s="247"/>
      <c r="Y6" s="247"/>
      <c r="Z6" s="247"/>
      <c r="AA6" s="248"/>
      <c r="AB6" s="243" t="s">
        <v>34</v>
      </c>
      <c r="AC6" s="244"/>
      <c r="AD6" s="245"/>
      <c r="AE6" s="243" t="s">
        <v>9</v>
      </c>
      <c r="AF6" s="244"/>
      <c r="AG6" s="245"/>
    </row>
    <row r="7" spans="1:37" s="106" customFormat="1" ht="12.75" customHeight="1">
      <c r="A7" s="249" t="s">
        <v>11</v>
      </c>
      <c r="B7" s="250"/>
      <c r="C7" s="250"/>
      <c r="D7" s="251"/>
      <c r="E7" s="249" t="str">
        <f ca="1" xml:space="preserve"> IFERROR(IF(alvDocProperty("MXTitle")="","Peer Review Workbook (PRWB)",alvDocProperty("MXTitle")),"DIA - Peer Review Workbook (PRWB)")</f>
        <v>DIA - Peer Review Workbook (PRWB)</v>
      </c>
      <c r="F7" s="250"/>
      <c r="G7" s="250"/>
      <c r="H7" s="250"/>
      <c r="I7" s="250"/>
      <c r="J7" s="250"/>
      <c r="K7" s="250"/>
      <c r="L7" s="250"/>
      <c r="M7" s="250"/>
      <c r="N7" s="250"/>
      <c r="O7" s="250"/>
      <c r="P7" s="250"/>
      <c r="Q7" s="250"/>
      <c r="R7" s="250"/>
      <c r="S7" s="250"/>
      <c r="T7" s="250"/>
      <c r="U7" s="250"/>
      <c r="V7" s="251"/>
      <c r="W7" s="252" t="str">
        <f ca="1" xml:space="preserve"> IFERROR(IF(alvDocProperty("MXDocTemplate_Name")="","AEF1007",alvDocProperty("MXDocTemplate_Name")),"AEF1007")</f>
        <v>AEF1007</v>
      </c>
      <c r="X7" s="253"/>
      <c r="Y7" s="253"/>
      <c r="Z7" s="253"/>
      <c r="AA7" s="254"/>
      <c r="AB7" s="249" t="str">
        <f ca="1" xml:space="preserve"> IFERROR(IF(alvDocProperty("MXRevision")="","TBD",alvDocProperty("MXRevision")),"1.1")</f>
        <v>1.1</v>
      </c>
      <c r="AC7" s="250"/>
      <c r="AD7" s="251"/>
      <c r="AE7" s="249" t="str">
        <f ca="1" xml:space="preserve"> IFERROR(IF(alvDocProperty("MXVersion")="","TBD",alvDocProperty("MXVersion")),"1")</f>
        <v>1</v>
      </c>
      <c r="AF7" s="250"/>
      <c r="AG7" s="251"/>
    </row>
    <row r="8" spans="1:37" s="106" customFormat="1">
      <c r="A8" s="107"/>
      <c r="B8" s="107"/>
      <c r="C8" s="107"/>
      <c r="D8" s="107"/>
      <c r="E8" s="107"/>
      <c r="F8" s="107"/>
      <c r="G8" s="107"/>
      <c r="H8" s="107"/>
      <c r="I8" s="107"/>
      <c r="J8" s="107"/>
      <c r="K8" s="107"/>
      <c r="L8" s="107"/>
      <c r="M8" s="107"/>
      <c r="N8" s="107"/>
      <c r="O8" s="107"/>
      <c r="P8" s="107"/>
      <c r="Q8" s="107"/>
      <c r="R8" s="107"/>
      <c r="S8" s="107"/>
      <c r="T8" s="107"/>
      <c r="U8" s="107"/>
      <c r="V8" s="107"/>
      <c r="W8" s="108"/>
      <c r="X8" s="108"/>
      <c r="Y8" s="108"/>
      <c r="Z8" s="108"/>
      <c r="AA8" s="108"/>
      <c r="AB8" s="107"/>
      <c r="AC8" s="107"/>
      <c r="AD8" s="107"/>
      <c r="AE8" s="107"/>
      <c r="AF8" s="107"/>
      <c r="AG8" s="107"/>
    </row>
    <row r="9" spans="1:37" ht="11.1" customHeight="1">
      <c r="A9" s="216" t="s">
        <v>61</v>
      </c>
      <c r="B9" s="217"/>
      <c r="C9" s="217"/>
      <c r="D9" s="217"/>
      <c r="E9" s="217"/>
      <c r="F9" s="217"/>
      <c r="G9" s="217"/>
      <c r="H9" s="217"/>
      <c r="I9" s="217"/>
      <c r="J9" s="217"/>
      <c r="K9" s="218"/>
      <c r="L9" s="216" t="s">
        <v>12</v>
      </c>
      <c r="M9" s="217"/>
      <c r="N9" s="217"/>
      <c r="O9" s="217"/>
      <c r="P9" s="217"/>
      <c r="Q9" s="217"/>
      <c r="R9" s="217"/>
      <c r="S9" s="217"/>
      <c r="T9" s="217"/>
      <c r="U9" s="217"/>
      <c r="V9" s="218"/>
      <c r="W9" s="216" t="s">
        <v>17</v>
      </c>
      <c r="X9" s="217"/>
      <c r="Y9" s="217"/>
      <c r="Z9" s="217"/>
      <c r="AA9" s="217"/>
      <c r="AB9" s="217"/>
      <c r="AC9" s="217"/>
      <c r="AD9" s="217"/>
      <c r="AE9" s="217"/>
      <c r="AF9" s="217"/>
      <c r="AG9" s="218"/>
    </row>
    <row r="10" spans="1:37" s="110" customFormat="1" ht="39" customHeight="1">
      <c r="A10" s="219" t="s">
        <v>139</v>
      </c>
      <c r="B10" s="220"/>
      <c r="C10" s="220"/>
      <c r="D10" s="220"/>
      <c r="E10" s="220"/>
      <c r="F10" s="221" t="s">
        <v>403</v>
      </c>
      <c r="G10" s="221"/>
      <c r="H10" s="221"/>
      <c r="I10" s="221"/>
      <c r="J10" s="221"/>
      <c r="K10" s="222"/>
      <c r="L10" s="223" t="s">
        <v>140</v>
      </c>
      <c r="M10" s="224"/>
      <c r="N10" s="224"/>
      <c r="O10" s="224"/>
      <c r="P10" s="224"/>
      <c r="Q10" s="224"/>
      <c r="R10" s="224"/>
      <c r="S10" s="224"/>
      <c r="T10" s="224"/>
      <c r="U10" s="224"/>
      <c r="V10" s="225"/>
      <c r="W10" s="223" t="s">
        <v>140</v>
      </c>
      <c r="X10" s="224"/>
      <c r="Y10" s="224"/>
      <c r="Z10" s="224"/>
      <c r="AA10" s="224"/>
      <c r="AB10" s="224"/>
      <c r="AC10" s="224"/>
      <c r="AD10" s="224"/>
      <c r="AE10" s="224"/>
      <c r="AF10" s="224"/>
      <c r="AG10" s="225"/>
    </row>
    <row r="11" spans="1:37" s="110" customFormat="1" ht="4.5" customHeight="1">
      <c r="A11" s="111"/>
      <c r="B11" s="112"/>
      <c r="C11" s="112"/>
      <c r="D11" s="112"/>
      <c r="E11" s="112"/>
      <c r="F11" s="112"/>
      <c r="G11" s="112"/>
      <c r="H11" s="112"/>
      <c r="I11" s="112"/>
      <c r="J11" s="112"/>
      <c r="K11" s="112"/>
      <c r="L11" s="113"/>
      <c r="M11" s="112"/>
      <c r="N11" s="112"/>
      <c r="O11" s="112"/>
      <c r="P11" s="112"/>
      <c r="Q11" s="112"/>
      <c r="R11" s="112"/>
      <c r="S11" s="112"/>
      <c r="T11" s="112"/>
      <c r="U11" s="112"/>
      <c r="V11" s="112"/>
      <c r="W11" s="113"/>
      <c r="X11" s="112"/>
      <c r="Y11" s="112"/>
      <c r="Z11" s="112"/>
      <c r="AA11" s="112"/>
      <c r="AB11" s="112"/>
      <c r="AC11" s="112"/>
      <c r="AD11" s="112"/>
      <c r="AE11" s="112"/>
      <c r="AF11" s="112"/>
      <c r="AG11" s="114"/>
    </row>
    <row r="12" spans="1:37" ht="11.1" customHeight="1">
      <c r="A12" s="226" t="s">
        <v>141</v>
      </c>
      <c r="B12" s="227"/>
      <c r="C12" s="227"/>
      <c r="D12" s="227"/>
      <c r="E12" s="227"/>
      <c r="F12" s="227"/>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8"/>
    </row>
    <row r="13" spans="1:37" s="110" customFormat="1" ht="28.5" customHeight="1">
      <c r="A13" s="229" t="s">
        <v>142</v>
      </c>
      <c r="B13" s="230"/>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1"/>
    </row>
    <row r="14" spans="1:37" s="110" customFormat="1" ht="4.5" customHeight="1">
      <c r="A14" s="113"/>
      <c r="B14" s="112"/>
      <c r="C14" s="112"/>
      <c r="D14" s="112"/>
      <c r="E14" s="112"/>
      <c r="F14" s="112"/>
      <c r="G14" s="112"/>
      <c r="H14" s="112"/>
      <c r="I14" s="112"/>
      <c r="J14" s="112"/>
      <c r="K14" s="112"/>
      <c r="L14" s="113"/>
      <c r="M14" s="112"/>
      <c r="N14" s="112"/>
      <c r="O14" s="112"/>
      <c r="P14" s="112"/>
      <c r="Q14" s="112"/>
      <c r="R14" s="112"/>
      <c r="S14" s="112"/>
      <c r="T14" s="112"/>
      <c r="U14" s="112"/>
      <c r="V14" s="112"/>
      <c r="W14" s="113"/>
      <c r="X14" s="112"/>
      <c r="Y14" s="112"/>
      <c r="Z14" s="112"/>
      <c r="AA14" s="112"/>
      <c r="AB14" s="112"/>
      <c r="AC14" s="112"/>
      <c r="AD14" s="112"/>
      <c r="AE14" s="112"/>
      <c r="AF14" s="112"/>
      <c r="AG14" s="112"/>
    </row>
    <row r="15" spans="1:37" ht="37.5" customHeight="1">
      <c r="A15" s="232" t="s">
        <v>143</v>
      </c>
      <c r="B15" s="232"/>
      <c r="C15" s="232"/>
      <c r="D15" s="232"/>
      <c r="E15" s="234"/>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6"/>
    </row>
    <row r="16" spans="1:37" ht="37.5" customHeight="1">
      <c r="A16" s="233"/>
      <c r="B16" s="233"/>
      <c r="C16" s="233"/>
      <c r="D16" s="233"/>
      <c r="E16" s="237"/>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9"/>
    </row>
    <row r="17" spans="1:33">
      <c r="A17" s="115"/>
    </row>
    <row r="18" spans="1:33" ht="26.25" customHeight="1">
      <c r="A18" s="240" t="s">
        <v>400</v>
      </c>
      <c r="B18" s="241"/>
      <c r="C18" s="241"/>
      <c r="D18" s="241"/>
      <c r="E18" s="242" t="s">
        <v>399</v>
      </c>
      <c r="F18" s="242"/>
      <c r="G18" s="242"/>
      <c r="H18" s="242"/>
      <c r="I18" s="242"/>
      <c r="J18" s="242"/>
      <c r="K18" s="242"/>
      <c r="L18" s="242"/>
      <c r="M18" s="242"/>
      <c r="N18" s="242"/>
      <c r="O18" s="242"/>
      <c r="P18" s="242"/>
    </row>
    <row r="19" spans="1:33"/>
    <row r="20" spans="1:33"/>
    <row r="21" spans="1:33" ht="15.75" customHeight="1">
      <c r="Q21" s="116"/>
    </row>
    <row r="22" spans="1:33" ht="12" customHeight="1">
      <c r="Q22" s="116"/>
    </row>
    <row r="23" spans="1:33" ht="60" customHeight="1">
      <c r="A23" s="214" t="str">
        <f ca="1">MXTitle</f>
        <v>DIA - Peer Review Workbook (PRWB)</v>
      </c>
      <c r="B23" s="215"/>
      <c r="C23" s="21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row>
    <row r="24" spans="1:33" ht="25.5">
      <c r="Q24" s="116"/>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4" type="noConversion"/>
  <conditionalFormatting sqref="W5">
    <cfRule type="cellIs" dxfId="105" priority="19" operator="equal">
      <formula>"draft"</formula>
    </cfRule>
  </conditionalFormatting>
  <conditionalFormatting sqref="W5:AA5">
    <cfRule type="cellIs" dxfId="104" priority="1" operator="equal">
      <formula>"In-Work"</formula>
    </cfRule>
    <cfRule type="cellIs" dxfId="103" priority="2" stopIfTrue="1" operator="equal">
      <formula>"draft"</formula>
    </cfRule>
    <cfRule type="cellIs" dxfId="102" priority="3" operator="equal">
      <formula>"In-Work"</formula>
    </cfRule>
    <cfRule type="cellIs" dxfId="101" priority="4" stopIfTrue="1" operator="equal">
      <formula>"draft"</formula>
    </cfRule>
    <cfRule type="cellIs" dxfId="100" priority="5" operator="equal">
      <formula>"In-Work"</formula>
    </cfRule>
    <cfRule type="cellIs" dxfId="99" priority="6" stopIfTrue="1" operator="equal">
      <formula>"draft"</formula>
    </cfRule>
    <cfRule type="cellIs" dxfId="98" priority="7" operator="equal">
      <formula>"In-Work"</formula>
    </cfRule>
    <cfRule type="cellIs" dxfId="97" priority="8" stopIfTrue="1" operator="equal">
      <formula>"draft"</formula>
    </cfRule>
    <cfRule type="cellIs" dxfId="96" priority="9" operator="equal">
      <formula>"In-Work"</formula>
    </cfRule>
    <cfRule type="cellIs" dxfId="95" priority="10" stopIfTrue="1" operator="equal">
      <formula>"draft"</formula>
    </cfRule>
    <cfRule type="cellIs" dxfId="94" priority="11" operator="equal">
      <formula>"In-Work"</formula>
    </cfRule>
    <cfRule type="cellIs" dxfId="93" priority="12" stopIfTrue="1" operator="equal">
      <formula>"draft"</formula>
    </cfRule>
    <cfRule type="cellIs" dxfId="92" priority="13" operator="equal">
      <formula>"In-Work"</formula>
    </cfRule>
    <cfRule type="cellIs" dxfId="91" priority="14" stopIfTrue="1" operator="equal">
      <formula>"draft"</formula>
    </cfRule>
    <cfRule type="cellIs" dxfId="90" priority="15" operator="equal">
      <formula>"In-Work"</formula>
    </cfRule>
    <cfRule type="cellIs" dxfId="89" priority="16" stopIfTrue="1" operator="equal">
      <formula>"draft"</formula>
    </cfRule>
    <cfRule type="cellIs" dxfId="88" priority="17" operator="equal">
      <formula>"In-Work"</formula>
    </cfRule>
    <cfRule type="cellIs" dxfId="87" priority="18"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abSelected="1" zoomScaleNormal="100" workbookViewId="0">
      <selection activeCell="AI12" sqref="AI12"/>
    </sheetView>
  </sheetViews>
  <sheetFormatPr defaultColWidth="9.28515625" defaultRowHeight="15"/>
  <cols>
    <col min="1" max="34" width="2.7109375" style="117" customWidth="1"/>
    <col min="35" max="35" width="9.28515625" style="117"/>
    <col min="36" max="36" width="22" style="117" customWidth="1"/>
    <col min="37" max="16384" width="9.28515625" style="117"/>
  </cols>
  <sheetData>
    <row r="1" spans="1:34">
      <c r="A1" s="99"/>
      <c r="B1" s="99"/>
      <c r="C1" s="100"/>
      <c r="D1" s="100"/>
      <c r="E1" s="100"/>
      <c r="F1" s="100"/>
      <c r="G1" s="101"/>
      <c r="H1" s="102"/>
      <c r="I1" s="102"/>
      <c r="J1" s="102"/>
      <c r="K1" s="102"/>
      <c r="L1" s="102"/>
      <c r="M1" s="102"/>
      <c r="N1" s="102"/>
      <c r="O1" s="102"/>
      <c r="P1" s="103"/>
      <c r="Q1" s="103"/>
      <c r="R1" s="103"/>
      <c r="S1" s="103"/>
      <c r="T1" s="103"/>
      <c r="U1" s="103"/>
      <c r="V1" s="103"/>
      <c r="W1" s="103"/>
      <c r="X1" s="103"/>
      <c r="Y1" s="103"/>
      <c r="Z1" s="103"/>
      <c r="AA1" s="103"/>
      <c r="AB1" s="103"/>
      <c r="AC1" s="103"/>
      <c r="AD1" s="103"/>
      <c r="AE1" s="103"/>
      <c r="AF1" s="103"/>
      <c r="AG1" s="103"/>
      <c r="AH1" s="103"/>
    </row>
    <row r="2" spans="1:34">
      <c r="A2" s="99"/>
      <c r="B2" s="99"/>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row>
    <row r="3" spans="1:34">
      <c r="A3" s="99"/>
      <c r="B3" s="99"/>
      <c r="C3" s="99"/>
      <c r="D3" s="99"/>
      <c r="E3" s="99"/>
      <c r="F3" s="99"/>
      <c r="G3" s="99"/>
      <c r="H3" s="99"/>
      <c r="I3" s="99"/>
      <c r="J3" s="99"/>
      <c r="K3" s="99"/>
      <c r="L3" s="99"/>
      <c r="M3" s="99"/>
      <c r="N3" s="99"/>
      <c r="O3" s="99"/>
      <c r="P3" s="99"/>
      <c r="Q3" s="99"/>
      <c r="R3" s="99"/>
      <c r="S3" s="99"/>
      <c r="T3" s="99"/>
      <c r="U3" s="99"/>
      <c r="V3" s="99"/>
      <c r="W3" s="99"/>
      <c r="X3" s="99"/>
      <c r="Y3" s="99"/>
      <c r="Z3" s="99"/>
      <c r="AA3" s="99"/>
      <c r="AB3" s="99"/>
      <c r="AC3" s="99"/>
      <c r="AD3" s="118" t="str">
        <f>FileName</f>
        <v>RCM - Peer Review Workbook (PRWB).xlsm</v>
      </c>
      <c r="AE3" s="99"/>
      <c r="AF3" s="99"/>
      <c r="AG3" s="99"/>
      <c r="AH3" s="99"/>
    </row>
    <row r="4" spans="1:34">
      <c r="A4" s="246" t="s">
        <v>5</v>
      </c>
      <c r="B4" s="247"/>
      <c r="C4" s="247"/>
      <c r="D4" s="247"/>
      <c r="E4" s="247"/>
      <c r="F4" s="247"/>
      <c r="G4" s="247"/>
      <c r="H4" s="247"/>
      <c r="I4" s="247"/>
      <c r="J4" s="247"/>
      <c r="K4" s="247"/>
      <c r="L4" s="247"/>
      <c r="M4" s="247"/>
      <c r="N4" s="247"/>
      <c r="O4" s="247"/>
      <c r="P4" s="247"/>
      <c r="Q4" s="247"/>
      <c r="R4" s="247"/>
      <c r="S4" s="247"/>
      <c r="T4" s="247"/>
      <c r="U4" s="247"/>
      <c r="V4" s="248"/>
      <c r="W4" s="288" t="s">
        <v>6</v>
      </c>
      <c r="X4" s="289"/>
      <c r="Y4" s="289"/>
      <c r="Z4" s="289"/>
      <c r="AA4" s="290"/>
      <c r="AB4" s="246" t="s">
        <v>137</v>
      </c>
      <c r="AC4" s="247"/>
      <c r="AD4" s="247"/>
      <c r="AE4" s="247"/>
      <c r="AF4" s="247"/>
      <c r="AG4" s="248"/>
      <c r="AH4" s="105"/>
    </row>
    <row r="5" spans="1:34">
      <c r="A5" s="252" t="s">
        <v>214</v>
      </c>
      <c r="B5" s="253"/>
      <c r="C5" s="253"/>
      <c r="D5" s="253"/>
      <c r="E5" s="253"/>
      <c r="F5" s="253"/>
      <c r="G5" s="253"/>
      <c r="H5" s="253"/>
      <c r="I5" s="253"/>
      <c r="J5" s="253"/>
      <c r="K5" s="253"/>
      <c r="L5" s="253"/>
      <c r="M5" s="253"/>
      <c r="N5" s="253"/>
      <c r="O5" s="253"/>
      <c r="P5" s="253"/>
      <c r="Q5" s="253"/>
      <c r="R5" s="253"/>
      <c r="S5" s="253"/>
      <c r="T5" s="253"/>
      <c r="U5" s="253"/>
      <c r="V5" s="254"/>
      <c r="W5" s="291" t="s">
        <v>213</v>
      </c>
      <c r="X5" s="292"/>
      <c r="Y5" s="292"/>
      <c r="Z5" s="292"/>
      <c r="AA5" s="293"/>
      <c r="AB5" s="252" t="s">
        <v>212</v>
      </c>
      <c r="AC5" s="253"/>
      <c r="AD5" s="253"/>
      <c r="AE5" s="253"/>
      <c r="AF5" s="253"/>
      <c r="AG5" s="254"/>
      <c r="AH5" s="106"/>
    </row>
    <row r="6" spans="1:34">
      <c r="A6" s="280" t="s">
        <v>7</v>
      </c>
      <c r="B6" s="281"/>
      <c r="C6" s="281"/>
      <c r="D6" s="282"/>
      <c r="E6" s="280" t="s">
        <v>8</v>
      </c>
      <c r="F6" s="281"/>
      <c r="G6" s="281"/>
      <c r="H6" s="281"/>
      <c r="I6" s="281"/>
      <c r="J6" s="281"/>
      <c r="K6" s="281"/>
      <c r="L6" s="281"/>
      <c r="M6" s="281"/>
      <c r="N6" s="281"/>
      <c r="O6" s="281"/>
      <c r="P6" s="281"/>
      <c r="Q6" s="281"/>
      <c r="R6" s="281"/>
      <c r="S6" s="281"/>
      <c r="T6" s="281"/>
      <c r="U6" s="281"/>
      <c r="V6" s="282"/>
      <c r="W6" s="246" t="s">
        <v>10</v>
      </c>
      <c r="X6" s="247"/>
      <c r="Y6" s="247"/>
      <c r="Z6" s="247"/>
      <c r="AA6" s="248"/>
      <c r="AB6" s="288" t="s">
        <v>34</v>
      </c>
      <c r="AC6" s="289"/>
      <c r="AD6" s="290"/>
      <c r="AE6" s="288" t="s">
        <v>9</v>
      </c>
      <c r="AF6" s="289"/>
      <c r="AG6" s="290"/>
      <c r="AH6" s="99"/>
    </row>
    <row r="7" spans="1:34">
      <c r="A7" s="291" t="s">
        <v>211</v>
      </c>
      <c r="B7" s="292"/>
      <c r="C7" s="292"/>
      <c r="D7" s="293"/>
      <c r="E7" s="291" t="s">
        <v>216</v>
      </c>
      <c r="F7" s="292"/>
      <c r="G7" s="292"/>
      <c r="H7" s="292"/>
      <c r="I7" s="292"/>
      <c r="J7" s="292"/>
      <c r="K7" s="292"/>
      <c r="L7" s="292"/>
      <c r="M7" s="292"/>
      <c r="N7" s="292"/>
      <c r="O7" s="292"/>
      <c r="P7" s="292"/>
      <c r="Q7" s="292"/>
      <c r="R7" s="292"/>
      <c r="S7" s="292"/>
      <c r="T7" s="292"/>
      <c r="U7" s="292"/>
      <c r="V7" s="293"/>
      <c r="W7" s="291" t="str">
        <f ca="1">TemplateRef</f>
        <v>AEF1007</v>
      </c>
      <c r="X7" s="292"/>
      <c r="Y7" s="292"/>
      <c r="Z7" s="292"/>
      <c r="AA7" s="293"/>
      <c r="AB7" s="291" t="s">
        <v>215</v>
      </c>
      <c r="AC7" s="292"/>
      <c r="AD7" s="293"/>
      <c r="AE7" s="291" t="s">
        <v>215</v>
      </c>
      <c r="AF7" s="292"/>
      <c r="AG7" s="293"/>
      <c r="AH7" s="106"/>
    </row>
    <row r="8" spans="1:34">
      <c r="A8" s="280" t="s">
        <v>144</v>
      </c>
      <c r="B8" s="281"/>
      <c r="C8" s="281"/>
      <c r="D8" s="281"/>
      <c r="E8" s="281"/>
      <c r="F8" s="281"/>
      <c r="G8" s="281"/>
      <c r="H8" s="281"/>
      <c r="I8" s="281"/>
      <c r="J8" s="281"/>
      <c r="K8" s="281"/>
      <c r="L8" s="281"/>
      <c r="M8" s="281"/>
      <c r="N8" s="281"/>
      <c r="O8" s="281"/>
      <c r="P8" s="281"/>
      <c r="Q8" s="281"/>
      <c r="R8" s="281"/>
      <c r="S8" s="281"/>
      <c r="T8" s="281"/>
      <c r="U8" s="281"/>
      <c r="V8" s="281"/>
      <c r="W8" s="281"/>
      <c r="X8" s="281"/>
      <c r="Y8" s="281"/>
      <c r="Z8" s="281"/>
      <c r="AA8" s="281"/>
      <c r="AB8" s="281"/>
      <c r="AC8" s="281"/>
      <c r="AD8" s="281"/>
      <c r="AE8" s="281"/>
      <c r="AF8" s="281"/>
      <c r="AG8" s="282"/>
      <c r="AH8" s="109"/>
    </row>
    <row r="9" spans="1:34">
      <c r="A9" s="283" t="s">
        <v>145</v>
      </c>
      <c r="B9" s="284"/>
      <c r="C9" s="284"/>
      <c r="D9" s="284"/>
      <c r="E9" s="284"/>
      <c r="F9" s="284"/>
      <c r="G9" s="284"/>
      <c r="H9" s="284"/>
      <c r="I9" s="284"/>
      <c r="J9" s="284"/>
      <c r="K9" s="284"/>
      <c r="L9" s="284"/>
      <c r="M9" s="284"/>
      <c r="N9" s="284"/>
      <c r="O9" s="284"/>
      <c r="P9" s="284"/>
      <c r="Q9" s="284"/>
      <c r="R9" s="284"/>
      <c r="S9" s="284"/>
      <c r="T9" s="284"/>
      <c r="U9" s="284"/>
      <c r="V9" s="284"/>
      <c r="W9" s="284"/>
      <c r="X9" s="284"/>
      <c r="Y9" s="284"/>
      <c r="Z9" s="284"/>
      <c r="AA9" s="284"/>
      <c r="AB9" s="284"/>
      <c r="AC9" s="284"/>
      <c r="AD9" s="284"/>
      <c r="AE9" s="284"/>
      <c r="AF9" s="284"/>
      <c r="AG9" s="285"/>
      <c r="AH9" s="109"/>
    </row>
    <row r="10" spans="1:34">
      <c r="A10" s="109"/>
      <c r="B10" s="109"/>
      <c r="C10" s="109"/>
      <c r="D10" s="109"/>
      <c r="E10" s="109"/>
      <c r="F10" s="109"/>
      <c r="G10" s="109"/>
      <c r="H10" s="109"/>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row>
    <row r="11" spans="1:34">
      <c r="A11" s="109"/>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row>
    <row r="12" spans="1:34" ht="26.25">
      <c r="A12" s="109"/>
      <c r="B12" s="119" t="s">
        <v>146</v>
      </c>
      <c r="C12" s="120"/>
      <c r="D12" s="120"/>
      <c r="E12" s="120"/>
      <c r="F12" s="120"/>
      <c r="G12" s="120"/>
      <c r="H12" s="120"/>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09"/>
      <c r="AH12" s="109"/>
    </row>
    <row r="13" spans="1:34">
      <c r="A13" s="109"/>
      <c r="B13" s="109"/>
      <c r="C13" s="109"/>
      <c r="D13" s="109"/>
      <c r="E13" s="109"/>
      <c r="F13" s="109"/>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row>
    <row r="14" spans="1:34" ht="20.25">
      <c r="A14" s="109"/>
      <c r="B14" s="121" t="s">
        <v>147</v>
      </c>
      <c r="C14" s="122"/>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row>
    <row r="15" spans="1:34">
      <c r="A15" s="109"/>
      <c r="B15" s="265" t="s">
        <v>148</v>
      </c>
      <c r="C15" s="286"/>
      <c r="D15" s="286"/>
      <c r="E15" s="286"/>
      <c r="F15" s="286"/>
      <c r="G15" s="265" t="s">
        <v>149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109"/>
      <c r="AH15" s="109"/>
    </row>
    <row r="16" spans="1:34" ht="55.5" customHeight="1">
      <c r="A16" s="109"/>
      <c r="B16" s="287" t="s">
        <v>150</v>
      </c>
      <c r="C16" s="287"/>
      <c r="D16" s="287"/>
      <c r="E16" s="287"/>
      <c r="F16" s="287"/>
      <c r="G16" s="268" t="s">
        <v>151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109"/>
      <c r="AH16" s="109"/>
    </row>
    <row r="17" spans="1:34">
      <c r="A17" s="109"/>
      <c r="B17" s="287" t="s">
        <v>152</v>
      </c>
      <c r="C17" s="287"/>
      <c r="D17" s="287"/>
      <c r="E17" s="287"/>
      <c r="F17" s="287"/>
      <c r="G17" s="268" t="s">
        <v>153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109"/>
      <c r="AH17" s="109"/>
    </row>
    <row r="18" spans="1:34" ht="15" customHeight="1">
      <c r="A18" s="109"/>
      <c r="B18" s="287" t="s">
        <v>15</v>
      </c>
      <c r="C18" s="287"/>
      <c r="D18" s="287"/>
      <c r="E18" s="287"/>
      <c r="F18" s="287"/>
      <c r="G18" s="268" t="s">
        <v>154</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109"/>
      <c r="AH18" s="109"/>
    </row>
    <row r="19" spans="1:34" ht="24" customHeight="1">
      <c r="A19" s="109"/>
      <c r="B19" s="277" t="s">
        <v>189</v>
      </c>
      <c r="C19" s="277"/>
      <c r="D19" s="277"/>
      <c r="E19" s="277"/>
      <c r="F19" s="277"/>
      <c r="G19" s="268" t="s">
        <v>154</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109"/>
      <c r="AH19" s="109"/>
    </row>
    <row r="20" spans="1:34">
      <c r="A20" s="109"/>
      <c r="B20" s="294" t="s">
        <v>190</v>
      </c>
      <c r="C20" s="294"/>
      <c r="D20" s="294"/>
      <c r="E20" s="294"/>
      <c r="F20" s="294"/>
      <c r="G20" s="268" t="s">
        <v>154</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109"/>
      <c r="AH20" s="109"/>
    </row>
    <row r="21" spans="1:34" ht="35.25" customHeight="1">
      <c r="A21" s="109"/>
      <c r="B21" s="278" t="s">
        <v>311</v>
      </c>
      <c r="C21" s="278"/>
      <c r="D21" s="278"/>
      <c r="E21" s="278"/>
      <c r="F21" s="278"/>
      <c r="G21" s="268" t="s">
        <v>312</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109"/>
      <c r="AH21" s="109"/>
    </row>
    <row r="22" spans="1:34" ht="28.5" customHeight="1">
      <c r="A22" s="109"/>
      <c r="B22" s="278" t="s">
        <v>313</v>
      </c>
      <c r="C22" s="278"/>
      <c r="D22" s="278"/>
      <c r="E22" s="278"/>
      <c r="F22" s="278"/>
      <c r="G22" s="268" t="s">
        <v>314</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109"/>
      <c r="AH22" s="109"/>
    </row>
    <row r="23" spans="1:34" ht="22.5" customHeight="1">
      <c r="A23" s="109"/>
      <c r="B23" s="278" t="s">
        <v>315</v>
      </c>
      <c r="C23" s="278"/>
      <c r="D23" s="278"/>
      <c r="E23" s="278"/>
      <c r="F23" s="278"/>
      <c r="G23" s="268" t="s">
        <v>316</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109"/>
      <c r="AH23" s="109"/>
    </row>
    <row r="24" spans="1:34" ht="45" customHeight="1">
      <c r="A24" s="109"/>
      <c r="B24" s="279" t="s">
        <v>191</v>
      </c>
      <c r="C24" s="279"/>
      <c r="D24" s="279"/>
      <c r="E24" s="279"/>
      <c r="F24" s="279"/>
      <c r="G24" s="268" t="s">
        <v>397</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109"/>
      <c r="AH24" s="109"/>
    </row>
    <row r="25" spans="1:34">
      <c r="A25" s="109"/>
      <c r="B25" s="109"/>
      <c r="C25" s="123"/>
      <c r="D25" s="109"/>
      <c r="E25" s="109"/>
      <c r="F25" s="109"/>
      <c r="G25" s="109"/>
      <c r="H25" s="109"/>
      <c r="I25" s="124"/>
      <c r="J25" s="109"/>
      <c r="K25" s="109"/>
      <c r="L25" s="109"/>
      <c r="M25" s="109"/>
      <c r="N25" s="109"/>
      <c r="O25" s="109"/>
      <c r="P25" s="109"/>
      <c r="Q25" s="109"/>
      <c r="R25" s="109"/>
      <c r="S25" s="109"/>
      <c r="T25" s="109"/>
      <c r="U25" s="109"/>
      <c r="V25" s="109"/>
      <c r="W25" s="109"/>
      <c r="X25" s="109"/>
      <c r="Y25" s="109"/>
      <c r="Z25" s="109"/>
      <c r="AA25" s="109"/>
      <c r="AB25" s="109"/>
      <c r="AC25" s="109"/>
      <c r="AD25" s="109"/>
      <c r="AE25" s="109"/>
      <c r="AF25" s="109"/>
      <c r="AG25" s="109"/>
      <c r="AH25" s="109"/>
    </row>
    <row r="26" spans="1:34" ht="20.25">
      <c r="A26" s="121"/>
      <c r="B26" s="121" t="s">
        <v>155</v>
      </c>
      <c r="C26" s="123"/>
      <c r="D26" s="109"/>
      <c r="E26" s="109"/>
      <c r="F26" s="109"/>
      <c r="G26" s="109"/>
      <c r="H26" s="109"/>
      <c r="I26" s="124"/>
      <c r="J26" s="109"/>
      <c r="K26" s="109"/>
      <c r="L26" s="109"/>
      <c r="M26" s="109"/>
      <c r="N26" s="109"/>
      <c r="O26" s="109"/>
      <c r="P26" s="109"/>
      <c r="Q26" s="109"/>
      <c r="R26" s="109"/>
      <c r="S26" s="109"/>
      <c r="T26" s="109"/>
      <c r="U26" s="109"/>
      <c r="V26" s="109"/>
      <c r="W26" s="109"/>
      <c r="X26" s="109"/>
      <c r="Y26" s="109"/>
      <c r="Z26" s="109"/>
      <c r="AA26" s="109"/>
      <c r="AB26" s="109"/>
      <c r="AC26" s="109"/>
      <c r="AD26" s="109"/>
      <c r="AE26" s="109"/>
      <c r="AF26" s="109"/>
      <c r="AG26" s="109"/>
      <c r="AH26" s="109"/>
    </row>
    <row r="27" spans="1:34">
      <c r="A27" s="109"/>
      <c r="B27" s="265" t="s">
        <v>34</v>
      </c>
      <c r="C27" s="270"/>
      <c r="D27" s="270"/>
      <c r="E27" s="265" t="s">
        <v>93</v>
      </c>
      <c r="F27" s="265"/>
      <c r="G27" s="265"/>
      <c r="H27" s="265"/>
      <c r="I27" s="265" t="s">
        <v>156</v>
      </c>
      <c r="J27" s="270"/>
      <c r="K27" s="270"/>
      <c r="L27" s="270"/>
      <c r="M27" s="270"/>
      <c r="N27" s="270"/>
      <c r="O27" s="270"/>
      <c r="P27" s="270"/>
      <c r="Q27" s="270"/>
      <c r="R27" s="265" t="s">
        <v>157</v>
      </c>
      <c r="S27" s="265"/>
      <c r="T27" s="265"/>
      <c r="U27" s="265"/>
      <c r="V27" s="265"/>
      <c r="W27" s="265"/>
      <c r="X27" s="265"/>
      <c r="Y27" s="265"/>
      <c r="Z27" s="265"/>
      <c r="AA27" s="265"/>
      <c r="AB27" s="265"/>
      <c r="AC27" s="265"/>
      <c r="AD27" s="265"/>
      <c r="AE27" s="265"/>
      <c r="AF27" s="265"/>
      <c r="AG27" s="109"/>
      <c r="AH27" s="109"/>
    </row>
    <row r="28" spans="1:34" ht="40.5" customHeight="1">
      <c r="A28" s="109"/>
      <c r="B28" s="258" t="s">
        <v>3</v>
      </c>
      <c r="C28" s="259" t="s">
        <v>3</v>
      </c>
      <c r="D28" s="260" t="s">
        <v>3</v>
      </c>
      <c r="E28" s="271"/>
      <c r="F28" s="272"/>
      <c r="G28" s="272"/>
      <c r="H28" s="273"/>
      <c r="I28" s="268"/>
      <c r="J28" s="274"/>
      <c r="K28" s="274"/>
      <c r="L28" s="274"/>
      <c r="M28" s="274"/>
      <c r="N28" s="274"/>
      <c r="O28" s="274"/>
      <c r="P28" s="274"/>
      <c r="Q28" s="274"/>
      <c r="R28" s="268" t="s">
        <v>14</v>
      </c>
      <c r="S28" s="268" t="s">
        <v>14</v>
      </c>
      <c r="T28" s="268" t="s">
        <v>14</v>
      </c>
      <c r="U28" s="268" t="s">
        <v>14</v>
      </c>
      <c r="V28" s="268" t="s">
        <v>14</v>
      </c>
      <c r="W28" s="268" t="s">
        <v>14</v>
      </c>
      <c r="X28" s="268" t="s">
        <v>14</v>
      </c>
      <c r="Y28" s="268" t="s">
        <v>14</v>
      </c>
      <c r="Z28" s="268" t="s">
        <v>14</v>
      </c>
      <c r="AA28" s="268" t="s">
        <v>14</v>
      </c>
      <c r="AB28" s="268" t="s">
        <v>14</v>
      </c>
      <c r="AC28" s="268" t="s">
        <v>14</v>
      </c>
      <c r="AD28" s="268" t="s">
        <v>14</v>
      </c>
      <c r="AE28" s="268" t="s">
        <v>14</v>
      </c>
      <c r="AF28" s="268" t="s">
        <v>14</v>
      </c>
      <c r="AG28" s="109"/>
      <c r="AH28" s="109"/>
    </row>
    <row r="29" spans="1:34" ht="60" customHeight="1">
      <c r="A29" s="109"/>
      <c r="B29" s="258" t="s">
        <v>18</v>
      </c>
      <c r="C29" s="259" t="s">
        <v>18</v>
      </c>
      <c r="D29" s="260" t="s">
        <v>18</v>
      </c>
      <c r="E29" s="271">
        <v>40591.490486111114</v>
      </c>
      <c r="F29" s="272">
        <v>40591.490486111114</v>
      </c>
      <c r="G29" s="272">
        <v>40591.490486111114</v>
      </c>
      <c r="H29" s="273">
        <v>40591.490486111114</v>
      </c>
      <c r="I29" s="268" t="s">
        <v>4</v>
      </c>
      <c r="J29" s="274" t="s">
        <v>4</v>
      </c>
      <c r="K29" s="274" t="s">
        <v>4</v>
      </c>
      <c r="L29" s="274" t="s">
        <v>4</v>
      </c>
      <c r="M29" s="274" t="s">
        <v>4</v>
      </c>
      <c r="N29" s="274" t="s">
        <v>4</v>
      </c>
      <c r="O29" s="274" t="s">
        <v>4</v>
      </c>
      <c r="P29" s="274" t="s">
        <v>4</v>
      </c>
      <c r="Q29" s="274" t="s">
        <v>4</v>
      </c>
      <c r="R29" s="268" t="s">
        <v>35</v>
      </c>
      <c r="S29" s="268" t="s">
        <v>35</v>
      </c>
      <c r="T29" s="268" t="s">
        <v>35</v>
      </c>
      <c r="U29" s="268" t="s">
        <v>35</v>
      </c>
      <c r="V29" s="268" t="s">
        <v>35</v>
      </c>
      <c r="W29" s="268" t="s">
        <v>35</v>
      </c>
      <c r="X29" s="268" t="s">
        <v>35</v>
      </c>
      <c r="Y29" s="268" t="s">
        <v>35</v>
      </c>
      <c r="Z29" s="268" t="s">
        <v>35</v>
      </c>
      <c r="AA29" s="268" t="s">
        <v>35</v>
      </c>
      <c r="AB29" s="268" t="s">
        <v>35</v>
      </c>
      <c r="AC29" s="268" t="s">
        <v>35</v>
      </c>
      <c r="AD29" s="268" t="s">
        <v>35</v>
      </c>
      <c r="AE29" s="268" t="s">
        <v>35</v>
      </c>
      <c r="AF29" s="268" t="s">
        <v>35</v>
      </c>
      <c r="AG29" s="109"/>
      <c r="AH29" s="109"/>
    </row>
    <row r="30" spans="1:34" ht="291" customHeight="1">
      <c r="A30" s="109"/>
      <c r="B30" s="258" t="s">
        <v>99</v>
      </c>
      <c r="C30" s="259" t="s">
        <v>99</v>
      </c>
      <c r="D30" s="260" t="s">
        <v>99</v>
      </c>
      <c r="E30" s="271">
        <v>41071.656145833331</v>
      </c>
      <c r="F30" s="272">
        <v>41071.656145833331</v>
      </c>
      <c r="G30" s="272">
        <v>41071.656145833331</v>
      </c>
      <c r="H30" s="273">
        <v>41071.656145833331</v>
      </c>
      <c r="I30" s="268" t="s">
        <v>4</v>
      </c>
      <c r="J30" s="274" t="s">
        <v>4</v>
      </c>
      <c r="K30" s="274" t="s">
        <v>4</v>
      </c>
      <c r="L30" s="274" t="s">
        <v>4</v>
      </c>
      <c r="M30" s="274" t="s">
        <v>4</v>
      </c>
      <c r="N30" s="274" t="s">
        <v>4</v>
      </c>
      <c r="O30" s="274" t="s">
        <v>4</v>
      </c>
      <c r="P30" s="274" t="s">
        <v>4</v>
      </c>
      <c r="Q30" s="274" t="s">
        <v>4</v>
      </c>
      <c r="R30" s="268" t="s">
        <v>130</v>
      </c>
      <c r="S30" s="268" t="s">
        <v>130</v>
      </c>
      <c r="T30" s="268" t="s">
        <v>130</v>
      </c>
      <c r="U30" s="268" t="s">
        <v>130</v>
      </c>
      <c r="V30" s="268" t="s">
        <v>130</v>
      </c>
      <c r="W30" s="268" t="s">
        <v>130</v>
      </c>
      <c r="X30" s="268" t="s">
        <v>130</v>
      </c>
      <c r="Y30" s="268" t="s">
        <v>130</v>
      </c>
      <c r="Z30" s="268" t="s">
        <v>130</v>
      </c>
      <c r="AA30" s="268" t="s">
        <v>130</v>
      </c>
      <c r="AB30" s="268" t="s">
        <v>130</v>
      </c>
      <c r="AC30" s="268" t="s">
        <v>130</v>
      </c>
      <c r="AD30" s="268" t="s">
        <v>130</v>
      </c>
      <c r="AE30" s="268" t="s">
        <v>130</v>
      </c>
      <c r="AF30" s="268" t="s">
        <v>130</v>
      </c>
      <c r="AG30" s="109"/>
      <c r="AH30" s="109"/>
    </row>
    <row r="31" spans="1:34" ht="40.5" customHeight="1">
      <c r="A31" s="109"/>
      <c r="B31" s="258" t="s">
        <v>87</v>
      </c>
      <c r="C31" s="259" t="s">
        <v>87</v>
      </c>
      <c r="D31" s="260" t="s">
        <v>87</v>
      </c>
      <c r="E31" s="271">
        <v>41071.656145833331</v>
      </c>
      <c r="F31" s="272">
        <v>41071.656145833331</v>
      </c>
      <c r="G31" s="272">
        <v>41071.656145833331</v>
      </c>
      <c r="H31" s="273">
        <v>41071.656145833331</v>
      </c>
      <c r="I31" s="268" t="s">
        <v>88</v>
      </c>
      <c r="J31" s="274" t="s">
        <v>88</v>
      </c>
      <c r="K31" s="274" t="s">
        <v>88</v>
      </c>
      <c r="L31" s="274" t="s">
        <v>88</v>
      </c>
      <c r="M31" s="274" t="s">
        <v>88</v>
      </c>
      <c r="N31" s="274" t="s">
        <v>88</v>
      </c>
      <c r="O31" s="274" t="s">
        <v>88</v>
      </c>
      <c r="P31" s="274" t="s">
        <v>88</v>
      </c>
      <c r="Q31" s="274" t="s">
        <v>88</v>
      </c>
      <c r="R31" s="268" t="s">
        <v>101</v>
      </c>
      <c r="S31" s="268" t="s">
        <v>101</v>
      </c>
      <c r="T31" s="268" t="s">
        <v>101</v>
      </c>
      <c r="U31" s="268" t="s">
        <v>101</v>
      </c>
      <c r="V31" s="268" t="s">
        <v>101</v>
      </c>
      <c r="W31" s="268" t="s">
        <v>101</v>
      </c>
      <c r="X31" s="268" t="s">
        <v>101</v>
      </c>
      <c r="Y31" s="268" t="s">
        <v>101</v>
      </c>
      <c r="Z31" s="268" t="s">
        <v>101</v>
      </c>
      <c r="AA31" s="268" t="s">
        <v>101</v>
      </c>
      <c r="AB31" s="268" t="s">
        <v>101</v>
      </c>
      <c r="AC31" s="268" t="s">
        <v>101</v>
      </c>
      <c r="AD31" s="268" t="s">
        <v>101</v>
      </c>
      <c r="AE31" s="268" t="s">
        <v>101</v>
      </c>
      <c r="AF31" s="268" t="s">
        <v>101</v>
      </c>
      <c r="AG31" s="109"/>
      <c r="AH31" s="109"/>
    </row>
    <row r="32" spans="1:34" ht="121.5" customHeight="1">
      <c r="A32" s="109"/>
      <c r="B32" s="258"/>
      <c r="C32" s="259"/>
      <c r="D32" s="260"/>
      <c r="E32" s="271">
        <v>42195</v>
      </c>
      <c r="F32" s="272">
        <v>42195</v>
      </c>
      <c r="G32" s="272">
        <v>42195</v>
      </c>
      <c r="H32" s="273">
        <v>42195</v>
      </c>
      <c r="I32" s="268" t="s">
        <v>100</v>
      </c>
      <c r="J32" s="274" t="s">
        <v>100</v>
      </c>
      <c r="K32" s="274" t="s">
        <v>100</v>
      </c>
      <c r="L32" s="274" t="s">
        <v>100</v>
      </c>
      <c r="M32" s="274" t="s">
        <v>100</v>
      </c>
      <c r="N32" s="274" t="s">
        <v>100</v>
      </c>
      <c r="O32" s="274" t="s">
        <v>100</v>
      </c>
      <c r="P32" s="274" t="s">
        <v>100</v>
      </c>
      <c r="Q32" s="274" t="s">
        <v>100</v>
      </c>
      <c r="R32" s="268" t="s">
        <v>103</v>
      </c>
      <c r="S32" s="268" t="s">
        <v>103</v>
      </c>
      <c r="T32" s="268" t="s">
        <v>103</v>
      </c>
      <c r="U32" s="268" t="s">
        <v>103</v>
      </c>
      <c r="V32" s="268" t="s">
        <v>103</v>
      </c>
      <c r="W32" s="268" t="s">
        <v>103</v>
      </c>
      <c r="X32" s="268" t="s">
        <v>103</v>
      </c>
      <c r="Y32" s="268" t="s">
        <v>103</v>
      </c>
      <c r="Z32" s="268" t="s">
        <v>103</v>
      </c>
      <c r="AA32" s="268" t="s">
        <v>103</v>
      </c>
      <c r="AB32" s="268" t="s">
        <v>103</v>
      </c>
      <c r="AC32" s="268" t="s">
        <v>103</v>
      </c>
      <c r="AD32" s="268" t="s">
        <v>103</v>
      </c>
      <c r="AE32" s="268" t="s">
        <v>103</v>
      </c>
      <c r="AF32" s="268" t="s">
        <v>103</v>
      </c>
      <c r="AG32" s="109"/>
      <c r="AH32" s="109"/>
    </row>
    <row r="33" spans="1:34" ht="114" customHeight="1">
      <c r="A33" s="109"/>
      <c r="B33" s="258" t="s">
        <v>104</v>
      </c>
      <c r="C33" s="259" t="s">
        <v>104</v>
      </c>
      <c r="D33" s="260" t="s">
        <v>104</v>
      </c>
      <c r="E33" s="271">
        <v>42391.634837962964</v>
      </c>
      <c r="F33" s="272">
        <v>42391.634837962964</v>
      </c>
      <c r="G33" s="272">
        <v>42391.634837962964</v>
      </c>
      <c r="H33" s="273">
        <v>42391.634837962964</v>
      </c>
      <c r="I33" s="268" t="s">
        <v>105</v>
      </c>
      <c r="J33" s="274" t="s">
        <v>105</v>
      </c>
      <c r="K33" s="274" t="s">
        <v>105</v>
      </c>
      <c r="L33" s="274" t="s">
        <v>105</v>
      </c>
      <c r="M33" s="274" t="s">
        <v>105</v>
      </c>
      <c r="N33" s="274" t="s">
        <v>105</v>
      </c>
      <c r="O33" s="274" t="s">
        <v>105</v>
      </c>
      <c r="P33" s="274" t="s">
        <v>105</v>
      </c>
      <c r="Q33" s="274" t="s">
        <v>105</v>
      </c>
      <c r="R33" s="268" t="s">
        <v>129</v>
      </c>
      <c r="S33" s="268" t="s">
        <v>129</v>
      </c>
      <c r="T33" s="268" t="s">
        <v>129</v>
      </c>
      <c r="U33" s="268" t="s">
        <v>129</v>
      </c>
      <c r="V33" s="268" t="s">
        <v>129</v>
      </c>
      <c r="W33" s="268" t="s">
        <v>129</v>
      </c>
      <c r="X33" s="268" t="s">
        <v>129</v>
      </c>
      <c r="Y33" s="268" t="s">
        <v>129</v>
      </c>
      <c r="Z33" s="268" t="s">
        <v>129</v>
      </c>
      <c r="AA33" s="268" t="s">
        <v>129</v>
      </c>
      <c r="AB33" s="268" t="s">
        <v>129</v>
      </c>
      <c r="AC33" s="268" t="s">
        <v>129</v>
      </c>
      <c r="AD33" s="268" t="s">
        <v>129</v>
      </c>
      <c r="AE33" s="268" t="s">
        <v>129</v>
      </c>
      <c r="AF33" s="268" t="s">
        <v>129</v>
      </c>
      <c r="AG33" s="109"/>
      <c r="AH33" s="109"/>
    </row>
    <row r="34" spans="1:34" ht="40.5" customHeight="1">
      <c r="A34" s="109"/>
      <c r="B34" s="275" t="s">
        <v>192</v>
      </c>
      <c r="C34" s="276"/>
      <c r="D34" s="276"/>
      <c r="E34" s="271"/>
      <c r="F34" s="272"/>
      <c r="G34" s="272"/>
      <c r="H34" s="273"/>
      <c r="I34" s="268"/>
      <c r="J34" s="274"/>
      <c r="K34" s="274"/>
      <c r="L34" s="274"/>
      <c r="M34" s="274"/>
      <c r="N34" s="274"/>
      <c r="O34" s="274"/>
      <c r="P34" s="274"/>
      <c r="Q34" s="274"/>
      <c r="R34" s="268" t="s">
        <v>193</v>
      </c>
      <c r="S34" s="268"/>
      <c r="T34" s="268"/>
      <c r="U34" s="268"/>
      <c r="V34" s="268"/>
      <c r="W34" s="268"/>
      <c r="X34" s="268"/>
      <c r="Y34" s="268"/>
      <c r="Z34" s="268"/>
      <c r="AA34" s="268"/>
      <c r="AB34" s="268"/>
      <c r="AC34" s="268"/>
      <c r="AD34" s="268"/>
      <c r="AE34" s="268"/>
      <c r="AF34" s="268"/>
      <c r="AG34" s="109"/>
      <c r="AH34" s="109"/>
    </row>
    <row r="35" spans="1:34">
      <c r="A35" s="109"/>
      <c r="B35" s="125" t="s">
        <v>158</v>
      </c>
      <c r="C35" s="126"/>
      <c r="D35" s="126"/>
      <c r="E35" s="127"/>
      <c r="F35" s="127"/>
      <c r="G35" s="127"/>
      <c r="H35" s="127"/>
      <c r="I35" s="127"/>
      <c r="J35" s="128"/>
      <c r="K35" s="128"/>
      <c r="L35" s="128"/>
      <c r="M35" s="128"/>
      <c r="N35" s="128"/>
      <c r="O35" s="128"/>
      <c r="P35" s="128"/>
      <c r="Q35" s="128"/>
      <c r="R35" s="127"/>
      <c r="S35" s="127"/>
      <c r="T35" s="127"/>
      <c r="U35" s="127"/>
      <c r="V35" s="127"/>
      <c r="W35" s="127"/>
      <c r="X35" s="127"/>
      <c r="Y35" s="127"/>
      <c r="Z35" s="127"/>
      <c r="AA35" s="127"/>
      <c r="AB35" s="127"/>
      <c r="AC35" s="127"/>
      <c r="AD35" s="127"/>
      <c r="AE35" s="127"/>
      <c r="AF35" s="127"/>
      <c r="AG35" s="109"/>
      <c r="AH35" s="109"/>
    </row>
    <row r="36" spans="1:34">
      <c r="A36" s="109"/>
      <c r="B36" s="109"/>
      <c r="C36" s="123"/>
      <c r="D36" s="109"/>
      <c r="E36" s="109"/>
      <c r="F36" s="109"/>
      <c r="G36" s="109"/>
      <c r="H36" s="109"/>
      <c r="I36" s="124"/>
      <c r="J36" s="109"/>
      <c r="K36" s="109"/>
      <c r="L36" s="109"/>
      <c r="M36" s="109"/>
      <c r="N36" s="109"/>
      <c r="O36" s="109"/>
      <c r="P36" s="109"/>
      <c r="Q36" s="109"/>
      <c r="R36" s="109"/>
      <c r="S36" s="109"/>
      <c r="T36" s="109"/>
      <c r="U36" s="109"/>
      <c r="V36" s="109"/>
      <c r="W36" s="109"/>
      <c r="X36" s="109"/>
      <c r="Y36" s="109"/>
      <c r="Z36" s="109"/>
      <c r="AA36" s="109"/>
      <c r="AB36" s="109"/>
      <c r="AC36" s="109"/>
      <c r="AD36" s="109"/>
      <c r="AE36" s="109"/>
      <c r="AF36" s="109"/>
      <c r="AG36" s="109"/>
      <c r="AH36" s="109"/>
    </row>
    <row r="37" spans="1:34">
      <c r="A37" s="109"/>
      <c r="B37" s="109"/>
      <c r="C37" s="109"/>
      <c r="D37" s="109"/>
      <c r="E37" s="109"/>
      <c r="F37" s="109"/>
      <c r="G37" s="109"/>
      <c r="H37" s="109"/>
      <c r="I37" s="109"/>
      <c r="J37" s="12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row>
    <row r="38" spans="1:34" ht="20.25">
      <c r="A38" s="109"/>
      <c r="B38" s="121" t="s">
        <v>159</v>
      </c>
      <c r="C38" s="122"/>
      <c r="D38" s="109"/>
      <c r="E38" s="109"/>
      <c r="F38" s="109"/>
      <c r="G38" s="109"/>
      <c r="H38" s="109"/>
      <c r="I38" s="124"/>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row>
    <row r="39" spans="1:34" ht="18.75">
      <c r="A39" s="109"/>
      <c r="B39" s="130" t="s">
        <v>160</v>
      </c>
      <c r="C39" s="122"/>
      <c r="D39" s="109"/>
      <c r="E39" s="109"/>
      <c r="F39" s="109"/>
      <c r="G39" s="109"/>
      <c r="H39" s="109"/>
      <c r="I39" s="124"/>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row>
    <row r="40" spans="1:34">
      <c r="A40" s="109"/>
      <c r="B40" s="265" t="s">
        <v>161</v>
      </c>
      <c r="C40" s="265"/>
      <c r="D40" s="265"/>
      <c r="E40" s="265" t="s">
        <v>162</v>
      </c>
      <c r="F40" s="270"/>
      <c r="G40" s="270"/>
      <c r="H40" s="270"/>
      <c r="I40" s="270"/>
      <c r="J40" s="270"/>
      <c r="K40" s="270"/>
      <c r="L40" s="270"/>
      <c r="M40" s="270"/>
      <c r="N40" s="270"/>
      <c r="O40" s="270"/>
      <c r="P40" s="270"/>
      <c r="Q40" s="270"/>
      <c r="R40" s="270"/>
      <c r="S40" s="270"/>
      <c r="T40" s="270"/>
      <c r="U40" s="270"/>
      <c r="V40" s="270"/>
      <c r="W40" s="270"/>
      <c r="X40" s="270"/>
      <c r="Y40" s="265" t="s">
        <v>163</v>
      </c>
      <c r="Z40" s="265"/>
      <c r="AA40" s="265"/>
      <c r="AB40" s="265"/>
      <c r="AC40" s="265"/>
      <c r="AD40" s="265"/>
      <c r="AE40" s="265"/>
      <c r="AF40" s="265"/>
      <c r="AG40" s="109"/>
      <c r="AH40" s="109"/>
    </row>
    <row r="41" spans="1:34">
      <c r="A41" s="109"/>
      <c r="B41" s="267"/>
      <c r="C41" s="267"/>
      <c r="D41" s="267"/>
      <c r="E41" s="268"/>
      <c r="F41" s="269"/>
      <c r="G41" s="269"/>
      <c r="H41" s="269"/>
      <c r="I41" s="269"/>
      <c r="J41" s="269"/>
      <c r="K41" s="269"/>
      <c r="L41" s="269"/>
      <c r="M41" s="269"/>
      <c r="N41" s="269"/>
      <c r="O41" s="269"/>
      <c r="P41" s="269"/>
      <c r="Q41" s="269"/>
      <c r="R41" s="269"/>
      <c r="S41" s="269"/>
      <c r="T41" s="269"/>
      <c r="U41" s="269"/>
      <c r="V41" s="269"/>
      <c r="W41" s="269"/>
      <c r="X41" s="269"/>
      <c r="Y41" s="268"/>
      <c r="Z41" s="269"/>
      <c r="AA41" s="269"/>
      <c r="AB41" s="269"/>
      <c r="AC41" s="269"/>
      <c r="AD41" s="269"/>
      <c r="AE41" s="269"/>
      <c r="AF41" s="269"/>
      <c r="AG41" s="109"/>
      <c r="AH41" s="109"/>
    </row>
    <row r="42" spans="1:34">
      <c r="A42" s="109"/>
      <c r="B42" s="267"/>
      <c r="C42" s="267"/>
      <c r="D42" s="267"/>
      <c r="E42" s="268"/>
      <c r="F42" s="269"/>
      <c r="G42" s="269"/>
      <c r="H42" s="269"/>
      <c r="I42" s="269"/>
      <c r="J42" s="269"/>
      <c r="K42" s="269"/>
      <c r="L42" s="269"/>
      <c r="M42" s="269"/>
      <c r="N42" s="269"/>
      <c r="O42" s="269"/>
      <c r="P42" s="269"/>
      <c r="Q42" s="269"/>
      <c r="R42" s="269"/>
      <c r="S42" s="269"/>
      <c r="T42" s="269"/>
      <c r="U42" s="269"/>
      <c r="V42" s="269"/>
      <c r="W42" s="269"/>
      <c r="X42" s="269"/>
      <c r="Y42" s="268"/>
      <c r="Z42" s="269"/>
      <c r="AA42" s="269"/>
      <c r="AB42" s="269"/>
      <c r="AC42" s="269"/>
      <c r="AD42" s="269"/>
      <c r="AE42" s="269"/>
      <c r="AF42" s="269"/>
      <c r="AG42" s="109"/>
      <c r="AH42" s="109"/>
    </row>
    <row r="43" spans="1:34">
      <c r="A43" s="109"/>
      <c r="B43" s="267"/>
      <c r="C43" s="267"/>
      <c r="D43" s="267"/>
      <c r="E43" s="268"/>
      <c r="F43" s="269"/>
      <c r="G43" s="269"/>
      <c r="H43" s="269"/>
      <c r="I43" s="269"/>
      <c r="J43" s="269"/>
      <c r="K43" s="269"/>
      <c r="L43" s="269"/>
      <c r="M43" s="269"/>
      <c r="N43" s="269"/>
      <c r="O43" s="269"/>
      <c r="P43" s="269"/>
      <c r="Q43" s="269"/>
      <c r="R43" s="269"/>
      <c r="S43" s="269"/>
      <c r="T43" s="269"/>
      <c r="U43" s="269"/>
      <c r="V43" s="269"/>
      <c r="W43" s="269"/>
      <c r="X43" s="269"/>
      <c r="Y43" s="268"/>
      <c r="Z43" s="269"/>
      <c r="AA43" s="269"/>
      <c r="AB43" s="269"/>
      <c r="AC43" s="269"/>
      <c r="AD43" s="269"/>
      <c r="AE43" s="269"/>
      <c r="AF43" s="269"/>
      <c r="AG43" s="109"/>
      <c r="AH43" s="109"/>
    </row>
    <row r="44" spans="1:34">
      <c r="A44" s="109"/>
      <c r="B44" s="267"/>
      <c r="C44" s="267"/>
      <c r="D44" s="267"/>
      <c r="E44" s="268"/>
      <c r="F44" s="269"/>
      <c r="G44" s="269"/>
      <c r="H44" s="269"/>
      <c r="I44" s="269"/>
      <c r="J44" s="269"/>
      <c r="K44" s="269"/>
      <c r="L44" s="269"/>
      <c r="M44" s="269"/>
      <c r="N44" s="269"/>
      <c r="O44" s="269"/>
      <c r="P44" s="269"/>
      <c r="Q44" s="269"/>
      <c r="R44" s="269"/>
      <c r="S44" s="269"/>
      <c r="T44" s="269"/>
      <c r="U44" s="269"/>
      <c r="V44" s="269"/>
      <c r="W44" s="269"/>
      <c r="X44" s="269"/>
      <c r="Y44" s="268"/>
      <c r="Z44" s="269"/>
      <c r="AA44" s="269"/>
      <c r="AB44" s="269"/>
      <c r="AC44" s="269"/>
      <c r="AD44" s="269"/>
      <c r="AE44" s="269"/>
      <c r="AF44" s="269"/>
      <c r="AG44" s="109"/>
      <c r="AH44" s="109"/>
    </row>
    <row r="45" spans="1:34" ht="18.75">
      <c r="A45" s="109"/>
      <c r="B45" s="130" t="s">
        <v>164</v>
      </c>
      <c r="C45" s="122"/>
      <c r="D45" s="109"/>
      <c r="E45" s="109"/>
      <c r="F45" s="109"/>
      <c r="G45" s="109"/>
      <c r="H45" s="109"/>
      <c r="I45" s="124"/>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row>
    <row r="46" spans="1:34">
      <c r="A46" s="109"/>
      <c r="B46" s="265" t="s">
        <v>161</v>
      </c>
      <c r="C46" s="265"/>
      <c r="D46" s="265"/>
      <c r="E46" s="265" t="s">
        <v>162</v>
      </c>
      <c r="F46" s="270"/>
      <c r="G46" s="270"/>
      <c r="H46" s="270"/>
      <c r="I46" s="270"/>
      <c r="J46" s="270"/>
      <c r="K46" s="270"/>
      <c r="L46" s="270"/>
      <c r="M46" s="270"/>
      <c r="N46" s="270"/>
      <c r="O46" s="270"/>
      <c r="P46" s="270"/>
      <c r="Q46" s="270"/>
      <c r="R46" s="270"/>
      <c r="S46" s="270"/>
      <c r="T46" s="270"/>
      <c r="U46" s="270"/>
      <c r="V46" s="270"/>
      <c r="W46" s="270"/>
      <c r="X46" s="270"/>
      <c r="Y46" s="265" t="s">
        <v>163</v>
      </c>
      <c r="Z46" s="265"/>
      <c r="AA46" s="265"/>
      <c r="AB46" s="265"/>
      <c r="AC46" s="265"/>
      <c r="AD46" s="265"/>
      <c r="AE46" s="265"/>
      <c r="AF46" s="265"/>
      <c r="AG46" s="109"/>
      <c r="AH46" s="109"/>
    </row>
    <row r="47" spans="1:34">
      <c r="A47" s="109"/>
      <c r="B47" s="267"/>
      <c r="C47" s="267"/>
      <c r="D47" s="267"/>
      <c r="E47" s="268"/>
      <c r="F47" s="269"/>
      <c r="G47" s="269"/>
      <c r="H47" s="269"/>
      <c r="I47" s="269"/>
      <c r="J47" s="269"/>
      <c r="K47" s="269"/>
      <c r="L47" s="269"/>
      <c r="M47" s="269"/>
      <c r="N47" s="269"/>
      <c r="O47" s="269"/>
      <c r="P47" s="269"/>
      <c r="Q47" s="269"/>
      <c r="R47" s="269"/>
      <c r="S47" s="269"/>
      <c r="T47" s="269"/>
      <c r="U47" s="269"/>
      <c r="V47" s="269"/>
      <c r="W47" s="269"/>
      <c r="X47" s="269"/>
      <c r="Y47" s="268"/>
      <c r="Z47" s="269"/>
      <c r="AA47" s="269"/>
      <c r="AB47" s="269"/>
      <c r="AC47" s="269"/>
      <c r="AD47" s="269"/>
      <c r="AE47" s="269"/>
      <c r="AF47" s="269"/>
      <c r="AG47" s="109"/>
      <c r="AH47" s="109"/>
    </row>
    <row r="48" spans="1:34">
      <c r="A48" s="109"/>
      <c r="B48" s="267"/>
      <c r="C48" s="267"/>
      <c r="D48" s="267"/>
      <c r="E48" s="268"/>
      <c r="F48" s="269"/>
      <c r="G48" s="269"/>
      <c r="H48" s="269"/>
      <c r="I48" s="269"/>
      <c r="J48" s="269"/>
      <c r="K48" s="269"/>
      <c r="L48" s="269"/>
      <c r="M48" s="269"/>
      <c r="N48" s="269"/>
      <c r="O48" s="269"/>
      <c r="P48" s="269"/>
      <c r="Q48" s="269"/>
      <c r="R48" s="269"/>
      <c r="S48" s="269"/>
      <c r="T48" s="269"/>
      <c r="U48" s="269"/>
      <c r="V48" s="269"/>
      <c r="W48" s="269"/>
      <c r="X48" s="269"/>
      <c r="Y48" s="268"/>
      <c r="Z48" s="269"/>
      <c r="AA48" s="269"/>
      <c r="AB48" s="269"/>
      <c r="AC48" s="269"/>
      <c r="AD48" s="269"/>
      <c r="AE48" s="269"/>
      <c r="AF48" s="269"/>
      <c r="AG48" s="109"/>
      <c r="AH48" s="109"/>
    </row>
    <row r="49" spans="1:34">
      <c r="A49" s="109"/>
      <c r="B49" s="267"/>
      <c r="C49" s="267"/>
      <c r="D49" s="267"/>
      <c r="E49" s="268"/>
      <c r="F49" s="269"/>
      <c r="G49" s="269"/>
      <c r="H49" s="269"/>
      <c r="I49" s="269"/>
      <c r="J49" s="269"/>
      <c r="K49" s="269"/>
      <c r="L49" s="269"/>
      <c r="M49" s="269"/>
      <c r="N49" s="269"/>
      <c r="O49" s="269"/>
      <c r="P49" s="269"/>
      <c r="Q49" s="269"/>
      <c r="R49" s="269"/>
      <c r="S49" s="269"/>
      <c r="T49" s="269"/>
      <c r="U49" s="269"/>
      <c r="V49" s="269"/>
      <c r="W49" s="269"/>
      <c r="X49" s="269"/>
      <c r="Y49" s="268"/>
      <c r="Z49" s="269"/>
      <c r="AA49" s="269"/>
      <c r="AB49" s="269"/>
      <c r="AC49" s="269"/>
      <c r="AD49" s="269"/>
      <c r="AE49" s="269"/>
      <c r="AF49" s="269"/>
      <c r="AG49" s="109"/>
      <c r="AH49" s="109"/>
    </row>
    <row r="50" spans="1:34">
      <c r="A50" s="109"/>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109"/>
      <c r="AH50" s="109"/>
    </row>
    <row r="51" spans="1:34">
      <c r="A51" s="109"/>
      <c r="B51" s="109"/>
      <c r="C51" s="123"/>
      <c r="D51" s="109"/>
      <c r="E51" s="109"/>
      <c r="F51" s="109"/>
      <c r="G51" s="109"/>
      <c r="H51" s="109"/>
      <c r="I51" s="124"/>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row>
    <row r="52" spans="1:34" ht="20.25">
      <c r="A52" s="109"/>
      <c r="B52" s="121" t="s">
        <v>165</v>
      </c>
      <c r="C52" s="122"/>
      <c r="D52" s="109"/>
      <c r="E52" s="109"/>
      <c r="F52" s="109"/>
      <c r="G52" s="109"/>
      <c r="H52" s="109"/>
      <c r="I52" s="124"/>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row>
    <row r="53" spans="1:34">
      <c r="A53" s="109"/>
      <c r="B53" s="265" t="s">
        <v>166</v>
      </c>
      <c r="C53" s="265"/>
      <c r="D53" s="265"/>
      <c r="E53" s="265"/>
      <c r="F53" s="265"/>
      <c r="G53" s="265"/>
      <c r="H53" s="266"/>
      <c r="I53" s="266"/>
      <c r="J53" s="266"/>
      <c r="K53" s="266"/>
      <c r="L53" s="266"/>
      <c r="M53" s="266"/>
      <c r="N53" s="266"/>
      <c r="O53" s="266"/>
      <c r="P53" s="266"/>
      <c r="Q53" s="266"/>
      <c r="R53" s="266"/>
      <c r="S53" s="266"/>
      <c r="T53" s="266"/>
      <c r="U53" s="266"/>
      <c r="V53" s="266"/>
      <c r="W53" s="266"/>
      <c r="X53" s="266"/>
      <c r="Y53" s="266"/>
      <c r="Z53" s="266"/>
      <c r="AA53" s="266"/>
      <c r="AB53" s="266"/>
      <c r="AC53" s="266"/>
      <c r="AD53" s="266"/>
      <c r="AE53" s="266"/>
      <c r="AF53" s="266"/>
      <c r="AG53" s="109"/>
      <c r="AH53" s="109"/>
    </row>
    <row r="54" spans="1:34" ht="27.75" customHeight="1">
      <c r="A54" s="109"/>
      <c r="B54" s="258" t="s">
        <v>167</v>
      </c>
      <c r="C54" s="259"/>
      <c r="D54" s="259"/>
      <c r="E54" s="259"/>
      <c r="F54" s="259"/>
      <c r="G54" s="260"/>
      <c r="H54" s="264" t="s">
        <v>168</v>
      </c>
      <c r="I54" s="262"/>
      <c r="J54" s="262"/>
      <c r="K54" s="262"/>
      <c r="L54" s="262"/>
      <c r="M54" s="262"/>
      <c r="N54" s="262"/>
      <c r="O54" s="262"/>
      <c r="P54" s="262"/>
      <c r="Q54" s="262"/>
      <c r="R54" s="262"/>
      <c r="S54" s="262"/>
      <c r="T54" s="262"/>
      <c r="U54" s="262"/>
      <c r="V54" s="262"/>
      <c r="W54" s="262"/>
      <c r="X54" s="262"/>
      <c r="Y54" s="262"/>
      <c r="Z54" s="262"/>
      <c r="AA54" s="262"/>
      <c r="AB54" s="262"/>
      <c r="AC54" s="262"/>
      <c r="AD54" s="262"/>
      <c r="AE54" s="262"/>
      <c r="AF54" s="263"/>
      <c r="AG54" s="109"/>
      <c r="AH54" s="109"/>
    </row>
    <row r="55" spans="1:34">
      <c r="A55" s="109"/>
      <c r="B55" s="258"/>
      <c r="C55" s="259"/>
      <c r="D55" s="259"/>
      <c r="E55" s="259"/>
      <c r="F55" s="259"/>
      <c r="G55" s="260"/>
      <c r="H55" s="261"/>
      <c r="I55" s="262"/>
      <c r="J55" s="262"/>
      <c r="K55" s="262"/>
      <c r="L55" s="262"/>
      <c r="M55" s="262"/>
      <c r="N55" s="262"/>
      <c r="O55" s="262"/>
      <c r="P55" s="262"/>
      <c r="Q55" s="262"/>
      <c r="R55" s="262"/>
      <c r="S55" s="262"/>
      <c r="T55" s="262"/>
      <c r="U55" s="262"/>
      <c r="V55" s="262"/>
      <c r="W55" s="262"/>
      <c r="X55" s="262"/>
      <c r="Y55" s="262"/>
      <c r="Z55" s="262"/>
      <c r="AA55" s="262"/>
      <c r="AB55" s="262"/>
      <c r="AC55" s="262"/>
      <c r="AD55" s="262"/>
      <c r="AE55" s="262"/>
      <c r="AF55" s="263"/>
      <c r="AG55" s="109"/>
      <c r="AH55" s="109"/>
    </row>
    <row r="56" spans="1:34">
      <c r="A56" s="109"/>
      <c r="B56" s="258"/>
      <c r="C56" s="259"/>
      <c r="D56" s="259"/>
      <c r="E56" s="259"/>
      <c r="F56" s="259"/>
      <c r="G56" s="260"/>
      <c r="H56" s="261"/>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3"/>
      <c r="AG56" s="109"/>
      <c r="AH56" s="109"/>
    </row>
    <row r="57" spans="1:34">
      <c r="A57" s="109"/>
      <c r="B57" s="258"/>
      <c r="C57" s="259"/>
      <c r="D57" s="259"/>
      <c r="E57" s="259"/>
      <c r="F57" s="259"/>
      <c r="G57" s="260"/>
      <c r="H57" s="261"/>
      <c r="I57" s="262"/>
      <c r="J57" s="262"/>
      <c r="K57" s="262"/>
      <c r="L57" s="262"/>
      <c r="M57" s="262"/>
      <c r="N57" s="262"/>
      <c r="O57" s="262"/>
      <c r="P57" s="262"/>
      <c r="Q57" s="262"/>
      <c r="R57" s="262"/>
      <c r="S57" s="262"/>
      <c r="T57" s="262"/>
      <c r="U57" s="262"/>
      <c r="V57" s="262"/>
      <c r="W57" s="262"/>
      <c r="X57" s="262"/>
      <c r="Y57" s="262"/>
      <c r="Z57" s="262"/>
      <c r="AA57" s="262"/>
      <c r="AB57" s="262"/>
      <c r="AC57" s="262"/>
      <c r="AD57" s="262"/>
      <c r="AE57" s="262"/>
      <c r="AF57" s="263"/>
      <c r="AG57" s="109"/>
      <c r="AH57" s="109"/>
    </row>
    <row r="58" spans="1:34">
      <c r="A58" s="109"/>
      <c r="B58" s="258"/>
      <c r="C58" s="259"/>
      <c r="D58" s="259"/>
      <c r="E58" s="259"/>
      <c r="F58" s="259"/>
      <c r="G58" s="260"/>
      <c r="H58" s="261"/>
      <c r="I58" s="262"/>
      <c r="J58" s="262"/>
      <c r="K58" s="262"/>
      <c r="L58" s="262"/>
      <c r="M58" s="262"/>
      <c r="N58" s="262"/>
      <c r="O58" s="262"/>
      <c r="P58" s="262"/>
      <c r="Q58" s="262"/>
      <c r="R58" s="262"/>
      <c r="S58" s="262"/>
      <c r="T58" s="262"/>
      <c r="U58" s="262"/>
      <c r="V58" s="262"/>
      <c r="W58" s="262"/>
      <c r="X58" s="262"/>
      <c r="Y58" s="262"/>
      <c r="Z58" s="262"/>
      <c r="AA58" s="262"/>
      <c r="AB58" s="262"/>
      <c r="AC58" s="262"/>
      <c r="AD58" s="262"/>
      <c r="AE58" s="262"/>
      <c r="AF58" s="263"/>
      <c r="AG58" s="109"/>
      <c r="AH58" s="109"/>
    </row>
    <row r="59" spans="1:34">
      <c r="A59" s="109"/>
      <c r="B59" s="127"/>
      <c r="C59" s="127"/>
      <c r="D59" s="127"/>
      <c r="E59" s="127"/>
      <c r="F59" s="127"/>
      <c r="G59" s="127"/>
      <c r="H59" s="131"/>
      <c r="I59" s="131"/>
      <c r="J59" s="131"/>
      <c r="K59" s="131"/>
      <c r="L59" s="131"/>
      <c r="M59" s="131"/>
      <c r="N59" s="131"/>
      <c r="O59" s="131"/>
      <c r="P59" s="131"/>
      <c r="Q59" s="131"/>
      <c r="R59" s="131"/>
      <c r="S59" s="131"/>
      <c r="T59" s="131"/>
      <c r="U59" s="131"/>
      <c r="V59" s="131"/>
      <c r="W59" s="131"/>
      <c r="X59" s="131"/>
      <c r="Y59" s="131"/>
      <c r="Z59" s="131"/>
      <c r="AA59" s="131"/>
      <c r="AB59" s="131"/>
      <c r="AC59" s="131"/>
      <c r="AD59" s="131"/>
      <c r="AE59" s="131"/>
      <c r="AF59" s="131"/>
      <c r="AG59" s="109"/>
      <c r="AH59" s="109"/>
    </row>
    <row r="60" spans="1:34">
      <c r="A60" s="109"/>
      <c r="B60" s="127"/>
      <c r="C60" s="127"/>
      <c r="D60" s="127"/>
      <c r="E60" s="127"/>
      <c r="F60" s="127"/>
      <c r="G60" s="127"/>
      <c r="H60" s="131"/>
      <c r="I60" s="131"/>
      <c r="J60" s="131"/>
      <c r="K60" s="131"/>
      <c r="L60" s="131"/>
      <c r="M60" s="131"/>
      <c r="N60" s="131"/>
      <c r="O60" s="131"/>
      <c r="P60" s="131"/>
      <c r="Q60" s="131"/>
      <c r="R60" s="131"/>
      <c r="S60" s="131"/>
      <c r="T60" s="131"/>
      <c r="U60" s="131"/>
      <c r="V60" s="131"/>
      <c r="W60" s="131"/>
      <c r="X60" s="131"/>
      <c r="Y60" s="131"/>
      <c r="Z60" s="131"/>
      <c r="AA60" s="131"/>
      <c r="AB60" s="131"/>
      <c r="AC60" s="131"/>
      <c r="AD60" s="131"/>
      <c r="AE60" s="131"/>
      <c r="AF60" s="131"/>
      <c r="AG60" s="109"/>
      <c r="AH60" s="109"/>
    </row>
    <row r="61" spans="1:34" ht="26.25">
      <c r="A61" s="109"/>
      <c r="B61" s="132" t="s">
        <v>169</v>
      </c>
      <c r="C61" s="133"/>
      <c r="D61" s="133"/>
      <c r="E61" s="133"/>
      <c r="F61" s="133"/>
      <c r="G61" s="133"/>
      <c r="H61" s="134"/>
      <c r="I61" s="134"/>
      <c r="J61" s="134"/>
      <c r="K61" s="134"/>
      <c r="L61" s="134"/>
      <c r="M61" s="134"/>
      <c r="N61" s="134"/>
      <c r="O61" s="134"/>
      <c r="P61" s="134"/>
      <c r="Q61" s="134"/>
      <c r="R61" s="134"/>
      <c r="S61" s="134"/>
      <c r="T61" s="134"/>
      <c r="U61" s="134"/>
      <c r="V61" s="134"/>
      <c r="W61" s="134"/>
      <c r="X61" s="134"/>
      <c r="Y61" s="134"/>
      <c r="Z61" s="134"/>
      <c r="AA61" s="134"/>
      <c r="AB61" s="134"/>
      <c r="AC61" s="134"/>
      <c r="AD61" s="134"/>
      <c r="AE61" s="134"/>
      <c r="AF61" s="134"/>
      <c r="AG61" s="109"/>
      <c r="AH61" s="109"/>
    </row>
    <row r="62" spans="1:34" ht="26.25">
      <c r="A62" s="109"/>
      <c r="B62" s="135"/>
      <c r="C62" s="127"/>
      <c r="D62" s="127"/>
      <c r="E62" s="127"/>
      <c r="F62" s="127"/>
      <c r="G62" s="127"/>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31"/>
      <c r="AG62" s="109"/>
      <c r="AH62" s="109"/>
    </row>
    <row r="63" spans="1:34" s="188" customFormat="1" ht="20.25">
      <c r="B63" s="189" t="s">
        <v>287</v>
      </c>
    </row>
    <row r="64" spans="1:34">
      <c r="A64" s="109"/>
      <c r="B64" s="136"/>
      <c r="C64" s="136"/>
      <c r="D64" s="136"/>
      <c r="E64" s="136"/>
      <c r="F64" s="136"/>
      <c r="G64" s="136"/>
      <c r="H64" s="137"/>
      <c r="I64" s="137"/>
      <c r="J64" s="137"/>
      <c r="K64" s="137"/>
      <c r="L64" s="137"/>
      <c r="M64" s="137"/>
      <c r="N64" s="137"/>
      <c r="O64" s="137"/>
      <c r="P64" s="137"/>
      <c r="Q64" s="137"/>
      <c r="R64" s="137"/>
      <c r="S64" s="137"/>
      <c r="T64" s="137"/>
      <c r="U64" s="137"/>
      <c r="V64" s="137"/>
      <c r="W64" s="137"/>
      <c r="X64" s="137"/>
      <c r="Y64" s="137"/>
      <c r="Z64" s="137"/>
      <c r="AA64" s="137"/>
      <c r="AB64" s="137"/>
      <c r="AC64" s="137"/>
      <c r="AD64" s="137"/>
      <c r="AE64" s="137"/>
      <c r="AF64" s="137"/>
      <c r="AG64" s="109"/>
      <c r="AH64" s="109"/>
    </row>
    <row r="65" spans="1:36" ht="52.5" customHeight="1">
      <c r="A65" s="109"/>
      <c r="B65" s="295" t="s">
        <v>283</v>
      </c>
      <c r="C65" s="296"/>
      <c r="D65" s="296"/>
      <c r="E65" s="296"/>
      <c r="F65" s="296"/>
      <c r="G65" s="297"/>
      <c r="H65" s="298" t="s">
        <v>278</v>
      </c>
      <c r="I65" s="299"/>
      <c r="J65" s="299"/>
      <c r="K65" s="299"/>
      <c r="L65" s="299"/>
      <c r="M65" s="299"/>
      <c r="N65" s="299"/>
      <c r="O65" s="299"/>
      <c r="P65" s="299"/>
      <c r="Q65" s="299"/>
      <c r="R65" s="299"/>
      <c r="S65" s="299"/>
      <c r="T65" s="299"/>
      <c r="U65" s="299"/>
      <c r="V65" s="299"/>
      <c r="W65" s="299"/>
      <c r="X65" s="299"/>
      <c r="Y65" s="299"/>
      <c r="Z65" s="299"/>
      <c r="AA65" s="299"/>
      <c r="AB65" s="299"/>
      <c r="AC65" s="299"/>
      <c r="AD65" s="299"/>
      <c r="AE65" s="299"/>
      <c r="AF65" s="300"/>
      <c r="AG65" s="109"/>
      <c r="AH65" s="109"/>
    </row>
    <row r="66" spans="1:36" ht="111" customHeight="1">
      <c r="A66" s="109"/>
      <c r="B66" s="295" t="s">
        <v>284</v>
      </c>
      <c r="C66" s="296"/>
      <c r="D66" s="296"/>
      <c r="E66" s="296"/>
      <c r="F66" s="296"/>
      <c r="G66" s="297"/>
      <c r="H66" s="298" t="s">
        <v>280</v>
      </c>
      <c r="I66" s="299"/>
      <c r="J66" s="299"/>
      <c r="K66" s="299"/>
      <c r="L66" s="299"/>
      <c r="M66" s="299"/>
      <c r="N66" s="299"/>
      <c r="O66" s="299"/>
      <c r="P66" s="299"/>
      <c r="Q66" s="299"/>
      <c r="R66" s="299"/>
      <c r="S66" s="299"/>
      <c r="T66" s="299"/>
      <c r="U66" s="299"/>
      <c r="V66" s="299"/>
      <c r="W66" s="299"/>
      <c r="X66" s="299"/>
      <c r="Y66" s="299"/>
      <c r="Z66" s="299"/>
      <c r="AA66" s="299"/>
      <c r="AB66" s="299"/>
      <c r="AC66" s="299"/>
      <c r="AD66" s="299"/>
      <c r="AE66" s="299"/>
      <c r="AF66" s="300"/>
      <c r="AG66" s="109"/>
      <c r="AH66" s="109"/>
    </row>
    <row r="67" spans="1:36" ht="52.5" customHeight="1">
      <c r="A67" s="109"/>
      <c r="B67" s="295" t="s">
        <v>285</v>
      </c>
      <c r="C67" s="296"/>
      <c r="D67" s="296"/>
      <c r="E67" s="296"/>
      <c r="F67" s="296"/>
      <c r="G67" s="297"/>
      <c r="H67" s="298" t="s">
        <v>288</v>
      </c>
      <c r="I67" s="299"/>
      <c r="J67" s="299"/>
      <c r="K67" s="299"/>
      <c r="L67" s="299"/>
      <c r="M67" s="299"/>
      <c r="N67" s="299"/>
      <c r="O67" s="299"/>
      <c r="P67" s="299"/>
      <c r="Q67" s="299"/>
      <c r="R67" s="299"/>
      <c r="S67" s="299"/>
      <c r="T67" s="299"/>
      <c r="U67" s="299"/>
      <c r="V67" s="299"/>
      <c r="W67" s="299"/>
      <c r="X67" s="299"/>
      <c r="Y67" s="299"/>
      <c r="Z67" s="299"/>
      <c r="AA67" s="299"/>
      <c r="AB67" s="299"/>
      <c r="AC67" s="299"/>
      <c r="AD67" s="299"/>
      <c r="AE67" s="299"/>
      <c r="AF67" s="300"/>
      <c r="AG67" s="109"/>
      <c r="AH67" s="109"/>
    </row>
    <row r="68" spans="1:36" ht="52.5" customHeight="1">
      <c r="A68" s="109"/>
      <c r="B68" s="295" t="s">
        <v>277</v>
      </c>
      <c r="C68" s="296"/>
      <c r="D68" s="296"/>
      <c r="E68" s="296"/>
      <c r="F68" s="296"/>
      <c r="G68" s="297"/>
      <c r="H68" s="298" t="s">
        <v>281</v>
      </c>
      <c r="I68" s="299"/>
      <c r="J68" s="299"/>
      <c r="K68" s="299"/>
      <c r="L68" s="299"/>
      <c r="M68" s="299"/>
      <c r="N68" s="299"/>
      <c r="O68" s="299"/>
      <c r="P68" s="299"/>
      <c r="Q68" s="299"/>
      <c r="R68" s="299"/>
      <c r="S68" s="299"/>
      <c r="T68" s="299"/>
      <c r="U68" s="299"/>
      <c r="V68" s="299"/>
      <c r="W68" s="299"/>
      <c r="X68" s="299"/>
      <c r="Y68" s="299"/>
      <c r="Z68" s="299"/>
      <c r="AA68" s="299"/>
      <c r="AB68" s="299"/>
      <c r="AC68" s="299"/>
      <c r="AD68" s="299"/>
      <c r="AE68" s="299"/>
      <c r="AF68" s="300"/>
      <c r="AG68" s="109"/>
      <c r="AH68" s="109"/>
    </row>
    <row r="69" spans="1:36" ht="81" customHeight="1">
      <c r="A69" s="109"/>
      <c r="B69" s="295" t="s">
        <v>286</v>
      </c>
      <c r="C69" s="296"/>
      <c r="D69" s="296"/>
      <c r="E69" s="296"/>
      <c r="F69" s="296"/>
      <c r="G69" s="297"/>
      <c r="H69" s="298" t="s">
        <v>289</v>
      </c>
      <c r="I69" s="299"/>
      <c r="J69" s="299"/>
      <c r="K69" s="299"/>
      <c r="L69" s="299"/>
      <c r="M69" s="299"/>
      <c r="N69" s="299"/>
      <c r="O69" s="299"/>
      <c r="P69" s="299"/>
      <c r="Q69" s="299"/>
      <c r="R69" s="299"/>
      <c r="S69" s="299"/>
      <c r="T69" s="299"/>
      <c r="U69" s="299"/>
      <c r="V69" s="299"/>
      <c r="W69" s="299"/>
      <c r="X69" s="299"/>
      <c r="Y69" s="299"/>
      <c r="Z69" s="299"/>
      <c r="AA69" s="299"/>
      <c r="AB69" s="299"/>
      <c r="AC69" s="299"/>
      <c r="AD69" s="299"/>
      <c r="AE69" s="299"/>
      <c r="AF69" s="300"/>
      <c r="AG69" s="109"/>
      <c r="AH69" s="109"/>
    </row>
    <row r="70" spans="1:36" ht="97.5" customHeight="1">
      <c r="A70" s="109"/>
      <c r="B70" s="295" t="s">
        <v>279</v>
      </c>
      <c r="C70" s="296"/>
      <c r="D70" s="296"/>
      <c r="E70" s="296"/>
      <c r="F70" s="296"/>
      <c r="G70" s="297"/>
      <c r="H70" s="298" t="s">
        <v>282</v>
      </c>
      <c r="I70" s="299"/>
      <c r="J70" s="299"/>
      <c r="K70" s="299"/>
      <c r="L70" s="299"/>
      <c r="M70" s="299"/>
      <c r="N70" s="299"/>
      <c r="O70" s="299"/>
      <c r="P70" s="299"/>
      <c r="Q70" s="299"/>
      <c r="R70" s="299"/>
      <c r="S70" s="299"/>
      <c r="T70" s="299"/>
      <c r="U70" s="299"/>
      <c r="V70" s="299"/>
      <c r="W70" s="299"/>
      <c r="X70" s="299"/>
      <c r="Y70" s="299"/>
      <c r="Z70" s="299"/>
      <c r="AA70" s="299"/>
      <c r="AB70" s="299"/>
      <c r="AC70" s="299"/>
      <c r="AD70" s="299"/>
      <c r="AE70" s="299"/>
      <c r="AF70" s="300"/>
      <c r="AG70" s="109"/>
      <c r="AH70" s="109"/>
    </row>
    <row r="71" spans="1:36">
      <c r="A71" s="109"/>
      <c r="B71" s="136"/>
      <c r="C71" s="136"/>
      <c r="D71" s="136"/>
      <c r="E71" s="136"/>
      <c r="F71" s="136"/>
      <c r="G71" s="136"/>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09"/>
      <c r="AH71" s="109"/>
    </row>
    <row r="72" spans="1:36">
      <c r="A72" s="109"/>
      <c r="B72" s="136"/>
      <c r="C72" s="136"/>
      <c r="D72" s="136"/>
      <c r="E72" s="136"/>
      <c r="F72" s="136"/>
      <c r="G72" s="136"/>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09"/>
      <c r="AH72" s="109"/>
    </row>
    <row r="73" spans="1:36">
      <c r="A73" s="109"/>
      <c r="B73" s="136"/>
      <c r="C73" s="136"/>
      <c r="D73" s="136"/>
      <c r="E73" s="136"/>
      <c r="F73" s="136"/>
      <c r="G73" s="136"/>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09"/>
      <c r="AH73" s="109"/>
    </row>
    <row r="74" spans="1:36" ht="26.25">
      <c r="A74" s="109"/>
      <c r="B74" s="132" t="s">
        <v>170</v>
      </c>
      <c r="C74" s="133"/>
      <c r="D74" s="133"/>
      <c r="E74" s="133"/>
      <c r="F74" s="133"/>
      <c r="G74" s="133"/>
      <c r="H74" s="134"/>
      <c r="I74" s="134"/>
      <c r="J74" s="134"/>
      <c r="K74" s="134"/>
      <c r="L74" s="134"/>
      <c r="M74" s="134"/>
      <c r="N74" s="134"/>
      <c r="O74" s="134"/>
      <c r="P74" s="134"/>
      <c r="Q74" s="134"/>
      <c r="R74" s="134"/>
      <c r="S74" s="134"/>
      <c r="T74" s="134"/>
      <c r="U74" s="134"/>
      <c r="V74" s="134"/>
      <c r="W74" s="134"/>
      <c r="X74" s="134"/>
      <c r="Y74" s="134"/>
      <c r="Z74" s="134"/>
      <c r="AA74" s="134"/>
      <c r="AB74" s="134"/>
      <c r="AC74" s="134"/>
      <c r="AD74" s="134"/>
      <c r="AE74" s="134"/>
      <c r="AF74" s="134"/>
      <c r="AG74" s="109"/>
      <c r="AH74" s="109"/>
    </row>
    <row r="75" spans="1:36">
      <c r="A75" s="109"/>
      <c r="B75" s="136"/>
      <c r="C75" s="136"/>
      <c r="D75" s="136"/>
      <c r="E75" s="136"/>
      <c r="F75" s="136"/>
      <c r="G75" s="136"/>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09"/>
      <c r="AH75" s="109"/>
    </row>
    <row r="76" spans="1:36">
      <c r="A76" s="109"/>
      <c r="B76" s="136" t="s">
        <v>171</v>
      </c>
      <c r="C76" s="136"/>
      <c r="D76" s="136"/>
      <c r="E76" s="136"/>
      <c r="F76" s="136"/>
      <c r="G76" s="136"/>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09"/>
      <c r="AH76" s="109"/>
    </row>
    <row r="77" spans="1:36" ht="67.5">
      <c r="A77" s="109"/>
      <c r="B77" s="136"/>
      <c r="C77" s="136"/>
      <c r="D77" s="136"/>
      <c r="E77" s="136"/>
      <c r="F77" s="136"/>
      <c r="G77" s="136"/>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09"/>
      <c r="AH77" s="109"/>
      <c r="AJ77" s="197" t="s">
        <v>398</v>
      </c>
    </row>
    <row r="78" spans="1:36" ht="18.75">
      <c r="A78" s="109"/>
      <c r="C78" s="136"/>
      <c r="D78" s="136"/>
      <c r="E78" s="136"/>
      <c r="F78" s="136"/>
      <c r="G78" s="136"/>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09"/>
      <c r="AH78" s="109"/>
      <c r="AI78" s="158"/>
      <c r="AJ78" s="196" t="s">
        <v>399</v>
      </c>
    </row>
    <row r="79" spans="1:36">
      <c r="A79" s="109"/>
      <c r="C79" s="136"/>
      <c r="D79" s="136"/>
      <c r="E79" s="136"/>
      <c r="F79" s="136"/>
      <c r="G79" s="136"/>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09"/>
      <c r="AH79" s="109"/>
      <c r="AI79" s="159" t="s">
        <v>226</v>
      </c>
      <c r="AJ79" s="159" t="s">
        <v>172</v>
      </c>
    </row>
    <row r="80" spans="1:36">
      <c r="A80" s="109"/>
      <c r="C80" s="136"/>
      <c r="D80" s="136"/>
      <c r="E80" s="136"/>
      <c r="F80" s="136"/>
      <c r="G80" s="136"/>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09"/>
      <c r="AH80" s="109"/>
      <c r="AI80" s="159" t="s">
        <v>23</v>
      </c>
      <c r="AJ80" s="159" t="s">
        <v>174</v>
      </c>
    </row>
    <row r="81" spans="1:36">
      <c r="A81" s="109"/>
      <c r="C81" s="136"/>
      <c r="D81" s="136"/>
      <c r="E81" s="136"/>
      <c r="F81" s="136"/>
      <c r="G81" s="136"/>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09"/>
      <c r="AH81" s="109"/>
      <c r="AI81" s="159" t="s">
        <v>11</v>
      </c>
      <c r="AJ81" s="159" t="s">
        <v>228</v>
      </c>
    </row>
    <row r="82" spans="1:36" ht="18.75">
      <c r="A82" s="109"/>
      <c r="C82" s="136"/>
      <c r="D82" s="136"/>
      <c r="E82" s="136"/>
      <c r="F82" s="136"/>
      <c r="G82" s="136"/>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09"/>
      <c r="AH82" s="109"/>
      <c r="AI82" s="160"/>
      <c r="AJ82" s="159" t="s">
        <v>175</v>
      </c>
    </row>
    <row r="83" spans="1:36">
      <c r="A83" s="109"/>
      <c r="B83" s="136"/>
      <c r="C83" s="136"/>
      <c r="D83" s="136"/>
      <c r="E83" s="136"/>
      <c r="F83" s="136"/>
      <c r="G83" s="136"/>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09"/>
      <c r="AH83" s="109"/>
      <c r="AJ83" s="159" t="s">
        <v>299</v>
      </c>
    </row>
    <row r="84" spans="1:3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J84" s="159" t="s">
        <v>173</v>
      </c>
    </row>
    <row r="85" spans="1:36">
      <c r="AJ85" s="159" t="s">
        <v>232</v>
      </c>
    </row>
    <row r="86" spans="1:36">
      <c r="AJ86" s="159" t="s">
        <v>300</v>
      </c>
    </row>
    <row r="87" spans="1:36">
      <c r="AJ87" s="159" t="s">
        <v>301</v>
      </c>
    </row>
    <row r="88" spans="1:36">
      <c r="AJ88" s="159" t="s">
        <v>302</v>
      </c>
    </row>
    <row r="89" spans="1:36">
      <c r="AJ89" s="159" t="s">
        <v>303</v>
      </c>
    </row>
    <row r="90" spans="1:36">
      <c r="AJ90" s="159" t="s">
        <v>309</v>
      </c>
    </row>
    <row r="91" spans="1:36">
      <c r="AJ91" s="159" t="s">
        <v>176</v>
      </c>
    </row>
    <row r="92" spans="1:36">
      <c r="AJ92" s="159" t="s">
        <v>304</v>
      </c>
    </row>
    <row r="93" spans="1:36">
      <c r="AJ93" s="159" t="s">
        <v>305</v>
      </c>
    </row>
    <row r="94" spans="1:36">
      <c r="AJ94" s="159" t="s">
        <v>306</v>
      </c>
    </row>
    <row r="95" spans="1:36">
      <c r="AJ95" s="159" t="s">
        <v>307</v>
      </c>
    </row>
    <row r="96" spans="1:36">
      <c r="AJ96" s="159" t="s">
        <v>308</v>
      </c>
    </row>
    <row r="97" spans="36:36">
      <c r="AJ97" s="159" t="s">
        <v>177</v>
      </c>
    </row>
    <row r="98" spans="36:36">
      <c r="AJ98" s="159" t="s">
        <v>310</v>
      </c>
    </row>
    <row r="99" spans="36:36" ht="18.75">
      <c r="AJ99" s="160" t="s">
        <v>305</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4"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activeCell="B13" sqref="B13:B15"/>
    </sheetView>
  </sheetViews>
  <sheetFormatPr defaultColWidth="9.28515625" defaultRowHeight="12.75"/>
  <cols>
    <col min="1" max="1" width="3.5703125" style="1" customWidth="1"/>
    <col min="2" max="2" width="19.42578125" style="1" customWidth="1"/>
    <col min="3" max="3" width="100.5703125" style="1" customWidth="1"/>
    <col min="4" max="16384" width="9.28515625" style="1"/>
  </cols>
  <sheetData>
    <row r="1" spans="1:8" ht="19.5">
      <c r="A1" s="303" t="s">
        <v>15</v>
      </c>
      <c r="B1" s="304"/>
      <c r="C1" s="304"/>
      <c r="D1" s="305"/>
    </row>
    <row r="3" spans="1:8">
      <c r="B3" s="306" t="s">
        <v>16</v>
      </c>
      <c r="C3" s="307"/>
      <c r="D3" s="308"/>
    </row>
    <row r="4" spans="1:8">
      <c r="B4" s="92" t="s">
        <v>97</v>
      </c>
      <c r="C4" s="45"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0" t="s">
        <v>84</v>
      </c>
      <c r="C9" s="45" t="s">
        <v>85</v>
      </c>
      <c r="D9" s="13"/>
    </row>
    <row r="10" spans="1:8">
      <c r="B10" s="80" t="s">
        <v>58</v>
      </c>
      <c r="C10" s="45" t="s">
        <v>59</v>
      </c>
      <c r="D10" s="13"/>
    </row>
    <row r="11" spans="1:8">
      <c r="B11" s="3"/>
      <c r="C11" s="3"/>
      <c r="D11" s="3"/>
    </row>
    <row r="12" spans="1:8">
      <c r="B12" s="306" t="s">
        <v>185</v>
      </c>
      <c r="C12" s="307"/>
      <c r="D12" s="308"/>
    </row>
    <row r="13" spans="1:8" ht="24.75" customHeight="1">
      <c r="B13" s="138" t="s">
        <v>180</v>
      </c>
      <c r="C13" s="309" t="s">
        <v>182</v>
      </c>
      <c r="D13" s="310"/>
    </row>
    <row r="14" spans="1:8" ht="25.5" customHeight="1">
      <c r="B14" s="138" t="s">
        <v>107</v>
      </c>
      <c r="C14" s="309" t="s">
        <v>183</v>
      </c>
      <c r="D14" s="310"/>
      <c r="E14" s="93"/>
      <c r="F14" s="93"/>
      <c r="G14" s="93"/>
      <c r="H14" s="93"/>
    </row>
    <row r="15" spans="1:8" ht="49.5" customHeight="1">
      <c r="B15" s="138" t="s">
        <v>181</v>
      </c>
      <c r="C15" s="309" t="s">
        <v>184</v>
      </c>
      <c r="D15" s="310"/>
      <c r="F15" s="97" t="s">
        <v>136</v>
      </c>
    </row>
    <row r="17" spans="2:6">
      <c r="B17" s="306" t="s">
        <v>13</v>
      </c>
      <c r="C17" s="307"/>
      <c r="D17" s="308"/>
    </row>
    <row r="18" spans="2:6">
      <c r="B18" s="2"/>
      <c r="C18" s="3"/>
      <c r="D18" s="4"/>
      <c r="F18" s="97" t="s">
        <v>133</v>
      </c>
    </row>
    <row r="19" spans="2:6" s="94" customFormat="1" ht="38.25">
      <c r="B19" s="301" t="s">
        <v>186</v>
      </c>
      <c r="C19" s="139" t="s">
        <v>108</v>
      </c>
      <c r="D19" s="95"/>
      <c r="F19" s="98" t="s">
        <v>134</v>
      </c>
    </row>
    <row r="20" spans="2:6">
      <c r="B20" s="301"/>
      <c r="C20" s="140"/>
      <c r="D20" s="4"/>
      <c r="F20" s="97" t="s">
        <v>135</v>
      </c>
    </row>
    <row r="21" spans="2:6" ht="25.5">
      <c r="B21" s="301"/>
      <c r="C21" s="141" t="s">
        <v>109</v>
      </c>
      <c r="D21" s="4"/>
    </row>
    <row r="22" spans="2:6" ht="25.5">
      <c r="B22" s="301"/>
      <c r="C22" s="141" t="s">
        <v>0</v>
      </c>
      <c r="D22" s="4"/>
    </row>
    <row r="23" spans="2:6">
      <c r="B23" s="301"/>
      <c r="C23" s="141" t="s">
        <v>1</v>
      </c>
      <c r="D23" s="4"/>
    </row>
    <row r="24" spans="2:6">
      <c r="B24" s="2"/>
      <c r="C24" s="27"/>
      <c r="D24" s="4"/>
    </row>
    <row r="25" spans="2:6">
      <c r="B25" s="302" t="s">
        <v>187</v>
      </c>
      <c r="C25" s="142" t="s">
        <v>57</v>
      </c>
      <c r="D25" s="4"/>
    </row>
    <row r="26" spans="2:6" ht="25.5">
      <c r="B26" s="302"/>
      <c r="C26" s="143" t="s">
        <v>2</v>
      </c>
      <c r="D26" s="4"/>
    </row>
    <row r="27" spans="2:6">
      <c r="B27" s="302"/>
      <c r="C27" s="142" t="s">
        <v>131</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7" t="s">
        <v>55</v>
      </c>
      <c r="C34" s="3"/>
      <c r="D34" s="4"/>
    </row>
    <row r="35" spans="2:4" ht="25.5">
      <c r="B35" s="2"/>
      <c r="C35" s="31" t="s">
        <v>53</v>
      </c>
      <c r="D35" s="4"/>
    </row>
    <row r="36" spans="2:4">
      <c r="B36" s="5"/>
      <c r="C36" s="75"/>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4" t="s">
        <v>395</v>
      </c>
      <c r="C50" s="195" t="s">
        <v>396</v>
      </c>
      <c r="D50" s="4"/>
    </row>
    <row r="51" spans="2:4">
      <c r="B51" s="5"/>
      <c r="C51" s="42"/>
      <c r="D51" s="7"/>
    </row>
    <row r="52" spans="2:4">
      <c r="B52" s="2"/>
      <c r="C52" s="31"/>
      <c r="D52" s="4"/>
    </row>
    <row r="53" spans="2:4" ht="18">
      <c r="B53" s="37" t="s">
        <v>83</v>
      </c>
      <c r="C53" s="31"/>
      <c r="D53" s="4"/>
    </row>
    <row r="54" spans="2:4">
      <c r="B54" s="2"/>
      <c r="C54" s="76" t="s">
        <v>60</v>
      </c>
      <c r="D54" s="4"/>
    </row>
    <row r="55" spans="2:4">
      <c r="B55" s="2"/>
      <c r="C55" s="77" t="s">
        <v>61</v>
      </c>
      <c r="D55" s="4"/>
    </row>
    <row r="56" spans="2:4">
      <c r="B56" s="2"/>
      <c r="C56" s="78" t="s">
        <v>62</v>
      </c>
      <c r="D56" s="4"/>
    </row>
    <row r="57" spans="2:4">
      <c r="B57" s="2"/>
      <c r="C57" s="79" t="s">
        <v>132</v>
      </c>
      <c r="D57" s="4"/>
    </row>
    <row r="58" spans="2:4">
      <c r="B58" s="5"/>
      <c r="C58" s="42"/>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86</v>
      </c>
      <c r="D115" s="4"/>
    </row>
    <row r="116" spans="2:4">
      <c r="B116" s="2"/>
      <c r="C116" s="3"/>
      <c r="D116" s="4"/>
    </row>
    <row r="117" spans="2:4" ht="12.75" customHeight="1">
      <c r="B117" s="2"/>
      <c r="C117" s="43" t="s">
        <v>81</v>
      </c>
      <c r="D117" s="4"/>
    </row>
    <row r="118" spans="2:4" ht="12.75" customHeight="1">
      <c r="B118" s="2"/>
      <c r="C118" s="3"/>
      <c r="D118" s="4"/>
    </row>
    <row r="119" spans="2:4" ht="12.75" customHeight="1">
      <c r="B119" s="2"/>
      <c r="C119" s="3"/>
      <c r="D119" s="4"/>
    </row>
    <row r="120" spans="2:4">
      <c r="B120" s="5"/>
      <c r="C120" s="6"/>
      <c r="D120" s="7"/>
    </row>
    <row r="122" spans="2:4">
      <c r="B122" s="15" t="s">
        <v>110</v>
      </c>
    </row>
    <row r="123" spans="2:4" ht="38.25">
      <c r="B123" s="8"/>
      <c r="C123" s="96" t="s">
        <v>112</v>
      </c>
      <c r="D123" s="10"/>
    </row>
    <row r="124" spans="2:4">
      <c r="B124" s="144" t="s">
        <v>188</v>
      </c>
      <c r="C124" s="1" t="s">
        <v>111</v>
      </c>
      <c r="D124" s="4"/>
    </row>
    <row r="125" spans="2:4">
      <c r="B125" s="144" t="s">
        <v>188</v>
      </c>
      <c r="C125" s="31" t="s">
        <v>115</v>
      </c>
      <c r="D125" s="4"/>
    </row>
    <row r="126" spans="2:4">
      <c r="B126" s="144" t="s">
        <v>188</v>
      </c>
      <c r="C126" s="27" t="s">
        <v>116</v>
      </c>
      <c r="D126" s="4"/>
    </row>
    <row r="127" spans="2:4">
      <c r="B127" s="144" t="s">
        <v>188</v>
      </c>
      <c r="C127" s="27" t="s">
        <v>117</v>
      </c>
      <c r="D127" s="4"/>
    </row>
    <row r="128" spans="2:4">
      <c r="B128" s="144" t="s">
        <v>188</v>
      </c>
      <c r="C128" s="27" t="s">
        <v>118</v>
      </c>
      <c r="D128" s="4"/>
    </row>
    <row r="129" spans="2:4">
      <c r="B129" s="144" t="s">
        <v>188</v>
      </c>
      <c r="C129" s="27" t="s">
        <v>122</v>
      </c>
      <c r="D129" s="4"/>
    </row>
    <row r="130" spans="2:4">
      <c r="B130" s="144" t="s">
        <v>188</v>
      </c>
      <c r="C130" s="27" t="s">
        <v>123</v>
      </c>
      <c r="D130" s="4"/>
    </row>
    <row r="131" spans="2:4">
      <c r="B131" s="144" t="s">
        <v>188</v>
      </c>
      <c r="C131" s="31" t="s">
        <v>125</v>
      </c>
      <c r="D131" s="4"/>
    </row>
    <row r="132" spans="2:4">
      <c r="B132" s="144" t="s">
        <v>188</v>
      </c>
      <c r="C132" s="31" t="s">
        <v>126</v>
      </c>
      <c r="D132" s="4"/>
    </row>
    <row r="133" spans="2:4">
      <c r="B133" s="144" t="s">
        <v>188</v>
      </c>
      <c r="C133" s="1" t="s">
        <v>124</v>
      </c>
      <c r="D133" s="4"/>
    </row>
    <row r="134" spans="2:4">
      <c r="B134" s="144" t="s">
        <v>188</v>
      </c>
      <c r="C134" s="27" t="s">
        <v>119</v>
      </c>
      <c r="D134" s="4"/>
    </row>
    <row r="135" spans="2:4">
      <c r="B135" s="144" t="s">
        <v>188</v>
      </c>
      <c r="C135" s="27" t="s">
        <v>114</v>
      </c>
      <c r="D135" s="4"/>
    </row>
    <row r="136" spans="2:4">
      <c r="B136" s="144" t="s">
        <v>188</v>
      </c>
      <c r="C136" s="31" t="s">
        <v>120</v>
      </c>
      <c r="D136" s="4"/>
    </row>
    <row r="137" spans="2:4">
      <c r="B137" s="144" t="s">
        <v>188</v>
      </c>
      <c r="C137" s="31" t="s">
        <v>128</v>
      </c>
      <c r="D137" s="4"/>
    </row>
    <row r="138" spans="2:4">
      <c r="B138" s="144" t="s">
        <v>188</v>
      </c>
      <c r="C138" s="31" t="s">
        <v>113</v>
      </c>
      <c r="D138" s="4"/>
    </row>
    <row r="139" spans="2:4">
      <c r="B139" s="144" t="s">
        <v>188</v>
      </c>
      <c r="C139" s="31" t="s">
        <v>127</v>
      </c>
      <c r="D139" s="4"/>
    </row>
    <row r="140" spans="2:4">
      <c r="B140" s="145" t="s">
        <v>188</v>
      </c>
      <c r="C140" s="6" t="s">
        <v>121</v>
      </c>
      <c r="D140" s="7"/>
    </row>
  </sheetData>
  <mergeCells count="9">
    <mergeCell ref="B19:B23"/>
    <mergeCell ref="B25:B27"/>
    <mergeCell ref="A1:D1"/>
    <mergeCell ref="B17:D17"/>
    <mergeCell ref="B3:D3"/>
    <mergeCell ref="B12:D12"/>
    <mergeCell ref="C14:D14"/>
    <mergeCell ref="C15:D15"/>
    <mergeCell ref="C13:D13"/>
  </mergeCells>
  <phoneticPr fontId="29"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6534150</xdr:colOff>
                    <xdr:row>117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28515625" defaultRowHeight="12.75" outlineLevelCol="1"/>
  <cols>
    <col min="1" max="1" width="9.28515625" style="16" collapsed="1"/>
    <col min="2" max="2" width="9.28515625" style="16" hidden="1" customWidth="1" outlineLevel="1"/>
    <col min="3" max="3" width="24" style="16" bestFit="1" customWidth="1"/>
    <col min="4" max="4" width="14.7109375" style="16" customWidth="1"/>
    <col min="5" max="5" width="10.28515625" style="16" customWidth="1"/>
    <col min="6" max="6" width="11.42578125" style="16" customWidth="1"/>
    <col min="7" max="7" width="9.28515625" style="16" customWidth="1"/>
    <col min="8" max="8" width="10.5703125" style="16" customWidth="1"/>
    <col min="9" max="9" width="12.7109375" style="16" customWidth="1"/>
    <col min="10" max="10" width="13.5703125" style="16" customWidth="1"/>
    <col min="11" max="11" width="9.28515625" style="16" customWidth="1"/>
    <col min="12" max="12" width="12.28515625" style="16" customWidth="1"/>
    <col min="13" max="13" width="12.42578125" style="16" customWidth="1"/>
    <col min="14" max="14" width="10.5703125" style="16" customWidth="1"/>
    <col min="15" max="15" width="9.42578125" style="16" customWidth="1"/>
    <col min="16" max="16" width="10.28515625" style="16" customWidth="1"/>
    <col min="17" max="18" width="10" style="16" bestFit="1" customWidth="1"/>
    <col min="19" max="19" width="11.28515625" style="16" customWidth="1"/>
    <col min="20" max="16384" width="9.2851562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2" customFormat="1" ht="76.5">
      <c r="B24" s="84" t="s">
        <v>90</v>
      </c>
      <c r="C24" s="33" t="s">
        <v>51</v>
      </c>
      <c r="D24" s="54" t="s">
        <v>69</v>
      </c>
      <c r="E24" s="84" t="s">
        <v>304</v>
      </c>
      <c r="F24" s="84" t="s">
        <v>305</v>
      </c>
      <c r="G24" s="84" t="s">
        <v>306</v>
      </c>
      <c r="H24" s="84" t="s">
        <v>307</v>
      </c>
      <c r="I24" s="84" t="s">
        <v>299</v>
      </c>
      <c r="J24" s="84" t="s">
        <v>173</v>
      </c>
      <c r="K24" s="84" t="s">
        <v>232</v>
      </c>
      <c r="L24" s="84" t="s">
        <v>300</v>
      </c>
      <c r="M24" s="84" t="s">
        <v>301</v>
      </c>
      <c r="N24" s="84" t="s">
        <v>302</v>
      </c>
      <c r="O24" s="84" t="s">
        <v>303</v>
      </c>
      <c r="P24" s="84" t="s">
        <v>309</v>
      </c>
      <c r="Q24" s="84" t="s">
        <v>176</v>
      </c>
      <c r="R24" s="84" t="s">
        <v>304</v>
      </c>
      <c r="S24" s="84" t="s">
        <v>305</v>
      </c>
      <c r="T24" s="84" t="s">
        <v>306</v>
      </c>
      <c r="U24" s="84" t="s">
        <v>307</v>
      </c>
      <c r="V24" s="84" t="s">
        <v>308</v>
      </c>
      <c r="W24" s="84" t="s">
        <v>177</v>
      </c>
      <c r="X24" s="84" t="s">
        <v>310</v>
      </c>
      <c r="Y24" s="84" t="s">
        <v>173</v>
      </c>
      <c r="Z24" s="84" t="s">
        <v>232</v>
      </c>
    </row>
    <row r="25" spans="2:52" ht="15">
      <c r="B25" s="86"/>
      <c r="C25" s="40" t="s">
        <v>77</v>
      </c>
      <c r="D25" s="83">
        <f>SUM(E25:AA25)</f>
        <v>16</v>
      </c>
      <c r="E25" s="86">
        <v>0</v>
      </c>
      <c r="F25" s="86">
        <v>15</v>
      </c>
      <c r="G25" s="86">
        <v>0</v>
      </c>
      <c r="H25" s="86">
        <v>0</v>
      </c>
      <c r="I25" s="86">
        <v>0</v>
      </c>
      <c r="J25" s="86">
        <v>0</v>
      </c>
      <c r="K25" s="86">
        <v>0</v>
      </c>
      <c r="L25" s="86">
        <v>0</v>
      </c>
      <c r="M25" s="86">
        <v>0</v>
      </c>
      <c r="N25" s="86">
        <v>0</v>
      </c>
      <c r="O25" s="86">
        <v>0</v>
      </c>
      <c r="P25" s="86">
        <v>0</v>
      </c>
      <c r="Q25" s="86">
        <v>0</v>
      </c>
      <c r="R25" s="86">
        <v>0</v>
      </c>
      <c r="S25" s="86">
        <v>0</v>
      </c>
      <c r="T25" s="86">
        <v>0</v>
      </c>
      <c r="U25" s="86">
        <v>0</v>
      </c>
      <c r="V25" s="86">
        <v>0</v>
      </c>
      <c r="W25" s="86">
        <v>0</v>
      </c>
      <c r="X25" s="86">
        <v>0</v>
      </c>
      <c r="Y25" s="86">
        <v>0</v>
      </c>
      <c r="Z25" s="86">
        <v>1</v>
      </c>
    </row>
    <row r="26" spans="2:52" ht="15">
      <c r="B26" s="87"/>
      <c r="C26" s="41" t="s">
        <v>78</v>
      </c>
      <c r="D26" s="83">
        <f>SUM(E26:AA26)</f>
        <v>1</v>
      </c>
      <c r="E26" s="87">
        <v>0</v>
      </c>
      <c r="F26" s="87">
        <v>1</v>
      </c>
      <c r="G26" s="87">
        <v>0</v>
      </c>
      <c r="H26" s="87">
        <v>0</v>
      </c>
      <c r="I26" s="87">
        <v>0</v>
      </c>
      <c r="J26" s="87">
        <v>0</v>
      </c>
      <c r="K26" s="87">
        <v>0</v>
      </c>
      <c r="L26" s="87">
        <v>0</v>
      </c>
      <c r="M26" s="87">
        <v>0</v>
      </c>
      <c r="N26" s="87">
        <v>0</v>
      </c>
      <c r="O26" s="87">
        <v>0</v>
      </c>
      <c r="P26" s="87">
        <v>0</v>
      </c>
      <c r="Q26" s="87">
        <v>0</v>
      </c>
      <c r="R26" s="87">
        <v>0</v>
      </c>
      <c r="S26" s="87">
        <v>0</v>
      </c>
      <c r="T26" s="87">
        <v>0</v>
      </c>
      <c r="U26" s="87">
        <v>0</v>
      </c>
      <c r="V26" s="87">
        <v>0</v>
      </c>
      <c r="W26" s="87">
        <v>0</v>
      </c>
      <c r="X26" s="87">
        <v>0</v>
      </c>
      <c r="Y26" s="87">
        <v>0</v>
      </c>
      <c r="Z26" s="87">
        <v>0</v>
      </c>
    </row>
    <row r="27" spans="2:52" ht="15">
      <c r="B27" s="85">
        <f>B25+B26</f>
        <v>0</v>
      </c>
      <c r="C27" s="44" t="s">
        <v>22</v>
      </c>
      <c r="D27" s="85">
        <f t="shared" ref="D27" si="0">D25+D26</f>
        <v>17</v>
      </c>
      <c r="E27" s="85">
        <f>E25+E26</f>
        <v>0</v>
      </c>
      <c r="F27" s="85">
        <f>F25+F26</f>
        <v>16</v>
      </c>
      <c r="G27" s="85">
        <f>G25+G26</f>
        <v>0</v>
      </c>
      <c r="H27" s="85">
        <f>H25+H26</f>
        <v>0</v>
      </c>
      <c r="I27" s="85">
        <f t="shared" ref="I27:X27" si="1">I25+I26</f>
        <v>0</v>
      </c>
      <c r="J27" s="85">
        <f t="shared" si="1"/>
        <v>0</v>
      </c>
      <c r="K27" s="85">
        <f t="shared" si="1"/>
        <v>0</v>
      </c>
      <c r="L27" s="85">
        <f t="shared" si="1"/>
        <v>0</v>
      </c>
      <c r="M27" s="85">
        <f t="shared" si="1"/>
        <v>0</v>
      </c>
      <c r="N27" s="85">
        <f t="shared" si="1"/>
        <v>0</v>
      </c>
      <c r="O27" s="85">
        <f t="shared" si="1"/>
        <v>0</v>
      </c>
      <c r="P27" s="85">
        <f t="shared" si="1"/>
        <v>0</v>
      </c>
      <c r="Q27" s="85">
        <f t="shared" si="1"/>
        <v>0</v>
      </c>
      <c r="R27" s="85">
        <f t="shared" si="1"/>
        <v>0</v>
      </c>
      <c r="S27" s="85">
        <f t="shared" si="1"/>
        <v>0</v>
      </c>
      <c r="T27" s="85">
        <f t="shared" si="1"/>
        <v>0</v>
      </c>
      <c r="U27" s="85">
        <f t="shared" si="1"/>
        <v>0</v>
      </c>
      <c r="V27" s="85">
        <f t="shared" si="1"/>
        <v>0</v>
      </c>
      <c r="W27" s="85">
        <f t="shared" si="1"/>
        <v>0</v>
      </c>
      <c r="X27" s="85">
        <f t="shared" si="1"/>
        <v>0</v>
      </c>
      <c r="Y27" s="85">
        <f t="shared" ref="Y27:Z27" si="2">Y25+Y26</f>
        <v>0</v>
      </c>
      <c r="Z27" s="85">
        <f t="shared" si="2"/>
        <v>1</v>
      </c>
    </row>
    <row r="28" spans="2:52">
      <c r="H28" s="38"/>
    </row>
    <row r="29" spans="2:52">
      <c r="H29" s="38"/>
    </row>
    <row r="30" spans="2:52">
      <c r="H30" s="38"/>
    </row>
    <row r="31" spans="2:52" s="82" customFormat="1" ht="60" customHeight="1">
      <c r="B31" s="84" t="s">
        <v>91</v>
      </c>
      <c r="C31" s="33" t="s">
        <v>47</v>
      </c>
      <c r="D31" s="54" t="s">
        <v>69</v>
      </c>
      <c r="E31" s="84"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5">
      <c r="B32" s="86"/>
      <c r="C32" s="41" t="s">
        <v>19</v>
      </c>
      <c r="D32" s="89">
        <f>SUM(E32:AA32)</f>
        <v>0</v>
      </c>
      <c r="E32" s="86">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5">
      <c r="B33" s="87"/>
      <c r="C33" s="41" t="s">
        <v>44</v>
      </c>
      <c r="D33" s="89">
        <f>SUM(E33:AA33)</f>
        <v>0</v>
      </c>
      <c r="E33" s="87">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5">
      <c r="B34" s="87"/>
      <c r="C34" s="41" t="s">
        <v>20</v>
      </c>
      <c r="D34" s="89">
        <f>SUM(E34:AA34)</f>
        <v>2</v>
      </c>
      <c r="E34" s="87">
        <v>2</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5">
      <c r="B35" s="87"/>
      <c r="C35" s="41" t="s">
        <v>21</v>
      </c>
      <c r="D35" s="89">
        <f>SUM(E35:AA35)</f>
        <v>0</v>
      </c>
      <c r="E35" s="87">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5">
      <c r="B36" s="87"/>
      <c r="C36" s="41" t="s">
        <v>79</v>
      </c>
      <c r="D36" s="89">
        <f>SUM(E36:AA36)</f>
        <v>0</v>
      </c>
      <c r="E36" s="87">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8">
        <f>SUM(B32:B36)</f>
        <v>0</v>
      </c>
      <c r="C37" s="44" t="s">
        <v>22</v>
      </c>
      <c r="D37" s="88">
        <f>SUM(D32:D36)</f>
        <v>2</v>
      </c>
      <c r="E37" s="88">
        <f>SUM(E32:E36)</f>
        <v>2</v>
      </c>
    </row>
    <row r="38" spans="2:52">
      <c r="H38" s="38"/>
    </row>
    <row r="39" spans="2:52">
      <c r="H39" s="38"/>
    </row>
    <row r="40" spans="2:52" s="82" customFormat="1" ht="63.75">
      <c r="B40" s="84" t="s">
        <v>91</v>
      </c>
      <c r="C40" s="33" t="s">
        <v>68</v>
      </c>
      <c r="D40" s="54" t="s">
        <v>69</v>
      </c>
      <c r="E40" s="84"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7"/>
      <c r="C41" s="41" t="s">
        <v>76</v>
      </c>
      <c r="D41" s="89">
        <f>SUM(E41:AA41)</f>
        <v>2</v>
      </c>
      <c r="E41" s="87">
        <v>2</v>
      </c>
    </row>
    <row r="42" spans="2:52" ht="15">
      <c r="B42" s="87"/>
      <c r="C42" s="41" t="s">
        <v>75</v>
      </c>
      <c r="D42" s="89">
        <f>SUM(E42:AA42)</f>
        <v>0</v>
      </c>
      <c r="E42" s="87">
        <v>0</v>
      </c>
    </row>
    <row r="43" spans="2:52" s="17" customFormat="1" ht="15">
      <c r="B43" s="87"/>
      <c r="C43" s="41" t="s">
        <v>102</v>
      </c>
      <c r="D43" s="89">
        <f>SUM(E43:AA43)</f>
        <v>0</v>
      </c>
      <c r="E43" s="87">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8">
        <f>SUM(B41:B43)</f>
        <v>0</v>
      </c>
      <c r="C44" s="44" t="s">
        <v>22</v>
      </c>
      <c r="D44" s="88">
        <f>SUM(D41:D43)</f>
        <v>2</v>
      </c>
      <c r="E44" s="88">
        <f>SUM(E41:E43)</f>
        <v>2</v>
      </c>
    </row>
    <row r="47" spans="2:52" ht="25.5">
      <c r="C47" s="90" t="s">
        <v>60</v>
      </c>
      <c r="D47" s="30" t="s">
        <v>93</v>
      </c>
      <c r="E47" s="30" t="s">
        <v>92</v>
      </c>
    </row>
    <row r="48" spans="2:52">
      <c r="C48" s="91" t="s">
        <v>94</v>
      </c>
      <c r="D48" s="91" t="s">
        <v>95</v>
      </c>
      <c r="E48" s="91" t="s">
        <v>96</v>
      </c>
    </row>
  </sheetData>
  <phoneticPr fontId="29"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7"/>
  <sheetViews>
    <sheetView showGridLines="0" zoomScaleNormal="100" workbookViewId="0">
      <selection activeCell="G7" sqref="G7"/>
    </sheetView>
  </sheetViews>
  <sheetFormatPr defaultColWidth="8.7109375" defaultRowHeight="15" outlineLevelCol="1"/>
  <cols>
    <col min="1" max="1" width="37.7109375" style="146" customWidth="1"/>
    <col min="2" max="2" width="31.5703125" style="146" customWidth="1"/>
    <col min="3" max="3" width="43.42578125" style="146" customWidth="1"/>
    <col min="4" max="4" width="13.42578125" style="146" customWidth="1"/>
    <col min="5" max="5" width="18.28515625" style="146" customWidth="1"/>
    <col min="6" max="14" width="15.42578125" style="146" customWidth="1" outlineLevel="1"/>
    <col min="15" max="15" width="16.5703125" style="146" customWidth="1" outlineLevel="1"/>
    <col min="16" max="16384" width="8.7109375" style="146"/>
  </cols>
  <sheetData>
    <row r="1" spans="1:15" ht="21" customHeight="1">
      <c r="A1" s="311" t="s">
        <v>195</v>
      </c>
      <c r="B1" s="312"/>
      <c r="C1" s="312"/>
      <c r="D1" s="312"/>
      <c r="E1" s="313"/>
      <c r="F1" s="314" t="s">
        <v>210</v>
      </c>
      <c r="G1" s="315"/>
      <c r="H1" s="315"/>
      <c r="I1" s="315"/>
      <c r="J1" s="315"/>
      <c r="K1" s="315"/>
      <c r="L1" s="315"/>
      <c r="M1" s="315"/>
      <c r="N1" s="315"/>
      <c r="O1" s="315"/>
    </row>
    <row r="2" spans="1:15" ht="18.75">
      <c r="A2" s="156" t="s">
        <v>198</v>
      </c>
      <c r="B2" s="156" t="s">
        <v>194</v>
      </c>
      <c r="C2" s="156" t="s">
        <v>196</v>
      </c>
      <c r="D2" s="156" t="s">
        <v>197</v>
      </c>
      <c r="E2" s="156" t="s">
        <v>199</v>
      </c>
      <c r="F2" s="157" t="s">
        <v>200</v>
      </c>
      <c r="G2" s="157" t="s">
        <v>201</v>
      </c>
      <c r="H2" s="157" t="s">
        <v>202</v>
      </c>
      <c r="I2" s="157" t="s">
        <v>203</v>
      </c>
      <c r="J2" s="157" t="s">
        <v>204</v>
      </c>
      <c r="K2" s="157" t="s">
        <v>205</v>
      </c>
      <c r="L2" s="157" t="s">
        <v>206</v>
      </c>
      <c r="M2" s="157" t="s">
        <v>207</v>
      </c>
      <c r="N2" s="157" t="s">
        <v>208</v>
      </c>
      <c r="O2" s="157" t="s">
        <v>209</v>
      </c>
    </row>
    <row r="3" spans="1:15">
      <c r="A3" s="321" t="s">
        <v>406</v>
      </c>
      <c r="B3" s="146" t="s">
        <v>180</v>
      </c>
      <c r="C3" s="321" t="s">
        <v>407</v>
      </c>
      <c r="D3" s="321" t="s">
        <v>408</v>
      </c>
      <c r="E3" s="155">
        <v>60</v>
      </c>
      <c r="F3" s="321" t="s">
        <v>404</v>
      </c>
    </row>
    <row r="4" spans="1:15">
      <c r="A4" s="201"/>
      <c r="C4" s="202"/>
      <c r="D4" s="202"/>
      <c r="E4" s="199"/>
      <c r="F4" s="201"/>
      <c r="G4" s="198"/>
      <c r="H4" s="198"/>
      <c r="I4" s="198"/>
      <c r="J4" s="198"/>
      <c r="K4" s="198"/>
      <c r="L4" s="198"/>
      <c r="M4" s="198"/>
      <c r="N4" s="198"/>
      <c r="O4" s="198"/>
    </row>
    <row r="5" spans="1:15">
      <c r="A5" s="198"/>
      <c r="B5" s="198"/>
      <c r="C5" s="203"/>
      <c r="D5" s="203"/>
      <c r="E5" s="199"/>
      <c r="F5" s="198"/>
      <c r="G5" s="198"/>
      <c r="H5" s="198"/>
      <c r="I5" s="198"/>
      <c r="J5" s="198"/>
      <c r="K5" s="198"/>
      <c r="L5" s="198"/>
      <c r="M5" s="198"/>
      <c r="N5" s="198"/>
      <c r="O5" s="198"/>
    </row>
    <row r="6" spans="1:15">
      <c r="A6" s="205"/>
      <c r="B6" s="212"/>
      <c r="C6" s="205"/>
      <c r="D6" s="205"/>
      <c r="E6" s="155"/>
      <c r="F6" s="205"/>
    </row>
    <row r="7" spans="1:15">
      <c r="A7" s="198"/>
      <c r="C7" s="205"/>
      <c r="D7" s="205"/>
      <c r="E7" s="199"/>
      <c r="F7" s="206"/>
      <c r="G7" s="198"/>
      <c r="H7" s="198"/>
      <c r="I7" s="198"/>
      <c r="J7" s="198"/>
      <c r="K7" s="198"/>
      <c r="L7" s="198"/>
      <c r="M7" s="198"/>
      <c r="N7" s="198"/>
      <c r="O7" s="198"/>
    </row>
    <row r="8" spans="1:15">
      <c r="A8" s="207"/>
      <c r="B8" s="207"/>
      <c r="C8" s="207"/>
      <c r="D8" s="207"/>
      <c r="E8" s="199"/>
      <c r="F8" s="207"/>
      <c r="G8" s="198"/>
      <c r="H8" s="198"/>
      <c r="I8" s="198"/>
      <c r="J8" s="198"/>
      <c r="K8" s="198"/>
      <c r="L8" s="198"/>
      <c r="M8" s="198"/>
      <c r="N8" s="198"/>
      <c r="O8" s="198"/>
    </row>
    <row r="9" spans="1:15">
      <c r="A9" s="209"/>
      <c r="B9" s="207"/>
      <c r="C9" s="209"/>
      <c r="D9" s="209"/>
      <c r="E9" s="199"/>
      <c r="F9" s="209"/>
      <c r="G9" s="198"/>
      <c r="H9" s="198"/>
      <c r="I9" s="198"/>
      <c r="J9" s="198"/>
      <c r="K9" s="198"/>
      <c r="L9" s="198"/>
      <c r="M9" s="198"/>
      <c r="N9" s="198"/>
      <c r="O9" s="198"/>
    </row>
    <row r="10" spans="1:15">
      <c r="A10" s="198"/>
      <c r="B10" s="207"/>
      <c r="C10" s="213"/>
      <c r="D10" s="213"/>
      <c r="E10" s="199"/>
      <c r="F10" s="213"/>
      <c r="G10" s="198"/>
      <c r="H10" s="198"/>
      <c r="I10" s="198"/>
      <c r="J10" s="198"/>
      <c r="K10" s="198"/>
      <c r="L10" s="198"/>
      <c r="M10" s="198"/>
      <c r="N10" s="198"/>
      <c r="O10" s="198"/>
    </row>
    <row r="11" spans="1:15">
      <c r="A11" s="211"/>
      <c r="B11" s="211"/>
      <c r="C11" s="211"/>
      <c r="D11" s="211"/>
      <c r="E11" s="155"/>
      <c r="F11" s="211"/>
      <c r="G11" s="211"/>
      <c r="H11" s="198"/>
      <c r="I11" s="211"/>
      <c r="J11" s="211"/>
      <c r="K11" s="211"/>
      <c r="L11" s="211"/>
      <c r="M11" s="211"/>
      <c r="N11" s="211"/>
      <c r="O11" s="211"/>
    </row>
    <row r="12" spans="1:15">
      <c r="A12" s="211"/>
      <c r="B12" s="211"/>
      <c r="C12" s="211"/>
      <c r="D12" s="211"/>
      <c r="E12" s="155"/>
      <c r="F12" s="211"/>
      <c r="G12" s="211"/>
      <c r="H12" s="198"/>
      <c r="I12" s="211"/>
      <c r="J12" s="211"/>
      <c r="K12" s="211"/>
      <c r="L12" s="211"/>
      <c r="M12" s="211"/>
      <c r="N12" s="211"/>
      <c r="O12" s="211"/>
    </row>
    <row r="13" spans="1:15">
      <c r="A13" s="211"/>
      <c r="B13" s="211"/>
      <c r="C13" s="211"/>
      <c r="D13" s="211"/>
      <c r="E13" s="155"/>
      <c r="F13" s="211"/>
      <c r="G13" s="211"/>
      <c r="H13" s="198"/>
      <c r="I13" s="211"/>
      <c r="J13" s="211"/>
      <c r="K13" s="211"/>
      <c r="L13" s="211"/>
      <c r="M13" s="211"/>
      <c r="N13" s="211"/>
      <c r="O13" s="211"/>
    </row>
    <row r="14" spans="1:15">
      <c r="A14" s="211"/>
      <c r="B14" s="211"/>
      <c r="C14" s="211"/>
      <c r="D14" s="211"/>
      <c r="E14" s="155"/>
      <c r="F14" s="211"/>
      <c r="G14" s="211"/>
      <c r="H14" s="198"/>
      <c r="I14" s="211"/>
      <c r="J14" s="211"/>
      <c r="K14" s="211"/>
      <c r="L14" s="211"/>
      <c r="M14" s="211"/>
      <c r="N14" s="211"/>
      <c r="O14" s="211"/>
    </row>
    <row r="15" spans="1:15">
      <c r="A15" s="211"/>
      <c r="B15" s="211"/>
      <c r="C15" s="211"/>
      <c r="D15" s="211"/>
      <c r="E15" s="155"/>
      <c r="F15" s="211"/>
      <c r="G15" s="211"/>
      <c r="H15" s="198"/>
      <c r="I15" s="211"/>
      <c r="J15" s="211"/>
      <c r="K15" s="211"/>
      <c r="L15" s="211"/>
      <c r="M15" s="211"/>
      <c r="N15" s="211"/>
      <c r="O15" s="211"/>
    </row>
    <row r="16" spans="1:15">
      <c r="A16" s="211"/>
      <c r="B16" s="211"/>
      <c r="C16" s="211"/>
      <c r="D16" s="211"/>
      <c r="E16" s="155"/>
      <c r="F16" s="211"/>
      <c r="G16" s="211"/>
      <c r="H16" s="198"/>
      <c r="I16" s="211"/>
      <c r="J16" s="211"/>
      <c r="K16" s="211"/>
      <c r="L16" s="211"/>
      <c r="M16" s="211"/>
      <c r="N16" s="211"/>
      <c r="O16" s="211"/>
    </row>
    <row r="17" spans="1:15">
      <c r="A17" s="211"/>
      <c r="B17" s="211"/>
      <c r="C17" s="211"/>
      <c r="D17" s="211"/>
      <c r="E17" s="155"/>
      <c r="F17" s="211"/>
      <c r="G17" s="211"/>
      <c r="H17" s="198"/>
      <c r="I17" s="211"/>
      <c r="J17" s="211"/>
      <c r="K17" s="211"/>
      <c r="L17" s="211"/>
      <c r="M17" s="211"/>
      <c r="N17" s="211"/>
      <c r="O17" s="211"/>
    </row>
    <row r="18" spans="1:15">
      <c r="A18" s="211"/>
      <c r="B18" s="211"/>
      <c r="C18" s="211"/>
      <c r="D18" s="211"/>
      <c r="E18" s="155"/>
      <c r="F18" s="211"/>
      <c r="G18" s="211"/>
      <c r="H18" s="198"/>
      <c r="I18" s="211"/>
      <c r="J18" s="211"/>
      <c r="K18" s="211"/>
      <c r="L18" s="211"/>
      <c r="M18" s="211"/>
      <c r="N18" s="211"/>
      <c r="O18" s="211"/>
    </row>
    <row r="19" spans="1:15">
      <c r="A19" s="211"/>
      <c r="B19" s="211"/>
      <c r="C19" s="211"/>
      <c r="D19" s="211"/>
      <c r="E19" s="155"/>
      <c r="F19" s="211"/>
      <c r="G19" s="211"/>
      <c r="H19" s="198"/>
      <c r="I19" s="211"/>
      <c r="J19" s="211"/>
      <c r="K19" s="211"/>
      <c r="L19" s="211"/>
      <c r="M19" s="211"/>
      <c r="N19" s="211"/>
      <c r="O19" s="211"/>
    </row>
    <row r="20" spans="1:15">
      <c r="A20" s="211"/>
      <c r="B20" s="211"/>
      <c r="C20" s="211"/>
      <c r="D20" s="211"/>
      <c r="E20" s="155"/>
      <c r="F20" s="211"/>
      <c r="G20" s="211"/>
      <c r="H20" s="198"/>
      <c r="I20" s="211"/>
      <c r="J20" s="211"/>
      <c r="K20" s="211"/>
      <c r="L20" s="211"/>
      <c r="M20" s="211"/>
      <c r="N20" s="211"/>
      <c r="O20" s="211"/>
    </row>
    <row r="21" spans="1:15">
      <c r="A21" s="211"/>
      <c r="B21" s="211"/>
      <c r="C21" s="211"/>
      <c r="D21" s="211"/>
      <c r="E21" s="155"/>
      <c r="F21" s="211"/>
      <c r="G21" s="211"/>
      <c r="H21" s="198"/>
      <c r="I21" s="211"/>
      <c r="J21" s="211"/>
      <c r="K21" s="211"/>
      <c r="L21" s="211"/>
      <c r="M21" s="211"/>
      <c r="N21" s="211"/>
      <c r="O21" s="211"/>
    </row>
    <row r="22" spans="1:15">
      <c r="A22" s="211"/>
      <c r="B22" s="211"/>
      <c r="C22" s="211"/>
      <c r="D22" s="211"/>
      <c r="E22" s="155"/>
      <c r="F22" s="211"/>
      <c r="G22" s="211"/>
      <c r="H22" s="198"/>
      <c r="I22" s="211"/>
      <c r="J22" s="211"/>
      <c r="K22" s="211"/>
      <c r="L22" s="211"/>
      <c r="M22" s="211"/>
      <c r="N22" s="211"/>
      <c r="O22" s="211"/>
    </row>
    <row r="23" spans="1:15">
      <c r="A23" s="211"/>
      <c r="B23" s="211"/>
      <c r="C23" s="211"/>
      <c r="D23" s="211"/>
      <c r="E23" s="155"/>
      <c r="F23" s="211"/>
      <c r="G23" s="211"/>
      <c r="H23" s="198"/>
      <c r="I23" s="211"/>
      <c r="J23" s="211"/>
      <c r="K23" s="211"/>
      <c r="L23" s="211"/>
      <c r="M23" s="211"/>
      <c r="N23" s="211"/>
      <c r="O23" s="211"/>
    </row>
    <row r="24" spans="1:15">
      <c r="A24" s="211"/>
      <c r="B24" s="211"/>
      <c r="C24" s="211"/>
      <c r="D24" s="211"/>
      <c r="E24" s="155"/>
      <c r="F24" s="211"/>
      <c r="G24" s="211"/>
      <c r="H24" s="198"/>
      <c r="I24" s="211"/>
      <c r="J24" s="211"/>
      <c r="K24" s="211"/>
      <c r="L24" s="211"/>
      <c r="M24" s="211"/>
      <c r="N24" s="211"/>
      <c r="O24" s="211"/>
    </row>
    <row r="25" spans="1:15">
      <c r="A25" s="211"/>
      <c r="B25" s="211"/>
      <c r="C25" s="211"/>
      <c r="D25" s="211"/>
      <c r="E25" s="155"/>
      <c r="F25" s="211"/>
      <c r="G25" s="211"/>
      <c r="H25" s="198"/>
      <c r="I25" s="211"/>
      <c r="J25" s="211"/>
      <c r="K25" s="211"/>
      <c r="L25" s="211"/>
      <c r="M25" s="211"/>
      <c r="N25" s="211"/>
      <c r="O25" s="211"/>
    </row>
    <row r="26" spans="1:15">
      <c r="A26" s="211"/>
      <c r="B26" s="211"/>
      <c r="C26" s="211"/>
      <c r="D26" s="211"/>
      <c r="E26" s="155"/>
      <c r="F26" s="211"/>
      <c r="G26" s="211"/>
      <c r="H26" s="198"/>
      <c r="I26" s="211"/>
      <c r="J26" s="211"/>
      <c r="K26" s="211"/>
      <c r="L26" s="211"/>
      <c r="M26" s="211"/>
      <c r="N26" s="211"/>
      <c r="O26" s="211"/>
    </row>
    <row r="27" spans="1:15">
      <c r="A27" s="211"/>
      <c r="B27" s="211"/>
      <c r="C27" s="211"/>
      <c r="D27" s="211"/>
      <c r="E27" s="155"/>
      <c r="F27" s="211"/>
      <c r="G27" s="211"/>
      <c r="H27" s="198"/>
      <c r="I27" s="211"/>
      <c r="J27" s="211"/>
      <c r="K27" s="211"/>
      <c r="L27" s="211"/>
      <c r="M27" s="211"/>
      <c r="N27" s="211"/>
      <c r="O27" s="21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90" zoomScaleNormal="90" workbookViewId="0">
      <pane xSplit="1" ySplit="4" topLeftCell="B5" activePane="bottomRight" state="frozenSplit"/>
      <selection activeCell="K17" sqref="K17"/>
      <selection pane="topRight" activeCell="K17" sqref="K17"/>
      <selection pane="bottomLeft" activeCell="K17" sqref="K17"/>
      <selection pane="bottomRight" activeCell="B6" sqref="B6"/>
    </sheetView>
  </sheetViews>
  <sheetFormatPr defaultRowHeight="12.75" outlineLevelRow="1" outlineLevelCol="1"/>
  <cols>
    <col min="1" max="1" width="11.7109375" style="72" customWidth="1"/>
    <col min="2" max="2" width="9.7109375" style="47" customWidth="1"/>
    <col min="3" max="3" width="12.28515625" style="47" customWidth="1"/>
    <col min="4" max="4" width="42.28515625" style="48" customWidth="1"/>
    <col min="5" max="5" width="11" style="68" customWidth="1" outlineLevel="1"/>
    <col min="6" max="6" width="14.5703125" style="69" customWidth="1" outlineLevel="1"/>
    <col min="7" max="7" width="33.5703125" style="48" customWidth="1"/>
    <col min="8" max="9" width="11.42578125" style="47" customWidth="1" outlineLevel="1"/>
    <col min="10" max="10" width="18.42578125" style="47" customWidth="1" outlineLevel="1"/>
    <col min="11" max="11" width="12.5703125" style="49" customWidth="1"/>
    <col min="12" max="12" width="13.5703125" style="50" customWidth="1"/>
    <col min="13" max="13" width="13.28515625" style="50" customWidth="1"/>
    <col min="14" max="14" width="12" style="39" bestFit="1" customWidth="1"/>
    <col min="15" max="15" width="20.7109375" style="39" bestFit="1" customWidth="1"/>
    <col min="16" max="16" width="13.42578125" style="39" bestFit="1" customWidth="1"/>
    <col min="17" max="22" width="11.42578125" style="63" customWidth="1"/>
    <col min="23" max="23" width="11.7109375" style="63" bestFit="1" customWidth="1"/>
    <col min="24" max="24" width="15.5703125" bestFit="1" customWidth="1"/>
    <col min="25" max="25" width="15" bestFit="1" customWidth="1"/>
    <col min="26" max="26" width="9.5703125" bestFit="1" customWidth="1"/>
  </cols>
  <sheetData>
    <row r="1" spans="1:46" s="24" customFormat="1" ht="51" hidden="1">
      <c r="A1" s="67"/>
      <c r="B1" s="46"/>
      <c r="C1" s="46"/>
      <c r="D1" s="46" t="s">
        <v>50</v>
      </c>
      <c r="E1" s="67"/>
      <c r="F1" s="67"/>
      <c r="G1" s="46"/>
      <c r="H1" s="46" t="s">
        <v>50</v>
      </c>
      <c r="I1" s="46"/>
      <c r="J1" s="46"/>
      <c r="K1" s="46"/>
      <c r="L1" s="30" t="s">
        <v>65</v>
      </c>
      <c r="M1" s="30" t="s">
        <v>80</v>
      </c>
      <c r="N1" s="30" t="s">
        <v>66</v>
      </c>
      <c r="O1" s="30" t="s">
        <v>67</v>
      </c>
      <c r="P1" s="56"/>
      <c r="Q1" s="30" t="s">
        <v>44</v>
      </c>
      <c r="R1" s="30" t="s">
        <v>20</v>
      </c>
      <c r="S1" s="30" t="s">
        <v>21</v>
      </c>
      <c r="T1" s="30" t="s">
        <v>27</v>
      </c>
      <c r="U1" s="30" t="s">
        <v>19</v>
      </c>
      <c r="V1" s="57"/>
      <c r="W1" s="58"/>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7"/>
      <c r="B2" s="46"/>
      <c r="C2" s="32"/>
      <c r="D2" s="46" t="s">
        <v>45</v>
      </c>
      <c r="E2" s="67"/>
      <c r="F2" s="67"/>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9"/>
      <c r="Q2" s="53">
        <f>COUNTIF($L5:$L500,"=" &amp; Q1)</f>
        <v>0</v>
      </c>
      <c r="R2" s="53">
        <f>COUNTIF($L5:$L500,"=" &amp; R1)</f>
        <v>2</v>
      </c>
      <c r="S2" s="53">
        <f>COUNTIF($L5:$L500,"=" &amp; S1)</f>
        <v>0</v>
      </c>
      <c r="T2" s="53">
        <f>COUNTIF($L5:$L500,"=" &amp; T1)</f>
        <v>0</v>
      </c>
      <c r="U2" s="53">
        <f>COUNTIF($L5:$L500,"=" &amp; U1)+COUNTIFS($L5:$L500,"",$D5:$D500,"&lt;&gt;")</f>
        <v>0</v>
      </c>
      <c r="V2" s="60"/>
      <c r="W2" s="61"/>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4"/>
      <c r="AC2" s="34"/>
      <c r="AD2" s="34"/>
      <c r="AE2" s="34"/>
      <c r="AF2" s="34"/>
      <c r="AH2" s="53">
        <f>COUNTIF($M5:$M500,"=" &amp; AH1)</f>
        <v>2</v>
      </c>
      <c r="AI2" s="53">
        <f>COUNTIF($M5:$M500,"=" &amp; AI1)</f>
        <v>0</v>
      </c>
      <c r="AJ2" s="53">
        <f>COUNTIF($M5:$M500,"=" &amp; AJ1)</f>
        <v>0</v>
      </c>
      <c r="AM2" s="34"/>
      <c r="AN2" s="34"/>
      <c r="AO2" s="34"/>
      <c r="AP2" s="36"/>
      <c r="AQ2" s="36"/>
      <c r="AR2" s="34"/>
      <c r="AS2" s="36"/>
      <c r="AT2" s="36"/>
    </row>
    <row r="3" spans="1:46" s="52" customFormat="1" ht="25.5" customHeight="1" outlineLevel="1">
      <c r="A3" s="317" t="str">
        <f>IF(Issue_to_treat=1,NbOfNotTreatedIssues+NbOfRejectedIssues&amp;" issue(s) to treat",IF(Issues_to_approve=1,NbOfNotApprovedIssues&amp;" issue(s) to approve",IF(Issues_postponed=1,NbOfNotApprovedAndPostponedIssues&amp;" issue(s) postponed","Status OK")))</f>
        <v>Status OK</v>
      </c>
      <c r="B3" s="317"/>
      <c r="C3" s="318"/>
      <c r="D3" s="66" t="s">
        <v>64</v>
      </c>
      <c r="E3" s="316" t="s">
        <v>82</v>
      </c>
      <c r="F3" s="316"/>
      <c r="G3" s="316"/>
      <c r="H3" s="51"/>
      <c r="I3" s="51"/>
      <c r="J3" s="51"/>
      <c r="K3" s="51"/>
      <c r="L3" s="51"/>
      <c r="M3" s="51"/>
      <c r="N3" s="58"/>
      <c r="O3" s="58"/>
      <c r="P3" s="58"/>
      <c r="Q3" s="62"/>
      <c r="R3" s="62"/>
      <c r="S3" s="62"/>
      <c r="T3" s="62"/>
      <c r="U3" s="62"/>
      <c r="V3" s="62"/>
      <c r="W3" s="62"/>
      <c r="X3" s="25"/>
      <c r="Y3" s="25"/>
      <c r="Z3" s="25"/>
      <c r="AA3" s="25"/>
      <c r="AB3" s="25"/>
    </row>
    <row r="4" spans="1:46" s="154" customFormat="1" ht="47.25">
      <c r="A4" s="147" t="s">
        <v>30</v>
      </c>
      <c r="B4" s="147" t="s">
        <v>9</v>
      </c>
      <c r="C4" s="147" t="s">
        <v>32</v>
      </c>
      <c r="D4" s="147" t="s">
        <v>178</v>
      </c>
      <c r="E4" s="147" t="s">
        <v>70</v>
      </c>
      <c r="F4" s="147" t="s">
        <v>31</v>
      </c>
      <c r="G4" s="148" t="s">
        <v>46</v>
      </c>
      <c r="H4" s="149" t="s">
        <v>48</v>
      </c>
      <c r="I4" s="149" t="s">
        <v>106</v>
      </c>
      <c r="J4" s="149" t="s">
        <v>33</v>
      </c>
      <c r="K4" s="150" t="s">
        <v>49</v>
      </c>
      <c r="L4" s="149" t="s">
        <v>47</v>
      </c>
      <c r="M4" s="147" t="s">
        <v>179</v>
      </c>
      <c r="N4" s="151"/>
      <c r="O4" s="151"/>
      <c r="P4" s="151"/>
      <c r="Q4" s="152"/>
      <c r="R4" s="152"/>
      <c r="S4" s="152"/>
      <c r="T4" s="152"/>
      <c r="U4" s="152"/>
      <c r="V4" s="152"/>
      <c r="W4" s="152"/>
      <c r="X4" s="153"/>
      <c r="Y4" s="153"/>
      <c r="Z4" s="153"/>
      <c r="AA4" s="153"/>
      <c r="AB4" s="153"/>
    </row>
    <row r="5" spans="1:46" s="25" customFormat="1" ht="25.5">
      <c r="A5" s="73">
        <v>1</v>
      </c>
      <c r="B5" s="28" t="s">
        <v>413</v>
      </c>
      <c r="C5" s="200" t="s">
        <v>409</v>
      </c>
      <c r="D5" s="29" t="s">
        <v>411</v>
      </c>
      <c r="E5" s="70">
        <v>44727.400462962964</v>
      </c>
      <c r="F5" s="71" t="s">
        <v>404</v>
      </c>
      <c r="G5" s="18"/>
      <c r="H5" s="18"/>
      <c r="I5" s="22" t="s">
        <v>26</v>
      </c>
      <c r="J5" s="22" t="s">
        <v>404</v>
      </c>
      <c r="K5" s="23">
        <v>44727.400891203702</v>
      </c>
      <c r="L5" s="22" t="s">
        <v>20</v>
      </c>
      <c r="M5" s="81" t="s">
        <v>28</v>
      </c>
      <c r="N5" s="58"/>
      <c r="O5" s="58"/>
      <c r="P5" s="58"/>
      <c r="Q5" s="62"/>
      <c r="R5" s="62"/>
      <c r="S5" s="62"/>
      <c r="T5" s="62"/>
      <c r="U5" s="62"/>
      <c r="V5" s="62"/>
      <c r="W5" s="62"/>
    </row>
    <row r="6" spans="1:46" s="25" customFormat="1" ht="25.5">
      <c r="A6" s="74">
        <v>2</v>
      </c>
      <c r="B6" s="28" t="s">
        <v>412</v>
      </c>
      <c r="C6" s="200" t="s">
        <v>410</v>
      </c>
      <c r="D6" s="29" t="s">
        <v>411</v>
      </c>
      <c r="E6" s="70">
        <v>44727.400520833333</v>
      </c>
      <c r="F6" s="71" t="s">
        <v>404</v>
      </c>
      <c r="G6" s="18"/>
      <c r="H6" s="18"/>
      <c r="I6" s="22" t="s">
        <v>26</v>
      </c>
      <c r="J6" s="22" t="s">
        <v>404</v>
      </c>
      <c r="K6" s="23">
        <v>44727.400856481479</v>
      </c>
      <c r="L6" s="22" t="s">
        <v>20</v>
      </c>
      <c r="M6" s="22" t="s">
        <v>28</v>
      </c>
      <c r="N6" s="58"/>
      <c r="O6" s="58"/>
      <c r="P6" s="58"/>
      <c r="Q6" s="62"/>
      <c r="R6" s="62"/>
      <c r="S6" s="62"/>
      <c r="T6" s="62"/>
      <c r="U6" s="62"/>
      <c r="V6" s="62"/>
      <c r="W6" s="62"/>
    </row>
    <row r="7" spans="1:46" s="25" customFormat="1">
      <c r="A7" s="74"/>
      <c r="B7" s="28"/>
      <c r="C7" s="200"/>
      <c r="D7" s="29"/>
      <c r="E7" s="70"/>
      <c r="F7" s="53"/>
      <c r="G7" s="18"/>
      <c r="H7" s="29"/>
      <c r="I7" s="22"/>
      <c r="J7" s="81"/>
      <c r="K7" s="23"/>
      <c r="L7" s="22"/>
      <c r="M7" s="22"/>
      <c r="N7" s="58"/>
      <c r="O7" s="58"/>
      <c r="P7" s="58"/>
      <c r="Q7" s="62"/>
      <c r="R7" s="62"/>
      <c r="S7" s="62"/>
      <c r="T7" s="62"/>
      <c r="U7" s="62"/>
      <c r="V7" s="62"/>
      <c r="W7" s="62"/>
    </row>
    <row r="8" spans="1:46" s="25" customFormat="1">
      <c r="A8" s="74"/>
      <c r="B8" s="200"/>
      <c r="C8" s="200"/>
      <c r="D8" s="29"/>
      <c r="E8" s="70"/>
      <c r="F8" s="53"/>
      <c r="G8" s="18"/>
      <c r="H8" s="29"/>
      <c r="I8" s="22"/>
      <c r="J8" s="81"/>
      <c r="K8" s="23"/>
      <c r="L8" s="22"/>
      <c r="M8" s="22"/>
      <c r="N8" s="58"/>
      <c r="O8" s="58"/>
      <c r="P8" s="58"/>
      <c r="Q8" s="62"/>
      <c r="R8" s="62"/>
      <c r="S8" s="62"/>
      <c r="T8" s="62"/>
      <c r="U8" s="62"/>
      <c r="V8" s="62"/>
      <c r="W8" s="62"/>
    </row>
    <row r="9" spans="1:46" s="25" customFormat="1">
      <c r="A9" s="74"/>
      <c r="B9" s="200"/>
      <c r="C9" s="200"/>
      <c r="D9" s="29"/>
      <c r="E9" s="70"/>
      <c r="F9" s="53"/>
      <c r="G9" s="18"/>
      <c r="H9" s="29"/>
      <c r="I9" s="22"/>
      <c r="J9" s="81"/>
      <c r="K9" s="23"/>
      <c r="L9" s="22"/>
      <c r="M9" s="22"/>
      <c r="N9" s="58"/>
      <c r="O9" s="58"/>
      <c r="P9" s="58"/>
      <c r="Q9" s="62"/>
      <c r="R9" s="62"/>
      <c r="S9" s="62"/>
      <c r="T9" s="62"/>
      <c r="U9" s="62"/>
      <c r="V9" s="62"/>
      <c r="W9" s="62"/>
    </row>
    <row r="10" spans="1:46" s="25" customFormat="1">
      <c r="A10" s="74"/>
      <c r="B10" s="28"/>
      <c r="C10" s="200"/>
      <c r="D10" s="29"/>
      <c r="E10" s="70"/>
      <c r="F10" s="71"/>
      <c r="G10" s="18"/>
      <c r="H10" s="18"/>
      <c r="I10" s="22"/>
      <c r="J10" s="22"/>
      <c r="K10" s="23"/>
      <c r="L10" s="22"/>
      <c r="M10" s="22"/>
      <c r="N10" s="58"/>
      <c r="O10" s="58"/>
      <c r="P10" s="58"/>
      <c r="Q10" s="62"/>
      <c r="R10" s="62"/>
      <c r="S10" s="62"/>
      <c r="T10" s="62"/>
      <c r="U10" s="62"/>
      <c r="V10" s="62"/>
      <c r="W10" s="62"/>
    </row>
    <row r="11" spans="1:46" s="25" customFormat="1">
      <c r="A11" s="74"/>
      <c r="B11" s="28"/>
      <c r="C11" s="200"/>
      <c r="D11" s="29"/>
      <c r="E11" s="70"/>
      <c r="F11" s="53"/>
      <c r="G11" s="29"/>
      <c r="H11" s="18"/>
      <c r="I11" s="22"/>
      <c r="J11" s="81"/>
      <c r="K11" s="23"/>
      <c r="L11" s="22"/>
      <c r="M11" s="22"/>
      <c r="N11" s="58"/>
      <c r="O11" s="58"/>
      <c r="P11" s="58"/>
      <c r="Q11" s="62"/>
      <c r="R11" s="62"/>
      <c r="S11" s="62"/>
      <c r="T11" s="62"/>
      <c r="U11" s="62"/>
      <c r="V11" s="62"/>
      <c r="W11" s="62"/>
    </row>
    <row r="12" spans="1:46" s="25" customFormat="1">
      <c r="A12" s="74"/>
      <c r="B12" s="28"/>
      <c r="C12" s="200"/>
      <c r="D12" s="29"/>
      <c r="E12" s="70"/>
      <c r="F12" s="53"/>
      <c r="G12" s="18"/>
      <c r="H12" s="21"/>
      <c r="I12" s="22"/>
      <c r="J12" s="81"/>
      <c r="K12" s="23"/>
      <c r="L12" s="22"/>
      <c r="M12" s="22"/>
      <c r="N12" s="58"/>
      <c r="O12" s="58"/>
      <c r="P12" s="58"/>
      <c r="Q12" s="62"/>
      <c r="R12" s="62"/>
      <c r="S12" s="62"/>
      <c r="T12" s="62"/>
      <c r="U12" s="62"/>
      <c r="V12" s="62"/>
      <c r="W12" s="62"/>
    </row>
    <row r="13" spans="1:46" s="25" customFormat="1">
      <c r="A13" s="74"/>
      <c r="B13" s="28"/>
      <c r="C13" s="200"/>
      <c r="D13" s="29"/>
      <c r="E13" s="70"/>
      <c r="F13" s="53"/>
      <c r="G13" s="29"/>
      <c r="H13" s="21"/>
      <c r="I13" s="22"/>
      <c r="J13" s="81"/>
      <c r="K13" s="23"/>
      <c r="L13" s="22"/>
      <c r="M13" s="22"/>
      <c r="N13" s="58"/>
      <c r="O13" s="58"/>
      <c r="P13" s="58"/>
      <c r="Q13" s="62"/>
      <c r="R13" s="62"/>
      <c r="S13" s="62"/>
      <c r="T13" s="62"/>
      <c r="U13" s="62"/>
      <c r="V13" s="62"/>
      <c r="W13" s="62"/>
    </row>
    <row r="14" spans="1:46" s="25" customFormat="1">
      <c r="A14" s="74"/>
      <c r="B14" s="28"/>
      <c r="C14" s="200"/>
      <c r="D14" s="29"/>
      <c r="E14" s="70"/>
      <c r="F14" s="71"/>
      <c r="G14" s="29"/>
      <c r="H14" s="22"/>
      <c r="I14" s="22"/>
      <c r="J14" s="81"/>
      <c r="K14" s="23"/>
      <c r="L14" s="22"/>
      <c r="M14" s="22"/>
      <c r="N14" s="58"/>
      <c r="O14" s="58"/>
      <c r="P14" s="58"/>
      <c r="Q14" s="62"/>
      <c r="R14" s="62"/>
      <c r="S14" s="62"/>
      <c r="T14" s="62"/>
      <c r="U14" s="62"/>
      <c r="V14" s="62"/>
      <c r="W14" s="62"/>
    </row>
    <row r="15" spans="1:46" s="25" customFormat="1">
      <c r="A15" s="74"/>
      <c r="B15" s="28"/>
      <c r="C15" s="200"/>
      <c r="D15" s="29"/>
      <c r="E15" s="70"/>
      <c r="F15" s="71"/>
      <c r="G15" s="29"/>
      <c r="H15" s="22"/>
      <c r="I15" s="22"/>
      <c r="J15" s="81"/>
      <c r="K15" s="23"/>
      <c r="L15" s="22"/>
      <c r="M15" s="22"/>
      <c r="N15" s="58"/>
      <c r="O15" s="58"/>
      <c r="P15" s="58"/>
      <c r="Q15" s="62"/>
      <c r="R15" s="62"/>
      <c r="S15" s="62"/>
      <c r="T15" s="62"/>
      <c r="U15" s="62"/>
      <c r="V15" s="62"/>
      <c r="W15" s="62"/>
    </row>
    <row r="16" spans="1:46" s="25" customFormat="1">
      <c r="A16" s="74"/>
      <c r="B16" s="204"/>
      <c r="C16" s="204"/>
      <c r="D16" s="29"/>
      <c r="E16" s="70"/>
      <c r="F16" s="53"/>
      <c r="G16" s="29"/>
      <c r="H16" s="22"/>
      <c r="I16" s="22"/>
      <c r="J16" s="81"/>
      <c r="K16" s="23"/>
      <c r="L16" s="22"/>
      <c r="M16" s="22"/>
      <c r="N16" s="58"/>
      <c r="O16" s="58"/>
      <c r="P16" s="58"/>
      <c r="Q16" s="62"/>
      <c r="R16" s="62"/>
      <c r="S16" s="62"/>
      <c r="T16" s="62"/>
      <c r="U16" s="62"/>
      <c r="V16" s="62"/>
      <c r="W16" s="62"/>
    </row>
    <row r="17" spans="1:23" s="25" customFormat="1">
      <c r="A17" s="74"/>
      <c r="B17" s="200"/>
      <c r="C17" s="200"/>
      <c r="D17" s="29"/>
      <c r="E17" s="70"/>
      <c r="F17" s="71"/>
      <c r="G17" s="29"/>
      <c r="H17" s="22"/>
      <c r="I17" s="22"/>
      <c r="J17" s="81"/>
      <c r="K17" s="23"/>
      <c r="L17" s="22"/>
      <c r="M17" s="22"/>
      <c r="N17" s="58"/>
      <c r="O17" s="58"/>
      <c r="P17" s="58"/>
      <c r="Q17" s="62"/>
      <c r="R17" s="62"/>
      <c r="S17" s="62"/>
      <c r="T17" s="62"/>
      <c r="U17" s="62"/>
      <c r="V17" s="62"/>
      <c r="W17" s="62"/>
    </row>
    <row r="18" spans="1:23" s="25" customFormat="1">
      <c r="A18" s="74"/>
      <c r="B18" s="200"/>
      <c r="C18" s="200"/>
      <c r="D18" s="29"/>
      <c r="E18" s="70"/>
      <c r="F18" s="71"/>
      <c r="G18" s="29"/>
      <c r="H18" s="22"/>
      <c r="I18" s="22"/>
      <c r="J18" s="81"/>
      <c r="K18" s="23"/>
      <c r="L18" s="22"/>
      <c r="M18" s="22"/>
      <c r="N18" s="58"/>
      <c r="O18" s="58"/>
      <c r="P18" s="58"/>
      <c r="Q18" s="62"/>
      <c r="R18" s="62"/>
      <c r="S18" s="62"/>
      <c r="T18" s="62"/>
      <c r="U18" s="62"/>
      <c r="V18" s="62"/>
      <c r="W18" s="62"/>
    </row>
    <row r="19" spans="1:23" s="25" customFormat="1">
      <c r="A19" s="74"/>
      <c r="B19" s="200"/>
      <c r="C19" s="200"/>
      <c r="D19" s="29"/>
      <c r="E19" s="70"/>
      <c r="F19" s="71"/>
      <c r="G19" s="29"/>
      <c r="H19" s="22"/>
      <c r="I19" s="22"/>
      <c r="J19" s="81"/>
      <c r="K19" s="23"/>
      <c r="L19" s="22"/>
      <c r="M19" s="22"/>
      <c r="N19" s="58"/>
      <c r="O19" s="58"/>
      <c r="P19" s="58"/>
      <c r="Q19" s="62"/>
      <c r="R19" s="62"/>
      <c r="S19" s="62"/>
      <c r="T19" s="62"/>
      <c r="U19" s="62"/>
      <c r="V19" s="62"/>
      <c r="W19" s="62"/>
    </row>
    <row r="20" spans="1:23" s="25" customFormat="1">
      <c r="A20" s="74"/>
      <c r="B20" s="200"/>
      <c r="C20" s="200"/>
      <c r="D20" s="29"/>
      <c r="E20" s="70"/>
      <c r="F20" s="71"/>
      <c r="G20" s="29"/>
      <c r="H20" s="22"/>
      <c r="I20" s="22"/>
      <c r="J20" s="81"/>
      <c r="K20" s="23"/>
      <c r="L20" s="22"/>
      <c r="M20" s="22"/>
      <c r="N20" s="58"/>
      <c r="O20" s="58"/>
      <c r="P20" s="58"/>
      <c r="Q20" s="62"/>
      <c r="R20" s="62"/>
      <c r="S20" s="62"/>
      <c r="T20" s="62"/>
      <c r="U20" s="62"/>
      <c r="V20" s="62"/>
      <c r="W20" s="62"/>
    </row>
    <row r="21" spans="1:23" s="25" customFormat="1">
      <c r="A21" s="74"/>
      <c r="B21" s="200"/>
      <c r="C21" s="200"/>
      <c r="D21" s="29"/>
      <c r="E21" s="70"/>
      <c r="F21" s="71"/>
      <c r="G21" s="29"/>
      <c r="H21" s="22"/>
      <c r="I21" s="22"/>
      <c r="J21" s="81"/>
      <c r="K21" s="23"/>
      <c r="L21" s="22"/>
      <c r="M21" s="22"/>
      <c r="N21" s="58"/>
      <c r="O21" s="58"/>
      <c r="P21" s="58"/>
      <c r="Q21" s="62"/>
      <c r="R21" s="62"/>
      <c r="S21" s="62"/>
      <c r="T21" s="62"/>
      <c r="U21" s="62"/>
      <c r="V21" s="62"/>
      <c r="W21" s="62"/>
    </row>
    <row r="22" spans="1:23" s="25" customFormat="1">
      <c r="A22" s="74"/>
      <c r="B22" s="200"/>
      <c r="C22" s="200"/>
      <c r="D22" s="29"/>
      <c r="E22" s="70"/>
      <c r="F22" s="71"/>
      <c r="G22" s="29"/>
      <c r="H22" s="22"/>
      <c r="I22" s="22"/>
      <c r="J22" s="81"/>
      <c r="K22" s="23"/>
      <c r="L22" s="22"/>
      <c r="M22" s="22"/>
      <c r="N22" s="58"/>
      <c r="O22" s="58"/>
      <c r="P22" s="58"/>
      <c r="Q22" s="62"/>
      <c r="R22" s="62"/>
      <c r="S22" s="62"/>
      <c r="T22" s="62"/>
      <c r="U22" s="62"/>
      <c r="V22" s="62"/>
      <c r="W22" s="62"/>
    </row>
    <row r="23" spans="1:23" s="25" customFormat="1">
      <c r="A23" s="74"/>
      <c r="B23" s="200"/>
      <c r="C23" s="200"/>
      <c r="D23" s="29"/>
      <c r="E23" s="70"/>
      <c r="F23" s="71"/>
      <c r="G23" s="29"/>
      <c r="H23" s="22"/>
      <c r="I23" s="22"/>
      <c r="J23" s="81"/>
      <c r="K23" s="23"/>
      <c r="L23" s="22"/>
      <c r="M23" s="22"/>
      <c r="N23" s="58"/>
      <c r="O23" s="58"/>
      <c r="P23" s="58"/>
      <c r="Q23" s="62"/>
      <c r="R23" s="62"/>
      <c r="S23" s="62"/>
      <c r="T23" s="62"/>
      <c r="U23" s="62"/>
      <c r="V23" s="62"/>
      <c r="W23" s="62"/>
    </row>
    <row r="24" spans="1:23" s="25" customFormat="1">
      <c r="A24" s="74"/>
      <c r="B24" s="200"/>
      <c r="C24" s="200"/>
      <c r="D24" s="29"/>
      <c r="E24" s="70"/>
      <c r="F24" s="71"/>
      <c r="G24" s="29"/>
      <c r="H24" s="22"/>
      <c r="I24" s="22"/>
      <c r="J24" s="81"/>
      <c r="K24" s="23"/>
      <c r="L24" s="22"/>
      <c r="M24" s="22"/>
      <c r="N24" s="58"/>
      <c r="O24" s="58"/>
      <c r="P24" s="58"/>
      <c r="Q24" s="62"/>
      <c r="R24" s="62"/>
      <c r="S24" s="62"/>
      <c r="T24" s="62"/>
      <c r="U24" s="62"/>
      <c r="V24" s="62"/>
      <c r="W24" s="62"/>
    </row>
    <row r="25" spans="1:23" s="25" customFormat="1">
      <c r="A25" s="74"/>
      <c r="B25" s="28"/>
      <c r="C25" s="200"/>
      <c r="D25" s="29"/>
      <c r="E25" s="70"/>
      <c r="F25" s="71"/>
      <c r="G25" s="18"/>
      <c r="H25" s="22"/>
      <c r="I25" s="22"/>
      <c r="J25" s="22"/>
      <c r="K25" s="23"/>
      <c r="L25" s="22"/>
      <c r="M25" s="22"/>
      <c r="N25" s="58"/>
      <c r="O25" s="58"/>
      <c r="P25" s="58"/>
      <c r="Q25" s="62"/>
      <c r="R25" s="62"/>
      <c r="S25" s="62"/>
      <c r="T25" s="62"/>
      <c r="U25" s="62"/>
      <c r="V25" s="62"/>
      <c r="W25" s="62"/>
    </row>
    <row r="26" spans="1:23" s="25" customFormat="1">
      <c r="A26" s="74"/>
      <c r="B26" s="28"/>
      <c r="C26" s="28"/>
      <c r="D26" s="18"/>
      <c r="E26" s="70"/>
      <c r="F26" s="71"/>
      <c r="G26" s="18"/>
      <c r="H26" s="22"/>
      <c r="I26" s="22"/>
      <c r="J26" s="22"/>
      <c r="K26" s="23"/>
      <c r="L26" s="22"/>
      <c r="M26" s="22"/>
      <c r="N26" s="58"/>
      <c r="O26" s="58"/>
      <c r="P26" s="58"/>
      <c r="Q26" s="62"/>
      <c r="R26" s="62"/>
      <c r="S26" s="62"/>
      <c r="T26" s="62"/>
      <c r="U26" s="62"/>
      <c r="V26" s="62"/>
      <c r="W26" s="62"/>
    </row>
    <row r="27" spans="1:23" s="25" customFormat="1">
      <c r="A27" s="74"/>
      <c r="B27" s="28"/>
      <c r="C27" s="28"/>
      <c r="D27" s="18"/>
      <c r="E27" s="70"/>
      <c r="F27" s="71"/>
      <c r="G27" s="18"/>
      <c r="H27" s="22"/>
      <c r="I27" s="22"/>
      <c r="J27" s="22"/>
      <c r="K27" s="23"/>
      <c r="L27" s="22"/>
      <c r="M27" s="22"/>
      <c r="N27" s="58"/>
      <c r="O27" s="58"/>
      <c r="P27" s="58"/>
      <c r="Q27" s="62"/>
      <c r="R27" s="62"/>
      <c r="S27" s="62"/>
      <c r="T27" s="62"/>
      <c r="U27" s="62"/>
      <c r="V27" s="62"/>
      <c r="W27" s="62"/>
    </row>
    <row r="28" spans="1:23" s="25" customFormat="1">
      <c r="A28" s="74"/>
      <c r="B28" s="200"/>
      <c r="C28" s="200"/>
      <c r="D28" s="29"/>
      <c r="E28" s="70"/>
      <c r="F28" s="71"/>
      <c r="G28" s="18"/>
      <c r="H28" s="22"/>
      <c r="I28" s="22"/>
      <c r="J28" s="22"/>
      <c r="K28" s="23"/>
      <c r="L28" s="22"/>
      <c r="M28" s="22"/>
      <c r="N28" s="58"/>
      <c r="O28" s="58"/>
      <c r="P28" s="58"/>
      <c r="Q28" s="62"/>
      <c r="R28" s="62"/>
      <c r="S28" s="62"/>
      <c r="T28" s="62"/>
      <c r="U28" s="62"/>
      <c r="V28" s="62"/>
      <c r="W28" s="62"/>
    </row>
    <row r="29" spans="1:23" s="25" customFormat="1">
      <c r="A29" s="74"/>
      <c r="B29" s="210"/>
      <c r="C29" s="204"/>
      <c r="D29" s="29"/>
      <c r="E29" s="70"/>
      <c r="F29" s="53"/>
      <c r="G29" s="18"/>
      <c r="H29" s="22"/>
      <c r="I29" s="22"/>
      <c r="J29" s="22"/>
      <c r="K29" s="23"/>
      <c r="L29" s="22"/>
      <c r="M29" s="22"/>
      <c r="N29" s="58"/>
      <c r="O29" s="58"/>
      <c r="P29" s="58"/>
      <c r="Q29" s="62"/>
      <c r="R29" s="62"/>
      <c r="S29" s="62"/>
      <c r="T29" s="62"/>
      <c r="U29" s="62"/>
      <c r="V29" s="62"/>
      <c r="W29" s="62"/>
    </row>
    <row r="30" spans="1:23" s="25" customFormat="1">
      <c r="A30" s="74"/>
      <c r="B30" s="200"/>
      <c r="C30" s="200"/>
      <c r="D30" s="29"/>
      <c r="E30" s="70"/>
      <c r="F30" s="71"/>
      <c r="G30" s="18"/>
      <c r="H30" s="22"/>
      <c r="I30" s="22"/>
      <c r="J30" s="22"/>
      <c r="K30" s="23"/>
      <c r="L30" s="22"/>
      <c r="M30" s="22"/>
      <c r="N30" s="58"/>
      <c r="O30" s="58"/>
      <c r="P30" s="58"/>
      <c r="Q30" s="62"/>
      <c r="R30" s="62"/>
      <c r="S30" s="62"/>
      <c r="T30" s="62"/>
      <c r="U30" s="62"/>
      <c r="V30" s="62"/>
      <c r="W30" s="62"/>
    </row>
    <row r="31" spans="1:23" s="25" customFormat="1">
      <c r="A31" s="74"/>
      <c r="B31" s="28"/>
      <c r="C31" s="28"/>
      <c r="D31" s="18"/>
      <c r="E31" s="70"/>
      <c r="F31" s="71"/>
      <c r="G31" s="18"/>
      <c r="H31" s="22"/>
      <c r="I31" s="22"/>
      <c r="J31" s="22"/>
      <c r="K31" s="23"/>
      <c r="L31" s="22"/>
      <c r="M31" s="22"/>
      <c r="N31" s="58"/>
      <c r="O31" s="58"/>
      <c r="P31" s="58"/>
      <c r="Q31" s="62"/>
      <c r="R31" s="62"/>
      <c r="S31" s="62"/>
      <c r="T31" s="62"/>
      <c r="U31" s="62"/>
      <c r="V31" s="62"/>
      <c r="W31" s="62"/>
    </row>
    <row r="32" spans="1:23" s="25" customFormat="1">
      <c r="A32" s="74"/>
      <c r="B32" s="28"/>
      <c r="C32" s="28"/>
      <c r="D32" s="18"/>
      <c r="E32" s="70"/>
      <c r="F32" s="71"/>
      <c r="G32" s="18"/>
      <c r="H32" s="22"/>
      <c r="I32" s="22"/>
      <c r="J32" s="22"/>
      <c r="K32" s="23"/>
      <c r="L32" s="22"/>
      <c r="M32" s="22"/>
      <c r="N32" s="58"/>
      <c r="O32" s="58"/>
      <c r="P32" s="58"/>
      <c r="Q32" s="62"/>
      <c r="R32" s="62"/>
      <c r="S32" s="62"/>
      <c r="T32" s="62"/>
      <c r="U32" s="62"/>
      <c r="V32" s="62"/>
      <c r="W32" s="62"/>
    </row>
    <row r="33" spans="1:23" s="25" customFormat="1">
      <c r="A33" s="74"/>
      <c r="B33" s="28"/>
      <c r="C33" s="28"/>
      <c r="D33" s="18"/>
      <c r="E33" s="70"/>
      <c r="F33" s="71"/>
      <c r="G33" s="18"/>
      <c r="H33" s="22"/>
      <c r="I33" s="22"/>
      <c r="J33" s="22"/>
      <c r="K33" s="23"/>
      <c r="L33" s="22"/>
      <c r="M33" s="22"/>
      <c r="N33" s="58"/>
      <c r="O33" s="58"/>
      <c r="P33" s="58"/>
      <c r="Q33" s="62"/>
      <c r="R33" s="62"/>
      <c r="S33" s="62"/>
      <c r="T33" s="62"/>
      <c r="U33" s="62"/>
      <c r="V33" s="62"/>
      <c r="W33" s="62"/>
    </row>
    <row r="34" spans="1:23" s="25" customFormat="1">
      <c r="A34" s="74"/>
      <c r="B34" s="28"/>
      <c r="C34" s="28"/>
      <c r="D34" s="18"/>
      <c r="E34" s="70"/>
      <c r="F34" s="71"/>
      <c r="G34" s="18"/>
      <c r="H34" s="22"/>
      <c r="I34" s="22"/>
      <c r="J34" s="22"/>
      <c r="K34" s="23"/>
      <c r="L34" s="22"/>
      <c r="M34" s="22"/>
      <c r="N34" s="58"/>
      <c r="O34" s="58"/>
      <c r="P34" s="58"/>
      <c r="Q34" s="62"/>
      <c r="R34" s="62"/>
      <c r="S34" s="62"/>
      <c r="T34" s="62"/>
      <c r="U34" s="62"/>
      <c r="V34" s="62"/>
      <c r="W34" s="62"/>
    </row>
    <row r="35" spans="1:23" s="25" customFormat="1">
      <c r="A35" s="74"/>
      <c r="B35" s="28"/>
      <c r="C35" s="28"/>
      <c r="D35" s="18"/>
      <c r="E35" s="70"/>
      <c r="F35" s="71"/>
      <c r="G35" s="18"/>
      <c r="H35" s="22"/>
      <c r="I35" s="22"/>
      <c r="J35" s="22"/>
      <c r="K35" s="23"/>
      <c r="L35" s="22"/>
      <c r="M35" s="22"/>
      <c r="N35" s="58"/>
      <c r="O35" s="58"/>
      <c r="P35" s="58"/>
      <c r="Q35" s="62"/>
      <c r="R35" s="62"/>
      <c r="S35" s="62"/>
      <c r="T35" s="62"/>
      <c r="U35" s="62"/>
      <c r="V35" s="62"/>
      <c r="W35" s="62"/>
    </row>
    <row r="36" spans="1:23" s="25" customFormat="1">
      <c r="A36" s="74"/>
      <c r="B36" s="28"/>
      <c r="C36" s="28"/>
      <c r="D36" s="18"/>
      <c r="E36" s="70"/>
      <c r="F36" s="71"/>
      <c r="G36" s="18"/>
      <c r="H36" s="22"/>
      <c r="I36" s="22"/>
      <c r="J36" s="22"/>
      <c r="K36" s="23"/>
      <c r="L36" s="22"/>
      <c r="M36" s="22"/>
      <c r="N36" s="58"/>
      <c r="O36" s="58"/>
      <c r="P36" s="58"/>
      <c r="Q36" s="62"/>
      <c r="R36" s="62"/>
      <c r="S36" s="62"/>
      <c r="T36" s="62"/>
      <c r="U36" s="62"/>
      <c r="V36" s="62"/>
      <c r="W36" s="62"/>
    </row>
    <row r="37" spans="1:23" s="25" customFormat="1">
      <c r="A37" s="74"/>
      <c r="B37" s="28"/>
      <c r="C37" s="28"/>
      <c r="D37" s="18"/>
      <c r="E37" s="70"/>
      <c r="F37" s="71"/>
      <c r="G37" s="18"/>
      <c r="H37" s="22"/>
      <c r="I37" s="22"/>
      <c r="J37" s="22"/>
      <c r="K37" s="23"/>
      <c r="L37" s="22"/>
      <c r="M37" s="22"/>
      <c r="N37" s="58"/>
      <c r="O37" s="58"/>
      <c r="P37" s="58"/>
      <c r="Q37" s="62"/>
      <c r="R37" s="62"/>
      <c r="S37" s="62"/>
      <c r="T37" s="62"/>
      <c r="U37" s="62"/>
      <c r="V37" s="62"/>
      <c r="W37" s="62"/>
    </row>
    <row r="38" spans="1:23" s="25" customFormat="1">
      <c r="A38" s="74"/>
      <c r="B38" s="28"/>
      <c r="C38" s="28"/>
      <c r="D38" s="18"/>
      <c r="E38" s="70"/>
      <c r="F38" s="71"/>
      <c r="G38" s="18"/>
      <c r="H38" s="22"/>
      <c r="I38" s="22"/>
      <c r="J38" s="22"/>
      <c r="K38" s="23"/>
      <c r="L38" s="22"/>
      <c r="M38" s="22"/>
      <c r="N38" s="58"/>
      <c r="O38" s="58"/>
      <c r="P38" s="58"/>
      <c r="Q38" s="62"/>
      <c r="R38" s="62"/>
      <c r="S38" s="62"/>
      <c r="T38" s="62"/>
      <c r="U38" s="62"/>
      <c r="V38" s="62"/>
      <c r="W38" s="62"/>
    </row>
    <row r="39" spans="1:23" s="25" customFormat="1">
      <c r="A39" s="74"/>
      <c r="B39" s="28"/>
      <c r="C39" s="28"/>
      <c r="D39" s="18"/>
      <c r="E39" s="70"/>
      <c r="F39" s="71"/>
      <c r="G39" s="18"/>
      <c r="H39" s="22"/>
      <c r="I39" s="22"/>
      <c r="J39" s="22"/>
      <c r="K39" s="23"/>
      <c r="L39" s="22"/>
      <c r="M39" s="22"/>
      <c r="N39" s="58"/>
      <c r="O39" s="58"/>
      <c r="P39" s="58"/>
      <c r="Q39" s="62"/>
      <c r="R39" s="62"/>
      <c r="S39" s="62"/>
      <c r="T39" s="62"/>
      <c r="U39" s="62"/>
      <c r="V39" s="62"/>
      <c r="W39" s="62"/>
    </row>
    <row r="40" spans="1:23" s="25" customFormat="1">
      <c r="A40" s="74"/>
      <c r="B40" s="28"/>
      <c r="C40" s="28"/>
      <c r="D40" s="18"/>
      <c r="E40" s="70"/>
      <c r="F40" s="71"/>
      <c r="G40" s="18"/>
      <c r="H40" s="22"/>
      <c r="I40" s="22"/>
      <c r="J40" s="22"/>
      <c r="K40" s="23"/>
      <c r="L40" s="22"/>
      <c r="M40" s="22"/>
      <c r="N40" s="58"/>
      <c r="O40" s="58"/>
      <c r="P40" s="58"/>
      <c r="Q40" s="62"/>
      <c r="R40" s="62"/>
      <c r="S40" s="62"/>
      <c r="T40" s="62"/>
      <c r="U40" s="62"/>
      <c r="V40" s="62"/>
      <c r="W40" s="62"/>
    </row>
    <row r="41" spans="1:23" s="25" customFormat="1">
      <c r="A41" s="74"/>
      <c r="B41" s="28"/>
      <c r="C41" s="28"/>
      <c r="D41" s="18"/>
      <c r="E41" s="70"/>
      <c r="F41" s="71"/>
      <c r="G41" s="18"/>
      <c r="H41" s="22"/>
      <c r="I41" s="22"/>
      <c r="J41" s="22"/>
      <c r="K41" s="23"/>
      <c r="L41" s="22"/>
      <c r="M41" s="22"/>
      <c r="N41" s="58"/>
      <c r="O41" s="58"/>
      <c r="P41" s="58"/>
      <c r="Q41" s="62"/>
      <c r="R41" s="62"/>
      <c r="S41" s="62"/>
      <c r="T41" s="62"/>
      <c r="U41" s="62"/>
      <c r="V41" s="62"/>
      <c r="W41" s="62"/>
    </row>
    <row r="42" spans="1:23" s="25" customFormat="1">
      <c r="A42" s="74"/>
      <c r="B42" s="28"/>
      <c r="C42" s="28"/>
      <c r="D42" s="18"/>
      <c r="E42" s="70"/>
      <c r="F42" s="71"/>
      <c r="G42" s="18"/>
      <c r="H42" s="22"/>
      <c r="I42" s="22"/>
      <c r="J42" s="22"/>
      <c r="K42" s="23"/>
      <c r="L42" s="22"/>
      <c r="M42" s="22"/>
      <c r="N42" s="58"/>
      <c r="O42" s="58"/>
      <c r="P42" s="58"/>
      <c r="Q42" s="62"/>
      <c r="R42" s="62"/>
      <c r="S42" s="62"/>
      <c r="T42" s="62"/>
      <c r="U42" s="62"/>
      <c r="V42" s="62"/>
      <c r="W42" s="62"/>
    </row>
    <row r="43" spans="1:23" s="25" customFormat="1">
      <c r="A43" s="74"/>
      <c r="B43" s="28"/>
      <c r="C43" s="28"/>
      <c r="D43" s="18"/>
      <c r="E43" s="70"/>
      <c r="F43" s="71"/>
      <c r="G43" s="18"/>
      <c r="H43" s="22"/>
      <c r="I43" s="22"/>
      <c r="J43" s="22"/>
      <c r="K43" s="23"/>
      <c r="L43" s="22"/>
      <c r="M43" s="22"/>
      <c r="N43" s="58"/>
      <c r="O43" s="58"/>
      <c r="P43" s="58"/>
      <c r="Q43" s="62"/>
      <c r="R43" s="62"/>
      <c r="S43" s="62"/>
      <c r="T43" s="62"/>
      <c r="U43" s="62"/>
      <c r="V43" s="62"/>
      <c r="W43" s="62"/>
    </row>
    <row r="44" spans="1:23" s="25" customFormat="1">
      <c r="A44" s="74"/>
      <c r="B44" s="28"/>
      <c r="C44" s="28"/>
      <c r="D44" s="18"/>
      <c r="E44" s="70"/>
      <c r="F44" s="71"/>
      <c r="G44" s="18"/>
      <c r="H44" s="22"/>
      <c r="I44" s="22"/>
      <c r="J44" s="22"/>
      <c r="K44" s="23"/>
      <c r="L44" s="22"/>
      <c r="M44" s="22"/>
      <c r="N44" s="58"/>
      <c r="O44" s="58"/>
      <c r="P44" s="58"/>
      <c r="Q44" s="62"/>
      <c r="R44" s="62"/>
      <c r="S44" s="62"/>
      <c r="T44" s="62"/>
      <c r="U44" s="62"/>
      <c r="V44" s="62"/>
      <c r="W44" s="62"/>
    </row>
    <row r="45" spans="1:23" s="25" customFormat="1">
      <c r="A45" s="74"/>
      <c r="B45" s="28"/>
      <c r="C45" s="28"/>
      <c r="D45" s="18"/>
      <c r="E45" s="70"/>
      <c r="F45" s="71"/>
      <c r="G45" s="18"/>
      <c r="H45" s="22"/>
      <c r="I45" s="22"/>
      <c r="J45" s="22"/>
      <c r="K45" s="23"/>
      <c r="L45" s="22"/>
      <c r="M45" s="22"/>
      <c r="N45" s="58"/>
      <c r="O45" s="58"/>
      <c r="P45" s="58"/>
      <c r="Q45" s="62"/>
      <c r="R45" s="62"/>
      <c r="S45" s="62"/>
      <c r="T45" s="62"/>
      <c r="U45" s="62"/>
      <c r="V45" s="62"/>
      <c r="W45" s="62"/>
    </row>
    <row r="46" spans="1:23" s="25" customFormat="1">
      <c r="A46" s="74"/>
      <c r="B46" s="28"/>
      <c r="C46" s="28"/>
      <c r="D46" s="18"/>
      <c r="E46" s="70"/>
      <c r="F46" s="71"/>
      <c r="G46" s="18"/>
      <c r="H46" s="22"/>
      <c r="I46" s="22"/>
      <c r="J46" s="22"/>
      <c r="K46" s="23"/>
      <c r="L46" s="22"/>
      <c r="M46" s="22"/>
      <c r="N46" s="58"/>
      <c r="O46" s="58"/>
      <c r="P46" s="58"/>
      <c r="Q46" s="62"/>
      <c r="R46" s="62"/>
      <c r="S46" s="62"/>
      <c r="T46" s="62"/>
      <c r="U46" s="62"/>
      <c r="V46" s="62"/>
      <c r="W46" s="62"/>
    </row>
    <row r="47" spans="1:23" s="25" customFormat="1">
      <c r="A47" s="74"/>
      <c r="B47" s="28"/>
      <c r="C47" s="28"/>
      <c r="D47" s="18"/>
      <c r="E47" s="70"/>
      <c r="F47" s="71"/>
      <c r="G47" s="18"/>
      <c r="H47" s="22"/>
      <c r="I47" s="22"/>
      <c r="J47" s="22"/>
      <c r="K47" s="23"/>
      <c r="L47" s="22"/>
      <c r="M47" s="22"/>
      <c r="N47" s="58"/>
      <c r="O47" s="58"/>
      <c r="P47" s="58"/>
      <c r="Q47" s="62"/>
      <c r="R47" s="62"/>
      <c r="S47" s="62"/>
      <c r="T47" s="62"/>
      <c r="U47" s="62"/>
      <c r="V47" s="62"/>
      <c r="W47" s="62"/>
    </row>
    <row r="48" spans="1:23" s="25" customFormat="1">
      <c r="A48" s="74"/>
      <c r="B48" s="28"/>
      <c r="C48" s="28"/>
      <c r="D48" s="18"/>
      <c r="E48" s="70"/>
      <c r="F48" s="71"/>
      <c r="G48" s="18"/>
      <c r="H48" s="22"/>
      <c r="I48" s="22"/>
      <c r="J48" s="22"/>
      <c r="K48" s="23"/>
      <c r="L48" s="22"/>
      <c r="M48" s="22"/>
      <c r="N48" s="58"/>
      <c r="O48" s="58"/>
      <c r="P48" s="58"/>
      <c r="Q48" s="62"/>
      <c r="R48" s="62"/>
      <c r="S48" s="62"/>
      <c r="T48" s="62"/>
      <c r="U48" s="62"/>
      <c r="V48" s="62"/>
      <c r="W48" s="62"/>
    </row>
    <row r="49" spans="1:23" s="25" customFormat="1">
      <c r="A49" s="74"/>
      <c r="B49" s="28"/>
      <c r="C49" s="28"/>
      <c r="D49" s="18"/>
      <c r="E49" s="70"/>
      <c r="F49" s="71"/>
      <c r="G49" s="18"/>
      <c r="H49" s="22"/>
      <c r="I49" s="22"/>
      <c r="J49" s="22"/>
      <c r="K49" s="23"/>
      <c r="L49" s="22"/>
      <c r="M49" s="22"/>
      <c r="N49" s="58"/>
      <c r="O49" s="58"/>
      <c r="P49" s="58"/>
      <c r="Q49" s="62"/>
      <c r="R49" s="62"/>
      <c r="S49" s="62"/>
      <c r="T49" s="62"/>
      <c r="U49" s="62"/>
      <c r="V49" s="62"/>
      <c r="W49" s="62"/>
    </row>
    <row r="50" spans="1:23" s="25" customFormat="1">
      <c r="A50" s="74"/>
      <c r="B50" s="28"/>
      <c r="C50" s="28"/>
      <c r="D50" s="18"/>
      <c r="E50" s="70"/>
      <c r="F50" s="71"/>
      <c r="G50" s="18"/>
      <c r="H50" s="22"/>
      <c r="I50" s="22"/>
      <c r="J50" s="22"/>
      <c r="K50" s="23"/>
      <c r="L50" s="22"/>
      <c r="M50" s="22"/>
      <c r="N50" s="58"/>
      <c r="O50" s="58"/>
      <c r="P50" s="58"/>
      <c r="Q50" s="62"/>
      <c r="R50" s="62"/>
      <c r="S50" s="62"/>
      <c r="T50" s="62"/>
      <c r="U50" s="62"/>
      <c r="V50" s="62"/>
      <c r="W50" s="62"/>
    </row>
    <row r="51" spans="1:23" s="25" customFormat="1">
      <c r="A51" s="74"/>
      <c r="B51" s="28"/>
      <c r="C51" s="28"/>
      <c r="D51" s="18"/>
      <c r="E51" s="70"/>
      <c r="F51" s="71"/>
      <c r="G51" s="18"/>
      <c r="H51" s="22"/>
      <c r="I51" s="22"/>
      <c r="J51" s="22"/>
      <c r="K51" s="23"/>
      <c r="L51" s="22"/>
      <c r="M51" s="22"/>
      <c r="N51" s="58"/>
      <c r="O51" s="58"/>
      <c r="P51" s="58"/>
      <c r="Q51" s="62"/>
      <c r="R51" s="62"/>
      <c r="S51" s="62"/>
      <c r="T51" s="62"/>
      <c r="U51" s="62"/>
      <c r="V51" s="62"/>
      <c r="W51" s="62"/>
    </row>
    <row r="52" spans="1:23" s="25" customFormat="1">
      <c r="A52" s="74"/>
      <c r="B52" s="28"/>
      <c r="C52" s="28"/>
      <c r="D52" s="18"/>
      <c r="E52" s="70"/>
      <c r="F52" s="71"/>
      <c r="G52" s="18"/>
      <c r="H52" s="22"/>
      <c r="I52" s="22"/>
      <c r="J52" s="22"/>
      <c r="K52" s="23"/>
      <c r="L52" s="22"/>
      <c r="M52" s="22"/>
      <c r="N52" s="58"/>
      <c r="O52" s="58"/>
      <c r="P52" s="58"/>
      <c r="Q52" s="62"/>
      <c r="R52" s="62"/>
      <c r="S52" s="62"/>
      <c r="T52" s="62"/>
      <c r="U52" s="62"/>
      <c r="V52" s="62"/>
      <c r="W52" s="62"/>
    </row>
    <row r="53" spans="1:23" s="25" customFormat="1">
      <c r="A53" s="74"/>
      <c r="B53" s="28"/>
      <c r="C53" s="28"/>
      <c r="D53" s="18"/>
      <c r="E53" s="70"/>
      <c r="F53" s="71"/>
      <c r="G53" s="18"/>
      <c r="H53" s="22"/>
      <c r="I53" s="22"/>
      <c r="J53" s="22"/>
      <c r="K53" s="23"/>
      <c r="L53" s="22"/>
      <c r="M53" s="22"/>
      <c r="N53" s="58"/>
      <c r="O53" s="58"/>
      <c r="P53" s="58"/>
      <c r="Q53" s="62"/>
      <c r="R53" s="62"/>
      <c r="S53" s="62"/>
      <c r="T53" s="62"/>
      <c r="U53" s="62"/>
      <c r="V53" s="62"/>
      <c r="W53" s="62"/>
    </row>
    <row r="54" spans="1:23" s="25" customFormat="1">
      <c r="A54" s="74"/>
      <c r="B54" s="28"/>
      <c r="C54" s="28"/>
      <c r="D54" s="18"/>
      <c r="E54" s="70"/>
      <c r="F54" s="71"/>
      <c r="G54" s="18"/>
      <c r="H54" s="22"/>
      <c r="I54" s="22"/>
      <c r="J54" s="22"/>
      <c r="K54" s="23"/>
      <c r="L54" s="22"/>
      <c r="M54" s="22"/>
      <c r="N54" s="58"/>
      <c r="O54" s="58"/>
      <c r="P54" s="58"/>
      <c r="Q54" s="62"/>
      <c r="R54" s="62"/>
      <c r="S54" s="62"/>
      <c r="T54" s="62"/>
      <c r="U54" s="62"/>
      <c r="V54" s="62"/>
      <c r="W54" s="62"/>
    </row>
    <row r="55" spans="1:23" s="25" customFormat="1">
      <c r="A55" s="74"/>
      <c r="B55" s="28"/>
      <c r="C55" s="28"/>
      <c r="D55" s="18"/>
      <c r="E55" s="70"/>
      <c r="F55" s="71"/>
      <c r="G55" s="18"/>
      <c r="H55" s="22"/>
      <c r="I55" s="22"/>
      <c r="J55" s="22"/>
      <c r="K55" s="23"/>
      <c r="L55" s="22"/>
      <c r="M55" s="22"/>
      <c r="N55" s="58"/>
      <c r="O55" s="58"/>
      <c r="P55" s="58"/>
      <c r="Q55" s="62"/>
      <c r="R55" s="62"/>
      <c r="S55" s="62"/>
      <c r="T55" s="62"/>
      <c r="U55" s="62"/>
      <c r="V55" s="62"/>
      <c r="W55" s="62"/>
    </row>
    <row r="56" spans="1:23" s="25" customFormat="1">
      <c r="A56" s="74"/>
      <c r="B56" s="28"/>
      <c r="C56" s="28"/>
      <c r="D56" s="29"/>
      <c r="E56" s="70"/>
      <c r="F56" s="71"/>
      <c r="G56" s="18"/>
      <c r="H56" s="22"/>
      <c r="I56" s="22"/>
      <c r="J56" s="22"/>
      <c r="K56" s="23"/>
      <c r="L56" s="22"/>
      <c r="M56" s="22"/>
      <c r="N56" s="58"/>
      <c r="O56" s="58"/>
      <c r="P56" s="58"/>
      <c r="Q56" s="62"/>
      <c r="R56" s="62"/>
      <c r="S56" s="62"/>
      <c r="T56" s="62"/>
      <c r="U56" s="62"/>
      <c r="V56" s="62"/>
      <c r="W56" s="62"/>
    </row>
    <row r="57" spans="1:23" s="25" customFormat="1">
      <c r="A57" s="74"/>
      <c r="B57" s="28"/>
      <c r="C57" s="28"/>
      <c r="D57" s="18"/>
      <c r="E57" s="70"/>
      <c r="F57" s="71"/>
      <c r="G57" s="18"/>
      <c r="H57" s="22"/>
      <c r="I57" s="22"/>
      <c r="J57" s="22"/>
      <c r="K57" s="23"/>
      <c r="L57" s="22"/>
      <c r="M57" s="22"/>
      <c r="N57" s="58"/>
      <c r="O57" s="58"/>
      <c r="P57" s="58"/>
      <c r="Q57" s="62"/>
      <c r="R57" s="62"/>
      <c r="S57" s="62"/>
      <c r="T57" s="62"/>
      <c r="U57" s="62"/>
      <c r="V57" s="62"/>
      <c r="W57" s="62"/>
    </row>
    <row r="58" spans="1:23" s="25" customFormat="1">
      <c r="A58" s="74"/>
      <c r="B58" s="28"/>
      <c r="C58" s="28"/>
      <c r="D58" s="29"/>
      <c r="E58" s="70"/>
      <c r="F58" s="71"/>
      <c r="G58" s="18"/>
      <c r="H58" s="22"/>
      <c r="I58" s="22"/>
      <c r="J58" s="22"/>
      <c r="K58" s="23"/>
      <c r="L58" s="22"/>
      <c r="M58" s="22"/>
      <c r="N58" s="58"/>
      <c r="O58" s="58"/>
      <c r="P58" s="58"/>
      <c r="Q58" s="62"/>
      <c r="R58" s="62"/>
      <c r="S58" s="62"/>
      <c r="T58" s="62"/>
      <c r="U58" s="62"/>
      <c r="V58" s="62"/>
      <c r="W58" s="62"/>
    </row>
    <row r="59" spans="1:23" s="25" customFormat="1">
      <c r="A59" s="74"/>
      <c r="B59" s="28"/>
      <c r="C59" s="28"/>
      <c r="D59" s="18"/>
      <c r="E59" s="70"/>
      <c r="F59" s="71"/>
      <c r="G59" s="18"/>
      <c r="H59" s="22"/>
      <c r="I59" s="22"/>
      <c r="J59" s="22"/>
      <c r="K59" s="23"/>
      <c r="L59" s="22"/>
      <c r="M59" s="22"/>
      <c r="N59" s="58"/>
      <c r="O59" s="58"/>
      <c r="P59" s="58"/>
      <c r="Q59" s="62"/>
      <c r="R59" s="62"/>
      <c r="S59" s="62"/>
      <c r="T59" s="62"/>
      <c r="U59" s="62"/>
      <c r="V59" s="62"/>
      <c r="W59" s="62"/>
    </row>
    <row r="60" spans="1:23" s="25" customFormat="1">
      <c r="A60" s="74"/>
      <c r="B60" s="28"/>
      <c r="C60" s="28"/>
      <c r="D60" s="18"/>
      <c r="E60" s="70"/>
      <c r="F60" s="71"/>
      <c r="G60" s="18"/>
      <c r="H60" s="22"/>
      <c r="I60" s="22"/>
      <c r="J60" s="22"/>
      <c r="K60" s="23"/>
      <c r="L60" s="22"/>
      <c r="M60" s="22"/>
      <c r="N60" s="58"/>
      <c r="O60" s="58"/>
      <c r="P60" s="58"/>
      <c r="Q60" s="62"/>
      <c r="R60" s="62"/>
      <c r="S60" s="62"/>
      <c r="T60" s="62"/>
      <c r="U60" s="62"/>
      <c r="V60" s="62"/>
      <c r="W60" s="62"/>
    </row>
    <row r="61" spans="1:23" s="25" customFormat="1">
      <c r="A61" s="74"/>
      <c r="B61" s="28"/>
      <c r="C61" s="28"/>
      <c r="D61" s="18"/>
      <c r="E61" s="70"/>
      <c r="F61" s="71"/>
      <c r="G61" s="18"/>
      <c r="H61" s="22"/>
      <c r="I61" s="22"/>
      <c r="J61" s="22"/>
      <c r="K61" s="23"/>
      <c r="L61" s="22"/>
      <c r="M61" s="22"/>
      <c r="N61" s="58"/>
      <c r="O61" s="58"/>
      <c r="P61" s="58"/>
      <c r="Q61" s="62"/>
      <c r="R61" s="62"/>
      <c r="S61" s="62"/>
      <c r="T61" s="62"/>
      <c r="U61" s="62"/>
      <c r="V61" s="62"/>
      <c r="W61" s="62"/>
    </row>
    <row r="62" spans="1:23" s="25" customFormat="1">
      <c r="A62" s="74"/>
      <c r="B62" s="28"/>
      <c r="C62" s="28"/>
      <c r="D62" s="18"/>
      <c r="E62" s="70"/>
      <c r="F62" s="71"/>
      <c r="G62" s="18"/>
      <c r="H62" s="22"/>
      <c r="I62" s="22"/>
      <c r="J62" s="22"/>
      <c r="K62" s="23"/>
      <c r="L62" s="22"/>
      <c r="M62" s="22"/>
      <c r="N62" s="58"/>
      <c r="O62" s="58"/>
      <c r="P62" s="58"/>
      <c r="Q62" s="62"/>
      <c r="R62" s="62"/>
      <c r="S62" s="62"/>
      <c r="T62" s="62"/>
      <c r="U62" s="62"/>
      <c r="V62" s="62"/>
      <c r="W62" s="62"/>
    </row>
    <row r="63" spans="1:23" s="25" customFormat="1">
      <c r="A63" s="74"/>
      <c r="B63" s="28"/>
      <c r="C63" s="28"/>
      <c r="D63" s="18"/>
      <c r="E63" s="70"/>
      <c r="F63" s="71"/>
      <c r="G63" s="18"/>
      <c r="H63" s="22"/>
      <c r="I63" s="22"/>
      <c r="J63" s="22"/>
      <c r="K63" s="23"/>
      <c r="L63" s="22"/>
      <c r="M63" s="22"/>
      <c r="N63" s="58"/>
      <c r="O63" s="58"/>
      <c r="P63" s="58"/>
      <c r="Q63" s="62"/>
      <c r="R63" s="62"/>
      <c r="S63" s="62"/>
      <c r="T63" s="62"/>
      <c r="U63" s="62"/>
      <c r="V63" s="62"/>
      <c r="W63" s="62"/>
    </row>
    <row r="64" spans="1:23" s="25" customFormat="1">
      <c r="A64" s="74"/>
      <c r="B64" s="28"/>
      <c r="C64" s="28"/>
      <c r="D64" s="18"/>
      <c r="E64" s="70"/>
      <c r="F64" s="71"/>
      <c r="G64" s="18"/>
      <c r="H64" s="22"/>
      <c r="I64" s="22"/>
      <c r="J64" s="22"/>
      <c r="K64" s="23"/>
      <c r="L64" s="22"/>
      <c r="M64" s="22"/>
      <c r="N64" s="58"/>
      <c r="O64" s="58"/>
      <c r="P64" s="58"/>
      <c r="Q64" s="62"/>
      <c r="R64" s="62"/>
      <c r="S64" s="62"/>
      <c r="T64" s="62"/>
      <c r="U64" s="62"/>
      <c r="V64" s="62"/>
      <c r="W64" s="62"/>
    </row>
    <row r="65" spans="1:23" s="25" customFormat="1">
      <c r="A65" s="74"/>
      <c r="B65" s="28"/>
      <c r="C65" s="28"/>
      <c r="D65" s="18"/>
      <c r="E65" s="70"/>
      <c r="F65" s="71"/>
      <c r="G65" s="18"/>
      <c r="H65" s="22"/>
      <c r="I65" s="22"/>
      <c r="J65" s="22"/>
      <c r="K65" s="23"/>
      <c r="L65" s="22"/>
      <c r="M65" s="22"/>
      <c r="N65" s="58"/>
      <c r="O65" s="58"/>
      <c r="P65" s="58"/>
      <c r="Q65" s="62"/>
      <c r="R65" s="62"/>
      <c r="S65" s="62"/>
      <c r="T65" s="62"/>
      <c r="U65" s="62"/>
      <c r="V65" s="62"/>
      <c r="W65" s="62"/>
    </row>
    <row r="66" spans="1:23" s="25" customFormat="1">
      <c r="A66" s="74"/>
      <c r="B66" s="28"/>
      <c r="C66" s="28"/>
      <c r="D66" s="18"/>
      <c r="E66" s="70"/>
      <c r="F66" s="71"/>
      <c r="G66" s="18"/>
      <c r="H66" s="22"/>
      <c r="I66" s="22"/>
      <c r="J66" s="22"/>
      <c r="K66" s="23"/>
      <c r="L66" s="22"/>
      <c r="M66" s="22"/>
      <c r="N66" s="58"/>
      <c r="O66" s="58"/>
      <c r="P66" s="58"/>
      <c r="Q66" s="62"/>
      <c r="R66" s="62"/>
      <c r="S66" s="62"/>
      <c r="T66" s="62"/>
      <c r="U66" s="62"/>
      <c r="V66" s="62"/>
      <c r="W66" s="62"/>
    </row>
    <row r="67" spans="1:23" s="25" customFormat="1">
      <c r="A67" s="74"/>
      <c r="B67" s="28"/>
      <c r="C67" s="28"/>
      <c r="D67" s="18"/>
      <c r="E67" s="70"/>
      <c r="F67" s="71"/>
      <c r="G67" s="18"/>
      <c r="H67" s="22"/>
      <c r="I67" s="22"/>
      <c r="J67" s="22"/>
      <c r="K67" s="23"/>
      <c r="L67" s="22"/>
      <c r="M67" s="22"/>
      <c r="N67" s="58"/>
      <c r="O67" s="58"/>
      <c r="P67" s="58"/>
      <c r="Q67" s="62"/>
      <c r="R67" s="62"/>
      <c r="S67" s="62"/>
      <c r="T67" s="62"/>
      <c r="U67" s="62"/>
      <c r="V67" s="62"/>
      <c r="W67" s="62"/>
    </row>
    <row r="68" spans="1:23" s="25" customFormat="1">
      <c r="A68" s="74"/>
      <c r="B68" s="28"/>
      <c r="C68" s="28"/>
      <c r="D68" s="18"/>
      <c r="E68" s="70"/>
      <c r="F68" s="71"/>
      <c r="G68" s="18"/>
      <c r="H68" s="22"/>
      <c r="I68" s="22"/>
      <c r="J68" s="22"/>
      <c r="K68" s="23"/>
      <c r="L68" s="22"/>
      <c r="M68" s="22"/>
      <c r="N68" s="58"/>
      <c r="O68" s="58"/>
      <c r="P68" s="58"/>
      <c r="Q68" s="62"/>
      <c r="R68" s="62"/>
      <c r="S68" s="62"/>
      <c r="T68" s="62"/>
      <c r="U68" s="62"/>
      <c r="V68" s="62"/>
      <c r="W68" s="62"/>
    </row>
    <row r="69" spans="1:23" s="25" customFormat="1">
      <c r="A69" s="74"/>
      <c r="B69" s="28"/>
      <c r="C69" s="28"/>
      <c r="D69" s="18"/>
      <c r="E69" s="70"/>
      <c r="F69" s="71"/>
      <c r="G69" s="18"/>
      <c r="H69" s="22"/>
      <c r="I69" s="22"/>
      <c r="J69" s="22"/>
      <c r="K69" s="23"/>
      <c r="L69" s="22"/>
      <c r="M69" s="22"/>
      <c r="N69" s="58"/>
      <c r="O69" s="58"/>
      <c r="P69" s="58"/>
      <c r="Q69" s="62"/>
      <c r="R69" s="62"/>
      <c r="S69" s="62"/>
      <c r="T69" s="62"/>
      <c r="U69" s="62"/>
      <c r="V69" s="62"/>
      <c r="W69" s="62"/>
    </row>
    <row r="70" spans="1:23" s="25" customFormat="1">
      <c r="A70" s="74"/>
      <c r="B70" s="28"/>
      <c r="C70" s="28"/>
      <c r="D70" s="18"/>
      <c r="E70" s="70"/>
      <c r="F70" s="71"/>
      <c r="G70" s="18"/>
      <c r="H70" s="22"/>
      <c r="I70" s="22"/>
      <c r="J70" s="22"/>
      <c r="K70" s="23"/>
      <c r="L70" s="22"/>
      <c r="M70" s="22"/>
      <c r="N70" s="58"/>
      <c r="O70" s="58"/>
      <c r="P70" s="58"/>
      <c r="Q70" s="62"/>
      <c r="R70" s="62"/>
      <c r="S70" s="62"/>
      <c r="T70" s="62"/>
      <c r="U70" s="62"/>
      <c r="V70" s="62"/>
      <c r="W70" s="62"/>
    </row>
    <row r="71" spans="1:23" s="25" customFormat="1">
      <c r="A71" s="74"/>
      <c r="B71" s="28"/>
      <c r="C71" s="28"/>
      <c r="D71" s="18"/>
      <c r="E71" s="70"/>
      <c r="F71" s="71"/>
      <c r="G71" s="18"/>
      <c r="H71" s="22"/>
      <c r="I71" s="22"/>
      <c r="J71" s="22"/>
      <c r="K71" s="23"/>
      <c r="L71" s="22"/>
      <c r="M71" s="22"/>
      <c r="N71" s="58"/>
      <c r="O71" s="58"/>
      <c r="P71" s="58"/>
      <c r="Q71" s="62"/>
      <c r="R71" s="62"/>
      <c r="S71" s="62"/>
      <c r="T71" s="62"/>
      <c r="U71" s="62"/>
      <c r="V71" s="62"/>
      <c r="W71" s="62"/>
    </row>
    <row r="72" spans="1:23" s="25" customFormat="1">
      <c r="A72" s="74"/>
      <c r="B72" s="28"/>
      <c r="C72" s="28"/>
      <c r="D72" s="18"/>
      <c r="E72" s="70"/>
      <c r="F72" s="71"/>
      <c r="G72" s="18"/>
      <c r="H72" s="22"/>
      <c r="I72" s="22"/>
      <c r="J72" s="22"/>
      <c r="K72" s="23"/>
      <c r="L72" s="22"/>
      <c r="M72" s="22"/>
      <c r="N72" s="58"/>
      <c r="O72" s="58"/>
      <c r="P72" s="58"/>
      <c r="Q72" s="62"/>
      <c r="R72" s="62"/>
      <c r="S72" s="62"/>
      <c r="T72" s="62"/>
      <c r="U72" s="62"/>
      <c r="V72" s="62"/>
      <c r="W72" s="62"/>
    </row>
    <row r="73" spans="1:23" s="25" customFormat="1">
      <c r="A73" s="74"/>
      <c r="B73" s="28"/>
      <c r="C73" s="28"/>
      <c r="D73" s="18"/>
      <c r="E73" s="70"/>
      <c r="F73" s="71"/>
      <c r="G73" s="18"/>
      <c r="H73" s="22"/>
      <c r="I73" s="22"/>
      <c r="J73" s="22"/>
      <c r="K73" s="23"/>
      <c r="L73" s="22"/>
      <c r="M73" s="22"/>
      <c r="N73" s="58"/>
      <c r="O73" s="58"/>
      <c r="P73" s="58"/>
      <c r="Q73" s="62"/>
      <c r="R73" s="62"/>
      <c r="S73" s="62"/>
      <c r="T73" s="62"/>
      <c r="U73" s="62"/>
      <c r="V73" s="62"/>
      <c r="W73" s="62"/>
    </row>
    <row r="74" spans="1:23" s="25" customFormat="1">
      <c r="A74" s="74"/>
      <c r="B74" s="28"/>
      <c r="C74" s="28"/>
      <c r="D74" s="18"/>
      <c r="E74" s="70"/>
      <c r="F74" s="71"/>
      <c r="G74" s="18"/>
      <c r="H74" s="22"/>
      <c r="I74" s="22"/>
      <c r="J74" s="22"/>
      <c r="K74" s="23"/>
      <c r="L74" s="22"/>
      <c r="M74" s="22"/>
      <c r="N74" s="58"/>
      <c r="O74" s="58"/>
      <c r="P74" s="58"/>
      <c r="Q74" s="62"/>
      <c r="R74" s="62"/>
      <c r="S74" s="62"/>
      <c r="T74" s="62"/>
      <c r="U74" s="62"/>
      <c r="V74" s="62"/>
      <c r="W74" s="62"/>
    </row>
    <row r="75" spans="1:23" s="25" customFormat="1">
      <c r="A75" s="74"/>
      <c r="B75" s="28"/>
      <c r="C75" s="28"/>
      <c r="D75" s="18"/>
      <c r="E75" s="70"/>
      <c r="F75" s="71"/>
      <c r="G75" s="18"/>
      <c r="H75" s="22"/>
      <c r="I75" s="22"/>
      <c r="J75" s="22"/>
      <c r="K75" s="23"/>
      <c r="L75" s="22"/>
      <c r="M75" s="22"/>
      <c r="N75" s="58"/>
      <c r="O75" s="58"/>
      <c r="P75" s="58"/>
      <c r="Q75" s="62"/>
      <c r="R75" s="62"/>
      <c r="S75" s="62"/>
      <c r="T75" s="62"/>
      <c r="U75" s="62"/>
      <c r="V75" s="62"/>
      <c r="W75" s="62"/>
    </row>
    <row r="76" spans="1:23" s="25" customFormat="1">
      <c r="A76" s="74"/>
      <c r="B76" s="28"/>
      <c r="C76" s="28"/>
      <c r="D76" s="18"/>
      <c r="E76" s="70"/>
      <c r="F76" s="71"/>
      <c r="G76" s="18"/>
      <c r="H76" s="22"/>
      <c r="I76" s="22"/>
      <c r="J76" s="22"/>
      <c r="K76" s="23"/>
      <c r="L76" s="22"/>
      <c r="M76" s="22"/>
      <c r="N76" s="58"/>
      <c r="O76" s="58"/>
      <c r="P76" s="58"/>
      <c r="Q76" s="62"/>
      <c r="R76" s="62"/>
      <c r="S76" s="62"/>
      <c r="T76" s="62"/>
      <c r="U76" s="62"/>
      <c r="V76" s="62"/>
      <c r="W76" s="62"/>
    </row>
    <row r="77" spans="1:23" s="25" customFormat="1">
      <c r="A77" s="74"/>
      <c r="B77" s="28"/>
      <c r="C77" s="28"/>
      <c r="D77" s="18"/>
      <c r="E77" s="70"/>
      <c r="F77" s="71"/>
      <c r="G77" s="18"/>
      <c r="H77" s="22"/>
      <c r="I77" s="22"/>
      <c r="J77" s="22"/>
      <c r="K77" s="23"/>
      <c r="L77" s="22"/>
      <c r="M77" s="22"/>
      <c r="N77" s="58"/>
      <c r="O77" s="58"/>
      <c r="P77" s="58"/>
      <c r="Q77" s="62"/>
      <c r="R77" s="62"/>
      <c r="S77" s="62"/>
      <c r="T77" s="62"/>
      <c r="U77" s="62"/>
      <c r="V77" s="62"/>
      <c r="W77" s="62"/>
    </row>
    <row r="78" spans="1:23" s="25" customFormat="1">
      <c r="A78" s="74"/>
      <c r="B78" s="28"/>
      <c r="C78" s="28"/>
      <c r="D78" s="18"/>
      <c r="E78" s="70"/>
      <c r="F78" s="71"/>
      <c r="G78" s="18"/>
      <c r="H78" s="22"/>
      <c r="I78" s="22"/>
      <c r="J78" s="22"/>
      <c r="K78" s="23"/>
      <c r="L78" s="22"/>
      <c r="M78" s="22"/>
      <c r="N78" s="58"/>
      <c r="O78" s="58"/>
      <c r="P78" s="58"/>
      <c r="Q78" s="62"/>
      <c r="R78" s="62"/>
      <c r="S78" s="62"/>
      <c r="T78" s="62"/>
      <c r="U78" s="62"/>
      <c r="V78" s="62"/>
      <c r="W78" s="62"/>
    </row>
    <row r="79" spans="1:23" s="25" customFormat="1">
      <c r="A79" s="74"/>
      <c r="B79" s="28"/>
      <c r="C79" s="28"/>
      <c r="D79" s="18"/>
      <c r="E79" s="70"/>
      <c r="F79" s="71"/>
      <c r="G79" s="18"/>
      <c r="H79" s="22"/>
      <c r="I79" s="22"/>
      <c r="J79" s="22"/>
      <c r="K79" s="23"/>
      <c r="L79" s="22"/>
      <c r="M79" s="22"/>
      <c r="N79" s="58"/>
      <c r="O79" s="58"/>
      <c r="P79" s="58"/>
      <c r="Q79" s="62"/>
      <c r="R79" s="62"/>
      <c r="S79" s="62"/>
      <c r="T79" s="62"/>
      <c r="U79" s="62"/>
      <c r="V79" s="62"/>
      <c r="W79" s="62"/>
    </row>
    <row r="80" spans="1:23" s="25" customFormat="1">
      <c r="A80" s="74"/>
      <c r="B80" s="28"/>
      <c r="C80" s="28"/>
      <c r="D80" s="18"/>
      <c r="E80" s="70"/>
      <c r="F80" s="71"/>
      <c r="G80" s="18"/>
      <c r="H80" s="22"/>
      <c r="I80" s="22"/>
      <c r="J80" s="22"/>
      <c r="K80" s="23"/>
      <c r="L80" s="22"/>
      <c r="M80" s="22"/>
      <c r="N80" s="58"/>
      <c r="O80" s="58"/>
      <c r="P80" s="58"/>
      <c r="Q80" s="62"/>
      <c r="R80" s="62"/>
      <c r="S80" s="62"/>
      <c r="T80" s="62"/>
      <c r="U80" s="62"/>
      <c r="V80" s="62"/>
      <c r="W80" s="62"/>
    </row>
    <row r="81" spans="1:23" s="25" customFormat="1">
      <c r="A81" s="74"/>
      <c r="B81" s="28"/>
      <c r="C81" s="28"/>
      <c r="D81" s="18"/>
      <c r="E81" s="70"/>
      <c r="F81" s="71"/>
      <c r="G81" s="18"/>
      <c r="H81" s="22"/>
      <c r="I81" s="22"/>
      <c r="J81" s="22"/>
      <c r="K81" s="23"/>
      <c r="L81" s="22"/>
      <c r="M81" s="22"/>
      <c r="N81" s="58"/>
      <c r="O81" s="58"/>
      <c r="P81" s="58"/>
      <c r="Q81" s="62"/>
      <c r="R81" s="62"/>
      <c r="S81" s="62"/>
      <c r="T81" s="62"/>
      <c r="U81" s="62"/>
      <c r="V81" s="62"/>
      <c r="W81" s="62"/>
    </row>
    <row r="82" spans="1:23" s="25" customFormat="1">
      <c r="A82" s="74"/>
      <c r="B82" s="28"/>
      <c r="C82" s="28"/>
      <c r="D82" s="18"/>
      <c r="E82" s="70"/>
      <c r="F82" s="71"/>
      <c r="G82" s="18"/>
      <c r="H82" s="22"/>
      <c r="I82" s="22"/>
      <c r="J82" s="22"/>
      <c r="K82" s="23"/>
      <c r="L82" s="22"/>
      <c r="M82" s="22"/>
      <c r="N82" s="58"/>
      <c r="O82" s="58"/>
      <c r="P82" s="58"/>
      <c r="Q82" s="62"/>
      <c r="R82" s="62"/>
      <c r="S82" s="62"/>
      <c r="T82" s="62"/>
      <c r="U82" s="62"/>
      <c r="V82" s="62"/>
      <c r="W82" s="62"/>
    </row>
    <row r="83" spans="1:23" s="25" customFormat="1">
      <c r="A83" s="74"/>
      <c r="B83" s="28"/>
      <c r="C83" s="28"/>
      <c r="D83" s="18"/>
      <c r="E83" s="70"/>
      <c r="F83" s="71"/>
      <c r="G83" s="18"/>
      <c r="H83" s="22"/>
      <c r="I83" s="22"/>
      <c r="J83" s="22"/>
      <c r="K83" s="23"/>
      <c r="L83" s="22"/>
      <c r="M83" s="22"/>
      <c r="N83" s="58"/>
      <c r="O83" s="58"/>
      <c r="P83" s="58"/>
      <c r="Q83" s="62"/>
      <c r="R83" s="62"/>
      <c r="S83" s="62"/>
      <c r="T83" s="62"/>
      <c r="U83" s="62"/>
      <c r="V83" s="62"/>
      <c r="W83" s="62"/>
    </row>
    <row r="84" spans="1:23" s="25" customFormat="1">
      <c r="A84" s="74"/>
      <c r="B84" s="28"/>
      <c r="C84" s="28"/>
      <c r="D84" s="18"/>
      <c r="E84" s="70"/>
      <c r="F84" s="71"/>
      <c r="G84" s="18"/>
      <c r="H84" s="22"/>
      <c r="I84" s="22"/>
      <c r="J84" s="22"/>
      <c r="K84" s="23"/>
      <c r="L84" s="22"/>
      <c r="M84" s="22"/>
      <c r="N84" s="58"/>
      <c r="O84" s="58"/>
      <c r="P84" s="58"/>
      <c r="Q84" s="62"/>
      <c r="R84" s="62"/>
      <c r="S84" s="62"/>
      <c r="T84" s="62"/>
      <c r="U84" s="62"/>
      <c r="V84" s="62"/>
      <c r="W84" s="62"/>
    </row>
    <row r="85" spans="1:23" s="25" customFormat="1">
      <c r="A85" s="74"/>
      <c r="B85" s="28"/>
      <c r="C85" s="28"/>
      <c r="D85" s="18"/>
      <c r="E85" s="70"/>
      <c r="F85" s="71"/>
      <c r="G85" s="18"/>
      <c r="H85" s="22"/>
      <c r="I85" s="22"/>
      <c r="J85" s="22"/>
      <c r="K85" s="23"/>
      <c r="L85" s="22"/>
      <c r="M85" s="22"/>
      <c r="N85" s="58"/>
      <c r="O85" s="58"/>
      <c r="P85" s="58"/>
      <c r="Q85" s="62"/>
      <c r="R85" s="62"/>
      <c r="S85" s="62"/>
      <c r="T85" s="62"/>
      <c r="U85" s="62"/>
      <c r="V85" s="62"/>
      <c r="W85" s="62"/>
    </row>
    <row r="86" spans="1:23" s="25" customFormat="1">
      <c r="A86" s="74"/>
      <c r="B86" s="28"/>
      <c r="C86" s="28"/>
      <c r="D86" s="18"/>
      <c r="E86" s="70"/>
      <c r="F86" s="71"/>
      <c r="G86" s="18"/>
      <c r="H86" s="22"/>
      <c r="I86" s="22"/>
      <c r="J86" s="22"/>
      <c r="K86" s="23"/>
      <c r="L86" s="22"/>
      <c r="M86" s="22"/>
      <c r="N86" s="58"/>
      <c r="O86" s="58"/>
      <c r="P86" s="58"/>
      <c r="Q86" s="62"/>
      <c r="R86" s="62"/>
      <c r="S86" s="62"/>
      <c r="T86" s="62"/>
      <c r="U86" s="62"/>
      <c r="V86" s="62"/>
      <c r="W86" s="62"/>
    </row>
    <row r="87" spans="1:23" s="25" customFormat="1">
      <c r="A87" s="74"/>
      <c r="B87" s="28"/>
      <c r="C87" s="28"/>
      <c r="D87" s="18"/>
      <c r="E87" s="70"/>
      <c r="F87" s="71"/>
      <c r="G87" s="18"/>
      <c r="H87" s="22"/>
      <c r="I87" s="22"/>
      <c r="J87" s="22"/>
      <c r="K87" s="23"/>
      <c r="L87" s="22"/>
      <c r="M87" s="22"/>
      <c r="N87" s="58"/>
      <c r="O87" s="58"/>
      <c r="P87" s="58"/>
      <c r="Q87" s="62"/>
      <c r="R87" s="62"/>
      <c r="S87" s="62"/>
      <c r="T87" s="62"/>
      <c r="U87" s="62"/>
      <c r="V87" s="62"/>
      <c r="W87" s="62"/>
    </row>
    <row r="88" spans="1:23" s="25" customFormat="1">
      <c r="A88" s="74"/>
      <c r="B88" s="28"/>
      <c r="C88" s="28"/>
      <c r="D88" s="18"/>
      <c r="E88" s="70"/>
      <c r="F88" s="71"/>
      <c r="G88" s="18"/>
      <c r="H88" s="22"/>
      <c r="I88" s="22"/>
      <c r="J88" s="22"/>
      <c r="K88" s="23"/>
      <c r="L88" s="22"/>
      <c r="M88" s="22"/>
      <c r="N88" s="58"/>
      <c r="O88" s="58"/>
      <c r="P88" s="58"/>
      <c r="Q88" s="62"/>
      <c r="R88" s="62"/>
      <c r="S88" s="62"/>
      <c r="T88" s="62"/>
      <c r="U88" s="62"/>
      <c r="V88" s="62"/>
      <c r="W88" s="62"/>
    </row>
    <row r="89" spans="1:23" s="25" customFormat="1">
      <c r="A89" s="74"/>
      <c r="B89" s="28"/>
      <c r="C89" s="28"/>
      <c r="D89" s="18"/>
      <c r="E89" s="70"/>
      <c r="F89" s="71"/>
      <c r="G89" s="18"/>
      <c r="H89" s="22"/>
      <c r="I89" s="22"/>
      <c r="J89" s="22"/>
      <c r="K89" s="23"/>
      <c r="L89" s="22"/>
      <c r="M89" s="22"/>
      <c r="N89" s="58"/>
      <c r="O89" s="58"/>
      <c r="P89" s="58"/>
      <c r="Q89" s="62"/>
      <c r="R89" s="62"/>
      <c r="S89" s="62"/>
      <c r="T89" s="62"/>
      <c r="U89" s="62"/>
      <c r="V89" s="62"/>
      <c r="W89" s="62"/>
    </row>
    <row r="90" spans="1:23" s="25" customFormat="1">
      <c r="A90" s="74"/>
      <c r="B90" s="28"/>
      <c r="C90" s="28"/>
      <c r="D90" s="18"/>
      <c r="E90" s="70"/>
      <c r="F90" s="71"/>
      <c r="G90" s="18"/>
      <c r="H90" s="22"/>
      <c r="I90" s="22"/>
      <c r="J90" s="22"/>
      <c r="K90" s="23"/>
      <c r="L90" s="22"/>
      <c r="M90" s="22"/>
      <c r="N90" s="58"/>
      <c r="O90" s="58"/>
      <c r="P90" s="58"/>
      <c r="Q90" s="62"/>
      <c r="R90" s="62"/>
      <c r="S90" s="62"/>
      <c r="T90" s="62"/>
      <c r="U90" s="62"/>
      <c r="V90" s="62"/>
      <c r="W90" s="62"/>
    </row>
    <row r="91" spans="1:23" s="25" customFormat="1">
      <c r="A91" s="74"/>
      <c r="B91" s="28"/>
      <c r="C91" s="28"/>
      <c r="D91" s="18"/>
      <c r="E91" s="70"/>
      <c r="F91" s="71"/>
      <c r="G91" s="18"/>
      <c r="H91" s="22"/>
      <c r="I91" s="22"/>
      <c r="J91" s="22"/>
      <c r="K91" s="23"/>
      <c r="L91" s="22"/>
      <c r="M91" s="22"/>
      <c r="N91" s="58"/>
      <c r="O91" s="58"/>
      <c r="P91" s="58"/>
      <c r="Q91" s="62"/>
      <c r="R91" s="62"/>
      <c r="S91" s="62"/>
      <c r="T91" s="62"/>
      <c r="U91" s="62"/>
      <c r="V91" s="62"/>
      <c r="W91" s="62"/>
    </row>
    <row r="92" spans="1:23" s="25" customFormat="1">
      <c r="A92" s="74"/>
      <c r="B92" s="28"/>
      <c r="C92" s="28"/>
      <c r="D92" s="18"/>
      <c r="E92" s="70"/>
      <c r="F92" s="71"/>
      <c r="G92" s="18"/>
      <c r="H92" s="22"/>
      <c r="I92" s="22"/>
      <c r="J92" s="22"/>
      <c r="K92" s="23"/>
      <c r="L92" s="22"/>
      <c r="M92" s="22"/>
      <c r="N92" s="58"/>
      <c r="O92" s="58"/>
      <c r="P92" s="58"/>
      <c r="Q92" s="62"/>
      <c r="R92" s="62"/>
      <c r="S92" s="62"/>
      <c r="T92" s="62"/>
      <c r="U92" s="62"/>
      <c r="V92" s="62"/>
      <c r="W92" s="62"/>
    </row>
    <row r="93" spans="1:23" s="25" customFormat="1">
      <c r="A93" s="74"/>
      <c r="B93" s="28"/>
      <c r="C93" s="28"/>
      <c r="D93" s="18"/>
      <c r="E93" s="70"/>
      <c r="F93" s="71"/>
      <c r="G93" s="18"/>
      <c r="H93" s="22"/>
      <c r="I93" s="22"/>
      <c r="J93" s="22"/>
      <c r="K93" s="23"/>
      <c r="L93" s="22"/>
      <c r="M93" s="22"/>
      <c r="N93" s="58"/>
      <c r="O93" s="58"/>
      <c r="P93" s="58"/>
      <c r="Q93" s="62"/>
      <c r="R93" s="62"/>
      <c r="S93" s="62"/>
      <c r="T93" s="62"/>
      <c r="U93" s="62"/>
      <c r="V93" s="62"/>
      <c r="W93" s="62"/>
    </row>
    <row r="94" spans="1:23">
      <c r="A94" s="74"/>
      <c r="B94" s="28"/>
      <c r="C94" s="28"/>
      <c r="D94" s="18"/>
      <c r="E94" s="70"/>
      <c r="F94" s="71"/>
      <c r="G94" s="18"/>
      <c r="H94" s="22"/>
      <c r="I94" s="22"/>
      <c r="J94" s="22"/>
      <c r="K94" s="23"/>
      <c r="L94" s="22"/>
      <c r="M94" s="22"/>
      <c r="N94" s="58"/>
      <c r="O94" s="58"/>
      <c r="P94" s="58"/>
    </row>
    <row r="95" spans="1:23">
      <c r="A95" s="74"/>
      <c r="B95" s="28"/>
      <c r="C95" s="28"/>
      <c r="D95" s="18"/>
      <c r="E95" s="70"/>
      <c r="F95" s="71"/>
      <c r="G95" s="18"/>
      <c r="H95" s="22"/>
      <c r="I95" s="22"/>
      <c r="J95" s="22"/>
      <c r="K95" s="23"/>
      <c r="L95" s="22"/>
      <c r="M95" s="22"/>
      <c r="N95" s="58"/>
      <c r="O95" s="58"/>
      <c r="P95" s="58"/>
    </row>
    <row r="96" spans="1:23">
      <c r="A96" s="74"/>
      <c r="B96" s="28"/>
      <c r="C96" s="28"/>
      <c r="D96" s="18"/>
      <c r="E96" s="70"/>
      <c r="F96" s="71"/>
      <c r="G96" s="18"/>
      <c r="H96" s="22"/>
      <c r="I96" s="22"/>
      <c r="J96" s="22"/>
      <c r="K96" s="23"/>
      <c r="L96" s="22"/>
      <c r="M96" s="22"/>
      <c r="N96" s="58"/>
      <c r="O96" s="58"/>
      <c r="P96" s="58"/>
    </row>
    <row r="97" spans="1:23">
      <c r="A97" s="74"/>
      <c r="B97" s="28"/>
      <c r="C97" s="28"/>
      <c r="D97" s="18"/>
      <c r="E97" s="70"/>
      <c r="F97" s="71"/>
      <c r="G97" s="18"/>
      <c r="H97" s="22"/>
      <c r="I97" s="22"/>
      <c r="J97" s="22"/>
      <c r="K97" s="23"/>
      <c r="L97" s="22"/>
      <c r="M97" s="22"/>
      <c r="N97" s="58"/>
      <c r="O97" s="58"/>
      <c r="P97" s="58"/>
    </row>
    <row r="98" spans="1:23">
      <c r="A98" s="74"/>
      <c r="B98" s="28"/>
      <c r="C98" s="28"/>
      <c r="D98" s="18"/>
      <c r="E98" s="70"/>
      <c r="F98" s="71"/>
      <c r="G98" s="18"/>
      <c r="H98" s="22"/>
      <c r="I98" s="22"/>
      <c r="J98" s="22"/>
      <c r="K98" s="23"/>
      <c r="L98" s="22"/>
      <c r="M98" s="22"/>
      <c r="N98" s="58"/>
      <c r="O98" s="58"/>
      <c r="P98" s="58"/>
    </row>
    <row r="99" spans="1:23">
      <c r="A99" s="74"/>
      <c r="B99" s="28"/>
      <c r="C99" s="28"/>
      <c r="D99" s="18"/>
      <c r="E99" s="70"/>
      <c r="F99" s="71"/>
      <c r="G99" s="18"/>
      <c r="H99" s="22"/>
      <c r="I99" s="22"/>
      <c r="J99" s="22"/>
      <c r="K99" s="23"/>
      <c r="L99" s="22"/>
      <c r="M99" s="22"/>
      <c r="N99" s="58"/>
      <c r="O99" s="58"/>
      <c r="P99" s="58"/>
    </row>
    <row r="100" spans="1:23">
      <c r="A100" s="74"/>
      <c r="B100" s="28"/>
      <c r="C100" s="28"/>
      <c r="D100" s="18"/>
      <c r="E100" s="70"/>
      <c r="F100" s="71"/>
      <c r="G100" s="18"/>
      <c r="H100" s="22"/>
      <c r="I100" s="22"/>
      <c r="J100" s="22"/>
      <c r="K100" s="23"/>
      <c r="L100" s="22"/>
      <c r="M100" s="22"/>
      <c r="N100" s="58"/>
      <c r="O100" s="58"/>
      <c r="P100" s="58"/>
    </row>
    <row r="101" spans="1:23">
      <c r="A101" s="74"/>
      <c r="B101" s="28"/>
      <c r="C101" s="28"/>
      <c r="D101" s="18"/>
      <c r="E101" s="70"/>
      <c r="F101" s="71"/>
      <c r="G101" s="18"/>
      <c r="H101" s="22"/>
      <c r="I101" s="22"/>
      <c r="J101" s="22"/>
      <c r="K101" s="23"/>
      <c r="L101" s="22"/>
      <c r="M101" s="22"/>
      <c r="N101" s="58"/>
      <c r="O101" s="58"/>
      <c r="P101" s="58"/>
    </row>
    <row r="102" spans="1:23">
      <c r="A102" s="74"/>
      <c r="B102" s="28"/>
      <c r="C102" s="28"/>
      <c r="D102" s="18"/>
      <c r="E102" s="70"/>
      <c r="F102" s="71"/>
      <c r="G102" s="18"/>
      <c r="H102" s="22"/>
      <c r="I102" s="22"/>
      <c r="J102" s="22"/>
      <c r="K102" s="23"/>
      <c r="L102" s="22"/>
      <c r="M102" s="22"/>
      <c r="N102" s="58"/>
      <c r="O102" s="58"/>
      <c r="P102" s="58"/>
    </row>
    <row r="103" spans="1:23">
      <c r="A103" s="74"/>
      <c r="B103" s="28"/>
      <c r="C103" s="28"/>
      <c r="D103" s="18"/>
      <c r="E103" s="70"/>
      <c r="F103" s="71"/>
      <c r="G103" s="18"/>
      <c r="H103" s="22"/>
      <c r="I103" s="22"/>
      <c r="J103" s="22"/>
      <c r="K103" s="23"/>
      <c r="L103" s="22"/>
      <c r="M103" s="22"/>
      <c r="N103" s="58"/>
      <c r="O103" s="58"/>
      <c r="P103" s="58"/>
    </row>
    <row r="104" spans="1:23" s="26" customFormat="1">
      <c r="A104" s="74"/>
      <c r="B104" s="28"/>
      <c r="C104" s="28"/>
      <c r="D104" s="18"/>
      <c r="E104" s="70"/>
      <c r="F104" s="71"/>
      <c r="G104" s="18"/>
      <c r="H104" s="22"/>
      <c r="I104" s="22"/>
      <c r="J104" s="22"/>
      <c r="K104" s="23"/>
      <c r="L104" s="22"/>
      <c r="M104" s="22"/>
      <c r="N104" s="64"/>
      <c r="O104" s="64"/>
      <c r="P104" s="64"/>
      <c r="Q104" s="65"/>
      <c r="R104" s="65"/>
      <c r="S104" s="65"/>
      <c r="T104" s="65"/>
      <c r="U104" s="65"/>
      <c r="V104" s="65"/>
      <c r="W104" s="65"/>
    </row>
    <row r="105" spans="1:23">
      <c r="A105" s="74"/>
      <c r="B105" s="28"/>
      <c r="C105" s="28"/>
      <c r="D105" s="18"/>
      <c r="E105" s="70"/>
      <c r="F105" s="71"/>
      <c r="G105" s="18"/>
      <c r="H105" s="22"/>
      <c r="I105" s="22"/>
      <c r="J105" s="22"/>
      <c r="K105" s="23"/>
      <c r="L105" s="22"/>
      <c r="M105" s="22"/>
      <c r="N105" s="64"/>
      <c r="O105" s="64"/>
      <c r="P105" s="64"/>
    </row>
    <row r="106" spans="1:23">
      <c r="A106" s="74"/>
      <c r="B106" s="28"/>
      <c r="C106" s="28"/>
      <c r="D106" s="18"/>
      <c r="E106" s="70"/>
      <c r="F106" s="71"/>
      <c r="G106" s="18"/>
      <c r="H106" s="22"/>
      <c r="I106" s="22"/>
      <c r="J106" s="22"/>
      <c r="K106" s="23"/>
      <c r="L106" s="22"/>
      <c r="M106" s="22"/>
    </row>
    <row r="107" spans="1:23">
      <c r="A107" s="74"/>
      <c r="B107" s="28"/>
      <c r="C107" s="28"/>
      <c r="D107" s="18"/>
      <c r="E107" s="70"/>
      <c r="F107" s="71"/>
      <c r="G107" s="18"/>
      <c r="H107" s="22"/>
      <c r="I107" s="22"/>
      <c r="J107" s="22"/>
      <c r="K107" s="23"/>
      <c r="L107" s="22"/>
      <c r="M107" s="22"/>
    </row>
    <row r="108" spans="1:23">
      <c r="A108" s="74"/>
      <c r="B108" s="28"/>
      <c r="C108" s="28"/>
      <c r="D108" s="18"/>
      <c r="E108" s="70"/>
      <c r="F108" s="71"/>
      <c r="G108" s="18"/>
      <c r="H108" s="22"/>
      <c r="I108" s="22"/>
      <c r="J108" s="22"/>
      <c r="K108" s="23"/>
      <c r="L108" s="22"/>
      <c r="M108" s="22"/>
    </row>
    <row r="109" spans="1:23">
      <c r="A109" s="74"/>
      <c r="B109" s="28"/>
      <c r="C109" s="28"/>
      <c r="D109" s="18"/>
      <c r="E109" s="70"/>
      <c r="F109" s="71"/>
      <c r="G109" s="18"/>
      <c r="H109" s="22"/>
      <c r="I109" s="22"/>
      <c r="J109" s="22"/>
      <c r="K109" s="23"/>
      <c r="L109" s="22"/>
      <c r="M109" s="22"/>
    </row>
    <row r="110" spans="1:23">
      <c r="A110" s="74"/>
      <c r="B110" s="28"/>
      <c r="C110" s="28"/>
      <c r="D110" s="18"/>
      <c r="E110" s="70"/>
      <c r="F110" s="71"/>
      <c r="G110" s="18"/>
      <c r="H110" s="22"/>
      <c r="I110" s="22"/>
      <c r="J110" s="22"/>
      <c r="K110" s="23"/>
      <c r="L110" s="22"/>
      <c r="M110" s="22"/>
    </row>
    <row r="111" spans="1:23">
      <c r="A111" s="74"/>
      <c r="B111" s="28"/>
      <c r="C111" s="28"/>
      <c r="D111" s="18"/>
      <c r="E111" s="70"/>
      <c r="F111" s="71"/>
      <c r="G111" s="18"/>
      <c r="H111" s="22"/>
      <c r="I111" s="22"/>
      <c r="J111" s="22"/>
      <c r="K111" s="23"/>
      <c r="L111" s="22"/>
      <c r="M111" s="22"/>
    </row>
    <row r="112" spans="1:23">
      <c r="A112" s="74"/>
      <c r="B112" s="28"/>
      <c r="C112" s="28"/>
      <c r="D112" s="18"/>
      <c r="E112" s="70"/>
      <c r="F112" s="71"/>
      <c r="G112" s="18"/>
      <c r="H112" s="22"/>
      <c r="I112" s="22"/>
      <c r="J112" s="22"/>
      <c r="K112" s="23"/>
      <c r="L112" s="22"/>
      <c r="M112" s="22"/>
    </row>
    <row r="113" spans="1:13">
      <c r="A113" s="74"/>
      <c r="B113" s="28"/>
      <c r="C113" s="28"/>
      <c r="D113" s="18"/>
      <c r="E113" s="70"/>
      <c r="F113" s="71"/>
      <c r="G113" s="18"/>
      <c r="H113" s="22"/>
      <c r="I113" s="22"/>
      <c r="J113" s="22"/>
      <c r="K113" s="23"/>
      <c r="L113" s="22"/>
      <c r="M113" s="22"/>
    </row>
    <row r="114" spans="1:13">
      <c r="A114" s="74"/>
      <c r="B114" s="28"/>
      <c r="C114" s="28"/>
      <c r="D114" s="18"/>
      <c r="E114" s="70"/>
      <c r="F114" s="71"/>
      <c r="G114" s="18"/>
      <c r="H114" s="22"/>
      <c r="I114" s="22"/>
      <c r="J114" s="22"/>
      <c r="K114" s="23"/>
      <c r="L114" s="22"/>
      <c r="M114" s="22"/>
    </row>
    <row r="115" spans="1:13">
      <c r="A115" s="74"/>
      <c r="B115" s="28"/>
      <c r="C115" s="28"/>
      <c r="D115" s="18"/>
      <c r="E115" s="70"/>
      <c r="F115" s="71"/>
      <c r="G115" s="18"/>
      <c r="H115" s="22"/>
      <c r="I115" s="22"/>
      <c r="J115" s="22"/>
      <c r="K115" s="23"/>
      <c r="L115" s="22"/>
      <c r="M115" s="22"/>
    </row>
    <row r="116" spans="1:13">
      <c r="A116" s="74"/>
      <c r="B116" s="28"/>
      <c r="C116" s="28"/>
      <c r="D116" s="18"/>
      <c r="E116" s="70"/>
      <c r="F116" s="71"/>
      <c r="G116" s="18"/>
      <c r="H116" s="22"/>
      <c r="I116" s="22"/>
      <c r="J116" s="22"/>
      <c r="K116" s="23"/>
      <c r="L116" s="22"/>
      <c r="M116" s="22"/>
    </row>
    <row r="117" spans="1:13">
      <c r="A117" s="74"/>
      <c r="B117" s="28"/>
      <c r="C117" s="28"/>
      <c r="D117" s="18"/>
      <c r="E117" s="70"/>
      <c r="F117" s="71"/>
      <c r="G117" s="18"/>
      <c r="H117" s="22"/>
      <c r="I117" s="22"/>
      <c r="J117" s="22"/>
      <c r="K117" s="23"/>
      <c r="L117" s="22"/>
      <c r="M117" s="22"/>
    </row>
    <row r="118" spans="1:13">
      <c r="A118" s="74"/>
      <c r="B118" s="28"/>
      <c r="C118" s="28"/>
      <c r="D118" s="18"/>
      <c r="E118" s="70"/>
      <c r="F118" s="71"/>
      <c r="G118" s="18"/>
      <c r="H118" s="22"/>
      <c r="I118" s="22"/>
      <c r="J118" s="22"/>
      <c r="K118" s="23"/>
      <c r="L118" s="22"/>
      <c r="M118" s="22"/>
    </row>
    <row r="119" spans="1:13">
      <c r="A119" s="74"/>
      <c r="B119" s="28"/>
      <c r="C119" s="28"/>
      <c r="D119" s="18"/>
      <c r="E119" s="70"/>
      <c r="F119" s="71"/>
      <c r="G119" s="18"/>
      <c r="H119" s="22"/>
      <c r="I119" s="22"/>
      <c r="J119" s="22"/>
      <c r="K119" s="23"/>
      <c r="L119" s="22"/>
      <c r="M119" s="22"/>
    </row>
    <row r="120" spans="1:13">
      <c r="A120" s="74"/>
      <c r="B120" s="28"/>
      <c r="C120" s="28"/>
      <c r="D120" s="18"/>
      <c r="E120" s="70"/>
      <c r="F120" s="71"/>
      <c r="G120" s="18"/>
      <c r="H120" s="22"/>
      <c r="I120" s="22"/>
      <c r="J120" s="22"/>
      <c r="K120" s="23"/>
      <c r="L120" s="22"/>
      <c r="M120" s="22"/>
    </row>
    <row r="121" spans="1:13">
      <c r="A121" s="74"/>
      <c r="B121" s="28"/>
      <c r="C121" s="28"/>
      <c r="D121" s="18"/>
      <c r="E121" s="70"/>
      <c r="F121" s="71"/>
      <c r="G121" s="18"/>
      <c r="H121" s="22"/>
      <c r="I121" s="22"/>
      <c r="J121" s="22"/>
      <c r="K121" s="23"/>
      <c r="L121" s="22"/>
      <c r="M121" s="22"/>
    </row>
    <row r="122" spans="1:13">
      <c r="A122" s="74"/>
      <c r="B122" s="28"/>
      <c r="C122" s="28"/>
      <c r="D122" s="18"/>
      <c r="E122" s="70"/>
      <c r="F122" s="71"/>
      <c r="G122" s="18"/>
      <c r="H122" s="22"/>
      <c r="I122" s="22"/>
      <c r="J122" s="22"/>
      <c r="K122" s="23"/>
      <c r="L122" s="22"/>
      <c r="M122" s="22"/>
    </row>
    <row r="123" spans="1:13">
      <c r="A123" s="74"/>
      <c r="B123" s="28"/>
      <c r="C123" s="28"/>
      <c r="D123" s="18"/>
      <c r="E123" s="70"/>
      <c r="F123" s="71"/>
      <c r="G123" s="18"/>
      <c r="H123" s="22"/>
      <c r="I123" s="22"/>
      <c r="J123" s="22"/>
      <c r="K123" s="23"/>
      <c r="L123" s="22"/>
      <c r="M123" s="22"/>
    </row>
    <row r="124" spans="1:13">
      <c r="A124" s="74"/>
      <c r="B124" s="28"/>
      <c r="C124" s="28"/>
      <c r="D124" s="18"/>
      <c r="E124" s="70"/>
      <c r="F124" s="71"/>
      <c r="G124" s="18"/>
      <c r="H124" s="22"/>
      <c r="I124" s="22"/>
      <c r="J124" s="22"/>
      <c r="K124" s="23"/>
      <c r="L124" s="22"/>
      <c r="M124" s="22"/>
    </row>
    <row r="125" spans="1:13">
      <c r="A125" s="74"/>
      <c r="B125" s="28"/>
      <c r="C125" s="28"/>
      <c r="D125" s="18"/>
      <c r="E125" s="70"/>
      <c r="F125" s="71"/>
      <c r="G125" s="18"/>
      <c r="H125" s="22"/>
      <c r="I125" s="22"/>
      <c r="J125" s="22"/>
      <c r="K125" s="23"/>
      <c r="L125" s="22"/>
      <c r="M125" s="22"/>
    </row>
    <row r="126" spans="1:13">
      <c r="A126" s="74"/>
      <c r="B126" s="28"/>
      <c r="C126" s="28"/>
      <c r="D126" s="18"/>
      <c r="E126" s="70"/>
      <c r="F126" s="71"/>
      <c r="G126" s="18"/>
      <c r="H126" s="22"/>
      <c r="I126" s="22"/>
      <c r="J126" s="22"/>
      <c r="K126" s="23"/>
      <c r="L126" s="22"/>
      <c r="M126" s="22"/>
    </row>
    <row r="127" spans="1:13">
      <c r="A127" s="74"/>
      <c r="B127" s="28"/>
      <c r="C127" s="28"/>
      <c r="D127" s="18"/>
      <c r="E127" s="70"/>
      <c r="F127" s="71"/>
      <c r="G127" s="18"/>
      <c r="H127" s="22"/>
      <c r="I127" s="22"/>
      <c r="J127" s="22"/>
      <c r="K127" s="23"/>
      <c r="L127" s="22"/>
      <c r="M127" s="22"/>
    </row>
    <row r="128" spans="1:13">
      <c r="A128" s="74"/>
      <c r="B128" s="28"/>
      <c r="C128" s="28"/>
      <c r="D128" s="18"/>
      <c r="E128" s="70"/>
      <c r="F128" s="71"/>
      <c r="G128" s="18"/>
      <c r="H128" s="22"/>
      <c r="I128" s="22"/>
      <c r="J128" s="22"/>
      <c r="K128" s="23"/>
      <c r="L128" s="22"/>
      <c r="M128" s="22"/>
    </row>
    <row r="129" spans="1:13">
      <c r="A129" s="74"/>
      <c r="B129" s="28"/>
      <c r="C129" s="28"/>
      <c r="D129" s="18"/>
      <c r="E129" s="70"/>
      <c r="F129" s="71"/>
      <c r="G129" s="18"/>
      <c r="H129" s="22"/>
      <c r="I129" s="22"/>
      <c r="J129" s="22"/>
      <c r="K129" s="23"/>
      <c r="L129" s="22"/>
      <c r="M129" s="22"/>
    </row>
    <row r="130" spans="1:13">
      <c r="A130" s="74"/>
      <c r="B130" s="28"/>
      <c r="C130" s="28"/>
      <c r="D130" s="18"/>
      <c r="E130" s="70"/>
      <c r="F130" s="71"/>
      <c r="G130" s="18"/>
      <c r="H130" s="22"/>
      <c r="I130" s="22"/>
      <c r="J130" s="22"/>
      <c r="K130" s="23"/>
      <c r="L130" s="22"/>
      <c r="M130" s="22"/>
    </row>
    <row r="131" spans="1:13">
      <c r="A131" s="74"/>
      <c r="B131" s="28"/>
      <c r="C131" s="28"/>
      <c r="D131" s="18"/>
      <c r="E131" s="70"/>
      <c r="F131" s="71"/>
      <c r="G131" s="18"/>
      <c r="H131" s="22"/>
      <c r="I131" s="22"/>
      <c r="J131" s="22"/>
      <c r="K131" s="23"/>
      <c r="L131" s="22"/>
      <c r="M131" s="22"/>
    </row>
    <row r="132" spans="1:13">
      <c r="A132" s="74"/>
      <c r="B132" s="28"/>
      <c r="C132" s="28"/>
      <c r="D132" s="18"/>
      <c r="E132" s="70"/>
      <c r="F132" s="71"/>
      <c r="G132" s="18"/>
      <c r="H132" s="22"/>
      <c r="I132" s="22"/>
      <c r="J132" s="22"/>
      <c r="K132" s="23"/>
      <c r="L132" s="22"/>
      <c r="M132" s="22"/>
    </row>
    <row r="133" spans="1:13">
      <c r="A133" s="74"/>
      <c r="B133" s="28"/>
      <c r="C133" s="28"/>
      <c r="D133" s="18"/>
      <c r="E133" s="70"/>
      <c r="F133" s="71"/>
      <c r="G133" s="18"/>
      <c r="H133" s="22"/>
      <c r="I133" s="22"/>
      <c r="J133" s="22"/>
      <c r="K133" s="23"/>
      <c r="L133" s="22"/>
      <c r="M133" s="22"/>
    </row>
    <row r="134" spans="1:13">
      <c r="A134" s="74"/>
      <c r="B134" s="28"/>
      <c r="C134" s="28"/>
      <c r="D134" s="18"/>
      <c r="E134" s="70"/>
      <c r="F134" s="71"/>
      <c r="G134" s="18"/>
      <c r="H134" s="22"/>
      <c r="I134" s="22"/>
      <c r="J134" s="22"/>
      <c r="K134" s="23"/>
      <c r="L134" s="22"/>
      <c r="M134" s="22"/>
    </row>
    <row r="135" spans="1:13">
      <c r="A135" s="74"/>
      <c r="B135" s="28"/>
      <c r="C135" s="28"/>
      <c r="D135" s="18"/>
      <c r="E135" s="70"/>
      <c r="F135" s="71"/>
      <c r="G135" s="18"/>
      <c r="H135" s="22"/>
      <c r="I135" s="22"/>
      <c r="J135" s="22"/>
      <c r="K135" s="23"/>
      <c r="L135" s="22"/>
      <c r="M135" s="22"/>
    </row>
    <row r="136" spans="1:13">
      <c r="A136" s="74"/>
      <c r="B136" s="28"/>
      <c r="C136" s="28"/>
      <c r="D136" s="18"/>
      <c r="E136" s="70"/>
      <c r="F136" s="71"/>
      <c r="G136" s="18"/>
      <c r="H136" s="22"/>
      <c r="I136" s="22"/>
      <c r="J136" s="22"/>
      <c r="K136" s="23"/>
      <c r="L136" s="22"/>
      <c r="M136" s="22"/>
    </row>
    <row r="137" spans="1:13">
      <c r="A137" s="74"/>
      <c r="B137" s="28"/>
      <c r="C137" s="28"/>
      <c r="D137" s="18"/>
      <c r="E137" s="70"/>
      <c r="F137" s="71"/>
      <c r="G137" s="18"/>
      <c r="H137" s="22"/>
      <c r="I137" s="22"/>
      <c r="J137" s="22"/>
      <c r="K137" s="23"/>
      <c r="L137" s="22"/>
      <c r="M137" s="22"/>
    </row>
    <row r="138" spans="1:13">
      <c r="A138" s="74"/>
      <c r="B138" s="28"/>
      <c r="C138" s="28"/>
      <c r="D138" s="18"/>
      <c r="E138" s="70"/>
      <c r="F138" s="71"/>
      <c r="G138" s="18"/>
      <c r="H138" s="22"/>
      <c r="I138" s="22"/>
      <c r="J138" s="22"/>
      <c r="K138" s="23"/>
      <c r="L138" s="22"/>
      <c r="M138" s="22"/>
    </row>
    <row r="139" spans="1:13">
      <c r="A139" s="74"/>
      <c r="B139" s="28"/>
      <c r="C139" s="28"/>
      <c r="D139" s="18"/>
      <c r="E139" s="70"/>
      <c r="F139" s="71"/>
      <c r="G139" s="18"/>
      <c r="H139" s="22"/>
      <c r="I139" s="22"/>
      <c r="J139" s="22"/>
      <c r="K139" s="23"/>
      <c r="L139" s="22"/>
      <c r="M139" s="22"/>
    </row>
    <row r="140" spans="1:13">
      <c r="A140" s="74"/>
      <c r="B140" s="28"/>
      <c r="C140" s="28"/>
      <c r="D140" s="18"/>
      <c r="E140" s="70"/>
      <c r="F140" s="71"/>
      <c r="G140" s="18"/>
      <c r="H140" s="22"/>
      <c r="I140" s="22"/>
      <c r="J140" s="22"/>
      <c r="K140" s="23"/>
      <c r="L140" s="22"/>
      <c r="M140" s="22"/>
    </row>
    <row r="141" spans="1:13">
      <c r="A141" s="74"/>
      <c r="B141" s="28"/>
      <c r="C141" s="28"/>
      <c r="D141" s="18"/>
      <c r="E141" s="70"/>
      <c r="F141" s="71"/>
      <c r="G141" s="18"/>
      <c r="H141" s="22"/>
      <c r="I141" s="22"/>
      <c r="J141" s="22"/>
      <c r="K141" s="23"/>
      <c r="L141" s="22"/>
      <c r="M141" s="22"/>
    </row>
    <row r="142" spans="1:13">
      <c r="A142" s="74"/>
      <c r="B142" s="28"/>
      <c r="C142" s="28"/>
      <c r="D142" s="18"/>
      <c r="E142" s="70"/>
      <c r="F142" s="71"/>
      <c r="G142" s="18"/>
      <c r="H142" s="22"/>
      <c r="I142" s="22"/>
      <c r="J142" s="22"/>
      <c r="K142" s="23"/>
      <c r="L142" s="22"/>
      <c r="M142" s="22"/>
    </row>
    <row r="143" spans="1:13">
      <c r="A143" s="74"/>
      <c r="B143" s="28"/>
      <c r="C143" s="28"/>
      <c r="D143" s="18"/>
      <c r="E143" s="70"/>
      <c r="F143" s="71"/>
      <c r="G143" s="18"/>
      <c r="H143" s="22"/>
      <c r="I143" s="22"/>
      <c r="J143" s="22"/>
      <c r="K143" s="23"/>
      <c r="L143" s="22"/>
      <c r="M143" s="22"/>
    </row>
    <row r="144" spans="1:13">
      <c r="A144" s="74"/>
      <c r="B144" s="28"/>
      <c r="C144" s="28"/>
      <c r="D144" s="18"/>
      <c r="E144" s="70"/>
      <c r="F144" s="71"/>
      <c r="G144" s="18"/>
      <c r="H144" s="22"/>
      <c r="I144" s="22"/>
      <c r="J144" s="22"/>
      <c r="K144" s="23"/>
      <c r="L144" s="22"/>
      <c r="M144" s="22"/>
    </row>
    <row r="145" spans="1:13">
      <c r="A145" s="74"/>
      <c r="B145" s="28"/>
      <c r="C145" s="28"/>
      <c r="D145" s="18"/>
      <c r="E145" s="70"/>
      <c r="F145" s="71"/>
      <c r="G145" s="18"/>
      <c r="H145" s="22"/>
      <c r="I145" s="22"/>
      <c r="J145" s="22"/>
      <c r="K145" s="23"/>
      <c r="L145" s="22"/>
      <c r="M145" s="22"/>
    </row>
    <row r="146" spans="1:13">
      <c r="A146" s="74">
        <v>142</v>
      </c>
      <c r="B146" s="28"/>
      <c r="C146" s="28"/>
      <c r="D146" s="18"/>
      <c r="E146" s="70"/>
      <c r="F146" s="71"/>
      <c r="G146" s="18"/>
      <c r="H146" s="22"/>
      <c r="I146" s="22"/>
      <c r="J146" s="22"/>
      <c r="K146" s="23"/>
      <c r="L146" s="22"/>
      <c r="M146" s="22"/>
    </row>
    <row r="147" spans="1:13">
      <c r="A147" s="74">
        <v>143</v>
      </c>
      <c r="B147" s="28"/>
      <c r="C147" s="28"/>
      <c r="D147" s="18"/>
      <c r="E147" s="70"/>
      <c r="F147" s="71"/>
      <c r="G147" s="18"/>
      <c r="H147" s="22"/>
      <c r="I147" s="22"/>
      <c r="J147" s="22"/>
      <c r="K147" s="23"/>
      <c r="L147" s="22"/>
      <c r="M147" s="22"/>
    </row>
    <row r="148" spans="1:13">
      <c r="A148" s="74">
        <v>144</v>
      </c>
      <c r="B148" s="28"/>
      <c r="C148" s="28"/>
      <c r="D148" s="18"/>
      <c r="E148" s="70"/>
      <c r="F148" s="71"/>
      <c r="G148" s="18"/>
      <c r="H148" s="22"/>
      <c r="I148" s="22"/>
      <c r="J148" s="22"/>
      <c r="K148" s="23"/>
      <c r="L148" s="22"/>
      <c r="M148" s="22"/>
    </row>
    <row r="149" spans="1:13">
      <c r="A149" s="74">
        <v>145</v>
      </c>
      <c r="B149" s="28"/>
      <c r="C149" s="28"/>
      <c r="D149" s="18"/>
      <c r="E149" s="70"/>
      <c r="F149" s="71"/>
      <c r="G149" s="18"/>
      <c r="H149" s="22"/>
      <c r="I149" s="22"/>
      <c r="J149" s="22"/>
      <c r="K149" s="23"/>
      <c r="L149" s="22"/>
      <c r="M149" s="22"/>
    </row>
    <row r="150" spans="1:13">
      <c r="A150" s="74">
        <v>146</v>
      </c>
      <c r="B150" s="28"/>
      <c r="C150" s="28"/>
      <c r="D150" s="18"/>
      <c r="E150" s="70"/>
      <c r="F150" s="71"/>
      <c r="G150" s="18"/>
      <c r="H150" s="22"/>
      <c r="I150" s="22"/>
      <c r="J150" s="22"/>
      <c r="K150" s="23"/>
      <c r="L150" s="22"/>
      <c r="M150" s="22"/>
    </row>
    <row r="151" spans="1:13">
      <c r="A151" s="74">
        <v>147</v>
      </c>
      <c r="B151" s="28"/>
      <c r="C151" s="28"/>
      <c r="D151" s="18"/>
      <c r="E151" s="70"/>
      <c r="F151" s="71"/>
      <c r="G151" s="18"/>
      <c r="H151" s="22"/>
      <c r="I151" s="22"/>
      <c r="J151" s="22"/>
      <c r="K151" s="23"/>
      <c r="L151" s="22"/>
      <c r="M151" s="22"/>
    </row>
    <row r="152" spans="1:13">
      <c r="A152" s="74">
        <v>148</v>
      </c>
      <c r="B152" s="28"/>
      <c r="C152" s="28"/>
      <c r="D152" s="18"/>
      <c r="E152" s="70"/>
      <c r="F152" s="71"/>
      <c r="G152" s="18"/>
      <c r="H152" s="22"/>
      <c r="I152" s="22"/>
      <c r="J152" s="22"/>
      <c r="K152" s="23"/>
      <c r="L152" s="22"/>
      <c r="M152" s="22"/>
    </row>
    <row r="153" spans="1:13">
      <c r="A153" s="74">
        <v>149</v>
      </c>
      <c r="B153" s="28"/>
      <c r="C153" s="28"/>
      <c r="D153" s="18"/>
      <c r="E153" s="70"/>
      <c r="F153" s="71"/>
      <c r="G153" s="18"/>
      <c r="H153" s="22"/>
      <c r="I153" s="22"/>
      <c r="J153" s="22"/>
      <c r="K153" s="23"/>
      <c r="L153" s="22"/>
      <c r="M153" s="22"/>
    </row>
    <row r="154" spans="1:13">
      <c r="A154" s="74">
        <v>150</v>
      </c>
      <c r="B154" s="28"/>
      <c r="C154" s="28"/>
      <c r="D154" s="18"/>
      <c r="E154" s="70"/>
      <c r="F154" s="71"/>
      <c r="G154" s="18"/>
      <c r="H154" s="22"/>
      <c r="I154" s="22"/>
      <c r="J154" s="22"/>
      <c r="K154" s="23"/>
      <c r="L154" s="22"/>
      <c r="M154" s="22"/>
    </row>
    <row r="155" spans="1:13">
      <c r="A155" s="74">
        <v>151</v>
      </c>
      <c r="B155" s="28"/>
      <c r="C155" s="28"/>
      <c r="D155" s="18"/>
      <c r="E155" s="70"/>
      <c r="F155" s="71"/>
      <c r="G155" s="18"/>
      <c r="H155" s="22"/>
      <c r="I155" s="22"/>
      <c r="J155" s="22"/>
      <c r="K155" s="23"/>
      <c r="L155" s="22"/>
      <c r="M155" s="22"/>
    </row>
    <row r="156" spans="1:13">
      <c r="A156" s="74">
        <v>152</v>
      </c>
      <c r="B156" s="28"/>
      <c r="C156" s="28"/>
      <c r="D156" s="18"/>
      <c r="E156" s="70"/>
      <c r="F156" s="71"/>
      <c r="G156" s="18"/>
      <c r="H156" s="22"/>
      <c r="I156" s="22"/>
      <c r="J156" s="22"/>
      <c r="K156" s="23"/>
      <c r="L156" s="22"/>
      <c r="M156" s="22"/>
    </row>
    <row r="157" spans="1:13">
      <c r="A157" s="74">
        <v>153</v>
      </c>
      <c r="B157" s="28"/>
      <c r="C157" s="28"/>
      <c r="D157" s="18"/>
      <c r="E157" s="70"/>
      <c r="F157" s="71"/>
      <c r="G157" s="18"/>
      <c r="H157" s="22"/>
      <c r="I157" s="22"/>
      <c r="J157" s="22"/>
      <c r="K157" s="23"/>
      <c r="L157" s="22"/>
      <c r="M157" s="22"/>
    </row>
    <row r="158" spans="1:13">
      <c r="A158" s="74">
        <v>154</v>
      </c>
      <c r="B158" s="28"/>
      <c r="C158" s="28"/>
      <c r="D158" s="18"/>
      <c r="E158" s="70"/>
      <c r="F158" s="71"/>
      <c r="G158" s="18"/>
      <c r="H158" s="22"/>
      <c r="I158" s="22"/>
      <c r="J158" s="22"/>
      <c r="K158" s="23"/>
      <c r="L158" s="22"/>
      <c r="M158" s="22"/>
    </row>
    <row r="159" spans="1:13">
      <c r="A159" s="74">
        <v>155</v>
      </c>
      <c r="B159" s="28"/>
      <c r="C159" s="28"/>
      <c r="D159" s="18"/>
      <c r="E159" s="70"/>
      <c r="F159" s="71"/>
      <c r="G159" s="18"/>
      <c r="H159" s="22"/>
      <c r="I159" s="22"/>
      <c r="J159" s="22"/>
      <c r="K159" s="23"/>
      <c r="L159" s="22"/>
      <c r="M159" s="22"/>
    </row>
    <row r="160" spans="1:13">
      <c r="A160" s="74">
        <v>156</v>
      </c>
      <c r="B160" s="28"/>
      <c r="C160" s="28"/>
      <c r="D160" s="18"/>
      <c r="E160" s="70"/>
      <c r="F160" s="71"/>
      <c r="G160" s="18"/>
      <c r="H160" s="22"/>
      <c r="I160" s="22"/>
      <c r="J160" s="22"/>
      <c r="K160" s="23"/>
      <c r="L160" s="22"/>
      <c r="M160" s="22"/>
    </row>
    <row r="161" spans="1:13">
      <c r="A161" s="74">
        <v>157</v>
      </c>
      <c r="B161" s="28"/>
      <c r="C161" s="28"/>
      <c r="D161" s="18"/>
      <c r="E161" s="70"/>
      <c r="F161" s="71"/>
      <c r="G161" s="18"/>
      <c r="H161" s="22"/>
      <c r="I161" s="22"/>
      <c r="J161" s="22"/>
      <c r="K161" s="23"/>
      <c r="L161" s="22"/>
      <c r="M161" s="22"/>
    </row>
    <row r="162" spans="1:13">
      <c r="A162" s="74">
        <v>158</v>
      </c>
      <c r="B162" s="28"/>
      <c r="C162" s="28"/>
      <c r="D162" s="18"/>
      <c r="E162" s="70"/>
      <c r="F162" s="71"/>
      <c r="G162" s="18"/>
      <c r="H162" s="22"/>
      <c r="I162" s="22"/>
      <c r="J162" s="22"/>
      <c r="K162" s="23"/>
      <c r="L162" s="22"/>
      <c r="M162" s="22"/>
    </row>
    <row r="163" spans="1:13">
      <c r="A163" s="74">
        <v>159</v>
      </c>
      <c r="B163" s="28"/>
      <c r="C163" s="28"/>
      <c r="D163" s="18"/>
      <c r="E163" s="70"/>
      <c r="F163" s="71"/>
      <c r="G163" s="18"/>
      <c r="H163" s="22"/>
      <c r="I163" s="22"/>
      <c r="J163" s="22"/>
      <c r="K163" s="23"/>
      <c r="L163" s="22"/>
      <c r="M163" s="22"/>
    </row>
    <row r="164" spans="1:13">
      <c r="A164" s="74">
        <v>160</v>
      </c>
      <c r="B164" s="28"/>
      <c r="C164" s="28"/>
      <c r="D164" s="18"/>
      <c r="E164" s="70"/>
      <c r="F164" s="71"/>
      <c r="G164" s="18"/>
      <c r="H164" s="22"/>
      <c r="I164" s="22"/>
      <c r="J164" s="22"/>
      <c r="K164" s="23"/>
      <c r="L164" s="22"/>
      <c r="M164" s="22"/>
    </row>
    <row r="165" spans="1:13">
      <c r="A165" s="74">
        <v>161</v>
      </c>
      <c r="B165" s="28"/>
      <c r="C165" s="28"/>
      <c r="D165" s="18"/>
      <c r="E165" s="70"/>
      <c r="F165" s="71"/>
      <c r="G165" s="18"/>
      <c r="H165" s="22"/>
      <c r="I165" s="22"/>
      <c r="J165" s="22"/>
      <c r="K165" s="23"/>
      <c r="L165" s="22"/>
      <c r="M165" s="22"/>
    </row>
    <row r="166" spans="1:13">
      <c r="A166" s="74">
        <v>162</v>
      </c>
      <c r="B166" s="28"/>
      <c r="C166" s="28"/>
      <c r="D166" s="18"/>
      <c r="E166" s="70"/>
      <c r="F166" s="71"/>
      <c r="G166" s="18"/>
      <c r="H166" s="22"/>
      <c r="I166" s="22"/>
      <c r="J166" s="22"/>
      <c r="K166" s="23"/>
      <c r="L166" s="22"/>
      <c r="M166" s="22"/>
    </row>
    <row r="167" spans="1:13">
      <c r="A167" s="74">
        <v>163</v>
      </c>
      <c r="B167" s="28"/>
      <c r="C167" s="28"/>
      <c r="D167" s="18"/>
      <c r="E167" s="70"/>
      <c r="F167" s="71"/>
      <c r="G167" s="18"/>
      <c r="H167" s="22"/>
      <c r="I167" s="22"/>
      <c r="J167" s="22"/>
      <c r="K167" s="23"/>
      <c r="L167" s="22"/>
      <c r="M167" s="22"/>
    </row>
    <row r="168" spans="1:13">
      <c r="A168" s="74">
        <v>164</v>
      </c>
      <c r="B168" s="28"/>
      <c r="C168" s="28"/>
      <c r="D168" s="18"/>
      <c r="E168" s="70"/>
      <c r="F168" s="71"/>
      <c r="G168" s="18"/>
      <c r="H168" s="22"/>
      <c r="I168" s="22"/>
      <c r="J168" s="22"/>
      <c r="K168" s="23"/>
      <c r="L168" s="22"/>
      <c r="M168" s="22"/>
    </row>
    <row r="169" spans="1:13">
      <c r="A169" s="74">
        <v>165</v>
      </c>
      <c r="B169" s="28"/>
      <c r="C169" s="28"/>
      <c r="D169" s="18"/>
      <c r="E169" s="70"/>
      <c r="F169" s="71"/>
      <c r="G169" s="18"/>
      <c r="H169" s="22"/>
      <c r="I169" s="22"/>
      <c r="J169" s="22"/>
      <c r="K169" s="23"/>
      <c r="L169" s="22"/>
      <c r="M169" s="22"/>
    </row>
    <row r="170" spans="1:13">
      <c r="A170" s="74">
        <v>166</v>
      </c>
      <c r="B170" s="28"/>
      <c r="C170" s="28"/>
      <c r="D170" s="18"/>
      <c r="E170" s="70"/>
      <c r="F170" s="71"/>
      <c r="G170" s="18"/>
      <c r="H170" s="22"/>
      <c r="I170" s="22"/>
      <c r="J170" s="22"/>
      <c r="K170" s="23"/>
      <c r="L170" s="22"/>
      <c r="M170" s="22"/>
    </row>
    <row r="171" spans="1:13">
      <c r="A171" s="74">
        <v>167</v>
      </c>
      <c r="B171" s="28"/>
      <c r="C171" s="28"/>
      <c r="D171" s="18"/>
      <c r="E171" s="70"/>
      <c r="F171" s="71"/>
      <c r="G171" s="18"/>
      <c r="H171" s="22"/>
      <c r="I171" s="22"/>
      <c r="J171" s="22"/>
      <c r="K171" s="23"/>
      <c r="L171" s="22"/>
      <c r="M171" s="22"/>
    </row>
    <row r="172" spans="1:13">
      <c r="A172" s="74">
        <v>168</v>
      </c>
      <c r="B172" s="28"/>
      <c r="C172" s="28"/>
      <c r="D172" s="18"/>
      <c r="E172" s="70"/>
      <c r="F172" s="71"/>
      <c r="G172" s="18"/>
      <c r="H172" s="22"/>
      <c r="I172" s="22"/>
      <c r="J172" s="22"/>
      <c r="K172" s="23"/>
      <c r="L172" s="22"/>
      <c r="M172" s="22"/>
    </row>
    <row r="173" spans="1:13">
      <c r="A173" s="74">
        <v>169</v>
      </c>
      <c r="B173" s="28"/>
      <c r="C173" s="28"/>
      <c r="D173" s="18"/>
      <c r="E173" s="70"/>
      <c r="F173" s="71"/>
      <c r="G173" s="18"/>
      <c r="H173" s="22"/>
      <c r="I173" s="22"/>
      <c r="J173" s="22"/>
      <c r="K173" s="23"/>
      <c r="L173" s="22"/>
      <c r="M173" s="22"/>
    </row>
    <row r="174" spans="1:13">
      <c r="A174" s="74">
        <v>170</v>
      </c>
      <c r="B174" s="28"/>
      <c r="C174" s="28"/>
      <c r="D174" s="18"/>
      <c r="E174" s="70"/>
      <c r="F174" s="71"/>
      <c r="G174" s="18"/>
      <c r="H174" s="22"/>
      <c r="I174" s="22"/>
      <c r="J174" s="22"/>
      <c r="K174" s="23"/>
      <c r="L174" s="22"/>
      <c r="M174" s="22"/>
    </row>
    <row r="175" spans="1:13">
      <c r="A175" s="74">
        <v>171</v>
      </c>
      <c r="B175" s="28"/>
      <c r="C175" s="28"/>
      <c r="D175" s="18"/>
      <c r="E175" s="70"/>
      <c r="F175" s="71"/>
      <c r="G175" s="18"/>
      <c r="H175" s="22"/>
      <c r="I175" s="22"/>
      <c r="J175" s="22"/>
      <c r="K175" s="23"/>
      <c r="L175" s="22"/>
      <c r="M175" s="22"/>
    </row>
    <row r="176" spans="1:13">
      <c r="A176" s="74">
        <v>172</v>
      </c>
      <c r="B176" s="28"/>
      <c r="C176" s="28"/>
      <c r="D176" s="18"/>
      <c r="E176" s="70"/>
      <c r="F176" s="71"/>
      <c r="G176" s="18"/>
      <c r="H176" s="22"/>
      <c r="I176" s="22"/>
      <c r="J176" s="22"/>
      <c r="K176" s="23"/>
      <c r="L176" s="22"/>
      <c r="M176" s="22"/>
    </row>
    <row r="177" spans="1:13">
      <c r="A177" s="74">
        <v>173</v>
      </c>
      <c r="B177" s="28"/>
      <c r="C177" s="28"/>
      <c r="D177" s="18"/>
      <c r="E177" s="70"/>
      <c r="F177" s="71"/>
      <c r="G177" s="18"/>
      <c r="H177" s="22"/>
      <c r="I177" s="22"/>
      <c r="J177" s="22"/>
      <c r="K177" s="23"/>
      <c r="L177" s="22"/>
      <c r="M177" s="22"/>
    </row>
    <row r="178" spans="1:13">
      <c r="A178" s="74">
        <v>174</v>
      </c>
      <c r="B178" s="28"/>
      <c r="C178" s="28"/>
      <c r="D178" s="18"/>
      <c r="E178" s="70"/>
      <c r="F178" s="71"/>
      <c r="G178" s="18"/>
      <c r="H178" s="22"/>
      <c r="I178" s="22"/>
      <c r="J178" s="22"/>
      <c r="K178" s="23"/>
      <c r="L178" s="22"/>
      <c r="M178" s="22"/>
    </row>
    <row r="179" spans="1:13">
      <c r="A179" s="74">
        <v>175</v>
      </c>
      <c r="B179" s="28"/>
      <c r="C179" s="28"/>
      <c r="D179" s="18"/>
      <c r="E179" s="70"/>
      <c r="F179" s="71"/>
      <c r="G179" s="18"/>
      <c r="H179" s="22"/>
      <c r="I179" s="22"/>
      <c r="J179" s="22"/>
      <c r="K179" s="23"/>
      <c r="L179" s="22"/>
      <c r="M179" s="22"/>
    </row>
    <row r="180" spans="1:13">
      <c r="A180" s="74">
        <v>176</v>
      </c>
      <c r="B180" s="28"/>
      <c r="C180" s="28"/>
      <c r="D180" s="18"/>
      <c r="E180" s="70"/>
      <c r="F180" s="71"/>
      <c r="G180" s="18"/>
      <c r="H180" s="22"/>
      <c r="I180" s="22"/>
      <c r="J180" s="22"/>
      <c r="K180" s="23"/>
      <c r="L180" s="22"/>
      <c r="M180" s="22"/>
    </row>
    <row r="181" spans="1:13">
      <c r="A181" s="74">
        <v>177</v>
      </c>
      <c r="B181" s="28"/>
      <c r="C181" s="28"/>
      <c r="D181" s="18"/>
      <c r="E181" s="70"/>
      <c r="F181" s="71"/>
      <c r="G181" s="18"/>
      <c r="H181" s="22"/>
      <c r="I181" s="22"/>
      <c r="J181" s="22"/>
      <c r="K181" s="23"/>
      <c r="L181" s="22"/>
      <c r="M181" s="22"/>
    </row>
    <row r="182" spans="1:13">
      <c r="A182" s="74">
        <v>178</v>
      </c>
      <c r="B182" s="28"/>
      <c r="C182" s="28"/>
      <c r="D182" s="18"/>
      <c r="E182" s="70"/>
      <c r="F182" s="71"/>
      <c r="G182" s="18"/>
      <c r="H182" s="22"/>
      <c r="I182" s="22"/>
      <c r="J182" s="22"/>
      <c r="K182" s="23"/>
      <c r="L182" s="22"/>
      <c r="M182" s="22"/>
    </row>
    <row r="183" spans="1:13">
      <c r="A183" s="74">
        <v>179</v>
      </c>
      <c r="B183" s="28"/>
      <c r="C183" s="28"/>
      <c r="D183" s="18"/>
      <c r="E183" s="70"/>
      <c r="F183" s="71"/>
      <c r="G183" s="18"/>
      <c r="H183" s="22"/>
      <c r="I183" s="22"/>
      <c r="J183" s="22"/>
      <c r="K183" s="23"/>
      <c r="L183" s="22"/>
      <c r="M183" s="22"/>
    </row>
    <row r="184" spans="1:13">
      <c r="A184" s="74">
        <v>180</v>
      </c>
      <c r="B184" s="28"/>
      <c r="C184" s="28"/>
      <c r="D184" s="18"/>
      <c r="E184" s="70"/>
      <c r="F184" s="71"/>
      <c r="G184" s="18"/>
      <c r="H184" s="22"/>
      <c r="I184" s="22"/>
      <c r="J184" s="22"/>
      <c r="K184" s="23"/>
      <c r="L184" s="22"/>
      <c r="M184" s="22"/>
    </row>
    <row r="185" spans="1:13">
      <c r="A185" s="74">
        <v>181</v>
      </c>
      <c r="B185" s="28"/>
      <c r="C185" s="28"/>
      <c r="D185" s="18"/>
      <c r="E185" s="70"/>
      <c r="F185" s="71"/>
      <c r="G185" s="18"/>
      <c r="H185" s="22"/>
      <c r="I185" s="22"/>
      <c r="J185" s="22"/>
      <c r="K185" s="23"/>
      <c r="L185" s="22"/>
      <c r="M185" s="22"/>
    </row>
    <row r="186" spans="1:13">
      <c r="A186" s="74">
        <v>182</v>
      </c>
      <c r="B186" s="28"/>
      <c r="C186" s="28"/>
      <c r="D186" s="18"/>
      <c r="E186" s="70"/>
      <c r="F186" s="71"/>
      <c r="G186" s="18"/>
      <c r="H186" s="22"/>
      <c r="I186" s="22"/>
      <c r="J186" s="22"/>
      <c r="K186" s="23"/>
      <c r="L186" s="22"/>
      <c r="M186" s="22"/>
    </row>
    <row r="187" spans="1:13">
      <c r="A187" s="74">
        <v>183</v>
      </c>
      <c r="B187" s="28"/>
      <c r="C187" s="28"/>
      <c r="D187" s="18"/>
      <c r="E187" s="70"/>
      <c r="F187" s="71"/>
      <c r="G187" s="18"/>
      <c r="H187" s="22"/>
      <c r="I187" s="22"/>
      <c r="J187" s="22"/>
      <c r="K187" s="23"/>
      <c r="L187" s="22"/>
      <c r="M187" s="22"/>
    </row>
    <row r="188" spans="1:13">
      <c r="A188" s="74">
        <v>184</v>
      </c>
      <c r="B188" s="28"/>
      <c r="C188" s="28"/>
      <c r="D188" s="18"/>
      <c r="E188" s="70"/>
      <c r="F188" s="71"/>
      <c r="G188" s="18"/>
      <c r="H188" s="22"/>
      <c r="I188" s="22"/>
      <c r="J188" s="22"/>
      <c r="K188" s="23"/>
      <c r="L188" s="22"/>
      <c r="M188" s="22"/>
    </row>
    <row r="189" spans="1:13">
      <c r="A189" s="74">
        <v>185</v>
      </c>
      <c r="B189" s="28"/>
      <c r="C189" s="28"/>
      <c r="D189" s="18"/>
      <c r="E189" s="70"/>
      <c r="F189" s="71"/>
      <c r="G189" s="18"/>
      <c r="H189" s="22"/>
      <c r="I189" s="22"/>
      <c r="J189" s="22"/>
      <c r="K189" s="23"/>
      <c r="L189" s="22"/>
      <c r="M189" s="22"/>
    </row>
    <row r="190" spans="1:13">
      <c r="A190" s="74">
        <v>186</v>
      </c>
      <c r="B190" s="28"/>
      <c r="C190" s="28"/>
      <c r="D190" s="18"/>
      <c r="E190" s="70"/>
      <c r="F190" s="71"/>
      <c r="G190" s="18"/>
      <c r="H190" s="22"/>
      <c r="I190" s="22"/>
      <c r="J190" s="22"/>
      <c r="K190" s="23"/>
      <c r="L190" s="22"/>
      <c r="M190" s="22"/>
    </row>
    <row r="191" spans="1:13">
      <c r="A191" s="74">
        <v>187</v>
      </c>
      <c r="B191" s="28"/>
      <c r="C191" s="28"/>
      <c r="D191" s="18"/>
      <c r="E191" s="70"/>
      <c r="F191" s="71"/>
      <c r="G191" s="18"/>
      <c r="H191" s="22"/>
      <c r="I191" s="22"/>
      <c r="J191" s="22"/>
      <c r="K191" s="23"/>
      <c r="L191" s="22"/>
      <c r="M191" s="22"/>
    </row>
    <row r="192" spans="1:13">
      <c r="A192" s="74">
        <v>188</v>
      </c>
      <c r="B192" s="28"/>
      <c r="C192" s="28"/>
      <c r="D192" s="18"/>
      <c r="E192" s="70"/>
      <c r="F192" s="71"/>
      <c r="G192" s="18"/>
      <c r="H192" s="22"/>
      <c r="I192" s="22"/>
      <c r="J192" s="22"/>
      <c r="K192" s="23"/>
      <c r="L192" s="22"/>
      <c r="M192" s="22"/>
    </row>
    <row r="193" spans="1:13">
      <c r="A193" s="74">
        <v>189</v>
      </c>
      <c r="B193" s="28"/>
      <c r="C193" s="28"/>
      <c r="D193" s="18"/>
      <c r="E193" s="70"/>
      <c r="F193" s="71"/>
      <c r="G193" s="18"/>
      <c r="H193" s="22"/>
      <c r="I193" s="22"/>
      <c r="J193" s="22"/>
      <c r="K193" s="23"/>
      <c r="L193" s="22"/>
      <c r="M193" s="22"/>
    </row>
    <row r="194" spans="1:13">
      <c r="A194" s="74">
        <v>190</v>
      </c>
      <c r="B194" s="28"/>
      <c r="C194" s="28"/>
      <c r="D194" s="18"/>
      <c r="E194" s="70"/>
      <c r="F194" s="71"/>
      <c r="G194" s="18"/>
      <c r="H194" s="22"/>
      <c r="I194" s="22"/>
      <c r="J194" s="22"/>
      <c r="K194" s="23"/>
      <c r="L194" s="22"/>
      <c r="M194" s="22"/>
    </row>
    <row r="195" spans="1:13">
      <c r="A195" s="74">
        <v>191</v>
      </c>
      <c r="B195" s="28"/>
      <c r="C195" s="28"/>
      <c r="D195" s="18"/>
      <c r="E195" s="70"/>
      <c r="F195" s="71"/>
      <c r="G195" s="18"/>
      <c r="H195" s="22"/>
      <c r="I195" s="22"/>
      <c r="J195" s="22"/>
      <c r="K195" s="23"/>
      <c r="L195" s="22"/>
      <c r="M195" s="22"/>
    </row>
    <row r="196" spans="1:13">
      <c r="A196" s="74">
        <v>192</v>
      </c>
      <c r="B196" s="28"/>
      <c r="C196" s="28"/>
      <c r="D196" s="18"/>
      <c r="E196" s="70"/>
      <c r="F196" s="71"/>
      <c r="G196" s="18"/>
      <c r="H196" s="22"/>
      <c r="I196" s="22"/>
      <c r="J196" s="22"/>
      <c r="K196" s="23"/>
      <c r="L196" s="22"/>
      <c r="M196" s="22"/>
    </row>
    <row r="197" spans="1:13">
      <c r="A197" s="74">
        <v>193</v>
      </c>
      <c r="B197" s="28"/>
      <c r="C197" s="28"/>
      <c r="D197" s="18"/>
      <c r="E197" s="70"/>
      <c r="F197" s="71"/>
      <c r="G197" s="18"/>
      <c r="H197" s="22"/>
      <c r="I197" s="22"/>
      <c r="J197" s="22"/>
      <c r="K197" s="23"/>
      <c r="L197" s="22"/>
      <c r="M197" s="22"/>
    </row>
    <row r="198" spans="1:13">
      <c r="A198" s="74">
        <v>194</v>
      </c>
      <c r="B198" s="28"/>
      <c r="C198" s="28"/>
      <c r="D198" s="18"/>
      <c r="E198" s="70"/>
      <c r="F198" s="71"/>
      <c r="G198" s="18"/>
      <c r="H198" s="22"/>
      <c r="I198" s="22"/>
      <c r="J198" s="22"/>
      <c r="K198" s="23"/>
      <c r="L198" s="22"/>
      <c r="M198" s="22"/>
    </row>
    <row r="199" spans="1:13">
      <c r="A199" s="74">
        <v>195</v>
      </c>
      <c r="B199" s="28"/>
      <c r="C199" s="28"/>
      <c r="D199" s="18"/>
      <c r="E199" s="70"/>
      <c r="F199" s="71"/>
      <c r="G199" s="18"/>
      <c r="H199" s="22"/>
      <c r="I199" s="22"/>
      <c r="J199" s="22"/>
      <c r="K199" s="23"/>
      <c r="L199" s="22"/>
      <c r="M199" s="22"/>
    </row>
    <row r="200" spans="1:13">
      <c r="A200" s="74">
        <v>196</v>
      </c>
      <c r="B200" s="28"/>
      <c r="C200" s="28"/>
      <c r="D200" s="18"/>
      <c r="E200" s="70"/>
      <c r="F200" s="71"/>
      <c r="G200" s="18"/>
      <c r="H200" s="22"/>
      <c r="I200" s="22"/>
      <c r="J200" s="22"/>
      <c r="K200" s="23"/>
      <c r="L200" s="22"/>
      <c r="M200" s="22"/>
    </row>
    <row r="201" spans="1:13">
      <c r="A201" s="74">
        <v>197</v>
      </c>
      <c r="B201" s="28"/>
      <c r="C201" s="28"/>
      <c r="D201" s="18"/>
      <c r="E201" s="70"/>
      <c r="F201" s="71"/>
      <c r="G201" s="18"/>
      <c r="H201" s="22"/>
      <c r="I201" s="22"/>
      <c r="J201" s="22"/>
      <c r="K201" s="23"/>
      <c r="L201" s="22"/>
      <c r="M201" s="22"/>
    </row>
    <row r="202" spans="1:13">
      <c r="A202" s="74">
        <v>198</v>
      </c>
      <c r="B202" s="28"/>
      <c r="C202" s="28"/>
      <c r="D202" s="18"/>
      <c r="E202" s="70"/>
      <c r="F202" s="71"/>
      <c r="G202" s="18"/>
      <c r="H202" s="22"/>
      <c r="I202" s="22"/>
      <c r="J202" s="22"/>
      <c r="K202" s="23"/>
      <c r="L202" s="22"/>
      <c r="M202" s="22"/>
    </row>
    <row r="203" spans="1:13">
      <c r="A203" s="74">
        <v>199</v>
      </c>
      <c r="B203" s="28"/>
      <c r="C203" s="28"/>
      <c r="D203" s="18"/>
      <c r="E203" s="70"/>
      <c r="F203" s="71"/>
      <c r="G203" s="18"/>
      <c r="H203" s="22"/>
      <c r="I203" s="22"/>
      <c r="J203" s="22"/>
      <c r="K203" s="23"/>
      <c r="L203" s="22"/>
      <c r="M203" s="22"/>
    </row>
    <row r="204" spans="1:13">
      <c r="A204" s="74">
        <v>200</v>
      </c>
      <c r="B204" s="28"/>
      <c r="C204" s="28"/>
      <c r="D204" s="18"/>
      <c r="E204" s="70"/>
      <c r="F204" s="71"/>
      <c r="G204" s="18"/>
      <c r="H204" s="22"/>
      <c r="I204" s="22"/>
      <c r="J204" s="22"/>
      <c r="K204" s="23"/>
      <c r="L204" s="22"/>
      <c r="M204" s="22"/>
    </row>
    <row r="205" spans="1:13">
      <c r="D205" s="55"/>
    </row>
  </sheetData>
  <autoFilter ref="A4:M204" xr:uid="{00000000-0009-0000-0000-000003000000}"/>
  <dataConsolidate/>
  <mergeCells count="2">
    <mergeCell ref="E3:G3"/>
    <mergeCell ref="A3:C3"/>
  </mergeCells>
  <phoneticPr fontId="29" type="noConversion"/>
  <conditionalFormatting sqref="L205:L65536 P1:P2">
    <cfRule type="cellIs" dxfId="83" priority="83" stopIfTrue="1" operator="equal">
      <formula>"Fixed"</formula>
    </cfRule>
    <cfRule type="cellIs" dxfId="82" priority="84" stopIfTrue="1" operator="equal">
      <formula>"Open"</formula>
    </cfRule>
  </conditionalFormatting>
  <conditionalFormatting sqref="L4">
    <cfRule type="cellIs" dxfId="81" priority="85" stopIfTrue="1" operator="equal">
      <formula>"Open"</formula>
    </cfRule>
    <cfRule type="cellIs" dxfId="80" priority="86" stopIfTrue="1" operator="equal">
      <formula>"Fixed"</formula>
    </cfRule>
  </conditionalFormatting>
  <conditionalFormatting sqref="L10 L25:L29 L31:L204 L5:L7">
    <cfRule type="expression" dxfId="79" priority="87" stopIfTrue="1">
      <formula>AND($M5="Approved",$L5="Fixed")</formula>
    </cfRule>
    <cfRule type="cellIs" dxfId="78" priority="88" stopIfTrue="1" operator="equal">
      <formula>"Fixed"</formula>
    </cfRule>
    <cfRule type="cellIs" dxfId="77" priority="89" stopIfTrue="1" operator="equal">
      <formula>"Open"</formula>
    </cfRule>
  </conditionalFormatting>
  <conditionalFormatting sqref="M5:M7 M10:M15 M25:M29 M31:M204">
    <cfRule type="expression" dxfId="76" priority="90" stopIfTrue="1">
      <formula>OR(M5="Fixed",M5="Approved")</formula>
    </cfRule>
    <cfRule type="cellIs" dxfId="75" priority="91" stopIfTrue="1" operator="equal">
      <formula>"Rejected"</formula>
    </cfRule>
  </conditionalFormatting>
  <conditionalFormatting sqref="A3">
    <cfRule type="expression" dxfId="74" priority="77" stopIfTrue="1">
      <formula>$X$2=1</formula>
    </cfRule>
    <cfRule type="expression" dxfId="73" priority="78" stopIfTrue="1">
      <formula>$Y$2=1</formula>
    </cfRule>
    <cfRule type="expression" dxfId="72" priority="80" stopIfTrue="1">
      <formula>$AA$2=1</formula>
    </cfRule>
  </conditionalFormatting>
  <conditionalFormatting sqref="A3:C3">
    <cfRule type="expression" dxfId="71" priority="79" stopIfTrue="1">
      <formula>$Z$2=1</formula>
    </cfRule>
  </conditionalFormatting>
  <conditionalFormatting sqref="I8:I9 A12:C12 I10:J10 A13:A15 D14:F15 A25:H28 A17:F24 A11:F11 A36:K204 A29 D29:E29 G29:H29 K28:K29 A31:H31 A30:D30 A32:I35 K31:K35 J25:J35 I5:K7 A5:G10">
    <cfRule type="expression" dxfId="70" priority="261" stopIfTrue="1">
      <formula>AND($M5="Approved",OR($L5=$R$1,$L5=$T$1))</formula>
    </cfRule>
  </conditionalFormatting>
  <conditionalFormatting sqref="H5:H10">
    <cfRule type="expression" dxfId="69" priority="76" stopIfTrue="1">
      <formula>AND($M5="Approved",OR($L5=$R$1,$L5=$T$1))</formula>
    </cfRule>
  </conditionalFormatting>
  <conditionalFormatting sqref="L8">
    <cfRule type="expression" dxfId="68" priority="68" stopIfTrue="1">
      <formula>AND($M8="Approved",$L8="Fixed")</formula>
    </cfRule>
    <cfRule type="cellIs" dxfId="67" priority="69" stopIfTrue="1" operator="equal">
      <formula>"Fixed"</formula>
    </cfRule>
    <cfRule type="cellIs" dxfId="66" priority="70" stopIfTrue="1" operator="equal">
      <formula>"Open"</formula>
    </cfRule>
  </conditionalFormatting>
  <conditionalFormatting sqref="M8">
    <cfRule type="expression" dxfId="65" priority="71" stopIfTrue="1">
      <formula>OR(M8="Fixed",M8="Approved")</formula>
    </cfRule>
    <cfRule type="cellIs" dxfId="64" priority="72" stopIfTrue="1" operator="equal">
      <formula>"Rejected"</formula>
    </cfRule>
  </conditionalFormatting>
  <conditionalFormatting sqref="J8">
    <cfRule type="expression" dxfId="63" priority="73" stopIfTrue="1">
      <formula>AND($M8="Approved",OR($L8=$R$1,$L8=$T$1))</formula>
    </cfRule>
  </conditionalFormatting>
  <conditionalFormatting sqref="L9">
    <cfRule type="expression" dxfId="62" priority="62" stopIfTrue="1">
      <formula>AND($M9="Approved",$L9="Fixed")</formula>
    </cfRule>
    <cfRule type="cellIs" dxfId="61" priority="63" stopIfTrue="1" operator="equal">
      <formula>"Fixed"</formula>
    </cfRule>
    <cfRule type="cellIs" dxfId="60" priority="64" stopIfTrue="1" operator="equal">
      <formula>"Open"</formula>
    </cfRule>
  </conditionalFormatting>
  <conditionalFormatting sqref="M9">
    <cfRule type="expression" dxfId="59" priority="65" stopIfTrue="1">
      <formula>OR(M9="Fixed",M9="Approved")</formula>
    </cfRule>
    <cfRule type="cellIs" dxfId="58" priority="66" stopIfTrue="1" operator="equal">
      <formula>"Rejected"</formula>
    </cfRule>
  </conditionalFormatting>
  <conditionalFormatting sqref="J9">
    <cfRule type="expression" dxfId="57" priority="67" stopIfTrue="1">
      <formula>AND($M9="Approved",OR($L9=$R$1,$L9=$T$1))</formula>
    </cfRule>
  </conditionalFormatting>
  <conditionalFormatting sqref="G11:G12 G14:I15 G17:H24 I11:J12">
    <cfRule type="expression" dxfId="56" priority="42" stopIfTrue="1">
      <formula>AND($M11="Approved",OR($L11=$R$1,$L11=$T$1))</formula>
    </cfRule>
  </conditionalFormatting>
  <conditionalFormatting sqref="D12:F12">
    <cfRule type="expression" dxfId="55" priority="59" stopIfTrue="1">
      <formula>AND($M12="Approved",OR($L12=$R$1,$L12=$T$1))</formula>
    </cfRule>
  </conditionalFormatting>
  <conditionalFormatting sqref="B13:C13">
    <cfRule type="expression" dxfId="54" priority="57" stopIfTrue="1">
      <formula>AND($M13="Approved",OR($L13=$R$1,$L13=$T$1))</formula>
    </cfRule>
  </conditionalFormatting>
  <conditionalFormatting sqref="D13:F13">
    <cfRule type="expression" dxfId="53" priority="56" stopIfTrue="1">
      <formula>AND($M13="Approved",OR($L13=$R$1,$L13=$T$1))</formula>
    </cfRule>
  </conditionalFormatting>
  <conditionalFormatting sqref="B14">
    <cfRule type="expression" dxfId="52" priority="54" stopIfTrue="1">
      <formula>AND($M14="Approved",OR($L14=$R$1,$L14=$T$1))</formula>
    </cfRule>
  </conditionalFormatting>
  <conditionalFormatting sqref="C14">
    <cfRule type="expression" dxfId="51" priority="53" stopIfTrue="1">
      <formula>AND($M14="Approved",OR($L14=$R$1,$L14=$T$1))</formula>
    </cfRule>
  </conditionalFormatting>
  <conditionalFormatting sqref="B15">
    <cfRule type="expression" dxfId="50" priority="52" stopIfTrue="1">
      <formula>AND($M15="Approved",OR($L15=$R$1,$L15=$T$1))</formula>
    </cfRule>
  </conditionalFormatting>
  <conditionalFormatting sqref="C15">
    <cfRule type="expression" dxfId="49" priority="51" stopIfTrue="1">
      <formula>AND($M15="Approved",OR($L15=$R$1,$L15=$T$1))</formula>
    </cfRule>
  </conditionalFormatting>
  <conditionalFormatting sqref="M16:M24">
    <cfRule type="expression" dxfId="48" priority="46" stopIfTrue="1">
      <formula>OR(M16="Fixed",M16="Approved")</formula>
    </cfRule>
    <cfRule type="cellIs" dxfId="47" priority="47" stopIfTrue="1" operator="equal">
      <formula>"Rejected"</formula>
    </cfRule>
  </conditionalFormatting>
  <conditionalFormatting sqref="A16:F16">
    <cfRule type="expression" dxfId="46" priority="48" stopIfTrue="1">
      <formula>AND($M16="Approved",OR($L16=$R$1,$L16=$T$1))</formula>
    </cfRule>
  </conditionalFormatting>
  <conditionalFormatting sqref="L11:L15">
    <cfRule type="expression" dxfId="45" priority="39" stopIfTrue="1">
      <formula>AND($M11="Approved",$L11="Fixed")</formula>
    </cfRule>
    <cfRule type="cellIs" dxfId="44" priority="40" stopIfTrue="1" operator="equal">
      <formula>"Fixed"</formula>
    </cfRule>
    <cfRule type="cellIs" dxfId="43" priority="41" stopIfTrue="1" operator="equal">
      <formula>"Open"</formula>
    </cfRule>
  </conditionalFormatting>
  <conditionalFormatting sqref="H11">
    <cfRule type="expression" dxfId="42" priority="38" stopIfTrue="1">
      <formula>AND($M11="Approved",OR($L11=$R$1,$L11=$T$1))</formula>
    </cfRule>
  </conditionalFormatting>
  <conditionalFormatting sqref="H12">
    <cfRule type="expression" dxfId="41" priority="37" stopIfTrue="1">
      <formula>AND($M12="Approved",OR($L12=$R$1,$L12=$T$1))</formula>
    </cfRule>
  </conditionalFormatting>
  <conditionalFormatting sqref="G13 I13:J13">
    <cfRule type="expression" dxfId="40" priority="36" stopIfTrue="1">
      <formula>AND($M13="Approved",OR($L13=$R$1,$L13=$T$1))</formula>
    </cfRule>
  </conditionalFormatting>
  <conditionalFormatting sqref="H13">
    <cfRule type="expression" dxfId="39" priority="35" stopIfTrue="1">
      <formula>AND($M13="Approved",OR($L13=$R$1,$L13=$T$1))</formula>
    </cfRule>
  </conditionalFormatting>
  <conditionalFormatting sqref="J14">
    <cfRule type="expression" dxfId="38" priority="34" stopIfTrue="1">
      <formula>AND($M14="Approved",OR($L14=$R$1,$L14=$T$1))</formula>
    </cfRule>
  </conditionalFormatting>
  <conditionalFormatting sqref="J15:J24">
    <cfRule type="expression" dxfId="37" priority="33" stopIfTrue="1">
      <formula>AND($M15="Approved",OR($L15=$R$1,$L15=$T$1))</formula>
    </cfRule>
  </conditionalFormatting>
  <conditionalFormatting sqref="L16:L24">
    <cfRule type="expression" dxfId="36" priority="29" stopIfTrue="1">
      <formula>AND($M16="Approved",$L16="Fixed")</formula>
    </cfRule>
    <cfRule type="cellIs" dxfId="35" priority="30" stopIfTrue="1" operator="equal">
      <formula>"Fixed"</formula>
    </cfRule>
    <cfRule type="cellIs" dxfId="34" priority="31" stopIfTrue="1" operator="equal">
      <formula>"Open"</formula>
    </cfRule>
  </conditionalFormatting>
  <conditionalFormatting sqref="G16:I16 I17:I24">
    <cfRule type="expression" dxfId="33" priority="32" stopIfTrue="1">
      <formula>AND($M16="Approved",OR($L16=$R$1,$L16=$T$1))</formula>
    </cfRule>
  </conditionalFormatting>
  <conditionalFormatting sqref="B29:C29">
    <cfRule type="expression" dxfId="32" priority="26" stopIfTrue="1">
      <formula>AND($M29="Approved",OR($L29=$R$1,$L29=$T$1))</formula>
    </cfRule>
  </conditionalFormatting>
  <conditionalFormatting sqref="F29">
    <cfRule type="expression" dxfId="31" priority="25" stopIfTrue="1">
      <formula>AND($M29="Approved",OR($L29=$R$1,$L29=$T$1))</formula>
    </cfRule>
  </conditionalFormatting>
  <conditionalFormatting sqref="K8">
    <cfRule type="expression" dxfId="25" priority="19" stopIfTrue="1">
      <formula>AND($M8="Approved",OR($L8=$R$1,$L8=$T$1))</formula>
    </cfRule>
  </conditionalFormatting>
  <conditionalFormatting sqref="K9:K27">
    <cfRule type="expression" dxfId="24" priority="18" stopIfTrue="1">
      <formula>AND($M9="Approved",OR($L9=$R$1,$L9=$T$1))</formula>
    </cfRule>
  </conditionalFormatting>
  <conditionalFormatting sqref="I25:I29 I31">
    <cfRule type="expression" dxfId="14" priority="8" stopIfTrue="1">
      <formula>AND($M25="Approved",OR($L25=$R$1,$L25=$T$1))</formula>
    </cfRule>
  </conditionalFormatting>
  <conditionalFormatting sqref="L30">
    <cfRule type="expression" dxfId="13" priority="2" stopIfTrue="1">
      <formula>AND($M30="Approved",$L30="Fixed")</formula>
    </cfRule>
    <cfRule type="cellIs" dxfId="12" priority="3" stopIfTrue="1" operator="equal">
      <formula>"Fixed"</formula>
    </cfRule>
    <cfRule type="cellIs" dxfId="11" priority="4" stopIfTrue="1" operator="equal">
      <formula>"Open"</formula>
    </cfRule>
  </conditionalFormatting>
  <conditionalFormatting sqref="M30">
    <cfRule type="expression" dxfId="10" priority="5" stopIfTrue="1">
      <formula>OR(M30="Fixed",M30="Approved")</formula>
    </cfRule>
    <cfRule type="cellIs" dxfId="9" priority="6" stopIfTrue="1" operator="equal">
      <formula>"Rejected"</formula>
    </cfRule>
  </conditionalFormatting>
  <conditionalFormatting sqref="E30:H30 K30">
    <cfRule type="expression" dxfId="8" priority="7" stopIfTrue="1">
      <formula>AND($M30="Approved",OR($L30=$R$1,$L30=$T$1))</formula>
    </cfRule>
  </conditionalFormatting>
  <conditionalFormatting sqref="I30">
    <cfRule type="expression" dxfId="7" priority="1" stopIfTrue="1">
      <formula>AND($M30="Approved",OR($L30=$R$1,$L30=$T$1))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66C9-AFF2-4FA6-A9CD-8B2E7616D2C7}">
  <sheetPr codeName="Feuil35">
    <tabColor theme="7"/>
    <pageSetUpPr fitToPage="1"/>
  </sheetPr>
  <dimension ref="A2:N33"/>
  <sheetViews>
    <sheetView zoomScale="90" zoomScaleNormal="90" workbookViewId="0">
      <pane xSplit="1" ySplit="3" topLeftCell="B4" activePane="bottomRight" state="frozen"/>
      <selection pane="topRight" activeCell="B1" sqref="B1"/>
      <selection pane="bottomLeft" activeCell="A4" sqref="A4"/>
      <selection pane="bottomRight" activeCell="C6" sqref="C6"/>
    </sheetView>
  </sheetViews>
  <sheetFormatPr defaultColWidth="9.42578125" defaultRowHeight="12.75"/>
  <cols>
    <col min="1" max="1" width="11" style="164" bestFit="1" customWidth="1"/>
    <col min="2" max="2" width="61" style="162" customWidth="1"/>
    <col min="3" max="10" width="4.42578125" style="161" bestFit="1" customWidth="1"/>
    <col min="11" max="11" width="30.5703125" style="161" customWidth="1"/>
    <col min="12" max="13" width="27.7109375" style="161" customWidth="1"/>
    <col min="14" max="16384" width="9.42578125" style="161"/>
  </cols>
  <sheetData>
    <row r="2" spans="1:14" ht="63">
      <c r="A2" s="177" t="s">
        <v>227</v>
      </c>
      <c r="B2" s="178" t="s">
        <v>261</v>
      </c>
      <c r="C2" s="179" t="s">
        <v>401</v>
      </c>
      <c r="D2" s="179" t="s">
        <v>401</v>
      </c>
      <c r="E2" s="179" t="s">
        <v>401</v>
      </c>
      <c r="F2" s="179" t="s">
        <v>401</v>
      </c>
      <c r="G2" s="179" t="s">
        <v>401</v>
      </c>
      <c r="H2" s="179" t="s">
        <v>401</v>
      </c>
      <c r="I2" s="179" t="s">
        <v>401</v>
      </c>
      <c r="J2" s="179" t="s">
        <v>401</v>
      </c>
      <c r="K2" s="180" t="s">
        <v>242</v>
      </c>
      <c r="L2" s="319" t="s">
        <v>187</v>
      </c>
      <c r="M2" s="320"/>
    </row>
    <row r="3" spans="1:14" ht="37.5">
      <c r="A3" s="181"/>
      <c r="B3" s="182"/>
      <c r="C3" s="182">
        <f t="shared" ref="C3:J3" si="0">COUNTIF(C5:C33,"Yes")</f>
        <v>0</v>
      </c>
      <c r="D3" s="182">
        <f t="shared" si="0"/>
        <v>0</v>
      </c>
      <c r="E3" s="182">
        <f t="shared" si="0"/>
        <v>0</v>
      </c>
      <c r="F3" s="182">
        <f t="shared" si="0"/>
        <v>0</v>
      </c>
      <c r="G3" s="182">
        <f t="shared" si="0"/>
        <v>0</v>
      </c>
      <c r="H3" s="182">
        <f t="shared" si="0"/>
        <v>0</v>
      </c>
      <c r="I3" s="182">
        <f t="shared" si="0"/>
        <v>0</v>
      </c>
      <c r="J3" s="182">
        <f t="shared" si="0"/>
        <v>0</v>
      </c>
      <c r="K3" s="169"/>
      <c r="L3" s="193" t="s">
        <v>233</v>
      </c>
      <c r="M3" s="193" t="s">
        <v>234</v>
      </c>
      <c r="N3" s="170"/>
    </row>
    <row r="4" spans="1:14" ht="36">
      <c r="A4" s="183"/>
      <c r="B4" s="184" t="s">
        <v>246</v>
      </c>
      <c r="C4" s="185"/>
      <c r="D4" s="185"/>
      <c r="E4" s="185"/>
      <c r="F4" s="185"/>
      <c r="G4" s="185"/>
      <c r="H4" s="185"/>
      <c r="I4" s="185"/>
      <c r="J4" s="185"/>
      <c r="K4" s="185"/>
      <c r="L4" s="185"/>
      <c r="M4" s="186"/>
      <c r="N4" s="99"/>
    </row>
    <row r="5" spans="1:14" ht="15">
      <c r="A5" s="165"/>
      <c r="B5" s="187" t="s">
        <v>245</v>
      </c>
      <c r="C5" s="166"/>
      <c r="D5" s="166"/>
      <c r="E5" s="166"/>
      <c r="F5" s="166"/>
      <c r="G5" s="166"/>
      <c r="H5" s="166"/>
      <c r="I5" s="166"/>
      <c r="J5" s="166"/>
      <c r="K5" s="166"/>
      <c r="L5" s="166"/>
      <c r="M5" s="167"/>
    </row>
    <row r="6" spans="1:14" ht="38.25">
      <c r="A6" s="171" t="s">
        <v>244</v>
      </c>
      <c r="B6" s="190" t="s">
        <v>260</v>
      </c>
      <c r="C6" s="163"/>
      <c r="D6" s="163"/>
      <c r="E6" s="163"/>
      <c r="F6" s="163"/>
      <c r="G6" s="163"/>
      <c r="H6" s="163"/>
      <c r="I6" s="163"/>
      <c r="J6" s="163"/>
      <c r="K6" s="163"/>
      <c r="L6" s="168"/>
      <c r="M6" s="168"/>
    </row>
    <row r="7" spans="1:14" ht="15">
      <c r="A7" s="165"/>
      <c r="B7" s="187" t="s">
        <v>317</v>
      </c>
      <c r="C7" s="166"/>
      <c r="D7" s="166"/>
      <c r="E7" s="166"/>
      <c r="F7" s="166"/>
      <c r="G7" s="166"/>
      <c r="H7" s="166"/>
      <c r="I7" s="166"/>
      <c r="J7" s="166"/>
      <c r="K7" s="166"/>
      <c r="L7" s="166"/>
      <c r="M7" s="167"/>
    </row>
    <row r="8" spans="1:14" ht="38.25">
      <c r="A8" s="171" t="s">
        <v>318</v>
      </c>
      <c r="B8" s="190" t="s">
        <v>319</v>
      </c>
      <c r="C8" s="163"/>
      <c r="D8" s="163"/>
      <c r="E8" s="163"/>
      <c r="F8" s="163"/>
      <c r="G8" s="163"/>
      <c r="H8" s="163"/>
      <c r="I8" s="163"/>
      <c r="J8" s="163"/>
      <c r="K8" s="163"/>
      <c r="L8" s="168"/>
      <c r="M8" s="168"/>
    </row>
    <row r="9" spans="1:14" ht="25.5">
      <c r="A9" s="171" t="s">
        <v>320</v>
      </c>
      <c r="B9" s="190" t="s">
        <v>321</v>
      </c>
      <c r="C9" s="163"/>
      <c r="D9" s="163"/>
      <c r="E9" s="163"/>
      <c r="F9" s="163"/>
      <c r="G9" s="163"/>
      <c r="H9" s="163"/>
      <c r="I9" s="163"/>
      <c r="J9" s="163"/>
      <c r="K9" s="163"/>
      <c r="L9" s="168"/>
      <c r="M9" s="168"/>
    </row>
    <row r="10" spans="1:14" ht="38.25">
      <c r="A10" s="171" t="s">
        <v>322</v>
      </c>
      <c r="B10" s="190" t="s">
        <v>323</v>
      </c>
      <c r="C10" s="163"/>
      <c r="D10" s="163"/>
      <c r="E10" s="163"/>
      <c r="F10" s="163"/>
      <c r="G10" s="163"/>
      <c r="H10" s="163"/>
      <c r="I10" s="163"/>
      <c r="J10" s="163"/>
      <c r="K10" s="163"/>
      <c r="L10" s="168"/>
      <c r="M10" s="168"/>
    </row>
    <row r="11" spans="1:14" ht="25.5">
      <c r="A11" s="171" t="s">
        <v>324</v>
      </c>
      <c r="B11" s="190" t="s">
        <v>325</v>
      </c>
      <c r="C11" s="163"/>
      <c r="D11" s="163"/>
      <c r="E11" s="163"/>
      <c r="F11" s="163"/>
      <c r="G11" s="163"/>
      <c r="H11" s="163"/>
      <c r="I11" s="163"/>
      <c r="J11" s="163"/>
      <c r="K11" s="163"/>
      <c r="L11" s="168"/>
      <c r="M11" s="168"/>
    </row>
    <row r="12" spans="1:14" ht="51">
      <c r="A12" s="171" t="s">
        <v>326</v>
      </c>
      <c r="B12" s="190" t="s">
        <v>327</v>
      </c>
      <c r="C12" s="163"/>
      <c r="D12" s="163"/>
      <c r="E12" s="163"/>
      <c r="F12" s="163"/>
      <c r="G12" s="163"/>
      <c r="H12" s="163"/>
      <c r="I12" s="163"/>
      <c r="J12" s="163"/>
      <c r="K12" s="163"/>
      <c r="L12" s="168"/>
      <c r="M12" s="168"/>
    </row>
    <row r="13" spans="1:14" ht="25.5">
      <c r="A13" s="171" t="s">
        <v>328</v>
      </c>
      <c r="B13" s="190" t="s">
        <v>329</v>
      </c>
      <c r="C13" s="163"/>
      <c r="D13" s="163"/>
      <c r="E13" s="163"/>
      <c r="F13" s="163"/>
      <c r="G13" s="163"/>
      <c r="H13" s="163"/>
      <c r="I13" s="163"/>
      <c r="J13" s="163"/>
      <c r="K13" s="163"/>
      <c r="L13" s="168"/>
      <c r="M13" s="168"/>
    </row>
    <row r="14" spans="1:14" ht="25.5">
      <c r="A14" s="171" t="s">
        <v>330</v>
      </c>
      <c r="B14" s="190" t="s">
        <v>331</v>
      </c>
      <c r="C14" s="163"/>
      <c r="D14" s="163"/>
      <c r="E14" s="163"/>
      <c r="F14" s="163"/>
      <c r="G14" s="163"/>
      <c r="H14" s="163"/>
      <c r="I14" s="163"/>
      <c r="J14" s="163"/>
      <c r="K14" s="163"/>
      <c r="L14" s="168"/>
      <c r="M14" s="168"/>
    </row>
    <row r="15" spans="1:14" ht="38.25">
      <c r="A15" s="171" t="s">
        <v>332</v>
      </c>
      <c r="B15" s="190" t="s">
        <v>333</v>
      </c>
      <c r="C15" s="163"/>
      <c r="D15" s="163"/>
      <c r="E15" s="163"/>
      <c r="F15" s="163"/>
      <c r="G15" s="163"/>
      <c r="H15" s="163"/>
      <c r="I15" s="163"/>
      <c r="J15" s="163"/>
      <c r="K15" s="163"/>
      <c r="L15" s="168"/>
      <c r="M15" s="168"/>
    </row>
    <row r="16" spans="1:14" ht="25.5">
      <c r="A16" s="171" t="s">
        <v>334</v>
      </c>
      <c r="B16" s="190" t="s">
        <v>335</v>
      </c>
      <c r="C16" s="163"/>
      <c r="D16" s="163"/>
      <c r="E16" s="163"/>
      <c r="F16" s="163"/>
      <c r="G16" s="163"/>
      <c r="H16" s="163"/>
      <c r="I16" s="163"/>
      <c r="J16" s="163"/>
      <c r="K16" s="163"/>
      <c r="L16" s="168"/>
      <c r="M16" s="168"/>
    </row>
    <row r="17" spans="1:13" ht="38.25">
      <c r="A17" s="171" t="s">
        <v>336</v>
      </c>
      <c r="B17" s="190" t="s">
        <v>337</v>
      </c>
      <c r="C17" s="163"/>
      <c r="D17" s="163"/>
      <c r="E17" s="163"/>
      <c r="F17" s="163"/>
      <c r="G17" s="163"/>
      <c r="H17" s="163"/>
      <c r="I17" s="163"/>
      <c r="J17" s="163"/>
      <c r="K17" s="163"/>
      <c r="L17" s="168"/>
      <c r="M17" s="168"/>
    </row>
    <row r="18" spans="1:13" ht="38.25">
      <c r="A18" s="171" t="s">
        <v>338</v>
      </c>
      <c r="B18" s="190" t="s">
        <v>339</v>
      </c>
      <c r="C18" s="163"/>
      <c r="D18" s="163"/>
      <c r="E18" s="163"/>
      <c r="F18" s="163"/>
      <c r="G18" s="163"/>
      <c r="H18" s="163"/>
      <c r="I18" s="163"/>
      <c r="J18" s="163"/>
      <c r="K18" s="163"/>
      <c r="L18" s="168"/>
      <c r="M18" s="168"/>
    </row>
    <row r="19" spans="1:13" ht="25.5">
      <c r="A19" s="171" t="s">
        <v>340</v>
      </c>
      <c r="B19" s="190" t="s">
        <v>341</v>
      </c>
      <c r="C19" s="163"/>
      <c r="D19" s="163"/>
      <c r="E19" s="163"/>
      <c r="F19" s="163"/>
      <c r="G19" s="163"/>
      <c r="H19" s="163"/>
      <c r="I19" s="163"/>
      <c r="J19" s="163"/>
      <c r="K19" s="163"/>
      <c r="L19" s="168"/>
      <c r="M19" s="168"/>
    </row>
    <row r="20" spans="1:13" ht="25.5">
      <c r="A20" s="171" t="s">
        <v>342</v>
      </c>
      <c r="B20" s="190" t="s">
        <v>343</v>
      </c>
      <c r="C20" s="163"/>
      <c r="D20" s="163"/>
      <c r="E20" s="163"/>
      <c r="F20" s="163"/>
      <c r="G20" s="163"/>
      <c r="H20" s="163"/>
      <c r="I20" s="163"/>
      <c r="J20" s="163"/>
      <c r="K20" s="163"/>
      <c r="L20" s="168"/>
      <c r="M20" s="168"/>
    </row>
    <row r="21" spans="1:13" ht="38.25">
      <c r="A21" s="171" t="s">
        <v>344</v>
      </c>
      <c r="B21" s="190" t="s">
        <v>345</v>
      </c>
      <c r="C21" s="163"/>
      <c r="D21" s="163"/>
      <c r="E21" s="163"/>
      <c r="F21" s="163"/>
      <c r="G21" s="163"/>
      <c r="H21" s="163"/>
      <c r="I21" s="163"/>
      <c r="J21" s="163"/>
      <c r="K21" s="163"/>
      <c r="L21" s="168"/>
      <c r="M21" s="168"/>
    </row>
    <row r="22" spans="1:13" ht="38.25">
      <c r="A22" s="171" t="s">
        <v>346</v>
      </c>
      <c r="B22" s="190" t="s">
        <v>347</v>
      </c>
      <c r="C22" s="163"/>
      <c r="D22" s="163"/>
      <c r="E22" s="163"/>
      <c r="F22" s="163"/>
      <c r="G22" s="163"/>
      <c r="H22" s="163"/>
      <c r="I22" s="163"/>
      <c r="J22" s="163"/>
      <c r="K22" s="163"/>
      <c r="L22" s="168"/>
      <c r="M22" s="168"/>
    </row>
    <row r="23" spans="1:13" ht="15">
      <c r="A23" s="165"/>
      <c r="B23" s="187" t="s">
        <v>230</v>
      </c>
      <c r="C23" s="166"/>
      <c r="D23" s="166"/>
      <c r="E23" s="166"/>
      <c r="F23" s="166"/>
      <c r="G23" s="166"/>
      <c r="H23" s="166"/>
      <c r="I23" s="166"/>
      <c r="J23" s="166"/>
      <c r="K23" s="166"/>
      <c r="L23" s="166"/>
      <c r="M23" s="167"/>
    </row>
    <row r="24" spans="1:13" ht="38.25">
      <c r="A24" s="171" t="s">
        <v>235</v>
      </c>
      <c r="B24" s="190" t="s">
        <v>220</v>
      </c>
      <c r="C24" s="163"/>
      <c r="D24" s="163"/>
      <c r="E24" s="163"/>
      <c r="F24" s="163"/>
      <c r="G24" s="163"/>
      <c r="H24" s="163"/>
      <c r="I24" s="163"/>
      <c r="J24" s="163"/>
      <c r="K24" s="163"/>
      <c r="L24" s="168"/>
      <c r="M24" s="168"/>
    </row>
    <row r="25" spans="1:13" ht="25.5">
      <c r="A25" s="171" t="s">
        <v>236</v>
      </c>
      <c r="B25" s="190" t="s">
        <v>221</v>
      </c>
      <c r="C25" s="163"/>
      <c r="D25" s="163"/>
      <c r="E25" s="163"/>
      <c r="F25" s="163"/>
      <c r="G25" s="163"/>
      <c r="H25" s="163"/>
      <c r="I25" s="163"/>
      <c r="J25" s="163"/>
      <c r="K25" s="163"/>
      <c r="L25" s="168"/>
      <c r="M25" s="168"/>
    </row>
    <row r="26" spans="1:13" ht="38.25">
      <c r="A26" s="171" t="s">
        <v>237</v>
      </c>
      <c r="B26" s="190" t="s">
        <v>222</v>
      </c>
      <c r="C26" s="163"/>
      <c r="D26" s="163"/>
      <c r="E26" s="163"/>
      <c r="F26" s="163"/>
      <c r="G26" s="163"/>
      <c r="H26" s="163"/>
      <c r="I26" s="163"/>
      <c r="J26" s="163"/>
      <c r="K26" s="163"/>
      <c r="L26" s="168"/>
      <c r="M26" s="168"/>
    </row>
    <row r="27" spans="1:13" ht="38.25">
      <c r="A27" s="171" t="s">
        <v>238</v>
      </c>
      <c r="B27" s="190" t="s">
        <v>223</v>
      </c>
      <c r="C27" s="163"/>
      <c r="D27" s="163"/>
      <c r="E27" s="163"/>
      <c r="F27" s="163"/>
      <c r="G27" s="163"/>
      <c r="H27" s="163"/>
      <c r="I27" s="163"/>
      <c r="J27" s="163"/>
      <c r="K27" s="163"/>
      <c r="L27" s="168"/>
      <c r="M27" s="168"/>
    </row>
    <row r="28" spans="1:13" ht="15">
      <c r="A28" s="165"/>
      <c r="B28" s="187" t="s">
        <v>231</v>
      </c>
      <c r="C28" s="166"/>
      <c r="D28" s="166"/>
      <c r="E28" s="166"/>
      <c r="F28" s="166"/>
      <c r="G28" s="166"/>
      <c r="H28" s="166"/>
      <c r="I28" s="166"/>
      <c r="J28" s="166"/>
      <c r="K28" s="166"/>
      <c r="L28" s="166"/>
      <c r="M28" s="167"/>
    </row>
    <row r="29" spans="1:13" ht="38.25">
      <c r="A29" s="171" t="s">
        <v>239</v>
      </c>
      <c r="B29" s="190" t="s">
        <v>224</v>
      </c>
      <c r="C29" s="163"/>
      <c r="D29" s="163"/>
      <c r="E29" s="163"/>
      <c r="F29" s="163"/>
      <c r="G29" s="163"/>
      <c r="H29" s="163"/>
      <c r="I29" s="163"/>
      <c r="J29" s="163"/>
      <c r="K29" s="163"/>
      <c r="L29" s="168"/>
      <c r="M29" s="168"/>
    </row>
    <row r="30" spans="1:13" ht="38.25">
      <c r="A30" s="171" t="s">
        <v>240</v>
      </c>
      <c r="B30" s="190" t="s">
        <v>225</v>
      </c>
      <c r="C30" s="163"/>
      <c r="D30" s="163"/>
      <c r="E30" s="163"/>
      <c r="F30" s="163"/>
      <c r="G30" s="163"/>
      <c r="H30" s="163"/>
      <c r="I30" s="163"/>
      <c r="J30" s="163"/>
      <c r="K30" s="163"/>
      <c r="L30" s="168"/>
      <c r="M30" s="168"/>
    </row>
    <row r="31" spans="1:13" ht="15">
      <c r="A31" s="165"/>
      <c r="B31" s="187" t="s">
        <v>217</v>
      </c>
      <c r="C31" s="166"/>
      <c r="D31" s="166"/>
      <c r="E31" s="166"/>
      <c r="F31" s="166"/>
      <c r="G31" s="166"/>
      <c r="H31" s="166"/>
      <c r="I31" s="166"/>
      <c r="J31" s="166"/>
      <c r="K31" s="166"/>
      <c r="L31" s="166"/>
      <c r="M31" s="167"/>
    </row>
    <row r="32" spans="1:13" ht="51">
      <c r="A32" s="171" t="s">
        <v>218</v>
      </c>
      <c r="B32" s="190" t="s">
        <v>219</v>
      </c>
      <c r="C32" s="163"/>
      <c r="D32" s="163"/>
      <c r="E32" s="163"/>
      <c r="F32" s="163"/>
      <c r="G32" s="163"/>
      <c r="H32" s="163"/>
      <c r="I32" s="163"/>
      <c r="J32" s="163"/>
      <c r="K32" s="163"/>
      <c r="L32" s="168"/>
      <c r="M32" s="168"/>
    </row>
    <row r="33" spans="1:13" ht="18">
      <c r="A33" s="191"/>
      <c r="B33" s="192" t="s">
        <v>241</v>
      </c>
      <c r="C33" s="191"/>
      <c r="D33" s="191"/>
      <c r="E33" s="191"/>
      <c r="F33" s="191"/>
      <c r="G33" s="191"/>
      <c r="H33" s="191"/>
      <c r="I33" s="191"/>
      <c r="J33" s="191"/>
      <c r="K33" s="191"/>
      <c r="L33" s="191"/>
      <c r="M33" s="191"/>
    </row>
  </sheetData>
  <mergeCells count="1">
    <mergeCell ref="L2:M2"/>
  </mergeCells>
  <dataValidations count="1">
    <dataValidation type="list" allowBlank="1" showInputMessage="1" showErrorMessage="1" sqref="C24:J27 C8:J22 C32:J32 C6:J6 C29:J30" xr:uid="{E52B5CE3-7E01-462B-A4E6-4F4CA79C163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6CBF9-3589-4B30-A97E-BE85D80D9479}">
  <sheetPr codeName="Feuil45">
    <tabColor theme="7"/>
    <pageSetUpPr fitToPage="1"/>
  </sheetPr>
  <dimension ref="A2:N33"/>
  <sheetViews>
    <sheetView zoomScale="130" zoomScaleNormal="130" workbookViewId="0">
      <pane xSplit="1" ySplit="3" topLeftCell="B4" activePane="bottomRight" state="frozen"/>
      <selection pane="topRight" activeCell="B1" sqref="B1"/>
      <selection pane="bottomLeft" activeCell="A4" sqref="A4"/>
      <selection pane="bottomRight" activeCell="C6" sqref="C6"/>
    </sheetView>
  </sheetViews>
  <sheetFormatPr defaultColWidth="9.42578125" defaultRowHeight="12.75"/>
  <cols>
    <col min="1" max="1" width="11" style="164" bestFit="1" customWidth="1"/>
    <col min="2" max="2" width="61" style="162" customWidth="1"/>
    <col min="3" max="10" width="4.42578125" style="161" bestFit="1" customWidth="1"/>
    <col min="11" max="11" width="30.5703125" style="161" customWidth="1"/>
    <col min="12" max="13" width="27.7109375" style="161" customWidth="1"/>
    <col min="14" max="16384" width="9.42578125" style="161"/>
  </cols>
  <sheetData>
    <row r="2" spans="1:14" ht="105">
      <c r="A2" s="177" t="s">
        <v>227</v>
      </c>
      <c r="B2" s="178" t="s">
        <v>262</v>
      </c>
      <c r="C2" s="179" t="s">
        <v>414</v>
      </c>
      <c r="D2" s="179" t="s">
        <v>415</v>
      </c>
      <c r="E2" s="179" t="s">
        <v>401</v>
      </c>
      <c r="F2" s="179" t="s">
        <v>401</v>
      </c>
      <c r="G2" s="179" t="s">
        <v>401</v>
      </c>
      <c r="H2" s="179" t="s">
        <v>401</v>
      </c>
      <c r="I2" s="179" t="s">
        <v>401</v>
      </c>
      <c r="J2" s="179" t="s">
        <v>401</v>
      </c>
      <c r="K2" s="208" t="s">
        <v>242</v>
      </c>
      <c r="L2" s="319" t="s">
        <v>187</v>
      </c>
      <c r="M2" s="320"/>
    </row>
    <row r="3" spans="1:14" ht="37.5">
      <c r="A3" s="181"/>
      <c r="B3" s="182"/>
      <c r="C3" s="182">
        <f t="shared" ref="C3:J3" si="0">COUNTIF(C5:C32,"Yes")</f>
        <v>15</v>
      </c>
      <c r="D3" s="182">
        <f t="shared" si="0"/>
        <v>15</v>
      </c>
      <c r="E3" s="182">
        <f t="shared" si="0"/>
        <v>0</v>
      </c>
      <c r="F3" s="182">
        <f t="shared" si="0"/>
        <v>0</v>
      </c>
      <c r="G3" s="182">
        <f t="shared" si="0"/>
        <v>0</v>
      </c>
      <c r="H3" s="182">
        <f t="shared" si="0"/>
        <v>0</v>
      </c>
      <c r="I3" s="182">
        <f t="shared" si="0"/>
        <v>0</v>
      </c>
      <c r="J3" s="182">
        <f t="shared" si="0"/>
        <v>0</v>
      </c>
      <c r="K3" s="169"/>
      <c r="L3" s="193" t="s">
        <v>233</v>
      </c>
      <c r="M3" s="193" t="s">
        <v>234</v>
      </c>
      <c r="N3" s="170"/>
    </row>
    <row r="4" spans="1:14" ht="36">
      <c r="A4" s="183"/>
      <c r="B4" s="184" t="s">
        <v>246</v>
      </c>
      <c r="C4" s="185"/>
      <c r="D4" s="185"/>
      <c r="E4" s="185"/>
      <c r="F4" s="185"/>
      <c r="G4" s="185"/>
      <c r="H4" s="185"/>
      <c r="I4" s="185"/>
      <c r="J4" s="185"/>
      <c r="K4" s="185"/>
      <c r="L4" s="185"/>
      <c r="M4" s="186"/>
      <c r="N4" s="99"/>
    </row>
    <row r="5" spans="1:14" ht="15">
      <c r="A5" s="165"/>
      <c r="B5" s="187" t="s">
        <v>229</v>
      </c>
      <c r="C5" s="166"/>
      <c r="D5" s="166"/>
      <c r="E5" s="166"/>
      <c r="F5" s="166"/>
      <c r="G5" s="166"/>
      <c r="H5" s="166"/>
      <c r="I5" s="166"/>
      <c r="J5" s="166"/>
      <c r="K5" s="166"/>
      <c r="L5" s="166"/>
      <c r="M5" s="167"/>
    </row>
    <row r="6" spans="1:14" ht="38.25">
      <c r="A6" s="171" t="s">
        <v>263</v>
      </c>
      <c r="B6" s="190" t="s">
        <v>264</v>
      </c>
      <c r="C6" s="163" t="s">
        <v>226</v>
      </c>
      <c r="D6" s="163" t="s">
        <v>226</v>
      </c>
      <c r="E6" s="163"/>
      <c r="F6" s="163"/>
      <c r="G6" s="163"/>
      <c r="H6" s="163"/>
      <c r="I6" s="163"/>
      <c r="J6" s="163"/>
      <c r="K6" s="163"/>
      <c r="L6" s="168"/>
      <c r="M6" s="168"/>
    </row>
    <row r="7" spans="1:14" ht="38.25">
      <c r="A7" s="171" t="s">
        <v>265</v>
      </c>
      <c r="B7" s="190" t="s">
        <v>266</v>
      </c>
      <c r="C7" s="163" t="s">
        <v>226</v>
      </c>
      <c r="D7" s="163" t="s">
        <v>226</v>
      </c>
      <c r="E7" s="163"/>
      <c r="F7" s="163"/>
      <c r="G7" s="163"/>
      <c r="H7" s="163"/>
      <c r="I7" s="163"/>
      <c r="J7" s="163"/>
      <c r="K7" s="163"/>
      <c r="L7" s="168"/>
      <c r="M7" s="168"/>
    </row>
    <row r="8" spans="1:14" ht="15">
      <c r="A8" s="165"/>
      <c r="B8" s="187" t="s">
        <v>317</v>
      </c>
      <c r="C8" s="166"/>
      <c r="D8" s="166"/>
      <c r="E8" s="166"/>
      <c r="F8" s="166"/>
      <c r="G8" s="166"/>
      <c r="H8" s="166"/>
      <c r="I8" s="166"/>
      <c r="J8" s="166"/>
      <c r="K8" s="166"/>
      <c r="L8" s="166"/>
      <c r="M8" s="167"/>
    </row>
    <row r="9" spans="1:14" ht="25.5">
      <c r="A9" s="171" t="s">
        <v>348</v>
      </c>
      <c r="B9" s="190" t="s">
        <v>349</v>
      </c>
      <c r="C9" s="163" t="s">
        <v>226</v>
      </c>
      <c r="D9" s="163" t="s">
        <v>226</v>
      </c>
      <c r="E9" s="163"/>
      <c r="F9" s="163"/>
      <c r="G9" s="163"/>
      <c r="H9" s="163"/>
      <c r="I9" s="163"/>
      <c r="J9" s="163"/>
      <c r="K9" s="163"/>
      <c r="L9" s="168"/>
      <c r="M9" s="168"/>
    </row>
    <row r="10" spans="1:14" ht="25.5">
      <c r="A10" s="171" t="s">
        <v>350</v>
      </c>
      <c r="B10" s="190" t="s">
        <v>351</v>
      </c>
      <c r="C10" s="163" t="s">
        <v>226</v>
      </c>
      <c r="D10" s="163" t="s">
        <v>226</v>
      </c>
      <c r="E10" s="163"/>
      <c r="F10" s="163"/>
      <c r="G10" s="163"/>
      <c r="H10" s="163"/>
      <c r="I10" s="163"/>
      <c r="J10" s="163"/>
      <c r="K10" s="163"/>
      <c r="L10" s="168"/>
      <c r="M10" s="168"/>
    </row>
    <row r="11" spans="1:14" ht="38.25">
      <c r="A11" s="171" t="s">
        <v>352</v>
      </c>
      <c r="B11" s="190" t="s">
        <v>353</v>
      </c>
      <c r="C11" s="163" t="s">
        <v>226</v>
      </c>
      <c r="D11" s="163" t="s">
        <v>226</v>
      </c>
      <c r="E11" s="163"/>
      <c r="F11" s="163"/>
      <c r="G11" s="163"/>
      <c r="H11" s="163"/>
      <c r="I11" s="163"/>
      <c r="J11" s="163"/>
      <c r="K11" s="163"/>
      <c r="L11" s="168"/>
      <c r="M11" s="168"/>
    </row>
    <row r="12" spans="1:14" ht="25.5">
      <c r="A12" s="171" t="s">
        <v>354</v>
      </c>
      <c r="B12" s="190" t="s">
        <v>355</v>
      </c>
      <c r="C12" s="163" t="s">
        <v>226</v>
      </c>
      <c r="D12" s="163" t="s">
        <v>226</v>
      </c>
      <c r="E12" s="163"/>
      <c r="F12" s="163"/>
      <c r="G12" s="163"/>
      <c r="H12" s="163"/>
      <c r="I12" s="163"/>
      <c r="J12" s="163"/>
      <c r="K12" s="163"/>
      <c r="L12" s="168"/>
      <c r="M12" s="168"/>
    </row>
    <row r="13" spans="1:14" ht="25.5">
      <c r="A13" s="171" t="s">
        <v>356</v>
      </c>
      <c r="B13" s="190" t="s">
        <v>357</v>
      </c>
      <c r="C13" s="163" t="s">
        <v>226</v>
      </c>
      <c r="D13" s="163" t="s">
        <v>226</v>
      </c>
      <c r="E13" s="163"/>
      <c r="F13" s="163"/>
      <c r="G13" s="163"/>
      <c r="H13" s="163"/>
      <c r="I13" s="163"/>
      <c r="J13" s="163"/>
      <c r="K13" s="163"/>
      <c r="L13" s="168"/>
      <c r="M13" s="168"/>
    </row>
    <row r="14" spans="1:14" ht="25.5">
      <c r="A14" s="171" t="s">
        <v>358</v>
      </c>
      <c r="B14" s="190" t="s">
        <v>359</v>
      </c>
      <c r="C14" s="163" t="s">
        <v>226</v>
      </c>
      <c r="D14" s="163" t="s">
        <v>226</v>
      </c>
      <c r="E14" s="163"/>
      <c r="F14" s="163"/>
      <c r="G14" s="163"/>
      <c r="H14" s="163"/>
      <c r="I14" s="163"/>
      <c r="J14" s="163"/>
      <c r="K14" s="163"/>
      <c r="L14" s="168"/>
      <c r="M14" s="168"/>
    </row>
    <row r="15" spans="1:14" ht="51">
      <c r="A15" s="171" t="s">
        <v>360</v>
      </c>
      <c r="B15" s="190" t="s">
        <v>361</v>
      </c>
      <c r="C15" s="163" t="s">
        <v>226</v>
      </c>
      <c r="D15" s="163" t="s">
        <v>226</v>
      </c>
      <c r="E15" s="163"/>
      <c r="F15" s="163"/>
      <c r="G15" s="163"/>
      <c r="H15" s="163"/>
      <c r="I15" s="163"/>
      <c r="J15" s="163"/>
      <c r="K15" s="163"/>
      <c r="L15" s="168"/>
      <c r="M15" s="168"/>
    </row>
    <row r="16" spans="1:14" ht="38.25">
      <c r="A16" s="171" t="s">
        <v>362</v>
      </c>
      <c r="B16" s="190" t="s">
        <v>363</v>
      </c>
      <c r="C16" s="163" t="s">
        <v>226</v>
      </c>
      <c r="D16" s="163" t="s">
        <v>226</v>
      </c>
      <c r="E16" s="163"/>
      <c r="F16" s="163"/>
      <c r="G16" s="163"/>
      <c r="H16" s="163"/>
      <c r="I16" s="163"/>
      <c r="J16" s="163"/>
      <c r="K16" s="163"/>
      <c r="L16" s="168"/>
      <c r="M16" s="168"/>
    </row>
    <row r="17" spans="1:13" ht="51">
      <c r="A17" s="171" t="s">
        <v>364</v>
      </c>
      <c r="B17" s="190" t="s">
        <v>365</v>
      </c>
      <c r="C17" s="163" t="s">
        <v>11</v>
      </c>
      <c r="D17" s="163" t="s">
        <v>11</v>
      </c>
      <c r="E17" s="163"/>
      <c r="F17" s="163"/>
      <c r="G17" s="163"/>
      <c r="H17" s="163"/>
      <c r="I17" s="163"/>
      <c r="J17" s="163"/>
      <c r="K17" s="163"/>
      <c r="L17" s="168"/>
      <c r="M17" s="168"/>
    </row>
    <row r="18" spans="1:13" ht="38.25">
      <c r="A18" s="171" t="s">
        <v>366</v>
      </c>
      <c r="B18" s="190" t="s">
        <v>367</v>
      </c>
      <c r="C18" s="163" t="s">
        <v>11</v>
      </c>
      <c r="D18" s="163" t="s">
        <v>11</v>
      </c>
      <c r="E18" s="163"/>
      <c r="F18" s="163"/>
      <c r="G18" s="163"/>
      <c r="H18" s="163"/>
      <c r="I18" s="163"/>
      <c r="J18" s="163"/>
      <c r="K18" s="163"/>
      <c r="L18" s="168"/>
      <c r="M18" s="168"/>
    </row>
    <row r="19" spans="1:13" ht="25.5">
      <c r="A19" s="171" t="s">
        <v>368</v>
      </c>
      <c r="B19" s="190" t="s">
        <v>369</v>
      </c>
      <c r="C19" s="163" t="s">
        <v>226</v>
      </c>
      <c r="D19" s="163" t="s">
        <v>226</v>
      </c>
      <c r="E19" s="163"/>
      <c r="F19" s="163"/>
      <c r="G19" s="163"/>
      <c r="H19" s="163"/>
      <c r="I19" s="163"/>
      <c r="J19" s="163"/>
      <c r="K19" s="163"/>
      <c r="L19" s="168"/>
      <c r="M19" s="168"/>
    </row>
    <row r="20" spans="1:13" ht="38.25">
      <c r="A20" s="171" t="s">
        <v>391</v>
      </c>
      <c r="B20" s="190" t="s">
        <v>392</v>
      </c>
      <c r="C20" s="163" t="s">
        <v>226</v>
      </c>
      <c r="D20" s="163" t="s">
        <v>226</v>
      </c>
      <c r="E20" s="163"/>
      <c r="F20" s="163"/>
      <c r="G20" s="163"/>
      <c r="H20" s="163"/>
      <c r="I20" s="163"/>
      <c r="J20" s="163"/>
      <c r="K20" s="163"/>
      <c r="L20" s="168"/>
      <c r="M20" s="168"/>
    </row>
    <row r="21" spans="1:13" ht="25.5">
      <c r="A21" s="171" t="s">
        <v>393</v>
      </c>
      <c r="B21" s="190" t="s">
        <v>394</v>
      </c>
      <c r="C21" s="163" t="s">
        <v>11</v>
      </c>
      <c r="D21" s="163" t="s">
        <v>11</v>
      </c>
      <c r="E21" s="163"/>
      <c r="F21" s="163"/>
      <c r="G21" s="163"/>
      <c r="H21" s="163"/>
      <c r="I21" s="163"/>
      <c r="J21" s="163"/>
      <c r="K21" s="163"/>
      <c r="L21" s="168"/>
      <c r="M21" s="168"/>
    </row>
    <row r="22" spans="1:13" ht="15">
      <c r="A22" s="165"/>
      <c r="B22" s="187" t="s">
        <v>230</v>
      </c>
      <c r="C22" s="166"/>
      <c r="D22" s="166"/>
      <c r="E22" s="166"/>
      <c r="F22" s="166"/>
      <c r="G22" s="166"/>
      <c r="H22" s="166"/>
      <c r="I22" s="166"/>
      <c r="J22" s="166"/>
      <c r="K22" s="166"/>
      <c r="L22" s="166"/>
      <c r="M22" s="167"/>
    </row>
    <row r="23" spans="1:13" ht="38.25">
      <c r="A23" s="171" t="s">
        <v>235</v>
      </c>
      <c r="B23" s="190" t="s">
        <v>220</v>
      </c>
      <c r="C23" s="163" t="s">
        <v>23</v>
      </c>
      <c r="D23" s="163" t="s">
        <v>23</v>
      </c>
      <c r="E23" s="163"/>
      <c r="F23" s="163"/>
      <c r="G23" s="163"/>
      <c r="H23" s="163"/>
      <c r="I23" s="163"/>
      <c r="J23" s="163"/>
      <c r="K23" s="163"/>
      <c r="L23" s="168"/>
      <c r="M23" s="168"/>
    </row>
    <row r="24" spans="1:13" ht="25.5">
      <c r="A24" s="171" t="s">
        <v>236</v>
      </c>
      <c r="B24" s="190" t="s">
        <v>221</v>
      </c>
      <c r="C24" s="163" t="s">
        <v>226</v>
      </c>
      <c r="D24" s="163" t="s">
        <v>226</v>
      </c>
      <c r="E24" s="163"/>
      <c r="F24" s="163"/>
      <c r="G24" s="163"/>
      <c r="H24" s="163"/>
      <c r="I24" s="163"/>
      <c r="J24" s="163"/>
      <c r="K24" s="163"/>
      <c r="L24" s="168"/>
      <c r="M24" s="168"/>
    </row>
    <row r="25" spans="1:13" ht="38.25">
      <c r="A25" s="171" t="s">
        <v>237</v>
      </c>
      <c r="B25" s="190" t="s">
        <v>222</v>
      </c>
      <c r="C25" s="163" t="s">
        <v>226</v>
      </c>
      <c r="D25" s="163" t="s">
        <v>226</v>
      </c>
      <c r="E25" s="163"/>
      <c r="F25" s="163"/>
      <c r="G25" s="163"/>
      <c r="H25" s="163"/>
      <c r="I25" s="163"/>
      <c r="J25" s="163"/>
      <c r="K25" s="163"/>
      <c r="L25" s="168"/>
      <c r="M25" s="168"/>
    </row>
    <row r="26" spans="1:13" ht="38.25">
      <c r="A26" s="171" t="s">
        <v>238</v>
      </c>
      <c r="B26" s="190" t="s">
        <v>223</v>
      </c>
      <c r="C26" s="163" t="s">
        <v>226</v>
      </c>
      <c r="D26" s="163" t="s">
        <v>226</v>
      </c>
      <c r="E26" s="163"/>
      <c r="F26" s="163"/>
      <c r="G26" s="163"/>
      <c r="H26" s="163"/>
      <c r="I26" s="163"/>
      <c r="J26" s="163"/>
      <c r="K26" s="163"/>
      <c r="L26" s="168"/>
      <c r="M26" s="168"/>
    </row>
    <row r="27" spans="1:13" ht="15">
      <c r="A27" s="165"/>
      <c r="B27" s="187" t="s">
        <v>231</v>
      </c>
      <c r="C27" s="166"/>
      <c r="D27" s="166"/>
      <c r="E27" s="166"/>
      <c r="F27" s="166"/>
      <c r="G27" s="166"/>
      <c r="H27" s="166"/>
      <c r="I27" s="166"/>
      <c r="J27" s="166"/>
      <c r="K27" s="166"/>
      <c r="L27" s="166"/>
      <c r="M27" s="167"/>
    </row>
    <row r="28" spans="1:13" ht="38.25">
      <c r="A28" s="171" t="s">
        <v>239</v>
      </c>
      <c r="B28" s="190" t="s">
        <v>224</v>
      </c>
      <c r="C28" s="163"/>
      <c r="D28" s="163"/>
      <c r="E28" s="163"/>
      <c r="F28" s="163"/>
      <c r="G28" s="163"/>
      <c r="H28" s="163"/>
      <c r="I28" s="163"/>
      <c r="J28" s="163"/>
      <c r="K28" s="163"/>
      <c r="L28" s="168"/>
      <c r="M28" s="168"/>
    </row>
    <row r="29" spans="1:13" ht="38.25">
      <c r="A29" s="171" t="s">
        <v>240</v>
      </c>
      <c r="B29" s="190" t="s">
        <v>225</v>
      </c>
      <c r="C29" s="163"/>
      <c r="D29" s="163"/>
      <c r="E29" s="163"/>
      <c r="F29" s="163"/>
      <c r="G29" s="163"/>
      <c r="H29" s="163"/>
      <c r="I29" s="163"/>
      <c r="J29" s="163"/>
      <c r="K29" s="163"/>
      <c r="L29" s="168"/>
      <c r="M29" s="168"/>
    </row>
    <row r="30" spans="1:13" ht="15">
      <c r="A30" s="165"/>
      <c r="B30" s="187" t="s">
        <v>217</v>
      </c>
      <c r="C30" s="166"/>
      <c r="D30" s="166"/>
      <c r="E30" s="166"/>
      <c r="F30" s="166"/>
      <c r="G30" s="166"/>
      <c r="H30" s="166"/>
      <c r="I30" s="166"/>
      <c r="J30" s="166"/>
      <c r="K30" s="166"/>
      <c r="L30" s="166"/>
      <c r="M30" s="167"/>
    </row>
    <row r="31" spans="1:13" ht="51">
      <c r="A31" s="171" t="s">
        <v>218</v>
      </c>
      <c r="B31" s="190" t="s">
        <v>219</v>
      </c>
      <c r="C31" s="163"/>
      <c r="D31" s="163"/>
      <c r="E31" s="163"/>
      <c r="F31" s="163"/>
      <c r="G31" s="163"/>
      <c r="H31" s="163"/>
      <c r="I31" s="163"/>
      <c r="J31" s="163"/>
      <c r="K31" s="163"/>
      <c r="L31" s="168"/>
      <c r="M31" s="168"/>
    </row>
    <row r="32" spans="1:13" ht="18">
      <c r="A32" s="191"/>
      <c r="B32" s="192" t="s">
        <v>241</v>
      </c>
      <c r="C32" s="191"/>
      <c r="D32" s="191"/>
      <c r="E32" s="191"/>
      <c r="F32" s="191"/>
      <c r="G32" s="191"/>
      <c r="H32" s="191"/>
      <c r="I32" s="191"/>
      <c r="J32" s="191"/>
      <c r="K32" s="191"/>
      <c r="L32" s="191"/>
      <c r="M32" s="191"/>
    </row>
    <row r="33" spans="1:13" ht="15">
      <c r="A33" s="173"/>
      <c r="B33" s="174" t="s">
        <v>243</v>
      </c>
      <c r="C33" s="175"/>
      <c r="D33" s="175"/>
      <c r="E33" s="175"/>
      <c r="F33" s="175"/>
      <c r="G33" s="175"/>
      <c r="H33" s="175"/>
      <c r="I33" s="175"/>
      <c r="J33" s="175"/>
      <c r="K33" s="175"/>
      <c r="L33" s="175"/>
      <c r="M33" s="176"/>
    </row>
  </sheetData>
  <mergeCells count="1">
    <mergeCell ref="L2:M2"/>
  </mergeCells>
  <dataValidations count="1">
    <dataValidation type="list" allowBlank="1" showInputMessage="1" showErrorMessage="1" sqref="C31:J31 C28:J29 C9:J21 C23:J26 C6:J7" xr:uid="{C6280127-A494-496D-B8CF-3F4D00E3455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CCC0-FAE8-468F-92C3-B56164C3E4D5}">
  <sheetPr codeName="Feuil46">
    <tabColor theme="7"/>
    <pageSetUpPr fitToPage="1"/>
  </sheetPr>
  <dimension ref="A2:N34"/>
  <sheetViews>
    <sheetView zoomScale="90" zoomScaleNormal="90" workbookViewId="0">
      <pane xSplit="1" ySplit="3" topLeftCell="B20" activePane="bottomRight" state="frozen"/>
      <selection pane="topRight" activeCell="B1" sqref="B1"/>
      <selection pane="bottomLeft" activeCell="A4" sqref="A4"/>
      <selection pane="bottomRight" activeCell="C6" sqref="C6:E33"/>
    </sheetView>
  </sheetViews>
  <sheetFormatPr defaultColWidth="9.42578125" defaultRowHeight="12.75"/>
  <cols>
    <col min="1" max="1" width="10.7109375" style="164" bestFit="1" customWidth="1"/>
    <col min="2" max="2" width="61" style="162" customWidth="1"/>
    <col min="3" max="10" width="4.42578125" style="161" bestFit="1" customWidth="1"/>
    <col min="11" max="11" width="30.5703125" style="161" customWidth="1"/>
    <col min="12" max="13" width="27.7109375" style="161" customWidth="1"/>
    <col min="14" max="16384" width="9.42578125" style="161"/>
  </cols>
  <sheetData>
    <row r="2" spans="1:14" ht="69.75">
      <c r="A2" s="177" t="s">
        <v>227</v>
      </c>
      <c r="B2" s="178" t="s">
        <v>267</v>
      </c>
      <c r="C2" s="179" t="s">
        <v>401</v>
      </c>
      <c r="D2" s="179" t="s">
        <v>401</v>
      </c>
      <c r="E2" s="179" t="s">
        <v>401</v>
      </c>
      <c r="F2" s="179" t="s">
        <v>401</v>
      </c>
      <c r="G2" s="179" t="s">
        <v>401</v>
      </c>
      <c r="H2" s="179" t="s">
        <v>401</v>
      </c>
      <c r="I2" s="179" t="s">
        <v>401</v>
      </c>
      <c r="J2" s="179" t="s">
        <v>401</v>
      </c>
      <c r="K2" s="180" t="s">
        <v>242</v>
      </c>
      <c r="L2" s="319" t="s">
        <v>187</v>
      </c>
      <c r="M2" s="320"/>
    </row>
    <row r="3" spans="1:14" ht="37.5">
      <c r="A3" s="181"/>
      <c r="B3" s="182"/>
      <c r="C3" s="182">
        <f t="shared" ref="C3:J3" si="0">COUNTIF(C5:C34,"Yes")</f>
        <v>0</v>
      </c>
      <c r="D3" s="182">
        <f t="shared" si="0"/>
        <v>0</v>
      </c>
      <c r="E3" s="182">
        <f t="shared" si="0"/>
        <v>0</v>
      </c>
      <c r="F3" s="182">
        <f t="shared" si="0"/>
        <v>0</v>
      </c>
      <c r="G3" s="182">
        <f t="shared" si="0"/>
        <v>0</v>
      </c>
      <c r="H3" s="182">
        <f t="shared" si="0"/>
        <v>0</v>
      </c>
      <c r="I3" s="182">
        <f t="shared" si="0"/>
        <v>0</v>
      </c>
      <c r="J3" s="182">
        <f t="shared" si="0"/>
        <v>0</v>
      </c>
      <c r="K3" s="169"/>
      <c r="L3" s="193" t="s">
        <v>233</v>
      </c>
      <c r="M3" s="193" t="s">
        <v>234</v>
      </c>
      <c r="N3" s="170"/>
    </row>
    <row r="4" spans="1:14" ht="36">
      <c r="A4" s="183"/>
      <c r="B4" s="184" t="s">
        <v>246</v>
      </c>
      <c r="C4" s="185"/>
      <c r="D4" s="185"/>
      <c r="E4" s="185"/>
      <c r="F4" s="185"/>
      <c r="G4" s="185"/>
      <c r="H4" s="185"/>
      <c r="I4" s="185"/>
      <c r="J4" s="185"/>
      <c r="K4" s="185"/>
      <c r="L4" s="185"/>
      <c r="M4" s="186"/>
      <c r="N4" s="99"/>
    </row>
    <row r="5" spans="1:14" ht="15">
      <c r="A5" s="165"/>
      <c r="B5" s="187" t="s">
        <v>247</v>
      </c>
      <c r="C5" s="166"/>
      <c r="D5" s="166"/>
      <c r="E5" s="166"/>
      <c r="F5" s="166"/>
      <c r="G5" s="166"/>
      <c r="H5" s="166"/>
      <c r="I5" s="166"/>
      <c r="J5" s="166"/>
      <c r="K5" s="166"/>
      <c r="L5" s="166"/>
      <c r="M5" s="167"/>
    </row>
    <row r="6" spans="1:14" ht="25.5">
      <c r="A6" s="171" t="s">
        <v>268</v>
      </c>
      <c r="B6" s="190" t="s">
        <v>249</v>
      </c>
      <c r="C6" s="163"/>
      <c r="D6" s="163"/>
      <c r="E6" s="163"/>
      <c r="F6" s="163"/>
      <c r="G6" s="163"/>
      <c r="H6" s="163"/>
      <c r="I6" s="163"/>
      <c r="J6" s="163"/>
      <c r="K6" s="163"/>
      <c r="L6" s="168"/>
      <c r="M6" s="168"/>
    </row>
    <row r="7" spans="1:14" ht="38.25">
      <c r="A7" s="171" t="s">
        <v>269</v>
      </c>
      <c r="B7" s="190" t="s">
        <v>290</v>
      </c>
      <c r="C7" s="163"/>
      <c r="D7" s="163"/>
      <c r="E7" s="163"/>
      <c r="F7" s="163"/>
      <c r="G7" s="163"/>
      <c r="H7" s="163"/>
      <c r="I7" s="163"/>
      <c r="J7" s="163"/>
      <c r="K7" s="163"/>
      <c r="L7" s="172"/>
      <c r="M7" s="168"/>
    </row>
    <row r="8" spans="1:14" ht="38.25">
      <c r="A8" s="171" t="s">
        <v>253</v>
      </c>
      <c r="B8" s="190" t="s">
        <v>292</v>
      </c>
      <c r="C8" s="163"/>
      <c r="D8" s="163"/>
      <c r="E8" s="163"/>
      <c r="F8" s="163"/>
      <c r="G8" s="163"/>
      <c r="H8" s="163"/>
      <c r="I8" s="163"/>
      <c r="J8" s="163"/>
      <c r="K8" s="163"/>
      <c r="L8" s="168"/>
      <c r="M8" s="168"/>
    </row>
    <row r="9" spans="1:14" ht="38.25">
      <c r="A9" s="171" t="s">
        <v>254</v>
      </c>
      <c r="B9" s="190" t="s">
        <v>293</v>
      </c>
      <c r="C9" s="163"/>
      <c r="D9" s="163"/>
      <c r="E9" s="163"/>
      <c r="F9" s="163"/>
      <c r="G9" s="163"/>
      <c r="H9" s="163"/>
      <c r="I9" s="163"/>
      <c r="J9" s="163"/>
      <c r="K9" s="163"/>
      <c r="L9" s="168"/>
      <c r="M9" s="168"/>
    </row>
    <row r="10" spans="1:14" ht="25.5">
      <c r="A10" s="171" t="s">
        <v>294</v>
      </c>
      <c r="B10" s="190" t="s">
        <v>295</v>
      </c>
      <c r="C10" s="163"/>
      <c r="D10" s="163"/>
      <c r="E10" s="163"/>
      <c r="F10" s="163"/>
      <c r="G10" s="163"/>
      <c r="H10" s="163"/>
      <c r="I10" s="163"/>
      <c r="J10" s="163"/>
      <c r="K10" s="163"/>
      <c r="L10" s="168"/>
      <c r="M10" s="168"/>
    </row>
    <row r="11" spans="1:14" ht="25.5">
      <c r="A11" s="171" t="s">
        <v>270</v>
      </c>
      <c r="B11" s="190" t="s">
        <v>250</v>
      </c>
      <c r="C11" s="163"/>
      <c r="D11" s="163"/>
      <c r="E11" s="163"/>
      <c r="F11" s="163"/>
      <c r="G11" s="163"/>
      <c r="H11" s="163"/>
      <c r="I11" s="163"/>
      <c r="J11" s="163"/>
      <c r="K11" s="163"/>
      <c r="L11" s="168"/>
      <c r="M11" s="168"/>
    </row>
    <row r="12" spans="1:14" ht="51">
      <c r="A12" s="171" t="s">
        <v>255</v>
      </c>
      <c r="B12" s="190" t="s">
        <v>256</v>
      </c>
      <c r="C12" s="163"/>
      <c r="D12" s="163"/>
      <c r="E12" s="163"/>
      <c r="F12" s="163"/>
      <c r="G12" s="163"/>
      <c r="H12" s="163"/>
      <c r="I12" s="163"/>
      <c r="J12" s="163"/>
      <c r="K12" s="163"/>
      <c r="L12" s="168"/>
      <c r="M12" s="168"/>
    </row>
    <row r="13" spans="1:14" ht="25.5">
      <c r="A13" s="171" t="s">
        <v>271</v>
      </c>
      <c r="B13" s="190" t="s">
        <v>296</v>
      </c>
      <c r="C13" s="163"/>
      <c r="D13" s="163"/>
      <c r="E13" s="163"/>
      <c r="F13" s="163"/>
      <c r="G13" s="163"/>
      <c r="H13" s="163"/>
      <c r="I13" s="163"/>
      <c r="J13" s="163"/>
      <c r="K13" s="163"/>
      <c r="L13" s="168"/>
      <c r="M13" s="168"/>
    </row>
    <row r="14" spans="1:14" ht="38.25">
      <c r="A14" s="171" t="s">
        <v>297</v>
      </c>
      <c r="B14" s="190" t="s">
        <v>298</v>
      </c>
      <c r="C14" s="163"/>
      <c r="D14" s="163"/>
      <c r="E14" s="163"/>
      <c r="F14" s="163"/>
      <c r="G14" s="163"/>
      <c r="H14" s="163"/>
      <c r="I14" s="163"/>
      <c r="J14" s="163"/>
      <c r="K14" s="163"/>
      <c r="L14" s="168"/>
      <c r="M14" s="168"/>
    </row>
    <row r="15" spans="1:14" ht="15">
      <c r="A15" s="165"/>
      <c r="B15" s="187" t="s">
        <v>248</v>
      </c>
      <c r="C15" s="166"/>
      <c r="D15" s="166"/>
      <c r="E15" s="166"/>
      <c r="F15" s="166"/>
      <c r="G15" s="166"/>
      <c r="H15" s="166"/>
      <c r="I15" s="166"/>
      <c r="J15" s="166"/>
      <c r="K15" s="166"/>
      <c r="L15" s="166"/>
      <c r="M15" s="167"/>
    </row>
    <row r="16" spans="1:14" ht="63.75">
      <c r="A16" s="171" t="s">
        <v>272</v>
      </c>
      <c r="B16" s="190" t="s">
        <v>251</v>
      </c>
      <c r="C16" s="163"/>
      <c r="D16" s="163"/>
      <c r="E16" s="163"/>
      <c r="F16" s="163"/>
      <c r="G16" s="163"/>
      <c r="H16" s="163"/>
      <c r="I16" s="163"/>
      <c r="J16" s="163"/>
      <c r="K16" s="163"/>
      <c r="L16" s="168"/>
      <c r="M16" s="168"/>
    </row>
    <row r="17" spans="1:13" ht="63.75">
      <c r="A17" s="171" t="s">
        <v>257</v>
      </c>
      <c r="B17" s="190" t="s">
        <v>252</v>
      </c>
      <c r="C17" s="163"/>
      <c r="D17" s="163"/>
      <c r="E17" s="163"/>
      <c r="F17" s="163"/>
      <c r="G17" s="163"/>
      <c r="H17" s="163"/>
      <c r="I17" s="163"/>
      <c r="J17" s="163"/>
      <c r="K17" s="163"/>
      <c r="L17" s="168"/>
      <c r="M17" s="168"/>
    </row>
    <row r="18" spans="1:13" ht="51">
      <c r="A18" s="171" t="s">
        <v>273</v>
      </c>
      <c r="B18" s="190" t="s">
        <v>274</v>
      </c>
      <c r="C18" s="163"/>
      <c r="D18" s="163"/>
      <c r="E18" s="163"/>
      <c r="F18" s="163"/>
      <c r="G18" s="163"/>
      <c r="H18" s="163"/>
      <c r="I18" s="163"/>
      <c r="J18" s="163"/>
      <c r="K18" s="163"/>
      <c r="L18" s="168"/>
      <c r="M18" s="168"/>
    </row>
    <row r="19" spans="1:13" ht="25.5">
      <c r="A19" s="171" t="s">
        <v>258</v>
      </c>
      <c r="B19" s="190" t="s">
        <v>259</v>
      </c>
      <c r="C19" s="163"/>
      <c r="D19" s="163"/>
      <c r="E19" s="163"/>
      <c r="F19" s="163"/>
      <c r="G19" s="163"/>
      <c r="H19" s="163"/>
      <c r="I19" s="163"/>
      <c r="J19" s="163"/>
      <c r="K19" s="163"/>
      <c r="L19" s="168"/>
      <c r="M19" s="168"/>
    </row>
    <row r="20" spans="1:13" ht="15">
      <c r="A20" s="165"/>
      <c r="B20" s="187" t="s">
        <v>317</v>
      </c>
      <c r="C20" s="166"/>
      <c r="D20" s="166"/>
      <c r="E20" s="166"/>
      <c r="F20" s="166"/>
      <c r="G20" s="166"/>
      <c r="H20" s="166"/>
      <c r="I20" s="166"/>
      <c r="J20" s="166"/>
      <c r="K20" s="166"/>
      <c r="L20" s="166"/>
      <c r="M20" s="167"/>
    </row>
    <row r="21" spans="1:13" ht="38.25">
      <c r="A21" s="171" t="s">
        <v>370</v>
      </c>
      <c r="B21" s="190" t="s">
        <v>371</v>
      </c>
      <c r="C21" s="163"/>
      <c r="D21" s="163"/>
      <c r="E21" s="163"/>
      <c r="F21" s="163"/>
      <c r="G21" s="163"/>
      <c r="H21" s="163"/>
      <c r="I21" s="163"/>
      <c r="J21" s="163"/>
      <c r="K21" s="163"/>
      <c r="L21" s="168"/>
      <c r="M21" s="168"/>
    </row>
    <row r="22" spans="1:13" ht="38.25">
      <c r="A22" s="171" t="s">
        <v>372</v>
      </c>
      <c r="B22" s="190" t="s">
        <v>373</v>
      </c>
      <c r="C22" s="163"/>
      <c r="D22" s="163"/>
      <c r="E22" s="163"/>
      <c r="F22" s="163"/>
      <c r="G22" s="163"/>
      <c r="H22" s="163"/>
      <c r="I22" s="163"/>
      <c r="J22" s="163"/>
      <c r="K22" s="163"/>
      <c r="L22" s="168"/>
      <c r="M22" s="168"/>
    </row>
    <row r="23" spans="1:13" ht="51">
      <c r="A23" s="171" t="s">
        <v>374</v>
      </c>
      <c r="B23" s="190" t="s">
        <v>375</v>
      </c>
      <c r="C23" s="163"/>
      <c r="D23" s="163"/>
      <c r="E23" s="163"/>
      <c r="F23" s="163"/>
      <c r="G23" s="163"/>
      <c r="H23" s="163"/>
      <c r="I23" s="163"/>
      <c r="J23" s="163"/>
      <c r="K23" s="163"/>
      <c r="L23" s="168"/>
      <c r="M23" s="168"/>
    </row>
    <row r="24" spans="1:13" ht="15">
      <c r="A24" s="165"/>
      <c r="B24" s="187" t="s">
        <v>230</v>
      </c>
      <c r="C24" s="166"/>
      <c r="D24" s="166"/>
      <c r="E24" s="166"/>
      <c r="F24" s="166"/>
      <c r="G24" s="166"/>
      <c r="H24" s="166"/>
      <c r="I24" s="166"/>
      <c r="J24" s="166"/>
      <c r="K24" s="166"/>
      <c r="L24" s="166"/>
      <c r="M24" s="167"/>
    </row>
    <row r="25" spans="1:13" ht="38.25">
      <c r="A25" s="171" t="s">
        <v>235</v>
      </c>
      <c r="B25" s="190" t="s">
        <v>220</v>
      </c>
      <c r="C25" s="163"/>
      <c r="D25" s="163"/>
      <c r="E25" s="163"/>
      <c r="F25" s="163"/>
      <c r="G25" s="163"/>
      <c r="H25" s="163"/>
      <c r="I25" s="163"/>
      <c r="J25" s="163"/>
      <c r="K25" s="163"/>
      <c r="L25" s="168"/>
      <c r="M25" s="168"/>
    </row>
    <row r="26" spans="1:13" ht="25.5">
      <c r="A26" s="171" t="s">
        <v>236</v>
      </c>
      <c r="B26" s="190" t="s">
        <v>221</v>
      </c>
      <c r="C26" s="163"/>
      <c r="D26" s="163"/>
      <c r="E26" s="163"/>
      <c r="F26" s="163"/>
      <c r="G26" s="163"/>
      <c r="H26" s="163"/>
      <c r="I26" s="163"/>
      <c r="J26" s="163"/>
      <c r="K26" s="163"/>
      <c r="L26" s="168"/>
      <c r="M26" s="168"/>
    </row>
    <row r="27" spans="1:13" ht="38.25">
      <c r="A27" s="171" t="s">
        <v>237</v>
      </c>
      <c r="B27" s="190" t="s">
        <v>222</v>
      </c>
      <c r="C27" s="163"/>
      <c r="D27" s="163"/>
      <c r="E27" s="163"/>
      <c r="F27" s="163"/>
      <c r="G27" s="163"/>
      <c r="H27" s="163"/>
      <c r="I27" s="163"/>
      <c r="J27" s="163"/>
      <c r="K27" s="163"/>
      <c r="L27" s="168"/>
      <c r="M27" s="168"/>
    </row>
    <row r="28" spans="1:13" ht="38.25">
      <c r="A28" s="171" t="s">
        <v>238</v>
      </c>
      <c r="B28" s="190" t="s">
        <v>223</v>
      </c>
      <c r="C28" s="163"/>
      <c r="D28" s="163"/>
      <c r="E28" s="163"/>
      <c r="F28" s="163"/>
      <c r="G28" s="163"/>
      <c r="H28" s="163"/>
      <c r="I28" s="163"/>
      <c r="J28" s="163"/>
      <c r="K28" s="163"/>
      <c r="L28" s="168"/>
      <c r="M28" s="168"/>
    </row>
    <row r="29" spans="1:13" ht="15">
      <c r="A29" s="165"/>
      <c r="B29" s="187" t="s">
        <v>231</v>
      </c>
      <c r="C29" s="166"/>
      <c r="D29" s="166"/>
      <c r="E29" s="166"/>
      <c r="F29" s="166"/>
      <c r="G29" s="166"/>
      <c r="H29" s="166"/>
      <c r="I29" s="166"/>
      <c r="J29" s="166"/>
      <c r="K29" s="166"/>
      <c r="L29" s="166"/>
      <c r="M29" s="167"/>
    </row>
    <row r="30" spans="1:13" ht="38.25">
      <c r="A30" s="171" t="s">
        <v>239</v>
      </c>
      <c r="B30" s="190" t="s">
        <v>224</v>
      </c>
      <c r="C30" s="163"/>
      <c r="D30" s="163"/>
      <c r="E30" s="163"/>
      <c r="F30" s="163"/>
      <c r="G30" s="163"/>
      <c r="H30" s="163"/>
      <c r="I30" s="163"/>
      <c r="J30" s="163"/>
      <c r="K30" s="163"/>
      <c r="L30" s="168"/>
      <c r="M30" s="168"/>
    </row>
    <row r="31" spans="1:13" ht="38.25">
      <c r="A31" s="171" t="s">
        <v>240</v>
      </c>
      <c r="B31" s="190" t="s">
        <v>225</v>
      </c>
      <c r="C31" s="163"/>
      <c r="D31" s="163"/>
      <c r="E31" s="163"/>
      <c r="F31" s="163"/>
      <c r="G31" s="163"/>
      <c r="H31" s="163"/>
      <c r="I31" s="163"/>
      <c r="J31" s="163"/>
      <c r="K31" s="163"/>
      <c r="L31" s="168"/>
      <c r="M31" s="168"/>
    </row>
    <row r="32" spans="1:13" ht="15">
      <c r="A32" s="165"/>
      <c r="B32" s="187" t="s">
        <v>217</v>
      </c>
      <c r="C32" s="166"/>
      <c r="D32" s="166"/>
      <c r="E32" s="166"/>
      <c r="F32" s="166"/>
      <c r="G32" s="166"/>
      <c r="H32" s="166"/>
      <c r="I32" s="166"/>
      <c r="J32" s="166"/>
      <c r="K32" s="166"/>
      <c r="L32" s="166"/>
      <c r="M32" s="167"/>
    </row>
    <row r="33" spans="1:13" ht="51">
      <c r="A33" s="171" t="s">
        <v>218</v>
      </c>
      <c r="B33" s="190" t="s">
        <v>219</v>
      </c>
      <c r="C33" s="163"/>
      <c r="D33" s="163"/>
      <c r="E33" s="163"/>
      <c r="F33" s="163"/>
      <c r="G33" s="163"/>
      <c r="H33" s="163"/>
      <c r="I33" s="163"/>
      <c r="J33" s="163"/>
      <c r="K33" s="163"/>
      <c r="L33" s="168"/>
      <c r="M33" s="168"/>
    </row>
    <row r="34" spans="1:13" ht="18">
      <c r="A34" s="191"/>
      <c r="B34" s="192" t="s">
        <v>241</v>
      </c>
      <c r="C34" s="191"/>
      <c r="D34" s="191"/>
      <c r="E34" s="191"/>
      <c r="F34" s="191"/>
      <c r="G34" s="191"/>
      <c r="H34" s="191"/>
      <c r="I34" s="191"/>
      <c r="J34" s="191"/>
      <c r="K34" s="191"/>
      <c r="L34" s="191"/>
      <c r="M34" s="191"/>
    </row>
  </sheetData>
  <mergeCells count="1">
    <mergeCell ref="L2:M2"/>
  </mergeCells>
  <dataValidations count="1">
    <dataValidation type="list" allowBlank="1" showInputMessage="1" showErrorMessage="1" sqref="C30:J31 C16:J19 C6:J14 C33:J33 C25:J28 C21:J23" xr:uid="{32FBC3BB-C092-4E6D-A7C6-7E053F29A4F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5F9E3-AB38-419F-BB6A-D2C6D357E9BD}">
  <sheetPr codeName="Feuil39">
    <tabColor theme="7"/>
    <pageSetUpPr fitToPage="1"/>
  </sheetPr>
  <dimension ref="A2:O36"/>
  <sheetViews>
    <sheetView zoomScale="130" zoomScaleNormal="130" workbookViewId="0">
      <pane xSplit="1" ySplit="3" topLeftCell="B4" activePane="bottomRight" state="frozen"/>
      <selection pane="topRight" activeCell="B1" sqref="B1"/>
      <selection pane="bottomLeft" activeCell="A4" sqref="A4"/>
      <selection pane="bottomRight" activeCell="E7" sqref="E7"/>
    </sheetView>
  </sheetViews>
  <sheetFormatPr defaultColWidth="9.42578125" defaultRowHeight="12.75"/>
  <cols>
    <col min="1" max="1" width="10.7109375" style="164" bestFit="1" customWidth="1"/>
    <col min="2" max="2" width="61" style="162" customWidth="1"/>
    <col min="3" max="11" width="4.42578125" style="161" bestFit="1" customWidth="1"/>
    <col min="12" max="12" width="30.5703125" style="161" customWidth="1"/>
    <col min="13" max="14" width="27.7109375" style="161" customWidth="1"/>
    <col min="15" max="16384" width="9.42578125" style="161"/>
  </cols>
  <sheetData>
    <row r="2" spans="1:15" ht="69.75">
      <c r="A2" s="177" t="s">
        <v>227</v>
      </c>
      <c r="B2" s="178" t="s">
        <v>275</v>
      </c>
      <c r="C2" s="179" t="s">
        <v>401</v>
      </c>
      <c r="D2" s="179" t="s">
        <v>401</v>
      </c>
      <c r="E2" s="179" t="s">
        <v>401</v>
      </c>
      <c r="F2" s="179" t="s">
        <v>401</v>
      </c>
      <c r="G2" s="179" t="s">
        <v>401</v>
      </c>
      <c r="H2" s="179" t="s">
        <v>401</v>
      </c>
      <c r="I2" s="179" t="s">
        <v>401</v>
      </c>
      <c r="J2" s="179" t="s">
        <v>401</v>
      </c>
      <c r="K2" s="179" t="s">
        <v>401</v>
      </c>
      <c r="L2" s="180" t="s">
        <v>242</v>
      </c>
      <c r="M2" s="319" t="s">
        <v>187</v>
      </c>
      <c r="N2" s="320"/>
    </row>
    <row r="3" spans="1:15" ht="37.5">
      <c r="A3" s="181"/>
      <c r="B3" s="182"/>
      <c r="C3" s="182">
        <f t="shared" ref="C3:K3" si="0">COUNTIF(C5:C36,"Yes")</f>
        <v>0</v>
      </c>
      <c r="D3" s="182">
        <f t="shared" si="0"/>
        <v>0</v>
      </c>
      <c r="E3" s="182">
        <f t="shared" ref="E3" si="1">COUNTIF(E5:E36,"Yes")</f>
        <v>0</v>
      </c>
      <c r="F3" s="182">
        <f t="shared" si="0"/>
        <v>0</v>
      </c>
      <c r="G3" s="182">
        <f t="shared" si="0"/>
        <v>0</v>
      </c>
      <c r="H3" s="182">
        <f t="shared" si="0"/>
        <v>0</v>
      </c>
      <c r="I3" s="182">
        <f t="shared" si="0"/>
        <v>0</v>
      </c>
      <c r="J3" s="182">
        <f t="shared" si="0"/>
        <v>0</v>
      </c>
      <c r="K3" s="182">
        <f t="shared" si="0"/>
        <v>0</v>
      </c>
      <c r="L3" s="169"/>
      <c r="M3" s="193" t="s">
        <v>233</v>
      </c>
      <c r="N3" s="193" t="s">
        <v>234</v>
      </c>
      <c r="O3" s="170"/>
    </row>
    <row r="4" spans="1:15" ht="36">
      <c r="A4" s="183"/>
      <c r="B4" s="184" t="s">
        <v>246</v>
      </c>
      <c r="C4" s="185"/>
      <c r="D4" s="185"/>
      <c r="E4" s="185"/>
      <c r="F4" s="185"/>
      <c r="G4" s="185"/>
      <c r="H4" s="185"/>
      <c r="I4" s="185"/>
      <c r="J4" s="185"/>
      <c r="K4" s="185"/>
      <c r="L4" s="185"/>
      <c r="M4" s="185"/>
      <c r="N4" s="186"/>
      <c r="O4" s="99"/>
    </row>
    <row r="5" spans="1:15" ht="15">
      <c r="A5" s="165"/>
      <c r="B5" s="187" t="s">
        <v>247</v>
      </c>
      <c r="C5" s="166"/>
      <c r="D5" s="166"/>
      <c r="E5" s="166"/>
      <c r="F5" s="166"/>
      <c r="G5" s="166"/>
      <c r="H5" s="166"/>
      <c r="I5" s="166"/>
      <c r="J5" s="166"/>
      <c r="K5" s="166"/>
      <c r="L5" s="166"/>
      <c r="M5" s="166"/>
      <c r="N5" s="167"/>
    </row>
    <row r="6" spans="1:15" ht="25.5">
      <c r="A6" s="171" t="s">
        <v>268</v>
      </c>
      <c r="B6" s="190" t="s">
        <v>249</v>
      </c>
      <c r="C6" s="163"/>
      <c r="D6" s="163"/>
      <c r="E6" s="163"/>
      <c r="F6" s="163"/>
      <c r="G6" s="163"/>
      <c r="H6" s="163"/>
      <c r="I6" s="163"/>
      <c r="J6" s="163"/>
      <c r="K6" s="163"/>
      <c r="L6" s="163"/>
      <c r="M6" s="168"/>
      <c r="N6" s="168"/>
    </row>
    <row r="7" spans="1:15" ht="38.25">
      <c r="A7" s="171" t="s">
        <v>269</v>
      </c>
      <c r="B7" s="190" t="s">
        <v>290</v>
      </c>
      <c r="C7" s="163"/>
      <c r="D7" s="163"/>
      <c r="E7" s="163"/>
      <c r="F7" s="163"/>
      <c r="G7" s="163"/>
      <c r="H7" s="163"/>
      <c r="I7" s="163"/>
      <c r="J7" s="163"/>
      <c r="K7" s="163"/>
      <c r="L7" s="163"/>
      <c r="M7" s="172" t="s">
        <v>291</v>
      </c>
      <c r="N7" s="168"/>
    </row>
    <row r="8" spans="1:15" ht="25.5">
      <c r="A8" s="171" t="s">
        <v>270</v>
      </c>
      <c r="B8" s="190" t="s">
        <v>250</v>
      </c>
      <c r="C8" s="163"/>
      <c r="D8" s="163"/>
      <c r="E8" s="163"/>
      <c r="F8" s="163"/>
      <c r="G8" s="163"/>
      <c r="H8" s="163"/>
      <c r="I8" s="163"/>
      <c r="J8" s="163"/>
      <c r="K8" s="163"/>
      <c r="L8" s="163"/>
      <c r="M8" s="168"/>
      <c r="N8" s="168"/>
    </row>
    <row r="9" spans="1:15" ht="25.5">
      <c r="A9" s="171" t="s">
        <v>271</v>
      </c>
      <c r="B9" s="190" t="s">
        <v>296</v>
      </c>
      <c r="C9" s="163"/>
      <c r="D9" s="163"/>
      <c r="E9" s="163"/>
      <c r="F9" s="163"/>
      <c r="G9" s="163"/>
      <c r="H9" s="163"/>
      <c r="I9" s="163"/>
      <c r="J9" s="163"/>
      <c r="K9" s="163"/>
      <c r="L9" s="163"/>
      <c r="M9" s="168"/>
      <c r="N9" s="168"/>
    </row>
    <row r="10" spans="1:15" ht="38.25">
      <c r="A10" s="171" t="s">
        <v>297</v>
      </c>
      <c r="B10" s="190" t="s">
        <v>298</v>
      </c>
      <c r="C10" s="163"/>
      <c r="D10" s="163"/>
      <c r="E10" s="163"/>
      <c r="F10" s="163"/>
      <c r="G10" s="163"/>
      <c r="H10" s="163"/>
      <c r="I10" s="163"/>
      <c r="J10" s="163"/>
      <c r="K10" s="163"/>
      <c r="L10" s="163"/>
      <c r="M10" s="168"/>
      <c r="N10" s="168"/>
    </row>
    <row r="11" spans="1:15" ht="15">
      <c r="A11" s="165"/>
      <c r="B11" s="187" t="s">
        <v>248</v>
      </c>
      <c r="C11" s="166"/>
      <c r="D11" s="166"/>
      <c r="E11" s="166"/>
      <c r="F11" s="166"/>
      <c r="G11" s="166"/>
      <c r="H11" s="166"/>
      <c r="I11" s="166"/>
      <c r="J11" s="166"/>
      <c r="K11" s="166"/>
      <c r="L11" s="166"/>
      <c r="M11" s="166"/>
      <c r="N11" s="167"/>
    </row>
    <row r="12" spans="1:15" ht="63.75">
      <c r="A12" s="171" t="s">
        <v>272</v>
      </c>
      <c r="B12" s="190" t="s">
        <v>251</v>
      </c>
      <c r="C12" s="163"/>
      <c r="D12" s="163"/>
      <c r="E12" s="163"/>
      <c r="F12" s="163"/>
      <c r="G12" s="163"/>
      <c r="H12" s="163"/>
      <c r="I12" s="163"/>
      <c r="J12" s="163"/>
      <c r="K12" s="163"/>
      <c r="L12" s="163"/>
      <c r="M12" s="168"/>
      <c r="N12" s="168"/>
    </row>
    <row r="13" spans="1:15" ht="63.75">
      <c r="A13" s="171" t="s">
        <v>257</v>
      </c>
      <c r="B13" s="190" t="s">
        <v>252</v>
      </c>
      <c r="C13" s="163"/>
      <c r="D13" s="163"/>
      <c r="E13" s="163"/>
      <c r="F13" s="163"/>
      <c r="G13" s="163"/>
      <c r="H13" s="163"/>
      <c r="I13" s="163"/>
      <c r="J13" s="163"/>
      <c r="K13" s="163"/>
      <c r="L13" s="163"/>
      <c r="M13" s="168"/>
      <c r="N13" s="168"/>
    </row>
    <row r="14" spans="1:15" ht="51">
      <c r="A14" s="171" t="s">
        <v>273</v>
      </c>
      <c r="B14" s="190" t="s">
        <v>274</v>
      </c>
      <c r="C14" s="163"/>
      <c r="D14" s="163"/>
      <c r="E14" s="163"/>
      <c r="F14" s="163"/>
      <c r="G14" s="163"/>
      <c r="H14" s="163"/>
      <c r="I14" s="163"/>
      <c r="J14" s="163"/>
      <c r="K14" s="163"/>
      <c r="L14" s="163"/>
      <c r="M14" s="168"/>
      <c r="N14" s="168"/>
    </row>
    <row r="15" spans="1:15" ht="25.5">
      <c r="A15" s="171" t="s">
        <v>258</v>
      </c>
      <c r="B15" s="190" t="s">
        <v>259</v>
      </c>
      <c r="C15" s="163"/>
      <c r="D15" s="163"/>
      <c r="E15" s="163"/>
      <c r="F15" s="163"/>
      <c r="G15" s="163"/>
      <c r="H15" s="163"/>
      <c r="I15" s="163"/>
      <c r="J15" s="163"/>
      <c r="K15" s="163"/>
      <c r="L15" s="163"/>
      <c r="M15" s="168"/>
      <c r="N15" s="168"/>
    </row>
    <row r="16" spans="1:15" ht="15">
      <c r="A16" s="165"/>
      <c r="B16" s="187" t="s">
        <v>276</v>
      </c>
      <c r="C16" s="166"/>
      <c r="D16" s="166"/>
      <c r="E16" s="166"/>
      <c r="F16" s="166"/>
      <c r="G16" s="166"/>
      <c r="H16" s="166"/>
      <c r="I16" s="166"/>
      <c r="J16" s="166"/>
      <c r="K16" s="166"/>
      <c r="L16" s="166"/>
      <c r="M16" s="166"/>
      <c r="N16" s="167"/>
    </row>
    <row r="17" spans="1:14" ht="38.25">
      <c r="A17" s="171" t="s">
        <v>376</v>
      </c>
      <c r="B17" s="190" t="s">
        <v>377</v>
      </c>
      <c r="C17" s="163"/>
      <c r="D17" s="163"/>
      <c r="E17" s="163"/>
      <c r="F17" s="163"/>
      <c r="G17" s="163"/>
      <c r="H17" s="163"/>
      <c r="I17" s="163"/>
      <c r="J17" s="163"/>
      <c r="K17" s="163"/>
      <c r="L17" s="163"/>
      <c r="M17" s="168"/>
      <c r="N17" s="168"/>
    </row>
    <row r="18" spans="1:14" ht="76.5">
      <c r="A18" s="171" t="s">
        <v>378</v>
      </c>
      <c r="B18" s="190" t="s">
        <v>379</v>
      </c>
      <c r="C18" s="163"/>
      <c r="D18" s="163"/>
      <c r="E18" s="163"/>
      <c r="F18" s="163"/>
      <c r="G18" s="163"/>
      <c r="H18" s="163"/>
      <c r="I18" s="163"/>
      <c r="J18" s="163"/>
      <c r="K18" s="163"/>
      <c r="L18" s="163"/>
      <c r="M18" s="168"/>
      <c r="N18" s="168"/>
    </row>
    <row r="19" spans="1:14" ht="15">
      <c r="A19" s="165"/>
      <c r="B19" s="187" t="s">
        <v>317</v>
      </c>
      <c r="C19" s="166"/>
      <c r="D19" s="166"/>
      <c r="E19" s="166"/>
      <c r="F19" s="166"/>
      <c r="G19" s="166"/>
      <c r="H19" s="166"/>
      <c r="I19" s="166"/>
      <c r="J19" s="166"/>
      <c r="K19" s="166"/>
      <c r="L19" s="166"/>
      <c r="M19" s="166"/>
      <c r="N19" s="167"/>
    </row>
    <row r="20" spans="1:14" ht="51">
      <c r="A20" s="171" t="s">
        <v>380</v>
      </c>
      <c r="B20" s="190" t="s">
        <v>375</v>
      </c>
      <c r="C20" s="163"/>
      <c r="D20" s="163"/>
      <c r="E20" s="163"/>
      <c r="F20" s="163"/>
      <c r="G20" s="163"/>
      <c r="H20" s="163"/>
      <c r="I20" s="163"/>
      <c r="J20" s="163"/>
      <c r="K20" s="163"/>
      <c r="L20" s="163"/>
      <c r="M20" s="168"/>
      <c r="N20" s="168"/>
    </row>
    <row r="21" spans="1:14" ht="51">
      <c r="A21" s="171" t="s">
        <v>381</v>
      </c>
      <c r="B21" s="190" t="s">
        <v>382</v>
      </c>
      <c r="C21" s="163"/>
      <c r="D21" s="163"/>
      <c r="E21" s="163"/>
      <c r="F21" s="163"/>
      <c r="G21" s="163"/>
      <c r="H21" s="163"/>
      <c r="I21" s="163"/>
      <c r="J21" s="163"/>
      <c r="K21" s="163"/>
      <c r="L21" s="163"/>
      <c r="M21" s="168"/>
      <c r="N21" s="168"/>
    </row>
    <row r="22" spans="1:14" ht="51">
      <c r="A22" s="171" t="s">
        <v>383</v>
      </c>
      <c r="B22" s="190" t="s">
        <v>384</v>
      </c>
      <c r="C22" s="163"/>
      <c r="D22" s="163"/>
      <c r="E22" s="163"/>
      <c r="F22" s="163"/>
      <c r="G22" s="163"/>
      <c r="H22" s="163"/>
      <c r="I22" s="163"/>
      <c r="J22" s="163"/>
      <c r="K22" s="163"/>
      <c r="L22" s="163"/>
      <c r="M22" s="168"/>
      <c r="N22" s="168"/>
    </row>
    <row r="23" spans="1:14" ht="25.5">
      <c r="A23" s="171" t="s">
        <v>385</v>
      </c>
      <c r="B23" s="190" t="s">
        <v>386</v>
      </c>
      <c r="C23" s="163"/>
      <c r="D23" s="163"/>
      <c r="E23" s="163"/>
      <c r="F23" s="163"/>
      <c r="G23" s="163"/>
      <c r="H23" s="163"/>
      <c r="I23" s="163"/>
      <c r="J23" s="163"/>
      <c r="K23" s="163"/>
      <c r="L23" s="163"/>
      <c r="M23" s="168"/>
      <c r="N23" s="168"/>
    </row>
    <row r="24" spans="1:14" ht="51">
      <c r="A24" s="171" t="s">
        <v>387</v>
      </c>
      <c r="B24" s="190" t="s">
        <v>388</v>
      </c>
      <c r="C24" s="163"/>
      <c r="D24" s="163"/>
      <c r="E24" s="163"/>
      <c r="F24" s="163"/>
      <c r="G24" s="163"/>
      <c r="H24" s="163"/>
      <c r="I24" s="163"/>
      <c r="J24" s="163"/>
      <c r="K24" s="163"/>
      <c r="L24" s="163"/>
      <c r="M24" s="168"/>
      <c r="N24" s="168"/>
    </row>
    <row r="25" spans="1:14" ht="25.5">
      <c r="A25" s="171" t="s">
        <v>389</v>
      </c>
      <c r="B25" s="190" t="s">
        <v>390</v>
      </c>
      <c r="C25" s="163"/>
      <c r="D25" s="163"/>
      <c r="E25" s="163"/>
      <c r="F25" s="163"/>
      <c r="G25" s="163"/>
      <c r="H25" s="163"/>
      <c r="I25" s="163"/>
      <c r="J25" s="163"/>
      <c r="K25" s="163"/>
      <c r="L25" s="163"/>
      <c r="M25" s="168"/>
      <c r="N25" s="168"/>
    </row>
    <row r="26" spans="1:14" ht="15">
      <c r="A26" s="165"/>
      <c r="B26" s="187" t="s">
        <v>230</v>
      </c>
      <c r="C26" s="166"/>
      <c r="D26" s="166"/>
      <c r="E26" s="166"/>
      <c r="F26" s="166"/>
      <c r="G26" s="166"/>
      <c r="H26" s="166"/>
      <c r="I26" s="166"/>
      <c r="J26" s="166"/>
      <c r="K26" s="166"/>
      <c r="L26" s="166"/>
      <c r="M26" s="166"/>
      <c r="N26" s="167"/>
    </row>
    <row r="27" spans="1:14" ht="38.25">
      <c r="A27" s="171" t="s">
        <v>235</v>
      </c>
      <c r="B27" s="190" t="s">
        <v>220</v>
      </c>
      <c r="C27" s="163"/>
      <c r="D27" s="163"/>
      <c r="E27" s="163"/>
      <c r="F27" s="163"/>
      <c r="G27" s="163"/>
      <c r="H27" s="163"/>
      <c r="I27" s="163"/>
      <c r="J27" s="163"/>
      <c r="K27" s="163"/>
      <c r="L27" s="163"/>
      <c r="M27" s="168"/>
      <c r="N27" s="168"/>
    </row>
    <row r="28" spans="1:14" ht="25.5">
      <c r="A28" s="171" t="s">
        <v>236</v>
      </c>
      <c r="B28" s="190" t="s">
        <v>221</v>
      </c>
      <c r="C28" s="163"/>
      <c r="D28" s="163"/>
      <c r="E28" s="163"/>
      <c r="F28" s="163"/>
      <c r="G28" s="163"/>
      <c r="H28" s="163"/>
      <c r="I28" s="163"/>
      <c r="J28" s="163"/>
      <c r="K28" s="163"/>
      <c r="L28" s="163"/>
      <c r="M28" s="168"/>
      <c r="N28" s="168"/>
    </row>
    <row r="29" spans="1:14" ht="38.25">
      <c r="A29" s="171" t="s">
        <v>237</v>
      </c>
      <c r="B29" s="190" t="s">
        <v>222</v>
      </c>
      <c r="C29" s="163"/>
      <c r="D29" s="163"/>
      <c r="E29" s="163"/>
      <c r="F29" s="163"/>
      <c r="G29" s="163"/>
      <c r="H29" s="163"/>
      <c r="I29" s="163"/>
      <c r="J29" s="163"/>
      <c r="K29" s="163"/>
      <c r="L29" s="163"/>
      <c r="M29" s="168"/>
      <c r="N29" s="168"/>
    </row>
    <row r="30" spans="1:14" ht="38.25">
      <c r="A30" s="171" t="s">
        <v>238</v>
      </c>
      <c r="B30" s="190" t="s">
        <v>223</v>
      </c>
      <c r="C30" s="163"/>
      <c r="D30" s="163"/>
      <c r="E30" s="163"/>
      <c r="F30" s="163"/>
      <c r="G30" s="163"/>
      <c r="H30" s="163"/>
      <c r="I30" s="163"/>
      <c r="J30" s="163"/>
      <c r="K30" s="163"/>
      <c r="L30" s="163"/>
      <c r="M30" s="168"/>
      <c r="N30" s="168"/>
    </row>
    <row r="31" spans="1:14" ht="15">
      <c r="A31" s="165"/>
      <c r="B31" s="187" t="s">
        <v>231</v>
      </c>
      <c r="C31" s="166"/>
      <c r="D31" s="166"/>
      <c r="E31" s="166"/>
      <c r="F31" s="166"/>
      <c r="G31" s="166"/>
      <c r="H31" s="166"/>
      <c r="I31" s="166"/>
      <c r="J31" s="166"/>
      <c r="K31" s="166"/>
      <c r="L31" s="166"/>
      <c r="M31" s="166"/>
      <c r="N31" s="167"/>
    </row>
    <row r="32" spans="1:14" ht="38.25">
      <c r="A32" s="171" t="s">
        <v>239</v>
      </c>
      <c r="B32" s="190" t="s">
        <v>224</v>
      </c>
      <c r="C32" s="163"/>
      <c r="D32" s="163"/>
      <c r="E32" s="163"/>
      <c r="F32" s="163"/>
      <c r="G32" s="163"/>
      <c r="H32" s="163"/>
      <c r="I32" s="163"/>
      <c r="J32" s="163"/>
      <c r="K32" s="163"/>
      <c r="L32" s="163"/>
      <c r="M32" s="168"/>
      <c r="N32" s="168"/>
    </row>
    <row r="33" spans="1:14" ht="38.25">
      <c r="A33" s="171" t="s">
        <v>240</v>
      </c>
      <c r="B33" s="190" t="s">
        <v>225</v>
      </c>
      <c r="C33" s="163"/>
      <c r="D33" s="163"/>
      <c r="E33" s="163"/>
      <c r="F33" s="163"/>
      <c r="G33" s="163"/>
      <c r="H33" s="163"/>
      <c r="I33" s="163"/>
      <c r="J33" s="163"/>
      <c r="K33" s="163"/>
      <c r="L33" s="163"/>
      <c r="M33" s="168"/>
      <c r="N33" s="168"/>
    </row>
    <row r="34" spans="1:14" ht="15">
      <c r="A34" s="165"/>
      <c r="B34" s="187" t="s">
        <v>217</v>
      </c>
      <c r="C34" s="166"/>
      <c r="D34" s="166"/>
      <c r="E34" s="166"/>
      <c r="F34" s="166"/>
      <c r="G34" s="166"/>
      <c r="H34" s="166"/>
      <c r="I34" s="166"/>
      <c r="J34" s="166"/>
      <c r="K34" s="166"/>
      <c r="L34" s="166"/>
      <c r="M34" s="166"/>
      <c r="N34" s="167"/>
    </row>
    <row r="35" spans="1:14" ht="51">
      <c r="A35" s="171" t="s">
        <v>218</v>
      </c>
      <c r="B35" s="190" t="s">
        <v>219</v>
      </c>
      <c r="C35" s="163"/>
      <c r="D35" s="163"/>
      <c r="E35" s="163"/>
      <c r="F35" s="163"/>
      <c r="G35" s="163"/>
      <c r="H35" s="163"/>
      <c r="I35" s="163"/>
      <c r="J35" s="163"/>
      <c r="K35" s="163"/>
      <c r="L35" s="163"/>
      <c r="M35" s="168"/>
      <c r="N35" s="168"/>
    </row>
    <row r="36" spans="1:14" ht="18">
      <c r="A36" s="191"/>
      <c r="B36" s="192" t="s">
        <v>241</v>
      </c>
      <c r="C36" s="191"/>
      <c r="D36" s="191"/>
      <c r="E36" s="191"/>
      <c r="F36" s="191"/>
      <c r="G36" s="191"/>
      <c r="H36" s="191"/>
      <c r="I36" s="191"/>
      <c r="J36" s="191"/>
      <c r="K36" s="191"/>
      <c r="L36" s="191"/>
      <c r="M36" s="191"/>
      <c r="N36" s="191"/>
    </row>
  </sheetData>
  <mergeCells count="1">
    <mergeCell ref="M2:N2"/>
  </mergeCells>
  <dataValidations count="1">
    <dataValidation type="list" allowBlank="1" showInputMessage="1" showErrorMessage="1" sqref="C27:K30 C12:K15 C6:K10 C35:K35 C32:K33 C20:K25 C17:K18" xr:uid="{E3A7675E-4368-42FB-886A-6137BED53CC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77</vt:i4>
      </vt:variant>
    </vt:vector>
  </HeadingPairs>
  <TitlesOfParts>
    <vt:vector size="87" baseType="lpstr">
      <vt:lpstr>FrontPage</vt:lpstr>
      <vt:lpstr>General info</vt:lpstr>
      <vt:lpstr>Help</vt:lpstr>
      <vt:lpstr>Synthesis Charts</vt:lpstr>
      <vt:lpstr>Overview</vt:lpstr>
      <vt:lpstr>Review</vt:lpstr>
      <vt:lpstr>SDD checklist</vt:lpstr>
      <vt:lpstr>CODE checklist</vt:lpstr>
      <vt:lpstr>ITSR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checklist'!TitleRow</vt:lpstr>
      <vt:lpstr>'ITSR checklist'!TitleRow</vt:lpstr>
      <vt:lpstr>'SDD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Alexandru Paval</cp:lastModifiedBy>
  <dcterms:created xsi:type="dcterms:W3CDTF">1996-10-21T11:03:58Z</dcterms:created>
  <dcterms:modified xsi:type="dcterms:W3CDTF">2022-06-15T06:42:18Z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