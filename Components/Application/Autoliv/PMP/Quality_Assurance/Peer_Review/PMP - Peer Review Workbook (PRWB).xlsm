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E757BCB4-07E6-AE0B-56E0-F0EEF7A6E26C}"/>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DAI_MMA\Phase_02\View_Development\Components\Application\Autoliv\PMP\Quality_Assurance\Peer_Review\"/>
    </mc:Choice>
  </mc:AlternateContent>
  <xr:revisionPtr revIDLastSave="0" documentId="13_ncr:1_{1145A694-0E36-4C7B-A8DD-7E45BB4EAD94}" xr6:coauthVersionLast="47" xr6:coauthVersionMax="47" xr10:uidLastSave="{00000000-0000-0000-0000-000000000000}"/>
  <bookViews>
    <workbookView xWindow="-120" yWindow="-120" windowWidth="29040" windowHeight="15990" tabRatio="750" firstSheet="1"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externalReferences>
    <externalReference r:id="rId11"/>
    <externalReference r:id="rId12"/>
    <externalReference r:id="rId13"/>
  </externalReferences>
  <definedNames>
    <definedName name="_xlnm._FilterDatabase" localSheetId="5" hidden="1">Review!$A$4:$M$202</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checklist'!$AA$3</definedName>
    <definedName name="Title.Checklist.Guide.HowToRate" localSheetId="8">'ITSR checklist'!$P$3</definedName>
    <definedName name="Title.Checklist.Guide.HowToRate" localSheetId="6">'SDD checklist'!$Q$3</definedName>
    <definedName name="Title.Checklist.Guide.HowToRate" localSheetId="9">'UTSR checklist'!$R$3</definedName>
    <definedName name="Title.Checklist.Guide.WhatToCheck" localSheetId="7">'CODE checklist'!$Z$3</definedName>
    <definedName name="Title.Checklist.Guide.WhatToCheck" localSheetId="8">'ITSR checklist'!$O$3</definedName>
    <definedName name="Title.Checklist.Guide.WhatToCheck" localSheetId="6">'SDD checklist'!$P$3</definedName>
    <definedName name="Title.Checklist.Guide.WhatToCheck" localSheetId="9">'UTSR checklist'!$Q$3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checklist'!$Z$2</definedName>
    <definedName name="Title.Checklist.NoteForAuditor" localSheetId="8">'ITSR checklist'!$O$2</definedName>
    <definedName name="Title.Checklist.NoteForAuditor" localSheetId="6">'SDD checklist'!$P$2</definedName>
    <definedName name="Title.Checklist.NoteForAuditor" localSheetId="9">'UTSR checklist'!$Q$2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 i="201" l="1"/>
  <c r="X3" i="199"/>
  <c r="W3" i="199"/>
  <c r="L3" i="201"/>
  <c r="K3" i="201"/>
  <c r="J3" i="201"/>
  <c r="U3" i="199"/>
  <c r="H27" i="16"/>
  <c r="G27" i="16"/>
  <c r="F27" i="16"/>
  <c r="E27" i="16"/>
  <c r="E44" i="16"/>
  <c r="E37" i="16"/>
  <c r="I3" i="201"/>
  <c r="H3" i="201"/>
  <c r="M3" i="200"/>
  <c r="S3" i="199"/>
  <c r="F3" i="201"/>
  <c r="Q3" i="199"/>
  <c r="A7" i="38"/>
  <c r="AE7" i="38"/>
  <c r="AB7" i="38"/>
  <c r="AB5" i="38"/>
  <c r="W7" i="38"/>
  <c r="E7" i="38"/>
  <c r="W5" i="38"/>
  <c r="P3" i="199" l="1"/>
  <c r="L3" i="200"/>
  <c r="K3" i="200"/>
  <c r="J3" i="200"/>
  <c r="I3" i="200"/>
  <c r="R3" i="199"/>
  <c r="O3" i="199"/>
  <c r="H3" i="200"/>
  <c r="G3" i="201" l="1"/>
  <c r="I3" i="198"/>
  <c r="H3" i="198"/>
  <c r="E3" i="201" l="1"/>
  <c r="G3" i="198"/>
  <c r="F3" i="198"/>
  <c r="N3" i="199" l="1"/>
  <c r="M3" i="199"/>
  <c r="L3" i="199"/>
  <c r="K3" i="199"/>
  <c r="J3" i="199"/>
  <c r="J3" i="198"/>
  <c r="E3" i="198"/>
  <c r="F3" i="200"/>
  <c r="E3" i="200"/>
  <c r="D3" i="201"/>
  <c r="I3" i="199"/>
  <c r="H3" i="199"/>
  <c r="G3" i="199"/>
  <c r="F3" i="199"/>
  <c r="O3" i="201"/>
  <c r="N3" i="201"/>
  <c r="G3" i="200"/>
  <c r="D3" i="200"/>
  <c r="T3" i="199"/>
  <c r="E3" i="199"/>
  <c r="D3" i="199"/>
  <c r="N3" i="198"/>
  <c r="M3" i="198"/>
  <c r="L3" i="198"/>
  <c r="K3" i="198"/>
  <c r="D3" i="198"/>
  <c r="X27" i="16"/>
  <c r="W27" i="16"/>
  <c r="V27" i="16"/>
  <c r="U27" i="16"/>
  <c r="T27" i="16"/>
  <c r="S27" i="16"/>
  <c r="R27" i="16"/>
  <c r="Q27" i="16"/>
  <c r="P27" i="16"/>
  <c r="O27" i="16"/>
  <c r="N27" i="16"/>
  <c r="M27" i="16"/>
  <c r="L27" i="16"/>
  <c r="K27" i="16"/>
  <c r="J27" i="16"/>
  <c r="I27" i="16"/>
  <c r="C3" i="201" l="1"/>
  <c r="C3" i="200"/>
  <c r="C3" i="199"/>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<sst xmlns="http://schemas.openxmlformats.org/spreadsheetml/2006/main" count="3162" uniqueCount="680">
  <si>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</si>
  <si>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</si>
  <si>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</si>
  <si>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</si>
  <si>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</si>
  <si>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</si>
  <si>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</si>
  <si>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</si>
  <si>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</si>
  <si>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</si>
  <si>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</si>
  <si>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</si>
  <si>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</si>
  <si>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</si>
  <si>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</si>
  <si>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</si>
  <si>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</si>
  <si>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</si>
  <si>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</si>
  <si>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</si>
  <si>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</si>
  <si>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</si>
  <si>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</si>
  <si>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</si>
  <si>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</si>
  <si>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</si>
  <si>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</si>
  <si>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</si>
  <si>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</si>
  <si>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</si>
  <si>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</si>
  <si>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</si>
  <si>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</si>
  <si>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</si>
  <si>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</si>
  <si>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</si>
  <si>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</si>
  <si>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</si>
  <si>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</si>
  <si>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</si>
  <si>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</si>
  <si>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</si>
  <si>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</si>
  <si>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</si>
  <si>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</si>
  <si>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</si>
  <si>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</si>
  <si>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</si>
  <si>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</si>
  <si>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</si>
  <si>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</si>
  <si>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</si>
  <si>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</si>
  <si>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</si>
  <si>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</si>
  <si>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</si>
  <si>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</si>
  <si>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</si>
  <si>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</si>
  <si>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</si>
  <si>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</si>
  <si>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</si>
  <si>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</si>
  <si>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</si>
  <si>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</si>
  <si>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</si>
  <si>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</si>
  <si>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</si>
  <si>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</si>
  <si>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</si>
  <si>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</si>
  <si>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</si>
  <si>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</si>
  <si>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</si>
  <si>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</si>
  <si>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</si>
  <si>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</si>
  <si>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</si>
  <si>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</si>
  <si>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</si>
  <si>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</si>
  <si>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</si>
  <si>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</si>
  <si>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</si>
  <si>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</si>
  <si>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</si>
  <si>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</si>
  <si>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</si>
  <si>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</si>
  <si>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</si>
  <si>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</si>
  <si>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</si>
  <si>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</si>
  <si>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</si>
  <si>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</si>
  <si>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</si>
  <si>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</si>
  <si>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</si>
  <si>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</si>
  <si>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</si>
  <si>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</si>
  <si>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</si>
  <si>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</si>
  <si>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</si>
  <si>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</si>
  <si>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</si>
  <si>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</si>
  <si>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</si>
  <si>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</si>
  <si>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</si>
  <si>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</si>
  <si>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</si>
  <si>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</si>
  <si>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</si>
  <si>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</si>
  <si>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</si>
  <si>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</si>
  <si>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</si>
  <si>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</si>
  <si>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</si>
  <si>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</si>
  <si>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</si>
  <si>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</si>
  <si>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</si>
  <si>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</si>
  <si>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</si>
  <si>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</si>
  <si>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</si>
  <si>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</si>
  <si>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</si>
  <si>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</si>
  <si>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</si>
  <si>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</si>
  <si>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</si>
  <si>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</si>
  <si>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</si>
  <si>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</si>
  <si>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</si>
  <si>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</si>
  <si>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</si>
  <si>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</si>
  <si>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</si>
  <si>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</si>
  <si>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</si>
  <si>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</si>
  <si>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</si>
  <si>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</si>
  <si>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</si>
  <si>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</si>
  <si>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</si>
  <si>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</si>
  <si>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</si>
  <si>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</si>
  <si>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</si>
  <si>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</si>
  <si>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</si>
  <si>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</si>
  <si>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</si>
  <si>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</si>
  <si>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</si>
  <si>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</si>
  <si>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</si>
  <si>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</si>
  <si>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</si>
  <si>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</si>
  <si>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</si>
  <si>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</si>
  <si>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</si>
  <si>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</si>
  <si>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</si>
  <si>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</si>
  <si>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</si>
  <si>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</si>
  <si>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</si>
  <si>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</si>
  <si>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</si>
  <si>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</si>
  <si>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</si>
  <si>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</si>
  <si>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</si>
  <si>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</si>
  <si>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</si>
  <si>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</si>
  <si>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</si>
  <si>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</si>
  <si>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</si>
  <si>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</si>
  <si>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</si>
  <si>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</si>
  <si>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</si>
  <si>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</si>
  <si>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</si>
  <si>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</si>
  <si>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</si>
  <si>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</si>
  <si>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</si>
  <si>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</si>
  <si>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</si>
  <si>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</si>
  <si>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</si>
  <si>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</si>
  <si>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</si>
  <si>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</si>
  <si>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</si>
  <si>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</si>
  <si>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</si>
  <si>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</si>
  <si>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</si>
  <si>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</si>
  <si>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</si>
  <si>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</si>
  <si>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</si>
  <si>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</si>
  <si>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</si>
  <si>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</si>
  <si>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</si>
  <si>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</si>
  <si>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</si>
  <si>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</si>
  <si>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</si>
  <si>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</si>
  <si>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</si>
  <si>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</si>
  <si>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</si>
  <si>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</si>
  <si>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</si>
  <si>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</si>
  <si>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</si>
  <si>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</si>
  <si>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</si>
  <si>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</si>
  <si>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</si>
  <si>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</si>
  <si>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</si>
  <si>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</si>
  <si>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</si>
  <si>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</si>
  <si>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</si>
  <si>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</si>
  <si>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</si>
  <si>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</si>
  <si>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</si>
  <si>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</si>
  <si>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</si>
  <si>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</si>
  <si>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</si>
  <si>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</si>
  <si>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</si>
  <si>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</si>
  <si>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</si>
  <si>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</si>
  <si>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</si>
  <si>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</si>
  <si>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</si>
  <si>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</si>
  <si>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</si>
  <si>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</si>
  <si>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</si>
  <si>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</si>
  <si>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</si>
  <si>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</si>
  <si>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</si>
  <si>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</si>
  <si>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</si>
  <si>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</si>
  <si>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</si>
  <si>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</si>
  <si>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</si>
  <si>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</si>
  <si>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</si>
  <si>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</si>
  <si>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</si>
  <si>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</si>
  <si>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</si>
  <si>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</si>
  <si>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</si>
  <si>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</si>
  <si>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</si>
  <si>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</si>
  <si>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</si>
  <si>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</si>
  <si>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</si>
  <si>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</si>
  <si>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</si>
  <si>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</si>
  <si>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</si>
  <si>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</si>
  <si>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</si>
  <si>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</si>
  <si>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</si>
  <si>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</si>
  <si>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</si>
  <si>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</si>
  <si>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</si>
  <si>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</si>
  <si>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</si>
  <si>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</si>
  <si>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</si>
  <si>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</si>
  <si>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</si>
  <si>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</si>
  <si>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</si>
  <si>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</si>
  <si>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</si>
  <si>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</si>
  <si>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</si>
  <si>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</si>
  <si>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</si>
  <si>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</si>
  <si>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</si>
  <si>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</si>
  <si>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</si>
  <si>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</si>
  <si>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</si>
  <si>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</si>
  <si>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</si>
  <si>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</si>
  <si>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</si>
  <si>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</si>
  <si>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</si>
  <si>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</si>
  <si>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</si>
  <si>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</si>
  <si>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</si>
  <si>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</si>
  <si>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</si>
  <si>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</si>
  <si>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</si>
  <si>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</si>
  <si>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</si>
  <si>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</si>
  <si>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</si>
  <si>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</si>
  <si>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</si>
  <si>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</si>
  <si>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</si>
  <si>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</si>
  <si>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</si>
  <si>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</si>
  <si>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</si>
  <si>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</si>
  <si>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</si>
  <si>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</si>
  <si>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</si>
  <si>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</si>
  <si>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</si>
  <si>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</si>
  <si>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</si>
  <si>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</si>
  <si>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</si>
  <si>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</si>
  <si>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</si>
  <si>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</si>
  <si>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</si>
  <si>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</si>
  <si>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</si>
  <si>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</si>
  <si>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</si>
  <si>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</si>
  <si>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</si>
  <si>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</si>
  <si>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</si>
  <si>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</si>
  <si>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</si>
  <si>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</si>
  <si>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</si>
  <si>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</si>
  <si>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</si>
  <si>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</si>
  <si>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</si>
  <si>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</si>
  <si>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</si>
  <si>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</si>
  <si>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</si>
  <si>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</si>
  <si>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</si>
  <si>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</si>
  <si>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</si>
  <si>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</si>
  <si>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</si>
  <si>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</si>
  <si>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</si>
  <si>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</si>
  <si>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</si>
  <si>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</si>
  <si>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</si>
  <si>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</si>
  <si>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</si>
  <si>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</si>
  <si>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</si>
  <si>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</si>
  <si>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</si>
  <si>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</si>
  <si>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</si>
  <si>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</si>
  <si>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</si>
  <si>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</si>
  <si>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</si>
  <si>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</si>
  <si>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PMP - Peer Review Workbook (PRWB).xlsm</t>
  </si>
  <si>
    <t>SWTL</t>
  </si>
  <si>
    <t>Mihai Ianos</t>
  </si>
  <si>
    <t>254888 DAIMLER MER W174W178 EL SB</t>
  </si>
  <si>
    <t>1.1.2.2</t>
  </si>
  <si>
    <t>SDD</t>
  </si>
  <si>
    <t>25.01.2022</t>
  </si>
  <si>
    <t>31.01.2022</t>
  </si>
  <si>
    <t>Update function descriptions with diagrams</t>
  </si>
  <si>
    <t>Chapter 2.1: Add diagram or descrption of the AAU, constraints like CPU executin time and memory and behavior description for each phase of the ecu functioning</t>
  </si>
  <si>
    <t>Update author name and update automatic fields (table of contnts + header)</t>
  </si>
  <si>
    <t>Update design with PMP specific structures</t>
  </si>
  <si>
    <t>PMP.c v1.1.3.2</t>
  </si>
  <si>
    <t>26.01.2022</t>
  </si>
  <si>
    <t>Code</t>
  </si>
  <si>
    <t>1.1.6.4</t>
  </si>
  <si>
    <t>PMP.c</t>
  </si>
  <si>
    <t>Add tracebility</t>
  </si>
  <si>
    <t>Add compiler warnings documentation for module</t>
  </si>
  <si>
    <t>PMP - SDD v1.1.3.2</t>
  </si>
  <si>
    <t>PMP_autotest.c</t>
  </si>
  <si>
    <t>1.1.7.3</t>
  </si>
  <si>
    <t>Please perform static analysis.</t>
  </si>
  <si>
    <t>Please add traceability</t>
  </si>
  <si>
    <t>Plase update functions brief description to meet template source code</t>
  </si>
  <si>
    <t>Andreea Negrea</t>
  </si>
  <si>
    <t>PMP_Autotest.c - 1.1.7.3</t>
  </si>
  <si>
    <t>31.02.2022</t>
  </si>
  <si>
    <t>Septimiu Vintila</t>
  </si>
  <si>
    <t>PMP - Detailed Design Document.docx</t>
  </si>
  <si>
    <t>1.1.2.3</t>
  </si>
  <si>
    <t>1.1.3.3</t>
  </si>
  <si>
    <t>No findings</t>
  </si>
  <si>
    <t>PMP - Detailed Design Document.docx - 1.1.3.3</t>
  </si>
  <si>
    <t>PMP_cfg_private.h</t>
  </si>
  <si>
    <t>PMP_private.h</t>
  </si>
  <si>
    <t>PMP_public.h</t>
  </si>
  <si>
    <t>1.1.7.4</t>
  </si>
  <si>
    <t>1.1.2.4</t>
  </si>
  <si>
    <t>1.1.6.5</t>
  </si>
  <si>
    <t>PMP_cfg_private.h - 1.1.2.3</t>
  </si>
  <si>
    <t>PMP_private.h - 1.1.2.4</t>
  </si>
  <si>
    <t>PMP_public.h - 1.1.2.3</t>
  </si>
  <si>
    <t>PMP.c - 1.1.6.5</t>
  </si>
  <si>
    <t>PMP_autotest.c - 1.1.7.4</t>
  </si>
  <si>
    <t>SDD,Code</t>
  </si>
  <si>
    <t>18.02.2022</t>
  </si>
  <si>
    <t>UTSR</t>
  </si>
  <si>
    <t>25.02.2022</t>
  </si>
  <si>
    <t>Alexandru Paval</t>
  </si>
  <si>
    <t>PMP.tmb - 1.1</t>
  </si>
  <si>
    <t>PMP.tmb</t>
  </si>
  <si>
    <t>Traceability not according to process.</t>
  </si>
  <si>
    <t>PMP_Autotest_CheckPowerSupplyOV(u8TestResultType *) coverage not 100%</t>
  </si>
  <si>
    <t>PMP_Autotest_CheckPowerSupplyUV(u8TestResultType *) coverage not 100%</t>
  </si>
  <si>
    <t>PMP_runGetFilteredTemperature(u16InternalTemperatureType *) coverage not 100%</t>
  </si>
  <si>
    <t>PMP_runSurveyBatteryVoltage() coverage not 100%</t>
  </si>
  <si>
    <t>07.04.2022</t>
  </si>
  <si>
    <t>Stefan Dominte</t>
  </si>
  <si>
    <t>PMP.tmb - 1.3</t>
  </si>
  <si>
    <t>PMP_Init() expected results different than actual results.</t>
  </si>
  <si>
    <t>PMP_runGetFilteredTemperature(u16InternalTemperatureType * pu16FilteredTemperature) coverage not 100%</t>
  </si>
  <si>
    <t>PMP_runGetBatteryVoltage (u16VoltageType * pu16Voltage) - no description for the test case</t>
  </si>
  <si>
    <t>PMP - Software Integration Test Specification Report.xlsx</t>
  </si>
  <si>
    <t>Vlad Chioveanu</t>
  </si>
  <si>
    <t>Actual result shall contain result data. Req 9004-9008 functionalities are not covered by tests</t>
  </si>
  <si>
    <t>PMP - Software Integration Test Specification Report.xlsx v1.1</t>
  </si>
  <si>
    <t>Result data will be completed and test steps added.</t>
  </si>
  <si>
    <t>Fixed the 1.2 version</t>
  </si>
  <si>
    <t xml:space="preserve">No findings </t>
  </si>
  <si>
    <t>PMP - Software Integration Test Specification Report.xlsx v1.2</t>
  </si>
  <si>
    <t>PMP - Software Integration Test Specification Report.xlsx v1.3</t>
  </si>
  <si>
    <t>PMP - Software Integration Test Specification Report.xlsx v1.4</t>
  </si>
  <si>
    <t>1.1.3.5</t>
  </si>
  <si>
    <t>Revision ( first page ) and Distribution names should be updated to meet template rules.</t>
  </si>
  <si>
    <t>PMP - Detailed Design Document.docx - 1.1.3.5</t>
  </si>
  <si>
    <t>08.04.2022</t>
  </si>
  <si>
    <t>Tessy_Stubs.h to be updated.</t>
  </si>
  <si>
    <t>Issue created.</t>
  </si>
  <si>
    <t>Already fixed.</t>
  </si>
  <si>
    <t>1.1.3.6</t>
  </si>
  <si>
    <t>PMP - Detailed Design Document.docx - 1.1.3.6</t>
  </si>
  <si>
    <t>11.04.2022</t>
  </si>
  <si>
    <t>1.1.7.5</t>
  </si>
  <si>
    <t>1.1.6.6</t>
  </si>
  <si>
    <t>1.1.2.5</t>
  </si>
  <si>
    <t>PMP_cfg_private.h - 1.1.2.4</t>
  </si>
  <si>
    <t>PMP_private.h - 1.1.2.5</t>
  </si>
  <si>
    <t>PMP.c - 1.1.6.6</t>
  </si>
  <si>
    <t>PMP_autotest.c - 1.1.7.5</t>
  </si>
  <si>
    <t>PMP_public.h - 1.1.2.4</t>
  </si>
  <si>
    <t>13.04.2022</t>
  </si>
  <si>
    <t>16.06.2022</t>
  </si>
  <si>
    <t>1.1.3.7</t>
  </si>
  <si>
    <t>Update Project number &amp; Name and Date of release.</t>
  </si>
  <si>
    <t>Update Tables of content and Tables of figures.</t>
  </si>
  <si>
    <t>Update the overview diagram with OS task.</t>
  </si>
  <si>
    <t>Update the document with correct template.</t>
  </si>
  <si>
    <t>Update PMP_runGetFilteredTemperature diagram.</t>
  </si>
  <si>
    <t>PMP - Detailed Design Document.docx - 1.1.3.7</t>
  </si>
  <si>
    <t>Rename second PMP_KU16_ADC_10BIT_RANGE element in PMP_KU8_ADC_8BIT_RANGE</t>
  </si>
  <si>
    <t>Mirela Obada</t>
  </si>
  <si>
    <t>Update done</t>
  </si>
  <si>
    <t>Diagram deleted, no needed in this document</t>
  </si>
  <si>
    <t>Macro corrected</t>
  </si>
  <si>
    <t>Diagram updated</t>
  </si>
  <si>
    <t>21.06.2022</t>
  </si>
  <si>
    <t>1.1.3.9</t>
  </si>
  <si>
    <t>No findings found.</t>
  </si>
  <si>
    <t>PMP - Detailed Design Document.docx - 1.1.3.9</t>
  </si>
  <si>
    <t>Remove u8PreviousADCTestResult variable from PMP_Autotest_CheckPowerSupplyUVDuringActivation function (no functional relevance)</t>
  </si>
  <si>
    <t>1.1.7.7</t>
  </si>
  <si>
    <t>PMP - Software Integration Test Specification Report.xlsx v1.5</t>
  </si>
  <si>
    <t>ITSR</t>
  </si>
  <si>
    <t>24.06.2022</t>
  </si>
  <si>
    <t>PMP.tmb - 1.4</t>
  </si>
  <si>
    <t>29.06.2022</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</si>
  <si>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</si>
  <si>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</si>
  <si>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</si>
  <si>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</si>
  <si>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07.09.2022</t>
  </si>
  <si>
    <t>1.1.3.10</t>
  </si>
  <si>
    <t>In the header of the document update the correct version.</t>
  </si>
  <si>
    <t>Update the table of contents and table of figures.</t>
  </si>
  <si>
    <t>Update the Revision history from 1.3.4.0 to 1.1.3.10.</t>
  </si>
  <si>
    <t>Traceability is missing for  ARCH_SW_PMP_1008, ARCH_SW_PMP_1058, ARCH_SW_PMP_1059, ARCH_SW_PMP_1068, ARCH_SW_PMP_1069, ARCH_SW_PMP_1078, ARCH_SW_PMP_1079.</t>
  </si>
  <si>
    <t>Add diagrams for all new functions.</t>
  </si>
  <si>
    <t>Add PMP_Autotest_CheckPowerSupplyOVDuringActivation function to 3.2 chapter.</t>
  </si>
  <si>
    <t>Remove PMP_Autotest_CheckPowerSupplyUVDuringActivation, PMP_Autotest_CheckPowerSupplyUV, PMP_Autotest_CheckPowerSupplyOV from chapter 3.1.</t>
  </si>
  <si>
    <t>Add missing define to 3.5 chapter.</t>
  </si>
  <si>
    <t>PMP - Detailed Design Document.docx - 1.1.3.10</t>
  </si>
  <si>
    <t>Madalina Serban</t>
  </si>
  <si>
    <t>09.09.2022</t>
  </si>
  <si>
    <t>PMP - Detailed Design Document.docx - 1.1.3.11</t>
  </si>
  <si>
    <t>PMP - Unit test</t>
  </si>
  <si>
    <t>Ciprian Galbau</t>
  </si>
  <si>
    <t>PMP  - Software Integration Test Specification Report.xlsm</t>
  </si>
  <si>
    <t>12.09.2022</t>
  </si>
  <si>
    <t>PMP - Software Integration Test Specification Report.xlsx v1.7</t>
  </si>
  <si>
    <t>1.1.7.13</t>
  </si>
  <si>
    <t>1.1.6.9</t>
  </si>
  <si>
    <t>PMP.c - 1.1.6.9</t>
  </si>
  <si>
    <t>PMP_autotest.c - 1.1.7.13</t>
  </si>
  <si>
    <t>Add missing traceability from design.</t>
  </si>
  <si>
    <t>Initialize PMP_u16OldADCTemperature_LSB variable as it is not initialized in the PMP_Init function.</t>
  </si>
  <si>
    <t>Initialize PMP_u16OldCorrectedTemperature_LSB variable as it is not initialized in the PMP_Init function.</t>
  </si>
  <si>
    <t>Declare the function pmp_GetCorrectedTemperature() with correct parameters in PMP_private.h header.</t>
  </si>
  <si>
    <t>Change the nested comments from 393 and 399 lines to a single line comment.</t>
  </si>
  <si>
    <t>PMP.can</t>
  </si>
  <si>
    <t>12.12.2022</t>
  </si>
  <si>
    <t>PMP.can - v1.1</t>
  </si>
  <si>
    <t>SW_Int_PMP_checkPowerSupply_01.txt</t>
  </si>
  <si>
    <t>SW_Int_PMP_checkPowerSupply_02.txt</t>
  </si>
  <si>
    <t>SW_Int_PMP_componentInit_01.txt</t>
  </si>
  <si>
    <t>SW_Int_PMP_checkPowerSupply_01.txt - v1.1</t>
  </si>
  <si>
    <t>SW_Int_PMP_checkPowerSupply_02.txt - v1.1</t>
  </si>
  <si>
    <t>SW_Int_PMP_componentInit_01.txt - v1.1</t>
  </si>
  <si>
    <t>27.01.2023</t>
  </si>
  <si>
    <t>Check return statement for all RTE calls</t>
  </si>
  <si>
    <t>Roberto Cristoi</t>
  </si>
  <si>
    <t>1.1.7.17</t>
  </si>
  <si>
    <t>1.1.6.10</t>
  </si>
  <si>
    <t>PMP_autotest.c - 1.1.7.17</t>
  </si>
  <si>
    <t>PMP.c - 1.1.6.10</t>
  </si>
  <si>
    <t>No functional impact</t>
  </si>
  <si>
    <t>16.02.2023</t>
  </si>
  <si>
    <t>C0 and C1 coverage not 100%</t>
  </si>
  <si>
    <t>traceability not covering all PMP detailed design requirements</t>
  </si>
  <si>
    <t>PMP.tmb - 1.7</t>
  </si>
  <si>
    <t>1.1.7.18</t>
  </si>
  <si>
    <t>PMP_autotest.c - 1.1.7.18</t>
  </si>
  <si>
    <t>PMP - Detailed Design Document.docx - 1.1.3.14</t>
  </si>
  <si>
    <t>21.02.2023</t>
  </si>
  <si>
    <t>1.1.3.14</t>
  </si>
  <si>
    <t>SW_Int_PMP_Autotest_CheckPowerSupplyOVDuringActivation_01.txt</t>
  </si>
  <si>
    <t>SW_Int_PMP_Autotest_CheckPowerSupplyOV_01.txt</t>
  </si>
  <si>
    <t>SW_Int_PMP_Autotest_CheckPowerSupplyUVDuringActivation_01.txt</t>
  </si>
  <si>
    <t>SW_Int_PMP_Autotest_CheckPowerSupplyUV_01.txt</t>
  </si>
  <si>
    <t>SW_Int_PMP_Autotest_CheckSystemOV_01.txt</t>
  </si>
  <si>
    <t>SW_Int_PMP_Autotest_CheckSystemUV_01.txt</t>
  </si>
  <si>
    <t>SW_Int_PMP_Autotest_CheckTemperatureSensor_01.txt</t>
  </si>
  <si>
    <t>SW_Int_PMP_GetCorrectedTemperature_01.txt</t>
  </si>
  <si>
    <t>SW_Int_PMP_runComputeDeficiencyLevel_01.txt</t>
  </si>
  <si>
    <t>SW_Int_PMP_runGetBatteryVolatge_01.txt</t>
  </si>
  <si>
    <t>SW_Int_PMP_runGetBatteryVolatge_100ms_01.txt</t>
  </si>
  <si>
    <t>SW_Int_PMP_runGetBatteryVolatge_10ms_01.txt</t>
  </si>
  <si>
    <t>SW_Int_PMP_runGetBatteryVolatge_20ms_01.txt</t>
  </si>
  <si>
    <t>SW_Int_PMP_runGetBatteryVoltageSurveyStatus_01.txt</t>
  </si>
  <si>
    <t>SW_Int_PMP_runGetBoardResistance_01.txt</t>
  </si>
  <si>
    <t>SW_Int_PMP_runGetDeficiencyLevel_01.txt</t>
  </si>
  <si>
    <t>SW_Int_PMP_runGetFilteredTemperature_deg_01.txt</t>
  </si>
  <si>
    <t>SW_Int_PMP_runGetHS1Level_01.txt</t>
  </si>
  <si>
    <t>SW_Int_PMP_runGetMotorResistance_01.txt</t>
  </si>
  <si>
    <t>SW_Int_PMP_runGetMotorVn_01.txt</t>
  </si>
  <si>
    <t>SW_Int_PMP_runGetMotorVp_01.txt</t>
  </si>
  <si>
    <t>SW_Int_PMP_runSurveyBatteryVoltage_01.txt</t>
  </si>
  <si>
    <t>Victor Popina</t>
  </si>
  <si>
    <t xml:space="preserve">ARCH_SW_PMP_1070 is not covered; </t>
  </si>
  <si>
    <t>ARCH_SW_PMP_1058 not consistent in action</t>
  </si>
  <si>
    <t>ARCH_SW_PMP_1111 not consistent in Action</t>
  </si>
  <si>
    <t>ARCH_SW_PMP_1065, ARCH_SW_PMP_1058 not consistent in action not consistent in Action</t>
  </si>
  <si>
    <t>No finings</t>
  </si>
  <si>
    <t>Inconsistency between req and action</t>
  </si>
  <si>
    <t>ARCH_SW_PMP_0260 not covered in Req under test</t>
  </si>
  <si>
    <t>ARCH_SW_PMP_0024 is not covered in requirement under test</t>
  </si>
  <si>
    <t>SW_Int_PMP_Autotest_CheckPowerSupplyOVDuringActivation_01.txt - v1.1</t>
  </si>
  <si>
    <t>SW_Int_PMP_Autotest_CheckPowerSupplyOV_01.txt - v1.1</t>
  </si>
  <si>
    <t>SW_Int_PMP_Autotest_CheckPowerSupplyUVDuringActivation_01.txt - v1.1</t>
  </si>
  <si>
    <t>SW_Int_PMP_Autotest_CheckPowerSupplyUV_01.txt - v1.1</t>
  </si>
  <si>
    <t>SW_Int_PMP_Autotest_CheckSystemOV_01.txt - v1.1</t>
  </si>
  <si>
    <t>SW_Int_PMP_Autotest_CheckSystemUV_01.txt - v1.1</t>
  </si>
  <si>
    <t>SW_Int_PMP_Autotest_CheckTemperatureSensor_01.txt - v1.1</t>
  </si>
  <si>
    <t>SW_Int_PMP_checkPowerSupply_01.txt - v1.2</t>
  </si>
  <si>
    <t>SW_Int_PMP_checkPowerSupply_02.txt - v1.2</t>
  </si>
  <si>
    <t>SW_Int_PMP_componentInit_01.txt - v1.2</t>
  </si>
  <si>
    <t>SW_Int_PMP_GetCorrectedTemperature_01.txt - v1.1</t>
  </si>
  <si>
    <t>SW_Int_PMP_runComputeDeficiencyLevel_01.txt - v1.1</t>
  </si>
  <si>
    <t>SW_Int_PMP_runGetBatteryVolatge_01.txt - v1.1</t>
  </si>
  <si>
    <t>SW_Int_PMP_runGetBatteryVolatge_100ms_01.txt - v1.1</t>
  </si>
  <si>
    <t>SW_Int_PMP_runGetBatteryVolatge_10ms_01.txt - v1.1</t>
  </si>
  <si>
    <t>SW_Int_PMP_runGetBatteryVolatge_20ms_01.txt - v1.1</t>
  </si>
  <si>
    <t>SW_Int_PMP_runGetBatteryVoltageSurveyStatus_01.txt - v1.1</t>
  </si>
  <si>
    <t>SW_Int_PMP_runGetBoardResistance_01.txt - v1.1</t>
  </si>
  <si>
    <t>SW_Int_PMP_runGetDeficiencyLevel_01.txt - v1.1</t>
  </si>
  <si>
    <t>SW_Int_PMP_runGetFilteredTemperature_deg_01.txt - v1.1</t>
  </si>
  <si>
    <t>SW_Int_PMP_runGetHS1Level_01.txt - v1.1</t>
  </si>
  <si>
    <t>SW_Int_PMP_runGetMotorResistance_01.txt - v1.1</t>
  </si>
  <si>
    <t>SW_Int_PMP_runGetMotorVn_01.txt - v1.1</t>
  </si>
  <si>
    <t>SW_Int_PMP_runGetMotorVp_01.txt - v1.1</t>
  </si>
  <si>
    <t>SW_Int_PMP_runSurveyBatteryVoltage_01.txt - v1.1</t>
  </si>
  <si>
    <t>07.03.2023</t>
  </si>
  <si>
    <t>SW_Int_PMP_Autotest_CheckPowerSupplyOVDuringActivation_01.txt - v1.1
SW_Int_PMP_Autotest_CheckPowerSupplyOV_01.txt - v1.1
SW_Int_PMP_Autotest_CheckPowerSupplyUVDuringActivation_01.txt - v1.1
SW_Int_PMP_Autotest_CheckPowerSupplyUV_01.txt - v1.1
SW_Int_PMP_Autotest_CheckSystemOV_01.txt - v1.1
SW_Int_PMP_Autotest_CheckSystemUV_01.txt - v1.1
SW_Int_PMP_Autotest_CheckTemperatureSensor_01.txt - v1.1
SW_Int_PMP_checkPowerSupply_01.txt - v1.2
SW_Int_PMP_checkPowerSupply_02.txt - v1.2
SW_Int_PMP_componentInit_01.txt - v1.2
SW_Int_PMP_GetCorrectedTemperature_01.txt - v1.1
SW_Int_PMP_runComputeDeficiencyLevel_01.txt - v1.1
SW_Int_PMP_runGetBatteryVolatge_01.txt - v1.1
SW_Int_PMP_runGetBatteryVolatge_100ms_01.txt - v1.1
SW_Int_PMP_runGetBatteryVolatge_10ms_01.txt - v1.1
SW_Int_PMP_runGetBatteryVolatge_20ms_01.txt - v1.1
SW_Int_PMP_runGetBatteryVoltageSurveyStatus_01.txt - v1.1
SW_Int_PMP_runGetBoardResistance_01.txt - v1.1
SW_Int_PMP_runGetDeficiencyLevel_01.txt - v1.1
SW_Int_PMP_runGetFilteredTemperature_deg_01.txt - v1.1
SW_Int_PMP_runGetHS1Level_01.txt - v1.1
SW_Int_PMP_runGetMotorResistance_01.txt - v1.1
SW_Int_PMP_runGetMotorVn_01.txt - v1.1
SW_Int_PMP_runGetMotorVp_01.txt - v1.1
SW_Int_PMP_runSurveyBatteryVoltage_01.txt - v1.1</t>
  </si>
  <si>
    <t>ARCH_SW_PMP_1070 is not in the context of this test.</t>
  </si>
  <si>
    <t>ARCH_SW_PMP_1058 is not in the context of this test.</t>
  </si>
  <si>
    <t>Specification fixed.</t>
  </si>
  <si>
    <t>Alexandru Nastase</t>
  </si>
  <si>
    <t>Fixed on 1.8</t>
  </si>
  <si>
    <t>Specification fixed on 1.2</t>
  </si>
  <si>
    <t>09.03.2023</t>
  </si>
  <si>
    <t>PMP.tmb - 1.6</t>
  </si>
  <si>
    <t>Np findings</t>
  </si>
  <si>
    <t>PMP.tmb - v1.7</t>
  </si>
  <si>
    <t>PMP.tmb - v1.8</t>
  </si>
  <si>
    <t>PMP.tmb - 1.8</t>
  </si>
  <si>
    <t>PMP.tmb - v1.9</t>
  </si>
  <si>
    <t>27.04.2023</t>
  </si>
  <si>
    <t>PMP.tmb - 1.9</t>
  </si>
  <si>
    <t>1.1.7.24</t>
  </si>
  <si>
    <t>PMP_autotest.c - 1.1.7.24</t>
  </si>
  <si>
    <t>05.02.2023</t>
  </si>
  <si>
    <t>1.1.3.15</t>
  </si>
  <si>
    <t>Diagrams for PMP_Autotest_CheckPowerSupplyUVDuringActivation, PMP_Autotest_CheckPowerSupplyOVDuringActivation to be updated</t>
  </si>
  <si>
    <t>PMP - Detailed Design Document.docx - 1.1.3.15</t>
  </si>
  <si>
    <t>Diagrams were updated</t>
  </si>
  <si>
    <t>1.1.7.25</t>
  </si>
  <si>
    <t>PMP_autotest.c - 1.1.7.25</t>
  </si>
  <si>
    <t>PMP.tmb - v1.10</t>
  </si>
  <si>
    <t>23.05.2023</t>
  </si>
  <si>
    <t>Popina Victor</t>
  </si>
  <si>
    <t>PMP.tmb - 1.10</t>
  </si>
  <si>
    <t>PMP.tmb - v1.11</t>
  </si>
  <si>
    <t>22.06.2023</t>
  </si>
  <si>
    <t>PMP.tmb - 1.11</t>
  </si>
  <si>
    <t>Adina Macaveiu</t>
  </si>
  <si>
    <t>PMP.tmb - v1.12</t>
  </si>
  <si>
    <t>10.09.2023</t>
  </si>
  <si>
    <t>PMP.tmb - 1.12</t>
  </si>
  <si>
    <t>08.02.2023</t>
  </si>
  <si>
    <t>03.10.2023</t>
  </si>
  <si>
    <t>1.1.7.26</t>
  </si>
  <si>
    <t>PMP_autotest.c - 1.1.7.26</t>
  </si>
  <si>
    <t>04.10.2023</t>
  </si>
  <si>
    <t>1.1.3.17</t>
  </si>
  <si>
    <t>PMP - Detailed Design Document.docx - 1.1.3.17</t>
  </si>
  <si>
    <t>1.1.6.11</t>
  </si>
  <si>
    <t>PMP.c - 1.1.6.11</t>
  </si>
  <si>
    <t>1.1.6.13</t>
  </si>
  <si>
    <t>PMP.c - 1.1.6.13</t>
  </si>
  <si>
    <t>28.02.2024</t>
  </si>
  <si>
    <t>PMP.tmb - 1.13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</si>
</sst>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3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sz val="11"/>
      <name val="Calibri"/>
      <family val="2"/>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diagonal/>
    </border>
    <border>
      <left style="thin">
        <color rgb="FF0070C0"/>
      </left>
      <right/>
      <top style="thin">
        <color rgb="FF0070C0"/>
      </top>
      <bottom style="thin">
        <color rgb="FF0070C0"/>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rgb="FF7F7F7F"/>
      </left>
      <right style="thin">
        <color rgb="FF7F7F7F"/>
      </right>
      <top style="thin">
        <color rgb="FF0070C0"/>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style="thin">
        <color rgb="FF7F7F7F"/>
      </left>
      <right style="thin">
        <color rgb="FF7F7F7F"/>
      </right>
      <top style="thin">
        <color theme="4"/>
      </top>
      <bottom style="thin">
        <color theme="4"/>
      </bottom>
      <diagonal/>
    </border>
    <border>
      <left style="thin">
        <color rgb="FF7F7F7F"/>
      </left>
      <right/>
      <top style="thin">
        <color rgb="FF7F7F7F"/>
      </top>
      <bottom/>
      <diagonal/>
    </border>
    <border>
      <left/>
      <right style="thin">
        <color theme="4"/>
      </right>
      <top/>
      <bottom style="thin">
        <color rgb="FF0070C0"/>
      </bottom>
      <diagonal/>
    </border>
    <border>
      <left style="thin">
        <color rgb="FF7F7F7F"/>
      </left>
      <right/>
      <top style="thin">
        <color theme="4"/>
      </top>
      <bottom style="thin">
        <color theme="4"/>
      </bottom>
      <diagonal/>
    </border>
  </borders>
  <cellStyleXfs count="31">
    <xf numFmtId="0" fontId="0" fillId="0" borderId="0"/>
    <xf numFmtId="0" fontId="86" fillId="6" borderId="14" applyNumberFormat="0" applyAlignment="0" applyProtection="0"/>
    <xf numFmtId="0" fontId="87" fillId="0" borderId="0" applyNumberFormat="0" applyFill="0" applyBorder="0" applyAlignment="0" applyProtection="0"/>
    <xf numFmtId="0" fontId="54" fillId="0" borderId="0"/>
    <xf numFmtId="0" fontId="81" fillId="0" borderId="0"/>
    <xf numFmtId="0" fontId="85" fillId="0" borderId="0"/>
    <xf numFmtId="0" fontId="54" fillId="0" borderId="0"/>
    <xf numFmtId="0" fontId="61" fillId="0" borderId="0"/>
    <xf numFmtId="0" fontId="89" fillId="6" borderId="15" applyNumberFormat="0" applyAlignment="0" applyProtection="0"/>
    <xf numFmtId="0" fontId="53" fillId="0" borderId="0"/>
    <xf numFmtId="0" fontId="52" fillId="0" borderId="0"/>
    <xf numFmtId="0" fontId="51" fillId="0" borderId="0"/>
    <xf numFmtId="0" fontId="114" fillId="25" borderId="14" applyNumberFormat="0" applyAlignment="0" applyProtection="0"/>
    <xf numFmtId="0" fontId="115" fillId="26" borderId="0" applyNumberFormat="0" applyBorder="0" applyAlignment="0" applyProtection="0"/>
    <xf numFmtId="0" fontId="50" fillId="27" borderId="0" applyNumberFormat="0" applyBorder="0" applyAlignment="0" applyProtection="0"/>
    <xf numFmtId="0" fontId="54" fillId="0" borderId="0"/>
    <xf numFmtId="0" fontId="49" fillId="27" borderId="0" applyNumberFormat="0" applyBorder="0" applyAlignment="0" applyProtection="0"/>
    <xf numFmtId="0" fontId="48" fillId="27" borderId="0" applyNumberFormat="0" applyBorder="0" applyAlignment="0" applyProtection="0"/>
    <xf numFmtId="0" fontId="47" fillId="27" borderId="0" applyNumberFormat="0" applyBorder="0" applyAlignment="0" applyProtection="0"/>
    <xf numFmtId="0" fontId="46" fillId="27" borderId="0" applyNumberFormat="0" applyBorder="0" applyAlignment="0" applyProtection="0"/>
    <xf numFmtId="0" fontId="45" fillId="27" borderId="0" applyNumberFormat="0" applyBorder="0" applyAlignment="0" applyProtection="0"/>
    <xf numFmtId="0" fontId="44" fillId="27" borderId="0" applyNumberFormat="0" applyBorder="0" applyAlignment="0" applyProtection="0"/>
    <xf numFmtId="0" fontId="43" fillId="27" borderId="0" applyNumberFormat="0" applyBorder="0" applyAlignment="0" applyProtection="0"/>
    <xf numFmtId="0" fontId="42" fillId="27" borderId="0" applyNumberFormat="0" applyBorder="0" applyAlignment="0" applyProtection="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0" borderId="0"/>
    <xf numFmtId="0" fontId="37" fillId="27" borderId="0" applyNumberFormat="0" applyBorder="0" applyAlignment="0" applyProtection="0"/>
    <xf numFmtId="0" fontId="36" fillId="27" borderId="0" applyNumberFormat="0" applyBorder="0" applyAlignment="0" applyProtection="0"/>
    <xf numFmtId="0" fontId="134" fillId="0" borderId="0" applyNumberFormat="0" applyFill="0" applyBorder="0" applyAlignment="0" applyProtection="0"/>
  </cellStyleXfs>
  <cellXfs count="365">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5" fillId="3" borderId="12" xfId="0" applyFont="1" applyFill="1" applyBorder="1" applyAlignment="1">
      <alignment horizontal="center" wrapText="1"/>
    </xf>
    <xf numFmtId="0" fontId="0" fillId="2" borderId="0" xfId="0" applyFill="1" applyAlignment="1">
      <alignment horizontal="center"/>
    </xf>
    <xf numFmtId="0" fontId="5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54" fillId="0" borderId="1" xfId="0" applyFont="1" applyBorder="1" applyAlignment="1">
      <alignment vertical="center" wrapText="1"/>
    </xf>
    <xf numFmtId="0" fontId="54" fillId="3" borderId="1" xfId="0" applyFont="1" applyFill="1" applyBorder="1" applyAlignment="1">
      <alignment horizontal="center" vertical="center" wrapText="1"/>
    </xf>
    <xf numFmtId="0" fontId="54" fillId="2" borderId="0" xfId="0" applyFont="1" applyFill="1" applyAlignment="1">
      <alignment wrapText="1"/>
    </xf>
    <xf numFmtId="0" fontId="90" fillId="7" borderId="0" xfId="0" applyFont="1" applyFill="1" applyAlignment="1">
      <alignment horizontal="center" vertical="center" wrapText="1"/>
    </xf>
    <xf numFmtId="0" fontId="55" fillId="3" borderId="12" xfId="0" applyFont="1" applyFill="1" applyBorder="1" applyAlignment="1">
      <alignment horizontal="center" vertical="center" wrapText="1"/>
    </xf>
    <xf numFmtId="0" fontId="90" fillId="0" borderId="0" xfId="0" applyFont="1" applyAlignment="1">
      <alignment horizontal="center" vertical="center" wrapText="1"/>
    </xf>
    <xf numFmtId="0" fontId="90" fillId="0" borderId="0" xfId="0" applyFont="1" applyAlignment="1">
      <alignment vertical="center"/>
    </xf>
    <xf numFmtId="0" fontId="90" fillId="0" borderId="0" xfId="0" applyFont="1" applyAlignment="1">
      <alignment vertical="center" wrapText="1"/>
    </xf>
    <xf numFmtId="0" fontId="76" fillId="2" borderId="2" xfId="0" applyFont="1" applyFill="1" applyBorder="1"/>
    <xf numFmtId="0" fontId="54" fillId="2" borderId="0" xfId="0" applyFont="1" applyFill="1" applyAlignment="1">
      <alignment horizontal="center"/>
    </xf>
    <xf numFmtId="0" fontId="0" fillId="8" borderId="0" xfId="0" applyFill="1" applyAlignment="1">
      <alignment horizontal="center"/>
    </xf>
    <xf numFmtId="0" fontId="54" fillId="2" borderId="1" xfId="0" applyFont="1" applyFill="1" applyBorder="1" applyAlignment="1">
      <alignment horizontal="center" wrapText="1"/>
    </xf>
    <xf numFmtId="0" fontId="54" fillId="2" borderId="1" xfId="0" applyFont="1" applyFill="1" applyBorder="1" applyAlignment="1">
      <alignment horizontal="center" vertical="center" wrapText="1"/>
    </xf>
    <xf numFmtId="0" fontId="54" fillId="0" borderId="1" xfId="0" applyFont="1" applyBorder="1" applyAlignment="1">
      <alignment horizontal="center" vertical="center" wrapText="1"/>
    </xf>
    <xf numFmtId="0" fontId="0" fillId="2" borderId="5" xfId="0" applyFill="1" applyBorder="1" applyAlignment="1">
      <alignment wrapText="1"/>
    </xf>
    <xf numFmtId="0" fontId="54" fillId="2" borderId="0" xfId="0" applyFont="1" applyFill="1"/>
    <xf numFmtId="0" fontId="55" fillId="9" borderId="1" xfId="0" applyFont="1" applyFill="1" applyBorder="1" applyAlignment="1">
      <alignment horizontal="center" vertical="center" wrapText="1"/>
    </xf>
    <xf numFmtId="0" fontId="54" fillId="2" borderId="10" xfId="0" applyFont="1" applyFill="1" applyBorder="1"/>
    <xf numFmtId="0" fontId="90"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54" fillId="8" borderId="0" xfId="0" applyFont="1" applyFill="1" applyAlignment="1">
      <alignment horizontal="center" vertical="center"/>
    </xf>
    <xf numFmtId="0" fontId="54" fillId="8" borderId="1" xfId="0" applyFont="1" applyFill="1" applyBorder="1" applyAlignment="1">
      <alignment horizontal="center" vertical="center"/>
    </xf>
    <xf numFmtId="0" fontId="54" fillId="13" borderId="1" xfId="0" applyFont="1" applyFill="1" applyBorder="1" applyAlignment="1">
      <alignment horizontal="center" vertical="center" wrapText="1"/>
    </xf>
    <xf numFmtId="0" fontId="55" fillId="3" borderId="16" xfId="0" applyFont="1" applyFill="1" applyBorder="1" applyAlignment="1">
      <alignment horizontal="center" vertical="center" wrapText="1"/>
    </xf>
    <xf numFmtId="0" fontId="5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90" fillId="8" borderId="0" xfId="0" applyFont="1" applyFill="1" applyAlignment="1">
      <alignment horizontal="center" vertical="center" wrapText="1"/>
    </xf>
    <xf numFmtId="0" fontId="90" fillId="8" borderId="0" xfId="0" applyFont="1" applyFill="1" applyAlignment="1">
      <alignment vertical="center"/>
    </xf>
    <xf numFmtId="0" fontId="0" fillId="8" borderId="0" xfId="0" applyFill="1" applyAlignment="1">
      <alignment vertical="center"/>
    </xf>
    <xf numFmtId="0" fontId="0" fillId="8" borderId="0" xfId="0" applyFill="1"/>
    <xf numFmtId="0" fontId="57" fillId="14" borderId="1" xfId="0" applyFont="1" applyFill="1" applyBorder="1" applyAlignment="1">
      <alignment horizontal="center" vertical="center" wrapText="1"/>
    </xf>
    <xf numFmtId="0" fontId="90" fillId="0" borderId="0" xfId="0" applyFont="1" applyAlignment="1">
      <alignment horizontal="center" vertical="center"/>
    </xf>
    <xf numFmtId="14" fontId="0" fillId="13" borderId="1" xfId="0" applyNumberFormat="1" applyFill="1" applyBorder="1" applyAlignment="1">
      <alignment horizontal="center" vertical="center" wrapText="1"/>
    </xf>
    <xf numFmtId="0" fontId="60" fillId="13" borderId="1" xfId="0" applyFont="1" applyFill="1" applyBorder="1" applyAlignment="1">
      <alignment horizontal="center" vertical="center" wrapText="1"/>
    </xf>
    <xf numFmtId="0" fontId="54" fillId="13" borderId="1" xfId="0" applyFont="1" applyFill="1" applyBorder="1" applyAlignment="1">
      <alignment horizontal="center" vertical="center"/>
    </xf>
    <xf numFmtId="0" fontId="0" fillId="13" borderId="1" xfId="0" applyFill="1" applyBorder="1" applyAlignment="1">
      <alignment horizontal="center" vertical="center"/>
    </xf>
    <xf numFmtId="0" fontId="54" fillId="2" borderId="5" xfId="0" applyFont="1" applyFill="1" applyBorder="1" applyAlignment="1">
      <alignment wrapText="1"/>
    </xf>
    <xf numFmtId="0" fontId="54" fillId="10" borderId="0" xfId="0" applyFont="1" applyFill="1" applyAlignment="1">
      <alignment horizontal="left" vertical="center"/>
    </xf>
    <xf numFmtId="0" fontId="54" fillId="12" borderId="0" xfId="0" applyFont="1" applyFill="1" applyAlignment="1">
      <alignment horizontal="left" vertical="center"/>
    </xf>
    <xf numFmtId="0" fontId="54" fillId="15" borderId="0" xfId="0" applyFont="1" applyFill="1" applyAlignment="1">
      <alignment horizontal="left" vertical="center"/>
    </xf>
    <xf numFmtId="0" fontId="54" fillId="13" borderId="0" xfId="0" applyFont="1" applyFill="1" applyAlignment="1">
      <alignment horizontal="left" vertical="center"/>
    </xf>
    <xf numFmtId="0" fontId="54" fillId="2" borderId="1" xfId="0" applyFont="1" applyFill="1" applyBorder="1"/>
    <xf numFmtId="0" fontId="54" fillId="0" borderId="1" xfId="0" applyFont="1" applyBorder="1" applyAlignment="1">
      <alignment horizontal="center" vertical="center"/>
    </xf>
    <xf numFmtId="14" fontId="54" fillId="0" borderId="1" xfId="0" applyNumberFormat="1" applyFont="1" applyBorder="1" applyAlignment="1">
      <alignment horizontal="center" vertical="center" wrapText="1"/>
    </xf>
    <xf numFmtId="0" fontId="0" fillId="2" borderId="0" xfId="0" applyFill="1" applyAlignment="1">
      <alignment horizontal="center" wrapText="1"/>
    </xf>
    <xf numFmtId="0" fontId="86" fillId="6" borderId="16" xfId="1" applyBorder="1" applyAlignment="1">
      <alignment horizontal="center" vertical="center"/>
    </xf>
    <xf numFmtId="0" fontId="54" fillId="3" borderId="12" xfId="0" applyFont="1" applyFill="1" applyBorder="1" applyAlignment="1">
      <alignment horizontal="center" vertical="center" wrapText="1"/>
    </xf>
    <xf numFmtId="0" fontId="86" fillId="6" borderId="1" xfId="1" applyBorder="1" applyAlignment="1">
      <alignment horizontal="center"/>
    </xf>
    <xf numFmtId="0" fontId="91" fillId="6" borderId="15" xfId="8" applyFont="1" applyAlignment="1">
      <alignment horizontal="center"/>
    </xf>
    <xf numFmtId="0" fontId="91" fillId="6" borderId="17" xfId="8" applyFont="1" applyBorder="1" applyAlignment="1">
      <alignment horizontal="center"/>
    </xf>
    <xf numFmtId="0" fontId="86" fillId="6" borderId="1" xfId="1" applyBorder="1" applyAlignment="1">
      <alignment horizontal="center" vertical="center"/>
    </xf>
    <xf numFmtId="0" fontId="88" fillId="6" borderId="16" xfId="1" applyFont="1" applyBorder="1" applyAlignment="1">
      <alignment horizontal="center" vertical="center"/>
    </xf>
    <xf numFmtId="0" fontId="55" fillId="3" borderId="1" xfId="0" applyFont="1" applyFill="1" applyBorder="1" applyAlignment="1">
      <alignment horizontal="center" vertical="center" wrapText="1"/>
    </xf>
    <xf numFmtId="0" fontId="5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54" fillId="2" borderId="8" xfId="0" applyFont="1" applyFill="1" applyBorder="1" applyAlignment="1">
      <alignment wrapText="1" shrinkToFit="1"/>
    </xf>
    <xf numFmtId="0" fontId="54" fillId="2" borderId="0" xfId="0" applyFont="1" applyFill="1" applyAlignment="1">
      <alignment vertical="top"/>
    </xf>
    <xf numFmtId="0" fontId="54" fillId="0" borderId="0" xfId="3" applyAlignment="1">
      <alignment vertical="center"/>
    </xf>
    <xf numFmtId="0" fontId="58" fillId="0" borderId="0" xfId="3" applyFont="1" applyAlignment="1">
      <alignment vertical="center" wrapText="1"/>
    </xf>
    <xf numFmtId="164" fontId="58" fillId="0" borderId="0" xfId="3" applyNumberFormat="1" applyFont="1" applyAlignment="1">
      <alignment horizontal="center" vertical="center" wrapText="1"/>
    </xf>
    <xf numFmtId="20" fontId="58" fillId="0" borderId="0" xfId="3" applyNumberFormat="1" applyFont="1" applyAlignment="1">
      <alignment vertical="center" wrapText="1"/>
    </xf>
    <xf numFmtId="0" fontId="58" fillId="0" borderId="0" xfId="3" applyFont="1" applyAlignment="1">
      <alignment horizontal="left" vertical="center" wrapText="1"/>
    </xf>
    <xf numFmtId="0" fontId="92" fillId="0" borderId="0" xfId="3" quotePrefix="1" applyFont="1" applyAlignment="1">
      <alignment horizontal="right" vertical="center"/>
    </xf>
    <xf numFmtId="0" fontId="59" fillId="0" borderId="0" xfId="3" applyFont="1" applyAlignment="1">
      <alignment horizontal="left" vertical="center" wrapText="1"/>
    </xf>
    <xf numFmtId="0" fontId="54" fillId="0" borderId="0" xfId="3" applyAlignment="1">
      <alignment vertical="center" shrinkToFit="1"/>
    </xf>
    <xf numFmtId="0" fontId="94" fillId="0" borderId="0" xfId="3" applyFont="1" applyAlignment="1">
      <alignment horizontal="left" vertical="center" shrinkToFit="1"/>
    </xf>
    <xf numFmtId="0" fontId="55" fillId="0" borderId="0" xfId="3" applyFont="1" applyAlignment="1">
      <alignment horizontal="left" vertical="center" shrinkToFit="1"/>
    </xf>
    <xf numFmtId="0" fontId="54" fillId="0" borderId="0" xfId="3" applyAlignment="1" applyProtection="1">
      <alignment vertical="center"/>
      <protection locked="0"/>
    </xf>
    <xf numFmtId="0" fontId="54" fillId="0" borderId="0" xfId="3" applyAlignment="1" applyProtection="1">
      <alignment vertical="center" shrinkToFit="1"/>
      <protection locked="0"/>
    </xf>
    <xf numFmtId="0" fontId="99" fillId="0" borderId="2" xfId="3" applyFont="1" applyBorder="1" applyAlignment="1" applyProtection="1">
      <alignment horizontal="left" vertical="center" wrapText="1" shrinkToFit="1"/>
      <protection locked="0"/>
    </xf>
    <xf numFmtId="0" fontId="100" fillId="0" borderId="0" xfId="3" applyFont="1" applyAlignment="1" applyProtection="1">
      <alignment horizontal="left" vertical="center" shrinkToFit="1"/>
      <protection locked="0"/>
    </xf>
    <xf numFmtId="0" fontId="99" fillId="0" borderId="0" xfId="3" applyFont="1" applyAlignment="1" applyProtection="1">
      <alignment horizontal="left" vertical="center" wrapText="1" shrinkToFit="1"/>
      <protection locked="0"/>
    </xf>
    <xf numFmtId="0" fontId="100" fillId="0" borderId="3" xfId="3" applyFont="1" applyBorder="1" applyAlignment="1" applyProtection="1">
      <alignment horizontal="left" vertical="center" shrinkToFit="1"/>
      <protection locked="0"/>
    </xf>
    <xf numFmtId="0" fontId="103" fillId="0" borderId="0" xfId="3" applyFont="1" applyAlignment="1" applyProtection="1">
      <alignment vertical="center"/>
      <protection locked="0"/>
    </xf>
    <xf numFmtId="0" fontId="104" fillId="0" borderId="0" xfId="3" applyFont="1" applyAlignment="1" applyProtection="1">
      <alignment horizontal="center" vertical="center"/>
      <protection locked="0"/>
    </xf>
    <xf numFmtId="0" fontId="53" fillId="8" borderId="0" xfId="9" applyFill="1"/>
    <xf numFmtId="0" fontId="105" fillId="0" borderId="0" xfId="3" applyFont="1" applyAlignment="1">
      <alignment horizontal="right" vertical="center"/>
    </xf>
    <xf numFmtId="0" fontId="106" fillId="0" borderId="18" xfId="3" applyFont="1" applyBorder="1" applyAlignment="1" applyProtection="1">
      <alignment vertical="center"/>
      <protection locked="0"/>
    </xf>
    <xf numFmtId="0" fontId="54" fillId="0" borderId="18" xfId="3" applyBorder="1" applyAlignment="1" applyProtection="1">
      <alignment vertical="center"/>
      <protection locked="0"/>
    </xf>
    <xf numFmtId="0" fontId="107" fillId="0" borderId="0" xfId="3" applyFont="1" applyAlignment="1" applyProtection="1">
      <alignment horizontal="left" vertical="center"/>
      <protection locked="0"/>
    </xf>
    <xf numFmtId="0" fontId="63" fillId="0" borderId="0" xfId="3" applyFont="1" applyAlignment="1" applyProtection="1">
      <alignment horizontal="left" vertical="center"/>
      <protection locked="0"/>
    </xf>
    <xf numFmtId="0" fontId="84" fillId="0" borderId="0" xfId="3" applyFont="1" applyAlignment="1" applyProtection="1">
      <alignment vertical="center"/>
      <protection locked="0"/>
    </xf>
    <xf numFmtId="0" fontId="55" fillId="0" borderId="0" xfId="3" applyFont="1" applyAlignment="1" applyProtection="1">
      <alignment vertical="center"/>
      <protection locked="0"/>
    </xf>
    <xf numFmtId="49" fontId="108" fillId="0" borderId="0" xfId="3" applyNumberFormat="1" applyFont="1" applyAlignment="1" applyProtection="1">
      <alignment horizontal="left" vertical="center"/>
      <protection locked="0"/>
    </xf>
    <xf numFmtId="49" fontId="54" fillId="0" borderId="0" xfId="3" applyNumberFormat="1" applyAlignment="1">
      <alignment horizontal="center" vertical="center" wrapText="1"/>
    </xf>
    <xf numFmtId="49" fontId="54" fillId="0" borderId="0" xfId="3" applyNumberFormat="1" applyAlignment="1" applyProtection="1">
      <alignment horizontal="left" vertical="center" wrapText="1"/>
      <protection locked="0"/>
    </xf>
    <xf numFmtId="49" fontId="54" fillId="0" borderId="0" xfId="3" applyNumberFormat="1" applyAlignment="1">
      <alignment horizontal="left" vertical="center" wrapText="1"/>
    </xf>
    <xf numFmtId="14" fontId="54" fillId="0" borderId="0" xfId="3" applyNumberFormat="1" applyAlignment="1" applyProtection="1">
      <alignment vertical="center"/>
      <protection locked="0"/>
    </xf>
    <xf numFmtId="0" fontId="109" fillId="0" borderId="0" xfId="3" applyFont="1" applyAlignment="1" applyProtection="1">
      <alignment horizontal="left" vertical="center"/>
      <protection locked="0"/>
    </xf>
    <xf numFmtId="0" fontId="54" fillId="0" borderId="0" xfId="3" applyAlignment="1">
      <alignment horizontal="left" vertical="center" wrapText="1"/>
    </xf>
    <xf numFmtId="0" fontId="106" fillId="0" borderId="5" xfId="3" applyFont="1" applyBorder="1" applyAlignment="1" applyProtection="1">
      <alignment vertical="center"/>
      <protection locked="0"/>
    </xf>
    <xf numFmtId="49" fontId="54" fillId="0" borderId="5" xfId="3" applyNumberFormat="1" applyBorder="1" applyAlignment="1" applyProtection="1">
      <alignment horizontal="left" vertical="center" wrapText="1"/>
      <protection locked="0"/>
    </xf>
    <xf numFmtId="0" fontId="54" fillId="0" borderId="5" xfId="3" applyBorder="1" applyAlignment="1">
      <alignment horizontal="left" vertical="center" wrapText="1"/>
    </xf>
    <xf numFmtId="0" fontId="106" fillId="0" borderId="0" xfId="3" applyFont="1" applyAlignment="1" applyProtection="1">
      <alignment vertical="center"/>
      <protection locked="0"/>
    </xf>
    <xf numFmtId="49" fontId="54" fillId="0" borderId="0" xfId="3" applyNumberFormat="1" applyAlignment="1" applyProtection="1">
      <alignment horizontal="left" vertical="center"/>
      <protection locked="0"/>
    </xf>
    <xf numFmtId="0" fontId="54" fillId="0" borderId="0" xfId="3" applyAlignment="1">
      <alignment horizontal="left" vertical="center"/>
    </xf>
    <xf numFmtId="0" fontId="55" fillId="2" borderId="1" xfId="0" applyFont="1" applyFill="1" applyBorder="1" applyAlignment="1">
      <alignment horizontal="center" vertical="center"/>
    </xf>
    <xf numFmtId="0" fontId="54" fillId="21" borderId="0" xfId="0" applyFont="1" applyFill="1" applyAlignment="1">
      <alignment horizontal="left" vertical="top" wrapText="1"/>
    </xf>
    <xf numFmtId="0" fontId="54" fillId="21" borderId="0" xfId="0" applyFont="1" applyFill="1" applyAlignment="1">
      <alignment wrapText="1"/>
    </xf>
    <xf numFmtId="0" fontId="0" fillId="21" borderId="0" xfId="0" applyFill="1" applyAlignment="1">
      <alignment wrapText="1"/>
    </xf>
    <xf numFmtId="0" fontId="54" fillId="9" borderId="0" xfId="0" applyFont="1" applyFill="1" applyAlignment="1">
      <alignment wrapText="1"/>
    </xf>
    <xf numFmtId="0" fontId="0" fillId="9" borderId="0" xfId="0" applyFill="1" applyAlignment="1">
      <alignment wrapText="1"/>
    </xf>
    <xf numFmtId="0" fontId="54" fillId="2" borderId="2" xfId="0" applyFont="1" applyFill="1" applyBorder="1" applyAlignment="1">
      <alignment horizontal="right"/>
    </xf>
    <xf numFmtId="0" fontId="0" fillId="2" borderId="4" xfId="0" applyFill="1" applyBorder="1" applyAlignment="1">
      <alignment horizontal="right"/>
    </xf>
    <xf numFmtId="0" fontId="51" fillId="0" borderId="0" xfId="11"/>
    <xf numFmtId="0" fontId="57" fillId="10" borderId="1" xfId="0" applyFont="1" applyFill="1" applyBorder="1" applyAlignment="1">
      <alignment horizontal="center" vertical="center" wrapText="1"/>
    </xf>
    <xf numFmtId="0" fontId="116" fillId="12" borderId="1" xfId="0" applyFont="1" applyFill="1" applyBorder="1" applyAlignment="1">
      <alignment horizontal="center" vertical="center" wrapText="1"/>
    </xf>
    <xf numFmtId="0" fontId="57" fillId="11" borderId="1" xfId="0" applyFont="1" applyFill="1" applyBorder="1" applyAlignment="1">
      <alignment horizontal="center" vertical="center" wrapText="1"/>
    </xf>
    <xf numFmtId="14" fontId="57" fillId="11" borderId="1" xfId="0" applyNumberFormat="1" applyFont="1" applyFill="1" applyBorder="1" applyAlignment="1">
      <alignment horizontal="center" vertical="center" wrapText="1"/>
    </xf>
    <xf numFmtId="0" fontId="78" fillId="8" borderId="0" xfId="0" applyFont="1" applyFill="1" applyAlignment="1">
      <alignment horizontal="center" vertical="center"/>
    </xf>
    <xf numFmtId="0" fontId="78" fillId="8" borderId="0" xfId="0" applyFont="1" applyFill="1" applyAlignment="1">
      <alignment vertical="center"/>
    </xf>
    <xf numFmtId="0" fontId="78" fillId="0" borderId="0" xfId="0" applyFont="1" applyAlignment="1">
      <alignment vertical="center"/>
    </xf>
    <xf numFmtId="0" fontId="57" fillId="0" borderId="0" xfId="0" applyFont="1" applyAlignment="1">
      <alignment vertical="center"/>
    </xf>
    <xf numFmtId="0" fontId="118" fillId="29" borderId="20" xfId="14" applyFont="1" applyFill="1" applyBorder="1" applyAlignment="1" applyProtection="1">
      <alignment horizontal="center" vertical="center" wrapText="1"/>
      <protection locked="0"/>
    </xf>
    <xf numFmtId="0" fontId="119" fillId="13" borderId="20" xfId="14" applyFont="1" applyFill="1" applyBorder="1" applyAlignment="1" applyProtection="1">
      <alignment horizontal="center" vertical="center" wrapText="1"/>
    </xf>
    <xf numFmtId="0" fontId="118" fillId="7" borderId="1" xfId="14" applyFont="1" applyFill="1" applyBorder="1" applyAlignment="1">
      <alignment horizontal="left" vertical="center"/>
    </xf>
    <xf numFmtId="0" fontId="114" fillId="25" borderId="14" xfId="12" applyAlignment="1">
      <alignment horizontal="center" vertical="center"/>
    </xf>
    <xf numFmtId="0" fontId="118" fillId="7" borderId="1" xfId="14" applyFont="1" applyFill="1" applyBorder="1" applyAlignment="1">
      <alignment horizontal="center" vertical="center"/>
    </xf>
    <xf numFmtId="0" fontId="54" fillId="5" borderId="0" xfId="15" applyFill="1" applyAlignment="1">
      <alignment vertical="center"/>
    </xf>
    <xf numFmtId="0" fontId="54" fillId="5" borderId="0" xfId="15" applyFill="1" applyAlignment="1">
      <alignment vertical="center" wrapText="1"/>
    </xf>
    <xf numFmtId="0" fontId="54" fillId="0" borderId="1" xfId="3" applyBorder="1" applyAlignment="1">
      <alignment vertical="center"/>
    </xf>
    <xf numFmtId="0" fontId="56" fillId="5" borderId="0" xfId="15" applyFont="1" applyFill="1" applyAlignment="1">
      <alignment vertical="center"/>
    </xf>
    <xf numFmtId="0" fontId="95" fillId="30" borderId="10" xfId="15" applyFont="1" applyFill="1" applyBorder="1" applyAlignment="1">
      <alignment vertical="center"/>
    </xf>
    <xf numFmtId="0" fontId="124" fillId="30" borderId="19" xfId="15" applyFont="1" applyFill="1" applyBorder="1" applyAlignment="1">
      <alignment vertical="center" wrapText="1"/>
    </xf>
    <xf numFmtId="0" fontId="124" fillId="30" borderId="11" xfId="15" applyFont="1" applyFill="1" applyBorder="1" applyAlignment="1">
      <alignment vertical="center" wrapText="1"/>
    </xf>
    <xf numFmtId="0" fontId="54" fillId="5" borderId="1" xfId="15" applyFill="1" applyBorder="1" applyAlignment="1">
      <alignment vertical="center"/>
    </xf>
    <xf numFmtId="0" fontId="54" fillId="0" borderId="12" xfId="3" applyBorder="1" applyAlignment="1">
      <alignment vertical="center"/>
    </xf>
    <xf numFmtId="0" fontId="54" fillId="0" borderId="7" xfId="3" applyBorder="1" applyAlignment="1">
      <alignment vertical="center"/>
    </xf>
    <xf numFmtId="0" fontId="125" fillId="5" borderId="1" xfId="15" applyFont="1" applyFill="1" applyBorder="1" applyAlignment="1">
      <alignment horizontal="center" vertical="center"/>
    </xf>
    <xf numFmtId="0" fontId="54" fillId="5" borderId="1" xfId="15" applyFill="1" applyBorder="1" applyAlignment="1">
      <alignment vertical="center" wrapText="1"/>
    </xf>
    <xf numFmtId="0" fontId="95" fillId="32" borderId="10" xfId="15" applyFont="1" applyFill="1" applyBorder="1" applyAlignment="1">
      <alignment vertical="center"/>
    </xf>
    <xf numFmtId="0" fontId="64" fillId="32" borderId="8" xfId="15" applyFont="1" applyFill="1" applyBorder="1" applyAlignment="1">
      <alignment horizontal="center" vertical="center" wrapText="1"/>
    </xf>
    <xf numFmtId="0" fontId="124" fillId="32" borderId="19" xfId="15" applyFont="1" applyFill="1" applyBorder="1" applyAlignment="1">
      <alignment vertical="center" wrapText="1"/>
    </xf>
    <xf numFmtId="0" fontId="124" fillId="32" borderId="11" xfId="15" applyFont="1" applyFill="1" applyBorder="1" applyAlignment="1">
      <alignment vertical="center" wrapText="1"/>
    </xf>
    <xf numFmtId="0" fontId="95" fillId="33" borderId="1" xfId="15" applyFont="1" applyFill="1" applyBorder="1" applyAlignment="1">
      <alignment horizontal="center" vertical="center" textRotation="45" wrapText="1"/>
    </xf>
    <xf numFmtId="0" fontId="122" fillId="33" borderId="1" xfId="15" applyFont="1" applyFill="1" applyBorder="1" applyAlignment="1">
      <alignment horizontal="center" vertical="center" wrapText="1"/>
    </xf>
    <xf numFmtId="0" fontId="110" fillId="33" borderId="1" xfId="15" applyFont="1" applyFill="1" applyBorder="1" applyAlignment="1">
      <alignment horizontal="center" vertical="center" textRotation="45"/>
    </xf>
    <xf numFmtId="0" fontId="110" fillId="33" borderId="1" xfId="15" applyFont="1" applyFill="1" applyBorder="1" applyAlignment="1">
      <alignment horizontal="center" vertical="center" wrapText="1"/>
    </xf>
    <xf numFmtId="0" fontId="95" fillId="33" borderId="13" xfId="15" applyFont="1" applyFill="1" applyBorder="1" applyAlignment="1">
      <alignment horizontal="center" vertical="center"/>
    </xf>
    <xf numFmtId="0" fontId="123" fillId="33" borderId="13" xfId="15" applyFont="1" applyFill="1" applyBorder="1" applyAlignment="1">
      <alignment horizontal="center" vertical="center" wrapText="1"/>
    </xf>
    <xf numFmtId="0" fontId="95" fillId="24" borderId="7" xfId="15" applyFont="1" applyFill="1" applyBorder="1" applyAlignment="1">
      <alignment horizontal="center" vertical="center"/>
    </xf>
    <xf numFmtId="0" fontId="126" fillId="24" borderId="8" xfId="15" applyFont="1" applyFill="1" applyBorder="1" applyAlignment="1">
      <alignment horizontal="center" vertical="center" wrapText="1"/>
    </xf>
    <xf numFmtId="0" fontId="123" fillId="24" borderId="8" xfId="15" applyFont="1" applyFill="1" applyBorder="1" applyAlignment="1">
      <alignment horizontal="center" vertical="center" wrapText="1"/>
    </xf>
    <xf numFmtId="0" fontId="123" fillId="24" borderId="9" xfId="15" applyFont="1" applyFill="1" applyBorder="1" applyAlignment="1">
      <alignment horizontal="center" vertical="center" wrapText="1"/>
    </xf>
    <xf numFmtId="0" fontId="64" fillId="30" borderId="19" xfId="15" applyFont="1" applyFill="1" applyBorder="1" applyAlignment="1">
      <alignment vertical="center" wrapText="1"/>
    </xf>
    <xf numFmtId="0" fontId="0" fillId="0" borderId="0" xfId="0" applyAlignment="1" applyProtection="1">
      <alignment vertical="center"/>
      <protection locked="0"/>
    </xf>
    <xf numFmtId="0" fontId="107" fillId="0" borderId="0" xfId="0" applyFont="1" applyAlignment="1" applyProtection="1">
      <alignment horizontal="left" vertical="center"/>
      <protection locked="0"/>
    </xf>
    <xf numFmtId="0" fontId="54" fillId="0" borderId="1" xfId="15" applyBorder="1" applyAlignment="1">
      <alignment vertical="center" wrapText="1"/>
    </xf>
    <xf numFmtId="0" fontId="64" fillId="31" borderId="0" xfId="3" applyFont="1" applyFill="1" applyAlignment="1">
      <alignment horizontal="center" wrapText="1"/>
    </xf>
    <xf numFmtId="0" fontId="76" fillId="31" borderId="0" xfId="3" applyFont="1" applyFill="1" applyAlignment="1">
      <alignment horizontal="center" wrapText="1"/>
    </xf>
    <xf numFmtId="0" fontId="118" fillId="29" borderId="12" xfId="29" applyFont="1" applyFill="1" applyBorder="1" applyAlignment="1">
      <alignment horizontal="center" vertical="center" wrapText="1"/>
    </xf>
    <xf numFmtId="0" fontId="131" fillId="0" borderId="2" xfId="0" applyFont="1" applyBorder="1" applyAlignment="1">
      <alignment horizontal="right" vertical="center"/>
    </xf>
    <xf numFmtId="0" fontId="133" fillId="0" borderId="0" xfId="0" applyFont="1" applyAlignment="1">
      <alignment wrapText="1"/>
    </xf>
    <xf numFmtId="0" fontId="115" fillId="7" borderId="1" xfId="14" applyFont="1" applyFill="1" applyBorder="1" applyAlignment="1">
      <alignment horizontal="center" vertical="center"/>
    </xf>
    <xf numFmtId="0" fontId="134" fillId="8" borderId="0" xfId="30" applyFill="1" applyAlignment="1">
      <alignment horizontal="center" wrapText="1"/>
    </xf>
    <xf numFmtId="0" fontId="35" fillId="0" borderId="0" xfId="11" applyFont="1"/>
    <xf numFmtId="0" fontId="86" fillId="6" borderId="21" xfId="1" applyBorder="1"/>
    <xf numFmtId="0" fontId="0" fillId="6" borderId="14" xfId="1" applyFont="1"/>
    <xf numFmtId="0" fontId="34" fillId="0" borderId="0" xfId="11" applyFont="1"/>
    <xf numFmtId="0" fontId="86" fillId="6" borderId="14" xfId="1"/>
    <xf numFmtId="0" fontId="33" fillId="0" borderId="0" xfId="11" applyFont="1"/>
    <xf numFmtId="0" fontId="32" fillId="0" borderId="0" xfId="11" applyFont="1"/>
    <xf numFmtId="0" fontId="31" fillId="0" borderId="0" xfId="11" applyFont="1"/>
    <xf numFmtId="0" fontId="30" fillId="0" borderId="0" xfId="11" applyFont="1"/>
    <xf numFmtId="0" fontId="29" fillId="0" borderId="0" xfId="11" applyFont="1"/>
    <xf numFmtId="0" fontId="28" fillId="0" borderId="0" xfId="11" applyFont="1"/>
    <xf numFmtId="0" fontId="27" fillId="0" borderId="0" xfId="11" applyFont="1"/>
    <xf numFmtId="0" fontId="26" fillId="0" borderId="0" xfId="11" applyFont="1"/>
    <xf numFmtId="0" fontId="25" fillId="0" borderId="0" xfId="11" applyFont="1"/>
    <xf numFmtId="0" fontId="24" fillId="0" borderId="0" xfId="11" applyFont="1"/>
    <xf numFmtId="0" fontId="23" fillId="0" borderId="22" xfId="11" applyFont="1" applyBorder="1"/>
    <xf numFmtId="0" fontId="23" fillId="0" borderId="23" xfId="11" applyFont="1" applyBorder="1"/>
    <xf numFmtId="0" fontId="22" fillId="0" borderId="22" xfId="11" applyFont="1" applyBorder="1"/>
    <xf numFmtId="0" fontId="22" fillId="0" borderId="23" xfId="11" applyFont="1" applyBorder="1"/>
    <xf numFmtId="0" fontId="21" fillId="0" borderId="23" xfId="11" applyFont="1" applyBorder="1"/>
    <xf numFmtId="0" fontId="19" fillId="0" borderId="24" xfId="11" applyFont="1" applyBorder="1"/>
    <xf numFmtId="0" fontId="20" fillId="0" borderId="25" xfId="11" applyFont="1" applyBorder="1"/>
    <xf numFmtId="0" fontId="20" fillId="0" borderId="26" xfId="11" applyFont="1" applyBorder="1"/>
    <xf numFmtId="0" fontId="51" fillId="0" borderId="26" xfId="11" applyBorder="1"/>
    <xf numFmtId="0" fontId="51" fillId="0" borderId="27" xfId="11" applyBorder="1"/>
    <xf numFmtId="0" fontId="19" fillId="0" borderId="25" xfId="11" applyFont="1" applyBorder="1"/>
    <xf numFmtId="0" fontId="19" fillId="0" borderId="26" xfId="11" applyFont="1" applyBorder="1"/>
    <xf numFmtId="0" fontId="86" fillId="6" borderId="31" xfId="1" applyBorder="1"/>
    <xf numFmtId="0" fontId="17" fillId="0" borderId="0" xfId="11" applyFont="1"/>
    <xf numFmtId="0" fontId="51" fillId="0" borderId="33" xfId="11" applyBorder="1"/>
    <xf numFmtId="0" fontId="16" fillId="0" borderId="32" xfId="11" applyFont="1" applyBorder="1"/>
    <xf numFmtId="0" fontId="16" fillId="0" borderId="0" xfId="11" applyFont="1"/>
    <xf numFmtId="0" fontId="15" fillId="0" borderId="34" xfId="11" applyFont="1" applyBorder="1"/>
    <xf numFmtId="0" fontId="16" fillId="0" borderId="35" xfId="11" applyFont="1" applyBorder="1"/>
    <xf numFmtId="0" fontId="15" fillId="0" borderId="35" xfId="11" applyFont="1" applyBorder="1"/>
    <xf numFmtId="0" fontId="51" fillId="0" borderId="35" xfId="11" applyBorder="1"/>
    <xf numFmtId="0" fontId="51" fillId="0" borderId="36" xfId="11" applyBorder="1"/>
    <xf numFmtId="0" fontId="18" fillId="0" borderId="29" xfId="11" applyFont="1" applyBorder="1"/>
    <xf numFmtId="0" fontId="19" fillId="0" borderId="29" xfId="11" applyFont="1" applyBorder="1"/>
    <xf numFmtId="0" fontId="86" fillId="6" borderId="37" xfId="1" applyBorder="1"/>
    <xf numFmtId="0" fontId="51" fillId="0" borderId="29" xfId="11" applyBorder="1"/>
    <xf numFmtId="0" fontId="51" fillId="0" borderId="30" xfId="11" applyBorder="1"/>
    <xf numFmtId="0" fontId="17" fillId="0" borderId="28" xfId="11" applyFont="1" applyBorder="1"/>
    <xf numFmtId="0" fontId="17" fillId="0" borderId="29" xfId="11" applyFont="1" applyBorder="1"/>
    <xf numFmtId="0" fontId="16" fillId="0" borderId="28" xfId="11" applyFont="1" applyBorder="1"/>
    <xf numFmtId="0" fontId="16" fillId="0" borderId="29" xfId="11" applyFont="1" applyBorder="1"/>
    <xf numFmtId="0" fontId="20" fillId="0" borderId="35" xfId="11" applyFont="1" applyBorder="1"/>
    <xf numFmtId="0" fontId="86" fillId="6" borderId="38" xfId="1" applyBorder="1"/>
    <xf numFmtId="0" fontId="23" fillId="0" borderId="0" xfId="11" applyFont="1"/>
    <xf numFmtId="0" fontId="24" fillId="0" borderId="28" xfId="11" applyFont="1" applyBorder="1"/>
    <xf numFmtId="0" fontId="51" fillId="0" borderId="39" xfId="11" applyBorder="1"/>
    <xf numFmtId="0" fontId="22" fillId="0" borderId="0" xfId="11" applyFont="1"/>
    <xf numFmtId="0" fontId="22" fillId="0" borderId="40" xfId="11" applyFont="1" applyBorder="1"/>
    <xf numFmtId="0" fontId="135" fillId="0" borderId="0" xfId="0" applyFont="1"/>
    <xf numFmtId="0" fontId="14" fillId="0" borderId="34" xfId="11" applyFont="1" applyBorder="1"/>
    <xf numFmtId="0" fontId="14" fillId="0" borderId="35" xfId="11" applyFont="1" applyBorder="1"/>
    <xf numFmtId="0" fontId="0" fillId="0" borderId="1" xfId="0" applyBorder="1" applyAlignment="1">
      <alignment horizontal="left" vertical="top"/>
    </xf>
    <xf numFmtId="0" fontId="13" fillId="0" borderId="35" xfId="11" applyFont="1" applyBorder="1"/>
    <xf numFmtId="0" fontId="110" fillId="33" borderId="1" xfId="15" applyFont="1" applyFill="1" applyBorder="1" applyAlignment="1">
      <alignment horizontal="left" vertical="top" textRotation="45"/>
    </xf>
    <xf numFmtId="0" fontId="54" fillId="0" borderId="1" xfId="0" applyFont="1" applyBorder="1" applyAlignment="1">
      <alignment horizontal="left" vertical="top"/>
    </xf>
    <xf numFmtId="0" fontId="12" fillId="0" borderId="0" xfId="11" applyFont="1"/>
    <xf numFmtId="0" fontId="11" fillId="0" borderId="0" xfId="11" applyFont="1"/>
    <xf numFmtId="0" fontId="10" fillId="0" borderId="0" xfId="11" applyFont="1"/>
    <xf numFmtId="0" fontId="9" fillId="0" borderId="0" xfId="11" applyFont="1"/>
    <xf numFmtId="0" fontId="8" fillId="0" borderId="28" xfId="11" applyFont="1" applyBorder="1"/>
    <xf numFmtId="0" fontId="7" fillId="0" borderId="22" xfId="11" applyFont="1" applyBorder="1"/>
    <xf numFmtId="0" fontId="7" fillId="0" borderId="0" xfId="11" applyFont="1"/>
    <xf numFmtId="0" fontId="54" fillId="0" borderId="1" xfId="0" applyFont="1" applyBorder="1" applyAlignment="1">
      <alignment horizontal="left" vertical="center" wrapText="1"/>
    </xf>
    <xf numFmtId="0" fontId="6" fillId="0" borderId="0" xfId="11" applyFont="1"/>
    <xf numFmtId="0" fontId="5" fillId="0" borderId="0" xfId="11" applyFont="1"/>
    <xf numFmtId="0" fontId="4" fillId="0" borderId="0" xfId="11" applyFont="1"/>
    <xf numFmtId="0" fontId="3" fillId="0" borderId="0" xfId="11" applyFont="1"/>
    <xf numFmtId="0" fontId="2" fillId="0" borderId="0" xfId="11" applyFont="1"/>
    <xf numFmtId="0" fontId="1" fillId="0" borderId="0" xfId="11" applyFont="1"/>
    <xf numFmtId="0" fontId="59" fillId="0" borderId="7" xfId="3" applyFont="1" applyBorder="1" applyAlignment="1">
      <alignment horizontal="left" vertical="center" shrinkToFit="1"/>
    </xf>
    <xf numFmtId="0" fontId="59" fillId="0" borderId="8" xfId="3" applyFont="1" applyBorder="1" applyAlignment="1">
      <alignment horizontal="left" vertical="center" shrinkToFit="1"/>
    </xf>
    <xf numFmtId="0" fontId="59" fillId="0" borderId="9" xfId="3" applyFont="1" applyBorder="1" applyAlignment="1">
      <alignment horizontal="left" vertical="center" shrinkToFit="1"/>
    </xf>
    <xf numFmtId="0" fontId="59" fillId="0" borderId="7" xfId="3" applyFont="1" applyBorder="1" applyAlignment="1">
      <alignment horizontal="left" vertical="center" wrapText="1"/>
    </xf>
    <xf numFmtId="0" fontId="59" fillId="0" borderId="8" xfId="3" applyFont="1" applyBorder="1" applyAlignment="1">
      <alignment horizontal="left" vertical="center" wrapText="1"/>
    </xf>
    <xf numFmtId="0" fontId="59" fillId="0" borderId="9" xfId="3" applyFont="1" applyBorder="1" applyAlignment="1">
      <alignment horizontal="left" vertical="center" wrapText="1"/>
    </xf>
    <xf numFmtId="0" fontId="93" fillId="0" borderId="4" xfId="0" applyFont="1" applyBorder="1" applyAlignment="1">
      <alignment horizontal="left" vertical="center" shrinkToFit="1"/>
    </xf>
    <xf numFmtId="0" fontId="93" fillId="0" borderId="5" xfId="0" applyFont="1" applyBorder="1" applyAlignment="1">
      <alignment horizontal="left" vertical="center" shrinkToFit="1"/>
    </xf>
    <xf numFmtId="0" fontId="93" fillId="0" borderId="6" xfId="0" applyFont="1" applyBorder="1" applyAlignment="1">
      <alignment horizontal="left" vertical="center" shrinkToFit="1"/>
    </xf>
    <xf numFmtId="0" fontId="93" fillId="0" borderId="4" xfId="3" applyFont="1" applyBorder="1" applyAlignment="1">
      <alignment horizontal="left" vertical="center" shrinkToFit="1"/>
    </xf>
    <xf numFmtId="0" fontId="93" fillId="0" borderId="5" xfId="3" applyFont="1" applyBorder="1" applyAlignment="1">
      <alignment horizontal="left" vertical="center" shrinkToFit="1"/>
    </xf>
    <xf numFmtId="0" fontId="93" fillId="0" borderId="6" xfId="3" applyFont="1" applyBorder="1" applyAlignment="1">
      <alignment horizontal="left" vertical="center" shrinkToFit="1"/>
    </xf>
    <xf numFmtId="0" fontId="104" fillId="0" borderId="0" xfId="3" applyFont="1" applyAlignment="1" applyProtection="1">
      <alignment horizontal="center" vertical="center" wrapText="1"/>
      <protection locked="0"/>
    </xf>
    <xf numFmtId="0" fontId="54" fillId="0" borderId="0" xfId="3" applyAlignment="1">
      <alignment vertical="center" wrapText="1"/>
    </xf>
    <xf numFmtId="0" fontId="95" fillId="16" borderId="2" xfId="3" applyFont="1" applyFill="1" applyBorder="1" applyAlignment="1" applyProtection="1">
      <alignment horizontal="center" vertical="center" shrinkToFit="1"/>
      <protection locked="0"/>
    </xf>
    <xf numFmtId="0" fontId="95" fillId="16" borderId="0" xfId="3" applyFont="1" applyFill="1" applyAlignment="1" applyProtection="1">
      <alignment horizontal="center" vertical="center" shrinkToFit="1"/>
      <protection locked="0"/>
    </xf>
    <xf numFmtId="0" fontId="95" fillId="16" borderId="3" xfId="3" applyFont="1" applyFill="1" applyBorder="1" applyAlignment="1" applyProtection="1">
      <alignment horizontal="center" vertical="center" shrinkToFit="1"/>
      <protection locked="0"/>
    </xf>
    <xf numFmtId="0" fontId="54" fillId="0" borderId="4" xfId="3" applyBorder="1" applyAlignment="1" applyProtection="1">
      <alignment horizontal="right" vertical="top" wrapText="1" shrinkToFit="1"/>
      <protection locked="0"/>
    </xf>
    <xf numFmtId="0" fontId="54" fillId="0" borderId="5" xfId="3" applyBorder="1" applyAlignment="1" applyProtection="1">
      <alignment horizontal="right" vertical="top" wrapText="1" shrinkToFit="1"/>
      <protection locked="0"/>
    </xf>
    <xf numFmtId="0" fontId="96" fillId="0" borderId="5" xfId="0" applyFont="1" applyBorder="1" applyAlignment="1" applyProtection="1">
      <alignment horizontal="left" vertical="top" wrapText="1" shrinkToFit="1"/>
      <protection locked="0"/>
    </xf>
    <xf numFmtId="0" fontId="96" fillId="0" borderId="6" xfId="0" applyFont="1" applyBorder="1" applyAlignment="1" applyProtection="1">
      <alignment horizontal="left" vertical="top" wrapText="1" shrinkToFit="1"/>
      <protection locked="0"/>
    </xf>
    <xf numFmtId="0" fontId="56" fillId="0" borderId="5" xfId="3" applyFont="1" applyBorder="1" applyAlignment="1" applyProtection="1">
      <alignment horizontal="left" vertical="top" wrapText="1" shrinkToFit="1"/>
      <protection locked="0"/>
    </xf>
    <xf numFmtId="0" fontId="98" fillId="0" borderId="5" xfId="3" applyFont="1" applyBorder="1" applyAlignment="1" applyProtection="1">
      <alignment horizontal="left" vertical="top" shrinkToFit="1"/>
      <protection locked="0"/>
    </xf>
    <xf numFmtId="0" fontId="98" fillId="0" borderId="6" xfId="3" applyFont="1" applyBorder="1" applyAlignment="1" applyProtection="1">
      <alignment horizontal="left" vertical="top" shrinkToFit="1"/>
      <protection locked="0"/>
    </xf>
    <xf numFmtId="0" fontId="95" fillId="16" borderId="7" xfId="3" applyFont="1" applyFill="1" applyBorder="1" applyAlignment="1" applyProtection="1">
      <alignment horizontal="center" vertical="center" shrinkToFit="1"/>
      <protection locked="0"/>
    </xf>
    <xf numFmtId="0" fontId="95" fillId="16" borderId="8" xfId="3" applyFont="1" applyFill="1" applyBorder="1" applyAlignment="1" applyProtection="1">
      <alignment horizontal="center" vertical="center" shrinkToFit="1"/>
      <protection locked="0"/>
    </xf>
    <xf numFmtId="0" fontId="95" fillId="16" borderId="9" xfId="3" applyFont="1" applyFill="1" applyBorder="1" applyAlignment="1" applyProtection="1">
      <alignment horizontal="center" vertical="center" shrinkToFit="1"/>
      <protection locked="0"/>
    </xf>
    <xf numFmtId="0" fontId="54" fillId="0" borderId="4" xfId="3" applyBorder="1" applyAlignment="1" applyProtection="1">
      <alignment horizontal="center" vertical="top" wrapText="1" shrinkToFit="1"/>
      <protection locked="0"/>
    </xf>
    <xf numFmtId="0" fontId="54" fillId="0" borderId="5" xfId="3" applyBorder="1" applyAlignment="1" applyProtection="1">
      <alignment horizontal="center" vertical="top" wrapText="1" shrinkToFit="1"/>
      <protection locked="0"/>
    </xf>
    <xf numFmtId="0" fontId="54" fillId="0" borderId="6" xfId="3" applyBorder="1" applyAlignment="1" applyProtection="1">
      <alignment horizontal="center" vertical="top" wrapText="1" shrinkToFit="1"/>
      <protection locked="0"/>
    </xf>
    <xf numFmtId="0" fontId="95" fillId="16" borderId="8" xfId="3" applyFont="1" applyFill="1" applyBorder="1" applyAlignment="1" applyProtection="1">
      <alignment horizontal="center" vertical="center" wrapText="1"/>
      <protection locked="0"/>
    </xf>
    <xf numFmtId="0" fontId="95" fillId="16" borderId="0" xfId="3" applyFont="1" applyFill="1" applyAlignment="1" applyProtection="1">
      <alignment horizontal="center" vertical="center" wrapText="1"/>
      <protection locked="0"/>
    </xf>
    <xf numFmtId="0" fontId="54" fillId="0" borderId="7" xfId="3" applyBorder="1" applyAlignment="1" applyProtection="1">
      <alignment horizontal="left" vertical="top"/>
      <protection locked="0"/>
    </xf>
    <xf numFmtId="0" fontId="54" fillId="0" borderId="8" xfId="3" applyBorder="1" applyAlignment="1" applyProtection="1">
      <alignment horizontal="left" vertical="top"/>
      <protection locked="0"/>
    </xf>
    <xf numFmtId="0" fontId="54" fillId="0" borderId="9" xfId="3" applyBorder="1" applyAlignment="1" applyProtection="1">
      <alignment horizontal="left" vertical="top"/>
      <protection locked="0"/>
    </xf>
    <xf numFmtId="0" fontId="54" fillId="0" borderId="4" xfId="3" applyBorder="1" applyAlignment="1" applyProtection="1">
      <alignment horizontal="left" vertical="top"/>
      <protection locked="0"/>
    </xf>
    <xf numFmtId="0" fontId="54" fillId="0" borderId="5" xfId="3" applyBorder="1" applyAlignment="1" applyProtection="1">
      <alignment horizontal="left" vertical="top"/>
      <protection locked="0"/>
    </xf>
    <xf numFmtId="0" fontId="54" fillId="0" borderId="6" xfId="3" applyBorder="1" applyAlignment="1" applyProtection="1">
      <alignment horizontal="left" vertical="top"/>
      <protection locked="0"/>
    </xf>
    <xf numFmtId="0" fontId="95" fillId="16" borderId="2" xfId="3" applyFont="1" applyFill="1" applyBorder="1" applyAlignment="1" applyProtection="1">
      <alignment horizontal="center" vertical="center" wrapText="1" shrinkToFit="1"/>
      <protection locked="0"/>
    </xf>
    <xf numFmtId="0" fontId="95" fillId="16" borderId="0" xfId="3" applyFont="1" applyFill="1" applyAlignment="1" applyProtection="1">
      <alignment horizontal="center" vertical="center" wrapText="1" shrinkToFit="1"/>
      <protection locked="0"/>
    </xf>
    <xf numFmtId="0" fontId="114" fillId="25" borderId="14" xfId="12" applyAlignment="1" applyProtection="1">
      <alignment horizontal="center" vertical="center"/>
      <protection locked="0"/>
    </xf>
    <xf numFmtId="0" fontId="128" fillId="2" borderId="10" xfId="7" applyFont="1" applyFill="1" applyBorder="1" applyAlignment="1">
      <alignment horizontal="center" vertical="center"/>
    </xf>
    <xf numFmtId="0" fontId="128" fillId="2" borderId="19" xfId="7" applyFont="1" applyFill="1" applyBorder="1" applyAlignment="1">
      <alignment horizontal="center" vertical="center"/>
    </xf>
    <xf numFmtId="0" fontId="128" fillId="2" borderId="11" xfId="7" applyFont="1" applyFill="1" applyBorder="1" applyAlignment="1">
      <alignment horizontal="center" vertical="center"/>
    </xf>
    <xf numFmtId="0" fontId="61" fillId="2" borderId="10" xfId="7" applyFill="1" applyBorder="1" applyAlignment="1">
      <alignment horizontal="justify" vertical="center" wrapText="1"/>
    </xf>
    <xf numFmtId="0" fontId="61" fillId="2" borderId="19" xfId="7" applyFill="1" applyBorder="1" applyAlignment="1">
      <alignment horizontal="justify" vertical="center" wrapText="1"/>
    </xf>
    <xf numFmtId="0" fontId="61" fillId="2" borderId="11" xfId="7" applyFill="1" applyBorder="1" applyAlignment="1">
      <alignment horizontal="justify" vertical="center" wrapText="1"/>
    </xf>
    <xf numFmtId="49" fontId="54" fillId="0" borderId="10" xfId="3" applyNumberFormat="1" applyBorder="1" applyAlignment="1" applyProtection="1">
      <alignment horizontal="center" vertical="center" wrapText="1"/>
      <protection locked="0"/>
    </xf>
    <xf numFmtId="49" fontId="54" fillId="0" borderId="19" xfId="3" applyNumberFormat="1" applyBorder="1" applyAlignment="1" applyProtection="1">
      <alignment horizontal="center" vertical="center" wrapText="1"/>
      <protection locked="0"/>
    </xf>
    <xf numFmtId="49" fontId="54" fillId="0" borderId="11" xfId="3" applyNumberFormat="1" applyBorder="1" applyAlignment="1" applyProtection="1">
      <alignment horizontal="center" vertical="center" wrapText="1"/>
      <protection locked="0"/>
    </xf>
    <xf numFmtId="14" fontId="54" fillId="0" borderId="10" xfId="3" applyNumberFormat="1" applyBorder="1" applyAlignment="1" applyProtection="1">
      <alignment horizontal="left" vertical="center" wrapText="1"/>
      <protection locked="0"/>
    </xf>
    <xf numFmtId="14" fontId="54" fillId="0" borderId="19" xfId="3" applyNumberFormat="1" applyBorder="1" applyAlignment="1" applyProtection="1">
      <alignment horizontal="left" vertical="center" wrapText="1"/>
      <protection locked="0"/>
    </xf>
    <xf numFmtId="14" fontId="54" fillId="0" borderId="11" xfId="3" applyNumberFormat="1" applyBorder="1" applyAlignment="1" applyProtection="1">
      <alignment horizontal="left" vertical="center" wrapText="1"/>
      <protection locked="0"/>
    </xf>
    <xf numFmtId="49" fontId="54" fillId="0" borderId="1" xfId="3" applyNumberFormat="1" applyBorder="1" applyAlignment="1" applyProtection="1">
      <alignment horizontal="left" vertical="center" wrapText="1"/>
      <protection locked="0"/>
    </xf>
    <xf numFmtId="49" fontId="54" fillId="0" borderId="1" xfId="3" applyNumberFormat="1" applyBorder="1" applyAlignment="1">
      <alignment horizontal="left" vertical="center" wrapText="1"/>
    </xf>
    <xf numFmtId="49" fontId="54" fillId="23" borderId="1" xfId="3" applyNumberFormat="1" applyFill="1" applyBorder="1" applyAlignment="1" applyProtection="1">
      <alignment horizontal="center" vertical="center" wrapText="1"/>
      <protection locked="0"/>
    </xf>
    <xf numFmtId="49" fontId="54" fillId="34" borderId="1" xfId="3" applyNumberFormat="1" applyFill="1" applyBorder="1" applyAlignment="1" applyProtection="1">
      <alignment horizontal="center" vertical="center" wrapText="1"/>
      <protection locked="0"/>
    </xf>
    <xf numFmtId="0" fontId="59" fillId="17" borderId="7" xfId="3" applyFont="1" applyFill="1" applyBorder="1" applyAlignment="1">
      <alignment horizontal="left" vertical="center" wrapText="1"/>
    </xf>
    <xf numFmtId="0" fontId="59" fillId="17" borderId="8" xfId="3" applyFont="1" applyFill="1" applyBorder="1" applyAlignment="1">
      <alignment horizontal="left" vertical="center" wrapText="1"/>
    </xf>
    <xf numFmtId="0" fontId="59" fillId="17" borderId="9" xfId="3" applyFont="1" applyFill="1" applyBorder="1" applyAlignment="1">
      <alignment horizontal="left" vertical="center" wrapText="1"/>
    </xf>
    <xf numFmtId="0" fontId="93" fillId="17" borderId="4" xfId="3" applyFont="1" applyFill="1" applyBorder="1" applyAlignment="1">
      <alignment horizontal="left" vertical="center" shrinkToFit="1"/>
    </xf>
    <xf numFmtId="0" fontId="93" fillId="17" borderId="5" xfId="3" applyFont="1" applyFill="1" applyBorder="1" applyAlignment="1">
      <alignment horizontal="left" vertical="center" shrinkToFit="1"/>
    </xf>
    <xf numFmtId="0" fontId="93" fillId="17" borderId="6" xfId="3" applyFont="1" applyFill="1" applyBorder="1" applyAlignment="1">
      <alignment horizontal="left" vertical="center" shrinkToFit="1"/>
    </xf>
    <xf numFmtId="0" fontId="59" fillId="17" borderId="7" xfId="3" applyFont="1" applyFill="1" applyBorder="1" applyAlignment="1">
      <alignment horizontal="left" vertical="center" shrinkToFit="1"/>
    </xf>
    <xf numFmtId="0" fontId="59" fillId="17" borderId="8" xfId="3" applyFont="1" applyFill="1" applyBorder="1" applyAlignment="1">
      <alignment horizontal="left" vertical="center" shrinkToFit="1"/>
    </xf>
    <xf numFmtId="0" fontId="59" fillId="17" borderId="9" xfId="3" applyFont="1" applyFill="1" applyBorder="1" applyAlignment="1">
      <alignment horizontal="left" vertical="center" shrinkToFit="1"/>
    </xf>
    <xf numFmtId="0" fontId="94" fillId="17" borderId="4" xfId="3" applyFont="1" applyFill="1" applyBorder="1" applyAlignment="1">
      <alignment horizontal="left" vertical="center" shrinkToFit="1"/>
    </xf>
    <xf numFmtId="0" fontId="94" fillId="17" borderId="5" xfId="3" applyFont="1" applyFill="1" applyBorder="1" applyAlignment="1">
      <alignment horizontal="left" vertical="center" shrinkToFit="1"/>
    </xf>
    <xf numFmtId="0" fontId="94" fillId="17" borderId="6" xfId="3" applyFont="1" applyFill="1" applyBorder="1" applyAlignment="1">
      <alignment horizontal="left" vertical="center" shrinkToFit="1"/>
    </xf>
    <xf numFmtId="0" fontId="73" fillId="18" borderId="1" xfId="3" applyFont="1" applyFill="1" applyBorder="1" applyAlignment="1" applyProtection="1">
      <alignment horizontal="center" vertical="center" wrapText="1"/>
      <protection locked="0"/>
    </xf>
    <xf numFmtId="0" fontId="54" fillId="18" borderId="1" xfId="3" applyFill="1" applyBorder="1" applyAlignment="1" applyProtection="1">
      <alignment horizontal="center" vertical="center" wrapText="1"/>
      <protection locked="0"/>
    </xf>
    <xf numFmtId="49" fontId="54" fillId="19" borderId="1" xfId="3" applyNumberFormat="1" applyFill="1" applyBorder="1" applyAlignment="1" applyProtection="1">
      <alignment horizontal="center" vertical="center" wrapText="1"/>
      <protection locked="0"/>
    </xf>
    <xf numFmtId="49" fontId="54" fillId="22" borderId="1" xfId="3" applyNumberFormat="1" applyFill="1" applyBorder="1" applyAlignment="1" applyProtection="1">
      <alignment horizontal="center" vertical="center" wrapText="1"/>
      <protection locked="0"/>
    </xf>
    <xf numFmtId="0" fontId="54" fillId="0" borderId="1" xfId="3" applyBorder="1" applyAlignment="1">
      <alignment horizontal="center" vertical="center" wrapText="1"/>
    </xf>
    <xf numFmtId="49" fontId="90" fillId="24" borderId="1" xfId="3" applyNumberFormat="1" applyFont="1" applyFill="1" applyBorder="1" applyAlignment="1" applyProtection="1">
      <alignment horizontal="center" vertical="center" wrapText="1"/>
      <protection locked="0"/>
    </xf>
    <xf numFmtId="49" fontId="54" fillId="0" borderId="1" xfId="3" applyNumberFormat="1" applyBorder="1" applyAlignment="1" applyProtection="1">
      <alignment horizontal="center" vertical="center" wrapText="1"/>
      <protection locked="0"/>
    </xf>
    <xf numFmtId="49" fontId="54" fillId="0" borderId="1" xfId="3" applyNumberFormat="1" applyBorder="1" applyAlignment="1">
      <alignment horizontal="center" vertical="center" wrapText="1"/>
    </xf>
    <xf numFmtId="49" fontId="54" fillId="0" borderId="1" xfId="3" applyNumberFormat="1" applyBorder="1" applyAlignment="1" applyProtection="1">
      <alignment vertical="center" wrapText="1"/>
      <protection locked="0"/>
    </xf>
    <xf numFmtId="0" fontId="54" fillId="0" borderId="1" xfId="3" applyBorder="1" applyAlignment="1">
      <alignment horizontal="left" vertical="center" wrapText="1"/>
    </xf>
    <xf numFmtId="0" fontId="110" fillId="20" borderId="1" xfId="3" applyFont="1" applyFill="1" applyBorder="1" applyAlignment="1">
      <alignment horizontal="center" vertical="center" wrapText="1"/>
    </xf>
    <xf numFmtId="0" fontId="54" fillId="0" borderId="10" xfId="3" applyBorder="1" applyAlignment="1">
      <alignment horizontal="left" vertical="center" wrapText="1"/>
    </xf>
    <xf numFmtId="0" fontId="54" fillId="0" borderId="19" xfId="3" applyBorder="1" applyAlignment="1">
      <alignment horizontal="left" vertical="center" wrapText="1"/>
    </xf>
    <xf numFmtId="0" fontId="54" fillId="0" borderId="11" xfId="3" applyBorder="1" applyAlignment="1">
      <alignment horizontal="left" vertical="center" wrapText="1"/>
    </xf>
    <xf numFmtId="0" fontId="87" fillId="0" borderId="10" xfId="2" applyBorder="1" applyAlignment="1">
      <alignment horizontal="left" vertical="center" wrapText="1"/>
    </xf>
    <xf numFmtId="0" fontId="55" fillId="21" borderId="2" xfId="0" applyFont="1" applyFill="1" applyBorder="1" applyAlignment="1">
      <alignment horizontal="center" vertical="top" textRotation="45"/>
    </xf>
    <xf numFmtId="0" fontId="55" fillId="9" borderId="2" xfId="0" applyFont="1" applyFill="1" applyBorder="1" applyAlignment="1">
      <alignment horizontal="center" vertical="center" textRotation="45"/>
    </xf>
    <xf numFmtId="0" fontId="62" fillId="3" borderId="7" xfId="7" applyFont="1" applyFill="1" applyBorder="1" applyAlignment="1">
      <alignment horizontal="center" vertical="distributed"/>
    </xf>
    <xf numFmtId="0" fontId="62" fillId="3" borderId="8" xfId="7" applyFont="1" applyFill="1" applyBorder="1" applyAlignment="1">
      <alignment horizontal="center" vertical="distributed"/>
    </xf>
    <xf numFmtId="0" fontId="62" fillId="3" borderId="9" xfId="7" applyFont="1" applyFill="1" applyBorder="1" applyAlignment="1">
      <alignment horizontal="center" vertical="distributed"/>
    </xf>
    <xf numFmtId="0" fontId="55" fillId="3" borderId="7" xfId="0" applyFont="1" applyFill="1" applyBorder="1" applyAlignment="1">
      <alignment horizontal="center" wrapText="1"/>
    </xf>
    <xf numFmtId="0" fontId="55" fillId="3" borderId="8" xfId="0" applyFont="1" applyFill="1" applyBorder="1" applyAlignment="1">
      <alignment horizontal="center" wrapText="1"/>
    </xf>
    <xf numFmtId="0" fontId="55" fillId="3" borderId="9" xfId="0" applyFont="1" applyFill="1" applyBorder="1" applyAlignment="1">
      <alignment horizontal="center" wrapText="1"/>
    </xf>
    <xf numFmtId="0" fontId="54" fillId="2" borderId="10" xfId="0" applyFont="1" applyFill="1" applyBorder="1" applyAlignment="1">
      <alignment horizontal="left" vertical="center" wrapText="1" shrinkToFit="1"/>
    </xf>
    <xf numFmtId="0" fontId="54" fillId="2" borderId="11" xfId="0" applyFont="1" applyFill="1" applyBorder="1" applyAlignment="1">
      <alignment horizontal="left" vertical="center" wrapText="1" shrinkToFit="1"/>
    </xf>
    <xf numFmtId="0" fontId="117" fillId="28" borderId="4" xfId="13" applyFont="1" applyFill="1" applyBorder="1" applyAlignment="1" applyProtection="1">
      <alignment horizontal="center" vertical="center" wrapText="1"/>
      <protection locked="0"/>
    </xf>
    <xf numFmtId="0" fontId="117" fillId="28" borderId="5" xfId="13" applyFont="1" applyFill="1" applyBorder="1" applyAlignment="1" applyProtection="1">
      <alignment horizontal="center" vertical="center" wrapText="1"/>
      <protection locked="0"/>
    </xf>
    <xf numFmtId="0" fontId="117" fillId="28" borderId="6" xfId="13" applyFont="1" applyFill="1" applyBorder="1" applyAlignment="1" applyProtection="1">
      <alignment horizontal="center" vertical="center" wrapText="1"/>
      <protection locked="0"/>
    </xf>
    <xf numFmtId="0" fontId="117" fillId="16" borderId="4" xfId="13" applyFont="1" applyFill="1" applyBorder="1" applyAlignment="1" applyProtection="1">
      <alignment horizontal="center" vertical="center" wrapText="1"/>
    </xf>
    <xf numFmtId="0" fontId="117" fillId="16" borderId="5" xfId="13" applyFont="1" applyFill="1" applyBorder="1" applyAlignment="1" applyProtection="1">
      <alignment horizontal="center" vertical="center" wrapText="1"/>
    </xf>
    <xf numFmtId="0" fontId="114" fillId="25" borderId="14" xfId="12" applyAlignment="1">
      <alignment horizontal="left" vertical="center"/>
    </xf>
    <xf numFmtId="0" fontId="64" fillId="8" borderId="5" xfId="0" applyFont="1" applyFill="1" applyBorder="1" applyAlignment="1">
      <alignment horizontal="center" vertical="center"/>
    </xf>
    <xf numFmtId="0" fontId="64" fillId="8" borderId="6" xfId="0" applyFont="1" applyFill="1" applyBorder="1" applyAlignment="1">
      <alignment horizontal="center" vertical="center"/>
    </xf>
    <xf numFmtId="0" fontId="122" fillId="28" borderId="10" xfId="2" applyFont="1" applyFill="1" applyBorder="1" applyAlignment="1" applyProtection="1">
      <alignment horizontal="center" vertical="center" wrapText="1"/>
      <protection locked="0"/>
    </xf>
    <xf numFmtId="0" fontId="122"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81">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20</c:v>
                </c:pt>
                <c:pt idx="1">
                  <c:v>15</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34</c:v>
                </c:pt>
                <c:pt idx="3">
                  <c:v>16</c:v>
                </c:pt>
                <c:pt idx="4">
                  <c:v>53</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87</c:v>
                </c:pt>
                <c:pt idx="1">
                  <c:v>16</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6543675</xdr:colOff>
          <xdr:row>117</xdr:row>
          <xdr:rowOff>66675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85090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85090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61" headerRowBorderDxfId="60" tableBorderDxfId="59"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SUM(F3:O13)</calculatedColumnFormula>
    </tableColum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0" sqref="F10:K10"/>
    </sheetView>
  </sheetViews>
  <sheetFormatPr defaultColWidth="0" defaultRowHeight="12.75" customHeight="1" zeroHeight="1"/>
  <cols>
    <col min="1" max="3" width="2.85546875" style="99" customWidth="1"/>
    <col min="4" max="4" width="3.42578125" style="99" customWidth="1"/>
    <col min="5" max="33" width="2.85546875" style="99" customWidth="1"/>
    <col min="34" max="34" width="1.42578125" style="99" customWidth="1"/>
    <col min="35" max="60" width="3.42578125" style="99" hidden="1" customWidth="1"/>
    <col min="61" max="16384" width="0" style="99" hidden="1"/>
  </cols>
  <sheetData>
    <row r="1" spans="1:37" s="89" customFormat="1">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row r="3" spans="1:37" s="89" customFormat="1">
      <c r="AD3" s="94" t="s">
        <v>399</v>
      </c>
    </row>
    <row r="4" spans="1:37" s="89" customFormat="1" ht="11.1" customHeight="1">
      <c r="A4" s="261" t="s">
        <v>5</v>
      </c>
      <c r="B4" s="262"/>
      <c r="C4" s="262"/>
      <c r="D4" s="262"/>
      <c r="E4" s="262"/>
      <c r="F4" s="262"/>
      <c r="G4" s="262"/>
      <c r="H4" s="262"/>
      <c r="I4" s="262"/>
      <c r="J4" s="262"/>
      <c r="K4" s="262"/>
      <c r="L4" s="262"/>
      <c r="M4" s="262"/>
      <c r="N4" s="262"/>
      <c r="O4" s="262"/>
      <c r="P4" s="262"/>
      <c r="Q4" s="263"/>
      <c r="R4" s="264" t="s">
        <v>12</v>
      </c>
      <c r="S4" s="265"/>
      <c r="T4" s="265"/>
      <c r="U4" s="265"/>
      <c r="V4" s="266"/>
      <c r="W4" s="264" t="s">
        <v>6</v>
      </c>
      <c r="X4" s="265"/>
      <c r="Y4" s="265"/>
      <c r="Z4" s="265"/>
      <c r="AA4" s="266"/>
      <c r="AB4" s="261" t="s">
        <v>137</v>
      </c>
      <c r="AC4" s="262"/>
      <c r="AD4" s="262"/>
      <c r="AE4" s="262"/>
      <c r="AF4" s="262"/>
      <c r="AG4" s="263"/>
      <c r="AH4" s="95"/>
      <c r="AI4" s="95"/>
      <c r="AJ4" s="95"/>
    </row>
    <row r="5" spans="1:37" s="96" customFormat="1" ht="12.75" customHeight="1">
      <c r="A5" s="267" t="s">
        <v>402</v>
      </c>
      <c r="B5" s="268"/>
      <c r="C5" s="268"/>
      <c r="D5" s="268"/>
      <c r="E5" s="268"/>
      <c r="F5" s="268"/>
      <c r="G5" s="268"/>
      <c r="H5" s="268"/>
      <c r="I5" s="268"/>
      <c r="J5" s="268"/>
      <c r="K5" s="268"/>
      <c r="L5" s="268"/>
      <c r="M5" s="268"/>
      <c r="N5" s="268"/>
      <c r="O5" s="268"/>
      <c r="P5" s="268"/>
      <c r="Q5" s="269"/>
      <c r="R5" s="267" t="s">
        <v>138</v>
      </c>
      <c r="S5" s="268"/>
      <c r="T5" s="268"/>
      <c r="U5" s="268"/>
      <c r="V5" s="269"/>
      <c r="W5" s="267" t="str">
        <f ca="1" xml:space="preserve"> IFERROR(IF([2]!alvDocProperty("MXCurrent.Localized")="","Template released",[2]!alvDocProperty("MXCurrent.Localized")),"Template released")</f>
        <v>Template released</v>
      </c>
      <c r="X5" s="268"/>
      <c r="Y5" s="268"/>
      <c r="Z5" s="268"/>
      <c r="AA5" s="269"/>
      <c r="AB5" s="267" t="str">
        <f ca="1" xml:space="preserve"> IFERROR(IF([2]!alvDocProperty("MXActual_state_Released")="","2021-10",[2]!alvDocProperty("MXActual_state_Released")),"2021-10")</f>
        <v>2021-10</v>
      </c>
      <c r="AC5" s="268"/>
      <c r="AD5" s="268"/>
      <c r="AE5" s="268"/>
      <c r="AF5" s="268"/>
      <c r="AG5" s="269"/>
    </row>
    <row r="6" spans="1:37" s="89" customFormat="1" ht="11.1" customHeight="1">
      <c r="A6" s="264" t="s">
        <v>7</v>
      </c>
      <c r="B6" s="265"/>
      <c r="C6" s="265"/>
      <c r="D6" s="266"/>
      <c r="E6" s="264" t="s">
        <v>8</v>
      </c>
      <c r="F6" s="265"/>
      <c r="G6" s="265"/>
      <c r="H6" s="265"/>
      <c r="I6" s="265"/>
      <c r="J6" s="265"/>
      <c r="K6" s="265"/>
      <c r="L6" s="265"/>
      <c r="M6" s="265"/>
      <c r="N6" s="265"/>
      <c r="O6" s="265"/>
      <c r="P6" s="265"/>
      <c r="Q6" s="265"/>
      <c r="R6" s="265"/>
      <c r="S6" s="265"/>
      <c r="T6" s="265"/>
      <c r="U6" s="265"/>
      <c r="V6" s="266"/>
      <c r="W6" s="261" t="s">
        <v>10</v>
      </c>
      <c r="X6" s="262"/>
      <c r="Y6" s="262"/>
      <c r="Z6" s="262"/>
      <c r="AA6" s="263"/>
      <c r="AB6" s="264" t="s">
        <v>34</v>
      </c>
      <c r="AC6" s="265"/>
      <c r="AD6" s="266"/>
      <c r="AE6" s="264" t="s">
        <v>9</v>
      </c>
      <c r="AF6" s="265"/>
      <c r="AG6" s="266"/>
    </row>
    <row r="7" spans="1:37" s="96" customFormat="1" ht="12.75" customHeight="1">
      <c r="A7" s="267" t="str">
        <f ca="1" xml:space="preserve"> IFERROR(IF([2]!alvDocProperty("MXName")="","TBD",[2]!alvDocProperty("MXName")),"TBD")</f>
        <v>TBD</v>
      </c>
      <c r="B7" s="268"/>
      <c r="C7" s="268"/>
      <c r="D7" s="269"/>
      <c r="E7" s="267" t="str">
        <f ca="1" xml:space="preserve"> IFERROR(IF([2]!alvDocProperty("MXTitle")="","Peer Review Workbook (PRWB)",[2]!alvDocProperty("MXTitle")),"Peer Review Workbook (PRWB)")</f>
        <v>Peer Review Workbook (PRWB)</v>
      </c>
      <c r="F7" s="268"/>
      <c r="G7" s="268"/>
      <c r="H7" s="268"/>
      <c r="I7" s="268"/>
      <c r="J7" s="268"/>
      <c r="K7" s="268"/>
      <c r="L7" s="268"/>
      <c r="M7" s="268"/>
      <c r="N7" s="268"/>
      <c r="O7" s="268"/>
      <c r="P7" s="268"/>
      <c r="Q7" s="268"/>
      <c r="R7" s="268"/>
      <c r="S7" s="268"/>
      <c r="T7" s="268"/>
      <c r="U7" s="268"/>
      <c r="V7" s="269"/>
      <c r="W7" s="270" t="str">
        <f ca="1" xml:space="preserve"> IFERROR(IF([2]!alvDocProperty("MXDocTemplate_Name")="","AEF1007",[2]!alvDocProperty("MXDocTemplate_Name")),"AEF1007")</f>
        <v>AEF1007</v>
      </c>
      <c r="X7" s="271"/>
      <c r="Y7" s="271"/>
      <c r="Z7" s="271"/>
      <c r="AA7" s="272"/>
      <c r="AB7" s="267" t="str">
        <f ca="1" xml:space="preserve"> IFERROR(IF([2]!alvDocProperty("MXRevision")="","TBD",[2]!alvDocProperty("MXRevision")),"TBD")</f>
        <v>TBD</v>
      </c>
      <c r="AC7" s="268"/>
      <c r="AD7" s="269"/>
      <c r="AE7" s="267" t="str">
        <f ca="1" xml:space="preserve"> IFERROR(IF([2]!alvDocProperty("MXVersion")="","TBD",[2]!alvDocProperty("MXVersion")),"TBD")</f>
        <v>TBD</v>
      </c>
      <c r="AF7" s="268"/>
      <c r="AG7" s="269"/>
    </row>
    <row r="8" spans="1:37" s="96" customFormat="1">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c r="A9" s="275" t="s">
        <v>61</v>
      </c>
      <c r="B9" s="276"/>
      <c r="C9" s="276"/>
      <c r="D9" s="276"/>
      <c r="E9" s="276"/>
      <c r="F9" s="276"/>
      <c r="G9" s="276"/>
      <c r="H9" s="276"/>
      <c r="I9" s="276"/>
      <c r="J9" s="276"/>
      <c r="K9" s="277"/>
      <c r="L9" s="275" t="s">
        <v>12</v>
      </c>
      <c r="M9" s="276"/>
      <c r="N9" s="276"/>
      <c r="O9" s="276"/>
      <c r="P9" s="276"/>
      <c r="Q9" s="276"/>
      <c r="R9" s="276"/>
      <c r="S9" s="276"/>
      <c r="T9" s="276"/>
      <c r="U9" s="276"/>
      <c r="V9" s="277"/>
      <c r="W9" s="275" t="s">
        <v>17</v>
      </c>
      <c r="X9" s="276"/>
      <c r="Y9" s="276"/>
      <c r="Z9" s="276"/>
      <c r="AA9" s="276"/>
      <c r="AB9" s="276"/>
      <c r="AC9" s="276"/>
      <c r="AD9" s="276"/>
      <c r="AE9" s="276"/>
      <c r="AF9" s="276"/>
      <c r="AG9" s="277"/>
    </row>
    <row r="10" spans="1:37" s="100" customFormat="1" ht="39" customHeight="1">
      <c r="A10" s="278" t="s">
        <v>400</v>
      </c>
      <c r="B10" s="279"/>
      <c r="C10" s="279"/>
      <c r="D10" s="279"/>
      <c r="E10" s="279"/>
      <c r="F10" s="280" t="s">
        <v>401</v>
      </c>
      <c r="G10" s="280"/>
      <c r="H10" s="280"/>
      <c r="I10" s="280"/>
      <c r="J10" s="280"/>
      <c r="K10" s="281"/>
      <c r="L10" s="282" t="s">
        <v>139</v>
      </c>
      <c r="M10" s="283"/>
      <c r="N10" s="283"/>
      <c r="O10" s="283"/>
      <c r="P10" s="283"/>
      <c r="Q10" s="283"/>
      <c r="R10" s="283"/>
      <c r="S10" s="283"/>
      <c r="T10" s="283"/>
      <c r="U10" s="283"/>
      <c r="V10" s="284"/>
      <c r="W10" s="282" t="s">
        <v>139</v>
      </c>
      <c r="X10" s="283"/>
      <c r="Y10" s="283"/>
      <c r="Z10" s="283"/>
      <c r="AA10" s="283"/>
      <c r="AB10" s="283"/>
      <c r="AC10" s="283"/>
      <c r="AD10" s="283"/>
      <c r="AE10" s="283"/>
      <c r="AF10" s="283"/>
      <c r="AG10" s="284"/>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c r="A12" s="285" t="s">
        <v>140</v>
      </c>
      <c r="B12" s="286"/>
      <c r="C12" s="286"/>
      <c r="D12" s="286"/>
      <c r="E12" s="286"/>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c r="AE12" s="286"/>
      <c r="AF12" s="286"/>
      <c r="AG12" s="287"/>
    </row>
    <row r="13" spans="1:37" s="100" customFormat="1" ht="28.5" customHeight="1">
      <c r="A13" s="288" t="s">
        <v>141</v>
      </c>
      <c r="B13" s="289"/>
      <c r="C13" s="289"/>
      <c r="D13" s="289"/>
      <c r="E13" s="289"/>
      <c r="F13" s="289"/>
      <c r="G13" s="289"/>
      <c r="H13" s="289"/>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90"/>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91" t="s">
        <v>142</v>
      </c>
      <c r="B15" s="291"/>
      <c r="C15" s="291"/>
      <c r="D15" s="291"/>
      <c r="E15" s="293"/>
      <c r="F15" s="294"/>
      <c r="G15" s="294"/>
      <c r="H15" s="294"/>
      <c r="I15" s="294"/>
      <c r="J15" s="294"/>
      <c r="K15" s="294"/>
      <c r="L15" s="294"/>
      <c r="M15" s="294"/>
      <c r="N15" s="294"/>
      <c r="O15" s="294"/>
      <c r="P15" s="294"/>
      <c r="Q15" s="294"/>
      <c r="R15" s="294"/>
      <c r="S15" s="294"/>
      <c r="T15" s="294"/>
      <c r="U15" s="294"/>
      <c r="V15" s="294"/>
      <c r="W15" s="294"/>
      <c r="X15" s="294"/>
      <c r="Y15" s="294"/>
      <c r="Z15" s="294"/>
      <c r="AA15" s="294"/>
      <c r="AB15" s="294"/>
      <c r="AC15" s="294"/>
      <c r="AD15" s="294"/>
      <c r="AE15" s="294"/>
      <c r="AF15" s="294"/>
      <c r="AG15" s="295"/>
    </row>
    <row r="16" spans="1:37" ht="37.5" customHeight="1">
      <c r="A16" s="292"/>
      <c r="B16" s="292"/>
      <c r="C16" s="292"/>
      <c r="D16" s="292"/>
      <c r="E16" s="296"/>
      <c r="F16" s="297"/>
      <c r="G16" s="297"/>
      <c r="H16" s="297"/>
      <c r="I16" s="297"/>
      <c r="J16" s="297"/>
      <c r="K16" s="297"/>
      <c r="L16" s="297"/>
      <c r="M16" s="297"/>
      <c r="N16" s="297"/>
      <c r="O16" s="297"/>
      <c r="P16" s="297"/>
      <c r="Q16" s="297"/>
      <c r="R16" s="297"/>
      <c r="S16" s="297"/>
      <c r="T16" s="297"/>
      <c r="U16" s="297"/>
      <c r="V16" s="297"/>
      <c r="W16" s="297"/>
      <c r="X16" s="297"/>
      <c r="Y16" s="297"/>
      <c r="Z16" s="297"/>
      <c r="AA16" s="297"/>
      <c r="AB16" s="297"/>
      <c r="AC16" s="297"/>
      <c r="AD16" s="297"/>
      <c r="AE16" s="297"/>
      <c r="AF16" s="297"/>
      <c r="AG16" s="298"/>
    </row>
    <row r="17" spans="1:33">
      <c r="A17" s="105"/>
    </row>
    <row r="18" spans="1:33" ht="26.25" customHeight="1">
      <c r="A18" s="299" t="s">
        <v>397</v>
      </c>
      <c r="B18" s="300"/>
      <c r="C18" s="300"/>
      <c r="D18" s="300"/>
      <c r="E18" s="301" t="s">
        <v>396</v>
      </c>
      <c r="F18" s="301"/>
      <c r="G18" s="301"/>
      <c r="H18" s="301"/>
      <c r="I18" s="301"/>
      <c r="J18" s="301"/>
      <c r="K18" s="301"/>
      <c r="L18" s="301"/>
      <c r="M18" s="301"/>
      <c r="N18" s="301"/>
      <c r="O18" s="301"/>
      <c r="P18" s="301"/>
    </row>
    <row r="19" spans="1:33"/>
    <row r="20" spans="1:33"/>
    <row r="21" spans="1:33" ht="15.75" customHeight="1">
      <c r="Q21" s="106"/>
    </row>
    <row r="22" spans="1:33" ht="12" customHeight="1">
      <c r="Q22" s="106"/>
    </row>
    <row r="23" spans="1:33" ht="60" customHeight="1">
      <c r="A23" s="273" t="str">
        <f ca="1">MXTitle</f>
        <v>Peer Review Workbook (PRWB)</v>
      </c>
      <c r="B23" s="274"/>
      <c r="C23" s="274"/>
      <c r="D23" s="274"/>
      <c r="E23" s="274"/>
      <c r="F23" s="274"/>
      <c r="G23" s="274"/>
      <c r="H23" s="274"/>
      <c r="I23" s="274"/>
      <c r="J23" s="274"/>
      <c r="K23" s="274"/>
      <c r="L23" s="274"/>
      <c r="M23" s="274"/>
      <c r="N23" s="274"/>
      <c r="O23" s="274"/>
      <c r="P23" s="274"/>
      <c r="Q23" s="274"/>
      <c r="R23" s="274"/>
      <c r="S23" s="274"/>
      <c r="T23" s="274"/>
      <c r="U23" s="274"/>
      <c r="V23" s="274"/>
      <c r="W23" s="274"/>
      <c r="X23" s="274"/>
      <c r="Y23" s="274"/>
      <c r="Z23" s="274"/>
      <c r="AA23" s="274"/>
      <c r="AB23" s="274"/>
      <c r="AC23" s="274"/>
      <c r="AD23" s="274"/>
      <c r="AE23" s="274"/>
      <c r="AF23" s="274"/>
      <c r="AG23" s="274"/>
    </row>
    <row r="24" spans="1:33" ht="25.5">
      <c r="Q24" s="106"/>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111" type="noConversion"/>
  <conditionalFormatting sqref="W5">
    <cfRule type="cellIs" dxfId="80" priority="19" operator="equal">
      <formula>"draft"</formula>
    </cfRule>
  </conditionalFormatting>
  <conditionalFormatting sqref="W5:AA5">
    <cfRule type="cellIs" dxfId="79" priority="1" operator="equal">
      <formula>"In-Work"</formula>
    </cfRule>
    <cfRule type="cellIs" dxfId="78" priority="2" stopIfTrue="1" operator="equal">
      <formula>"draft"</formula>
    </cfRule>
    <cfRule type="cellIs" dxfId="77" priority="3" operator="equal">
      <formula>"In-Work"</formula>
    </cfRule>
    <cfRule type="cellIs" dxfId="76" priority="4" stopIfTrue="1" operator="equal">
      <formula>"draft"</formula>
    </cfRule>
    <cfRule type="cellIs" dxfId="75" priority="5" operator="equal">
      <formula>"In-Work"</formula>
    </cfRule>
    <cfRule type="cellIs" dxfId="74" priority="6" stopIfTrue="1" operator="equal">
      <formula>"draft"</formula>
    </cfRule>
    <cfRule type="cellIs" dxfId="73" priority="7" operator="equal">
      <formula>"In-Work"</formula>
    </cfRule>
    <cfRule type="cellIs" dxfId="72" priority="8" stopIfTrue="1" operator="equal">
      <formula>"draft"</formula>
    </cfRule>
    <cfRule type="cellIs" dxfId="71" priority="9" operator="equal">
      <formula>"In-Work"</formula>
    </cfRule>
    <cfRule type="cellIs" dxfId="70" priority="10" stopIfTrue="1" operator="equal">
      <formula>"draft"</formula>
    </cfRule>
    <cfRule type="cellIs" dxfId="69" priority="11" operator="equal">
      <formula>"In-Work"</formula>
    </cfRule>
    <cfRule type="cellIs" dxfId="68" priority="12" stopIfTrue="1" operator="equal">
      <formula>"draft"</formula>
    </cfRule>
    <cfRule type="cellIs" dxfId="67" priority="13" operator="equal">
      <formula>"In-Work"</formula>
    </cfRule>
    <cfRule type="cellIs" dxfId="66" priority="14" stopIfTrue="1" operator="equal">
      <formula>"draft"</formula>
    </cfRule>
    <cfRule type="cellIs" dxfId="65" priority="15" operator="equal">
      <formula>"In-Work"</formula>
    </cfRule>
    <cfRule type="cellIs" dxfId="64" priority="16" stopIfTrue="1" operator="equal">
      <formula>"draft"</formula>
    </cfRule>
    <cfRule type="cellIs" dxfId="63" priority="17" operator="equal">
      <formula>"In-Work"</formula>
    </cfRule>
    <cfRule type="cellIs" dxfId="62"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60" zoomScaleNormal="100" workbookViewId="0">
      <selection activeCell="A72" sqref="A72"/>
    </sheetView>
  </sheetViews>
  <sheetFormatPr defaultColWidth="9.140625" defaultRowHeight="15"/>
  <cols>
    <col min="1" max="34" width="2.85546875" style="107" customWidth="1"/>
    <col min="35" max="35" width="9.140625" style="107"/>
    <col min="36" max="36" width="22" style="107" customWidth="1"/>
    <col min="37" max="16384" width="9.14062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PMP - Peer Review Workbook (PRWB).xlsm</v>
      </c>
      <c r="AE3" s="89"/>
      <c r="AF3" s="89"/>
      <c r="AG3" s="89"/>
      <c r="AH3" s="89"/>
    </row>
    <row r="4" spans="1:34">
      <c r="A4" s="261" t="s">
        <v>5</v>
      </c>
      <c r="B4" s="262"/>
      <c r="C4" s="262"/>
      <c r="D4" s="262"/>
      <c r="E4" s="262"/>
      <c r="F4" s="262"/>
      <c r="G4" s="262"/>
      <c r="H4" s="262"/>
      <c r="I4" s="262"/>
      <c r="J4" s="262"/>
      <c r="K4" s="262"/>
      <c r="L4" s="262"/>
      <c r="M4" s="262"/>
      <c r="N4" s="262"/>
      <c r="O4" s="262"/>
      <c r="P4" s="262"/>
      <c r="Q4" s="262"/>
      <c r="R4" s="262"/>
      <c r="S4" s="262"/>
      <c r="T4" s="262"/>
      <c r="U4" s="262"/>
      <c r="V4" s="263"/>
      <c r="W4" s="318" t="s">
        <v>6</v>
      </c>
      <c r="X4" s="319"/>
      <c r="Y4" s="319"/>
      <c r="Z4" s="319"/>
      <c r="AA4" s="320"/>
      <c r="AB4" s="261" t="s">
        <v>137</v>
      </c>
      <c r="AC4" s="262"/>
      <c r="AD4" s="262"/>
      <c r="AE4" s="262"/>
      <c r="AF4" s="262"/>
      <c r="AG4" s="263"/>
      <c r="AH4" s="95"/>
    </row>
    <row r="5" spans="1:34">
      <c r="A5" s="270" t="s">
        <v>213</v>
      </c>
      <c r="B5" s="271"/>
      <c r="C5" s="271"/>
      <c r="D5" s="271"/>
      <c r="E5" s="271"/>
      <c r="F5" s="271"/>
      <c r="G5" s="271"/>
      <c r="H5" s="271"/>
      <c r="I5" s="271"/>
      <c r="J5" s="271"/>
      <c r="K5" s="271"/>
      <c r="L5" s="271"/>
      <c r="M5" s="271"/>
      <c r="N5" s="271"/>
      <c r="O5" s="271"/>
      <c r="P5" s="271"/>
      <c r="Q5" s="271"/>
      <c r="R5" s="271"/>
      <c r="S5" s="271"/>
      <c r="T5" s="271"/>
      <c r="U5" s="271"/>
      <c r="V5" s="272"/>
      <c r="W5" s="321" t="s">
        <v>212</v>
      </c>
      <c r="X5" s="322"/>
      <c r="Y5" s="322"/>
      <c r="Z5" s="322"/>
      <c r="AA5" s="323"/>
      <c r="AB5" s="270" t="s">
        <v>211</v>
      </c>
      <c r="AC5" s="271"/>
      <c r="AD5" s="271"/>
      <c r="AE5" s="271"/>
      <c r="AF5" s="271"/>
      <c r="AG5" s="272"/>
      <c r="AH5" s="96"/>
    </row>
    <row r="6" spans="1:34">
      <c r="A6" s="324" t="s">
        <v>7</v>
      </c>
      <c r="B6" s="325"/>
      <c r="C6" s="325"/>
      <c r="D6" s="326"/>
      <c r="E6" s="324" t="s">
        <v>8</v>
      </c>
      <c r="F6" s="325"/>
      <c r="G6" s="325"/>
      <c r="H6" s="325"/>
      <c r="I6" s="325"/>
      <c r="J6" s="325"/>
      <c r="K6" s="325"/>
      <c r="L6" s="325"/>
      <c r="M6" s="325"/>
      <c r="N6" s="325"/>
      <c r="O6" s="325"/>
      <c r="P6" s="325"/>
      <c r="Q6" s="325"/>
      <c r="R6" s="325"/>
      <c r="S6" s="325"/>
      <c r="T6" s="325"/>
      <c r="U6" s="325"/>
      <c r="V6" s="326"/>
      <c r="W6" s="261" t="s">
        <v>10</v>
      </c>
      <c r="X6" s="262"/>
      <c r="Y6" s="262"/>
      <c r="Z6" s="262"/>
      <c r="AA6" s="263"/>
      <c r="AB6" s="318" t="s">
        <v>34</v>
      </c>
      <c r="AC6" s="319"/>
      <c r="AD6" s="320"/>
      <c r="AE6" s="318" t="s">
        <v>9</v>
      </c>
      <c r="AF6" s="319"/>
      <c r="AG6" s="320"/>
      <c r="AH6" s="89"/>
    </row>
    <row r="7" spans="1:34">
      <c r="A7" s="321" t="s">
        <v>210</v>
      </c>
      <c r="B7" s="322"/>
      <c r="C7" s="322"/>
      <c r="D7" s="323"/>
      <c r="E7" s="321" t="s">
        <v>215</v>
      </c>
      <c r="F7" s="322"/>
      <c r="G7" s="322"/>
      <c r="H7" s="322"/>
      <c r="I7" s="322"/>
      <c r="J7" s="322"/>
      <c r="K7" s="322"/>
      <c r="L7" s="322"/>
      <c r="M7" s="322"/>
      <c r="N7" s="322"/>
      <c r="O7" s="322"/>
      <c r="P7" s="322"/>
      <c r="Q7" s="322"/>
      <c r="R7" s="322"/>
      <c r="S7" s="322"/>
      <c r="T7" s="322"/>
      <c r="U7" s="322"/>
      <c r="V7" s="323"/>
      <c r="W7" s="321" t="str">
        <f ca="1">TemplateRef</f>
        <v>AEF1007</v>
      </c>
      <c r="X7" s="322"/>
      <c r="Y7" s="322"/>
      <c r="Z7" s="322"/>
      <c r="AA7" s="323"/>
      <c r="AB7" s="321" t="s">
        <v>214</v>
      </c>
      <c r="AC7" s="322"/>
      <c r="AD7" s="323"/>
      <c r="AE7" s="321" t="s">
        <v>214</v>
      </c>
      <c r="AF7" s="322"/>
      <c r="AG7" s="323"/>
      <c r="AH7" s="96"/>
    </row>
    <row r="8" spans="1:34">
      <c r="A8" s="324" t="s">
        <v>143</v>
      </c>
      <c r="B8" s="325"/>
      <c r="C8" s="325"/>
      <c r="D8" s="325"/>
      <c r="E8" s="325"/>
      <c r="F8" s="325"/>
      <c r="G8" s="325"/>
      <c r="H8" s="325"/>
      <c r="I8" s="325"/>
      <c r="J8" s="325"/>
      <c r="K8" s="325"/>
      <c r="L8" s="325"/>
      <c r="M8" s="325"/>
      <c r="N8" s="325"/>
      <c r="O8" s="325"/>
      <c r="P8" s="325"/>
      <c r="Q8" s="325"/>
      <c r="R8" s="325"/>
      <c r="S8" s="325"/>
      <c r="T8" s="325"/>
      <c r="U8" s="325"/>
      <c r="V8" s="325"/>
      <c r="W8" s="325"/>
      <c r="X8" s="325"/>
      <c r="Y8" s="325"/>
      <c r="Z8" s="325"/>
      <c r="AA8" s="325"/>
      <c r="AB8" s="325"/>
      <c r="AC8" s="325"/>
      <c r="AD8" s="325"/>
      <c r="AE8" s="325"/>
      <c r="AF8" s="325"/>
      <c r="AG8" s="326"/>
      <c r="AH8" s="99"/>
    </row>
    <row r="9" spans="1:34">
      <c r="A9" s="327" t="s">
        <v>144</v>
      </c>
      <c r="B9" s="328"/>
      <c r="C9" s="328"/>
      <c r="D9" s="328"/>
      <c r="E9" s="328"/>
      <c r="F9" s="328"/>
      <c r="G9" s="328"/>
      <c r="H9" s="328"/>
      <c r="I9" s="328"/>
      <c r="J9" s="328"/>
      <c r="K9" s="328"/>
      <c r="L9" s="328"/>
      <c r="M9" s="328"/>
      <c r="N9" s="328"/>
      <c r="O9" s="328"/>
      <c r="P9" s="328"/>
      <c r="Q9" s="328"/>
      <c r="R9" s="328"/>
      <c r="S9" s="328"/>
      <c r="T9" s="328"/>
      <c r="U9" s="328"/>
      <c r="V9" s="328"/>
      <c r="W9" s="328"/>
      <c r="X9" s="328"/>
      <c r="Y9" s="328"/>
      <c r="Z9" s="328"/>
      <c r="AA9" s="328"/>
      <c r="AB9" s="328"/>
      <c r="AC9" s="328"/>
      <c r="AD9" s="328"/>
      <c r="AE9" s="328"/>
      <c r="AF9" s="328"/>
      <c r="AG9" s="329"/>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6.25">
      <c r="A12" s="99"/>
      <c r="B12" s="109" t="s">
        <v>145</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25">
      <c r="A14" s="99"/>
      <c r="B14" s="111" t="s">
        <v>146</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330" t="s">
        <v>147</v>
      </c>
      <c r="C15" s="331"/>
      <c r="D15" s="331"/>
      <c r="E15" s="331"/>
      <c r="F15" s="331"/>
      <c r="G15" s="330" t="s">
        <v>148</v>
      </c>
      <c r="H15" s="330"/>
      <c r="I15" s="330"/>
      <c r="J15" s="330"/>
      <c r="K15" s="330"/>
      <c r="L15" s="330"/>
      <c r="M15" s="330"/>
      <c r="N15" s="330"/>
      <c r="O15" s="330"/>
      <c r="P15" s="330"/>
      <c r="Q15" s="330"/>
      <c r="R15" s="330"/>
      <c r="S15" s="330"/>
      <c r="T15" s="330"/>
      <c r="U15" s="330"/>
      <c r="V15" s="330"/>
      <c r="W15" s="330"/>
      <c r="X15" s="330"/>
      <c r="Y15" s="330"/>
      <c r="Z15" s="330"/>
      <c r="AA15" s="330"/>
      <c r="AB15" s="330"/>
      <c r="AC15" s="330"/>
      <c r="AD15" s="330"/>
      <c r="AE15" s="330"/>
      <c r="AF15" s="330"/>
      <c r="AG15" s="99"/>
      <c r="AH15" s="99"/>
    </row>
    <row r="16" spans="1:34" ht="55.5" customHeight="1">
      <c r="A16" s="99"/>
      <c r="B16" s="332" t="s">
        <v>149</v>
      </c>
      <c r="C16" s="332"/>
      <c r="D16" s="332"/>
      <c r="E16" s="332"/>
      <c r="F16" s="332"/>
      <c r="G16" s="314" t="s">
        <v>150</v>
      </c>
      <c r="H16" s="314"/>
      <c r="I16" s="314"/>
      <c r="J16" s="314"/>
      <c r="K16" s="314"/>
      <c r="L16" s="314"/>
      <c r="M16" s="314"/>
      <c r="N16" s="314"/>
      <c r="O16" s="314"/>
      <c r="P16" s="314"/>
      <c r="Q16" s="314"/>
      <c r="R16" s="314"/>
      <c r="S16" s="314"/>
      <c r="T16" s="314"/>
      <c r="U16" s="314"/>
      <c r="V16" s="314"/>
      <c r="W16" s="314"/>
      <c r="X16" s="314"/>
      <c r="Y16" s="314"/>
      <c r="Z16" s="314"/>
      <c r="AA16" s="314"/>
      <c r="AB16" s="314"/>
      <c r="AC16" s="314"/>
      <c r="AD16" s="314"/>
      <c r="AE16" s="314"/>
      <c r="AF16" s="314"/>
      <c r="AG16" s="99"/>
      <c r="AH16" s="99"/>
    </row>
    <row r="17" spans="1:34">
      <c r="A17" s="99"/>
      <c r="B17" s="332" t="s">
        <v>151</v>
      </c>
      <c r="C17" s="332"/>
      <c r="D17" s="332"/>
      <c r="E17" s="332"/>
      <c r="F17" s="332"/>
      <c r="G17" s="314" t="s">
        <v>152</v>
      </c>
      <c r="H17" s="314"/>
      <c r="I17" s="314"/>
      <c r="J17" s="314"/>
      <c r="K17" s="314"/>
      <c r="L17" s="314"/>
      <c r="M17" s="314"/>
      <c r="N17" s="314"/>
      <c r="O17" s="314"/>
      <c r="P17" s="314"/>
      <c r="Q17" s="314"/>
      <c r="R17" s="314"/>
      <c r="S17" s="314"/>
      <c r="T17" s="314"/>
      <c r="U17" s="314"/>
      <c r="V17" s="314"/>
      <c r="W17" s="314"/>
      <c r="X17" s="314"/>
      <c r="Y17" s="314"/>
      <c r="Z17" s="314"/>
      <c r="AA17" s="314"/>
      <c r="AB17" s="314"/>
      <c r="AC17" s="314"/>
      <c r="AD17" s="314"/>
      <c r="AE17" s="314"/>
      <c r="AF17" s="314"/>
      <c r="AG17" s="99"/>
      <c r="AH17" s="99"/>
    </row>
    <row r="18" spans="1:34" ht="15" customHeight="1">
      <c r="A18" s="99"/>
      <c r="B18" s="332" t="s">
        <v>15</v>
      </c>
      <c r="C18" s="332"/>
      <c r="D18" s="332"/>
      <c r="E18" s="332"/>
      <c r="F18" s="332"/>
      <c r="G18" s="314" t="s">
        <v>153</v>
      </c>
      <c r="H18" s="314"/>
      <c r="I18" s="314"/>
      <c r="J18" s="314"/>
      <c r="K18" s="314"/>
      <c r="L18" s="314"/>
      <c r="M18" s="314"/>
      <c r="N18" s="314"/>
      <c r="O18" s="314"/>
      <c r="P18" s="314"/>
      <c r="Q18" s="314"/>
      <c r="R18" s="314"/>
      <c r="S18" s="314"/>
      <c r="T18" s="314"/>
      <c r="U18" s="314"/>
      <c r="V18" s="314"/>
      <c r="W18" s="314"/>
      <c r="X18" s="314"/>
      <c r="Y18" s="314"/>
      <c r="Z18" s="314"/>
      <c r="AA18" s="314"/>
      <c r="AB18" s="314"/>
      <c r="AC18" s="314"/>
      <c r="AD18" s="314"/>
      <c r="AE18" s="314"/>
      <c r="AF18" s="314"/>
      <c r="AG18" s="99"/>
      <c r="AH18" s="99"/>
    </row>
    <row r="19" spans="1:34" ht="24" customHeight="1">
      <c r="A19" s="99"/>
      <c r="B19" s="333" t="s">
        <v>188</v>
      </c>
      <c r="C19" s="333"/>
      <c r="D19" s="333"/>
      <c r="E19" s="333"/>
      <c r="F19" s="333"/>
      <c r="G19" s="314" t="s">
        <v>153</v>
      </c>
      <c r="H19" s="314"/>
      <c r="I19" s="314"/>
      <c r="J19" s="314"/>
      <c r="K19" s="314"/>
      <c r="L19" s="314"/>
      <c r="M19" s="314"/>
      <c r="N19" s="314"/>
      <c r="O19" s="314"/>
      <c r="P19" s="314"/>
      <c r="Q19" s="314"/>
      <c r="R19" s="314"/>
      <c r="S19" s="314"/>
      <c r="T19" s="314"/>
      <c r="U19" s="314"/>
      <c r="V19" s="314"/>
      <c r="W19" s="314"/>
      <c r="X19" s="314"/>
      <c r="Y19" s="314"/>
      <c r="Z19" s="314"/>
      <c r="AA19" s="314"/>
      <c r="AB19" s="314"/>
      <c r="AC19" s="314"/>
      <c r="AD19" s="314"/>
      <c r="AE19" s="314"/>
      <c r="AF19" s="314"/>
      <c r="AG19" s="99"/>
      <c r="AH19" s="99"/>
    </row>
    <row r="20" spans="1:34">
      <c r="A20" s="99"/>
      <c r="B20" s="316" t="s">
        <v>189</v>
      </c>
      <c r="C20" s="316"/>
      <c r="D20" s="316"/>
      <c r="E20" s="316"/>
      <c r="F20" s="316"/>
      <c r="G20" s="314" t="s">
        <v>153</v>
      </c>
      <c r="H20" s="314"/>
      <c r="I20" s="314"/>
      <c r="J20" s="314"/>
      <c r="K20" s="314"/>
      <c r="L20" s="314"/>
      <c r="M20" s="314"/>
      <c r="N20" s="314"/>
      <c r="O20" s="314"/>
      <c r="P20" s="314"/>
      <c r="Q20" s="314"/>
      <c r="R20" s="314"/>
      <c r="S20" s="314"/>
      <c r="T20" s="314"/>
      <c r="U20" s="314"/>
      <c r="V20" s="314"/>
      <c r="W20" s="314"/>
      <c r="X20" s="314"/>
      <c r="Y20" s="314"/>
      <c r="Z20" s="314"/>
      <c r="AA20" s="314"/>
      <c r="AB20" s="314"/>
      <c r="AC20" s="314"/>
      <c r="AD20" s="314"/>
      <c r="AE20" s="314"/>
      <c r="AF20" s="314"/>
      <c r="AG20" s="99"/>
      <c r="AH20" s="99"/>
    </row>
    <row r="21" spans="1:34" ht="35.25" customHeight="1">
      <c r="A21" s="99"/>
      <c r="B21" s="317" t="s">
        <v>310</v>
      </c>
      <c r="C21" s="317"/>
      <c r="D21" s="317"/>
      <c r="E21" s="317"/>
      <c r="F21" s="317"/>
      <c r="G21" s="314" t="s">
        <v>311</v>
      </c>
      <c r="H21" s="314"/>
      <c r="I21" s="314"/>
      <c r="J21" s="314"/>
      <c r="K21" s="314"/>
      <c r="L21" s="314"/>
      <c r="M21" s="314"/>
      <c r="N21" s="314"/>
      <c r="O21" s="314"/>
      <c r="P21" s="314"/>
      <c r="Q21" s="314"/>
      <c r="R21" s="314"/>
      <c r="S21" s="314"/>
      <c r="T21" s="314"/>
      <c r="U21" s="314"/>
      <c r="V21" s="314"/>
      <c r="W21" s="314"/>
      <c r="X21" s="314"/>
      <c r="Y21" s="314"/>
      <c r="Z21" s="314"/>
      <c r="AA21" s="314"/>
      <c r="AB21" s="314"/>
      <c r="AC21" s="314"/>
      <c r="AD21" s="314"/>
      <c r="AE21" s="314"/>
      <c r="AF21" s="314"/>
      <c r="AG21" s="99"/>
      <c r="AH21" s="99"/>
    </row>
    <row r="22" spans="1:34" ht="28.5" customHeight="1">
      <c r="A22" s="99"/>
      <c r="B22" s="317" t="s">
        <v>312</v>
      </c>
      <c r="C22" s="317"/>
      <c r="D22" s="317"/>
      <c r="E22" s="317"/>
      <c r="F22" s="317"/>
      <c r="G22" s="314" t="s">
        <v>313</v>
      </c>
      <c r="H22" s="314"/>
      <c r="I22" s="314"/>
      <c r="J22" s="314"/>
      <c r="K22" s="314"/>
      <c r="L22" s="314"/>
      <c r="M22" s="314"/>
      <c r="N22" s="314"/>
      <c r="O22" s="314"/>
      <c r="P22" s="314"/>
      <c r="Q22" s="314"/>
      <c r="R22" s="314"/>
      <c r="S22" s="314"/>
      <c r="T22" s="314"/>
      <c r="U22" s="314"/>
      <c r="V22" s="314"/>
      <c r="W22" s="314"/>
      <c r="X22" s="314"/>
      <c r="Y22" s="314"/>
      <c r="Z22" s="314"/>
      <c r="AA22" s="314"/>
      <c r="AB22" s="314"/>
      <c r="AC22" s="314"/>
      <c r="AD22" s="314"/>
      <c r="AE22" s="314"/>
      <c r="AF22" s="314"/>
      <c r="AG22" s="99"/>
      <c r="AH22" s="99"/>
    </row>
    <row r="23" spans="1:34" ht="22.5" customHeight="1">
      <c r="A23" s="99"/>
      <c r="B23" s="317" t="s">
        <v>314</v>
      </c>
      <c r="C23" s="317"/>
      <c r="D23" s="317"/>
      <c r="E23" s="317"/>
      <c r="F23" s="317"/>
      <c r="G23" s="314" t="s">
        <v>315</v>
      </c>
      <c r="H23" s="314"/>
      <c r="I23" s="314"/>
      <c r="J23" s="314"/>
      <c r="K23" s="314"/>
      <c r="L23" s="314"/>
      <c r="M23" s="314"/>
      <c r="N23" s="314"/>
      <c r="O23" s="314"/>
      <c r="P23" s="314"/>
      <c r="Q23" s="314"/>
      <c r="R23" s="314"/>
      <c r="S23" s="314"/>
      <c r="T23" s="314"/>
      <c r="U23" s="314"/>
      <c r="V23" s="314"/>
      <c r="W23" s="314"/>
      <c r="X23" s="314"/>
      <c r="Y23" s="314"/>
      <c r="Z23" s="314"/>
      <c r="AA23" s="314"/>
      <c r="AB23" s="314"/>
      <c r="AC23" s="314"/>
      <c r="AD23" s="314"/>
      <c r="AE23" s="314"/>
      <c r="AF23" s="314"/>
      <c r="AG23" s="99"/>
      <c r="AH23" s="99"/>
    </row>
    <row r="24" spans="1:34" ht="45" customHeight="1">
      <c r="A24" s="99"/>
      <c r="B24" s="335" t="s">
        <v>190</v>
      </c>
      <c r="C24" s="335"/>
      <c r="D24" s="335"/>
      <c r="E24" s="335"/>
      <c r="F24" s="335"/>
      <c r="G24" s="314" t="s">
        <v>394</v>
      </c>
      <c r="H24" s="314"/>
      <c r="I24" s="314"/>
      <c r="J24" s="314"/>
      <c r="K24" s="314"/>
      <c r="L24" s="314"/>
      <c r="M24" s="314"/>
      <c r="N24" s="314"/>
      <c r="O24" s="314"/>
      <c r="P24" s="314"/>
      <c r="Q24" s="314"/>
      <c r="R24" s="314"/>
      <c r="S24" s="314"/>
      <c r="T24" s="314"/>
      <c r="U24" s="314"/>
      <c r="V24" s="314"/>
      <c r="W24" s="314"/>
      <c r="X24" s="314"/>
      <c r="Y24" s="314"/>
      <c r="Z24" s="314"/>
      <c r="AA24" s="314"/>
      <c r="AB24" s="314"/>
      <c r="AC24" s="314"/>
      <c r="AD24" s="314"/>
      <c r="AE24" s="314"/>
      <c r="AF24" s="314"/>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25">
      <c r="A26" s="111"/>
      <c r="B26" s="111" t="s">
        <v>154</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330" t="s">
        <v>34</v>
      </c>
      <c r="C27" s="334"/>
      <c r="D27" s="334"/>
      <c r="E27" s="330" t="s">
        <v>93</v>
      </c>
      <c r="F27" s="330"/>
      <c r="G27" s="330"/>
      <c r="H27" s="330"/>
      <c r="I27" s="330" t="s">
        <v>155</v>
      </c>
      <c r="J27" s="334"/>
      <c r="K27" s="334"/>
      <c r="L27" s="334"/>
      <c r="M27" s="334"/>
      <c r="N27" s="334"/>
      <c r="O27" s="334"/>
      <c r="P27" s="334"/>
      <c r="Q27" s="334"/>
      <c r="R27" s="330" t="s">
        <v>156</v>
      </c>
      <c r="S27" s="330"/>
      <c r="T27" s="330"/>
      <c r="U27" s="330"/>
      <c r="V27" s="330"/>
      <c r="W27" s="330"/>
      <c r="X27" s="330"/>
      <c r="Y27" s="330"/>
      <c r="Z27" s="330"/>
      <c r="AA27" s="330"/>
      <c r="AB27" s="330"/>
      <c r="AC27" s="330"/>
      <c r="AD27" s="330"/>
      <c r="AE27" s="330"/>
      <c r="AF27" s="330"/>
      <c r="AG27" s="99"/>
      <c r="AH27" s="99"/>
    </row>
    <row r="28" spans="1:34" ht="40.5" customHeight="1">
      <c r="A28" s="99"/>
      <c r="B28" s="308" t="s">
        <v>3</v>
      </c>
      <c r="C28" s="309" t="s">
        <v>3</v>
      </c>
      <c r="D28" s="310" t="s">
        <v>3</v>
      </c>
      <c r="E28" s="311"/>
      <c r="F28" s="312"/>
      <c r="G28" s="312"/>
      <c r="H28" s="313"/>
      <c r="I28" s="314"/>
      <c r="J28" s="315"/>
      <c r="K28" s="315"/>
      <c r="L28" s="315"/>
      <c r="M28" s="315"/>
      <c r="N28" s="315"/>
      <c r="O28" s="315"/>
      <c r="P28" s="315"/>
      <c r="Q28" s="315"/>
      <c r="R28" s="314" t="s">
        <v>14</v>
      </c>
      <c r="S28" s="314" t="s">
        <v>14</v>
      </c>
      <c r="T28" s="314" t="s">
        <v>14</v>
      </c>
      <c r="U28" s="314" t="s">
        <v>14</v>
      </c>
      <c r="V28" s="314" t="s">
        <v>14</v>
      </c>
      <c r="W28" s="314" t="s">
        <v>14</v>
      </c>
      <c r="X28" s="314" t="s">
        <v>14</v>
      </c>
      <c r="Y28" s="314" t="s">
        <v>14</v>
      </c>
      <c r="Z28" s="314" t="s">
        <v>14</v>
      </c>
      <c r="AA28" s="314" t="s">
        <v>14</v>
      </c>
      <c r="AB28" s="314" t="s">
        <v>14</v>
      </c>
      <c r="AC28" s="314" t="s">
        <v>14</v>
      </c>
      <c r="AD28" s="314" t="s">
        <v>14</v>
      </c>
      <c r="AE28" s="314" t="s">
        <v>14</v>
      </c>
      <c r="AF28" s="314" t="s">
        <v>14</v>
      </c>
      <c r="AG28" s="99"/>
      <c r="AH28" s="99"/>
    </row>
    <row r="29" spans="1:34" ht="60" customHeight="1">
      <c r="A29" s="99"/>
      <c r="B29" s="308" t="s">
        <v>18</v>
      </c>
      <c r="C29" s="309" t="s">
        <v>18</v>
      </c>
      <c r="D29" s="310" t="s">
        <v>18</v>
      </c>
      <c r="E29" s="311">
        <v>40591.490486111114</v>
      </c>
      <c r="F29" s="312">
        <v>40591.490486111114</v>
      </c>
      <c r="G29" s="312">
        <v>40591.490486111114</v>
      </c>
      <c r="H29" s="313">
        <v>40591.490486111114</v>
      </c>
      <c r="I29" s="314" t="s">
        <v>4</v>
      </c>
      <c r="J29" s="315" t="s">
        <v>4</v>
      </c>
      <c r="K29" s="315" t="s">
        <v>4</v>
      </c>
      <c r="L29" s="315" t="s">
        <v>4</v>
      </c>
      <c r="M29" s="315" t="s">
        <v>4</v>
      </c>
      <c r="N29" s="315" t="s">
        <v>4</v>
      </c>
      <c r="O29" s="315" t="s">
        <v>4</v>
      </c>
      <c r="P29" s="315" t="s">
        <v>4</v>
      </c>
      <c r="Q29" s="315" t="s">
        <v>4</v>
      </c>
      <c r="R29" s="314" t="s">
        <v>35</v>
      </c>
      <c r="S29" s="314" t="s">
        <v>35</v>
      </c>
      <c r="T29" s="314" t="s">
        <v>35</v>
      </c>
      <c r="U29" s="314" t="s">
        <v>35</v>
      </c>
      <c r="V29" s="314" t="s">
        <v>35</v>
      </c>
      <c r="W29" s="314" t="s">
        <v>35</v>
      </c>
      <c r="X29" s="314" t="s">
        <v>35</v>
      </c>
      <c r="Y29" s="314" t="s">
        <v>35</v>
      </c>
      <c r="Z29" s="314" t="s">
        <v>35</v>
      </c>
      <c r="AA29" s="314" t="s">
        <v>35</v>
      </c>
      <c r="AB29" s="314" t="s">
        <v>35</v>
      </c>
      <c r="AC29" s="314" t="s">
        <v>35</v>
      </c>
      <c r="AD29" s="314" t="s">
        <v>35</v>
      </c>
      <c r="AE29" s="314" t="s">
        <v>35</v>
      </c>
      <c r="AF29" s="314" t="s">
        <v>35</v>
      </c>
      <c r="AG29" s="99"/>
      <c r="AH29" s="99"/>
    </row>
    <row r="30" spans="1:34" ht="291" customHeight="1">
      <c r="A30" s="99"/>
      <c r="B30" s="308" t="s">
        <v>99</v>
      </c>
      <c r="C30" s="309" t="s">
        <v>99</v>
      </c>
      <c r="D30" s="310" t="s">
        <v>99</v>
      </c>
      <c r="E30" s="311">
        <v>41071.656145833331</v>
      </c>
      <c r="F30" s="312">
        <v>41071.656145833331</v>
      </c>
      <c r="G30" s="312">
        <v>41071.656145833331</v>
      </c>
      <c r="H30" s="313">
        <v>41071.656145833331</v>
      </c>
      <c r="I30" s="314" t="s">
        <v>4</v>
      </c>
      <c r="J30" s="315" t="s">
        <v>4</v>
      </c>
      <c r="K30" s="315" t="s">
        <v>4</v>
      </c>
      <c r="L30" s="315" t="s">
        <v>4</v>
      </c>
      <c r="M30" s="315" t="s">
        <v>4</v>
      </c>
      <c r="N30" s="315" t="s">
        <v>4</v>
      </c>
      <c r="O30" s="315" t="s">
        <v>4</v>
      </c>
      <c r="P30" s="315" t="s">
        <v>4</v>
      </c>
      <c r="Q30" s="315" t="s">
        <v>4</v>
      </c>
      <c r="R30" s="314" t="s">
        <v>130</v>
      </c>
      <c r="S30" s="314" t="s">
        <v>130</v>
      </c>
      <c r="T30" s="314" t="s">
        <v>130</v>
      </c>
      <c r="U30" s="314" t="s">
        <v>130</v>
      </c>
      <c r="V30" s="314" t="s">
        <v>130</v>
      </c>
      <c r="W30" s="314" t="s">
        <v>130</v>
      </c>
      <c r="X30" s="314" t="s">
        <v>130</v>
      </c>
      <c r="Y30" s="314" t="s">
        <v>130</v>
      </c>
      <c r="Z30" s="314" t="s">
        <v>130</v>
      </c>
      <c r="AA30" s="314" t="s">
        <v>130</v>
      </c>
      <c r="AB30" s="314" t="s">
        <v>130</v>
      </c>
      <c r="AC30" s="314" t="s">
        <v>130</v>
      </c>
      <c r="AD30" s="314" t="s">
        <v>130</v>
      </c>
      <c r="AE30" s="314" t="s">
        <v>130</v>
      </c>
      <c r="AF30" s="314" t="s">
        <v>130</v>
      </c>
      <c r="AG30" s="99"/>
      <c r="AH30" s="99"/>
    </row>
    <row r="31" spans="1:34" ht="40.5" customHeight="1">
      <c r="A31" s="99"/>
      <c r="B31" s="308" t="s">
        <v>87</v>
      </c>
      <c r="C31" s="309" t="s">
        <v>87</v>
      </c>
      <c r="D31" s="310" t="s">
        <v>87</v>
      </c>
      <c r="E31" s="311">
        <v>41071.656145833331</v>
      </c>
      <c r="F31" s="312">
        <v>41071.656145833331</v>
      </c>
      <c r="G31" s="312">
        <v>41071.656145833331</v>
      </c>
      <c r="H31" s="313">
        <v>41071.656145833331</v>
      </c>
      <c r="I31" s="314" t="s">
        <v>88</v>
      </c>
      <c r="J31" s="315" t="s">
        <v>88</v>
      </c>
      <c r="K31" s="315" t="s">
        <v>88</v>
      </c>
      <c r="L31" s="315" t="s">
        <v>88</v>
      </c>
      <c r="M31" s="315" t="s">
        <v>88</v>
      </c>
      <c r="N31" s="315" t="s">
        <v>88</v>
      </c>
      <c r="O31" s="315" t="s">
        <v>88</v>
      </c>
      <c r="P31" s="315" t="s">
        <v>88</v>
      </c>
      <c r="Q31" s="315" t="s">
        <v>88</v>
      </c>
      <c r="R31" s="314" t="s">
        <v>101</v>
      </c>
      <c r="S31" s="314" t="s">
        <v>101</v>
      </c>
      <c r="T31" s="314" t="s">
        <v>101</v>
      </c>
      <c r="U31" s="314" t="s">
        <v>101</v>
      </c>
      <c r="V31" s="314" t="s">
        <v>101</v>
      </c>
      <c r="W31" s="314" t="s">
        <v>101</v>
      </c>
      <c r="X31" s="314" t="s">
        <v>101</v>
      </c>
      <c r="Y31" s="314" t="s">
        <v>101</v>
      </c>
      <c r="Z31" s="314" t="s">
        <v>101</v>
      </c>
      <c r="AA31" s="314" t="s">
        <v>101</v>
      </c>
      <c r="AB31" s="314" t="s">
        <v>101</v>
      </c>
      <c r="AC31" s="314" t="s">
        <v>101</v>
      </c>
      <c r="AD31" s="314" t="s">
        <v>101</v>
      </c>
      <c r="AE31" s="314" t="s">
        <v>101</v>
      </c>
      <c r="AF31" s="314" t="s">
        <v>101</v>
      </c>
      <c r="AG31" s="99"/>
      <c r="AH31" s="99"/>
    </row>
    <row r="32" spans="1:34" ht="121.5" customHeight="1">
      <c r="A32" s="99"/>
      <c r="B32" s="308"/>
      <c r="C32" s="309"/>
      <c r="D32" s="310"/>
      <c r="E32" s="311">
        <v>42195</v>
      </c>
      <c r="F32" s="312">
        <v>42195</v>
      </c>
      <c r="G32" s="312">
        <v>42195</v>
      </c>
      <c r="H32" s="313">
        <v>42195</v>
      </c>
      <c r="I32" s="314" t="s">
        <v>100</v>
      </c>
      <c r="J32" s="315" t="s">
        <v>100</v>
      </c>
      <c r="K32" s="315" t="s">
        <v>100</v>
      </c>
      <c r="L32" s="315" t="s">
        <v>100</v>
      </c>
      <c r="M32" s="315" t="s">
        <v>100</v>
      </c>
      <c r="N32" s="315" t="s">
        <v>100</v>
      </c>
      <c r="O32" s="315" t="s">
        <v>100</v>
      </c>
      <c r="P32" s="315" t="s">
        <v>100</v>
      </c>
      <c r="Q32" s="315" t="s">
        <v>100</v>
      </c>
      <c r="R32" s="314" t="s">
        <v>103</v>
      </c>
      <c r="S32" s="314" t="s">
        <v>103</v>
      </c>
      <c r="T32" s="314" t="s">
        <v>103</v>
      </c>
      <c r="U32" s="314" t="s">
        <v>103</v>
      </c>
      <c r="V32" s="314" t="s">
        <v>103</v>
      </c>
      <c r="W32" s="314" t="s">
        <v>103</v>
      </c>
      <c r="X32" s="314" t="s">
        <v>103</v>
      </c>
      <c r="Y32" s="314" t="s">
        <v>103</v>
      </c>
      <c r="Z32" s="314" t="s">
        <v>103</v>
      </c>
      <c r="AA32" s="314" t="s">
        <v>103</v>
      </c>
      <c r="AB32" s="314" t="s">
        <v>103</v>
      </c>
      <c r="AC32" s="314" t="s">
        <v>103</v>
      </c>
      <c r="AD32" s="314" t="s">
        <v>103</v>
      </c>
      <c r="AE32" s="314" t="s">
        <v>103</v>
      </c>
      <c r="AF32" s="314" t="s">
        <v>103</v>
      </c>
      <c r="AG32" s="99"/>
      <c r="AH32" s="99"/>
    </row>
    <row r="33" spans="1:34" ht="114" customHeight="1">
      <c r="A33" s="99"/>
      <c r="B33" s="308" t="s">
        <v>104</v>
      </c>
      <c r="C33" s="309" t="s">
        <v>104</v>
      </c>
      <c r="D33" s="310" t="s">
        <v>104</v>
      </c>
      <c r="E33" s="311">
        <v>42391.634837962964</v>
      </c>
      <c r="F33" s="312">
        <v>42391.634837962964</v>
      </c>
      <c r="G33" s="312">
        <v>42391.634837962964</v>
      </c>
      <c r="H33" s="313">
        <v>42391.634837962964</v>
      </c>
      <c r="I33" s="314" t="s">
        <v>105</v>
      </c>
      <c r="J33" s="315" t="s">
        <v>105</v>
      </c>
      <c r="K33" s="315" t="s">
        <v>105</v>
      </c>
      <c r="L33" s="315" t="s">
        <v>105</v>
      </c>
      <c r="M33" s="315" t="s">
        <v>105</v>
      </c>
      <c r="N33" s="315" t="s">
        <v>105</v>
      </c>
      <c r="O33" s="315" t="s">
        <v>105</v>
      </c>
      <c r="P33" s="315" t="s">
        <v>105</v>
      </c>
      <c r="Q33" s="315" t="s">
        <v>105</v>
      </c>
      <c r="R33" s="314" t="s">
        <v>129</v>
      </c>
      <c r="S33" s="314" t="s">
        <v>129</v>
      </c>
      <c r="T33" s="314" t="s">
        <v>129</v>
      </c>
      <c r="U33" s="314" t="s">
        <v>129</v>
      </c>
      <c r="V33" s="314" t="s">
        <v>129</v>
      </c>
      <c r="W33" s="314" t="s">
        <v>129</v>
      </c>
      <c r="X33" s="314" t="s">
        <v>129</v>
      </c>
      <c r="Y33" s="314" t="s">
        <v>129</v>
      </c>
      <c r="Z33" s="314" t="s">
        <v>129</v>
      </c>
      <c r="AA33" s="314" t="s">
        <v>129</v>
      </c>
      <c r="AB33" s="314" t="s">
        <v>129</v>
      </c>
      <c r="AC33" s="314" t="s">
        <v>129</v>
      </c>
      <c r="AD33" s="314" t="s">
        <v>129</v>
      </c>
      <c r="AE33" s="314" t="s">
        <v>129</v>
      </c>
      <c r="AF33" s="314" t="s">
        <v>129</v>
      </c>
      <c r="AG33" s="99"/>
      <c r="AH33" s="99"/>
    </row>
    <row r="34" spans="1:34" ht="40.5" customHeight="1">
      <c r="A34" s="99"/>
      <c r="B34" s="336" t="s">
        <v>191</v>
      </c>
      <c r="C34" s="337"/>
      <c r="D34" s="337"/>
      <c r="E34" s="311"/>
      <c r="F34" s="312"/>
      <c r="G34" s="312"/>
      <c r="H34" s="313"/>
      <c r="I34" s="314"/>
      <c r="J34" s="315"/>
      <c r="K34" s="315"/>
      <c r="L34" s="315"/>
      <c r="M34" s="315"/>
      <c r="N34" s="315"/>
      <c r="O34" s="315"/>
      <c r="P34" s="315"/>
      <c r="Q34" s="315"/>
      <c r="R34" s="314" t="s">
        <v>192</v>
      </c>
      <c r="S34" s="314"/>
      <c r="T34" s="314"/>
      <c r="U34" s="314"/>
      <c r="V34" s="314"/>
      <c r="W34" s="314"/>
      <c r="X34" s="314"/>
      <c r="Y34" s="314"/>
      <c r="Z34" s="314"/>
      <c r="AA34" s="314"/>
      <c r="AB34" s="314"/>
      <c r="AC34" s="314"/>
      <c r="AD34" s="314"/>
      <c r="AE34" s="314"/>
      <c r="AF34" s="314"/>
      <c r="AG34" s="99"/>
      <c r="AH34" s="99"/>
    </row>
    <row r="35" spans="1:34">
      <c r="A35" s="99"/>
      <c r="B35" s="115" t="s">
        <v>157</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25">
      <c r="A38" s="99"/>
      <c r="B38" s="111" t="s">
        <v>158</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75">
      <c r="A39" s="99"/>
      <c r="B39" s="120" t="s">
        <v>159</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330" t="s">
        <v>160</v>
      </c>
      <c r="C40" s="330"/>
      <c r="D40" s="330"/>
      <c r="E40" s="330" t="s">
        <v>161</v>
      </c>
      <c r="F40" s="334"/>
      <c r="G40" s="334"/>
      <c r="H40" s="334"/>
      <c r="I40" s="334"/>
      <c r="J40" s="334"/>
      <c r="K40" s="334"/>
      <c r="L40" s="334"/>
      <c r="M40" s="334"/>
      <c r="N40" s="334"/>
      <c r="O40" s="334"/>
      <c r="P40" s="334"/>
      <c r="Q40" s="334"/>
      <c r="R40" s="334"/>
      <c r="S40" s="334"/>
      <c r="T40" s="334"/>
      <c r="U40" s="334"/>
      <c r="V40" s="334"/>
      <c r="W40" s="334"/>
      <c r="X40" s="334"/>
      <c r="Y40" s="330" t="s">
        <v>162</v>
      </c>
      <c r="Z40" s="330"/>
      <c r="AA40" s="330"/>
      <c r="AB40" s="330"/>
      <c r="AC40" s="330"/>
      <c r="AD40" s="330"/>
      <c r="AE40" s="330"/>
      <c r="AF40" s="330"/>
      <c r="AG40" s="99"/>
      <c r="AH40" s="99"/>
    </row>
    <row r="41" spans="1:34">
      <c r="A41" s="99"/>
      <c r="B41" s="338"/>
      <c r="C41" s="338"/>
      <c r="D41" s="338"/>
      <c r="E41" s="314"/>
      <c r="F41" s="339"/>
      <c r="G41" s="339"/>
      <c r="H41" s="339"/>
      <c r="I41" s="339"/>
      <c r="J41" s="339"/>
      <c r="K41" s="339"/>
      <c r="L41" s="339"/>
      <c r="M41" s="339"/>
      <c r="N41" s="339"/>
      <c r="O41" s="339"/>
      <c r="P41" s="339"/>
      <c r="Q41" s="339"/>
      <c r="R41" s="339"/>
      <c r="S41" s="339"/>
      <c r="T41" s="339"/>
      <c r="U41" s="339"/>
      <c r="V41" s="339"/>
      <c r="W41" s="339"/>
      <c r="X41" s="339"/>
      <c r="Y41" s="314"/>
      <c r="Z41" s="339"/>
      <c r="AA41" s="339"/>
      <c r="AB41" s="339"/>
      <c r="AC41" s="339"/>
      <c r="AD41" s="339"/>
      <c r="AE41" s="339"/>
      <c r="AF41" s="339"/>
      <c r="AG41" s="99"/>
      <c r="AH41" s="99"/>
    </row>
    <row r="42" spans="1:34">
      <c r="A42" s="99"/>
      <c r="B42" s="338"/>
      <c r="C42" s="338"/>
      <c r="D42" s="338"/>
      <c r="E42" s="314"/>
      <c r="F42" s="339"/>
      <c r="G42" s="339"/>
      <c r="H42" s="339"/>
      <c r="I42" s="339"/>
      <c r="J42" s="339"/>
      <c r="K42" s="339"/>
      <c r="L42" s="339"/>
      <c r="M42" s="339"/>
      <c r="N42" s="339"/>
      <c r="O42" s="339"/>
      <c r="P42" s="339"/>
      <c r="Q42" s="339"/>
      <c r="R42" s="339"/>
      <c r="S42" s="339"/>
      <c r="T42" s="339"/>
      <c r="U42" s="339"/>
      <c r="V42" s="339"/>
      <c r="W42" s="339"/>
      <c r="X42" s="339"/>
      <c r="Y42" s="314"/>
      <c r="Z42" s="339"/>
      <c r="AA42" s="339"/>
      <c r="AB42" s="339"/>
      <c r="AC42" s="339"/>
      <c r="AD42" s="339"/>
      <c r="AE42" s="339"/>
      <c r="AF42" s="339"/>
      <c r="AG42" s="99"/>
      <c r="AH42" s="99"/>
    </row>
    <row r="43" spans="1:34">
      <c r="A43" s="99"/>
      <c r="B43" s="338"/>
      <c r="C43" s="338"/>
      <c r="D43" s="338"/>
      <c r="E43" s="314"/>
      <c r="F43" s="339"/>
      <c r="G43" s="339"/>
      <c r="H43" s="339"/>
      <c r="I43" s="339"/>
      <c r="J43" s="339"/>
      <c r="K43" s="339"/>
      <c r="L43" s="339"/>
      <c r="M43" s="339"/>
      <c r="N43" s="339"/>
      <c r="O43" s="339"/>
      <c r="P43" s="339"/>
      <c r="Q43" s="339"/>
      <c r="R43" s="339"/>
      <c r="S43" s="339"/>
      <c r="T43" s="339"/>
      <c r="U43" s="339"/>
      <c r="V43" s="339"/>
      <c r="W43" s="339"/>
      <c r="X43" s="339"/>
      <c r="Y43" s="314"/>
      <c r="Z43" s="339"/>
      <c r="AA43" s="339"/>
      <c r="AB43" s="339"/>
      <c r="AC43" s="339"/>
      <c r="AD43" s="339"/>
      <c r="AE43" s="339"/>
      <c r="AF43" s="339"/>
      <c r="AG43" s="99"/>
      <c r="AH43" s="99"/>
    </row>
    <row r="44" spans="1:34">
      <c r="A44" s="99"/>
      <c r="B44" s="338"/>
      <c r="C44" s="338"/>
      <c r="D44" s="338"/>
      <c r="E44" s="314"/>
      <c r="F44" s="339"/>
      <c r="G44" s="339"/>
      <c r="H44" s="339"/>
      <c r="I44" s="339"/>
      <c r="J44" s="339"/>
      <c r="K44" s="339"/>
      <c r="L44" s="339"/>
      <c r="M44" s="339"/>
      <c r="N44" s="339"/>
      <c r="O44" s="339"/>
      <c r="P44" s="339"/>
      <c r="Q44" s="339"/>
      <c r="R44" s="339"/>
      <c r="S44" s="339"/>
      <c r="T44" s="339"/>
      <c r="U44" s="339"/>
      <c r="V44" s="339"/>
      <c r="W44" s="339"/>
      <c r="X44" s="339"/>
      <c r="Y44" s="314"/>
      <c r="Z44" s="339"/>
      <c r="AA44" s="339"/>
      <c r="AB44" s="339"/>
      <c r="AC44" s="339"/>
      <c r="AD44" s="339"/>
      <c r="AE44" s="339"/>
      <c r="AF44" s="339"/>
      <c r="AG44" s="99"/>
      <c r="AH44" s="99"/>
    </row>
    <row r="45" spans="1:34" ht="18.75">
      <c r="A45" s="99"/>
      <c r="B45" s="120" t="s">
        <v>163</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330" t="s">
        <v>160</v>
      </c>
      <c r="C46" s="330"/>
      <c r="D46" s="330"/>
      <c r="E46" s="330" t="s">
        <v>161</v>
      </c>
      <c r="F46" s="334"/>
      <c r="G46" s="334"/>
      <c r="H46" s="334"/>
      <c r="I46" s="334"/>
      <c r="J46" s="334"/>
      <c r="K46" s="334"/>
      <c r="L46" s="334"/>
      <c r="M46" s="334"/>
      <c r="N46" s="334"/>
      <c r="O46" s="334"/>
      <c r="P46" s="334"/>
      <c r="Q46" s="334"/>
      <c r="R46" s="334"/>
      <c r="S46" s="334"/>
      <c r="T46" s="334"/>
      <c r="U46" s="334"/>
      <c r="V46" s="334"/>
      <c r="W46" s="334"/>
      <c r="X46" s="334"/>
      <c r="Y46" s="330" t="s">
        <v>162</v>
      </c>
      <c r="Z46" s="330"/>
      <c r="AA46" s="330"/>
      <c r="AB46" s="330"/>
      <c r="AC46" s="330"/>
      <c r="AD46" s="330"/>
      <c r="AE46" s="330"/>
      <c r="AF46" s="330"/>
      <c r="AG46" s="99"/>
      <c r="AH46" s="99"/>
    </row>
    <row r="47" spans="1:34">
      <c r="A47" s="99"/>
      <c r="B47" s="338"/>
      <c r="C47" s="338"/>
      <c r="D47" s="338"/>
      <c r="E47" s="314"/>
      <c r="F47" s="339"/>
      <c r="G47" s="339"/>
      <c r="H47" s="339"/>
      <c r="I47" s="339"/>
      <c r="J47" s="339"/>
      <c r="K47" s="339"/>
      <c r="L47" s="339"/>
      <c r="M47" s="339"/>
      <c r="N47" s="339"/>
      <c r="O47" s="339"/>
      <c r="P47" s="339"/>
      <c r="Q47" s="339"/>
      <c r="R47" s="339"/>
      <c r="S47" s="339"/>
      <c r="T47" s="339"/>
      <c r="U47" s="339"/>
      <c r="V47" s="339"/>
      <c r="W47" s="339"/>
      <c r="X47" s="339"/>
      <c r="Y47" s="314"/>
      <c r="Z47" s="339"/>
      <c r="AA47" s="339"/>
      <c r="AB47" s="339"/>
      <c r="AC47" s="339"/>
      <c r="AD47" s="339"/>
      <c r="AE47" s="339"/>
      <c r="AF47" s="339"/>
      <c r="AG47" s="99"/>
      <c r="AH47" s="99"/>
    </row>
    <row r="48" spans="1:34">
      <c r="A48" s="99"/>
      <c r="B48" s="338"/>
      <c r="C48" s="338"/>
      <c r="D48" s="338"/>
      <c r="E48" s="314"/>
      <c r="F48" s="339"/>
      <c r="G48" s="339"/>
      <c r="H48" s="339"/>
      <c r="I48" s="339"/>
      <c r="J48" s="339"/>
      <c r="K48" s="339"/>
      <c r="L48" s="339"/>
      <c r="M48" s="339"/>
      <c r="N48" s="339"/>
      <c r="O48" s="339"/>
      <c r="P48" s="339"/>
      <c r="Q48" s="339"/>
      <c r="R48" s="339"/>
      <c r="S48" s="339"/>
      <c r="T48" s="339"/>
      <c r="U48" s="339"/>
      <c r="V48" s="339"/>
      <c r="W48" s="339"/>
      <c r="X48" s="339"/>
      <c r="Y48" s="314"/>
      <c r="Z48" s="339"/>
      <c r="AA48" s="339"/>
      <c r="AB48" s="339"/>
      <c r="AC48" s="339"/>
      <c r="AD48" s="339"/>
      <c r="AE48" s="339"/>
      <c r="AF48" s="339"/>
      <c r="AG48" s="99"/>
      <c r="AH48" s="99"/>
    </row>
    <row r="49" spans="1:34">
      <c r="A49" s="99"/>
      <c r="B49" s="338"/>
      <c r="C49" s="338"/>
      <c r="D49" s="338"/>
      <c r="E49" s="314"/>
      <c r="F49" s="339"/>
      <c r="G49" s="339"/>
      <c r="H49" s="339"/>
      <c r="I49" s="339"/>
      <c r="J49" s="339"/>
      <c r="K49" s="339"/>
      <c r="L49" s="339"/>
      <c r="M49" s="339"/>
      <c r="N49" s="339"/>
      <c r="O49" s="339"/>
      <c r="P49" s="339"/>
      <c r="Q49" s="339"/>
      <c r="R49" s="339"/>
      <c r="S49" s="339"/>
      <c r="T49" s="339"/>
      <c r="U49" s="339"/>
      <c r="V49" s="339"/>
      <c r="W49" s="339"/>
      <c r="X49" s="339"/>
      <c r="Y49" s="314"/>
      <c r="Z49" s="339"/>
      <c r="AA49" s="339"/>
      <c r="AB49" s="339"/>
      <c r="AC49" s="339"/>
      <c r="AD49" s="339"/>
      <c r="AE49" s="339"/>
      <c r="AF49" s="339"/>
      <c r="AG49" s="99"/>
      <c r="AH49" s="99"/>
    </row>
    <row r="50" spans="1:34">
      <c r="A50" s="99"/>
      <c r="B50" s="338"/>
      <c r="C50" s="338"/>
      <c r="D50" s="338"/>
      <c r="E50" s="314"/>
      <c r="F50" s="339"/>
      <c r="G50" s="339"/>
      <c r="H50" s="339"/>
      <c r="I50" s="339"/>
      <c r="J50" s="339"/>
      <c r="K50" s="339"/>
      <c r="L50" s="339"/>
      <c r="M50" s="339"/>
      <c r="N50" s="339"/>
      <c r="O50" s="339"/>
      <c r="P50" s="339"/>
      <c r="Q50" s="339"/>
      <c r="R50" s="339"/>
      <c r="S50" s="339"/>
      <c r="T50" s="339"/>
      <c r="U50" s="339"/>
      <c r="V50" s="339"/>
      <c r="W50" s="339"/>
      <c r="X50" s="339"/>
      <c r="Y50" s="314"/>
      <c r="Z50" s="339"/>
      <c r="AA50" s="339"/>
      <c r="AB50" s="339"/>
      <c r="AC50" s="339"/>
      <c r="AD50" s="339"/>
      <c r="AE50" s="339"/>
      <c r="AF50" s="339"/>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25">
      <c r="A52" s="99"/>
      <c r="B52" s="111" t="s">
        <v>164</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330" t="s">
        <v>165</v>
      </c>
      <c r="C53" s="330"/>
      <c r="D53" s="330"/>
      <c r="E53" s="330"/>
      <c r="F53" s="330"/>
      <c r="G53" s="330"/>
      <c r="H53" s="340"/>
      <c r="I53" s="340"/>
      <c r="J53" s="340"/>
      <c r="K53" s="340"/>
      <c r="L53" s="340"/>
      <c r="M53" s="340"/>
      <c r="N53" s="340"/>
      <c r="O53" s="340"/>
      <c r="P53" s="340"/>
      <c r="Q53" s="340"/>
      <c r="R53" s="340"/>
      <c r="S53" s="340"/>
      <c r="T53" s="340"/>
      <c r="U53" s="340"/>
      <c r="V53" s="340"/>
      <c r="W53" s="340"/>
      <c r="X53" s="340"/>
      <c r="Y53" s="340"/>
      <c r="Z53" s="340"/>
      <c r="AA53" s="340"/>
      <c r="AB53" s="340"/>
      <c r="AC53" s="340"/>
      <c r="AD53" s="340"/>
      <c r="AE53" s="340"/>
      <c r="AF53" s="340"/>
      <c r="AG53" s="99"/>
      <c r="AH53" s="99"/>
    </row>
    <row r="54" spans="1:34" ht="27.75" customHeight="1">
      <c r="A54" s="99"/>
      <c r="B54" s="308" t="s">
        <v>166</v>
      </c>
      <c r="C54" s="309"/>
      <c r="D54" s="309"/>
      <c r="E54" s="309"/>
      <c r="F54" s="309"/>
      <c r="G54" s="310"/>
      <c r="H54" s="344" t="s">
        <v>167</v>
      </c>
      <c r="I54" s="342"/>
      <c r="J54" s="342"/>
      <c r="K54" s="342"/>
      <c r="L54" s="342"/>
      <c r="M54" s="342"/>
      <c r="N54" s="342"/>
      <c r="O54" s="342"/>
      <c r="P54" s="342"/>
      <c r="Q54" s="342"/>
      <c r="R54" s="342"/>
      <c r="S54" s="342"/>
      <c r="T54" s="342"/>
      <c r="U54" s="342"/>
      <c r="V54" s="342"/>
      <c r="W54" s="342"/>
      <c r="X54" s="342"/>
      <c r="Y54" s="342"/>
      <c r="Z54" s="342"/>
      <c r="AA54" s="342"/>
      <c r="AB54" s="342"/>
      <c r="AC54" s="342"/>
      <c r="AD54" s="342"/>
      <c r="AE54" s="342"/>
      <c r="AF54" s="343"/>
      <c r="AG54" s="99"/>
      <c r="AH54" s="99"/>
    </row>
    <row r="55" spans="1:34">
      <c r="A55" s="99"/>
      <c r="B55" s="308"/>
      <c r="C55" s="309"/>
      <c r="D55" s="309"/>
      <c r="E55" s="309"/>
      <c r="F55" s="309"/>
      <c r="G55" s="310"/>
      <c r="H55" s="341"/>
      <c r="I55" s="342"/>
      <c r="J55" s="342"/>
      <c r="K55" s="342"/>
      <c r="L55" s="342"/>
      <c r="M55" s="342"/>
      <c r="N55" s="342"/>
      <c r="O55" s="342"/>
      <c r="P55" s="342"/>
      <c r="Q55" s="342"/>
      <c r="R55" s="342"/>
      <c r="S55" s="342"/>
      <c r="T55" s="342"/>
      <c r="U55" s="342"/>
      <c r="V55" s="342"/>
      <c r="W55" s="342"/>
      <c r="X55" s="342"/>
      <c r="Y55" s="342"/>
      <c r="Z55" s="342"/>
      <c r="AA55" s="342"/>
      <c r="AB55" s="342"/>
      <c r="AC55" s="342"/>
      <c r="AD55" s="342"/>
      <c r="AE55" s="342"/>
      <c r="AF55" s="343"/>
      <c r="AG55" s="99"/>
      <c r="AH55" s="99"/>
    </row>
    <row r="56" spans="1:34">
      <c r="A56" s="99"/>
      <c r="B56" s="308"/>
      <c r="C56" s="309"/>
      <c r="D56" s="309"/>
      <c r="E56" s="309"/>
      <c r="F56" s="309"/>
      <c r="G56" s="310"/>
      <c r="H56" s="341"/>
      <c r="I56" s="342"/>
      <c r="J56" s="342"/>
      <c r="K56" s="342"/>
      <c r="L56" s="342"/>
      <c r="M56" s="342"/>
      <c r="N56" s="342"/>
      <c r="O56" s="342"/>
      <c r="P56" s="342"/>
      <c r="Q56" s="342"/>
      <c r="R56" s="342"/>
      <c r="S56" s="342"/>
      <c r="T56" s="342"/>
      <c r="U56" s="342"/>
      <c r="V56" s="342"/>
      <c r="W56" s="342"/>
      <c r="X56" s="342"/>
      <c r="Y56" s="342"/>
      <c r="Z56" s="342"/>
      <c r="AA56" s="342"/>
      <c r="AB56" s="342"/>
      <c r="AC56" s="342"/>
      <c r="AD56" s="342"/>
      <c r="AE56" s="342"/>
      <c r="AF56" s="343"/>
      <c r="AG56" s="99"/>
      <c r="AH56" s="99"/>
    </row>
    <row r="57" spans="1:34">
      <c r="A57" s="99"/>
      <c r="B57" s="308"/>
      <c r="C57" s="309"/>
      <c r="D57" s="309"/>
      <c r="E57" s="309"/>
      <c r="F57" s="309"/>
      <c r="G57" s="310"/>
      <c r="H57" s="341"/>
      <c r="I57" s="342"/>
      <c r="J57" s="342"/>
      <c r="K57" s="342"/>
      <c r="L57" s="342"/>
      <c r="M57" s="342"/>
      <c r="N57" s="342"/>
      <c r="O57" s="342"/>
      <c r="P57" s="342"/>
      <c r="Q57" s="342"/>
      <c r="R57" s="342"/>
      <c r="S57" s="342"/>
      <c r="T57" s="342"/>
      <c r="U57" s="342"/>
      <c r="V57" s="342"/>
      <c r="W57" s="342"/>
      <c r="X57" s="342"/>
      <c r="Y57" s="342"/>
      <c r="Z57" s="342"/>
      <c r="AA57" s="342"/>
      <c r="AB57" s="342"/>
      <c r="AC57" s="342"/>
      <c r="AD57" s="342"/>
      <c r="AE57" s="342"/>
      <c r="AF57" s="343"/>
      <c r="AG57" s="99"/>
      <c r="AH57" s="99"/>
    </row>
    <row r="58" spans="1:34">
      <c r="A58" s="99"/>
      <c r="B58" s="308"/>
      <c r="C58" s="309"/>
      <c r="D58" s="309"/>
      <c r="E58" s="309"/>
      <c r="F58" s="309"/>
      <c r="G58" s="310"/>
      <c r="H58" s="341"/>
      <c r="I58" s="342"/>
      <c r="J58" s="342"/>
      <c r="K58" s="342"/>
      <c r="L58" s="342"/>
      <c r="M58" s="342"/>
      <c r="N58" s="342"/>
      <c r="O58" s="342"/>
      <c r="P58" s="342"/>
      <c r="Q58" s="342"/>
      <c r="R58" s="342"/>
      <c r="S58" s="342"/>
      <c r="T58" s="342"/>
      <c r="U58" s="342"/>
      <c r="V58" s="342"/>
      <c r="W58" s="342"/>
      <c r="X58" s="342"/>
      <c r="Y58" s="342"/>
      <c r="Z58" s="342"/>
      <c r="AA58" s="342"/>
      <c r="AB58" s="342"/>
      <c r="AC58" s="342"/>
      <c r="AD58" s="342"/>
      <c r="AE58" s="342"/>
      <c r="AF58" s="343"/>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6.25">
      <c r="A61" s="99"/>
      <c r="B61" s="122" t="s">
        <v>168</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6.25">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7" customFormat="1" ht="20.25">
      <c r="B63" s="178" t="s">
        <v>286</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302" t="s">
        <v>282</v>
      </c>
      <c r="C65" s="303"/>
      <c r="D65" s="303"/>
      <c r="E65" s="303"/>
      <c r="F65" s="303"/>
      <c r="G65" s="304"/>
      <c r="H65" s="305" t="s">
        <v>277</v>
      </c>
      <c r="I65" s="306"/>
      <c r="J65" s="306"/>
      <c r="K65" s="306"/>
      <c r="L65" s="306"/>
      <c r="M65" s="306"/>
      <c r="N65" s="306"/>
      <c r="O65" s="306"/>
      <c r="P65" s="306"/>
      <c r="Q65" s="306"/>
      <c r="R65" s="306"/>
      <c r="S65" s="306"/>
      <c r="T65" s="306"/>
      <c r="U65" s="306"/>
      <c r="V65" s="306"/>
      <c r="W65" s="306"/>
      <c r="X65" s="306"/>
      <c r="Y65" s="306"/>
      <c r="Z65" s="306"/>
      <c r="AA65" s="306"/>
      <c r="AB65" s="306"/>
      <c r="AC65" s="306"/>
      <c r="AD65" s="306"/>
      <c r="AE65" s="306"/>
      <c r="AF65" s="307"/>
      <c r="AG65" s="99"/>
      <c r="AH65" s="99"/>
    </row>
    <row r="66" spans="1:36" ht="111" customHeight="1">
      <c r="A66" s="99"/>
      <c r="B66" s="302" t="s">
        <v>283</v>
      </c>
      <c r="C66" s="303"/>
      <c r="D66" s="303"/>
      <c r="E66" s="303"/>
      <c r="F66" s="303"/>
      <c r="G66" s="304"/>
      <c r="H66" s="305" t="s">
        <v>279</v>
      </c>
      <c r="I66" s="306"/>
      <c r="J66" s="306"/>
      <c r="K66" s="306"/>
      <c r="L66" s="306"/>
      <c r="M66" s="306"/>
      <c r="N66" s="306"/>
      <c r="O66" s="306"/>
      <c r="P66" s="306"/>
      <c r="Q66" s="306"/>
      <c r="R66" s="306"/>
      <c r="S66" s="306"/>
      <c r="T66" s="306"/>
      <c r="U66" s="306"/>
      <c r="V66" s="306"/>
      <c r="W66" s="306"/>
      <c r="X66" s="306"/>
      <c r="Y66" s="306"/>
      <c r="Z66" s="306"/>
      <c r="AA66" s="306"/>
      <c r="AB66" s="306"/>
      <c r="AC66" s="306"/>
      <c r="AD66" s="306"/>
      <c r="AE66" s="306"/>
      <c r="AF66" s="307"/>
      <c r="AG66" s="99"/>
      <c r="AH66" s="99"/>
    </row>
    <row r="67" spans="1:36" ht="52.5" customHeight="1">
      <c r="A67" s="99"/>
      <c r="B67" s="302" t="s">
        <v>284</v>
      </c>
      <c r="C67" s="303"/>
      <c r="D67" s="303"/>
      <c r="E67" s="303"/>
      <c r="F67" s="303"/>
      <c r="G67" s="304"/>
      <c r="H67" s="305" t="s">
        <v>287</v>
      </c>
      <c r="I67" s="306"/>
      <c r="J67" s="306"/>
      <c r="K67" s="306"/>
      <c r="L67" s="306"/>
      <c r="M67" s="306"/>
      <c r="N67" s="306"/>
      <c r="O67" s="306"/>
      <c r="P67" s="306"/>
      <c r="Q67" s="306"/>
      <c r="R67" s="306"/>
      <c r="S67" s="306"/>
      <c r="T67" s="306"/>
      <c r="U67" s="306"/>
      <c r="V67" s="306"/>
      <c r="W67" s="306"/>
      <c r="X67" s="306"/>
      <c r="Y67" s="306"/>
      <c r="Z67" s="306"/>
      <c r="AA67" s="306"/>
      <c r="AB67" s="306"/>
      <c r="AC67" s="306"/>
      <c r="AD67" s="306"/>
      <c r="AE67" s="306"/>
      <c r="AF67" s="307"/>
      <c r="AG67" s="99"/>
      <c r="AH67" s="99"/>
    </row>
    <row r="68" spans="1:36" ht="52.5" customHeight="1">
      <c r="A68" s="99"/>
      <c r="B68" s="302" t="s">
        <v>276</v>
      </c>
      <c r="C68" s="303"/>
      <c r="D68" s="303"/>
      <c r="E68" s="303"/>
      <c r="F68" s="303"/>
      <c r="G68" s="304"/>
      <c r="H68" s="305" t="s">
        <v>280</v>
      </c>
      <c r="I68" s="306"/>
      <c r="J68" s="306"/>
      <c r="K68" s="306"/>
      <c r="L68" s="306"/>
      <c r="M68" s="306"/>
      <c r="N68" s="306"/>
      <c r="O68" s="306"/>
      <c r="P68" s="306"/>
      <c r="Q68" s="306"/>
      <c r="R68" s="306"/>
      <c r="S68" s="306"/>
      <c r="T68" s="306"/>
      <c r="U68" s="306"/>
      <c r="V68" s="306"/>
      <c r="W68" s="306"/>
      <c r="X68" s="306"/>
      <c r="Y68" s="306"/>
      <c r="Z68" s="306"/>
      <c r="AA68" s="306"/>
      <c r="AB68" s="306"/>
      <c r="AC68" s="306"/>
      <c r="AD68" s="306"/>
      <c r="AE68" s="306"/>
      <c r="AF68" s="307"/>
      <c r="AG68" s="99"/>
      <c r="AH68" s="99"/>
    </row>
    <row r="69" spans="1:36" ht="81" customHeight="1">
      <c r="A69" s="99"/>
      <c r="B69" s="302" t="s">
        <v>285</v>
      </c>
      <c r="C69" s="303"/>
      <c r="D69" s="303"/>
      <c r="E69" s="303"/>
      <c r="F69" s="303"/>
      <c r="G69" s="304"/>
      <c r="H69" s="305" t="s">
        <v>288</v>
      </c>
      <c r="I69" s="306"/>
      <c r="J69" s="306"/>
      <c r="K69" s="306"/>
      <c r="L69" s="306"/>
      <c r="M69" s="306"/>
      <c r="N69" s="306"/>
      <c r="O69" s="306"/>
      <c r="P69" s="306"/>
      <c r="Q69" s="306"/>
      <c r="R69" s="306"/>
      <c r="S69" s="306"/>
      <c r="T69" s="306"/>
      <c r="U69" s="306"/>
      <c r="V69" s="306"/>
      <c r="W69" s="306"/>
      <c r="X69" s="306"/>
      <c r="Y69" s="306"/>
      <c r="Z69" s="306"/>
      <c r="AA69" s="306"/>
      <c r="AB69" s="306"/>
      <c r="AC69" s="306"/>
      <c r="AD69" s="306"/>
      <c r="AE69" s="306"/>
      <c r="AF69" s="307"/>
      <c r="AG69" s="99"/>
      <c r="AH69" s="99"/>
    </row>
    <row r="70" spans="1:36" ht="97.5" customHeight="1">
      <c r="A70" s="99"/>
      <c r="B70" s="302" t="s">
        <v>278</v>
      </c>
      <c r="C70" s="303"/>
      <c r="D70" s="303"/>
      <c r="E70" s="303"/>
      <c r="F70" s="303"/>
      <c r="G70" s="304"/>
      <c r="H70" s="305" t="s">
        <v>281</v>
      </c>
      <c r="I70" s="306"/>
      <c r="J70" s="306"/>
      <c r="K70" s="306"/>
      <c r="L70" s="306"/>
      <c r="M70" s="306"/>
      <c r="N70" s="306"/>
      <c r="O70" s="306"/>
      <c r="P70" s="306"/>
      <c r="Q70" s="306"/>
      <c r="R70" s="306"/>
      <c r="S70" s="306"/>
      <c r="T70" s="306"/>
      <c r="U70" s="306"/>
      <c r="V70" s="306"/>
      <c r="W70" s="306"/>
      <c r="X70" s="306"/>
      <c r="Y70" s="306"/>
      <c r="Z70" s="306"/>
      <c r="AA70" s="306"/>
      <c r="AB70" s="306"/>
      <c r="AC70" s="306"/>
      <c r="AD70" s="306"/>
      <c r="AE70" s="306"/>
      <c r="AF70" s="307"/>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6.25">
      <c r="A74" s="99"/>
      <c r="B74" s="122" t="s">
        <v>169</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170</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7.5">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6" t="s">
        <v>395</v>
      </c>
    </row>
    <row r="78" spans="1:36" ht="18.75">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7"/>
      <c r="AJ78" s="185" t="s">
        <v>396</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8" t="s">
        <v>225</v>
      </c>
      <c r="AJ79" s="148" t="s">
        <v>171</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8" t="s">
        <v>23</v>
      </c>
      <c r="AJ80" s="148" t="s">
        <v>173</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8" t="s">
        <v>11</v>
      </c>
      <c r="AJ81" s="148" t="s">
        <v>227</v>
      </c>
    </row>
    <row r="82" spans="1:36" ht="18.75">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49"/>
      <c r="AJ82" s="148" t="s">
        <v>174</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8" t="s">
        <v>298</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8" t="s">
        <v>172</v>
      </c>
    </row>
    <row r="85" spans="1:36">
      <c r="AJ85" s="148" t="s">
        <v>231</v>
      </c>
    </row>
    <row r="86" spans="1:36">
      <c r="AJ86" s="148" t="s">
        <v>299</v>
      </c>
    </row>
    <row r="87" spans="1:36">
      <c r="AJ87" s="148" t="s">
        <v>300</v>
      </c>
    </row>
    <row r="88" spans="1:36">
      <c r="AJ88" s="148" t="s">
        <v>301</v>
      </c>
    </row>
    <row r="89" spans="1:36">
      <c r="AJ89" s="148" t="s">
        <v>302</v>
      </c>
    </row>
    <row r="90" spans="1:36">
      <c r="AJ90" s="148" t="s">
        <v>308</v>
      </c>
    </row>
    <row r="91" spans="1:36">
      <c r="AJ91" s="148" t="s">
        <v>175</v>
      </c>
    </row>
    <row r="92" spans="1:36">
      <c r="AJ92" s="148" t="s">
        <v>303</v>
      </c>
    </row>
    <row r="93" spans="1:36">
      <c r="AJ93" s="148" t="s">
        <v>304</v>
      </c>
    </row>
    <row r="94" spans="1:36">
      <c r="AJ94" s="148" t="s">
        <v>305</v>
      </c>
    </row>
    <row r="95" spans="1:36">
      <c r="AJ95" s="148" t="s">
        <v>306</v>
      </c>
    </row>
    <row r="96" spans="1:36">
      <c r="AJ96" s="148" t="s">
        <v>307</v>
      </c>
    </row>
    <row r="97" spans="36:36">
      <c r="AJ97" s="148" t="s">
        <v>176</v>
      </c>
    </row>
    <row r="98" spans="36:36">
      <c r="AJ98" s="148" t="s">
        <v>309</v>
      </c>
    </row>
    <row r="99" spans="36:36" ht="18.75">
      <c r="AJ99" s="149" t="s">
        <v>304</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111"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140625" defaultRowHeight="12.75"/>
  <cols>
    <col min="1" max="1" width="3.5703125" style="1" customWidth="1"/>
    <col min="2" max="2" width="19.42578125" style="1" customWidth="1"/>
    <col min="3" max="3" width="100.5703125" style="1" customWidth="1"/>
    <col min="4" max="16384" width="9.140625" style="1"/>
  </cols>
  <sheetData>
    <row r="1" spans="1:8" ht="19.5">
      <c r="A1" s="347" t="s">
        <v>15</v>
      </c>
      <c r="B1" s="348"/>
      <c r="C1" s="348"/>
      <c r="D1" s="349"/>
    </row>
    <row r="3" spans="1:8">
      <c r="B3" s="350" t="s">
        <v>16</v>
      </c>
      <c r="C3" s="351"/>
      <c r="D3" s="352"/>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c r="B12" s="350" t="s">
        <v>184</v>
      </c>
      <c r="C12" s="351"/>
      <c r="D12" s="352"/>
    </row>
    <row r="13" spans="1:8" ht="24.75" customHeight="1">
      <c r="B13" s="128" t="s">
        <v>179</v>
      </c>
      <c r="C13" s="353" t="s">
        <v>181</v>
      </c>
      <c r="D13" s="354"/>
    </row>
    <row r="14" spans="1:8" ht="25.5" customHeight="1">
      <c r="B14" s="128" t="s">
        <v>107</v>
      </c>
      <c r="C14" s="353" t="s">
        <v>182</v>
      </c>
      <c r="D14" s="354"/>
      <c r="E14" s="84"/>
      <c r="F14" s="84"/>
      <c r="G14" s="84"/>
      <c r="H14" s="84"/>
    </row>
    <row r="15" spans="1:8" ht="49.5" customHeight="1">
      <c r="B15" s="128" t="s">
        <v>180</v>
      </c>
      <c r="C15" s="353" t="s">
        <v>183</v>
      </c>
      <c r="D15" s="354"/>
      <c r="F15" s="40" t="s">
        <v>136</v>
      </c>
    </row>
    <row r="17" spans="2:6">
      <c r="B17" s="350" t="s">
        <v>13</v>
      </c>
      <c r="C17" s="351"/>
      <c r="D17" s="352"/>
    </row>
    <row r="18" spans="2:6">
      <c r="B18" s="2"/>
      <c r="D18" s="3"/>
      <c r="F18" s="40" t="s">
        <v>133</v>
      </c>
    </row>
    <row r="19" spans="2:6" s="85" customFormat="1" ht="38.25">
      <c r="B19" s="345" t="s">
        <v>185</v>
      </c>
      <c r="C19" s="129" t="s">
        <v>108</v>
      </c>
      <c r="D19" s="86"/>
      <c r="F19" s="88" t="s">
        <v>134</v>
      </c>
    </row>
    <row r="20" spans="2:6">
      <c r="B20" s="345"/>
      <c r="C20" s="130"/>
      <c r="D20" s="3"/>
      <c r="F20" s="40" t="s">
        <v>135</v>
      </c>
    </row>
    <row r="21" spans="2:6" ht="25.5">
      <c r="B21" s="345"/>
      <c r="C21" s="131" t="s">
        <v>109</v>
      </c>
      <c r="D21" s="3"/>
    </row>
    <row r="22" spans="2:6" ht="25.5">
      <c r="B22" s="345"/>
      <c r="C22" s="131" t="s">
        <v>0</v>
      </c>
      <c r="D22" s="3"/>
    </row>
    <row r="23" spans="2:6">
      <c r="B23" s="345"/>
      <c r="C23" s="131" t="s">
        <v>1</v>
      </c>
      <c r="D23" s="3"/>
    </row>
    <row r="24" spans="2:6">
      <c r="B24" s="2"/>
      <c r="C24" s="24"/>
      <c r="D24" s="3"/>
    </row>
    <row r="25" spans="2:6">
      <c r="B25" s="346" t="s">
        <v>186</v>
      </c>
      <c r="C25" s="132" t="s">
        <v>57</v>
      </c>
      <c r="D25" s="3"/>
    </row>
    <row r="26" spans="2:6" ht="25.5">
      <c r="B26" s="346"/>
      <c r="C26" s="133" t="s">
        <v>2</v>
      </c>
      <c r="D26" s="3"/>
    </row>
    <row r="27" spans="2:6">
      <c r="B27" s="346"/>
      <c r="C27" s="132"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3" t="s">
        <v>392</v>
      </c>
      <c r="C50" s="184" t="s">
        <v>393</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5.5">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7" t="s">
        <v>112</v>
      </c>
      <c r="D123" s="9"/>
    </row>
    <row r="124" spans="2:4">
      <c r="B124" s="134" t="s">
        <v>187</v>
      </c>
      <c r="C124" s="1" t="s">
        <v>111</v>
      </c>
      <c r="D124" s="3"/>
    </row>
    <row r="125" spans="2:4">
      <c r="B125" s="134" t="s">
        <v>187</v>
      </c>
      <c r="C125" s="27" t="s">
        <v>115</v>
      </c>
      <c r="D125" s="3"/>
    </row>
    <row r="126" spans="2:4">
      <c r="B126" s="134" t="s">
        <v>187</v>
      </c>
      <c r="C126" s="24" t="s">
        <v>116</v>
      </c>
      <c r="D126" s="3"/>
    </row>
    <row r="127" spans="2:4">
      <c r="B127" s="134" t="s">
        <v>187</v>
      </c>
      <c r="C127" s="24" t="s">
        <v>117</v>
      </c>
      <c r="D127" s="3"/>
    </row>
    <row r="128" spans="2:4">
      <c r="B128" s="134" t="s">
        <v>187</v>
      </c>
      <c r="C128" s="24" t="s">
        <v>118</v>
      </c>
      <c r="D128" s="3"/>
    </row>
    <row r="129" spans="2:4">
      <c r="B129" s="134" t="s">
        <v>187</v>
      </c>
      <c r="C129" s="24" t="s">
        <v>122</v>
      </c>
      <c r="D129" s="3"/>
    </row>
    <row r="130" spans="2:4">
      <c r="B130" s="134" t="s">
        <v>187</v>
      </c>
      <c r="C130" s="24" t="s">
        <v>123</v>
      </c>
      <c r="D130" s="3"/>
    </row>
    <row r="131" spans="2:4">
      <c r="B131" s="134" t="s">
        <v>187</v>
      </c>
      <c r="C131" s="27" t="s">
        <v>125</v>
      </c>
      <c r="D131" s="3"/>
    </row>
    <row r="132" spans="2:4">
      <c r="B132" s="134" t="s">
        <v>187</v>
      </c>
      <c r="C132" s="27" t="s">
        <v>126</v>
      </c>
      <c r="D132" s="3"/>
    </row>
    <row r="133" spans="2:4">
      <c r="B133" s="134" t="s">
        <v>187</v>
      </c>
      <c r="C133" s="1" t="s">
        <v>124</v>
      </c>
      <c r="D133" s="3"/>
    </row>
    <row r="134" spans="2:4">
      <c r="B134" s="134" t="s">
        <v>187</v>
      </c>
      <c r="C134" s="24" t="s">
        <v>119</v>
      </c>
      <c r="D134" s="3"/>
    </row>
    <row r="135" spans="2:4">
      <c r="B135" s="134" t="s">
        <v>187</v>
      </c>
      <c r="C135" s="24" t="s">
        <v>114</v>
      </c>
      <c r="D135" s="3"/>
    </row>
    <row r="136" spans="2:4">
      <c r="B136" s="134" t="s">
        <v>187</v>
      </c>
      <c r="C136" s="27" t="s">
        <v>120</v>
      </c>
      <c r="D136" s="3"/>
    </row>
    <row r="137" spans="2:4">
      <c r="B137" s="134" t="s">
        <v>187</v>
      </c>
      <c r="C137" s="27" t="s">
        <v>128</v>
      </c>
      <c r="D137" s="3"/>
    </row>
    <row r="138" spans="2:4">
      <c r="B138" s="134" t="s">
        <v>187</v>
      </c>
      <c r="C138" s="27" t="s">
        <v>113</v>
      </c>
      <c r="D138" s="3"/>
    </row>
    <row r="139" spans="2:4">
      <c r="B139" s="134" t="s">
        <v>187</v>
      </c>
      <c r="C139" s="27" t="s">
        <v>127</v>
      </c>
      <c r="D139" s="3"/>
    </row>
    <row r="140" spans="2:4">
      <c r="B140" s="135" t="s">
        <v>187</v>
      </c>
      <c r="C140" s="5" t="s">
        <v>121</v>
      </c>
      <c r="D140" s="6"/>
    </row>
  </sheetData>
  <mergeCells count="9">
    <mergeCell ref="B19:B23"/>
    <mergeCell ref="B25:B27"/>
    <mergeCell ref="A1:D1"/>
    <mergeCell ref="B17:D17"/>
    <mergeCell ref="B3:D3"/>
    <mergeCell ref="B12:D12"/>
    <mergeCell ref="C14:D14"/>
    <mergeCell ref="C15:D15"/>
    <mergeCell ref="C13:D13"/>
  </mergeCells>
  <phoneticPr fontId="5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6543675</xdr:colOff>
                    <xdr:row>117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0" activePane="bottomLeft" state="frozen"/>
      <selection pane="bottomLeft" activeCell="H24" sqref="H24:H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42578125" style="14" customWidth="1"/>
    <col min="14" max="14" width="10.5703125" style="14" customWidth="1"/>
    <col min="15" max="15" width="9.42578125" style="14" customWidth="1"/>
    <col min="16" max="16" width="10.140625" style="14" customWidth="1"/>
    <col min="17" max="18" width="10" style="14" bestFit="1" customWidth="1"/>
    <col min="19" max="19" width="11.140625" style="14" customWidth="1"/>
    <col min="20" max="16384" width="9.1406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76.5">
      <c r="B24" s="76" t="s">
        <v>90</v>
      </c>
      <c r="C24" s="29" t="s">
        <v>51</v>
      </c>
      <c r="D24" s="51" t="s">
        <v>69</v>
      </c>
      <c r="E24" s="76" t="s">
        <v>303</v>
      </c>
      <c r="F24" s="76" t="s">
        <v>304</v>
      </c>
      <c r="G24" s="76" t="s">
        <v>305</v>
      </c>
      <c r="H24" s="76" t="s">
        <v>306</v>
      </c>
      <c r="I24" s="76" t="s">
        <v>298</v>
      </c>
      <c r="J24" s="76" t="s">
        <v>172</v>
      </c>
      <c r="K24" s="76" t="s">
        <v>231</v>
      </c>
      <c r="L24" s="76" t="s">
        <v>299</v>
      </c>
      <c r="M24" s="76" t="s">
        <v>300</v>
      </c>
      <c r="N24" s="76" t="s">
        <v>301</v>
      </c>
      <c r="O24" s="76" t="s">
        <v>302</v>
      </c>
      <c r="P24" s="76" t="s">
        <v>308</v>
      </c>
      <c r="Q24" s="76" t="s">
        <v>175</v>
      </c>
      <c r="R24" s="76" t="s">
        <v>303</v>
      </c>
      <c r="S24" s="76" t="s">
        <v>304</v>
      </c>
      <c r="T24" s="76" t="s">
        <v>305</v>
      </c>
      <c r="U24" s="76" t="s">
        <v>306</v>
      </c>
      <c r="V24" s="76" t="s">
        <v>307</v>
      </c>
      <c r="W24" s="76" t="s">
        <v>176</v>
      </c>
      <c r="X24" s="76" t="s">
        <v>309</v>
      </c>
      <c r="Y24" s="76" t="s">
        <v>172</v>
      </c>
      <c r="Z24" s="76" t="s">
        <v>231</v>
      </c>
    </row>
    <row r="25" spans="2:52" ht="15">
      <c r="B25" s="78"/>
      <c r="C25" s="36" t="s">
        <v>77</v>
      </c>
      <c r="D25" s="75">
        <f>SUM(E25:AA25)</f>
        <v>20</v>
      </c>
      <c r="E25" s="78">
        <v>5</v>
      </c>
      <c r="F25" s="78">
        <v>6</v>
      </c>
      <c r="G25" s="78">
        <v>0</v>
      </c>
      <c r="H25" s="78">
        <v>8</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5">
      <c r="B26" s="79"/>
      <c r="C26" s="37" t="s">
        <v>78</v>
      </c>
      <c r="D26" s="75">
        <f>SUM(E26:AA26)</f>
        <v>15</v>
      </c>
      <c r="E26" s="79">
        <v>10</v>
      </c>
      <c r="F26" s="79">
        <v>4</v>
      </c>
      <c r="G26" s="79">
        <v>0</v>
      </c>
      <c r="H26" s="79">
        <v>1</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5">
      <c r="B27" s="77">
        <f>B25+B26</f>
        <v>0</v>
      </c>
      <c r="C27" s="41" t="s">
        <v>22</v>
      </c>
      <c r="D27" s="77">
        <f t="shared" ref="D27" si="0">D25+D26</f>
        <v>35</v>
      </c>
      <c r="E27" s="77">
        <f>E25+E26</f>
        <v>15</v>
      </c>
      <c r="F27" s="77">
        <f>F25+F26</f>
        <v>10</v>
      </c>
      <c r="G27" s="77">
        <f>G25+G26</f>
        <v>0</v>
      </c>
      <c r="H27" s="77">
        <f>H25+H26</f>
        <v>9</v>
      </c>
      <c r="I27" s="77">
        <f t="shared" ref="I27:X27" si="1">I25+I26</f>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76"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8"/>
      <c r="C32" s="37" t="s">
        <v>19</v>
      </c>
      <c r="D32" s="81">
        <f>SUM(E32:AA32)</f>
        <v>0</v>
      </c>
      <c r="E32" s="78">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9"/>
      <c r="C33" s="37" t="s">
        <v>44</v>
      </c>
      <c r="D33" s="81">
        <f>SUM(E33:AA33)</f>
        <v>0</v>
      </c>
      <c r="E33" s="79">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9"/>
      <c r="C34" s="37" t="s">
        <v>20</v>
      </c>
      <c r="D34" s="81">
        <f>SUM(E34:AA34)</f>
        <v>34</v>
      </c>
      <c r="E34" s="79">
        <v>34</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9"/>
      <c r="C35" s="37" t="s">
        <v>21</v>
      </c>
      <c r="D35" s="81">
        <f>SUM(E35:AA35)</f>
        <v>16</v>
      </c>
      <c r="E35" s="79">
        <v>16</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9"/>
      <c r="C36" s="37" t="s">
        <v>79</v>
      </c>
      <c r="D36" s="81">
        <f>SUM(E36:AA36)</f>
        <v>53</v>
      </c>
      <c r="E36" s="79">
        <v>53</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80">
        <f>SUM(B32:B36)</f>
        <v>0</v>
      </c>
      <c r="C37" s="41" t="s">
        <v>22</v>
      </c>
      <c r="D37" s="80">
        <f>SUM(D32:D36)</f>
        <v>103</v>
      </c>
      <c r="E37" s="80">
        <f>SUM(E32:E36)</f>
        <v>103</v>
      </c>
    </row>
    <row r="38" spans="2:52">
      <c r="H38" s="34"/>
    </row>
    <row r="39" spans="2:52">
      <c r="H39" s="34"/>
    </row>
    <row r="40" spans="2:52" s="74" customFormat="1" ht="63.75">
      <c r="B40" s="76" t="s">
        <v>91</v>
      </c>
      <c r="C40" s="29" t="s">
        <v>68</v>
      </c>
      <c r="D40" s="51" t="s">
        <v>69</v>
      </c>
      <c r="E40" s="76"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9"/>
      <c r="C41" s="37" t="s">
        <v>76</v>
      </c>
      <c r="D41" s="81">
        <f>SUM(E41:AA41)</f>
        <v>87</v>
      </c>
      <c r="E41" s="79">
        <v>87</v>
      </c>
    </row>
    <row r="42" spans="2:52" ht="15">
      <c r="B42" s="79"/>
      <c r="C42" s="37" t="s">
        <v>75</v>
      </c>
      <c r="D42" s="81">
        <f>SUM(E42:AA42)</f>
        <v>16</v>
      </c>
      <c r="E42" s="79">
        <v>16</v>
      </c>
    </row>
    <row r="43" spans="2:52" s="15" customFormat="1" ht="15">
      <c r="B43" s="79"/>
      <c r="C43" s="37" t="s">
        <v>102</v>
      </c>
      <c r="D43" s="81">
        <f>SUM(E43:AA43)</f>
        <v>0</v>
      </c>
      <c r="E43" s="79">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80">
        <f>SUM(B41:B43)</f>
        <v>0</v>
      </c>
      <c r="C44" s="41" t="s">
        <v>22</v>
      </c>
      <c r="D44" s="80">
        <f>SUM(D41:D43)</f>
        <v>103</v>
      </c>
      <c r="E44" s="80">
        <f>SUM(E41:E43)</f>
        <v>103</v>
      </c>
    </row>
    <row r="47" spans="2:52" ht="25.5">
      <c r="C47" s="82" t="s">
        <v>60</v>
      </c>
      <c r="D47" s="26" t="s">
        <v>93</v>
      </c>
      <c r="E47" s="26" t="s">
        <v>92</v>
      </c>
    </row>
    <row r="48" spans="2:52">
      <c r="C48" s="83" t="s">
        <v>94</v>
      </c>
      <c r="D48" s="83" t="s">
        <v>95</v>
      </c>
      <c r="E48" s="83" t="s">
        <v>96</v>
      </c>
    </row>
  </sheetData>
  <phoneticPr fontId="5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2"/>
  <sheetViews>
    <sheetView showGridLines="0" topLeftCell="A24" zoomScale="85" zoomScaleNormal="85" workbookViewId="0">
      <selection activeCell="J59" sqref="J59"/>
    </sheetView>
  </sheetViews>
  <sheetFormatPr defaultColWidth="8.85546875" defaultRowHeight="15" outlineLevelCol="1"/>
  <cols>
    <col min="1" max="2" width="31.5703125" style="136" customWidth="1"/>
    <col min="3" max="3" width="43.42578125" style="136" customWidth="1"/>
    <col min="4" max="4" width="13.42578125" style="136" customWidth="1"/>
    <col min="5" max="5" width="18.140625" style="136" customWidth="1"/>
    <col min="6" max="14" width="15.42578125" style="136" customWidth="1" outlineLevel="1"/>
    <col min="15" max="15" width="16.5703125" style="136" customWidth="1" outlineLevel="1"/>
    <col min="16" max="16384" width="8.85546875" style="136"/>
  </cols>
  <sheetData>
    <row r="1" spans="1:15" ht="21" customHeight="1">
      <c r="A1" s="355" t="s">
        <v>194</v>
      </c>
      <c r="B1" s="356"/>
      <c r="C1" s="356"/>
      <c r="D1" s="356"/>
      <c r="E1" s="357"/>
      <c r="F1" s="358" t="s">
        <v>209</v>
      </c>
      <c r="G1" s="359"/>
      <c r="H1" s="359"/>
      <c r="I1" s="359"/>
      <c r="J1" s="359"/>
      <c r="K1" s="359"/>
      <c r="L1" s="359"/>
      <c r="M1" s="359"/>
      <c r="N1" s="359"/>
      <c r="O1" s="359"/>
    </row>
    <row r="2" spans="1:15" ht="18.75">
      <c r="A2" s="145" t="s">
        <v>197</v>
      </c>
      <c r="B2" s="145" t="s">
        <v>193</v>
      </c>
      <c r="C2" s="145" t="s">
        <v>195</v>
      </c>
      <c r="D2" s="145" t="s">
        <v>196</v>
      </c>
      <c r="E2" s="145" t="s">
        <v>198</v>
      </c>
      <c r="F2" s="146" t="s">
        <v>199</v>
      </c>
      <c r="G2" s="146" t="s">
        <v>200</v>
      </c>
      <c r="H2" s="146" t="s">
        <v>201</v>
      </c>
      <c r="I2" s="146" t="s">
        <v>202</v>
      </c>
      <c r="J2" s="146" t="s">
        <v>203</v>
      </c>
      <c r="K2" s="146" t="s">
        <v>204</v>
      </c>
      <c r="L2" s="146" t="s">
        <v>205</v>
      </c>
      <c r="M2" s="146" t="s">
        <v>206</v>
      </c>
      <c r="N2" s="146" t="s">
        <v>207</v>
      </c>
      <c r="O2" s="146" t="s">
        <v>208</v>
      </c>
    </row>
    <row r="3" spans="1:15">
      <c r="A3" s="187" t="s">
        <v>404</v>
      </c>
      <c r="B3" s="136" t="s">
        <v>179</v>
      </c>
      <c r="C3" s="187" t="s">
        <v>405</v>
      </c>
      <c r="D3" s="187" t="s">
        <v>406</v>
      </c>
      <c r="E3" s="189">
        <v>30</v>
      </c>
      <c r="F3" s="187" t="s">
        <v>401</v>
      </c>
    </row>
    <row r="4" spans="1:15">
      <c r="A4" s="187" t="s">
        <v>413</v>
      </c>
      <c r="B4" s="136" t="s">
        <v>179</v>
      </c>
      <c r="C4" s="187" t="s">
        <v>412</v>
      </c>
      <c r="D4" s="187" t="s">
        <v>406</v>
      </c>
      <c r="E4" s="188">
        <v>30</v>
      </c>
      <c r="F4" s="190" t="s">
        <v>401</v>
      </c>
    </row>
    <row r="5" spans="1:15">
      <c r="A5" s="187" t="s">
        <v>413</v>
      </c>
      <c r="B5" s="136" t="s">
        <v>179</v>
      </c>
      <c r="C5" s="192" t="s">
        <v>406</v>
      </c>
      <c r="D5" s="192" t="s">
        <v>426</v>
      </c>
      <c r="E5" s="191">
        <v>60</v>
      </c>
      <c r="F5" s="192" t="s">
        <v>424</v>
      </c>
    </row>
    <row r="6" spans="1:15">
      <c r="A6" s="136" t="s">
        <v>444</v>
      </c>
      <c r="B6" s="136" t="s">
        <v>179</v>
      </c>
      <c r="C6" s="193" t="s">
        <v>445</v>
      </c>
      <c r="D6" s="193" t="s">
        <v>445</v>
      </c>
      <c r="E6" s="188">
        <v>60</v>
      </c>
      <c r="F6" s="192" t="s">
        <v>424</v>
      </c>
    </row>
    <row r="7" spans="1:15">
      <c r="A7" s="194" t="s">
        <v>446</v>
      </c>
      <c r="B7" s="136" t="s">
        <v>179</v>
      </c>
      <c r="C7" s="194" t="s">
        <v>447</v>
      </c>
      <c r="D7" s="194" t="s">
        <v>447</v>
      </c>
      <c r="E7" s="188">
        <v>60</v>
      </c>
      <c r="F7" s="194" t="s">
        <v>448</v>
      </c>
    </row>
    <row r="8" spans="1:15">
      <c r="A8" s="136" t="s">
        <v>446</v>
      </c>
      <c r="B8" s="136" t="s">
        <v>179</v>
      </c>
      <c r="C8" s="195" t="s">
        <v>456</v>
      </c>
      <c r="D8" s="195" t="s">
        <v>456</v>
      </c>
      <c r="E8" s="188">
        <v>90</v>
      </c>
      <c r="F8" s="195" t="s">
        <v>457</v>
      </c>
    </row>
    <row r="9" spans="1:15">
      <c r="A9" s="136" t="s">
        <v>404</v>
      </c>
      <c r="B9" s="136" t="s">
        <v>179</v>
      </c>
      <c r="C9" s="196" t="s">
        <v>475</v>
      </c>
      <c r="D9" s="196" t="s">
        <v>475</v>
      </c>
      <c r="E9" s="188">
        <v>30</v>
      </c>
      <c r="F9" s="196" t="s">
        <v>424</v>
      </c>
    </row>
    <row r="10" spans="1:15">
      <c r="A10" s="136" t="s">
        <v>404</v>
      </c>
      <c r="B10" s="136" t="s">
        <v>179</v>
      </c>
      <c r="C10" s="197" t="s">
        <v>481</v>
      </c>
      <c r="D10" s="197" t="s">
        <v>481</v>
      </c>
      <c r="E10" s="188">
        <v>30</v>
      </c>
      <c r="F10" s="196" t="s">
        <v>424</v>
      </c>
    </row>
    <row r="11" spans="1:15">
      <c r="A11" s="136" t="s">
        <v>413</v>
      </c>
      <c r="B11" s="136" t="s">
        <v>179</v>
      </c>
      <c r="C11" s="198" t="s">
        <v>490</v>
      </c>
      <c r="D11" s="198" t="s">
        <v>490</v>
      </c>
      <c r="E11" s="188">
        <v>30</v>
      </c>
      <c r="F11" s="198" t="s">
        <v>424</v>
      </c>
    </row>
    <row r="12" spans="1:15">
      <c r="A12" s="136" t="s">
        <v>404</v>
      </c>
      <c r="B12" s="136" t="s">
        <v>179</v>
      </c>
      <c r="C12" s="199" t="s">
        <v>491</v>
      </c>
      <c r="D12" s="199" t="s">
        <v>491</v>
      </c>
      <c r="E12" s="188">
        <v>120</v>
      </c>
      <c r="F12" s="199" t="s">
        <v>457</v>
      </c>
    </row>
    <row r="13" spans="1:15">
      <c r="A13" s="136" t="s">
        <v>404</v>
      </c>
      <c r="B13" s="136" t="s">
        <v>179</v>
      </c>
      <c r="C13" s="200" t="s">
        <v>505</v>
      </c>
      <c r="D13" s="200" t="s">
        <v>505</v>
      </c>
      <c r="E13" s="188">
        <v>30</v>
      </c>
      <c r="F13" s="199" t="s">
        <v>457</v>
      </c>
    </row>
    <row r="14" spans="1:15">
      <c r="A14" s="201" t="s">
        <v>512</v>
      </c>
      <c r="B14" s="136" t="s">
        <v>179</v>
      </c>
      <c r="C14" s="201" t="s">
        <v>513</v>
      </c>
      <c r="D14" s="201" t="s">
        <v>513</v>
      </c>
      <c r="E14" s="234">
        <v>30</v>
      </c>
      <c r="F14" s="236" t="s">
        <v>448</v>
      </c>
      <c r="G14" s="227"/>
      <c r="H14" s="227"/>
      <c r="I14" s="227"/>
      <c r="J14" s="227"/>
      <c r="K14" s="227"/>
      <c r="L14" s="227"/>
      <c r="M14" s="227"/>
      <c r="N14" s="227"/>
      <c r="O14" s="228"/>
    </row>
    <row r="15" spans="1:15">
      <c r="A15" s="202" t="s">
        <v>446</v>
      </c>
      <c r="B15" s="203" t="s">
        <v>179</v>
      </c>
      <c r="C15" s="203" t="s">
        <v>515</v>
      </c>
      <c r="D15" s="203" t="s">
        <v>515</v>
      </c>
      <c r="E15" s="188">
        <v>30</v>
      </c>
      <c r="F15" s="235" t="s">
        <v>457</v>
      </c>
      <c r="G15" s="227"/>
      <c r="H15" s="227"/>
      <c r="I15" s="227"/>
      <c r="J15" s="227"/>
      <c r="K15" s="227"/>
      <c r="L15" s="227"/>
      <c r="M15" s="227"/>
      <c r="N15" s="227"/>
      <c r="O15" s="228"/>
    </row>
    <row r="16" spans="1:15">
      <c r="A16" s="252" t="s">
        <v>404</v>
      </c>
      <c r="B16" s="205" t="s">
        <v>179</v>
      </c>
      <c r="C16" s="205" t="s">
        <v>520</v>
      </c>
      <c r="D16" s="205" t="s">
        <v>520</v>
      </c>
      <c r="E16" s="191">
        <v>60</v>
      </c>
      <c r="F16" s="239" t="s">
        <v>457</v>
      </c>
      <c r="G16" s="227"/>
      <c r="H16" s="227"/>
      <c r="I16" s="227"/>
      <c r="J16" s="227"/>
      <c r="K16" s="227"/>
      <c r="L16" s="227"/>
      <c r="M16" s="227"/>
      <c r="N16" s="227"/>
      <c r="O16" s="228"/>
    </row>
    <row r="17" spans="1:15">
      <c r="A17" s="204" t="s">
        <v>404</v>
      </c>
      <c r="B17" s="205" t="s">
        <v>179</v>
      </c>
      <c r="C17" s="206" t="s">
        <v>532</v>
      </c>
      <c r="D17" s="206" t="s">
        <v>532</v>
      </c>
      <c r="E17" s="188">
        <v>30</v>
      </c>
      <c r="F17" s="238" t="s">
        <v>457</v>
      </c>
      <c r="O17" s="237"/>
    </row>
    <row r="18" spans="1:15">
      <c r="A18" s="208" t="s">
        <v>534</v>
      </c>
      <c r="B18" s="209" t="s">
        <v>179</v>
      </c>
      <c r="C18" s="209" t="s">
        <v>532</v>
      </c>
      <c r="D18" s="209" t="s">
        <v>532</v>
      </c>
      <c r="E18" s="188">
        <v>60</v>
      </c>
      <c r="F18" s="209" t="s">
        <v>535</v>
      </c>
      <c r="G18" s="210"/>
      <c r="H18" s="210"/>
      <c r="I18" s="210"/>
      <c r="J18" s="210"/>
      <c r="K18" s="210"/>
      <c r="L18" s="210"/>
      <c r="M18" s="210"/>
      <c r="N18" s="210"/>
      <c r="O18" s="211"/>
    </row>
    <row r="19" spans="1:15">
      <c r="A19" s="212" t="s">
        <v>536</v>
      </c>
      <c r="B19" s="209" t="s">
        <v>179</v>
      </c>
      <c r="C19" s="213" t="s">
        <v>537</v>
      </c>
      <c r="D19" s="213" t="s">
        <v>537</v>
      </c>
      <c r="E19" s="214">
        <v>90</v>
      </c>
      <c r="F19" s="209" t="s">
        <v>535</v>
      </c>
      <c r="G19" s="210"/>
      <c r="H19" s="210"/>
      <c r="I19" s="210"/>
      <c r="J19" s="210"/>
      <c r="K19" s="210"/>
      <c r="L19" s="210"/>
      <c r="M19" s="210"/>
      <c r="N19" s="210"/>
      <c r="O19" s="211"/>
    </row>
    <row r="20" spans="1:15">
      <c r="A20" s="251" t="s">
        <v>413</v>
      </c>
      <c r="B20" s="224" t="s">
        <v>179</v>
      </c>
      <c r="C20" s="225" t="s">
        <v>537</v>
      </c>
      <c r="D20" s="225" t="s">
        <v>537</v>
      </c>
      <c r="E20" s="226">
        <v>60</v>
      </c>
      <c r="F20" s="224" t="s">
        <v>457</v>
      </c>
      <c r="G20" s="227"/>
      <c r="H20" s="227"/>
      <c r="I20" s="227"/>
      <c r="J20" s="227"/>
      <c r="K20" s="227"/>
      <c r="L20" s="227"/>
      <c r="M20" s="227"/>
      <c r="N20" s="227"/>
      <c r="O20" s="228"/>
    </row>
    <row r="21" spans="1:15">
      <c r="A21" s="229" t="s">
        <v>548</v>
      </c>
      <c r="B21" s="230" t="s">
        <v>179</v>
      </c>
      <c r="C21" s="230" t="s">
        <v>549</v>
      </c>
      <c r="D21" s="230" t="s">
        <v>549</v>
      </c>
      <c r="E21" s="227">
        <v>60</v>
      </c>
      <c r="F21" s="230" t="s">
        <v>463</v>
      </c>
      <c r="G21" s="227"/>
      <c r="H21" s="227"/>
      <c r="I21" s="227"/>
      <c r="J21" s="227"/>
      <c r="K21" s="227"/>
      <c r="L21" s="227"/>
      <c r="M21" s="227"/>
      <c r="N21" s="227"/>
      <c r="O21" s="228"/>
    </row>
    <row r="22" spans="1:15">
      <c r="A22" s="217" t="s">
        <v>551</v>
      </c>
      <c r="B22" s="218" t="s">
        <v>179</v>
      </c>
      <c r="C22" s="218" t="s">
        <v>557</v>
      </c>
      <c r="D22" s="218" t="s">
        <v>557</v>
      </c>
      <c r="E22" s="136">
        <v>60</v>
      </c>
      <c r="F22" s="215" t="s">
        <v>463</v>
      </c>
      <c r="O22" s="216"/>
    </row>
    <row r="23" spans="1:15">
      <c r="A23" s="231" t="s">
        <v>552</v>
      </c>
      <c r="B23" s="232" t="s">
        <v>179</v>
      </c>
      <c r="C23" s="232" t="s">
        <v>557</v>
      </c>
      <c r="D23" s="232" t="s">
        <v>557</v>
      </c>
      <c r="E23" s="227">
        <v>60</v>
      </c>
      <c r="F23" s="230" t="s">
        <v>463</v>
      </c>
      <c r="G23" s="227"/>
      <c r="H23" s="227"/>
      <c r="I23" s="227"/>
      <c r="J23" s="227"/>
      <c r="K23" s="227"/>
      <c r="L23" s="227"/>
      <c r="M23" s="227"/>
      <c r="N23" s="227"/>
      <c r="O23" s="228"/>
    </row>
    <row r="24" spans="1:15">
      <c r="A24" s="231" t="s">
        <v>553</v>
      </c>
      <c r="B24" s="232" t="s">
        <v>179</v>
      </c>
      <c r="C24" s="232" t="s">
        <v>557</v>
      </c>
      <c r="D24" s="232" t="s">
        <v>557</v>
      </c>
      <c r="E24" s="227">
        <v>60</v>
      </c>
      <c r="F24" s="230" t="s">
        <v>463</v>
      </c>
      <c r="G24" s="227"/>
      <c r="H24" s="227"/>
      <c r="I24" s="227"/>
      <c r="J24" s="227"/>
      <c r="K24" s="227"/>
      <c r="L24" s="227"/>
      <c r="M24" s="227"/>
      <c r="N24" s="227"/>
      <c r="O24" s="228"/>
    </row>
    <row r="25" spans="1:15">
      <c r="A25" s="219" t="s">
        <v>450</v>
      </c>
      <c r="B25" s="220" t="s">
        <v>179</v>
      </c>
      <c r="C25" s="221" t="s">
        <v>565</v>
      </c>
      <c r="D25" s="222" t="s">
        <v>565</v>
      </c>
      <c r="E25" s="222">
        <v>60</v>
      </c>
      <c r="F25" s="233" t="s">
        <v>535</v>
      </c>
      <c r="G25" s="222"/>
      <c r="H25" s="222"/>
      <c r="I25" s="222"/>
      <c r="J25" s="222"/>
      <c r="K25" s="222"/>
      <c r="L25" s="222"/>
      <c r="M25" s="222"/>
      <c r="N25" s="222"/>
      <c r="O25" s="223"/>
    </row>
    <row r="26" spans="1:15">
      <c r="A26" s="241" t="s">
        <v>404</v>
      </c>
      <c r="B26" s="220" t="s">
        <v>179</v>
      </c>
      <c r="C26" s="242" t="s">
        <v>572</v>
      </c>
      <c r="D26" s="242" t="s">
        <v>572</v>
      </c>
      <c r="E26" s="222">
        <v>30</v>
      </c>
      <c r="F26" s="244" t="s">
        <v>448</v>
      </c>
      <c r="G26" s="222"/>
      <c r="H26" s="222"/>
      <c r="I26" s="222"/>
      <c r="J26" s="222"/>
      <c r="K26" s="222"/>
      <c r="L26" s="222"/>
      <c r="M26" s="222"/>
      <c r="N26" s="222"/>
      <c r="O26" s="223"/>
    </row>
    <row r="27" spans="1:15">
      <c r="A27" s="241" t="s">
        <v>605</v>
      </c>
      <c r="B27" s="220" t="s">
        <v>179</v>
      </c>
      <c r="C27" s="244" t="s">
        <v>630</v>
      </c>
      <c r="D27" s="244" t="s">
        <v>630</v>
      </c>
      <c r="E27" s="222">
        <v>30</v>
      </c>
      <c r="F27" s="244" t="s">
        <v>463</v>
      </c>
      <c r="G27" s="222"/>
      <c r="H27" s="222"/>
      <c r="I27" s="222"/>
      <c r="J27" s="222"/>
      <c r="K27" s="222"/>
      <c r="L27" s="222"/>
      <c r="M27" s="222"/>
      <c r="N27" s="222"/>
      <c r="O27" s="223"/>
    </row>
    <row r="28" spans="1:15">
      <c r="A28" s="241" t="s">
        <v>606</v>
      </c>
      <c r="B28" s="220" t="s">
        <v>179</v>
      </c>
      <c r="C28" s="244" t="s">
        <v>630</v>
      </c>
      <c r="D28" s="244" t="s">
        <v>630</v>
      </c>
      <c r="E28" s="222">
        <v>30</v>
      </c>
      <c r="F28" s="244" t="s">
        <v>463</v>
      </c>
      <c r="G28" s="222"/>
      <c r="H28" s="222"/>
      <c r="I28" s="222"/>
      <c r="J28" s="222"/>
      <c r="K28" s="222"/>
      <c r="L28" s="222"/>
      <c r="M28" s="222"/>
      <c r="N28" s="222"/>
      <c r="O28" s="223"/>
    </row>
    <row r="29" spans="1:15">
      <c r="A29" s="241" t="s">
        <v>607</v>
      </c>
      <c r="B29" s="220" t="s">
        <v>179</v>
      </c>
      <c r="C29" s="244" t="s">
        <v>630</v>
      </c>
      <c r="D29" s="244" t="s">
        <v>630</v>
      </c>
      <c r="E29" s="222">
        <v>30</v>
      </c>
      <c r="F29" s="244" t="s">
        <v>463</v>
      </c>
      <c r="G29" s="222"/>
      <c r="H29" s="222"/>
      <c r="I29" s="222"/>
      <c r="J29" s="222"/>
      <c r="K29" s="222"/>
      <c r="L29" s="222"/>
      <c r="M29" s="222"/>
      <c r="N29" s="222"/>
      <c r="O29" s="223"/>
    </row>
    <row r="30" spans="1:15">
      <c r="A30" s="241" t="s">
        <v>608</v>
      </c>
      <c r="B30" s="220" t="s">
        <v>179</v>
      </c>
      <c r="C30" s="244" t="s">
        <v>630</v>
      </c>
      <c r="D30" s="244" t="s">
        <v>630</v>
      </c>
      <c r="E30" s="222">
        <v>30</v>
      </c>
      <c r="F30" s="244" t="s">
        <v>463</v>
      </c>
      <c r="G30" s="222"/>
      <c r="H30" s="222"/>
      <c r="I30" s="222"/>
      <c r="J30" s="222"/>
      <c r="K30" s="222"/>
      <c r="L30" s="222"/>
      <c r="M30" s="222"/>
      <c r="N30" s="222"/>
      <c r="O30" s="223"/>
    </row>
    <row r="31" spans="1:15">
      <c r="A31" s="241" t="s">
        <v>609</v>
      </c>
      <c r="B31" s="220" t="s">
        <v>179</v>
      </c>
      <c r="C31" s="244" t="s">
        <v>630</v>
      </c>
      <c r="D31" s="244" t="s">
        <v>630</v>
      </c>
      <c r="E31" s="222">
        <v>30</v>
      </c>
      <c r="F31" s="244" t="s">
        <v>463</v>
      </c>
      <c r="G31" s="222"/>
      <c r="H31" s="222"/>
      <c r="I31" s="222"/>
      <c r="J31" s="222"/>
      <c r="K31" s="222"/>
      <c r="L31" s="222"/>
      <c r="M31" s="222"/>
      <c r="N31" s="222"/>
      <c r="O31" s="223"/>
    </row>
    <row r="32" spans="1:15">
      <c r="A32" s="241" t="s">
        <v>610</v>
      </c>
      <c r="B32" s="220" t="s">
        <v>179</v>
      </c>
      <c r="C32" s="244" t="s">
        <v>630</v>
      </c>
      <c r="D32" s="244" t="s">
        <v>630</v>
      </c>
      <c r="E32" s="222">
        <v>30</v>
      </c>
      <c r="F32" s="244" t="s">
        <v>463</v>
      </c>
      <c r="G32" s="222"/>
      <c r="H32" s="222"/>
      <c r="I32" s="222"/>
      <c r="J32" s="222"/>
      <c r="K32" s="222"/>
      <c r="L32" s="222"/>
      <c r="M32" s="222"/>
      <c r="N32" s="222"/>
      <c r="O32" s="223"/>
    </row>
    <row r="33" spans="1:15">
      <c r="A33" s="241" t="s">
        <v>611</v>
      </c>
      <c r="B33" s="220" t="s">
        <v>179</v>
      </c>
      <c r="C33" s="244" t="s">
        <v>630</v>
      </c>
      <c r="D33" s="244" t="s">
        <v>630</v>
      </c>
      <c r="E33" s="222">
        <v>30</v>
      </c>
      <c r="F33" s="244" t="s">
        <v>463</v>
      </c>
      <c r="G33" s="222"/>
      <c r="H33" s="222"/>
      <c r="I33" s="222"/>
      <c r="J33" s="222"/>
      <c r="K33" s="222"/>
      <c r="L33" s="222"/>
      <c r="M33" s="222"/>
      <c r="N33" s="222"/>
      <c r="O33" s="223"/>
    </row>
    <row r="34" spans="1:15">
      <c r="A34" s="241" t="s">
        <v>612</v>
      </c>
      <c r="B34" s="220" t="s">
        <v>179</v>
      </c>
      <c r="C34" s="244" t="s">
        <v>630</v>
      </c>
      <c r="D34" s="244" t="s">
        <v>630</v>
      </c>
      <c r="E34" s="222">
        <v>30</v>
      </c>
      <c r="F34" s="244" t="s">
        <v>463</v>
      </c>
      <c r="G34" s="222"/>
      <c r="H34" s="222"/>
      <c r="I34" s="222"/>
      <c r="J34" s="222"/>
      <c r="K34" s="222"/>
      <c r="L34" s="222"/>
      <c r="M34" s="222"/>
      <c r="N34" s="222"/>
      <c r="O34" s="223"/>
    </row>
    <row r="35" spans="1:15">
      <c r="A35" s="241" t="s">
        <v>613</v>
      </c>
      <c r="B35" s="220" t="s">
        <v>179</v>
      </c>
      <c r="C35" s="244" t="s">
        <v>630</v>
      </c>
      <c r="D35" s="244" t="s">
        <v>630</v>
      </c>
      <c r="E35" s="222">
        <v>30</v>
      </c>
      <c r="F35" s="244" t="s">
        <v>463</v>
      </c>
      <c r="G35" s="222"/>
      <c r="H35" s="222"/>
      <c r="I35" s="222"/>
      <c r="J35" s="222"/>
      <c r="K35" s="222"/>
      <c r="L35" s="222"/>
      <c r="M35" s="222"/>
      <c r="N35" s="222"/>
      <c r="O35" s="223"/>
    </row>
    <row r="36" spans="1:15">
      <c r="A36" s="241" t="s">
        <v>614</v>
      </c>
      <c r="B36" s="220" t="s">
        <v>179</v>
      </c>
      <c r="C36" s="244" t="s">
        <v>630</v>
      </c>
      <c r="D36" s="244" t="s">
        <v>630</v>
      </c>
      <c r="E36" s="222">
        <v>30</v>
      </c>
      <c r="F36" s="244" t="s">
        <v>463</v>
      </c>
      <c r="G36" s="222"/>
      <c r="H36" s="222"/>
      <c r="I36" s="222"/>
      <c r="J36" s="222"/>
      <c r="K36" s="222"/>
      <c r="L36" s="222"/>
      <c r="M36" s="222"/>
      <c r="N36" s="222"/>
      <c r="O36" s="223"/>
    </row>
    <row r="37" spans="1:15">
      <c r="A37" s="241" t="s">
        <v>615</v>
      </c>
      <c r="B37" s="220" t="s">
        <v>179</v>
      </c>
      <c r="C37" s="244" t="s">
        <v>630</v>
      </c>
      <c r="D37" s="244" t="s">
        <v>630</v>
      </c>
      <c r="E37" s="222">
        <v>30</v>
      </c>
      <c r="F37" s="244" t="s">
        <v>463</v>
      </c>
      <c r="G37" s="222"/>
      <c r="H37" s="222"/>
      <c r="I37" s="222"/>
      <c r="J37" s="222"/>
      <c r="K37" s="222"/>
      <c r="L37" s="222"/>
      <c r="M37" s="222"/>
      <c r="N37" s="222"/>
      <c r="O37" s="223"/>
    </row>
    <row r="38" spans="1:15">
      <c r="A38" s="241" t="s">
        <v>616</v>
      </c>
      <c r="B38" s="220" t="s">
        <v>179</v>
      </c>
      <c r="C38" s="244" t="s">
        <v>630</v>
      </c>
      <c r="D38" s="244" t="s">
        <v>630</v>
      </c>
      <c r="E38" s="222">
        <v>30</v>
      </c>
      <c r="F38" s="244" t="s">
        <v>463</v>
      </c>
      <c r="G38" s="222"/>
      <c r="H38" s="222"/>
      <c r="I38" s="222"/>
      <c r="J38" s="222"/>
      <c r="K38" s="222"/>
      <c r="L38" s="222"/>
      <c r="M38" s="222"/>
      <c r="N38" s="222"/>
      <c r="O38" s="223"/>
    </row>
    <row r="39" spans="1:15">
      <c r="A39" s="241" t="s">
        <v>617</v>
      </c>
      <c r="B39" s="220" t="s">
        <v>179</v>
      </c>
      <c r="C39" s="244" t="s">
        <v>630</v>
      </c>
      <c r="D39" s="244" t="s">
        <v>630</v>
      </c>
      <c r="E39" s="222">
        <v>30</v>
      </c>
      <c r="F39" s="244" t="s">
        <v>463</v>
      </c>
      <c r="G39" s="222"/>
      <c r="H39" s="222"/>
      <c r="I39" s="222"/>
      <c r="J39" s="222"/>
      <c r="K39" s="222"/>
      <c r="L39" s="222"/>
      <c r="M39" s="222"/>
      <c r="N39" s="222"/>
      <c r="O39" s="223"/>
    </row>
    <row r="40" spans="1:15">
      <c r="A40" s="241" t="s">
        <v>618</v>
      </c>
      <c r="B40" s="220" t="s">
        <v>179</v>
      </c>
      <c r="C40" s="244" t="s">
        <v>630</v>
      </c>
      <c r="D40" s="244" t="s">
        <v>630</v>
      </c>
      <c r="E40" s="222">
        <v>30</v>
      </c>
      <c r="F40" s="244" t="s">
        <v>463</v>
      </c>
      <c r="G40" s="222"/>
      <c r="H40" s="222"/>
      <c r="I40" s="222"/>
      <c r="J40" s="222"/>
      <c r="K40" s="222"/>
      <c r="L40" s="222"/>
      <c r="M40" s="222"/>
      <c r="N40" s="222"/>
      <c r="O40" s="223"/>
    </row>
    <row r="41" spans="1:15">
      <c r="A41" s="241" t="s">
        <v>619</v>
      </c>
      <c r="B41" s="220" t="s">
        <v>179</v>
      </c>
      <c r="C41" s="244" t="s">
        <v>630</v>
      </c>
      <c r="D41" s="244" t="s">
        <v>630</v>
      </c>
      <c r="E41" s="222">
        <v>30</v>
      </c>
      <c r="F41" s="244" t="s">
        <v>463</v>
      </c>
      <c r="G41" s="222"/>
      <c r="H41" s="222"/>
      <c r="I41" s="222"/>
      <c r="J41" s="222"/>
      <c r="K41" s="222"/>
      <c r="L41" s="222"/>
      <c r="M41" s="222"/>
      <c r="N41" s="222"/>
      <c r="O41" s="223"/>
    </row>
    <row r="42" spans="1:15">
      <c r="A42" s="241" t="s">
        <v>620</v>
      </c>
      <c r="B42" s="220" t="s">
        <v>179</v>
      </c>
      <c r="C42" s="244" t="s">
        <v>630</v>
      </c>
      <c r="D42" s="244" t="s">
        <v>630</v>
      </c>
      <c r="E42" s="222">
        <v>30</v>
      </c>
      <c r="F42" s="244" t="s">
        <v>463</v>
      </c>
      <c r="G42" s="222"/>
      <c r="H42" s="222"/>
      <c r="I42" s="222"/>
      <c r="J42" s="222"/>
      <c r="K42" s="222"/>
      <c r="L42" s="222"/>
      <c r="M42" s="222"/>
      <c r="N42" s="222"/>
      <c r="O42" s="223"/>
    </row>
    <row r="43" spans="1:15">
      <c r="A43" s="241" t="s">
        <v>621</v>
      </c>
      <c r="B43" s="220" t="s">
        <v>179</v>
      </c>
      <c r="C43" s="244" t="s">
        <v>630</v>
      </c>
      <c r="D43" s="244" t="s">
        <v>630</v>
      </c>
      <c r="E43" s="222">
        <v>30</v>
      </c>
      <c r="F43" s="244" t="s">
        <v>463</v>
      </c>
      <c r="G43" s="222"/>
      <c r="H43" s="222"/>
      <c r="I43" s="222"/>
      <c r="J43" s="222"/>
      <c r="K43" s="222"/>
      <c r="L43" s="222"/>
      <c r="M43" s="222"/>
      <c r="N43" s="222"/>
      <c r="O43" s="223"/>
    </row>
    <row r="44" spans="1:15">
      <c r="A44" s="241" t="s">
        <v>622</v>
      </c>
      <c r="B44" s="220" t="s">
        <v>179</v>
      </c>
      <c r="C44" s="244" t="s">
        <v>630</v>
      </c>
      <c r="D44" s="244" t="s">
        <v>630</v>
      </c>
      <c r="E44" s="222">
        <v>30</v>
      </c>
      <c r="F44" s="244" t="s">
        <v>463</v>
      </c>
      <c r="G44" s="222"/>
      <c r="H44" s="222"/>
      <c r="I44" s="222"/>
      <c r="J44" s="222"/>
      <c r="K44" s="222"/>
      <c r="L44" s="222"/>
      <c r="M44" s="222"/>
      <c r="N44" s="222"/>
      <c r="O44" s="223"/>
    </row>
    <row r="45" spans="1:15">
      <c r="A45" s="241" t="s">
        <v>623</v>
      </c>
      <c r="B45" s="220" t="s">
        <v>179</v>
      </c>
      <c r="C45" s="244" t="s">
        <v>630</v>
      </c>
      <c r="D45" s="244" t="s">
        <v>630</v>
      </c>
      <c r="E45" s="222">
        <v>30</v>
      </c>
      <c r="F45" s="244" t="s">
        <v>463</v>
      </c>
      <c r="G45" s="222"/>
      <c r="H45" s="222"/>
      <c r="I45" s="222"/>
      <c r="J45" s="222"/>
      <c r="K45" s="222"/>
      <c r="L45" s="222"/>
      <c r="M45" s="222"/>
      <c r="N45" s="222"/>
      <c r="O45" s="223"/>
    </row>
    <row r="46" spans="1:15">
      <c r="A46" s="241" t="s">
        <v>624</v>
      </c>
      <c r="B46" s="220" t="s">
        <v>179</v>
      </c>
      <c r="C46" s="244" t="s">
        <v>630</v>
      </c>
      <c r="D46" s="244" t="s">
        <v>630</v>
      </c>
      <c r="E46" s="222">
        <v>30</v>
      </c>
      <c r="F46" s="244" t="s">
        <v>463</v>
      </c>
      <c r="G46" s="222"/>
      <c r="H46" s="222"/>
      <c r="I46" s="222"/>
      <c r="J46" s="222"/>
      <c r="K46" s="222"/>
      <c r="L46" s="222"/>
      <c r="M46" s="222"/>
      <c r="N46" s="222"/>
      <c r="O46" s="223"/>
    </row>
    <row r="47" spans="1:15">
      <c r="A47" s="241" t="s">
        <v>625</v>
      </c>
      <c r="B47" s="220" t="s">
        <v>179</v>
      </c>
      <c r="C47" s="244" t="s">
        <v>630</v>
      </c>
      <c r="D47" s="244" t="s">
        <v>630</v>
      </c>
      <c r="E47" s="222">
        <v>30</v>
      </c>
      <c r="F47" s="244" t="s">
        <v>463</v>
      </c>
      <c r="G47" s="222"/>
      <c r="H47" s="222"/>
      <c r="I47" s="222"/>
      <c r="J47" s="222"/>
      <c r="K47" s="222"/>
      <c r="L47" s="222"/>
      <c r="M47" s="222"/>
      <c r="N47" s="222"/>
      <c r="O47" s="223"/>
    </row>
    <row r="48" spans="1:15">
      <c r="A48" s="241" t="s">
        <v>626</v>
      </c>
      <c r="B48" s="220" t="s">
        <v>179</v>
      </c>
      <c r="C48" s="244" t="s">
        <v>630</v>
      </c>
      <c r="D48" s="244" t="s">
        <v>630</v>
      </c>
      <c r="E48" s="222">
        <v>30</v>
      </c>
      <c r="F48" s="244" t="s">
        <v>463</v>
      </c>
      <c r="G48" s="222"/>
      <c r="H48" s="222"/>
      <c r="I48" s="222"/>
      <c r="J48" s="222"/>
      <c r="K48" s="222"/>
      <c r="L48" s="222"/>
      <c r="M48" s="222"/>
      <c r="N48" s="222"/>
      <c r="O48" s="223"/>
    </row>
    <row r="49" spans="1:15">
      <c r="A49" s="241" t="s">
        <v>627</v>
      </c>
      <c r="B49" s="220" t="s">
        <v>179</v>
      </c>
      <c r="C49" s="244" t="s">
        <v>630</v>
      </c>
      <c r="D49" s="244" t="s">
        <v>630</v>
      </c>
      <c r="E49" s="222">
        <v>30</v>
      </c>
      <c r="F49" s="244" t="s">
        <v>463</v>
      </c>
      <c r="G49" s="222"/>
      <c r="H49" s="222"/>
      <c r="I49" s="222"/>
      <c r="J49" s="222"/>
      <c r="K49" s="222"/>
      <c r="L49" s="222"/>
      <c r="M49" s="222"/>
      <c r="N49" s="222"/>
      <c r="O49" s="223"/>
    </row>
    <row r="50" spans="1:15">
      <c r="A50" s="241" t="s">
        <v>628</v>
      </c>
      <c r="B50" s="220" t="s">
        <v>179</v>
      </c>
      <c r="C50" s="244" t="s">
        <v>630</v>
      </c>
      <c r="D50" s="244" t="s">
        <v>630</v>
      </c>
      <c r="E50" s="222">
        <v>30</v>
      </c>
      <c r="F50" s="244" t="s">
        <v>463</v>
      </c>
      <c r="G50" s="222"/>
      <c r="H50" s="222"/>
      <c r="I50" s="222"/>
      <c r="J50" s="222"/>
      <c r="K50" s="222"/>
      <c r="L50" s="222"/>
      <c r="M50" s="222"/>
      <c r="N50" s="222"/>
      <c r="O50" s="223"/>
    </row>
    <row r="51" spans="1:15">
      <c r="A51" s="241" t="s">
        <v>629</v>
      </c>
      <c r="B51" s="220" t="s">
        <v>179</v>
      </c>
      <c r="C51" s="244" t="s">
        <v>630</v>
      </c>
      <c r="D51" s="244" t="s">
        <v>630</v>
      </c>
      <c r="E51" s="222">
        <v>30</v>
      </c>
      <c r="F51" s="244" t="s">
        <v>463</v>
      </c>
      <c r="G51" s="222"/>
      <c r="H51" s="222"/>
      <c r="I51" s="222"/>
      <c r="J51" s="222"/>
      <c r="K51" s="222"/>
      <c r="L51" s="222"/>
      <c r="M51" s="222"/>
      <c r="N51" s="222"/>
      <c r="O51" s="223"/>
    </row>
    <row r="52" spans="1:15">
      <c r="A52" s="248" t="s">
        <v>641</v>
      </c>
      <c r="B52" s="247" t="s">
        <v>179</v>
      </c>
      <c r="C52" s="247" t="s">
        <v>638</v>
      </c>
      <c r="D52" s="247" t="s">
        <v>638</v>
      </c>
      <c r="E52" s="136">
        <v>30</v>
      </c>
      <c r="F52" s="247" t="s">
        <v>463</v>
      </c>
    </row>
    <row r="53" spans="1:15">
      <c r="A53" s="248" t="s">
        <v>642</v>
      </c>
      <c r="B53" s="248" t="s">
        <v>179</v>
      </c>
      <c r="C53" s="247" t="s">
        <v>638</v>
      </c>
      <c r="D53" s="247" t="s">
        <v>638</v>
      </c>
      <c r="E53" s="136">
        <v>30</v>
      </c>
      <c r="F53" s="247" t="s">
        <v>463</v>
      </c>
    </row>
    <row r="54" spans="1:15">
      <c r="A54" s="249" t="s">
        <v>644</v>
      </c>
      <c r="B54" s="249" t="s">
        <v>179</v>
      </c>
      <c r="C54" s="249" t="s">
        <v>645</v>
      </c>
      <c r="D54" s="249" t="s">
        <v>645</v>
      </c>
      <c r="E54" s="136">
        <v>30</v>
      </c>
      <c r="F54" s="249" t="s">
        <v>463</v>
      </c>
    </row>
    <row r="55" spans="1:15">
      <c r="A55" s="258" t="s">
        <v>413</v>
      </c>
      <c r="B55" s="249" t="s">
        <v>179</v>
      </c>
      <c r="C55" s="250" t="s">
        <v>649</v>
      </c>
      <c r="D55" s="250" t="s">
        <v>649</v>
      </c>
      <c r="E55" s="136">
        <v>30</v>
      </c>
      <c r="F55" s="250" t="s">
        <v>531</v>
      </c>
    </row>
    <row r="56" spans="1:15">
      <c r="A56" s="253" t="s">
        <v>404</v>
      </c>
      <c r="B56" s="249" t="s">
        <v>179</v>
      </c>
      <c r="C56" s="258" t="s">
        <v>667</v>
      </c>
      <c r="D56" s="258" t="s">
        <v>667</v>
      </c>
      <c r="E56" s="136">
        <v>30</v>
      </c>
      <c r="F56" s="250" t="s">
        <v>531</v>
      </c>
    </row>
    <row r="57" spans="1:15">
      <c r="A57" s="255" t="s">
        <v>656</v>
      </c>
      <c r="B57" s="255" t="s">
        <v>179</v>
      </c>
      <c r="C57" s="255" t="s">
        <v>657</v>
      </c>
      <c r="D57" s="255" t="s">
        <v>657</v>
      </c>
      <c r="E57" s="136">
        <v>30</v>
      </c>
      <c r="F57" s="255" t="s">
        <v>658</v>
      </c>
    </row>
    <row r="58" spans="1:15">
      <c r="A58" s="256" t="s">
        <v>660</v>
      </c>
      <c r="B58" s="256" t="s">
        <v>179</v>
      </c>
      <c r="C58" s="256" t="s">
        <v>661</v>
      </c>
      <c r="D58" s="256" t="s">
        <v>661</v>
      </c>
      <c r="E58" s="136">
        <v>30</v>
      </c>
      <c r="F58" s="256" t="s">
        <v>463</v>
      </c>
    </row>
    <row r="59" spans="1:15">
      <c r="A59" s="256" t="s">
        <v>664</v>
      </c>
      <c r="B59" s="256" t="s">
        <v>179</v>
      </c>
      <c r="C59" s="257" t="s">
        <v>665</v>
      </c>
      <c r="D59" s="257" t="s">
        <v>665</v>
      </c>
      <c r="E59" s="136">
        <v>30</v>
      </c>
      <c r="F59" s="257" t="s">
        <v>463</v>
      </c>
    </row>
    <row r="60" spans="1:15">
      <c r="A60" s="258" t="s">
        <v>413</v>
      </c>
      <c r="B60" s="256" t="s">
        <v>179</v>
      </c>
      <c r="C60" s="258" t="s">
        <v>668</v>
      </c>
      <c r="D60" s="258" t="s">
        <v>668</v>
      </c>
      <c r="E60" s="136">
        <v>30</v>
      </c>
      <c r="F60" s="258" t="s">
        <v>531</v>
      </c>
    </row>
    <row r="61" spans="1:15">
      <c r="A61" s="253" t="s">
        <v>404</v>
      </c>
      <c r="B61" s="249" t="s">
        <v>179</v>
      </c>
      <c r="C61" s="259" t="s">
        <v>671</v>
      </c>
      <c r="D61" s="259" t="s">
        <v>671</v>
      </c>
      <c r="E61" s="136">
        <v>30</v>
      </c>
      <c r="F61" s="250" t="s">
        <v>531</v>
      </c>
    </row>
    <row r="62" spans="1:15">
      <c r="A62" s="260" t="s">
        <v>450</v>
      </c>
      <c r="B62" s="256" t="s">
        <v>179</v>
      </c>
      <c r="C62" s="260" t="s">
        <v>678</v>
      </c>
      <c r="D62" s="260" t="s">
        <v>678</v>
      </c>
      <c r="E62" s="136">
        <v>30</v>
      </c>
      <c r="F62" s="260" t="s">
        <v>596</v>
      </c>
    </row>
  </sheetData>
  <mergeCells count="2">
    <mergeCell ref="A1:E1"/>
    <mergeCell ref="F1:O1"/>
  </mergeCells>
  <phoneticPr fontId="56"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B3:B15 B20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3"/>
  <sheetViews>
    <sheetView tabSelected="1" zoomScale="80" zoomScaleNormal="80" workbookViewId="0">
      <pane xSplit="1" ySplit="4" topLeftCell="B93" activePane="bottomRight" state="frozenSplit"/>
      <selection activeCell="K17" sqref="K17"/>
      <selection pane="topRight" activeCell="K17" sqref="K17"/>
      <selection pane="bottomLeft" activeCell="K17" sqref="K17"/>
      <selection pane="bottomRight" activeCell="K116" sqref="K116"/>
    </sheetView>
  </sheetViews>
  <sheetFormatPr defaultRowHeight="12.75" outlineLevelRow="1" outlineLevelCol="1"/>
  <cols>
    <col min="1" max="1" width="5.42578125" style="47" customWidth="1"/>
    <col min="2" max="2" width="9.85546875" style="44" customWidth="1"/>
    <col min="3" max="3" width="69.140625" style="44" customWidth="1"/>
    <col min="4" max="4" width="42.140625" style="45" customWidth="1"/>
    <col min="5" max="5" width="11" style="46" customWidth="1" outlineLevel="1"/>
    <col min="6" max="6" width="14.5703125" style="44" customWidth="1" outlineLevel="1"/>
    <col min="7" max="7" width="33.5703125" style="45" customWidth="1"/>
    <col min="8" max="9" width="11.42578125" style="44" customWidth="1" outlineLevel="1"/>
    <col min="10" max="10" width="18.42578125" style="44" customWidth="1" outlineLevel="1"/>
    <col min="11" max="11" width="12.5703125" style="46" customWidth="1"/>
    <col min="12" max="12" width="13.5703125" style="47" customWidth="1"/>
    <col min="13" max="13" width="13.140625" style="47" customWidth="1"/>
    <col min="14" max="14" width="12" style="35" bestFit="1" customWidth="1"/>
    <col min="15" max="15" width="20.85546875" style="35" bestFit="1" customWidth="1"/>
    <col min="16" max="16" width="13.42578125" style="35" bestFit="1" customWidth="1"/>
    <col min="17" max="22" width="11.42578125" style="59" customWidth="1"/>
    <col min="23" max="23" width="11.85546875" style="59" bestFit="1" customWidth="1"/>
    <col min="24" max="24" width="15.5703125" bestFit="1" customWidth="1"/>
    <col min="25" max="25" width="15" bestFit="1" customWidth="1"/>
    <col min="26" max="26" width="9.5703125" bestFit="1" customWidth="1"/>
  </cols>
  <sheetData>
    <row r="1" spans="1:46" s="22" customFormat="1" ht="51"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COUNTA(D5:D498)+COUNTIF(L5:L498,"=Open")+COUNTIF(L5:L498,"=To be fixed")-COUNTA(L5:L498)</f>
        <v>0</v>
      </c>
      <c r="M2" s="50">
        <f>COUNTIF(M5:M498,"=Rejected")</f>
        <v>0</v>
      </c>
      <c r="N2" s="50">
        <f>COUNTA(D5:D498)-COUNTIF(M5:M498,"=Approved")</f>
        <v>0</v>
      </c>
      <c r="O2" s="50">
        <f>COUNTIFS(L5:L498,"=Postponed",M5:M498,"=Approved")</f>
        <v>16</v>
      </c>
      <c r="P2" s="56"/>
      <c r="Q2" s="50">
        <f>COUNTIF($L5:$L498,"=" &amp; Q1)</f>
        <v>0</v>
      </c>
      <c r="R2" s="50">
        <f>COUNTIF($L5:$L498,"=" &amp; R1)</f>
        <v>35</v>
      </c>
      <c r="S2" s="50">
        <f>COUNTIF($L5:$L498,"=" &amp; S1)</f>
        <v>16</v>
      </c>
      <c r="T2" s="50">
        <f>COUNTIF($L5:$L498,"=" &amp; T1)</f>
        <v>61</v>
      </c>
      <c r="U2" s="50">
        <f>COUNTIF($L5:$L498,"=" &amp; U1)+COUNTIFS($L5:$L498,"",$D5:$D498,"&lt;&gt;")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COUNTIF($M5:$M498,"=" &amp; AH1)</f>
        <v>112</v>
      </c>
      <c r="AI2" s="50">
        <f>COUNTIF($M5:$M498,"=" &amp; AI1)</f>
        <v>0</v>
      </c>
      <c r="AJ2" s="50">
        <f>COUNTIF($M5:$M498,"=" &amp; AJ1)</f>
        <v>0</v>
      </c>
      <c r="AM2" s="30"/>
      <c r="AN2" s="30"/>
      <c r="AO2" s="30"/>
      <c r="AP2" s="32"/>
      <c r="AQ2" s="32"/>
      <c r="AR2" s="30"/>
      <c r="AS2" s="32"/>
      <c r="AT2" s="32"/>
    </row>
    <row r="3" spans="1:46" s="49" customFormat="1" ht="25.5" customHeight="1" outlineLevel="1">
      <c r="A3" s="361" t="str">
        <f>IF(Issue_to_treat=1,NbOfNotTreatedIssues+NbOfRejectedIssues&amp;" issue(s) to treat",IF(Issues_to_approve=1,NbOfNotApprovedIssues&amp;" issue(s) to approve",IF(Issues_postponed=1,NbOfNotApprovedAndPostponedIssues&amp;" issue(s) postponed","Status OK")))</f>
        <v>16 issue(s) postponed</v>
      </c>
      <c r="B3" s="361"/>
      <c r="C3" s="362"/>
      <c r="D3" s="60" t="s">
        <v>64</v>
      </c>
      <c r="E3" s="360" t="s">
        <v>82</v>
      </c>
      <c r="F3" s="360"/>
      <c r="G3" s="360"/>
      <c r="H3" s="48"/>
      <c r="I3" s="48"/>
      <c r="J3" s="48"/>
      <c r="K3" s="48"/>
      <c r="L3" s="48"/>
      <c r="M3" s="48"/>
      <c r="N3" s="55"/>
      <c r="O3" s="55"/>
      <c r="P3" s="55"/>
      <c r="Q3" s="58"/>
      <c r="R3" s="58"/>
      <c r="S3" s="58"/>
      <c r="T3" s="58"/>
      <c r="U3" s="58"/>
      <c r="V3" s="58"/>
      <c r="W3" s="58"/>
      <c r="X3" s="23"/>
      <c r="Y3" s="23"/>
      <c r="Z3" s="23"/>
      <c r="AA3" s="23"/>
      <c r="AB3" s="23"/>
    </row>
    <row r="4" spans="1:46" s="144" customFormat="1" ht="47.25">
      <c r="A4" s="137" t="s">
        <v>30</v>
      </c>
      <c r="B4" s="137" t="s">
        <v>9</v>
      </c>
      <c r="C4" s="137" t="s">
        <v>32</v>
      </c>
      <c r="D4" s="137" t="s">
        <v>177</v>
      </c>
      <c r="E4" s="137" t="s">
        <v>70</v>
      </c>
      <c r="F4" s="137" t="s">
        <v>31</v>
      </c>
      <c r="G4" s="138" t="s">
        <v>46</v>
      </c>
      <c r="H4" s="139" t="s">
        <v>48</v>
      </c>
      <c r="I4" s="139" t="s">
        <v>106</v>
      </c>
      <c r="J4" s="139" t="s">
        <v>33</v>
      </c>
      <c r="K4" s="140" t="s">
        <v>49</v>
      </c>
      <c r="L4" s="139" t="s">
        <v>47</v>
      </c>
      <c r="M4" s="137" t="s">
        <v>178</v>
      </c>
      <c r="N4" s="141"/>
      <c r="O4" s="141"/>
      <c r="P4" s="141"/>
      <c r="Q4" s="142"/>
      <c r="R4" s="142"/>
      <c r="S4" s="142"/>
      <c r="T4" s="142"/>
      <c r="U4" s="142"/>
      <c r="V4" s="142"/>
      <c r="W4" s="142"/>
      <c r="X4" s="143"/>
      <c r="Y4" s="143"/>
      <c r="Z4" s="143"/>
      <c r="AA4" s="143"/>
      <c r="AB4" s="143"/>
    </row>
    <row r="5" spans="1:46" s="23" customFormat="1" ht="51">
      <c r="A5" s="64">
        <v>1</v>
      </c>
      <c r="B5" s="38" t="s">
        <v>403</v>
      </c>
      <c r="C5" s="38" t="s">
        <v>404</v>
      </c>
      <c r="D5" s="25" t="s">
        <v>408</v>
      </c>
      <c r="E5" s="62">
        <v>44592.366770833331</v>
      </c>
      <c r="F5" s="63" t="s">
        <v>401</v>
      </c>
      <c r="G5" s="16"/>
      <c r="H5" s="20"/>
      <c r="I5" s="20" t="s">
        <v>26</v>
      </c>
      <c r="J5" s="20" t="s">
        <v>427</v>
      </c>
      <c r="K5" s="21">
        <v>44607.407488425924</v>
      </c>
      <c r="L5" s="20" t="s">
        <v>20</v>
      </c>
      <c r="M5" s="72" t="s">
        <v>28</v>
      </c>
      <c r="N5" s="55"/>
      <c r="O5" s="55"/>
      <c r="P5" s="55"/>
      <c r="Q5" s="58"/>
      <c r="R5" s="58"/>
      <c r="S5" s="58"/>
      <c r="T5" s="58"/>
      <c r="U5" s="58"/>
      <c r="V5" s="58"/>
      <c r="W5" s="58"/>
    </row>
    <row r="6" spans="1:46" s="23" customFormat="1">
      <c r="A6" s="65">
        <v>2</v>
      </c>
      <c r="B6" s="38" t="s">
        <v>403</v>
      </c>
      <c r="C6" s="38" t="s">
        <v>404</v>
      </c>
      <c r="D6" s="25" t="s">
        <v>407</v>
      </c>
      <c r="E6" s="62">
        <v>44592.368541666663</v>
      </c>
      <c r="F6" s="63" t="s">
        <v>401</v>
      </c>
      <c r="G6" s="16"/>
      <c r="H6" s="20"/>
      <c r="I6" s="20" t="s">
        <v>26</v>
      </c>
      <c r="J6" s="72" t="s">
        <v>427</v>
      </c>
      <c r="K6" s="21">
        <v>44607.407546296294</v>
      </c>
      <c r="L6" s="20" t="s">
        <v>20</v>
      </c>
      <c r="M6" s="20" t="s">
        <v>28</v>
      </c>
      <c r="N6" s="55"/>
      <c r="O6" s="55"/>
      <c r="P6" s="55"/>
      <c r="Q6" s="58"/>
      <c r="R6" s="58"/>
      <c r="S6" s="58"/>
      <c r="T6" s="58"/>
      <c r="U6" s="58"/>
      <c r="V6" s="58"/>
      <c r="W6" s="58"/>
    </row>
    <row r="7" spans="1:46" s="23" customFormat="1" ht="25.5">
      <c r="A7" s="65">
        <v>3</v>
      </c>
      <c r="B7" s="38" t="s">
        <v>403</v>
      </c>
      <c r="C7" s="38" t="s">
        <v>404</v>
      </c>
      <c r="D7" s="25" t="s">
        <v>409</v>
      </c>
      <c r="E7" s="62">
        <v>44592.372627314813</v>
      </c>
      <c r="F7" s="63" t="s">
        <v>401</v>
      </c>
      <c r="G7" s="16"/>
      <c r="H7" s="20"/>
      <c r="I7" s="20" t="s">
        <v>26</v>
      </c>
      <c r="J7" s="72" t="s">
        <v>427</v>
      </c>
      <c r="K7" s="21">
        <v>44601.455925925926</v>
      </c>
      <c r="L7" s="20" t="s">
        <v>20</v>
      </c>
      <c r="M7" s="20" t="s">
        <v>28</v>
      </c>
      <c r="N7" s="55"/>
      <c r="O7" s="55"/>
      <c r="P7" s="55"/>
      <c r="Q7" s="58"/>
      <c r="R7" s="58"/>
      <c r="S7" s="58"/>
      <c r="T7" s="58"/>
      <c r="U7" s="58"/>
      <c r="V7" s="58"/>
      <c r="W7" s="58"/>
    </row>
    <row r="8" spans="1:46" s="23" customFormat="1">
      <c r="A8" s="65">
        <v>4</v>
      </c>
      <c r="B8" s="38" t="s">
        <v>403</v>
      </c>
      <c r="C8" s="38" t="s">
        <v>404</v>
      </c>
      <c r="D8" s="25" t="s">
        <v>410</v>
      </c>
      <c r="E8" s="62">
        <v>44592.373784722222</v>
      </c>
      <c r="F8" s="63" t="s">
        <v>401</v>
      </c>
      <c r="G8" s="16"/>
      <c r="H8" s="20"/>
      <c r="I8" s="20" t="s">
        <v>26</v>
      </c>
      <c r="J8" s="72" t="s">
        <v>427</v>
      </c>
      <c r="K8" s="21">
        <v>44607.407592592594</v>
      </c>
      <c r="L8" s="20" t="s">
        <v>20</v>
      </c>
      <c r="M8" s="20" t="s">
        <v>28</v>
      </c>
      <c r="N8" s="55"/>
      <c r="O8" s="55"/>
      <c r="P8" s="55"/>
      <c r="Q8" s="58"/>
      <c r="R8" s="58"/>
      <c r="S8" s="58"/>
      <c r="T8" s="58"/>
      <c r="U8" s="58"/>
      <c r="V8" s="58"/>
      <c r="W8" s="58"/>
    </row>
    <row r="9" spans="1:46" s="23" customFormat="1">
      <c r="A9" s="65">
        <v>5</v>
      </c>
      <c r="B9" s="38" t="s">
        <v>403</v>
      </c>
      <c r="C9" s="38" t="s">
        <v>404</v>
      </c>
      <c r="D9" s="25" t="s">
        <v>416</v>
      </c>
      <c r="E9" s="62">
        <v>44592.377256944441</v>
      </c>
      <c r="F9" s="63" t="s">
        <v>401</v>
      </c>
      <c r="G9" s="16"/>
      <c r="H9" s="20"/>
      <c r="I9" s="20" t="s">
        <v>26</v>
      </c>
      <c r="J9" s="72" t="s">
        <v>427</v>
      </c>
      <c r="K9" s="21">
        <v>44607.407743055555</v>
      </c>
      <c r="L9" s="20" t="s">
        <v>20</v>
      </c>
      <c r="M9" s="20" t="s">
        <v>28</v>
      </c>
      <c r="N9" s="55"/>
      <c r="O9" s="55"/>
      <c r="P9" s="55"/>
      <c r="Q9" s="58"/>
      <c r="R9" s="58"/>
      <c r="S9" s="58"/>
      <c r="T9" s="58"/>
      <c r="U9" s="58"/>
      <c r="V9" s="58"/>
      <c r="W9" s="58"/>
    </row>
    <row r="10" spans="1:46" s="23" customFormat="1">
      <c r="A10" s="65">
        <v>6</v>
      </c>
      <c r="B10" s="38" t="s">
        <v>414</v>
      </c>
      <c r="C10" s="38" t="s">
        <v>415</v>
      </c>
      <c r="D10" s="25" t="s">
        <v>416</v>
      </c>
      <c r="E10" s="62">
        <v>44592.378067129626</v>
      </c>
      <c r="F10" s="63" t="s">
        <v>401</v>
      </c>
      <c r="G10" s="16"/>
      <c r="H10" s="20"/>
      <c r="I10" s="20" t="s">
        <v>26</v>
      </c>
      <c r="J10" s="20" t="s">
        <v>427</v>
      </c>
      <c r="K10" s="21">
        <v>44607.407789351855</v>
      </c>
      <c r="L10" s="20" t="s">
        <v>20</v>
      </c>
      <c r="M10" s="20" t="s">
        <v>28</v>
      </c>
      <c r="N10" s="55"/>
      <c r="O10" s="55"/>
      <c r="P10" s="55"/>
      <c r="Q10" s="58"/>
      <c r="R10" s="58"/>
      <c r="S10" s="58"/>
      <c r="T10" s="58"/>
      <c r="U10" s="58"/>
      <c r="V10" s="58"/>
      <c r="W10" s="58"/>
    </row>
    <row r="11" spans="1:46" s="23" customFormat="1" ht="25.5">
      <c r="A11" s="65">
        <v>7</v>
      </c>
      <c r="B11" s="38" t="s">
        <v>414</v>
      </c>
      <c r="C11" s="38" t="s">
        <v>415</v>
      </c>
      <c r="D11" s="25" t="s">
        <v>417</v>
      </c>
      <c r="E11" s="62">
        <v>44592.377951388888</v>
      </c>
      <c r="F11" s="63" t="s">
        <v>401</v>
      </c>
      <c r="G11" s="16"/>
      <c r="H11" s="20">
        <v>811860</v>
      </c>
      <c r="I11" s="20" t="s">
        <v>26</v>
      </c>
      <c r="J11" s="20" t="s">
        <v>427</v>
      </c>
      <c r="K11" s="73">
        <v>44621.455578703702</v>
      </c>
      <c r="L11" s="20" t="s">
        <v>21</v>
      </c>
      <c r="M11" s="20" t="s">
        <v>28</v>
      </c>
      <c r="N11" s="55"/>
      <c r="O11" s="55"/>
      <c r="P11" s="55"/>
      <c r="Q11" s="58"/>
      <c r="R11" s="58"/>
      <c r="S11" s="58"/>
      <c r="T11" s="58"/>
      <c r="U11" s="58"/>
      <c r="V11" s="58"/>
      <c r="W11" s="58"/>
    </row>
    <row r="12" spans="1:46" s="23" customFormat="1">
      <c r="A12" s="65">
        <v>8</v>
      </c>
      <c r="B12" s="38" t="s">
        <v>420</v>
      </c>
      <c r="C12" s="38" t="s">
        <v>419</v>
      </c>
      <c r="D12" s="25" t="s">
        <v>421</v>
      </c>
      <c r="E12" s="62">
        <v>44592.377951388888</v>
      </c>
      <c r="F12" s="50" t="s">
        <v>424</v>
      </c>
      <c r="G12" s="16"/>
      <c r="H12" s="20"/>
      <c r="I12" s="20" t="s">
        <v>26</v>
      </c>
      <c r="J12" s="20" t="s">
        <v>427</v>
      </c>
      <c r="K12" s="21">
        <v>44608.342847222222</v>
      </c>
      <c r="L12" s="20" t="s">
        <v>20</v>
      </c>
      <c r="M12" s="20" t="s">
        <v>28</v>
      </c>
      <c r="N12" s="55"/>
      <c r="O12" s="55"/>
      <c r="P12" s="55"/>
      <c r="Q12" s="58"/>
      <c r="R12" s="58"/>
      <c r="S12" s="58"/>
      <c r="T12" s="58"/>
      <c r="U12" s="58"/>
      <c r="V12" s="58"/>
      <c r="W12" s="58"/>
    </row>
    <row r="13" spans="1:46" s="23" customFormat="1">
      <c r="A13" s="65">
        <v>9</v>
      </c>
      <c r="B13" s="38" t="s">
        <v>420</v>
      </c>
      <c r="C13" s="38" t="s">
        <v>419</v>
      </c>
      <c r="D13" s="25" t="s">
        <v>422</v>
      </c>
      <c r="E13" s="62">
        <v>44592.377951388888</v>
      </c>
      <c r="F13" s="50" t="s">
        <v>424</v>
      </c>
      <c r="G13" s="16"/>
      <c r="H13" s="20"/>
      <c r="I13" s="20" t="s">
        <v>26</v>
      </c>
      <c r="J13" s="20" t="s">
        <v>427</v>
      </c>
      <c r="K13" s="21">
        <v>44607.407905092594</v>
      </c>
      <c r="L13" s="20" t="s">
        <v>20</v>
      </c>
      <c r="M13" s="20" t="s">
        <v>28</v>
      </c>
      <c r="N13" s="55"/>
      <c r="O13" s="55"/>
      <c r="P13" s="55"/>
      <c r="Q13" s="58"/>
      <c r="R13" s="58"/>
      <c r="S13" s="58"/>
      <c r="T13" s="58"/>
      <c r="U13" s="58"/>
      <c r="V13" s="58"/>
      <c r="W13" s="58"/>
    </row>
    <row r="14" spans="1:46" s="23" customFormat="1" ht="25.5">
      <c r="A14" s="65">
        <v>10</v>
      </c>
      <c r="B14" s="38" t="s">
        <v>420</v>
      </c>
      <c r="C14" s="38" t="s">
        <v>419</v>
      </c>
      <c r="D14" s="25" t="s">
        <v>423</v>
      </c>
      <c r="E14" s="62">
        <v>44592.377951388888</v>
      </c>
      <c r="F14" s="50" t="s">
        <v>424</v>
      </c>
      <c r="G14" s="16"/>
      <c r="H14" s="20">
        <v>811860</v>
      </c>
      <c r="I14" s="20" t="s">
        <v>26</v>
      </c>
      <c r="J14" s="20" t="s">
        <v>427</v>
      </c>
      <c r="K14" s="21">
        <v>44621</v>
      </c>
      <c r="L14" s="72" t="s">
        <v>20</v>
      </c>
      <c r="M14" s="20" t="s">
        <v>28</v>
      </c>
      <c r="N14" s="55"/>
      <c r="O14" s="55"/>
      <c r="P14" s="55"/>
      <c r="Q14" s="58"/>
      <c r="R14" s="58"/>
      <c r="S14" s="58"/>
      <c r="T14" s="58"/>
      <c r="U14" s="58"/>
      <c r="V14" s="58"/>
      <c r="W14" s="58"/>
    </row>
    <row r="15" spans="1:46" s="23" customFormat="1">
      <c r="A15" s="65">
        <v>11</v>
      </c>
      <c r="B15" s="38" t="s">
        <v>430</v>
      </c>
      <c r="C15" s="19" t="s">
        <v>428</v>
      </c>
      <c r="D15" s="25" t="s">
        <v>431</v>
      </c>
      <c r="E15" s="62">
        <v>44610.387997685182</v>
      </c>
      <c r="F15" s="63" t="s">
        <v>424</v>
      </c>
      <c r="G15" s="16"/>
      <c r="H15" s="20"/>
      <c r="I15" s="20" t="s">
        <v>26</v>
      </c>
      <c r="J15" s="20" t="s">
        <v>424</v>
      </c>
      <c r="K15" s="21">
        <v>44610.388043981482</v>
      </c>
      <c r="L15" s="20" t="s">
        <v>27</v>
      </c>
      <c r="M15" s="20" t="s">
        <v>28</v>
      </c>
      <c r="N15" s="55"/>
      <c r="O15" s="55"/>
      <c r="P15" s="55"/>
      <c r="Q15" s="58"/>
      <c r="R15" s="58"/>
      <c r="S15" s="58"/>
      <c r="T15" s="58"/>
      <c r="U15" s="58"/>
      <c r="V15" s="58"/>
      <c r="W15" s="58"/>
    </row>
    <row r="16" spans="1:46" s="23" customFormat="1">
      <c r="A16" s="65">
        <v>12</v>
      </c>
      <c r="B16" s="19" t="s">
        <v>436</v>
      </c>
      <c r="C16" s="38" t="s">
        <v>419</v>
      </c>
      <c r="D16" s="16" t="s">
        <v>431</v>
      </c>
      <c r="E16" s="62">
        <v>44610.405868055554</v>
      </c>
      <c r="F16" s="63" t="s">
        <v>424</v>
      </c>
      <c r="G16" s="16"/>
      <c r="H16" s="20"/>
      <c r="I16" s="20" t="s">
        <v>26</v>
      </c>
      <c r="J16" s="20" t="s">
        <v>424</v>
      </c>
      <c r="K16" s="21">
        <v>44610.388043981482</v>
      </c>
      <c r="L16" s="20" t="s">
        <v>27</v>
      </c>
      <c r="M16" s="20" t="s">
        <v>28</v>
      </c>
      <c r="N16" s="55"/>
      <c r="O16" s="55"/>
      <c r="P16" s="55"/>
      <c r="Q16" s="58"/>
      <c r="R16" s="58"/>
      <c r="S16" s="58"/>
      <c r="T16" s="58"/>
      <c r="U16" s="58"/>
      <c r="V16" s="58"/>
      <c r="W16" s="58"/>
    </row>
    <row r="17" spans="1:23" s="23" customFormat="1">
      <c r="A17" s="65">
        <v>13</v>
      </c>
      <c r="B17" s="19" t="s">
        <v>429</v>
      </c>
      <c r="C17" s="19" t="s">
        <v>433</v>
      </c>
      <c r="D17" s="16" t="s">
        <v>431</v>
      </c>
      <c r="E17" s="62">
        <v>44610.405891203707</v>
      </c>
      <c r="F17" s="63" t="s">
        <v>424</v>
      </c>
      <c r="G17" s="16"/>
      <c r="H17" s="20"/>
      <c r="I17" s="20" t="s">
        <v>26</v>
      </c>
      <c r="J17" s="20" t="s">
        <v>424</v>
      </c>
      <c r="K17" s="21">
        <v>44610.388043981482</v>
      </c>
      <c r="L17" s="20" t="s">
        <v>27</v>
      </c>
      <c r="M17" s="20" t="s">
        <v>28</v>
      </c>
      <c r="N17" s="55"/>
      <c r="O17" s="55"/>
      <c r="P17" s="55"/>
      <c r="Q17" s="58"/>
      <c r="R17" s="58"/>
      <c r="S17" s="58"/>
      <c r="T17" s="58"/>
      <c r="U17" s="58"/>
      <c r="V17" s="58"/>
      <c r="W17" s="58"/>
    </row>
    <row r="18" spans="1:23" s="23" customFormat="1">
      <c r="A18" s="65">
        <v>14</v>
      </c>
      <c r="B18" s="19" t="s">
        <v>437</v>
      </c>
      <c r="C18" s="19" t="s">
        <v>434</v>
      </c>
      <c r="D18" s="16" t="s">
        <v>431</v>
      </c>
      <c r="E18" s="62">
        <v>44610.405925925923</v>
      </c>
      <c r="F18" s="63" t="s">
        <v>424</v>
      </c>
      <c r="G18" s="16"/>
      <c r="H18" s="20"/>
      <c r="I18" s="20" t="s">
        <v>26</v>
      </c>
      <c r="J18" s="20" t="s">
        <v>424</v>
      </c>
      <c r="K18" s="21">
        <v>44610.388043981482</v>
      </c>
      <c r="L18" s="20" t="s">
        <v>27</v>
      </c>
      <c r="M18" s="20" t="s">
        <v>28</v>
      </c>
      <c r="N18" s="55"/>
      <c r="O18" s="55"/>
      <c r="P18" s="55"/>
      <c r="Q18" s="58"/>
      <c r="R18" s="58"/>
      <c r="S18" s="58"/>
      <c r="T18" s="58"/>
      <c r="U18" s="58"/>
      <c r="V18" s="58"/>
      <c r="W18" s="58"/>
    </row>
    <row r="19" spans="1:23" s="23" customFormat="1">
      <c r="A19" s="65">
        <v>15</v>
      </c>
      <c r="B19" s="19" t="s">
        <v>429</v>
      </c>
      <c r="C19" s="19" t="s">
        <v>435</v>
      </c>
      <c r="D19" s="16" t="s">
        <v>431</v>
      </c>
      <c r="E19" s="62">
        <v>44610.405949074076</v>
      </c>
      <c r="F19" s="63" t="s">
        <v>424</v>
      </c>
      <c r="G19" s="16"/>
      <c r="H19" s="20"/>
      <c r="I19" s="20" t="s">
        <v>26</v>
      </c>
      <c r="J19" s="20" t="s">
        <v>424</v>
      </c>
      <c r="K19" s="21">
        <v>44610.388043981482</v>
      </c>
      <c r="L19" s="20" t="s">
        <v>27</v>
      </c>
      <c r="M19" s="20" t="s">
        <v>28</v>
      </c>
      <c r="N19" s="55"/>
      <c r="O19" s="55"/>
      <c r="P19" s="55"/>
      <c r="Q19" s="58"/>
      <c r="R19" s="58"/>
      <c r="S19" s="58"/>
      <c r="T19" s="58"/>
      <c r="U19" s="58"/>
      <c r="V19" s="58"/>
      <c r="W19" s="58"/>
    </row>
    <row r="20" spans="1:23" s="23" customFormat="1">
      <c r="A20" s="65">
        <v>16</v>
      </c>
      <c r="B20" s="19" t="s">
        <v>438</v>
      </c>
      <c r="C20" s="38" t="s">
        <v>415</v>
      </c>
      <c r="D20" s="16" t="s">
        <v>431</v>
      </c>
      <c r="E20" s="62">
        <v>44610.405972222223</v>
      </c>
      <c r="F20" s="63" t="s">
        <v>424</v>
      </c>
      <c r="G20" s="16"/>
      <c r="H20" s="20"/>
      <c r="I20" s="20" t="s">
        <v>26</v>
      </c>
      <c r="J20" s="20" t="s">
        <v>424</v>
      </c>
      <c r="K20" s="21">
        <v>44610.388043981482</v>
      </c>
      <c r="L20" s="20" t="s">
        <v>27</v>
      </c>
      <c r="M20" s="20" t="s">
        <v>28</v>
      </c>
      <c r="N20" s="55"/>
      <c r="O20" s="55"/>
      <c r="P20" s="55"/>
      <c r="Q20" s="58"/>
      <c r="R20" s="58"/>
      <c r="S20" s="58"/>
      <c r="T20" s="58"/>
      <c r="U20" s="58"/>
      <c r="V20" s="58"/>
      <c r="W20" s="58"/>
    </row>
    <row r="21" spans="1:23" s="23" customFormat="1">
      <c r="A21" s="65">
        <v>17</v>
      </c>
      <c r="B21" s="19">
        <v>1.1000000000000001</v>
      </c>
      <c r="C21" s="38" t="s">
        <v>450</v>
      </c>
      <c r="D21" s="25" t="s">
        <v>451</v>
      </c>
      <c r="E21" s="62">
        <v>44617</v>
      </c>
      <c r="F21" s="50" t="s">
        <v>448</v>
      </c>
      <c r="G21" s="16"/>
      <c r="H21" s="20"/>
      <c r="I21" s="20" t="s">
        <v>26</v>
      </c>
      <c r="J21" s="72" t="s">
        <v>427</v>
      </c>
      <c r="K21" s="21">
        <v>44624</v>
      </c>
      <c r="L21" s="20" t="s">
        <v>20</v>
      </c>
      <c r="M21" s="20" t="s">
        <v>28</v>
      </c>
      <c r="N21" s="55"/>
      <c r="O21" s="55"/>
      <c r="P21" s="55"/>
      <c r="Q21" s="58"/>
      <c r="R21" s="58"/>
      <c r="S21" s="58"/>
      <c r="T21" s="58"/>
      <c r="U21" s="58"/>
      <c r="V21" s="58"/>
      <c r="W21" s="58"/>
    </row>
    <row r="22" spans="1:23" s="23" customFormat="1" ht="25.5">
      <c r="A22" s="65">
        <v>18</v>
      </c>
      <c r="B22" s="19">
        <v>1.1000000000000001</v>
      </c>
      <c r="C22" s="38" t="s">
        <v>450</v>
      </c>
      <c r="D22" s="25" t="s">
        <v>452</v>
      </c>
      <c r="E22" s="62">
        <v>44617.508194444446</v>
      </c>
      <c r="F22" s="63" t="s">
        <v>448</v>
      </c>
      <c r="G22" s="25" t="s">
        <v>476</v>
      </c>
      <c r="H22" s="20"/>
      <c r="I22" s="20" t="s">
        <v>26</v>
      </c>
      <c r="J22" s="72" t="s">
        <v>427</v>
      </c>
      <c r="K22" s="21">
        <v>44624</v>
      </c>
      <c r="L22" s="20" t="s">
        <v>21</v>
      </c>
      <c r="M22" s="20" t="s">
        <v>28</v>
      </c>
      <c r="N22" s="55"/>
      <c r="O22" s="55"/>
      <c r="P22" s="55"/>
      <c r="Q22" s="58"/>
      <c r="R22" s="58"/>
      <c r="S22" s="58"/>
      <c r="T22" s="58"/>
      <c r="U22" s="58"/>
      <c r="V22" s="58"/>
      <c r="W22" s="58"/>
    </row>
    <row r="23" spans="1:23" s="23" customFormat="1" ht="25.5">
      <c r="A23" s="65">
        <v>19</v>
      </c>
      <c r="B23" s="19">
        <v>1.1000000000000001</v>
      </c>
      <c r="C23" s="38" t="s">
        <v>450</v>
      </c>
      <c r="D23" s="25" t="s">
        <v>453</v>
      </c>
      <c r="E23" s="62">
        <v>44617.508194444446</v>
      </c>
      <c r="F23" s="63" t="s">
        <v>448</v>
      </c>
      <c r="G23" s="25" t="s">
        <v>476</v>
      </c>
      <c r="H23" s="20"/>
      <c r="I23" s="20" t="s">
        <v>26</v>
      </c>
      <c r="J23" s="72" t="s">
        <v>427</v>
      </c>
      <c r="K23" s="21">
        <v>44624</v>
      </c>
      <c r="L23" s="20" t="s">
        <v>21</v>
      </c>
      <c r="M23" s="20" t="s">
        <v>28</v>
      </c>
      <c r="N23" s="55"/>
      <c r="O23" s="55"/>
      <c r="P23" s="55"/>
      <c r="Q23" s="58"/>
      <c r="R23" s="58"/>
      <c r="S23" s="58"/>
      <c r="T23" s="58"/>
      <c r="U23" s="58"/>
      <c r="V23" s="58"/>
      <c r="W23" s="58"/>
    </row>
    <row r="24" spans="1:23" s="23" customFormat="1" ht="25.5">
      <c r="A24" s="65">
        <v>20</v>
      </c>
      <c r="B24" s="19">
        <v>1.1000000000000001</v>
      </c>
      <c r="C24" s="38" t="s">
        <v>450</v>
      </c>
      <c r="D24" s="25" t="s">
        <v>454</v>
      </c>
      <c r="E24" s="62">
        <v>44617.508819444447</v>
      </c>
      <c r="F24" s="63" t="s">
        <v>448</v>
      </c>
      <c r="G24" s="25" t="s">
        <v>476</v>
      </c>
      <c r="H24" s="20"/>
      <c r="I24" s="20" t="s">
        <v>26</v>
      </c>
      <c r="J24" s="72" t="s">
        <v>427</v>
      </c>
      <c r="K24" s="21">
        <v>44624</v>
      </c>
      <c r="L24" s="20" t="s">
        <v>21</v>
      </c>
      <c r="M24" s="20" t="s">
        <v>28</v>
      </c>
      <c r="N24" s="55"/>
      <c r="O24" s="55"/>
      <c r="P24" s="55"/>
      <c r="Q24" s="58"/>
      <c r="R24" s="58"/>
      <c r="S24" s="58"/>
      <c r="T24" s="58"/>
      <c r="U24" s="58"/>
      <c r="V24" s="58"/>
      <c r="W24" s="58"/>
    </row>
    <row r="25" spans="1:23" s="23" customFormat="1" ht="25.5">
      <c r="A25" s="65">
        <v>21</v>
      </c>
      <c r="B25" s="19">
        <v>1.1000000000000001</v>
      </c>
      <c r="C25" s="38" t="s">
        <v>450</v>
      </c>
      <c r="D25" s="25" t="s">
        <v>455</v>
      </c>
      <c r="E25" s="62">
        <v>44617.509108796294</v>
      </c>
      <c r="F25" s="63" t="s">
        <v>448</v>
      </c>
      <c r="G25" s="25" t="s">
        <v>477</v>
      </c>
      <c r="H25" s="20">
        <v>812824</v>
      </c>
      <c r="I25" s="20" t="s">
        <v>26</v>
      </c>
      <c r="J25" s="72" t="s">
        <v>427</v>
      </c>
      <c r="K25" s="21">
        <v>44713</v>
      </c>
      <c r="L25" s="20" t="s">
        <v>21</v>
      </c>
      <c r="M25" s="20" t="s">
        <v>28</v>
      </c>
      <c r="N25" s="55"/>
      <c r="O25" s="55"/>
      <c r="P25" s="55"/>
      <c r="Q25" s="58"/>
      <c r="R25" s="58"/>
      <c r="S25" s="58"/>
      <c r="T25" s="58"/>
      <c r="U25" s="58"/>
      <c r="V25" s="58"/>
      <c r="W25" s="58"/>
    </row>
    <row r="26" spans="1:23" s="23" customFormat="1" ht="25.5">
      <c r="A26" s="65">
        <v>22</v>
      </c>
      <c r="B26" s="19">
        <v>1.3</v>
      </c>
      <c r="C26" s="38" t="s">
        <v>450</v>
      </c>
      <c r="D26" s="25" t="s">
        <v>452</v>
      </c>
      <c r="E26" s="62">
        <v>44658.725821759261</v>
      </c>
      <c r="F26" s="63" t="s">
        <v>457</v>
      </c>
      <c r="G26" s="25" t="s">
        <v>476</v>
      </c>
      <c r="H26" s="20"/>
      <c r="I26" s="20" t="s">
        <v>26</v>
      </c>
      <c r="J26" s="72" t="s">
        <v>427</v>
      </c>
      <c r="K26" s="21">
        <v>44662.404421296298</v>
      </c>
      <c r="L26" s="20" t="s">
        <v>21</v>
      </c>
      <c r="M26" s="20" t="s">
        <v>28</v>
      </c>
      <c r="N26" s="55"/>
      <c r="O26" s="55"/>
      <c r="P26" s="55"/>
      <c r="Q26" s="58"/>
      <c r="R26" s="58"/>
      <c r="S26" s="58"/>
      <c r="T26" s="58"/>
      <c r="U26" s="58"/>
      <c r="V26" s="58"/>
      <c r="W26" s="58"/>
    </row>
    <row r="27" spans="1:23" s="23" customFormat="1" ht="25.5">
      <c r="A27" s="65">
        <v>23</v>
      </c>
      <c r="B27" s="19">
        <v>1.3</v>
      </c>
      <c r="C27" s="38" t="s">
        <v>450</v>
      </c>
      <c r="D27" s="25" t="s">
        <v>453</v>
      </c>
      <c r="E27" s="62">
        <v>44658.725937499999</v>
      </c>
      <c r="F27" s="63" t="s">
        <v>457</v>
      </c>
      <c r="G27" s="25" t="s">
        <v>476</v>
      </c>
      <c r="H27" s="20"/>
      <c r="I27" s="20" t="s">
        <v>26</v>
      </c>
      <c r="J27" s="72" t="s">
        <v>427</v>
      </c>
      <c r="K27" s="21">
        <v>44662.404456018521</v>
      </c>
      <c r="L27" s="20" t="s">
        <v>21</v>
      </c>
      <c r="M27" s="20" t="s">
        <v>28</v>
      </c>
      <c r="N27" s="55"/>
      <c r="O27" s="55"/>
      <c r="P27" s="55"/>
      <c r="Q27" s="58"/>
      <c r="R27" s="58"/>
      <c r="S27" s="58"/>
      <c r="T27" s="58"/>
      <c r="U27" s="58"/>
      <c r="V27" s="58"/>
      <c r="W27" s="58"/>
    </row>
    <row r="28" spans="1:23" s="23" customFormat="1" ht="25.5">
      <c r="A28" s="65">
        <v>24</v>
      </c>
      <c r="B28" s="19">
        <v>1.3</v>
      </c>
      <c r="C28" s="38" t="s">
        <v>450</v>
      </c>
      <c r="D28" s="25" t="s">
        <v>459</v>
      </c>
      <c r="E28" s="62">
        <v>44658.725775462961</v>
      </c>
      <c r="F28" s="63" t="s">
        <v>457</v>
      </c>
      <c r="G28" s="25" t="s">
        <v>476</v>
      </c>
      <c r="H28" s="20"/>
      <c r="I28" s="20" t="s">
        <v>26</v>
      </c>
      <c r="J28" s="72" t="s">
        <v>427</v>
      </c>
      <c r="K28" s="21">
        <v>44662.404490740744</v>
      </c>
      <c r="L28" s="20" t="s">
        <v>21</v>
      </c>
      <c r="M28" s="20" t="s">
        <v>28</v>
      </c>
      <c r="N28" s="55"/>
      <c r="O28" s="55"/>
      <c r="P28" s="55"/>
      <c r="Q28" s="58"/>
      <c r="R28" s="58"/>
      <c r="S28" s="58"/>
      <c r="T28" s="58"/>
      <c r="U28" s="58"/>
      <c r="V28" s="58"/>
      <c r="W28" s="58"/>
    </row>
    <row r="29" spans="1:23" s="23" customFormat="1" ht="25.5">
      <c r="A29" s="65">
        <v>25</v>
      </c>
      <c r="B29" s="19">
        <v>1.3</v>
      </c>
      <c r="C29" s="38" t="s">
        <v>450</v>
      </c>
      <c r="D29" s="25" t="s">
        <v>455</v>
      </c>
      <c r="E29" s="62">
        <v>44658.726550925923</v>
      </c>
      <c r="F29" s="63" t="s">
        <v>457</v>
      </c>
      <c r="G29" s="25" t="s">
        <v>477</v>
      </c>
      <c r="H29" s="20">
        <v>812824</v>
      </c>
      <c r="I29" s="20" t="s">
        <v>26</v>
      </c>
      <c r="J29" s="72" t="s">
        <v>427</v>
      </c>
      <c r="K29" s="21">
        <v>44713</v>
      </c>
      <c r="L29" s="72" t="s">
        <v>21</v>
      </c>
      <c r="M29" s="20" t="s">
        <v>28</v>
      </c>
      <c r="N29" s="55"/>
      <c r="O29" s="55"/>
      <c r="P29" s="55"/>
      <c r="Q29" s="58"/>
      <c r="R29" s="58"/>
      <c r="S29" s="58"/>
      <c r="T29" s="58"/>
      <c r="U29" s="58"/>
      <c r="V29" s="58"/>
      <c r="W29" s="58"/>
    </row>
    <row r="30" spans="1:23" s="23" customFormat="1" ht="38.25">
      <c r="A30" s="65">
        <v>26</v>
      </c>
      <c r="B30" s="19">
        <v>1.3</v>
      </c>
      <c r="C30" s="38" t="s">
        <v>450</v>
      </c>
      <c r="D30" s="25" t="s">
        <v>460</v>
      </c>
      <c r="E30" s="62">
        <v>44658.7268287037</v>
      </c>
      <c r="F30" s="63" t="s">
        <v>457</v>
      </c>
      <c r="G30" s="25" t="s">
        <v>476</v>
      </c>
      <c r="H30" s="20"/>
      <c r="I30" s="20" t="s">
        <v>26</v>
      </c>
      <c r="J30" s="72" t="s">
        <v>427</v>
      </c>
      <c r="K30" s="21">
        <v>44662.404861111114</v>
      </c>
      <c r="L30" s="72" t="s">
        <v>21</v>
      </c>
      <c r="M30" s="20" t="s">
        <v>28</v>
      </c>
      <c r="N30" s="55"/>
      <c r="O30" s="55"/>
      <c r="P30" s="55"/>
      <c r="Q30" s="58"/>
      <c r="R30" s="58"/>
      <c r="S30" s="58"/>
      <c r="T30" s="58"/>
      <c r="U30" s="58"/>
      <c r="V30" s="58"/>
      <c r="W30" s="58"/>
    </row>
    <row r="31" spans="1:23" s="23" customFormat="1" ht="25.5">
      <c r="A31" s="65">
        <v>27</v>
      </c>
      <c r="B31" s="19">
        <v>1.3</v>
      </c>
      <c r="C31" s="38" t="s">
        <v>450</v>
      </c>
      <c r="D31" s="25" t="s">
        <v>461</v>
      </c>
      <c r="E31" s="62">
        <v>44658.728726851848</v>
      </c>
      <c r="F31" s="63" t="s">
        <v>457</v>
      </c>
      <c r="G31" s="25" t="s">
        <v>478</v>
      </c>
      <c r="H31" s="20"/>
      <c r="I31" s="20" t="s">
        <v>26</v>
      </c>
      <c r="J31" s="72" t="s">
        <v>427</v>
      </c>
      <c r="K31" s="21">
        <v>44662.40488425926</v>
      </c>
      <c r="L31" s="20" t="s">
        <v>20</v>
      </c>
      <c r="M31" s="20" t="s">
        <v>28</v>
      </c>
      <c r="N31" s="55"/>
      <c r="O31" s="55"/>
      <c r="P31" s="55"/>
      <c r="Q31" s="58"/>
      <c r="R31" s="58"/>
      <c r="S31" s="58"/>
      <c r="T31" s="58"/>
      <c r="U31" s="58"/>
      <c r="V31" s="58"/>
      <c r="W31" s="58"/>
    </row>
    <row r="32" spans="1:23" s="23" customFormat="1">
      <c r="A32" s="65">
        <v>28</v>
      </c>
      <c r="B32" s="19">
        <v>1.1000000000000001</v>
      </c>
      <c r="C32" s="19" t="s">
        <v>462</v>
      </c>
      <c r="D32" s="25" t="s">
        <v>431</v>
      </c>
      <c r="E32" s="62">
        <v>44659.431284722225</v>
      </c>
      <c r="F32" s="63" t="s">
        <v>463</v>
      </c>
      <c r="G32" s="16"/>
      <c r="H32" s="20"/>
      <c r="I32" s="20" t="s">
        <v>26</v>
      </c>
      <c r="J32" s="20" t="s">
        <v>463</v>
      </c>
      <c r="K32" s="21">
        <v>44659.431435185186</v>
      </c>
      <c r="L32" s="20" t="s">
        <v>27</v>
      </c>
      <c r="M32" s="20" t="s">
        <v>28</v>
      </c>
      <c r="N32" s="55"/>
      <c r="O32" s="55"/>
      <c r="P32" s="55"/>
      <c r="Q32" s="58"/>
      <c r="R32" s="58"/>
      <c r="S32" s="58"/>
      <c r="T32" s="58"/>
      <c r="U32" s="58"/>
      <c r="V32" s="58"/>
      <c r="W32" s="58"/>
    </row>
    <row r="33" spans="1:23" s="23" customFormat="1" ht="25.5">
      <c r="A33" s="65">
        <v>29</v>
      </c>
      <c r="B33" s="19">
        <v>1.2</v>
      </c>
      <c r="C33" s="38" t="s">
        <v>462</v>
      </c>
      <c r="D33" s="25" t="s">
        <v>464</v>
      </c>
      <c r="E33" s="62">
        <v>44659.43172453704</v>
      </c>
      <c r="F33" s="63" t="s">
        <v>463</v>
      </c>
      <c r="G33" s="25" t="s">
        <v>466</v>
      </c>
      <c r="H33" s="20">
        <v>812852</v>
      </c>
      <c r="I33" s="20" t="s">
        <v>26</v>
      </c>
      <c r="J33" s="72" t="s">
        <v>427</v>
      </c>
      <c r="K33" s="21">
        <v>44659</v>
      </c>
      <c r="L33" s="20" t="s">
        <v>20</v>
      </c>
      <c r="M33" s="20" t="s">
        <v>28</v>
      </c>
      <c r="N33" s="55"/>
      <c r="O33" s="55"/>
      <c r="P33" s="55"/>
      <c r="Q33" s="58"/>
      <c r="R33" s="58"/>
      <c r="S33" s="58"/>
      <c r="T33" s="58"/>
      <c r="U33" s="58"/>
      <c r="V33" s="58"/>
      <c r="W33" s="58"/>
    </row>
    <row r="34" spans="1:23" s="23" customFormat="1">
      <c r="A34" s="65">
        <v>30</v>
      </c>
      <c r="B34" s="19">
        <v>1.3</v>
      </c>
      <c r="C34" s="38" t="s">
        <v>462</v>
      </c>
      <c r="D34" s="25" t="s">
        <v>467</v>
      </c>
      <c r="E34" s="62">
        <v>44659.546493055554</v>
      </c>
      <c r="F34" s="63" t="s">
        <v>463</v>
      </c>
      <c r="G34" s="16"/>
      <c r="H34" s="20"/>
      <c r="I34" s="20" t="s">
        <v>26</v>
      </c>
      <c r="J34" s="20" t="s">
        <v>463</v>
      </c>
      <c r="K34" s="21">
        <v>44659.550925925927</v>
      </c>
      <c r="L34" s="20" t="s">
        <v>27</v>
      </c>
      <c r="M34" s="20" t="s">
        <v>28</v>
      </c>
      <c r="N34" s="55"/>
      <c r="O34" s="55"/>
      <c r="P34" s="55"/>
      <c r="Q34" s="58"/>
      <c r="R34" s="58"/>
      <c r="S34" s="58"/>
      <c r="T34" s="58"/>
      <c r="U34" s="58"/>
      <c r="V34" s="58"/>
      <c r="W34" s="58"/>
    </row>
    <row r="35" spans="1:23" s="23" customFormat="1">
      <c r="A35" s="65">
        <v>31</v>
      </c>
      <c r="B35" s="19">
        <v>1.4</v>
      </c>
      <c r="C35" s="38" t="s">
        <v>462</v>
      </c>
      <c r="D35" s="16" t="s">
        <v>468</v>
      </c>
      <c r="E35" s="62">
        <v>44659.551111111112</v>
      </c>
      <c r="F35" s="63" t="s">
        <v>463</v>
      </c>
      <c r="G35" s="16"/>
      <c r="H35" s="20"/>
      <c r="I35" s="20" t="s">
        <v>26</v>
      </c>
      <c r="J35" s="20" t="s">
        <v>463</v>
      </c>
      <c r="K35" s="21">
        <v>44659.551655092589</v>
      </c>
      <c r="L35" s="20" t="s">
        <v>27</v>
      </c>
      <c r="M35" s="20" t="s">
        <v>28</v>
      </c>
      <c r="N35" s="55"/>
      <c r="O35" s="55"/>
      <c r="P35" s="55"/>
      <c r="Q35" s="58"/>
      <c r="R35" s="58"/>
      <c r="S35" s="58"/>
      <c r="T35" s="58"/>
      <c r="U35" s="58"/>
      <c r="V35" s="58"/>
      <c r="W35" s="58"/>
    </row>
    <row r="36" spans="1:23" s="23" customFormat="1" ht="25.5">
      <c r="A36" s="65">
        <v>32</v>
      </c>
      <c r="B36" s="38" t="s">
        <v>472</v>
      </c>
      <c r="C36" s="38" t="s">
        <v>428</v>
      </c>
      <c r="D36" s="25" t="s">
        <v>473</v>
      </c>
      <c r="E36" s="62">
        <v>44659.757893518516</v>
      </c>
      <c r="F36" s="63" t="s">
        <v>424</v>
      </c>
      <c r="G36" s="16"/>
      <c r="H36" s="20"/>
      <c r="I36" s="20" t="s">
        <v>26</v>
      </c>
      <c r="J36" s="20" t="s">
        <v>427</v>
      </c>
      <c r="K36" s="21">
        <v>44713</v>
      </c>
      <c r="L36" s="20" t="s">
        <v>20</v>
      </c>
      <c r="M36" s="20" t="s">
        <v>28</v>
      </c>
      <c r="N36" s="55"/>
      <c r="O36" s="55"/>
      <c r="P36" s="55"/>
      <c r="Q36" s="58"/>
      <c r="R36" s="58"/>
      <c r="S36" s="58"/>
      <c r="T36" s="58"/>
      <c r="U36" s="58"/>
      <c r="V36" s="58"/>
      <c r="W36" s="58"/>
    </row>
    <row r="37" spans="1:23" s="23" customFormat="1">
      <c r="A37" s="65">
        <v>33</v>
      </c>
      <c r="B37" s="38" t="s">
        <v>479</v>
      </c>
      <c r="C37" s="38" t="s">
        <v>428</v>
      </c>
      <c r="D37" s="25" t="s">
        <v>431</v>
      </c>
      <c r="E37" s="62">
        <v>44662.699062500003</v>
      </c>
      <c r="F37" s="63" t="s">
        <v>424</v>
      </c>
      <c r="G37" s="16"/>
      <c r="H37" s="20"/>
      <c r="I37" s="20" t="s">
        <v>26</v>
      </c>
      <c r="J37" s="20" t="s">
        <v>424</v>
      </c>
      <c r="K37" s="21">
        <v>44662.699120370373</v>
      </c>
      <c r="L37" s="20" t="s">
        <v>27</v>
      </c>
      <c r="M37" s="20" t="s">
        <v>28</v>
      </c>
      <c r="N37" s="55"/>
      <c r="O37" s="55"/>
      <c r="P37" s="55"/>
      <c r="Q37" s="58"/>
      <c r="R37" s="58"/>
      <c r="S37" s="58"/>
      <c r="T37" s="58"/>
      <c r="U37" s="58"/>
      <c r="V37" s="58"/>
      <c r="W37" s="58"/>
    </row>
    <row r="38" spans="1:23" s="23" customFormat="1">
      <c r="A38" s="65">
        <v>34</v>
      </c>
      <c r="B38" s="38" t="s">
        <v>482</v>
      </c>
      <c r="C38" s="38" t="s">
        <v>419</v>
      </c>
      <c r="D38" s="25" t="s">
        <v>431</v>
      </c>
      <c r="E38" s="62">
        <v>44662.701770833337</v>
      </c>
      <c r="F38" s="63" t="s">
        <v>424</v>
      </c>
      <c r="G38" s="16"/>
      <c r="H38" s="20"/>
      <c r="I38" s="20" t="s">
        <v>26</v>
      </c>
      <c r="J38" s="20" t="s">
        <v>424</v>
      </c>
      <c r="K38" s="21">
        <v>44662.702210648145</v>
      </c>
      <c r="L38" s="20" t="s">
        <v>27</v>
      </c>
      <c r="M38" s="20" t="s">
        <v>28</v>
      </c>
      <c r="N38" s="55"/>
      <c r="O38" s="55"/>
      <c r="P38" s="55"/>
      <c r="Q38" s="58"/>
      <c r="R38" s="58"/>
      <c r="S38" s="58"/>
      <c r="T38" s="58"/>
      <c r="U38" s="58"/>
      <c r="V38" s="58"/>
      <c r="W38" s="58"/>
    </row>
    <row r="39" spans="1:23" s="23" customFormat="1">
      <c r="A39" s="65">
        <v>35</v>
      </c>
      <c r="B39" s="38" t="s">
        <v>437</v>
      </c>
      <c r="C39" s="19" t="s">
        <v>433</v>
      </c>
      <c r="D39" s="25" t="s">
        <v>431</v>
      </c>
      <c r="E39" s="62">
        <v>44662.701851851853</v>
      </c>
      <c r="F39" s="63" t="s">
        <v>424</v>
      </c>
      <c r="G39" s="16"/>
      <c r="H39" s="20"/>
      <c r="I39" s="20" t="s">
        <v>26</v>
      </c>
      <c r="J39" s="20" t="s">
        <v>424</v>
      </c>
      <c r="K39" s="21">
        <v>44662.702256944445</v>
      </c>
      <c r="L39" s="20" t="s">
        <v>27</v>
      </c>
      <c r="M39" s="20" t="s">
        <v>28</v>
      </c>
      <c r="N39" s="55"/>
      <c r="O39" s="55"/>
      <c r="P39" s="55"/>
      <c r="Q39" s="58"/>
      <c r="R39" s="58"/>
      <c r="S39" s="58"/>
      <c r="T39" s="58"/>
      <c r="U39" s="58"/>
      <c r="V39" s="58"/>
      <c r="W39" s="58"/>
    </row>
    <row r="40" spans="1:23" s="23" customFormat="1">
      <c r="A40" s="65">
        <v>36</v>
      </c>
      <c r="B40" s="38" t="s">
        <v>484</v>
      </c>
      <c r="C40" s="19" t="s">
        <v>434</v>
      </c>
      <c r="D40" s="25" t="s">
        <v>431</v>
      </c>
      <c r="E40" s="62">
        <v>44662.701967592591</v>
      </c>
      <c r="F40" s="63" t="s">
        <v>424</v>
      </c>
      <c r="G40" s="16"/>
      <c r="H40" s="20"/>
      <c r="I40" s="20" t="s">
        <v>26</v>
      </c>
      <c r="J40" s="20" t="s">
        <v>424</v>
      </c>
      <c r="K40" s="21">
        <v>44662.702291666668</v>
      </c>
      <c r="L40" s="20" t="s">
        <v>27</v>
      </c>
      <c r="M40" s="20" t="s">
        <v>28</v>
      </c>
      <c r="N40" s="55"/>
      <c r="O40" s="55"/>
      <c r="P40" s="55"/>
      <c r="Q40" s="58"/>
      <c r="R40" s="58"/>
      <c r="S40" s="58"/>
      <c r="T40" s="58"/>
      <c r="U40" s="58"/>
      <c r="V40" s="58"/>
      <c r="W40" s="58"/>
    </row>
    <row r="41" spans="1:23" s="23" customFormat="1">
      <c r="A41" s="65">
        <v>38</v>
      </c>
      <c r="B41" s="38" t="s">
        <v>483</v>
      </c>
      <c r="C41" s="38" t="s">
        <v>415</v>
      </c>
      <c r="D41" s="25" t="s">
        <v>431</v>
      </c>
      <c r="E41" s="62">
        <v>44662.702002314814</v>
      </c>
      <c r="F41" s="63" t="s">
        <v>424</v>
      </c>
      <c r="G41" s="16"/>
      <c r="H41" s="20"/>
      <c r="I41" s="20" t="s">
        <v>26</v>
      </c>
      <c r="J41" s="20" t="s">
        <v>424</v>
      </c>
      <c r="K41" s="21">
        <v>44662.702337962961</v>
      </c>
      <c r="L41" s="20" t="s">
        <v>27</v>
      </c>
      <c r="M41" s="20" t="s">
        <v>28</v>
      </c>
      <c r="N41" s="55"/>
      <c r="O41" s="55"/>
      <c r="P41" s="55"/>
      <c r="Q41" s="58"/>
      <c r="R41" s="58"/>
      <c r="S41" s="58"/>
      <c r="T41" s="58"/>
      <c r="U41" s="58"/>
      <c r="V41" s="58"/>
      <c r="W41" s="58"/>
    </row>
    <row r="42" spans="1:23" s="23" customFormat="1">
      <c r="A42" s="65">
        <v>40</v>
      </c>
      <c r="B42" s="38" t="s">
        <v>437</v>
      </c>
      <c r="C42" s="19" t="s">
        <v>435</v>
      </c>
      <c r="D42" s="25" t="s">
        <v>431</v>
      </c>
      <c r="E42" s="62">
        <v>44664.634027777778</v>
      </c>
      <c r="F42" s="63" t="s">
        <v>424</v>
      </c>
      <c r="G42" s="16"/>
      <c r="H42" s="20"/>
      <c r="I42" s="20" t="s">
        <v>26</v>
      </c>
      <c r="J42" s="20" t="s">
        <v>424</v>
      </c>
      <c r="K42" s="21">
        <v>44664.702337962961</v>
      </c>
      <c r="L42" s="20" t="s">
        <v>27</v>
      </c>
      <c r="M42" s="20" t="s">
        <v>28</v>
      </c>
      <c r="N42" s="55"/>
      <c r="O42" s="55"/>
      <c r="P42" s="55"/>
      <c r="Q42" s="58"/>
      <c r="R42" s="58"/>
      <c r="S42" s="58"/>
      <c r="T42" s="58"/>
      <c r="U42" s="58"/>
      <c r="V42" s="58"/>
      <c r="W42" s="58"/>
    </row>
    <row r="43" spans="1:23" s="23" customFormat="1" ht="25.5">
      <c r="A43" s="65">
        <v>41</v>
      </c>
      <c r="B43" s="38" t="s">
        <v>492</v>
      </c>
      <c r="C43" s="38" t="s">
        <v>428</v>
      </c>
      <c r="D43" s="16" t="s">
        <v>493</v>
      </c>
      <c r="E43" s="62">
        <v>44728.607523148145</v>
      </c>
      <c r="F43" s="63" t="s">
        <v>457</v>
      </c>
      <c r="G43" s="16" t="s">
        <v>501</v>
      </c>
      <c r="H43" s="20"/>
      <c r="I43" s="20" t="s">
        <v>26</v>
      </c>
      <c r="J43" s="20" t="s">
        <v>500</v>
      </c>
      <c r="K43" s="21">
        <v>44729.581296296295</v>
      </c>
      <c r="L43" s="20" t="s">
        <v>20</v>
      </c>
      <c r="M43" s="20" t="s">
        <v>28</v>
      </c>
      <c r="N43" s="55"/>
      <c r="O43" s="55"/>
      <c r="P43" s="55"/>
      <c r="Q43" s="58"/>
      <c r="R43" s="58"/>
      <c r="S43" s="58"/>
      <c r="T43" s="58"/>
      <c r="U43" s="58"/>
      <c r="V43" s="58"/>
      <c r="W43" s="58"/>
    </row>
    <row r="44" spans="1:23" s="23" customFormat="1">
      <c r="A44" s="65">
        <v>42</v>
      </c>
      <c r="B44" s="38" t="s">
        <v>492</v>
      </c>
      <c r="C44" s="38" t="s">
        <v>428</v>
      </c>
      <c r="D44" s="16" t="s">
        <v>494</v>
      </c>
      <c r="E44" s="62">
        <v>44728.607708333337</v>
      </c>
      <c r="F44" s="63" t="s">
        <v>457</v>
      </c>
      <c r="G44" s="16" t="s">
        <v>501</v>
      </c>
      <c r="H44" s="20"/>
      <c r="I44" s="20" t="s">
        <v>26</v>
      </c>
      <c r="J44" s="20" t="s">
        <v>500</v>
      </c>
      <c r="K44" s="21">
        <v>44729.581342592595</v>
      </c>
      <c r="L44" s="20" t="s">
        <v>20</v>
      </c>
      <c r="M44" s="20" t="s">
        <v>28</v>
      </c>
      <c r="N44" s="55"/>
      <c r="O44" s="55"/>
      <c r="P44" s="55"/>
      <c r="Q44" s="58"/>
      <c r="R44" s="58"/>
      <c r="S44" s="58"/>
      <c r="T44" s="58"/>
      <c r="U44" s="58"/>
      <c r="V44" s="58"/>
      <c r="W44" s="58"/>
    </row>
    <row r="45" spans="1:23" s="23" customFormat="1" ht="25.5">
      <c r="A45" s="65">
        <v>43</v>
      </c>
      <c r="B45" s="38" t="s">
        <v>492</v>
      </c>
      <c r="C45" s="38" t="s">
        <v>428</v>
      </c>
      <c r="D45" s="16" t="s">
        <v>495</v>
      </c>
      <c r="E45" s="62">
        <v>44728.608854166669</v>
      </c>
      <c r="F45" s="63" t="s">
        <v>457</v>
      </c>
      <c r="G45" s="16" t="s">
        <v>502</v>
      </c>
      <c r="H45" s="20"/>
      <c r="I45" s="20" t="s">
        <v>26</v>
      </c>
      <c r="J45" s="20" t="s">
        <v>500</v>
      </c>
      <c r="K45" s="21">
        <v>44729.593344907407</v>
      </c>
      <c r="L45" s="20" t="s">
        <v>20</v>
      </c>
      <c r="M45" s="20" t="s">
        <v>28</v>
      </c>
      <c r="N45" s="55"/>
      <c r="O45" s="55"/>
      <c r="P45" s="55"/>
      <c r="Q45" s="58"/>
      <c r="R45" s="58"/>
      <c r="S45" s="58"/>
      <c r="T45" s="58"/>
      <c r="U45" s="58"/>
      <c r="V45" s="58"/>
      <c r="W45" s="58"/>
    </row>
    <row r="46" spans="1:23" s="23" customFormat="1">
      <c r="A46" s="65">
        <v>44</v>
      </c>
      <c r="B46" s="38" t="s">
        <v>492</v>
      </c>
      <c r="C46" s="38" t="s">
        <v>428</v>
      </c>
      <c r="D46" s="16" t="s">
        <v>496</v>
      </c>
      <c r="E46" s="62">
        <v>44728.609097222223</v>
      </c>
      <c r="F46" s="63" t="s">
        <v>457</v>
      </c>
      <c r="G46" s="16" t="s">
        <v>501</v>
      </c>
      <c r="H46" s="20"/>
      <c r="I46" s="20" t="s">
        <v>26</v>
      </c>
      <c r="J46" s="20" t="s">
        <v>500</v>
      </c>
      <c r="K46" s="21">
        <v>44729.581400462965</v>
      </c>
      <c r="L46" s="20" t="s">
        <v>20</v>
      </c>
      <c r="M46" s="20" t="s">
        <v>28</v>
      </c>
      <c r="N46" s="55"/>
      <c r="O46" s="55"/>
      <c r="P46" s="55"/>
      <c r="Q46" s="58"/>
      <c r="R46" s="58"/>
      <c r="S46" s="58"/>
      <c r="T46" s="58"/>
      <c r="U46" s="58"/>
      <c r="V46" s="58"/>
      <c r="W46" s="58"/>
    </row>
    <row r="47" spans="1:23" s="23" customFormat="1" ht="25.5">
      <c r="A47" s="65">
        <v>45</v>
      </c>
      <c r="B47" s="38" t="s">
        <v>492</v>
      </c>
      <c r="C47" s="38" t="s">
        <v>428</v>
      </c>
      <c r="D47" s="16" t="s">
        <v>497</v>
      </c>
      <c r="E47" s="62">
        <v>44728.616527777776</v>
      </c>
      <c r="F47" s="63" t="s">
        <v>457</v>
      </c>
      <c r="G47" s="16" t="s">
        <v>504</v>
      </c>
      <c r="H47" s="20"/>
      <c r="I47" s="20" t="s">
        <v>26</v>
      </c>
      <c r="J47" s="20" t="s">
        <v>500</v>
      </c>
      <c r="K47" s="21">
        <v>44729.693842592591</v>
      </c>
      <c r="L47" s="20" t="s">
        <v>20</v>
      </c>
      <c r="M47" s="20" t="s">
        <v>28</v>
      </c>
      <c r="N47" s="55"/>
      <c r="O47" s="55"/>
      <c r="P47" s="55"/>
      <c r="Q47" s="58"/>
      <c r="R47" s="58"/>
      <c r="S47" s="58"/>
      <c r="T47" s="58"/>
      <c r="U47" s="58"/>
      <c r="V47" s="58"/>
      <c r="W47" s="58"/>
    </row>
    <row r="48" spans="1:23" s="23" customFormat="1" ht="38.25">
      <c r="A48" s="65">
        <v>46</v>
      </c>
      <c r="B48" s="38" t="s">
        <v>492</v>
      </c>
      <c r="C48" s="38" t="s">
        <v>428</v>
      </c>
      <c r="D48" s="16" t="s">
        <v>499</v>
      </c>
      <c r="E48" s="62">
        <v>44728.651064814818</v>
      </c>
      <c r="F48" s="63" t="s">
        <v>457</v>
      </c>
      <c r="G48" s="16" t="s">
        <v>503</v>
      </c>
      <c r="H48" s="20"/>
      <c r="I48" s="20" t="s">
        <v>26</v>
      </c>
      <c r="J48" s="20" t="s">
        <v>500</v>
      </c>
      <c r="K48" s="21">
        <v>44729.581793981481</v>
      </c>
      <c r="L48" s="20" t="s">
        <v>20</v>
      </c>
      <c r="M48" s="20" t="s">
        <v>28</v>
      </c>
      <c r="N48" s="55"/>
      <c r="O48" s="55"/>
      <c r="P48" s="55"/>
      <c r="Q48" s="58"/>
      <c r="R48" s="58"/>
      <c r="S48" s="58"/>
      <c r="T48" s="58"/>
      <c r="U48" s="58"/>
      <c r="V48" s="58"/>
      <c r="W48" s="58"/>
    </row>
    <row r="49" spans="1:23" s="23" customFormat="1">
      <c r="A49" s="65">
        <v>47</v>
      </c>
      <c r="B49" s="38" t="s">
        <v>506</v>
      </c>
      <c r="C49" s="38" t="s">
        <v>428</v>
      </c>
      <c r="D49" s="25" t="s">
        <v>507</v>
      </c>
      <c r="E49" s="62">
        <v>44733</v>
      </c>
      <c r="F49" s="63" t="s">
        <v>457</v>
      </c>
      <c r="G49" s="16"/>
      <c r="H49" s="20"/>
      <c r="I49" s="20" t="s">
        <v>26</v>
      </c>
      <c r="J49" s="63" t="s">
        <v>457</v>
      </c>
      <c r="K49" s="62">
        <v>44733</v>
      </c>
      <c r="L49" s="20" t="s">
        <v>27</v>
      </c>
      <c r="M49" s="20" t="s">
        <v>28</v>
      </c>
      <c r="N49" s="55"/>
      <c r="O49" s="55"/>
      <c r="P49" s="55"/>
      <c r="Q49" s="58"/>
      <c r="R49" s="58"/>
      <c r="S49" s="58"/>
      <c r="T49" s="58"/>
      <c r="U49" s="58"/>
      <c r="V49" s="58"/>
      <c r="W49" s="58"/>
    </row>
    <row r="50" spans="1:23" s="23" customFormat="1" ht="38.25">
      <c r="A50" s="65">
        <v>48</v>
      </c>
      <c r="B50" s="38" t="s">
        <v>510</v>
      </c>
      <c r="C50" s="38" t="s">
        <v>419</v>
      </c>
      <c r="D50" s="25" t="s">
        <v>509</v>
      </c>
      <c r="E50" s="62">
        <v>44735.425856481481</v>
      </c>
      <c r="F50" s="63" t="s">
        <v>427</v>
      </c>
      <c r="G50" s="16"/>
      <c r="H50" s="20"/>
      <c r="I50" s="20" t="s">
        <v>26</v>
      </c>
      <c r="J50" s="20" t="s">
        <v>457</v>
      </c>
      <c r="K50" s="21">
        <v>44977.469467592593</v>
      </c>
      <c r="L50" s="20" t="s">
        <v>27</v>
      </c>
      <c r="M50" s="20" t="s">
        <v>28</v>
      </c>
      <c r="N50" s="55"/>
      <c r="O50" s="55"/>
      <c r="P50" s="55"/>
      <c r="Q50" s="58"/>
      <c r="R50" s="58"/>
      <c r="S50" s="58"/>
      <c r="T50" s="58"/>
      <c r="U50" s="58"/>
      <c r="V50" s="58"/>
      <c r="W50" s="58"/>
    </row>
    <row r="51" spans="1:23" s="23" customFormat="1">
      <c r="A51" s="65">
        <v>49</v>
      </c>
      <c r="B51" s="19">
        <v>1.5</v>
      </c>
      <c r="C51" s="19" t="s">
        <v>462</v>
      </c>
      <c r="D51" s="25" t="s">
        <v>431</v>
      </c>
      <c r="E51" s="62">
        <v>44736.389618055553</v>
      </c>
      <c r="F51" s="50" t="s">
        <v>448</v>
      </c>
      <c r="G51" s="16"/>
      <c r="H51" s="20"/>
      <c r="I51" s="20" t="s">
        <v>26</v>
      </c>
      <c r="J51" s="50" t="s">
        <v>448</v>
      </c>
      <c r="K51" s="62">
        <v>44736.389618055553</v>
      </c>
      <c r="L51" s="20" t="s">
        <v>27</v>
      </c>
      <c r="M51" s="20" t="s">
        <v>28</v>
      </c>
      <c r="N51" s="55"/>
      <c r="O51" s="55"/>
      <c r="P51" s="55"/>
      <c r="Q51" s="58"/>
      <c r="R51" s="58"/>
      <c r="S51" s="58"/>
      <c r="T51" s="58"/>
      <c r="U51" s="58"/>
      <c r="V51" s="58"/>
      <c r="W51" s="58"/>
    </row>
    <row r="52" spans="1:23" s="23" customFormat="1">
      <c r="A52" s="65">
        <v>50</v>
      </c>
      <c r="B52" s="19">
        <v>1.4</v>
      </c>
      <c r="C52" s="38" t="s">
        <v>450</v>
      </c>
      <c r="D52" s="25" t="s">
        <v>431</v>
      </c>
      <c r="E52" s="62">
        <v>44741.346782407411</v>
      </c>
      <c r="F52" s="50" t="s">
        <v>457</v>
      </c>
      <c r="G52" s="16"/>
      <c r="H52" s="20"/>
      <c r="I52" s="20" t="s">
        <v>26</v>
      </c>
      <c r="J52" s="50" t="s">
        <v>457</v>
      </c>
      <c r="K52" s="21">
        <v>44741.347025462965</v>
      </c>
      <c r="L52" s="20" t="s">
        <v>27</v>
      </c>
      <c r="M52" s="20" t="s">
        <v>28</v>
      </c>
      <c r="N52" s="55"/>
      <c r="O52" s="55"/>
      <c r="P52" s="55"/>
      <c r="Q52" s="58"/>
      <c r="R52" s="58"/>
      <c r="S52" s="58"/>
      <c r="T52" s="58"/>
      <c r="U52" s="58"/>
      <c r="V52" s="58"/>
      <c r="W52" s="58"/>
    </row>
    <row r="53" spans="1:23" s="23" customFormat="1" ht="25.5">
      <c r="A53" s="65">
        <v>51</v>
      </c>
      <c r="B53" s="38" t="s">
        <v>521</v>
      </c>
      <c r="C53" s="38" t="s">
        <v>428</v>
      </c>
      <c r="D53" s="25" t="s">
        <v>522</v>
      </c>
      <c r="E53" s="62">
        <v>44811.455509259256</v>
      </c>
      <c r="F53" s="63" t="s">
        <v>457</v>
      </c>
      <c r="G53" s="16"/>
      <c r="H53" s="20"/>
      <c r="I53" s="20" t="s">
        <v>26</v>
      </c>
      <c r="J53" s="20" t="s">
        <v>531</v>
      </c>
      <c r="K53" s="21">
        <v>44782</v>
      </c>
      <c r="L53" s="20" t="s">
        <v>20</v>
      </c>
      <c r="M53" s="20" t="s">
        <v>28</v>
      </c>
      <c r="N53" s="55"/>
      <c r="O53" s="55"/>
      <c r="P53" s="55"/>
      <c r="Q53" s="58"/>
      <c r="R53" s="58"/>
      <c r="S53" s="58"/>
      <c r="T53" s="58"/>
      <c r="U53" s="58"/>
      <c r="V53" s="58"/>
      <c r="W53" s="58"/>
    </row>
    <row r="54" spans="1:23" s="23" customFormat="1">
      <c r="A54" s="65">
        <v>52</v>
      </c>
      <c r="B54" s="38" t="s">
        <v>521</v>
      </c>
      <c r="C54" s="38" t="s">
        <v>428</v>
      </c>
      <c r="D54" s="25" t="s">
        <v>523</v>
      </c>
      <c r="E54" s="62">
        <v>44811.456585648149</v>
      </c>
      <c r="F54" s="63" t="s">
        <v>457</v>
      </c>
      <c r="G54" s="16"/>
      <c r="H54" s="20"/>
      <c r="I54" s="20" t="s">
        <v>26</v>
      </c>
      <c r="J54" s="20" t="s">
        <v>531</v>
      </c>
      <c r="K54" s="21">
        <v>44782</v>
      </c>
      <c r="L54" s="20" t="s">
        <v>20</v>
      </c>
      <c r="M54" s="20" t="s">
        <v>28</v>
      </c>
      <c r="N54" s="55"/>
      <c r="O54" s="55"/>
      <c r="P54" s="55"/>
      <c r="Q54" s="58"/>
      <c r="R54" s="58"/>
      <c r="S54" s="58"/>
      <c r="T54" s="58"/>
      <c r="U54" s="58"/>
      <c r="V54" s="58"/>
      <c r="W54" s="58"/>
    </row>
    <row r="55" spans="1:23" s="23" customFormat="1" ht="25.5">
      <c r="A55" s="65">
        <v>53</v>
      </c>
      <c r="B55" s="38" t="s">
        <v>521</v>
      </c>
      <c r="C55" s="38" t="s">
        <v>428</v>
      </c>
      <c r="D55" s="25" t="s">
        <v>524</v>
      </c>
      <c r="E55" s="62">
        <v>44811.457025462965</v>
      </c>
      <c r="F55" s="63" t="s">
        <v>457</v>
      </c>
      <c r="G55" s="16"/>
      <c r="H55" s="20"/>
      <c r="I55" s="20" t="s">
        <v>26</v>
      </c>
      <c r="J55" s="20" t="s">
        <v>531</v>
      </c>
      <c r="K55" s="21">
        <v>44782</v>
      </c>
      <c r="L55" s="20" t="s">
        <v>20</v>
      </c>
      <c r="M55" s="20" t="s">
        <v>28</v>
      </c>
      <c r="N55" s="55"/>
      <c r="O55" s="55"/>
      <c r="P55" s="55"/>
      <c r="Q55" s="58"/>
      <c r="R55" s="58"/>
      <c r="S55" s="58"/>
      <c r="T55" s="58"/>
      <c r="U55" s="58"/>
      <c r="V55" s="58"/>
      <c r="W55" s="58"/>
    </row>
    <row r="56" spans="1:23" s="23" customFormat="1" ht="102">
      <c r="A56" s="65">
        <v>54</v>
      </c>
      <c r="B56" s="38" t="s">
        <v>521</v>
      </c>
      <c r="C56" s="38" t="s">
        <v>428</v>
      </c>
      <c r="D56" s="25" t="s">
        <v>525</v>
      </c>
      <c r="E56" s="62">
        <v>44811.462835648148</v>
      </c>
      <c r="F56" s="63" t="s">
        <v>457</v>
      </c>
      <c r="G56" s="16"/>
      <c r="H56" s="20"/>
      <c r="I56" s="20" t="s">
        <v>26</v>
      </c>
      <c r="J56" s="20" t="s">
        <v>531</v>
      </c>
      <c r="K56" s="21">
        <v>44782</v>
      </c>
      <c r="L56" s="20" t="s">
        <v>20</v>
      </c>
      <c r="M56" s="20" t="s">
        <v>28</v>
      </c>
      <c r="N56" s="55"/>
      <c r="O56" s="55"/>
      <c r="P56" s="55"/>
      <c r="Q56" s="58"/>
      <c r="R56" s="58"/>
      <c r="S56" s="58"/>
      <c r="T56" s="58"/>
      <c r="U56" s="58"/>
      <c r="V56" s="58"/>
      <c r="W56" s="58"/>
    </row>
    <row r="57" spans="1:23" s="23" customFormat="1" ht="15">
      <c r="A57" s="65">
        <v>55</v>
      </c>
      <c r="B57" s="38" t="s">
        <v>521</v>
      </c>
      <c r="C57" s="38" t="s">
        <v>428</v>
      </c>
      <c r="D57" s="25" t="s">
        <v>526</v>
      </c>
      <c r="E57" s="62">
        <v>44811.467037037037</v>
      </c>
      <c r="F57" s="63" t="s">
        <v>457</v>
      </c>
      <c r="G57" s="16"/>
      <c r="H57" s="240">
        <v>816137</v>
      </c>
      <c r="I57" s="20" t="s">
        <v>26</v>
      </c>
      <c r="J57" s="20" t="s">
        <v>457</v>
      </c>
      <c r="K57" s="21">
        <v>44977.466435185182</v>
      </c>
      <c r="L57" s="20" t="s">
        <v>20</v>
      </c>
      <c r="M57" s="20" t="s">
        <v>28</v>
      </c>
      <c r="N57" s="55"/>
      <c r="O57" s="55"/>
      <c r="P57" s="55"/>
      <c r="Q57" s="58"/>
      <c r="R57" s="58"/>
      <c r="S57" s="58"/>
      <c r="T57" s="58"/>
      <c r="U57" s="58"/>
      <c r="V57" s="58"/>
      <c r="W57" s="58"/>
    </row>
    <row r="58" spans="1:23" s="23" customFormat="1" ht="38.25">
      <c r="A58" s="65">
        <v>56</v>
      </c>
      <c r="B58" s="38" t="s">
        <v>521</v>
      </c>
      <c r="C58" s="38" t="s">
        <v>428</v>
      </c>
      <c r="D58" s="25" t="s">
        <v>527</v>
      </c>
      <c r="E58" s="62">
        <v>44811.467627314814</v>
      </c>
      <c r="F58" s="63" t="s">
        <v>457</v>
      </c>
      <c r="G58" s="16"/>
      <c r="H58" s="20"/>
      <c r="I58" s="20" t="s">
        <v>26</v>
      </c>
      <c r="J58" s="20" t="s">
        <v>531</v>
      </c>
      <c r="K58" s="21">
        <v>44782</v>
      </c>
      <c r="L58" s="20" t="s">
        <v>20</v>
      </c>
      <c r="M58" s="20" t="s">
        <v>28</v>
      </c>
      <c r="N58" s="55"/>
      <c r="O58" s="55"/>
      <c r="P58" s="55"/>
      <c r="Q58" s="58"/>
      <c r="R58" s="58"/>
      <c r="S58" s="58"/>
      <c r="T58" s="58"/>
      <c r="U58" s="58"/>
      <c r="V58" s="58"/>
      <c r="W58" s="58"/>
    </row>
    <row r="59" spans="1:23" s="23" customFormat="1" ht="63.75">
      <c r="A59" s="65">
        <v>57</v>
      </c>
      <c r="B59" s="38" t="s">
        <v>521</v>
      </c>
      <c r="C59" s="38" t="s">
        <v>428</v>
      </c>
      <c r="D59" s="25" t="s">
        <v>528</v>
      </c>
      <c r="E59" s="62">
        <v>44811.468425925923</v>
      </c>
      <c r="F59" s="63" t="s">
        <v>457</v>
      </c>
      <c r="G59" s="16"/>
      <c r="H59" s="20"/>
      <c r="I59" s="20" t="s">
        <v>26</v>
      </c>
      <c r="J59" s="20" t="s">
        <v>531</v>
      </c>
      <c r="K59" s="21">
        <v>44782</v>
      </c>
      <c r="L59" s="20" t="s">
        <v>20</v>
      </c>
      <c r="M59" s="20" t="s">
        <v>28</v>
      </c>
      <c r="N59" s="55"/>
      <c r="O59" s="55"/>
      <c r="P59" s="55"/>
      <c r="Q59" s="58"/>
      <c r="R59" s="58"/>
      <c r="S59" s="58"/>
      <c r="T59" s="58"/>
      <c r="U59" s="58"/>
      <c r="V59" s="58"/>
      <c r="W59" s="58"/>
    </row>
    <row r="60" spans="1:23" s="23" customFormat="1">
      <c r="A60" s="65">
        <v>58</v>
      </c>
      <c r="B60" s="38" t="s">
        <v>521</v>
      </c>
      <c r="C60" s="38" t="s">
        <v>428</v>
      </c>
      <c r="D60" s="25" t="s">
        <v>529</v>
      </c>
      <c r="E60" s="62">
        <v>44811.469861111109</v>
      </c>
      <c r="F60" s="63" t="s">
        <v>457</v>
      </c>
      <c r="G60" s="16"/>
      <c r="H60" s="20"/>
      <c r="I60" s="20" t="s">
        <v>26</v>
      </c>
      <c r="J60" s="20" t="s">
        <v>531</v>
      </c>
      <c r="K60" s="21">
        <v>44782</v>
      </c>
      <c r="L60" s="20" t="s">
        <v>20</v>
      </c>
      <c r="M60" s="20" t="s">
        <v>28</v>
      </c>
      <c r="N60" s="55"/>
      <c r="O60" s="55"/>
      <c r="P60" s="55"/>
      <c r="Q60" s="58"/>
      <c r="R60" s="58"/>
      <c r="S60" s="58"/>
      <c r="T60" s="58"/>
      <c r="U60" s="58"/>
      <c r="V60" s="58"/>
      <c r="W60" s="58"/>
    </row>
    <row r="61" spans="1:23" s="23" customFormat="1">
      <c r="A61" s="65">
        <v>59</v>
      </c>
      <c r="B61" s="38">
        <v>1.4</v>
      </c>
      <c r="C61" s="38" t="s">
        <v>450</v>
      </c>
      <c r="D61" s="25" t="s">
        <v>431</v>
      </c>
      <c r="E61" s="62">
        <v>44813.777453703704</v>
      </c>
      <c r="F61" s="50" t="s">
        <v>535</v>
      </c>
      <c r="G61" s="16"/>
      <c r="H61" s="20"/>
      <c r="I61" s="20" t="s">
        <v>26</v>
      </c>
      <c r="J61" s="72" t="s">
        <v>535</v>
      </c>
      <c r="K61" s="21">
        <v>44813.777754629627</v>
      </c>
      <c r="L61" s="72" t="s">
        <v>27</v>
      </c>
      <c r="M61" s="72" t="s">
        <v>28</v>
      </c>
      <c r="N61" s="55"/>
      <c r="O61" s="55"/>
      <c r="P61" s="55"/>
      <c r="Q61" s="58"/>
      <c r="R61" s="58"/>
      <c r="S61" s="58"/>
      <c r="T61" s="58"/>
      <c r="U61" s="58"/>
      <c r="V61" s="58"/>
      <c r="W61" s="58"/>
    </row>
    <row r="62" spans="1:23" s="23" customFormat="1" ht="15">
      <c r="A62" s="65">
        <v>60</v>
      </c>
      <c r="B62" s="19">
        <v>1.7</v>
      </c>
      <c r="C62" s="207" t="s">
        <v>536</v>
      </c>
      <c r="D62" s="25" t="s">
        <v>431</v>
      </c>
      <c r="E62" s="62">
        <v>44816</v>
      </c>
      <c r="F62" s="50" t="s">
        <v>535</v>
      </c>
      <c r="G62" s="16"/>
      <c r="H62" s="20"/>
      <c r="I62" s="20" t="s">
        <v>26</v>
      </c>
      <c r="J62" s="72" t="s">
        <v>535</v>
      </c>
      <c r="K62" s="21">
        <v>44816</v>
      </c>
      <c r="L62" s="72" t="s">
        <v>27</v>
      </c>
      <c r="M62" s="72" t="s">
        <v>28</v>
      </c>
      <c r="N62" s="55"/>
      <c r="O62" s="55"/>
      <c r="P62" s="55"/>
      <c r="Q62" s="58"/>
      <c r="R62" s="58"/>
      <c r="S62" s="58"/>
      <c r="T62" s="58"/>
      <c r="U62" s="58"/>
      <c r="V62" s="58"/>
      <c r="W62" s="58"/>
    </row>
    <row r="63" spans="1:23" s="23" customFormat="1">
      <c r="A63" s="65">
        <v>61</v>
      </c>
      <c r="B63" s="38" t="s">
        <v>540</v>
      </c>
      <c r="C63" s="38" t="s">
        <v>415</v>
      </c>
      <c r="D63" s="25" t="s">
        <v>543</v>
      </c>
      <c r="E63" s="62">
        <v>44816.68173611111</v>
      </c>
      <c r="F63" s="63" t="s">
        <v>457</v>
      </c>
      <c r="G63" s="16"/>
      <c r="H63" s="20">
        <v>814601</v>
      </c>
      <c r="I63" s="20" t="s">
        <v>26</v>
      </c>
      <c r="J63" s="20" t="s">
        <v>500</v>
      </c>
      <c r="K63" s="20">
        <v>814601</v>
      </c>
      <c r="L63" s="20" t="s">
        <v>21</v>
      </c>
      <c r="M63" s="20" t="s">
        <v>28</v>
      </c>
      <c r="N63" s="55"/>
      <c r="O63" s="55"/>
      <c r="P63" s="55"/>
      <c r="Q63" s="58"/>
      <c r="R63" s="58"/>
      <c r="S63" s="58"/>
      <c r="T63" s="58"/>
      <c r="U63" s="58"/>
      <c r="V63" s="58"/>
      <c r="W63" s="58"/>
    </row>
    <row r="64" spans="1:23" s="23" customFormat="1">
      <c r="A64" s="65">
        <v>62</v>
      </c>
      <c r="B64" s="38" t="s">
        <v>539</v>
      </c>
      <c r="C64" s="38" t="s">
        <v>419</v>
      </c>
      <c r="D64" s="25" t="s">
        <v>543</v>
      </c>
      <c r="E64" s="62">
        <v>44816.681747685187</v>
      </c>
      <c r="F64" s="63" t="s">
        <v>457</v>
      </c>
      <c r="G64" s="16"/>
      <c r="H64" s="20">
        <v>814601</v>
      </c>
      <c r="I64" s="20" t="s">
        <v>26</v>
      </c>
      <c r="J64" s="20" t="s">
        <v>500</v>
      </c>
      <c r="K64" s="20">
        <v>814601</v>
      </c>
      <c r="L64" s="20" t="s">
        <v>21</v>
      </c>
      <c r="M64" s="20" t="s">
        <v>28</v>
      </c>
      <c r="N64" s="55"/>
      <c r="O64" s="55"/>
      <c r="P64" s="55"/>
      <c r="Q64" s="58"/>
      <c r="R64" s="58"/>
      <c r="S64" s="58"/>
      <c r="T64" s="58"/>
      <c r="U64" s="58"/>
      <c r="V64" s="58"/>
      <c r="W64" s="58"/>
    </row>
    <row r="65" spans="1:23" s="23" customFormat="1" ht="38.25">
      <c r="A65" s="65">
        <v>63</v>
      </c>
      <c r="B65" s="38" t="s">
        <v>540</v>
      </c>
      <c r="C65" s="38" t="s">
        <v>415</v>
      </c>
      <c r="D65" s="16" t="s">
        <v>544</v>
      </c>
      <c r="E65" s="62">
        <v>44816.698055555556</v>
      </c>
      <c r="F65" s="63" t="s">
        <v>457</v>
      </c>
      <c r="G65" s="16"/>
      <c r="H65" s="20">
        <v>814601</v>
      </c>
      <c r="I65" s="20" t="s">
        <v>26</v>
      </c>
      <c r="J65" s="20" t="s">
        <v>500</v>
      </c>
      <c r="K65" s="20">
        <v>814601</v>
      </c>
      <c r="L65" s="20" t="s">
        <v>21</v>
      </c>
      <c r="M65" s="20" t="s">
        <v>28</v>
      </c>
      <c r="N65" s="55"/>
      <c r="O65" s="55"/>
      <c r="P65" s="55"/>
      <c r="Q65" s="58"/>
      <c r="R65" s="58"/>
      <c r="S65" s="58"/>
      <c r="T65" s="58"/>
      <c r="U65" s="58"/>
      <c r="V65" s="58"/>
      <c r="W65" s="58"/>
    </row>
    <row r="66" spans="1:23" s="23" customFormat="1" ht="51">
      <c r="A66" s="65">
        <v>64</v>
      </c>
      <c r="B66" s="38" t="s">
        <v>540</v>
      </c>
      <c r="C66" s="38" t="s">
        <v>415</v>
      </c>
      <c r="D66" s="16" t="s">
        <v>545</v>
      </c>
      <c r="E66" s="62">
        <v>44816.698275462964</v>
      </c>
      <c r="F66" s="63" t="s">
        <v>457</v>
      </c>
      <c r="G66" s="16"/>
      <c r="H66" s="20">
        <v>814601</v>
      </c>
      <c r="I66" s="20" t="s">
        <v>26</v>
      </c>
      <c r="J66" s="20" t="s">
        <v>500</v>
      </c>
      <c r="K66" s="20">
        <v>814601</v>
      </c>
      <c r="L66" s="20" t="s">
        <v>21</v>
      </c>
      <c r="M66" s="20" t="s">
        <v>28</v>
      </c>
      <c r="N66" s="55"/>
      <c r="O66" s="55"/>
      <c r="P66" s="55"/>
      <c r="Q66" s="58"/>
      <c r="R66" s="58"/>
      <c r="S66" s="58"/>
      <c r="T66" s="58"/>
      <c r="U66" s="58"/>
      <c r="V66" s="58"/>
      <c r="W66" s="58"/>
    </row>
    <row r="67" spans="1:23" s="23" customFormat="1" ht="38.25">
      <c r="A67" s="65">
        <v>65</v>
      </c>
      <c r="B67" s="38" t="s">
        <v>540</v>
      </c>
      <c r="C67" s="38" t="s">
        <v>415</v>
      </c>
      <c r="D67" s="16" t="s">
        <v>546</v>
      </c>
      <c r="E67" s="62">
        <v>44816.699131944442</v>
      </c>
      <c r="F67" s="63" t="s">
        <v>457</v>
      </c>
      <c r="G67" s="16"/>
      <c r="H67" s="20">
        <v>814601</v>
      </c>
      <c r="I67" s="20" t="s">
        <v>26</v>
      </c>
      <c r="J67" s="20" t="s">
        <v>500</v>
      </c>
      <c r="K67" s="20">
        <v>814601</v>
      </c>
      <c r="L67" s="20" t="s">
        <v>21</v>
      </c>
      <c r="M67" s="20" t="s">
        <v>28</v>
      </c>
      <c r="N67" s="55"/>
      <c r="O67" s="55"/>
      <c r="P67" s="55"/>
      <c r="Q67" s="58"/>
      <c r="R67" s="58"/>
      <c r="S67" s="58"/>
      <c r="T67" s="58"/>
      <c r="U67" s="58"/>
      <c r="V67" s="58"/>
      <c r="W67" s="58"/>
    </row>
    <row r="68" spans="1:23" s="23" customFormat="1" ht="25.5">
      <c r="A68" s="65">
        <v>66</v>
      </c>
      <c r="B68" s="38" t="s">
        <v>539</v>
      </c>
      <c r="C68" s="38" t="s">
        <v>419</v>
      </c>
      <c r="D68" s="16" t="s">
        <v>547</v>
      </c>
      <c r="E68" s="62">
        <v>44816.700486111113</v>
      </c>
      <c r="F68" s="63" t="s">
        <v>457</v>
      </c>
      <c r="G68" s="16"/>
      <c r="H68" s="20">
        <v>814601</v>
      </c>
      <c r="I68" s="20" t="s">
        <v>26</v>
      </c>
      <c r="J68" s="20" t="s">
        <v>500</v>
      </c>
      <c r="K68" s="20">
        <v>814601</v>
      </c>
      <c r="L68" s="20" t="s">
        <v>21</v>
      </c>
      <c r="M68" s="20" t="s">
        <v>28</v>
      </c>
      <c r="N68" s="55"/>
      <c r="O68" s="55"/>
      <c r="P68" s="55"/>
      <c r="Q68" s="58"/>
      <c r="R68" s="58"/>
      <c r="S68" s="58"/>
      <c r="T68" s="58"/>
      <c r="U68" s="58"/>
      <c r="V68" s="58"/>
      <c r="W68" s="58"/>
    </row>
    <row r="69" spans="1:23" s="23" customFormat="1">
      <c r="A69" s="65">
        <v>67</v>
      </c>
      <c r="B69" s="19">
        <v>1.1000000000000001</v>
      </c>
      <c r="C69" s="38" t="s">
        <v>548</v>
      </c>
      <c r="D69" s="25" t="s">
        <v>431</v>
      </c>
      <c r="E69" s="62">
        <v>44908.324861111112</v>
      </c>
      <c r="F69" s="63" t="s">
        <v>463</v>
      </c>
      <c r="G69" s="16"/>
      <c r="H69" s="20"/>
      <c r="I69" s="20" t="s">
        <v>26</v>
      </c>
      <c r="J69" s="72" t="s">
        <v>535</v>
      </c>
      <c r="K69" s="21">
        <v>44908.324907407405</v>
      </c>
      <c r="L69" s="20" t="s">
        <v>27</v>
      </c>
      <c r="M69" s="20" t="s">
        <v>28</v>
      </c>
      <c r="N69" s="55"/>
      <c r="O69" s="55"/>
      <c r="P69" s="55"/>
      <c r="Q69" s="58"/>
      <c r="R69" s="58"/>
      <c r="S69" s="58"/>
      <c r="T69" s="58"/>
      <c r="U69" s="58"/>
      <c r="V69" s="58"/>
      <c r="W69" s="58"/>
    </row>
    <row r="70" spans="1:23" s="23" customFormat="1">
      <c r="A70" s="65">
        <v>68</v>
      </c>
      <c r="B70" s="19">
        <v>1.1000000000000001</v>
      </c>
      <c r="C70" s="38" t="s">
        <v>551</v>
      </c>
      <c r="D70" s="25" t="s">
        <v>431</v>
      </c>
      <c r="E70" s="62">
        <v>44953.648564814815</v>
      </c>
      <c r="F70" s="63" t="s">
        <v>463</v>
      </c>
      <c r="G70" s="16"/>
      <c r="H70" s="20"/>
      <c r="I70" s="20" t="s">
        <v>26</v>
      </c>
      <c r="J70" s="72" t="s">
        <v>535</v>
      </c>
      <c r="K70" s="21">
        <v>44953.648993055554</v>
      </c>
      <c r="L70" s="20" t="s">
        <v>27</v>
      </c>
      <c r="M70" s="20" t="s">
        <v>28</v>
      </c>
      <c r="N70" s="55"/>
      <c r="O70" s="55"/>
      <c r="P70" s="55"/>
      <c r="Q70" s="58"/>
      <c r="R70" s="58"/>
      <c r="S70" s="58"/>
      <c r="T70" s="58"/>
      <c r="U70" s="58"/>
      <c r="V70" s="58"/>
      <c r="W70" s="58"/>
    </row>
    <row r="71" spans="1:23" s="23" customFormat="1">
      <c r="A71" s="65">
        <v>69</v>
      </c>
      <c r="B71" s="19">
        <v>1.1000000000000001</v>
      </c>
      <c r="C71" s="38" t="s">
        <v>552</v>
      </c>
      <c r="D71" s="25" t="s">
        <v>431</v>
      </c>
      <c r="E71" s="62">
        <v>44953.648692129631</v>
      </c>
      <c r="F71" s="63" t="s">
        <v>463</v>
      </c>
      <c r="G71" s="16"/>
      <c r="H71" s="20"/>
      <c r="I71" s="20" t="s">
        <v>26</v>
      </c>
      <c r="J71" s="72" t="s">
        <v>535</v>
      </c>
      <c r="K71" s="21">
        <v>44953.649016203701</v>
      </c>
      <c r="L71" s="20" t="s">
        <v>27</v>
      </c>
      <c r="M71" s="20" t="s">
        <v>28</v>
      </c>
      <c r="N71" s="55"/>
      <c r="O71" s="55"/>
      <c r="P71" s="55"/>
      <c r="Q71" s="58"/>
      <c r="R71" s="58"/>
      <c r="S71" s="58"/>
      <c r="T71" s="58"/>
      <c r="U71" s="58"/>
      <c r="V71" s="58"/>
      <c r="W71" s="58"/>
    </row>
    <row r="72" spans="1:23" s="23" customFormat="1">
      <c r="A72" s="65">
        <v>70</v>
      </c>
      <c r="B72" s="19">
        <v>1.1000000000000001</v>
      </c>
      <c r="C72" s="38" t="s">
        <v>553</v>
      </c>
      <c r="D72" s="25" t="s">
        <v>431</v>
      </c>
      <c r="E72" s="62">
        <v>44953.648738425924</v>
      </c>
      <c r="F72" s="63" t="s">
        <v>463</v>
      </c>
      <c r="G72" s="16"/>
      <c r="H72" s="20"/>
      <c r="I72" s="20" t="s">
        <v>26</v>
      </c>
      <c r="J72" s="72" t="s">
        <v>535</v>
      </c>
      <c r="K72" s="21">
        <v>44953.649039351854</v>
      </c>
      <c r="L72" s="20" t="s">
        <v>27</v>
      </c>
      <c r="M72" s="20" t="s">
        <v>28</v>
      </c>
      <c r="N72" s="55"/>
      <c r="O72" s="55"/>
      <c r="P72" s="55"/>
      <c r="Q72" s="58"/>
      <c r="R72" s="58"/>
      <c r="S72" s="58"/>
      <c r="T72" s="58"/>
      <c r="U72" s="58"/>
      <c r="V72" s="58"/>
      <c r="W72" s="58"/>
    </row>
    <row r="73" spans="1:23" s="23" customFormat="1">
      <c r="A73" s="65">
        <v>71</v>
      </c>
      <c r="B73" s="38" t="s">
        <v>560</v>
      </c>
      <c r="C73" s="38" t="s">
        <v>419</v>
      </c>
      <c r="D73" s="25" t="s">
        <v>558</v>
      </c>
      <c r="E73" s="62">
        <v>44972</v>
      </c>
      <c r="F73" s="50" t="s">
        <v>559</v>
      </c>
      <c r="G73" s="25" t="s">
        <v>564</v>
      </c>
      <c r="H73" s="20"/>
      <c r="I73" s="72" t="s">
        <v>26</v>
      </c>
      <c r="J73" s="72" t="s">
        <v>500</v>
      </c>
      <c r="K73" s="21">
        <v>44974</v>
      </c>
      <c r="L73" s="20" t="s">
        <v>27</v>
      </c>
      <c r="M73" s="20" t="s">
        <v>28</v>
      </c>
      <c r="N73" s="55"/>
      <c r="O73" s="55"/>
      <c r="P73" s="55"/>
      <c r="Q73" s="58"/>
      <c r="R73" s="58"/>
      <c r="S73" s="58"/>
      <c r="T73" s="58"/>
      <c r="U73" s="58"/>
      <c r="V73" s="58"/>
      <c r="W73" s="58"/>
    </row>
    <row r="74" spans="1:23" s="23" customFormat="1">
      <c r="A74" s="65">
        <v>72</v>
      </c>
      <c r="B74" s="38" t="s">
        <v>561</v>
      </c>
      <c r="C74" s="38" t="s">
        <v>415</v>
      </c>
      <c r="D74" s="25" t="s">
        <v>431</v>
      </c>
      <c r="E74" s="62">
        <v>44973</v>
      </c>
      <c r="F74" s="50" t="s">
        <v>559</v>
      </c>
      <c r="G74" s="16"/>
      <c r="H74" s="20"/>
      <c r="I74" s="20"/>
      <c r="J74" s="72" t="s">
        <v>559</v>
      </c>
      <c r="K74" s="73">
        <v>44973</v>
      </c>
      <c r="L74" s="20" t="s">
        <v>27</v>
      </c>
      <c r="M74" s="20" t="s">
        <v>28</v>
      </c>
      <c r="N74" s="55"/>
      <c r="O74" s="55"/>
      <c r="P74" s="55"/>
      <c r="Q74" s="58"/>
      <c r="R74" s="58"/>
      <c r="S74" s="58"/>
      <c r="T74" s="58"/>
      <c r="U74" s="58"/>
      <c r="V74" s="58"/>
      <c r="W74" s="58"/>
    </row>
    <row r="75" spans="1:23" s="23" customFormat="1">
      <c r="A75" s="65">
        <v>73</v>
      </c>
      <c r="B75" s="19">
        <v>1.7</v>
      </c>
      <c r="C75" s="38" t="s">
        <v>450</v>
      </c>
      <c r="D75" s="25" t="s">
        <v>566</v>
      </c>
      <c r="E75" s="62">
        <v>44973</v>
      </c>
      <c r="F75" s="50" t="s">
        <v>463</v>
      </c>
      <c r="G75" s="25" t="s">
        <v>636</v>
      </c>
      <c r="H75" s="20"/>
      <c r="I75" s="20"/>
      <c r="J75" s="72" t="s">
        <v>635</v>
      </c>
      <c r="K75" s="21">
        <v>44993.641180555554</v>
      </c>
      <c r="L75" s="72" t="s">
        <v>20</v>
      </c>
      <c r="M75" s="20" t="s">
        <v>28</v>
      </c>
      <c r="N75" s="55"/>
      <c r="O75" s="55"/>
      <c r="P75" s="55"/>
      <c r="Q75" s="58"/>
      <c r="R75" s="58"/>
      <c r="S75" s="58"/>
      <c r="T75" s="58"/>
      <c r="U75" s="58"/>
      <c r="V75" s="58"/>
      <c r="W75" s="58"/>
    </row>
    <row r="76" spans="1:23" s="23" customFormat="1" ht="25.5">
      <c r="A76" s="65">
        <v>74</v>
      </c>
      <c r="B76" s="19">
        <v>1.7</v>
      </c>
      <c r="C76" s="38" t="s">
        <v>450</v>
      </c>
      <c r="D76" s="25" t="s">
        <v>567</v>
      </c>
      <c r="E76" s="62">
        <v>44973</v>
      </c>
      <c r="F76" s="50" t="s">
        <v>463</v>
      </c>
      <c r="G76" s="25" t="s">
        <v>636</v>
      </c>
      <c r="H76" s="20"/>
      <c r="I76" s="20"/>
      <c r="J76" s="72" t="s">
        <v>635</v>
      </c>
      <c r="K76" s="21">
        <v>44993.641180555554</v>
      </c>
      <c r="L76" s="72" t="s">
        <v>20</v>
      </c>
      <c r="M76" s="20" t="s">
        <v>28</v>
      </c>
      <c r="N76" s="55"/>
      <c r="O76" s="55"/>
      <c r="P76" s="55"/>
      <c r="Q76" s="58"/>
      <c r="R76" s="58"/>
      <c r="S76" s="58"/>
      <c r="T76" s="58"/>
      <c r="U76" s="58"/>
      <c r="V76" s="58"/>
      <c r="W76" s="58"/>
    </row>
    <row r="77" spans="1:23" s="23" customFormat="1">
      <c r="A77" s="65">
        <v>75</v>
      </c>
      <c r="B77" s="38" t="s">
        <v>569</v>
      </c>
      <c r="C77" s="38" t="s">
        <v>419</v>
      </c>
      <c r="D77" s="25" t="s">
        <v>431</v>
      </c>
      <c r="E77" s="62">
        <v>44974</v>
      </c>
      <c r="F77" s="50" t="s">
        <v>559</v>
      </c>
      <c r="G77" s="16"/>
      <c r="H77" s="20"/>
      <c r="I77" s="20"/>
      <c r="J77" s="72" t="s">
        <v>559</v>
      </c>
      <c r="K77" s="21">
        <v>44974</v>
      </c>
      <c r="L77" s="20" t="s">
        <v>27</v>
      </c>
      <c r="M77" s="20" t="s">
        <v>28</v>
      </c>
      <c r="N77" s="55"/>
      <c r="O77" s="55"/>
      <c r="P77" s="55"/>
      <c r="Q77" s="58"/>
      <c r="R77" s="58"/>
      <c r="S77" s="58"/>
      <c r="T77" s="58"/>
      <c r="U77" s="58"/>
      <c r="V77" s="58"/>
      <c r="W77" s="58"/>
    </row>
    <row r="78" spans="1:23" s="23" customFormat="1">
      <c r="A78" s="65">
        <v>76</v>
      </c>
      <c r="B78" s="19" t="s">
        <v>573</v>
      </c>
      <c r="C78" s="38" t="s">
        <v>428</v>
      </c>
      <c r="D78" s="16" t="s">
        <v>431</v>
      </c>
      <c r="E78" s="62">
        <v>44978</v>
      </c>
      <c r="F78" s="50" t="s">
        <v>448</v>
      </c>
      <c r="G78" s="16"/>
      <c r="H78" s="20"/>
      <c r="I78" s="20"/>
      <c r="J78" s="20" t="s">
        <v>500</v>
      </c>
      <c r="K78" s="21">
        <v>44978.454062500001</v>
      </c>
      <c r="L78" s="20" t="s">
        <v>27</v>
      </c>
      <c r="M78" s="20" t="s">
        <v>28</v>
      </c>
      <c r="N78" s="55"/>
      <c r="O78" s="55"/>
      <c r="P78" s="55"/>
      <c r="Q78" s="58"/>
      <c r="R78" s="58"/>
      <c r="S78" s="58"/>
      <c r="T78" s="58"/>
      <c r="U78" s="58"/>
      <c r="V78" s="58"/>
      <c r="W78" s="58"/>
    </row>
    <row r="79" spans="1:23" s="23" customFormat="1">
      <c r="A79" s="65">
        <v>77</v>
      </c>
      <c r="B79" s="19">
        <v>1.1000000000000001</v>
      </c>
      <c r="C79" s="243" t="s">
        <v>574</v>
      </c>
      <c r="D79" s="25" t="s">
        <v>431</v>
      </c>
      <c r="E79" s="62">
        <v>44992.637372685182</v>
      </c>
      <c r="F79" s="63" t="s">
        <v>463</v>
      </c>
      <c r="G79" s="16"/>
      <c r="H79" s="20"/>
      <c r="I79" s="72" t="s">
        <v>26</v>
      </c>
      <c r="J79" s="72" t="s">
        <v>596</v>
      </c>
      <c r="K79" s="21">
        <v>44992.637777777774</v>
      </c>
      <c r="L79" s="20" t="s">
        <v>27</v>
      </c>
      <c r="M79" s="20" t="s">
        <v>28</v>
      </c>
      <c r="N79" s="55"/>
      <c r="O79" s="55"/>
      <c r="P79" s="55"/>
      <c r="Q79" s="58"/>
      <c r="R79" s="58"/>
      <c r="S79" s="58"/>
      <c r="T79" s="58"/>
      <c r="U79" s="58"/>
      <c r="V79" s="58"/>
      <c r="W79" s="58"/>
    </row>
    <row r="80" spans="1:23" s="23" customFormat="1" ht="25.5">
      <c r="A80" s="65">
        <v>78</v>
      </c>
      <c r="B80" s="19">
        <v>1.1000000000000001</v>
      </c>
      <c r="C80" s="243" t="s">
        <v>575</v>
      </c>
      <c r="D80" s="25" t="s">
        <v>597</v>
      </c>
      <c r="E80" s="62">
        <v>44992.634687500002</v>
      </c>
      <c r="F80" s="63" t="s">
        <v>463</v>
      </c>
      <c r="G80" s="25" t="s">
        <v>632</v>
      </c>
      <c r="H80" s="20"/>
      <c r="I80" s="72" t="s">
        <v>26</v>
      </c>
      <c r="J80" s="72" t="s">
        <v>596</v>
      </c>
      <c r="K80" s="21">
        <v>44992.641180555554</v>
      </c>
      <c r="L80" s="20" t="s">
        <v>27</v>
      </c>
      <c r="M80" s="20" t="s">
        <v>28</v>
      </c>
      <c r="N80" s="55"/>
      <c r="O80" s="55"/>
      <c r="P80" s="55"/>
      <c r="Q80" s="58"/>
      <c r="R80" s="58"/>
      <c r="S80" s="58"/>
      <c r="T80" s="58"/>
      <c r="U80" s="58"/>
      <c r="V80" s="58"/>
      <c r="W80" s="58"/>
    </row>
    <row r="81" spans="1:23" s="23" customFormat="1" ht="25.5">
      <c r="A81" s="65">
        <v>79</v>
      </c>
      <c r="B81" s="19">
        <v>1.1000000000000001</v>
      </c>
      <c r="C81" s="243" t="s">
        <v>576</v>
      </c>
      <c r="D81" s="25" t="s">
        <v>598</v>
      </c>
      <c r="E81" s="62">
        <v>44992.638043981482</v>
      </c>
      <c r="F81" s="63" t="s">
        <v>463</v>
      </c>
      <c r="G81" s="25" t="s">
        <v>633</v>
      </c>
      <c r="H81" s="20"/>
      <c r="I81" s="72" t="s">
        <v>26</v>
      </c>
      <c r="J81" s="72" t="s">
        <v>596</v>
      </c>
      <c r="K81" s="21">
        <v>44992.641180555554</v>
      </c>
      <c r="L81" s="20" t="s">
        <v>27</v>
      </c>
      <c r="M81" s="20" t="s">
        <v>28</v>
      </c>
      <c r="N81" s="55"/>
      <c r="O81" s="55"/>
      <c r="P81" s="55"/>
      <c r="Q81" s="58"/>
      <c r="R81" s="58"/>
      <c r="S81" s="58"/>
      <c r="T81" s="58"/>
      <c r="U81" s="58"/>
      <c r="V81" s="58"/>
      <c r="W81" s="58"/>
    </row>
    <row r="82" spans="1:23" s="23" customFormat="1" ht="25.5">
      <c r="A82" s="65">
        <v>80</v>
      </c>
      <c r="B82" s="19">
        <v>1.1000000000000001</v>
      </c>
      <c r="C82" s="246" t="s">
        <v>577</v>
      </c>
      <c r="D82" s="25" t="s">
        <v>600</v>
      </c>
      <c r="E82" s="62">
        <v>44992.638344907406</v>
      </c>
      <c r="F82" s="63" t="s">
        <v>463</v>
      </c>
      <c r="G82" s="25" t="s">
        <v>634</v>
      </c>
      <c r="H82" s="20"/>
      <c r="I82" s="72" t="s">
        <v>26</v>
      </c>
      <c r="J82" s="72" t="s">
        <v>596</v>
      </c>
      <c r="K82" s="21">
        <v>44992.641180555554</v>
      </c>
      <c r="L82" s="20" t="s">
        <v>20</v>
      </c>
      <c r="M82" s="20" t="s">
        <v>28</v>
      </c>
      <c r="N82" s="55"/>
      <c r="O82" s="55"/>
      <c r="P82" s="55"/>
      <c r="Q82" s="58"/>
      <c r="R82" s="58"/>
      <c r="S82" s="58"/>
      <c r="T82" s="58"/>
      <c r="U82" s="58"/>
      <c r="V82" s="58"/>
      <c r="W82" s="58"/>
    </row>
    <row r="83" spans="1:23" s="23" customFormat="1">
      <c r="A83" s="65">
        <v>81</v>
      </c>
      <c r="B83" s="19">
        <v>1.1000000000000001</v>
      </c>
      <c r="C83" s="243" t="s">
        <v>578</v>
      </c>
      <c r="D83" s="25" t="s">
        <v>601</v>
      </c>
      <c r="E83" s="62">
        <v>44992.639374999999</v>
      </c>
      <c r="F83" s="63" t="s">
        <v>463</v>
      </c>
      <c r="G83" s="16"/>
      <c r="H83" s="20"/>
      <c r="I83" s="72" t="s">
        <v>26</v>
      </c>
      <c r="J83" s="72" t="s">
        <v>596</v>
      </c>
      <c r="K83" s="21">
        <v>44992.641180555554</v>
      </c>
      <c r="L83" s="20" t="s">
        <v>27</v>
      </c>
      <c r="M83" s="20" t="s">
        <v>28</v>
      </c>
      <c r="N83" s="55"/>
      <c r="O83" s="55"/>
      <c r="P83" s="55"/>
      <c r="Q83" s="58"/>
      <c r="R83" s="58"/>
      <c r="S83" s="58"/>
      <c r="T83" s="58"/>
      <c r="U83" s="58"/>
      <c r="V83" s="58"/>
      <c r="W83" s="58"/>
    </row>
    <row r="84" spans="1:23" s="23" customFormat="1">
      <c r="A84" s="65">
        <v>82</v>
      </c>
      <c r="B84" s="19">
        <v>1.1000000000000001</v>
      </c>
      <c r="C84" s="243" t="s">
        <v>579</v>
      </c>
      <c r="D84" s="25" t="s">
        <v>599</v>
      </c>
      <c r="E84" s="62">
        <v>44992.640787037039</v>
      </c>
      <c r="F84" s="63" t="s">
        <v>463</v>
      </c>
      <c r="G84" s="25" t="s">
        <v>637</v>
      </c>
      <c r="H84" s="20"/>
      <c r="I84" s="72" t="s">
        <v>26</v>
      </c>
      <c r="J84" s="72" t="s">
        <v>596</v>
      </c>
      <c r="K84" s="21">
        <v>44992.641180555554</v>
      </c>
      <c r="L84" s="20" t="s">
        <v>20</v>
      </c>
      <c r="M84" s="20" t="s">
        <v>28</v>
      </c>
      <c r="N84" s="55"/>
      <c r="O84" s="55"/>
      <c r="P84" s="55"/>
      <c r="Q84" s="58"/>
      <c r="R84" s="58"/>
      <c r="S84" s="58"/>
      <c r="T84" s="58"/>
      <c r="U84" s="58"/>
      <c r="V84" s="58"/>
      <c r="W84" s="58"/>
    </row>
    <row r="85" spans="1:23" s="23" customFormat="1">
      <c r="A85" s="65">
        <v>83</v>
      </c>
      <c r="B85" s="19">
        <v>1.1000000000000001</v>
      </c>
      <c r="C85" s="243" t="s">
        <v>580</v>
      </c>
      <c r="D85" s="25" t="s">
        <v>431</v>
      </c>
      <c r="E85" s="62">
        <v>44992.645682870374</v>
      </c>
      <c r="F85" s="63" t="s">
        <v>463</v>
      </c>
      <c r="G85" s="16"/>
      <c r="H85" s="20"/>
      <c r="I85" s="72" t="s">
        <v>26</v>
      </c>
      <c r="J85" s="72" t="s">
        <v>596</v>
      </c>
      <c r="K85" s="21">
        <v>44992.641180555554</v>
      </c>
      <c r="L85" s="20" t="s">
        <v>27</v>
      </c>
      <c r="M85" s="20" t="s">
        <v>28</v>
      </c>
      <c r="N85" s="55"/>
      <c r="O85" s="55"/>
      <c r="P85" s="55"/>
      <c r="Q85" s="58"/>
      <c r="R85" s="58"/>
      <c r="S85" s="58"/>
      <c r="T85" s="58"/>
      <c r="U85" s="58"/>
      <c r="V85" s="58"/>
      <c r="W85" s="58"/>
    </row>
    <row r="86" spans="1:23" s="23" customFormat="1">
      <c r="A86" s="65">
        <v>84</v>
      </c>
      <c r="B86" s="19">
        <v>1.2</v>
      </c>
      <c r="C86" s="243" t="s">
        <v>551</v>
      </c>
      <c r="D86" s="25" t="s">
        <v>431</v>
      </c>
      <c r="E86" s="62">
        <v>44992.645219907405</v>
      </c>
      <c r="F86" s="63" t="s">
        <v>463</v>
      </c>
      <c r="G86" s="16"/>
      <c r="H86" s="20"/>
      <c r="I86" s="72" t="s">
        <v>26</v>
      </c>
      <c r="J86" s="72" t="s">
        <v>596</v>
      </c>
      <c r="K86" s="21">
        <v>44992.641180555554</v>
      </c>
      <c r="L86" s="20" t="s">
        <v>27</v>
      </c>
      <c r="M86" s="20" t="s">
        <v>28</v>
      </c>
      <c r="N86" s="55"/>
      <c r="O86" s="55"/>
      <c r="P86" s="55"/>
      <c r="Q86" s="58"/>
      <c r="R86" s="58"/>
      <c r="S86" s="58"/>
      <c r="T86" s="58"/>
      <c r="U86" s="58"/>
      <c r="V86" s="58"/>
      <c r="W86" s="58"/>
    </row>
    <row r="87" spans="1:23" s="23" customFormat="1">
      <c r="A87" s="65">
        <v>85</v>
      </c>
      <c r="B87" s="19">
        <v>1.2</v>
      </c>
      <c r="C87" s="243" t="s">
        <v>552</v>
      </c>
      <c r="D87" s="25" t="s">
        <v>431</v>
      </c>
      <c r="E87" s="62">
        <v>44992.645254629628</v>
      </c>
      <c r="F87" s="63" t="s">
        <v>463</v>
      </c>
      <c r="G87" s="16"/>
      <c r="H87" s="20"/>
      <c r="I87" s="72" t="s">
        <v>26</v>
      </c>
      <c r="J87" s="72" t="s">
        <v>596</v>
      </c>
      <c r="K87" s="21">
        <v>44992.641180555554</v>
      </c>
      <c r="L87" s="20" t="s">
        <v>27</v>
      </c>
      <c r="M87" s="20" t="s">
        <v>28</v>
      </c>
      <c r="N87" s="55"/>
      <c r="O87" s="55"/>
      <c r="P87" s="55"/>
      <c r="Q87" s="58"/>
      <c r="R87" s="58"/>
      <c r="S87" s="58"/>
      <c r="T87" s="58"/>
      <c r="U87" s="58"/>
      <c r="V87" s="58"/>
      <c r="W87" s="58"/>
    </row>
    <row r="88" spans="1:23" s="23" customFormat="1">
      <c r="A88" s="65">
        <v>86</v>
      </c>
      <c r="B88" s="19">
        <v>1.2</v>
      </c>
      <c r="C88" s="243" t="s">
        <v>553</v>
      </c>
      <c r="D88" s="25" t="s">
        <v>602</v>
      </c>
      <c r="E88" s="62">
        <v>44992.642071759263</v>
      </c>
      <c r="F88" s="63" t="s">
        <v>463</v>
      </c>
      <c r="G88" s="25" t="s">
        <v>637</v>
      </c>
      <c r="H88" s="20"/>
      <c r="I88" s="72" t="s">
        <v>26</v>
      </c>
      <c r="J88" s="72" t="s">
        <v>596</v>
      </c>
      <c r="K88" s="21">
        <v>44992.641180555554</v>
      </c>
      <c r="L88" s="20" t="s">
        <v>20</v>
      </c>
      <c r="M88" s="20" t="s">
        <v>28</v>
      </c>
      <c r="N88" s="55"/>
      <c r="O88" s="55"/>
      <c r="P88" s="55"/>
      <c r="Q88" s="58"/>
      <c r="R88" s="58"/>
      <c r="S88" s="58"/>
      <c r="T88" s="58"/>
      <c r="U88" s="58"/>
      <c r="V88" s="58"/>
      <c r="W88" s="58"/>
    </row>
    <row r="89" spans="1:23" s="23" customFormat="1" ht="25.5">
      <c r="A89" s="65">
        <v>87</v>
      </c>
      <c r="B89" s="19">
        <v>1.1000000000000001</v>
      </c>
      <c r="C89" s="243" t="s">
        <v>581</v>
      </c>
      <c r="D89" s="25" t="s">
        <v>603</v>
      </c>
      <c r="E89" s="62">
        <v>44992.642685185187</v>
      </c>
      <c r="F89" s="63" t="s">
        <v>463</v>
      </c>
      <c r="G89" s="25" t="s">
        <v>637</v>
      </c>
      <c r="H89" s="20"/>
      <c r="I89" s="72" t="s">
        <v>26</v>
      </c>
      <c r="J89" s="72" t="s">
        <v>596</v>
      </c>
      <c r="K89" s="21">
        <v>44992.641180555554</v>
      </c>
      <c r="L89" s="72" t="s">
        <v>20</v>
      </c>
      <c r="M89" s="20" t="s">
        <v>28</v>
      </c>
      <c r="N89" s="55"/>
      <c r="O89" s="55"/>
      <c r="P89" s="55"/>
      <c r="Q89" s="58"/>
      <c r="R89" s="58"/>
      <c r="S89" s="58"/>
      <c r="T89" s="58"/>
      <c r="U89" s="58"/>
      <c r="V89" s="58"/>
      <c r="W89" s="58"/>
    </row>
    <row r="90" spans="1:23" s="23" customFormat="1">
      <c r="A90" s="65">
        <v>88</v>
      </c>
      <c r="B90" s="19">
        <v>1.1000000000000001</v>
      </c>
      <c r="C90" s="243" t="s">
        <v>582</v>
      </c>
      <c r="D90" s="25" t="s">
        <v>431</v>
      </c>
      <c r="E90" s="62">
        <v>44992.645289351851</v>
      </c>
      <c r="F90" s="63" t="s">
        <v>463</v>
      </c>
      <c r="G90" s="16"/>
      <c r="H90" s="20"/>
      <c r="I90" s="72" t="s">
        <v>26</v>
      </c>
      <c r="J90" s="72" t="s">
        <v>596</v>
      </c>
      <c r="K90" s="21">
        <v>44992.641180555554</v>
      </c>
      <c r="L90" s="20" t="s">
        <v>27</v>
      </c>
      <c r="M90" s="20" t="s">
        <v>28</v>
      </c>
      <c r="N90" s="55"/>
      <c r="O90" s="55"/>
      <c r="P90" s="55"/>
      <c r="Q90" s="58"/>
      <c r="R90" s="58"/>
      <c r="S90" s="58"/>
      <c r="T90" s="58"/>
      <c r="U90" s="58"/>
      <c r="V90" s="58"/>
      <c r="W90" s="58"/>
    </row>
    <row r="91" spans="1:23" s="23" customFormat="1">
      <c r="A91" s="65">
        <v>89</v>
      </c>
      <c r="B91" s="19">
        <v>1.1000000000000001</v>
      </c>
      <c r="C91" s="243" t="s">
        <v>583</v>
      </c>
      <c r="D91" s="25" t="s">
        <v>431</v>
      </c>
      <c r="E91" s="62">
        <v>44992.645300925928</v>
      </c>
      <c r="F91" s="63" t="s">
        <v>463</v>
      </c>
      <c r="G91" s="16"/>
      <c r="H91" s="20"/>
      <c r="I91" s="72" t="s">
        <v>26</v>
      </c>
      <c r="J91" s="72" t="s">
        <v>596</v>
      </c>
      <c r="K91" s="21">
        <v>44992.641180555554</v>
      </c>
      <c r="L91" s="20" t="s">
        <v>27</v>
      </c>
      <c r="M91" s="20" t="s">
        <v>28</v>
      </c>
      <c r="N91" s="55"/>
      <c r="O91" s="55"/>
      <c r="P91" s="55"/>
      <c r="Q91" s="58"/>
      <c r="R91" s="58"/>
      <c r="S91" s="58"/>
      <c r="T91" s="58"/>
      <c r="U91" s="58"/>
      <c r="V91" s="58"/>
      <c r="W91" s="58"/>
    </row>
    <row r="92" spans="1:23">
      <c r="A92" s="65">
        <v>90</v>
      </c>
      <c r="B92" s="19">
        <v>1.1000000000000001</v>
      </c>
      <c r="C92" s="243" t="s">
        <v>584</v>
      </c>
      <c r="D92" s="25" t="s">
        <v>431</v>
      </c>
      <c r="E92" s="62">
        <v>44992.645324074074</v>
      </c>
      <c r="F92" s="63" t="s">
        <v>463</v>
      </c>
      <c r="G92" s="16"/>
      <c r="H92" s="20"/>
      <c r="I92" s="72" t="s">
        <v>26</v>
      </c>
      <c r="J92" s="72" t="s">
        <v>596</v>
      </c>
      <c r="K92" s="21">
        <v>44992.641180555554</v>
      </c>
      <c r="L92" s="20" t="s">
        <v>27</v>
      </c>
      <c r="M92" s="20" t="s">
        <v>28</v>
      </c>
      <c r="N92" s="55"/>
      <c r="O92" s="55"/>
      <c r="P92" s="55"/>
    </row>
    <row r="93" spans="1:23">
      <c r="A93" s="65">
        <v>91</v>
      </c>
      <c r="B93" s="19">
        <v>1.1000000000000001</v>
      </c>
      <c r="C93" s="243" t="s">
        <v>585</v>
      </c>
      <c r="D93" s="25" t="s">
        <v>431</v>
      </c>
      <c r="E93" s="62">
        <v>44992.645335648151</v>
      </c>
      <c r="F93" s="63" t="s">
        <v>463</v>
      </c>
      <c r="G93" s="16"/>
      <c r="H93" s="20"/>
      <c r="I93" s="72" t="s">
        <v>26</v>
      </c>
      <c r="J93" s="72" t="s">
        <v>596</v>
      </c>
      <c r="K93" s="21">
        <v>44992.641180555554</v>
      </c>
      <c r="L93" s="20" t="s">
        <v>27</v>
      </c>
      <c r="M93" s="20" t="s">
        <v>28</v>
      </c>
      <c r="N93" s="55"/>
      <c r="O93" s="55"/>
      <c r="P93" s="55"/>
    </row>
    <row r="94" spans="1:23">
      <c r="A94" s="65">
        <v>92</v>
      </c>
      <c r="B94" s="19">
        <v>1.1000000000000001</v>
      </c>
      <c r="C94" s="243" t="s">
        <v>586</v>
      </c>
      <c r="D94" s="25" t="s">
        <v>431</v>
      </c>
      <c r="E94" s="62">
        <v>44992.64534722222</v>
      </c>
      <c r="F94" s="63" t="s">
        <v>463</v>
      </c>
      <c r="G94" s="16"/>
      <c r="H94" s="20"/>
      <c r="I94" s="72" t="s">
        <v>26</v>
      </c>
      <c r="J94" s="72" t="s">
        <v>596</v>
      </c>
      <c r="K94" s="21">
        <v>44992.641180555554</v>
      </c>
      <c r="L94" s="20" t="s">
        <v>27</v>
      </c>
      <c r="M94" s="20" t="s">
        <v>28</v>
      </c>
      <c r="N94" s="55"/>
      <c r="O94" s="55"/>
      <c r="P94" s="55"/>
    </row>
    <row r="95" spans="1:23">
      <c r="A95" s="65">
        <v>93</v>
      </c>
      <c r="B95" s="19">
        <v>1.1000000000000001</v>
      </c>
      <c r="C95" s="243" t="s">
        <v>587</v>
      </c>
      <c r="D95" s="25" t="s">
        <v>431</v>
      </c>
      <c r="E95" s="62">
        <v>44992.645370370374</v>
      </c>
      <c r="F95" s="63" t="s">
        <v>463</v>
      </c>
      <c r="G95" s="16"/>
      <c r="H95" s="20"/>
      <c r="I95" s="72" t="s">
        <v>26</v>
      </c>
      <c r="J95" s="72" t="s">
        <v>596</v>
      </c>
      <c r="K95" s="21">
        <v>44992.641180555554</v>
      </c>
      <c r="L95" s="20" t="s">
        <v>27</v>
      </c>
      <c r="M95" s="20" t="s">
        <v>28</v>
      </c>
      <c r="N95" s="55"/>
      <c r="O95" s="55"/>
      <c r="P95" s="55"/>
    </row>
    <row r="96" spans="1:23">
      <c r="A96" s="65">
        <v>94</v>
      </c>
      <c r="B96" s="19">
        <v>1.1000000000000001</v>
      </c>
      <c r="C96" s="243" t="s">
        <v>588</v>
      </c>
      <c r="D96" s="25" t="s">
        <v>431</v>
      </c>
      <c r="E96" s="62">
        <v>44992.645381944443</v>
      </c>
      <c r="F96" s="63" t="s">
        <v>463</v>
      </c>
      <c r="G96" s="16"/>
      <c r="H96" s="20"/>
      <c r="I96" s="72" t="s">
        <v>26</v>
      </c>
      <c r="J96" s="72" t="s">
        <v>596</v>
      </c>
      <c r="K96" s="21">
        <v>44992.641180555554</v>
      </c>
      <c r="L96" s="20" t="s">
        <v>27</v>
      </c>
      <c r="M96" s="20" t="s">
        <v>28</v>
      </c>
      <c r="N96" s="55"/>
      <c r="O96" s="55"/>
      <c r="P96" s="55"/>
    </row>
    <row r="97" spans="1:16">
      <c r="A97" s="65">
        <v>95</v>
      </c>
      <c r="B97" s="19">
        <v>1.1000000000000001</v>
      </c>
      <c r="C97" s="243" t="s">
        <v>589</v>
      </c>
      <c r="D97" s="25" t="s">
        <v>431</v>
      </c>
      <c r="E97" s="62">
        <v>44992.64539351852</v>
      </c>
      <c r="F97" s="63" t="s">
        <v>463</v>
      </c>
      <c r="G97" s="16"/>
      <c r="H97" s="20"/>
      <c r="I97" s="72" t="s">
        <v>26</v>
      </c>
      <c r="J97" s="72" t="s">
        <v>596</v>
      </c>
      <c r="K97" s="21">
        <v>44992.641180555554</v>
      </c>
      <c r="L97" s="20" t="s">
        <v>27</v>
      </c>
      <c r="M97" s="20" t="s">
        <v>28</v>
      </c>
      <c r="N97" s="55"/>
      <c r="O97" s="55"/>
      <c r="P97" s="55"/>
    </row>
    <row r="98" spans="1:16">
      <c r="A98" s="65">
        <v>96</v>
      </c>
      <c r="B98" s="19">
        <v>1.1000000000000001</v>
      </c>
      <c r="C98" s="243" t="s">
        <v>590</v>
      </c>
      <c r="D98" s="25" t="s">
        <v>431</v>
      </c>
      <c r="E98" s="62">
        <v>44992.645416666666</v>
      </c>
      <c r="F98" s="63" t="s">
        <v>463</v>
      </c>
      <c r="G98" s="16"/>
      <c r="H98" s="20"/>
      <c r="I98" s="72" t="s">
        <v>26</v>
      </c>
      <c r="J98" s="72" t="s">
        <v>596</v>
      </c>
      <c r="K98" s="21">
        <v>44992.641180555554</v>
      </c>
      <c r="L98" s="20" t="s">
        <v>27</v>
      </c>
      <c r="M98" s="20" t="s">
        <v>28</v>
      </c>
      <c r="N98" s="55"/>
      <c r="O98" s="55"/>
      <c r="P98" s="55"/>
    </row>
    <row r="99" spans="1:16">
      <c r="A99" s="65">
        <v>97</v>
      </c>
      <c r="B99" s="19">
        <v>1.1000000000000001</v>
      </c>
      <c r="C99" s="243" t="s">
        <v>591</v>
      </c>
      <c r="D99" s="25" t="s">
        <v>431</v>
      </c>
      <c r="E99" s="62">
        <v>44992.645428240743</v>
      </c>
      <c r="F99" s="63" t="s">
        <v>463</v>
      </c>
      <c r="G99" s="16"/>
      <c r="H99" s="20"/>
      <c r="I99" s="72" t="s">
        <v>26</v>
      </c>
      <c r="J99" s="72" t="s">
        <v>596</v>
      </c>
      <c r="K99" s="21">
        <v>44992.641180555554</v>
      </c>
      <c r="L99" s="20" t="s">
        <v>27</v>
      </c>
      <c r="M99" s="20" t="s">
        <v>28</v>
      </c>
      <c r="N99" s="55"/>
      <c r="O99" s="55"/>
      <c r="P99" s="55"/>
    </row>
    <row r="100" spans="1:16">
      <c r="A100" s="65">
        <v>98</v>
      </c>
      <c r="B100" s="19">
        <v>1.1000000000000001</v>
      </c>
      <c r="C100" s="243" t="s">
        <v>592</v>
      </c>
      <c r="D100" s="25" t="s">
        <v>431</v>
      </c>
      <c r="E100" s="62">
        <v>44992.645474537036</v>
      </c>
      <c r="F100" s="63" t="s">
        <v>463</v>
      </c>
      <c r="G100" s="16"/>
      <c r="H100" s="20"/>
      <c r="I100" s="72" t="s">
        <v>26</v>
      </c>
      <c r="J100" s="72" t="s">
        <v>596</v>
      </c>
      <c r="K100" s="21">
        <v>44992.641180555554</v>
      </c>
      <c r="L100" s="20" t="s">
        <v>27</v>
      </c>
      <c r="M100" s="20" t="s">
        <v>28</v>
      </c>
      <c r="N100" s="55"/>
      <c r="O100" s="55"/>
      <c r="P100" s="55"/>
    </row>
    <row r="101" spans="1:16">
      <c r="A101" s="65">
        <v>99</v>
      </c>
      <c r="B101" s="19">
        <v>1.1000000000000001</v>
      </c>
      <c r="C101" s="243" t="s">
        <v>593</v>
      </c>
      <c r="D101" s="16" t="s">
        <v>431</v>
      </c>
      <c r="E101" s="62">
        <v>44992.645439814813</v>
      </c>
      <c r="F101" s="63" t="s">
        <v>463</v>
      </c>
      <c r="G101" s="16"/>
      <c r="H101" s="20"/>
      <c r="I101" s="72" t="s">
        <v>26</v>
      </c>
      <c r="J101" s="72" t="s">
        <v>596</v>
      </c>
      <c r="K101" s="21">
        <v>44992.641180555554</v>
      </c>
      <c r="L101" s="20" t="s">
        <v>27</v>
      </c>
      <c r="M101" s="20" t="s">
        <v>28</v>
      </c>
      <c r="N101" s="55"/>
      <c r="O101" s="55"/>
      <c r="P101" s="55"/>
    </row>
    <row r="102" spans="1:16" ht="25.5">
      <c r="A102" s="65">
        <v>100</v>
      </c>
      <c r="B102" s="19">
        <v>1.1000000000000001</v>
      </c>
      <c r="C102" s="243" t="s">
        <v>594</v>
      </c>
      <c r="D102" s="25" t="s">
        <v>604</v>
      </c>
      <c r="E102" s="62">
        <v>44992.644259259258</v>
      </c>
      <c r="F102" s="63" t="s">
        <v>463</v>
      </c>
      <c r="G102" s="25" t="s">
        <v>637</v>
      </c>
      <c r="H102" s="20"/>
      <c r="I102" s="72" t="s">
        <v>26</v>
      </c>
      <c r="J102" s="72" t="s">
        <v>596</v>
      </c>
      <c r="K102" s="21">
        <v>44992.641180555554</v>
      </c>
      <c r="L102" s="20" t="s">
        <v>20</v>
      </c>
      <c r="M102" s="20" t="s">
        <v>28</v>
      </c>
      <c r="N102" s="55"/>
      <c r="O102" s="55"/>
      <c r="P102" s="55"/>
    </row>
    <row r="103" spans="1:16">
      <c r="A103" s="65">
        <v>101</v>
      </c>
      <c r="B103" s="19">
        <v>1.1000000000000001</v>
      </c>
      <c r="C103" s="243" t="s">
        <v>595</v>
      </c>
      <c r="D103" s="25" t="s">
        <v>431</v>
      </c>
      <c r="E103" s="62">
        <v>44992.645486111112</v>
      </c>
      <c r="F103" s="63" t="s">
        <v>463</v>
      </c>
      <c r="G103" s="16"/>
      <c r="H103" s="20"/>
      <c r="I103" s="72" t="s">
        <v>26</v>
      </c>
      <c r="J103" s="72" t="s">
        <v>596</v>
      </c>
      <c r="K103" s="21">
        <v>44992.641180555554</v>
      </c>
      <c r="L103" s="20" t="s">
        <v>27</v>
      </c>
      <c r="M103" s="20" t="s">
        <v>28</v>
      </c>
      <c r="N103" s="55"/>
      <c r="O103" s="55"/>
      <c r="P103" s="55"/>
    </row>
    <row r="104" spans="1:16">
      <c r="A104" s="65">
        <v>102</v>
      </c>
      <c r="B104" s="19">
        <v>1.7</v>
      </c>
      <c r="C104" s="38" t="s">
        <v>450</v>
      </c>
      <c r="D104" s="25" t="s">
        <v>431</v>
      </c>
      <c r="E104" s="62">
        <v>44994.374062499999</v>
      </c>
      <c r="F104" s="63" t="s">
        <v>463</v>
      </c>
      <c r="G104" s="16"/>
      <c r="H104" s="20"/>
      <c r="I104" s="20" t="s">
        <v>26</v>
      </c>
      <c r="J104" s="72" t="s">
        <v>635</v>
      </c>
      <c r="K104" s="21">
        <v>44994.374305555553</v>
      </c>
      <c r="L104" s="20" t="s">
        <v>27</v>
      </c>
      <c r="M104" s="20" t="s">
        <v>28</v>
      </c>
    </row>
    <row r="105" spans="1:16">
      <c r="A105" s="65">
        <v>103</v>
      </c>
      <c r="B105" s="19">
        <v>1.8</v>
      </c>
      <c r="C105" s="38" t="s">
        <v>450</v>
      </c>
      <c r="D105" s="25" t="s">
        <v>640</v>
      </c>
      <c r="E105" s="62">
        <v>44994.375439814816</v>
      </c>
      <c r="F105" s="63" t="s">
        <v>463</v>
      </c>
      <c r="G105" s="16"/>
      <c r="H105" s="20"/>
      <c r="I105" s="20" t="s">
        <v>26</v>
      </c>
      <c r="J105" s="72" t="s">
        <v>635</v>
      </c>
      <c r="K105" s="21">
        <v>44994.375567129631</v>
      </c>
      <c r="L105" s="20" t="s">
        <v>27</v>
      </c>
      <c r="M105" s="20" t="s">
        <v>28</v>
      </c>
    </row>
    <row r="106" spans="1:16">
      <c r="A106" s="65">
        <v>104</v>
      </c>
      <c r="B106" s="19">
        <v>1.9</v>
      </c>
      <c r="C106" s="38" t="s">
        <v>450</v>
      </c>
      <c r="D106" s="25" t="s">
        <v>431</v>
      </c>
      <c r="E106" s="62">
        <v>45043.448657407411</v>
      </c>
      <c r="F106" s="63" t="s">
        <v>463</v>
      </c>
      <c r="G106" s="16"/>
      <c r="H106" s="20"/>
      <c r="I106" s="72" t="s">
        <v>26</v>
      </c>
      <c r="J106" s="72" t="s">
        <v>635</v>
      </c>
      <c r="K106" s="21">
        <v>45043.448784722219</v>
      </c>
      <c r="L106" s="20" t="s">
        <v>27</v>
      </c>
      <c r="M106" s="20" t="s">
        <v>28</v>
      </c>
    </row>
    <row r="107" spans="1:16" ht="25.5">
      <c r="A107" s="65">
        <v>105</v>
      </c>
      <c r="B107" s="38" t="s">
        <v>647</v>
      </c>
      <c r="C107" s="38" t="s">
        <v>419</v>
      </c>
      <c r="D107" s="25" t="s">
        <v>431</v>
      </c>
      <c r="E107" s="62">
        <v>45048.495810185188</v>
      </c>
      <c r="F107" s="63" t="s">
        <v>531</v>
      </c>
      <c r="G107" s="16"/>
      <c r="H107" s="20"/>
      <c r="I107" s="72" t="s">
        <v>26</v>
      </c>
      <c r="J107" s="72" t="s">
        <v>500</v>
      </c>
      <c r="K107" s="21">
        <v>45048.495949074073</v>
      </c>
      <c r="L107" s="20" t="s">
        <v>27</v>
      </c>
      <c r="M107" s="20" t="s">
        <v>28</v>
      </c>
    </row>
    <row r="108" spans="1:16" ht="63.75">
      <c r="A108" s="65">
        <v>106</v>
      </c>
      <c r="B108" s="38" t="s">
        <v>650</v>
      </c>
      <c r="C108" s="254" t="s">
        <v>428</v>
      </c>
      <c r="D108" s="25" t="s">
        <v>651</v>
      </c>
      <c r="E108" s="62">
        <v>45054.488125000003</v>
      </c>
      <c r="F108" s="63" t="s">
        <v>531</v>
      </c>
      <c r="G108" s="25" t="s">
        <v>653</v>
      </c>
      <c r="H108" s="20"/>
      <c r="I108" s="72" t="s">
        <v>26</v>
      </c>
      <c r="J108" s="72" t="s">
        <v>500</v>
      </c>
      <c r="K108" s="21">
        <v>45056.396006944444</v>
      </c>
      <c r="L108" s="20" t="s">
        <v>20</v>
      </c>
      <c r="M108" s="20" t="s">
        <v>28</v>
      </c>
    </row>
    <row r="109" spans="1:16">
      <c r="A109" s="65">
        <v>107</v>
      </c>
      <c r="B109" s="38" t="s">
        <v>654</v>
      </c>
      <c r="C109" s="38" t="s">
        <v>419</v>
      </c>
      <c r="D109" s="25" t="s">
        <v>431</v>
      </c>
      <c r="E109" s="62">
        <v>45063.387280092589</v>
      </c>
      <c r="F109" s="63" t="s">
        <v>424</v>
      </c>
      <c r="G109" s="16"/>
      <c r="H109" s="20"/>
      <c r="I109" s="72" t="s">
        <v>26</v>
      </c>
      <c r="J109" s="20" t="s">
        <v>424</v>
      </c>
      <c r="K109" s="21">
        <v>45063.387349537035</v>
      </c>
      <c r="L109" s="20" t="s">
        <v>27</v>
      </c>
      <c r="M109" s="20" t="s">
        <v>28</v>
      </c>
    </row>
    <row r="110" spans="1:16">
      <c r="A110" s="65">
        <v>108</v>
      </c>
      <c r="B110" s="38">
        <v>1.1100000000000001</v>
      </c>
      <c r="C110" s="38" t="s">
        <v>450</v>
      </c>
      <c r="D110" s="25" t="s">
        <v>431</v>
      </c>
      <c r="E110" s="62">
        <v>45069</v>
      </c>
      <c r="F110" s="50" t="s">
        <v>658</v>
      </c>
      <c r="G110" s="16"/>
      <c r="H110" s="20"/>
      <c r="I110" s="20"/>
      <c r="J110" s="72" t="s">
        <v>635</v>
      </c>
      <c r="K110" s="21">
        <v>45069</v>
      </c>
      <c r="L110" s="72" t="s">
        <v>27</v>
      </c>
      <c r="M110" s="20" t="s">
        <v>28</v>
      </c>
    </row>
    <row r="111" spans="1:16">
      <c r="A111" s="65">
        <v>109</v>
      </c>
      <c r="B111" s="19">
        <v>1.1200000000000001</v>
      </c>
      <c r="C111" s="38" t="s">
        <v>450</v>
      </c>
      <c r="D111" s="25" t="s">
        <v>431</v>
      </c>
      <c r="E111" s="62">
        <v>45179.476365740738</v>
      </c>
      <c r="F111" s="63" t="s">
        <v>463</v>
      </c>
      <c r="G111" s="16"/>
      <c r="H111" s="20"/>
      <c r="I111" s="20"/>
      <c r="J111" s="72" t="s">
        <v>663</v>
      </c>
      <c r="K111" s="21">
        <v>45179.476481481484</v>
      </c>
      <c r="L111" s="20" t="s">
        <v>27</v>
      </c>
      <c r="M111" s="20" t="s">
        <v>28</v>
      </c>
    </row>
    <row r="112" spans="1:16" ht="25.5">
      <c r="A112" s="65">
        <v>110</v>
      </c>
      <c r="B112" s="38" t="s">
        <v>669</v>
      </c>
      <c r="C112" s="38" t="s">
        <v>419</v>
      </c>
      <c r="D112" s="25" t="s">
        <v>431</v>
      </c>
      <c r="E112" s="62">
        <v>45202.706354166665</v>
      </c>
      <c r="F112" s="63" t="s">
        <v>531</v>
      </c>
      <c r="G112" s="16"/>
      <c r="H112" s="20"/>
      <c r="I112" s="20"/>
      <c r="J112" s="72" t="s">
        <v>500</v>
      </c>
      <c r="K112" s="21">
        <v>45202.706516203703</v>
      </c>
      <c r="L112" s="20" t="s">
        <v>27</v>
      </c>
      <c r="M112" s="20" t="s">
        <v>28</v>
      </c>
    </row>
    <row r="113" spans="1:13" ht="25.5">
      <c r="A113" s="65">
        <v>111</v>
      </c>
      <c r="B113" s="38" t="s">
        <v>672</v>
      </c>
      <c r="C113" s="38" t="s">
        <v>428</v>
      </c>
      <c r="D113" s="25" t="s">
        <v>431</v>
      </c>
      <c r="E113" s="62">
        <v>45203.556157407409</v>
      </c>
      <c r="F113" s="63" t="s">
        <v>531</v>
      </c>
      <c r="G113" s="16"/>
      <c r="H113" s="20"/>
      <c r="I113" s="20"/>
      <c r="J113" s="72" t="s">
        <v>500</v>
      </c>
      <c r="K113" s="21">
        <v>45203.556250000001</v>
      </c>
      <c r="L113" s="20" t="s">
        <v>27</v>
      </c>
      <c r="M113" s="20" t="s">
        <v>28</v>
      </c>
    </row>
    <row r="114" spans="1:13">
      <c r="A114" s="65">
        <v>112</v>
      </c>
      <c r="B114" s="19" t="s">
        <v>674</v>
      </c>
      <c r="C114" s="38" t="s">
        <v>415</v>
      </c>
      <c r="D114" s="16" t="s">
        <v>431</v>
      </c>
      <c r="E114" s="62">
        <v>45204.388553240744</v>
      </c>
      <c r="F114" s="63" t="s">
        <v>424</v>
      </c>
      <c r="G114" s="16"/>
      <c r="H114" s="20"/>
      <c r="I114" s="20" t="s">
        <v>26</v>
      </c>
      <c r="J114" s="20" t="s">
        <v>424</v>
      </c>
      <c r="K114" s="21">
        <v>45204.388611111113</v>
      </c>
      <c r="L114" s="20" t="s">
        <v>27</v>
      </c>
      <c r="M114" s="20" t="s">
        <v>28</v>
      </c>
    </row>
    <row r="115" spans="1:13">
      <c r="A115" s="65">
        <v>113</v>
      </c>
      <c r="B115" s="38" t="s">
        <v>676</v>
      </c>
      <c r="C115" s="38" t="s">
        <v>415</v>
      </c>
      <c r="D115" s="25" t="s">
        <v>431</v>
      </c>
      <c r="E115" s="62">
        <v>45204.472916666666</v>
      </c>
      <c r="F115" s="63" t="s">
        <v>424</v>
      </c>
      <c r="G115" s="16"/>
      <c r="H115" s="20"/>
      <c r="I115" s="20" t="s">
        <v>26</v>
      </c>
      <c r="J115" s="20" t="s">
        <v>424</v>
      </c>
      <c r="K115" s="21">
        <v>45204.472997685189</v>
      </c>
      <c r="L115" s="20" t="s">
        <v>27</v>
      </c>
      <c r="M115" s="20" t="s">
        <v>28</v>
      </c>
    </row>
    <row r="116" spans="1:13">
      <c r="A116" s="65">
        <v>114</v>
      </c>
      <c r="B116" s="19">
        <v>1.1299999999999999</v>
      </c>
      <c r="C116" s="38" t="s">
        <v>450</v>
      </c>
      <c r="D116" s="25" t="s">
        <v>431</v>
      </c>
      <c r="E116" s="62">
        <v>45350</v>
      </c>
      <c r="F116" s="50" t="s">
        <v>658</v>
      </c>
      <c r="G116" s="16"/>
      <c r="H116" s="20"/>
      <c r="I116" s="20"/>
      <c r="J116" s="72" t="s">
        <v>635</v>
      </c>
      <c r="K116" s="21">
        <v>45350</v>
      </c>
      <c r="L116" s="20" t="s">
        <v>27</v>
      </c>
      <c r="M116" s="20" t="s">
        <v>28</v>
      </c>
    </row>
    <row r="117" spans="1:13">
      <c r="A117" s="65">
        <v>115</v>
      </c>
      <c r="B117" s="19"/>
      <c r="C117" s="19"/>
      <c r="D117" s="16"/>
      <c r="E117" s="62"/>
      <c r="F117" s="63"/>
      <c r="G117" s="16"/>
      <c r="H117" s="20"/>
      <c r="I117" s="20"/>
      <c r="J117" s="20"/>
      <c r="K117" s="21"/>
      <c r="L117" s="20"/>
      <c r="M117" s="20"/>
    </row>
    <row r="118" spans="1:13">
      <c r="A118" s="65">
        <v>116</v>
      </c>
      <c r="B118" s="19"/>
      <c r="C118" s="19"/>
      <c r="D118" s="16"/>
      <c r="E118" s="62"/>
      <c r="F118" s="63"/>
      <c r="G118" s="16"/>
      <c r="H118" s="20"/>
      <c r="I118" s="20"/>
      <c r="J118" s="20"/>
      <c r="K118" s="21"/>
      <c r="L118" s="20"/>
      <c r="M118" s="20"/>
    </row>
    <row r="119" spans="1:13">
      <c r="A119" s="65">
        <v>117</v>
      </c>
      <c r="B119" s="19"/>
      <c r="C119" s="19"/>
      <c r="D119" s="16"/>
      <c r="E119" s="62"/>
      <c r="F119" s="63"/>
      <c r="G119" s="16"/>
      <c r="H119" s="20"/>
      <c r="I119" s="20"/>
      <c r="J119" s="20"/>
      <c r="K119" s="21"/>
      <c r="L119" s="20"/>
      <c r="M119" s="20"/>
    </row>
    <row r="120" spans="1:13">
      <c r="A120" s="65">
        <v>118</v>
      </c>
      <c r="B120" s="19"/>
      <c r="C120" s="19"/>
      <c r="D120" s="16"/>
      <c r="E120" s="62"/>
      <c r="F120" s="63"/>
      <c r="G120" s="16"/>
      <c r="H120" s="20"/>
      <c r="I120" s="20"/>
      <c r="J120" s="20"/>
      <c r="K120" s="21"/>
      <c r="L120" s="20"/>
      <c r="M120" s="20"/>
    </row>
    <row r="121" spans="1:13">
      <c r="A121" s="65">
        <v>119</v>
      </c>
      <c r="B121" s="19"/>
      <c r="C121" s="19"/>
      <c r="D121" s="16"/>
      <c r="E121" s="62"/>
      <c r="F121" s="63"/>
      <c r="G121" s="16"/>
      <c r="H121" s="20"/>
      <c r="I121" s="20"/>
      <c r="J121" s="20"/>
      <c r="K121" s="21"/>
      <c r="L121" s="20"/>
      <c r="M121" s="20"/>
    </row>
    <row r="122" spans="1:13">
      <c r="A122" s="65">
        <v>120</v>
      </c>
      <c r="B122" s="19"/>
      <c r="C122" s="19"/>
      <c r="D122" s="16"/>
      <c r="E122" s="62"/>
      <c r="F122" s="63"/>
      <c r="G122" s="16"/>
      <c r="H122" s="20"/>
      <c r="I122" s="20"/>
      <c r="J122" s="20"/>
      <c r="K122" s="21"/>
      <c r="L122" s="20"/>
      <c r="M122" s="20"/>
    </row>
    <row r="123" spans="1:13">
      <c r="A123" s="65">
        <v>121</v>
      </c>
      <c r="B123" s="19"/>
      <c r="C123" s="19"/>
      <c r="D123" s="16"/>
      <c r="E123" s="62"/>
      <c r="F123" s="63"/>
      <c r="G123" s="16"/>
      <c r="H123" s="20"/>
      <c r="I123" s="20"/>
      <c r="J123" s="20"/>
      <c r="K123" s="21"/>
      <c r="L123" s="20"/>
      <c r="M123" s="20"/>
    </row>
    <row r="124" spans="1:13">
      <c r="A124" s="65">
        <v>122</v>
      </c>
      <c r="B124" s="19"/>
      <c r="C124" s="19"/>
      <c r="D124" s="16"/>
      <c r="E124" s="62"/>
      <c r="F124" s="63"/>
      <c r="G124" s="16"/>
      <c r="H124" s="20"/>
      <c r="I124" s="20"/>
      <c r="J124" s="20"/>
      <c r="K124" s="21"/>
      <c r="L124" s="20"/>
      <c r="M124" s="20"/>
    </row>
    <row r="125" spans="1:13">
      <c r="A125" s="65">
        <v>123</v>
      </c>
      <c r="B125" s="19"/>
      <c r="C125" s="19"/>
      <c r="D125" s="16"/>
      <c r="E125" s="62"/>
      <c r="F125" s="63"/>
      <c r="G125" s="16"/>
      <c r="H125" s="20"/>
      <c r="I125" s="20"/>
      <c r="J125" s="20"/>
      <c r="K125" s="21"/>
      <c r="L125" s="20"/>
      <c r="M125" s="20"/>
    </row>
    <row r="126" spans="1:13">
      <c r="A126" s="65">
        <v>124</v>
      </c>
      <c r="B126" s="19"/>
      <c r="C126" s="19"/>
      <c r="D126" s="16"/>
      <c r="E126" s="62"/>
      <c r="F126" s="63"/>
      <c r="G126" s="16"/>
      <c r="H126" s="20"/>
      <c r="I126" s="20"/>
      <c r="J126" s="20"/>
      <c r="K126" s="21"/>
      <c r="L126" s="20"/>
      <c r="M126" s="20"/>
    </row>
    <row r="127" spans="1:13">
      <c r="A127" s="65">
        <v>125</v>
      </c>
      <c r="B127" s="19"/>
      <c r="C127" s="19"/>
      <c r="D127" s="16"/>
      <c r="E127" s="62"/>
      <c r="F127" s="63"/>
      <c r="G127" s="16"/>
      <c r="H127" s="20"/>
      <c r="I127" s="20"/>
      <c r="J127" s="20"/>
      <c r="K127" s="21"/>
      <c r="L127" s="20"/>
      <c r="M127" s="20"/>
    </row>
    <row r="128" spans="1:13">
      <c r="A128" s="65">
        <v>126</v>
      </c>
      <c r="B128" s="19"/>
      <c r="C128" s="19"/>
      <c r="D128" s="16"/>
      <c r="E128" s="62"/>
      <c r="F128" s="63"/>
      <c r="G128" s="16"/>
      <c r="H128" s="20"/>
      <c r="I128" s="20"/>
      <c r="J128" s="20"/>
      <c r="K128" s="21"/>
      <c r="L128" s="20"/>
      <c r="M128" s="20"/>
    </row>
    <row r="129" spans="1:13">
      <c r="A129" s="65">
        <v>127</v>
      </c>
      <c r="B129" s="19"/>
      <c r="C129" s="19"/>
      <c r="D129" s="16"/>
      <c r="E129" s="62"/>
      <c r="F129" s="63"/>
      <c r="G129" s="16"/>
      <c r="H129" s="20"/>
      <c r="I129" s="20"/>
      <c r="J129" s="20"/>
      <c r="K129" s="21"/>
      <c r="L129" s="20"/>
      <c r="M129" s="20"/>
    </row>
    <row r="130" spans="1:13">
      <c r="A130" s="65">
        <v>128</v>
      </c>
      <c r="B130" s="19"/>
      <c r="C130" s="19"/>
      <c r="D130" s="16"/>
      <c r="E130" s="62"/>
      <c r="F130" s="63"/>
      <c r="G130" s="16"/>
      <c r="H130" s="20"/>
      <c r="I130" s="20"/>
      <c r="J130" s="20"/>
      <c r="K130" s="21"/>
      <c r="L130" s="20"/>
      <c r="M130" s="20"/>
    </row>
    <row r="131" spans="1:13">
      <c r="A131" s="65">
        <v>129</v>
      </c>
      <c r="B131" s="19"/>
      <c r="C131" s="19"/>
      <c r="D131" s="16"/>
      <c r="E131" s="62"/>
      <c r="F131" s="63"/>
      <c r="G131" s="16"/>
      <c r="H131" s="20"/>
      <c r="I131" s="20"/>
      <c r="J131" s="20"/>
      <c r="K131" s="21"/>
      <c r="L131" s="20"/>
      <c r="M131" s="20"/>
    </row>
    <row r="132" spans="1:13">
      <c r="A132" s="65">
        <v>130</v>
      </c>
      <c r="B132" s="19"/>
      <c r="C132" s="19"/>
      <c r="D132" s="16"/>
      <c r="E132" s="62"/>
      <c r="F132" s="63"/>
      <c r="G132" s="16"/>
      <c r="H132" s="20"/>
      <c r="I132" s="20"/>
      <c r="J132" s="20"/>
      <c r="K132" s="21"/>
      <c r="L132" s="20"/>
      <c r="M132" s="20"/>
    </row>
    <row r="133" spans="1:13">
      <c r="A133" s="65">
        <v>131</v>
      </c>
      <c r="B133" s="19"/>
      <c r="C133" s="19"/>
      <c r="D133" s="16"/>
      <c r="E133" s="62"/>
      <c r="F133" s="63"/>
      <c r="G133" s="16"/>
      <c r="H133" s="20"/>
      <c r="I133" s="20"/>
      <c r="J133" s="20"/>
      <c r="K133" s="21"/>
      <c r="L133" s="20"/>
      <c r="M133" s="20"/>
    </row>
    <row r="134" spans="1:13">
      <c r="A134" s="65">
        <v>132</v>
      </c>
      <c r="B134" s="19"/>
      <c r="C134" s="19"/>
      <c r="D134" s="16"/>
      <c r="E134" s="62"/>
      <c r="F134" s="63"/>
      <c r="G134" s="16"/>
      <c r="H134" s="20"/>
      <c r="I134" s="20"/>
      <c r="J134" s="20"/>
      <c r="K134" s="21"/>
      <c r="L134" s="20"/>
      <c r="M134" s="20"/>
    </row>
    <row r="135" spans="1:13">
      <c r="A135" s="65">
        <v>133</v>
      </c>
      <c r="B135" s="19"/>
      <c r="C135" s="19"/>
      <c r="D135" s="16"/>
      <c r="E135" s="62"/>
      <c r="F135" s="63"/>
      <c r="G135" s="16"/>
      <c r="H135" s="20"/>
      <c r="I135" s="20"/>
      <c r="J135" s="20"/>
      <c r="K135" s="21"/>
      <c r="L135" s="20"/>
      <c r="M135" s="20"/>
    </row>
    <row r="136" spans="1:13">
      <c r="A136" s="65">
        <v>134</v>
      </c>
      <c r="B136" s="19"/>
      <c r="C136" s="19"/>
      <c r="D136" s="16"/>
      <c r="E136" s="62"/>
      <c r="F136" s="63"/>
      <c r="G136" s="16"/>
      <c r="H136" s="20"/>
      <c r="I136" s="20"/>
      <c r="J136" s="20"/>
      <c r="K136" s="21"/>
      <c r="L136" s="20"/>
      <c r="M136" s="20"/>
    </row>
    <row r="137" spans="1:13">
      <c r="A137" s="65">
        <v>135</v>
      </c>
      <c r="B137" s="19"/>
      <c r="C137" s="19"/>
      <c r="D137" s="16"/>
      <c r="E137" s="62"/>
      <c r="F137" s="63"/>
      <c r="G137" s="16"/>
      <c r="H137" s="20"/>
      <c r="I137" s="20"/>
      <c r="J137" s="20"/>
      <c r="K137" s="21"/>
      <c r="L137" s="20"/>
      <c r="M137" s="20"/>
    </row>
    <row r="138" spans="1:13">
      <c r="A138" s="65">
        <v>136</v>
      </c>
      <c r="B138" s="19"/>
      <c r="C138" s="19"/>
      <c r="D138" s="16"/>
      <c r="E138" s="62"/>
      <c r="F138" s="63"/>
      <c r="G138" s="16"/>
      <c r="H138" s="20"/>
      <c r="I138" s="20"/>
      <c r="J138" s="20"/>
      <c r="K138" s="21"/>
      <c r="L138" s="20"/>
      <c r="M138" s="20"/>
    </row>
    <row r="139" spans="1:13">
      <c r="A139" s="65">
        <v>137</v>
      </c>
      <c r="B139" s="19"/>
      <c r="C139" s="19"/>
      <c r="D139" s="16"/>
      <c r="E139" s="62"/>
      <c r="F139" s="63"/>
      <c r="G139" s="16"/>
      <c r="H139" s="20"/>
      <c r="I139" s="20"/>
      <c r="J139" s="20"/>
      <c r="K139" s="21"/>
      <c r="L139" s="20"/>
      <c r="M139" s="20"/>
    </row>
    <row r="140" spans="1:13">
      <c r="A140" s="65">
        <v>138</v>
      </c>
      <c r="B140" s="19"/>
      <c r="C140" s="19"/>
      <c r="D140" s="16"/>
      <c r="E140" s="62"/>
      <c r="F140" s="63"/>
      <c r="G140" s="16"/>
      <c r="H140" s="20"/>
      <c r="I140" s="20"/>
      <c r="J140" s="20"/>
      <c r="K140" s="21"/>
      <c r="L140" s="20"/>
      <c r="M140" s="20"/>
    </row>
    <row r="141" spans="1:13">
      <c r="A141" s="65">
        <v>139</v>
      </c>
      <c r="B141" s="19"/>
      <c r="C141" s="19"/>
      <c r="D141" s="16"/>
      <c r="E141" s="62"/>
      <c r="F141" s="63"/>
      <c r="G141" s="16"/>
      <c r="H141" s="20"/>
      <c r="I141" s="20"/>
      <c r="J141" s="20"/>
      <c r="K141" s="21"/>
      <c r="L141" s="20"/>
      <c r="M141" s="20"/>
    </row>
    <row r="142" spans="1:13">
      <c r="A142" s="65">
        <v>140</v>
      </c>
      <c r="B142" s="19"/>
      <c r="C142" s="19"/>
      <c r="D142" s="16"/>
      <c r="E142" s="62"/>
      <c r="F142" s="63"/>
      <c r="G142" s="16"/>
      <c r="H142" s="20"/>
      <c r="I142" s="20"/>
      <c r="J142" s="20"/>
      <c r="K142" s="21"/>
      <c r="L142" s="20"/>
      <c r="M142" s="20"/>
    </row>
    <row r="143" spans="1:13">
      <c r="A143" s="65">
        <v>141</v>
      </c>
      <c r="B143" s="19"/>
      <c r="C143" s="19"/>
      <c r="D143" s="16"/>
      <c r="E143" s="62"/>
      <c r="F143" s="63"/>
      <c r="G143" s="16"/>
      <c r="H143" s="20"/>
      <c r="I143" s="20"/>
      <c r="J143" s="20"/>
      <c r="K143" s="21"/>
      <c r="L143" s="20"/>
      <c r="M143" s="20"/>
    </row>
    <row r="144" spans="1:13">
      <c r="A144" s="65">
        <v>142</v>
      </c>
      <c r="B144" s="19"/>
      <c r="C144" s="19"/>
      <c r="D144" s="16"/>
      <c r="E144" s="62"/>
      <c r="F144" s="63"/>
      <c r="G144" s="16"/>
      <c r="H144" s="20"/>
      <c r="I144" s="20"/>
      <c r="J144" s="20"/>
      <c r="K144" s="21"/>
      <c r="L144" s="20"/>
      <c r="M144" s="20"/>
    </row>
    <row r="145" spans="1:13">
      <c r="A145" s="65">
        <v>143</v>
      </c>
      <c r="B145" s="19"/>
      <c r="C145" s="19"/>
      <c r="D145" s="16"/>
      <c r="E145" s="62"/>
      <c r="F145" s="63"/>
      <c r="G145" s="16"/>
      <c r="H145" s="20"/>
      <c r="I145" s="20"/>
      <c r="J145" s="20"/>
      <c r="K145" s="21"/>
      <c r="L145" s="20"/>
      <c r="M145" s="20"/>
    </row>
    <row r="146" spans="1:13">
      <c r="A146" s="65">
        <v>144</v>
      </c>
      <c r="B146" s="19"/>
      <c r="C146" s="19"/>
      <c r="D146" s="16"/>
      <c r="E146" s="62"/>
      <c r="F146" s="63"/>
      <c r="G146" s="16"/>
      <c r="H146" s="20"/>
      <c r="I146" s="20"/>
      <c r="J146" s="20"/>
      <c r="K146" s="21"/>
      <c r="L146" s="20"/>
      <c r="M146" s="20"/>
    </row>
    <row r="147" spans="1:13">
      <c r="A147" s="65">
        <v>145</v>
      </c>
      <c r="B147" s="19"/>
      <c r="C147" s="19"/>
      <c r="D147" s="16"/>
      <c r="E147" s="62"/>
      <c r="F147" s="63"/>
      <c r="G147" s="16"/>
      <c r="H147" s="20"/>
      <c r="I147" s="20"/>
      <c r="J147" s="20"/>
      <c r="K147" s="21"/>
      <c r="L147" s="20"/>
      <c r="M147" s="20"/>
    </row>
    <row r="148" spans="1:13">
      <c r="A148" s="65">
        <v>146</v>
      </c>
      <c r="B148" s="19"/>
      <c r="C148" s="19"/>
      <c r="D148" s="16"/>
      <c r="E148" s="62"/>
      <c r="F148" s="63"/>
      <c r="G148" s="16"/>
      <c r="H148" s="20"/>
      <c r="I148" s="20"/>
      <c r="J148" s="20"/>
      <c r="K148" s="21"/>
      <c r="L148" s="20"/>
      <c r="M148" s="20"/>
    </row>
    <row r="149" spans="1:13">
      <c r="A149" s="65">
        <v>147</v>
      </c>
      <c r="B149" s="19"/>
      <c r="C149" s="19"/>
      <c r="D149" s="16"/>
      <c r="E149" s="62"/>
      <c r="F149" s="63"/>
      <c r="G149" s="16"/>
      <c r="H149" s="20"/>
      <c r="I149" s="20"/>
      <c r="J149" s="20"/>
      <c r="K149" s="21"/>
      <c r="L149" s="20"/>
      <c r="M149" s="20"/>
    </row>
    <row r="150" spans="1:13">
      <c r="A150" s="65">
        <v>148</v>
      </c>
      <c r="B150" s="19"/>
      <c r="C150" s="19"/>
      <c r="D150" s="16"/>
      <c r="E150" s="62"/>
      <c r="F150" s="63"/>
      <c r="G150" s="16"/>
      <c r="H150" s="20"/>
      <c r="I150" s="20"/>
      <c r="J150" s="20"/>
      <c r="K150" s="21"/>
      <c r="L150" s="20"/>
      <c r="M150" s="20"/>
    </row>
    <row r="151" spans="1:13">
      <c r="A151" s="65">
        <v>149</v>
      </c>
      <c r="B151" s="19"/>
      <c r="C151" s="19"/>
      <c r="D151" s="16"/>
      <c r="E151" s="62"/>
      <c r="F151" s="63"/>
      <c r="G151" s="16"/>
      <c r="H151" s="20"/>
      <c r="I151" s="20"/>
      <c r="J151" s="20"/>
      <c r="K151" s="21"/>
      <c r="L151" s="20"/>
      <c r="M151" s="20"/>
    </row>
    <row r="152" spans="1:13">
      <c r="A152" s="65">
        <v>150</v>
      </c>
      <c r="B152" s="19"/>
      <c r="C152" s="19"/>
      <c r="D152" s="16"/>
      <c r="E152" s="62"/>
      <c r="F152" s="63"/>
      <c r="G152" s="16"/>
      <c r="H152" s="20"/>
      <c r="I152" s="20"/>
      <c r="J152" s="20"/>
      <c r="K152" s="21"/>
      <c r="L152" s="20"/>
      <c r="M152" s="20"/>
    </row>
    <row r="153" spans="1:13">
      <c r="A153" s="65">
        <v>151</v>
      </c>
      <c r="B153" s="19"/>
      <c r="C153" s="19"/>
      <c r="D153" s="16"/>
      <c r="E153" s="62"/>
      <c r="F153" s="63"/>
      <c r="G153" s="16"/>
      <c r="H153" s="20"/>
      <c r="I153" s="20"/>
      <c r="J153" s="20"/>
      <c r="K153" s="21"/>
      <c r="L153" s="20"/>
      <c r="M153" s="20"/>
    </row>
    <row r="154" spans="1:13">
      <c r="A154" s="65">
        <v>152</v>
      </c>
      <c r="B154" s="19"/>
      <c r="C154" s="19"/>
      <c r="D154" s="16"/>
      <c r="E154" s="62"/>
      <c r="F154" s="63"/>
      <c r="G154" s="16"/>
      <c r="H154" s="20"/>
      <c r="I154" s="20"/>
      <c r="J154" s="20"/>
      <c r="K154" s="21"/>
      <c r="L154" s="20"/>
      <c r="M154" s="20"/>
    </row>
    <row r="155" spans="1:13">
      <c r="A155" s="65">
        <v>153</v>
      </c>
      <c r="B155" s="19"/>
      <c r="C155" s="19"/>
      <c r="D155" s="16"/>
      <c r="E155" s="62"/>
      <c r="F155" s="63"/>
      <c r="G155" s="16"/>
      <c r="H155" s="20"/>
      <c r="I155" s="20"/>
      <c r="J155" s="20"/>
      <c r="K155" s="21"/>
      <c r="L155" s="20"/>
      <c r="M155" s="20"/>
    </row>
    <row r="156" spans="1:13">
      <c r="A156" s="65">
        <v>154</v>
      </c>
      <c r="B156" s="19"/>
      <c r="C156" s="19"/>
      <c r="D156" s="16"/>
      <c r="E156" s="62"/>
      <c r="F156" s="63"/>
      <c r="G156" s="16"/>
      <c r="H156" s="20"/>
      <c r="I156" s="20"/>
      <c r="J156" s="20"/>
      <c r="K156" s="21"/>
      <c r="L156" s="20"/>
      <c r="M156" s="20"/>
    </row>
    <row r="157" spans="1:13">
      <c r="A157" s="65">
        <v>155</v>
      </c>
      <c r="B157" s="19"/>
      <c r="C157" s="19"/>
      <c r="D157" s="16"/>
      <c r="E157" s="62"/>
      <c r="F157" s="63"/>
      <c r="G157" s="16"/>
      <c r="H157" s="20"/>
      <c r="I157" s="20"/>
      <c r="J157" s="20"/>
      <c r="K157" s="21"/>
      <c r="L157" s="20"/>
      <c r="M157" s="20"/>
    </row>
    <row r="158" spans="1:13">
      <c r="A158" s="65">
        <v>156</v>
      </c>
      <c r="B158" s="19"/>
      <c r="C158" s="19"/>
      <c r="D158" s="16"/>
      <c r="E158" s="62"/>
      <c r="F158" s="63"/>
      <c r="G158" s="16"/>
      <c r="H158" s="20"/>
      <c r="I158" s="20"/>
      <c r="J158" s="20"/>
      <c r="K158" s="21"/>
      <c r="L158" s="20"/>
      <c r="M158" s="20"/>
    </row>
    <row r="159" spans="1:13">
      <c r="A159" s="65">
        <v>157</v>
      </c>
      <c r="B159" s="19"/>
      <c r="C159" s="19"/>
      <c r="D159" s="16"/>
      <c r="E159" s="62"/>
      <c r="F159" s="63"/>
      <c r="G159" s="16"/>
      <c r="H159" s="20"/>
      <c r="I159" s="20"/>
      <c r="J159" s="20"/>
      <c r="K159" s="21"/>
      <c r="L159" s="20"/>
      <c r="M159" s="20"/>
    </row>
    <row r="160" spans="1:13">
      <c r="A160" s="65">
        <v>158</v>
      </c>
      <c r="B160" s="19"/>
      <c r="C160" s="19"/>
      <c r="D160" s="16"/>
      <c r="E160" s="62"/>
      <c r="F160" s="63"/>
      <c r="G160" s="16"/>
      <c r="H160" s="20"/>
      <c r="I160" s="20"/>
      <c r="J160" s="20"/>
      <c r="K160" s="21"/>
      <c r="L160" s="20"/>
      <c r="M160" s="20"/>
    </row>
    <row r="161" spans="1:13">
      <c r="A161" s="65">
        <v>159</v>
      </c>
      <c r="B161" s="19"/>
      <c r="C161" s="19"/>
      <c r="D161" s="16"/>
      <c r="E161" s="62"/>
      <c r="F161" s="63"/>
      <c r="G161" s="16"/>
      <c r="H161" s="20"/>
      <c r="I161" s="20"/>
      <c r="J161" s="20"/>
      <c r="K161" s="21"/>
      <c r="L161" s="20"/>
      <c r="M161" s="20"/>
    </row>
    <row r="162" spans="1:13">
      <c r="A162" s="65">
        <v>160</v>
      </c>
      <c r="B162" s="19"/>
      <c r="C162" s="19"/>
      <c r="D162" s="16"/>
      <c r="E162" s="62"/>
      <c r="F162" s="63"/>
      <c r="G162" s="16"/>
      <c r="H162" s="20"/>
      <c r="I162" s="20"/>
      <c r="J162" s="20"/>
      <c r="K162" s="21"/>
      <c r="L162" s="20"/>
      <c r="M162" s="20"/>
    </row>
    <row r="163" spans="1:13">
      <c r="A163" s="65">
        <v>161</v>
      </c>
      <c r="B163" s="19"/>
      <c r="C163" s="19"/>
      <c r="D163" s="16"/>
      <c r="E163" s="62"/>
      <c r="F163" s="63"/>
      <c r="G163" s="16"/>
      <c r="H163" s="20"/>
      <c r="I163" s="20"/>
      <c r="J163" s="20"/>
      <c r="K163" s="21"/>
      <c r="L163" s="20"/>
      <c r="M163" s="20"/>
    </row>
    <row r="164" spans="1:13">
      <c r="A164" s="65">
        <v>162</v>
      </c>
      <c r="B164" s="19"/>
      <c r="C164" s="19"/>
      <c r="D164" s="16"/>
      <c r="E164" s="62"/>
      <c r="F164" s="63"/>
      <c r="G164" s="16"/>
      <c r="H164" s="20"/>
      <c r="I164" s="20"/>
      <c r="J164" s="20"/>
      <c r="K164" s="21"/>
      <c r="L164" s="20"/>
      <c r="M164" s="20"/>
    </row>
    <row r="165" spans="1:13">
      <c r="A165" s="65">
        <v>163</v>
      </c>
      <c r="B165" s="19"/>
      <c r="C165" s="19"/>
      <c r="D165" s="16"/>
      <c r="E165" s="62"/>
      <c r="F165" s="63"/>
      <c r="G165" s="16"/>
      <c r="H165" s="20"/>
      <c r="I165" s="20"/>
      <c r="J165" s="20"/>
      <c r="K165" s="21"/>
      <c r="L165" s="20"/>
      <c r="M165" s="20"/>
    </row>
    <row r="166" spans="1:13">
      <c r="A166" s="65">
        <v>164</v>
      </c>
      <c r="B166" s="19"/>
      <c r="C166" s="19"/>
      <c r="D166" s="16"/>
      <c r="E166" s="62"/>
      <c r="F166" s="63"/>
      <c r="G166" s="16"/>
      <c r="H166" s="20"/>
      <c r="I166" s="20"/>
      <c r="J166" s="20"/>
      <c r="K166" s="21"/>
      <c r="L166" s="20"/>
      <c r="M166" s="20"/>
    </row>
    <row r="167" spans="1:13">
      <c r="A167" s="65">
        <v>165</v>
      </c>
      <c r="B167" s="19"/>
      <c r="C167" s="19"/>
      <c r="D167" s="16"/>
      <c r="E167" s="62"/>
      <c r="F167" s="63"/>
      <c r="G167" s="16"/>
      <c r="H167" s="20"/>
      <c r="I167" s="20"/>
      <c r="J167" s="20"/>
      <c r="K167" s="21"/>
      <c r="L167" s="20"/>
      <c r="M167" s="20"/>
    </row>
    <row r="168" spans="1:13">
      <c r="A168" s="65">
        <v>166</v>
      </c>
      <c r="B168" s="19"/>
      <c r="C168" s="19"/>
      <c r="D168" s="16"/>
      <c r="E168" s="62"/>
      <c r="F168" s="63"/>
      <c r="G168" s="16"/>
      <c r="H168" s="20"/>
      <c r="I168" s="20"/>
      <c r="J168" s="20"/>
      <c r="K168" s="21"/>
      <c r="L168" s="20"/>
      <c r="M168" s="20"/>
    </row>
    <row r="169" spans="1:13">
      <c r="A169" s="65">
        <v>167</v>
      </c>
      <c r="B169" s="19"/>
      <c r="C169" s="19"/>
      <c r="D169" s="16"/>
      <c r="E169" s="62"/>
      <c r="F169" s="63"/>
      <c r="G169" s="16"/>
      <c r="H169" s="20"/>
      <c r="I169" s="20"/>
      <c r="J169" s="20"/>
      <c r="K169" s="21"/>
      <c r="L169" s="20"/>
      <c r="M169" s="20"/>
    </row>
    <row r="170" spans="1:13">
      <c r="A170" s="65">
        <v>168</v>
      </c>
      <c r="B170" s="19"/>
      <c r="C170" s="19"/>
      <c r="D170" s="16"/>
      <c r="E170" s="62"/>
      <c r="F170" s="63"/>
      <c r="G170" s="16"/>
      <c r="H170" s="20"/>
      <c r="I170" s="20"/>
      <c r="J170" s="20"/>
      <c r="K170" s="21"/>
      <c r="L170" s="20"/>
      <c r="M170" s="20"/>
    </row>
    <row r="171" spans="1:13">
      <c r="A171" s="65">
        <v>169</v>
      </c>
      <c r="B171" s="19"/>
      <c r="C171" s="19"/>
      <c r="D171" s="16"/>
      <c r="E171" s="62"/>
      <c r="F171" s="63"/>
      <c r="G171" s="16"/>
      <c r="H171" s="20"/>
      <c r="I171" s="20"/>
      <c r="J171" s="20"/>
      <c r="K171" s="21"/>
      <c r="L171" s="20"/>
      <c r="M171" s="20"/>
    </row>
    <row r="172" spans="1:13">
      <c r="A172" s="65">
        <v>170</v>
      </c>
      <c r="B172" s="19"/>
      <c r="C172" s="19"/>
      <c r="D172" s="16"/>
      <c r="E172" s="62"/>
      <c r="F172" s="63"/>
      <c r="G172" s="16"/>
      <c r="H172" s="20"/>
      <c r="I172" s="20"/>
      <c r="J172" s="20"/>
      <c r="K172" s="21"/>
      <c r="L172" s="20"/>
      <c r="M172" s="20"/>
    </row>
    <row r="173" spans="1:13">
      <c r="A173" s="65">
        <v>171</v>
      </c>
      <c r="B173" s="19"/>
      <c r="C173" s="19"/>
      <c r="D173" s="16"/>
      <c r="E173" s="62"/>
      <c r="F173" s="63"/>
      <c r="G173" s="16"/>
      <c r="H173" s="20"/>
      <c r="I173" s="20"/>
      <c r="J173" s="20"/>
      <c r="K173" s="21"/>
      <c r="L173" s="20"/>
      <c r="M173" s="20"/>
    </row>
    <row r="174" spans="1:13">
      <c r="A174" s="65">
        <v>172</v>
      </c>
      <c r="B174" s="19"/>
      <c r="C174" s="19"/>
      <c r="D174" s="16"/>
      <c r="E174" s="62"/>
      <c r="F174" s="63"/>
      <c r="G174" s="16"/>
      <c r="H174" s="20"/>
      <c r="I174" s="20"/>
      <c r="J174" s="20"/>
      <c r="K174" s="21"/>
      <c r="L174" s="20"/>
      <c r="M174" s="20"/>
    </row>
    <row r="175" spans="1:13">
      <c r="A175" s="65">
        <v>173</v>
      </c>
      <c r="B175" s="19"/>
      <c r="C175" s="19"/>
      <c r="D175" s="16"/>
      <c r="E175" s="62"/>
      <c r="F175" s="63"/>
      <c r="G175" s="16"/>
      <c r="H175" s="20"/>
      <c r="I175" s="20"/>
      <c r="J175" s="20"/>
      <c r="K175" s="21"/>
      <c r="L175" s="20"/>
      <c r="M175" s="20"/>
    </row>
    <row r="176" spans="1:13">
      <c r="A176" s="65">
        <v>174</v>
      </c>
      <c r="B176" s="19"/>
      <c r="C176" s="19"/>
      <c r="D176" s="16"/>
      <c r="E176" s="62"/>
      <c r="F176" s="63"/>
      <c r="G176" s="16"/>
      <c r="H176" s="20"/>
      <c r="I176" s="20"/>
      <c r="J176" s="20"/>
      <c r="K176" s="21"/>
      <c r="L176" s="20"/>
      <c r="M176" s="20"/>
    </row>
    <row r="177" spans="1:13">
      <c r="A177" s="65">
        <v>175</v>
      </c>
      <c r="B177" s="19"/>
      <c r="C177" s="19"/>
      <c r="D177" s="16"/>
      <c r="E177" s="62"/>
      <c r="F177" s="63"/>
      <c r="G177" s="16"/>
      <c r="H177" s="20"/>
      <c r="I177" s="20"/>
      <c r="J177" s="20"/>
      <c r="K177" s="21"/>
      <c r="L177" s="20"/>
      <c r="M177" s="20"/>
    </row>
    <row r="178" spans="1:13">
      <c r="A178" s="65">
        <v>176</v>
      </c>
      <c r="B178" s="19"/>
      <c r="C178" s="19"/>
      <c r="D178" s="16"/>
      <c r="E178" s="62"/>
      <c r="F178" s="63"/>
      <c r="G178" s="16"/>
      <c r="H178" s="20"/>
      <c r="I178" s="20"/>
      <c r="J178" s="20"/>
      <c r="K178" s="21"/>
      <c r="L178" s="20"/>
      <c r="M178" s="20"/>
    </row>
    <row r="179" spans="1:13">
      <c r="A179" s="65">
        <v>177</v>
      </c>
      <c r="B179" s="19"/>
      <c r="C179" s="19"/>
      <c r="D179" s="16"/>
      <c r="E179" s="62"/>
      <c r="F179" s="63"/>
      <c r="G179" s="16"/>
      <c r="H179" s="20"/>
      <c r="I179" s="20"/>
      <c r="J179" s="20"/>
      <c r="K179" s="21"/>
      <c r="L179" s="20"/>
      <c r="M179" s="20"/>
    </row>
    <row r="180" spans="1:13">
      <c r="A180" s="65">
        <v>178</v>
      </c>
      <c r="B180" s="19"/>
      <c r="C180" s="19"/>
      <c r="D180" s="16"/>
      <c r="E180" s="62"/>
      <c r="F180" s="63"/>
      <c r="G180" s="16"/>
      <c r="H180" s="20"/>
      <c r="I180" s="20"/>
      <c r="J180" s="20"/>
      <c r="K180" s="21"/>
      <c r="L180" s="20"/>
      <c r="M180" s="20"/>
    </row>
    <row r="181" spans="1:13">
      <c r="A181" s="65">
        <v>179</v>
      </c>
      <c r="B181" s="19"/>
      <c r="C181" s="19"/>
      <c r="D181" s="16"/>
      <c r="E181" s="62"/>
      <c r="F181" s="63"/>
      <c r="G181" s="16"/>
      <c r="H181" s="20"/>
      <c r="I181" s="20"/>
      <c r="J181" s="20"/>
      <c r="K181" s="21"/>
      <c r="L181" s="20"/>
      <c r="M181" s="20"/>
    </row>
    <row r="182" spans="1:13">
      <c r="A182" s="65">
        <v>180</v>
      </c>
      <c r="B182" s="19"/>
      <c r="C182" s="19"/>
      <c r="D182" s="16"/>
      <c r="E182" s="62"/>
      <c r="F182" s="63"/>
      <c r="G182" s="16"/>
      <c r="H182" s="20"/>
      <c r="I182" s="20"/>
      <c r="J182" s="20"/>
      <c r="K182" s="21"/>
      <c r="L182" s="20"/>
      <c r="M182" s="20"/>
    </row>
    <row r="183" spans="1:13">
      <c r="A183" s="65">
        <v>181</v>
      </c>
      <c r="B183" s="19"/>
      <c r="C183" s="19"/>
      <c r="D183" s="16"/>
      <c r="E183" s="62"/>
      <c r="F183" s="63"/>
      <c r="G183" s="16"/>
      <c r="H183" s="20"/>
      <c r="I183" s="20"/>
      <c r="J183" s="20"/>
      <c r="K183" s="21"/>
      <c r="L183" s="20"/>
      <c r="M183" s="20"/>
    </row>
    <row r="184" spans="1:13">
      <c r="A184" s="65">
        <v>182</v>
      </c>
      <c r="B184" s="19"/>
      <c r="C184" s="19"/>
      <c r="D184" s="16"/>
      <c r="E184" s="62"/>
      <c r="F184" s="63"/>
      <c r="G184" s="16"/>
      <c r="H184" s="20"/>
      <c r="I184" s="20"/>
      <c r="J184" s="20"/>
      <c r="K184" s="21"/>
      <c r="L184" s="20"/>
      <c r="M184" s="20"/>
    </row>
    <row r="185" spans="1:13">
      <c r="A185" s="65">
        <v>183</v>
      </c>
      <c r="B185" s="19"/>
      <c r="C185" s="19"/>
      <c r="D185" s="16"/>
      <c r="E185" s="62"/>
      <c r="F185" s="63"/>
      <c r="G185" s="16"/>
      <c r="H185" s="20"/>
      <c r="I185" s="20"/>
      <c r="J185" s="20"/>
      <c r="K185" s="21"/>
      <c r="L185" s="20"/>
      <c r="M185" s="20"/>
    </row>
    <row r="186" spans="1:13">
      <c r="A186" s="65">
        <v>184</v>
      </c>
      <c r="B186" s="19"/>
      <c r="C186" s="19"/>
      <c r="D186" s="16"/>
      <c r="E186" s="62"/>
      <c r="F186" s="63"/>
      <c r="G186" s="16"/>
      <c r="H186" s="20"/>
      <c r="I186" s="20"/>
      <c r="J186" s="20"/>
      <c r="K186" s="21"/>
      <c r="L186" s="20"/>
      <c r="M186" s="20"/>
    </row>
    <row r="187" spans="1:13">
      <c r="A187" s="65">
        <v>185</v>
      </c>
      <c r="B187" s="19"/>
      <c r="C187" s="19"/>
      <c r="D187" s="16"/>
      <c r="E187" s="62"/>
      <c r="F187" s="63"/>
      <c r="G187" s="16"/>
      <c r="H187" s="20"/>
      <c r="I187" s="20"/>
      <c r="J187" s="20"/>
      <c r="K187" s="21"/>
      <c r="L187" s="20"/>
      <c r="M187" s="20"/>
    </row>
    <row r="188" spans="1:13">
      <c r="A188" s="65">
        <v>186</v>
      </c>
      <c r="B188" s="19"/>
      <c r="C188" s="19"/>
      <c r="D188" s="16"/>
      <c r="E188" s="62"/>
      <c r="F188" s="63"/>
      <c r="G188" s="16"/>
      <c r="H188" s="20"/>
      <c r="I188" s="20"/>
      <c r="J188" s="20"/>
      <c r="K188" s="21"/>
      <c r="L188" s="20"/>
      <c r="M188" s="20"/>
    </row>
    <row r="189" spans="1:13">
      <c r="A189" s="65">
        <v>187</v>
      </c>
      <c r="B189" s="19"/>
      <c r="C189" s="19"/>
      <c r="D189" s="16"/>
      <c r="E189" s="62"/>
      <c r="F189" s="63"/>
      <c r="G189" s="16"/>
      <c r="H189" s="20"/>
      <c r="I189" s="20"/>
      <c r="J189" s="20"/>
      <c r="K189" s="21"/>
      <c r="L189" s="20"/>
      <c r="M189" s="20"/>
    </row>
    <row r="190" spans="1:13">
      <c r="A190" s="65">
        <v>188</v>
      </c>
      <c r="B190" s="19"/>
      <c r="C190" s="19"/>
      <c r="D190" s="16"/>
      <c r="E190" s="62"/>
      <c r="F190" s="63"/>
      <c r="G190" s="16"/>
      <c r="H190" s="20"/>
      <c r="I190" s="20"/>
      <c r="J190" s="20"/>
      <c r="K190" s="21"/>
      <c r="L190" s="20"/>
      <c r="M190" s="20"/>
    </row>
    <row r="191" spans="1:13">
      <c r="A191" s="65">
        <v>189</v>
      </c>
      <c r="B191" s="19"/>
      <c r="C191" s="19"/>
      <c r="D191" s="16"/>
      <c r="E191" s="62"/>
      <c r="F191" s="63"/>
      <c r="G191" s="16"/>
      <c r="H191" s="20"/>
      <c r="I191" s="20"/>
      <c r="J191" s="20"/>
      <c r="K191" s="21"/>
      <c r="L191" s="20"/>
      <c r="M191" s="20"/>
    </row>
    <row r="192" spans="1:13">
      <c r="A192" s="65">
        <v>190</v>
      </c>
      <c r="B192" s="19"/>
      <c r="C192" s="19"/>
      <c r="D192" s="16"/>
      <c r="E192" s="62"/>
      <c r="F192" s="63"/>
      <c r="G192" s="16"/>
      <c r="H192" s="20"/>
      <c r="I192" s="20"/>
      <c r="J192" s="20"/>
      <c r="K192" s="21"/>
      <c r="L192" s="20"/>
      <c r="M192" s="20"/>
    </row>
    <row r="193" spans="1:13">
      <c r="A193" s="65">
        <v>191</v>
      </c>
      <c r="B193" s="19"/>
      <c r="C193" s="19"/>
      <c r="D193" s="16"/>
      <c r="E193" s="62"/>
      <c r="F193" s="63"/>
      <c r="G193" s="16"/>
      <c r="H193" s="20"/>
      <c r="I193" s="20"/>
      <c r="J193" s="20"/>
      <c r="K193" s="21"/>
      <c r="L193" s="20"/>
      <c r="M193" s="20"/>
    </row>
    <row r="194" spans="1:13">
      <c r="A194" s="65">
        <v>192</v>
      </c>
      <c r="B194" s="19"/>
      <c r="C194" s="19"/>
      <c r="D194" s="16"/>
      <c r="E194" s="62"/>
      <c r="F194" s="63"/>
      <c r="G194" s="16"/>
      <c r="H194" s="20"/>
      <c r="I194" s="20"/>
      <c r="J194" s="20"/>
      <c r="K194" s="21"/>
      <c r="L194" s="20"/>
      <c r="M194" s="20"/>
    </row>
    <row r="195" spans="1:13">
      <c r="A195" s="65">
        <v>193</v>
      </c>
      <c r="B195" s="19"/>
      <c r="C195" s="19"/>
      <c r="D195" s="16"/>
      <c r="E195" s="62"/>
      <c r="F195" s="63"/>
      <c r="G195" s="16"/>
      <c r="H195" s="20"/>
      <c r="I195" s="20"/>
      <c r="J195" s="20"/>
      <c r="K195" s="21"/>
      <c r="L195" s="20"/>
      <c r="M195" s="20"/>
    </row>
    <row r="196" spans="1:13">
      <c r="A196" s="65">
        <v>194</v>
      </c>
      <c r="B196" s="19"/>
      <c r="C196" s="19"/>
      <c r="D196" s="16"/>
      <c r="E196" s="62"/>
      <c r="F196" s="63"/>
      <c r="G196" s="16"/>
      <c r="H196" s="20"/>
      <c r="I196" s="20"/>
      <c r="J196" s="20"/>
      <c r="K196" s="21"/>
      <c r="L196" s="20"/>
      <c r="M196" s="20"/>
    </row>
    <row r="197" spans="1:13">
      <c r="A197" s="65">
        <v>195</v>
      </c>
      <c r="B197" s="19"/>
      <c r="C197" s="19"/>
      <c r="D197" s="16"/>
      <c r="E197" s="62"/>
      <c r="F197" s="63"/>
      <c r="G197" s="16"/>
      <c r="H197" s="20"/>
      <c r="I197" s="20"/>
      <c r="J197" s="20"/>
      <c r="K197" s="21"/>
      <c r="L197" s="20"/>
      <c r="M197" s="20"/>
    </row>
    <row r="198" spans="1:13">
      <c r="A198" s="65">
        <v>196</v>
      </c>
      <c r="B198" s="19"/>
      <c r="C198" s="19"/>
      <c r="D198" s="16"/>
      <c r="E198" s="62"/>
      <c r="F198" s="63"/>
      <c r="G198" s="16"/>
      <c r="H198" s="20"/>
      <c r="I198" s="20"/>
      <c r="J198" s="20"/>
      <c r="K198" s="21"/>
      <c r="L198" s="20"/>
      <c r="M198" s="20"/>
    </row>
    <row r="199" spans="1:13">
      <c r="A199" s="65">
        <v>197</v>
      </c>
      <c r="B199" s="19"/>
      <c r="C199" s="19"/>
      <c r="D199" s="16"/>
      <c r="E199" s="62"/>
      <c r="F199" s="63"/>
      <c r="G199" s="16"/>
      <c r="H199" s="20"/>
      <c r="I199" s="20"/>
      <c r="J199" s="20"/>
      <c r="K199" s="21"/>
      <c r="L199" s="20"/>
      <c r="M199" s="20"/>
    </row>
    <row r="200" spans="1:13">
      <c r="A200" s="65">
        <v>198</v>
      </c>
      <c r="B200" s="19"/>
      <c r="C200" s="19"/>
      <c r="D200" s="16"/>
      <c r="E200" s="62"/>
      <c r="F200" s="63"/>
      <c r="G200" s="16"/>
      <c r="H200" s="20"/>
      <c r="I200" s="20"/>
      <c r="J200" s="20"/>
      <c r="K200" s="21"/>
      <c r="L200" s="20"/>
      <c r="M200" s="20"/>
    </row>
    <row r="201" spans="1:13">
      <c r="A201" s="65">
        <v>199</v>
      </c>
      <c r="B201" s="19"/>
      <c r="C201" s="19"/>
      <c r="D201" s="16"/>
      <c r="E201" s="62"/>
      <c r="F201" s="63"/>
      <c r="G201" s="16"/>
      <c r="H201" s="20"/>
      <c r="I201" s="20"/>
      <c r="J201" s="20"/>
      <c r="K201" s="21"/>
      <c r="L201" s="20"/>
      <c r="M201" s="20"/>
    </row>
    <row r="202" spans="1:13">
      <c r="A202" s="65">
        <v>200</v>
      </c>
      <c r="B202" s="19"/>
      <c r="C202" s="19"/>
      <c r="D202" s="16"/>
      <c r="E202" s="62"/>
      <c r="F202" s="63"/>
      <c r="G202" s="16"/>
      <c r="H202" s="20"/>
      <c r="I202" s="20"/>
      <c r="J202" s="20"/>
      <c r="K202" s="21"/>
      <c r="L202" s="20"/>
      <c r="M202" s="20"/>
    </row>
    <row r="203" spans="1:13">
      <c r="D203" s="52"/>
    </row>
  </sheetData>
  <autoFilter ref="A4:M202" xr:uid="{00000000-0009-0000-0000-000003000000}"/>
  <dataConsolidate/>
  <mergeCells count="2">
    <mergeCell ref="E3:G3"/>
    <mergeCell ref="A3:C3"/>
  </mergeCells>
  <phoneticPr fontId="56" type="noConversion"/>
  <conditionalFormatting sqref="L203:L65534 P1:P2">
    <cfRule type="cellIs" dxfId="58" priority="52" stopIfTrue="1" operator="equal">
      <formula>"Fixed"</formula>
    </cfRule>
    <cfRule type="cellIs" dxfId="57" priority="53" stopIfTrue="1" operator="equal">
      <formula>"Open"</formula>
    </cfRule>
  </conditionalFormatting>
  <conditionalFormatting sqref="L4">
    <cfRule type="cellIs" dxfId="56" priority="54" stopIfTrue="1" operator="equal">
      <formula>"Open"</formula>
    </cfRule>
    <cfRule type="cellIs" dxfId="55" priority="55" stopIfTrue="1" operator="equal">
      <formula>"Fixed"</formula>
    </cfRule>
  </conditionalFormatting>
  <conditionalFormatting sqref="L43:L50 L5:L41 L52:L60 L62:L84 L88:L89 L102 L104:L202">
    <cfRule type="expression" dxfId="54" priority="56" stopIfTrue="1">
      <formula>AND($M5="Approved",$L5="Fixed")</formula>
    </cfRule>
    <cfRule type="cellIs" dxfId="53" priority="57" stopIfTrue="1" operator="equal">
      <formula>"Fixed"</formula>
    </cfRule>
    <cfRule type="cellIs" dxfId="52" priority="58" stopIfTrue="1" operator="equal">
      <formula>"Open"</formula>
    </cfRule>
  </conditionalFormatting>
  <conditionalFormatting sqref="M5:M41 M49:M50 M52:M60 M62:M84 M88:M89 M102 M104:M202">
    <cfRule type="expression" dxfId="51" priority="59" stopIfTrue="1">
      <formula>OR(M5="Fixed",M5="Approved")</formula>
    </cfRule>
    <cfRule type="cellIs" dxfId="50" priority="60" stopIfTrue="1" operator="equal">
      <formula>"Rejected"</formula>
    </cfRule>
  </conditionalFormatting>
  <conditionalFormatting sqref="A3">
    <cfRule type="expression" dxfId="49" priority="46" stopIfTrue="1">
      <formula>$X$2=1</formula>
    </cfRule>
    <cfRule type="expression" dxfId="48" priority="47" stopIfTrue="1">
      <formula>$Y$2=1</formula>
    </cfRule>
    <cfRule type="expression" dxfId="47" priority="49" stopIfTrue="1">
      <formula>$AA$2=1</formula>
    </cfRule>
  </conditionalFormatting>
  <conditionalFormatting sqref="A3:C3">
    <cfRule type="expression" dxfId="46" priority="48" stopIfTrue="1">
      <formula>$Z$2=1</formula>
    </cfRule>
  </conditionalFormatting>
  <conditionalFormatting sqref="A5:K50 A52:H56 J52:K60 A62:H68 J62:K68 A58:H60 A57:G57 A69:K202">
    <cfRule type="expression" dxfId="45" priority="230" stopIfTrue="1">
      <formula>AND($M5="Approved",OR($L5=$R$1,$L5=$T$1))</formula>
    </cfRule>
  </conditionalFormatting>
  <conditionalFormatting sqref="L42">
    <cfRule type="expression" dxfId="44" priority="40" stopIfTrue="1">
      <formula>AND($M42="Approved",$L42="Fixed")</formula>
    </cfRule>
    <cfRule type="cellIs" dxfId="43" priority="41" stopIfTrue="1" operator="equal">
      <formula>"Fixed"</formula>
    </cfRule>
    <cfRule type="cellIs" dxfId="42" priority="42" stopIfTrue="1" operator="equal">
      <formula>"Open"</formula>
    </cfRule>
  </conditionalFormatting>
  <conditionalFormatting sqref="M42">
    <cfRule type="expression" dxfId="41" priority="43" stopIfTrue="1">
      <formula>OR(M42="Fixed",M42="Approved")</formula>
    </cfRule>
    <cfRule type="cellIs" dxfId="40" priority="44" stopIfTrue="1" operator="equal">
      <formula>"Rejected"</formula>
    </cfRule>
  </conditionalFormatting>
  <conditionalFormatting sqref="M43:M48">
    <cfRule type="expression" dxfId="39" priority="38" stopIfTrue="1">
      <formula>OR(M43="Fixed",M43="Approved")</formula>
    </cfRule>
    <cfRule type="cellIs" dxfId="38" priority="39" stopIfTrue="1" operator="equal">
      <formula>"Rejected"</formula>
    </cfRule>
  </conditionalFormatting>
  <conditionalFormatting sqref="L51">
    <cfRule type="expression" dxfId="37" priority="32" stopIfTrue="1">
      <formula>AND($M51="Approved",$L51="Fixed")</formula>
    </cfRule>
    <cfRule type="cellIs" dxfId="36" priority="33" stopIfTrue="1" operator="equal">
      <formula>"Fixed"</formula>
    </cfRule>
    <cfRule type="cellIs" dxfId="35" priority="34" stopIfTrue="1" operator="equal">
      <formula>"Open"</formula>
    </cfRule>
  </conditionalFormatting>
  <conditionalFormatting sqref="M51">
    <cfRule type="expression" dxfId="34" priority="35" stopIfTrue="1">
      <formula>OR(M51="Fixed",M51="Approved")</formula>
    </cfRule>
    <cfRule type="cellIs" dxfId="33" priority="36" stopIfTrue="1" operator="equal">
      <formula>"Rejected"</formula>
    </cfRule>
  </conditionalFormatting>
  <conditionalFormatting sqref="A51:K51">
    <cfRule type="expression" dxfId="32" priority="37" stopIfTrue="1">
      <formula>AND($M51="Approved",OR($L51=$R$1,$L51=$T$1))</formula>
    </cfRule>
  </conditionalFormatting>
  <conditionalFormatting sqref="I52">
    <cfRule type="expression" dxfId="31" priority="31" stopIfTrue="1">
      <formula>AND($M52="Approved",OR($L52=$R$1,$L52=$T$1))</formula>
    </cfRule>
  </conditionalFormatting>
  <conditionalFormatting sqref="I53">
    <cfRule type="expression" dxfId="30" priority="30" stopIfTrue="1">
      <formula>AND($M53="Approved",OR($L53=$R$1,$L53=$T$1))</formula>
    </cfRule>
  </conditionalFormatting>
  <conditionalFormatting sqref="I54:I60">
    <cfRule type="expression" dxfId="29" priority="29" stopIfTrue="1">
      <formula>AND($M54="Approved",OR($L54=$R$1,$L54=$T$1))</formula>
    </cfRule>
  </conditionalFormatting>
  <conditionalFormatting sqref="L61">
    <cfRule type="expression" dxfId="28" priority="23" stopIfTrue="1">
      <formula>AND($M61="Approved",$L61="Fixed")</formula>
    </cfRule>
    <cfRule type="cellIs" dxfId="27" priority="24" stopIfTrue="1" operator="equal">
      <formula>"Fixed"</formula>
    </cfRule>
    <cfRule type="cellIs" dxfId="26" priority="25" stopIfTrue="1" operator="equal">
      <formula>"Open"</formula>
    </cfRule>
  </conditionalFormatting>
  <conditionalFormatting sqref="M61">
    <cfRule type="expression" dxfId="25" priority="26" stopIfTrue="1">
      <formula>OR(M61="Fixed",M61="Approved")</formula>
    </cfRule>
    <cfRule type="cellIs" dxfId="24" priority="27" stopIfTrue="1" operator="equal">
      <formula>"Rejected"</formula>
    </cfRule>
  </conditionalFormatting>
  <conditionalFormatting sqref="A61:H61 J61:K61">
    <cfRule type="expression" dxfId="23" priority="28" stopIfTrue="1">
      <formula>AND($M61="Approved",OR($L61=$R$1,$L61=$T$1))</formula>
    </cfRule>
  </conditionalFormatting>
  <conditionalFormatting sqref="I61:I64">
    <cfRule type="expression" dxfId="22" priority="22" stopIfTrue="1">
      <formula>AND($M61="Approved",OR($L61=$R$1,$L61=$T$1))</formula>
    </cfRule>
  </conditionalFormatting>
  <conditionalFormatting sqref="I65:I68">
    <cfRule type="expression" dxfId="21" priority="21" stopIfTrue="1">
      <formula>AND($M65="Approved",OR($L65=$R$1,$L65=$T$1))</formula>
    </cfRule>
  </conditionalFormatting>
  <conditionalFormatting sqref="L85">
    <cfRule type="expression" dxfId="20" priority="16" stopIfTrue="1">
      <formula>AND($M85="Approved",$L85="Fixed")</formula>
    </cfRule>
    <cfRule type="cellIs" dxfId="19" priority="17" stopIfTrue="1" operator="equal">
      <formula>"Fixed"</formula>
    </cfRule>
    <cfRule type="cellIs" dxfId="18" priority="18" stopIfTrue="1" operator="equal">
      <formula>"Open"</formula>
    </cfRule>
  </conditionalFormatting>
  <conditionalFormatting sqref="M85">
    <cfRule type="expression" dxfId="17" priority="19" stopIfTrue="1">
      <formula>OR(M85="Fixed",M85="Approved")</formula>
    </cfRule>
    <cfRule type="cellIs" dxfId="16" priority="20" stopIfTrue="1" operator="equal">
      <formula>"Rejected"</formula>
    </cfRule>
  </conditionalFormatting>
  <conditionalFormatting sqref="L86:L87">
    <cfRule type="expression" dxfId="15" priority="11" stopIfTrue="1">
      <formula>AND($M86="Approved",$L86="Fixed")</formula>
    </cfRule>
    <cfRule type="cellIs" dxfId="14" priority="12" stopIfTrue="1" operator="equal">
      <formula>"Fixed"</formula>
    </cfRule>
    <cfRule type="cellIs" dxfId="13" priority="13" stopIfTrue="1" operator="equal">
      <formula>"Open"</formula>
    </cfRule>
  </conditionalFormatting>
  <conditionalFormatting sqref="M86:M87">
    <cfRule type="expression" dxfId="12" priority="14" stopIfTrue="1">
      <formula>OR(M86="Fixed",M86="Approved")</formula>
    </cfRule>
    <cfRule type="cellIs" dxfId="11" priority="15" stopIfTrue="1" operator="equal">
      <formula>"Rejected"</formula>
    </cfRule>
  </conditionalFormatting>
  <conditionalFormatting sqref="L90:L101">
    <cfRule type="expression" dxfId="10" priority="6" stopIfTrue="1">
      <formula>AND($M90="Approved",$L90="Fixed")</formula>
    </cfRule>
    <cfRule type="cellIs" dxfId="9" priority="7" stopIfTrue="1" operator="equal">
      <formula>"Fixed"</formula>
    </cfRule>
    <cfRule type="cellIs" dxfId="8" priority="8" stopIfTrue="1" operator="equal">
      <formula>"Open"</formula>
    </cfRule>
  </conditionalFormatting>
  <conditionalFormatting sqref="M90:M101">
    <cfRule type="expression" dxfId="7" priority="9" stopIfTrue="1">
      <formula>OR(M90="Fixed",M90="Approved")</formula>
    </cfRule>
    <cfRule type="cellIs" dxfId="6" priority="10" stopIfTrue="1" operator="equal">
      <formula>"Rejected"</formula>
    </cfRule>
  </conditionalFormatting>
  <conditionalFormatting sqref="L103">
    <cfRule type="expression" dxfId="5" priority="1" stopIfTrue="1">
      <formula>AND($M103="Approved",$L103="Fixed")</formula>
    </cfRule>
    <cfRule type="cellIs" dxfId="4" priority="2" stopIfTrue="1" operator="equal">
      <formula>"Fixed"</formula>
    </cfRule>
    <cfRule type="cellIs" dxfId="3" priority="3" stopIfTrue="1" operator="equal">
      <formula>"Open"</formula>
    </cfRule>
  </conditionalFormatting>
  <conditionalFormatting sqref="M103">
    <cfRule type="expression" dxfId="2" priority="4" stopIfTrue="1">
      <formula>OR(M103="Fixed",M103="Approved")</formula>
    </cfRule>
    <cfRule type="cellIs" dxfId="1" priority="5" stopIfTrue="1" operator="equal">
      <formula>"Rejected"</formula>
    </cfRule>
  </conditionalFormatting>
  <dataValidations count="3">
    <dataValidation type="list" allowBlank="1" showInputMessage="1" showErrorMessage="1" sqref="L5:L202" xr:uid="{00000000-0002-0000-0300-000000000000}">
      <formula1>$Q$1:$U$1</formula1>
    </dataValidation>
    <dataValidation type="list" allowBlank="1" showInputMessage="1" showErrorMessage="1" sqref="M5:M202" xr:uid="{00000000-0002-0000-0300-000001000000}">
      <formula1>$AH$1:$AI$1</formula1>
    </dataValidation>
    <dataValidation type="list" allowBlank="1" showInputMessage="1" showErrorMessage="1" sqref="I5:I202"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R33"/>
  <sheetViews>
    <sheetView zoomScale="80" zoomScaleNormal="80" workbookViewId="0">
      <pane xSplit="1" ySplit="3" topLeftCell="B4" activePane="bottomRight" state="frozen"/>
      <selection pane="topRight" activeCell="B1" sqref="B1"/>
      <selection pane="bottomLeft" activeCell="A4" sqref="A4"/>
      <selection pane="bottomRight" activeCell="B10" sqref="B10"/>
    </sheetView>
  </sheetViews>
  <sheetFormatPr defaultColWidth="9.42578125" defaultRowHeight="12.75"/>
  <cols>
    <col min="1" max="1" width="11" style="153" bestFit="1" customWidth="1"/>
    <col min="2" max="2" width="61" style="151" customWidth="1"/>
    <col min="3" max="14" width="4.42578125" style="150" bestFit="1" customWidth="1"/>
    <col min="15" max="15" width="30.5703125" style="150" customWidth="1"/>
    <col min="16" max="17" width="27.85546875" style="150" customWidth="1"/>
    <col min="18" max="16384" width="9.42578125" style="150"/>
  </cols>
  <sheetData>
    <row r="2" spans="1:18" ht="171.75">
      <c r="A2" s="166" t="s">
        <v>226</v>
      </c>
      <c r="B2" s="167" t="s">
        <v>260</v>
      </c>
      <c r="C2" s="168" t="s">
        <v>418</v>
      </c>
      <c r="D2" s="168" t="s">
        <v>432</v>
      </c>
      <c r="E2" s="168" t="s">
        <v>474</v>
      </c>
      <c r="F2" s="168" t="s">
        <v>480</v>
      </c>
      <c r="G2" s="168" t="s">
        <v>498</v>
      </c>
      <c r="H2" s="168" t="s">
        <v>508</v>
      </c>
      <c r="I2" s="168" t="s">
        <v>530</v>
      </c>
      <c r="J2" s="168" t="s">
        <v>533</v>
      </c>
      <c r="K2" s="168" t="s">
        <v>571</v>
      </c>
      <c r="L2" s="168" t="s">
        <v>652</v>
      </c>
      <c r="M2" s="168" t="s">
        <v>673</v>
      </c>
      <c r="N2" s="168" t="s">
        <v>398</v>
      </c>
      <c r="O2" s="169" t="s">
        <v>241</v>
      </c>
      <c r="P2" s="363" t="s">
        <v>186</v>
      </c>
      <c r="Q2" s="364"/>
    </row>
    <row r="3" spans="1:18" ht="37.5">
      <c r="A3" s="170"/>
      <c r="B3" s="171"/>
      <c r="C3" s="171">
        <f t="shared" ref="C3:N3" si="0">COUNTIF(C5:C33,"Yes")</f>
        <v>5</v>
      </c>
      <c r="D3" s="171">
        <f t="shared" si="0"/>
        <v>15</v>
      </c>
      <c r="E3" s="171">
        <f t="shared" ref="E3:J3" si="1">COUNTIF(E5:E33,"Yes")</f>
        <v>14</v>
      </c>
      <c r="F3" s="171">
        <f t="shared" ref="F3:I3" si="2">COUNTIF(F5:F33,"Yes")</f>
        <v>15</v>
      </c>
      <c r="G3" s="171">
        <f t="shared" si="2"/>
        <v>13</v>
      </c>
      <c r="H3" s="171">
        <f t="shared" si="2"/>
        <v>15</v>
      </c>
      <c r="I3" s="171">
        <f t="shared" si="2"/>
        <v>13</v>
      </c>
      <c r="J3" s="171">
        <f t="shared" si="1"/>
        <v>14</v>
      </c>
      <c r="K3" s="171">
        <f t="shared" si="0"/>
        <v>15</v>
      </c>
      <c r="L3" s="171">
        <f t="shared" si="0"/>
        <v>14</v>
      </c>
      <c r="M3" s="171">
        <f t="shared" si="0"/>
        <v>15</v>
      </c>
      <c r="N3" s="171">
        <f t="shared" si="0"/>
        <v>0</v>
      </c>
      <c r="O3" s="158"/>
      <c r="P3" s="182" t="s">
        <v>232</v>
      </c>
      <c r="Q3" s="182" t="s">
        <v>233</v>
      </c>
      <c r="R3" s="159"/>
    </row>
    <row r="4" spans="1:18" ht="36">
      <c r="A4" s="172"/>
      <c r="B4" s="173" t="s">
        <v>245</v>
      </c>
      <c r="C4" s="174"/>
      <c r="D4" s="174"/>
      <c r="E4" s="174"/>
      <c r="F4" s="174"/>
      <c r="G4" s="174"/>
      <c r="H4" s="174"/>
      <c r="I4" s="174"/>
      <c r="J4" s="174"/>
      <c r="K4" s="174"/>
      <c r="L4" s="174"/>
      <c r="M4" s="174"/>
      <c r="N4" s="174"/>
      <c r="O4" s="174"/>
      <c r="P4" s="174"/>
      <c r="Q4" s="175"/>
      <c r="R4" s="89"/>
    </row>
    <row r="5" spans="1:18" ht="15">
      <c r="A5" s="154"/>
      <c r="B5" s="176" t="s">
        <v>244</v>
      </c>
      <c r="C5" s="155"/>
      <c r="D5" s="155"/>
      <c r="E5" s="155"/>
      <c r="F5" s="155"/>
      <c r="G5" s="155"/>
      <c r="H5" s="155"/>
      <c r="I5" s="155"/>
      <c r="J5" s="155"/>
      <c r="K5" s="155"/>
      <c r="L5" s="155"/>
      <c r="M5" s="155"/>
      <c r="N5" s="155"/>
      <c r="O5" s="155"/>
      <c r="P5" s="155"/>
      <c r="Q5" s="156"/>
    </row>
    <row r="6" spans="1:18" ht="38.25">
      <c r="A6" s="160" t="s">
        <v>243</v>
      </c>
      <c r="B6" s="179" t="s">
        <v>259</v>
      </c>
      <c r="C6" s="152"/>
      <c r="D6" s="152"/>
      <c r="E6" s="152"/>
      <c r="F6" s="152"/>
      <c r="G6" s="152"/>
      <c r="H6" s="152"/>
      <c r="I6" s="152"/>
      <c r="J6" s="152"/>
      <c r="K6" s="152"/>
      <c r="L6" s="152"/>
      <c r="M6" s="152"/>
      <c r="N6" s="152"/>
      <c r="O6" s="152"/>
      <c r="P6" s="157"/>
      <c r="Q6" s="157"/>
    </row>
    <row r="7" spans="1:18" ht="15">
      <c r="A7" s="154"/>
      <c r="B7" s="176" t="s">
        <v>316</v>
      </c>
      <c r="C7" s="155"/>
      <c r="D7" s="155"/>
      <c r="E7" s="155"/>
      <c r="F7" s="155"/>
      <c r="G7" s="155"/>
      <c r="H7" s="155"/>
      <c r="I7" s="155"/>
      <c r="J7" s="155"/>
      <c r="K7" s="155"/>
      <c r="L7" s="155"/>
      <c r="M7" s="155"/>
      <c r="N7" s="155"/>
      <c r="O7" s="155"/>
      <c r="P7" s="155"/>
      <c r="Q7" s="156"/>
    </row>
    <row r="8" spans="1:18" ht="38.25">
      <c r="A8" s="160" t="s">
        <v>317</v>
      </c>
      <c r="B8" s="179" t="s">
        <v>318</v>
      </c>
      <c r="C8" s="152" t="s">
        <v>23</v>
      </c>
      <c r="D8" s="152" t="s">
        <v>225</v>
      </c>
      <c r="E8" s="152" t="s">
        <v>225</v>
      </c>
      <c r="F8" s="152" t="s">
        <v>225</v>
      </c>
      <c r="G8" s="152" t="s">
        <v>23</v>
      </c>
      <c r="H8" s="152" t="s">
        <v>225</v>
      </c>
      <c r="I8" s="152" t="s">
        <v>23</v>
      </c>
      <c r="J8" s="152" t="s">
        <v>23</v>
      </c>
      <c r="K8" s="152" t="s">
        <v>225</v>
      </c>
      <c r="L8" s="152" t="s">
        <v>23</v>
      </c>
      <c r="M8" s="152" t="s">
        <v>225</v>
      </c>
      <c r="N8" s="152"/>
      <c r="O8" s="152"/>
      <c r="P8" s="157"/>
      <c r="Q8" s="157"/>
    </row>
    <row r="9" spans="1:18" ht="25.5">
      <c r="A9" s="160" t="s">
        <v>319</v>
      </c>
      <c r="B9" s="179" t="s">
        <v>320</v>
      </c>
      <c r="C9" s="152" t="s">
        <v>23</v>
      </c>
      <c r="D9" s="152" t="s">
        <v>225</v>
      </c>
      <c r="E9" s="152" t="s">
        <v>225</v>
      </c>
      <c r="F9" s="152" t="s">
        <v>225</v>
      </c>
      <c r="G9" s="152" t="s">
        <v>225</v>
      </c>
      <c r="H9" s="152" t="s">
        <v>225</v>
      </c>
      <c r="I9" s="152" t="s">
        <v>225</v>
      </c>
      <c r="J9" s="152" t="s">
        <v>225</v>
      </c>
      <c r="K9" s="152" t="s">
        <v>225</v>
      </c>
      <c r="L9" s="152" t="s">
        <v>225</v>
      </c>
      <c r="M9" s="152" t="s">
        <v>225</v>
      </c>
      <c r="N9" s="152"/>
      <c r="O9" s="152"/>
      <c r="P9" s="157"/>
      <c r="Q9" s="157"/>
    </row>
    <row r="10" spans="1:18" ht="38.25">
      <c r="A10" s="160" t="s">
        <v>321</v>
      </c>
      <c r="B10" s="179" t="s">
        <v>322</v>
      </c>
      <c r="C10" s="152" t="s">
        <v>225</v>
      </c>
      <c r="D10" s="152" t="s">
        <v>225</v>
      </c>
      <c r="E10" s="152" t="s">
        <v>225</v>
      </c>
      <c r="F10" s="152" t="s">
        <v>225</v>
      </c>
      <c r="G10" s="152" t="s">
        <v>225</v>
      </c>
      <c r="H10" s="152" t="s">
        <v>225</v>
      </c>
      <c r="I10" s="152" t="s">
        <v>225</v>
      </c>
      <c r="J10" s="152" t="s">
        <v>225</v>
      </c>
      <c r="K10" s="152" t="s">
        <v>225</v>
      </c>
      <c r="L10" s="152" t="s">
        <v>225</v>
      </c>
      <c r="M10" s="152" t="s">
        <v>225</v>
      </c>
      <c r="N10" s="152"/>
      <c r="O10" s="152"/>
      <c r="P10" s="157"/>
      <c r="Q10" s="157"/>
    </row>
    <row r="11" spans="1:18" ht="25.5">
      <c r="A11" s="160" t="s">
        <v>323</v>
      </c>
      <c r="B11" s="179" t="s">
        <v>324</v>
      </c>
      <c r="C11" s="152" t="s">
        <v>225</v>
      </c>
      <c r="D11" s="152" t="s">
        <v>225</v>
      </c>
      <c r="E11" s="152" t="s">
        <v>225</v>
      </c>
      <c r="F11" s="152" t="s">
        <v>225</v>
      </c>
      <c r="G11" s="152" t="s">
        <v>225</v>
      </c>
      <c r="H11" s="152" t="s">
        <v>225</v>
      </c>
      <c r="I11" s="152" t="s">
        <v>225</v>
      </c>
      <c r="J11" s="152" t="s">
        <v>225</v>
      </c>
      <c r="K11" s="152" t="s">
        <v>225</v>
      </c>
      <c r="L11" s="152" t="s">
        <v>225</v>
      </c>
      <c r="M11" s="152" t="s">
        <v>225</v>
      </c>
      <c r="N11" s="152"/>
      <c r="O11" s="152"/>
      <c r="P11" s="157"/>
      <c r="Q11" s="157"/>
    </row>
    <row r="12" spans="1:18" ht="51">
      <c r="A12" s="160" t="s">
        <v>325</v>
      </c>
      <c r="B12" s="179" t="s">
        <v>326</v>
      </c>
      <c r="C12" s="152" t="s">
        <v>11</v>
      </c>
      <c r="D12" s="152" t="s">
        <v>11</v>
      </c>
      <c r="E12" s="152" t="s">
        <v>11</v>
      </c>
      <c r="F12" s="152" t="s">
        <v>11</v>
      </c>
      <c r="G12" s="152" t="s">
        <v>11</v>
      </c>
      <c r="H12" s="152" t="s">
        <v>11</v>
      </c>
      <c r="I12" s="152" t="s">
        <v>11</v>
      </c>
      <c r="J12" s="152" t="s">
        <v>11</v>
      </c>
      <c r="K12" s="152" t="s">
        <v>11</v>
      </c>
      <c r="L12" s="152" t="s">
        <v>11</v>
      </c>
      <c r="M12" s="152" t="s">
        <v>11</v>
      </c>
      <c r="N12" s="152"/>
      <c r="O12" s="152"/>
      <c r="P12" s="157"/>
      <c r="Q12" s="157"/>
    </row>
    <row r="13" spans="1:18" ht="25.5">
      <c r="A13" s="160" t="s">
        <v>327</v>
      </c>
      <c r="B13" s="179" t="s">
        <v>328</v>
      </c>
      <c r="C13" s="152" t="s">
        <v>225</v>
      </c>
      <c r="D13" s="152" t="s">
        <v>225</v>
      </c>
      <c r="E13" s="152" t="s">
        <v>225</v>
      </c>
      <c r="F13" s="152" t="s">
        <v>225</v>
      </c>
      <c r="G13" s="152" t="s">
        <v>225</v>
      </c>
      <c r="H13" s="152" t="s">
        <v>225</v>
      </c>
      <c r="I13" s="152" t="s">
        <v>225</v>
      </c>
      <c r="J13" s="152" t="s">
        <v>225</v>
      </c>
      <c r="K13" s="152" t="s">
        <v>225</v>
      </c>
      <c r="L13" s="152" t="s">
        <v>225</v>
      </c>
      <c r="M13" s="152" t="s">
        <v>225</v>
      </c>
      <c r="N13" s="152"/>
      <c r="O13" s="152"/>
      <c r="P13" s="157"/>
      <c r="Q13" s="157"/>
    </row>
    <row r="14" spans="1:18" ht="25.5">
      <c r="A14" s="160" t="s">
        <v>329</v>
      </c>
      <c r="B14" s="179" t="s">
        <v>330</v>
      </c>
      <c r="C14" s="152" t="s">
        <v>23</v>
      </c>
      <c r="D14" s="152" t="s">
        <v>225</v>
      </c>
      <c r="E14" s="152" t="s">
        <v>225</v>
      </c>
      <c r="F14" s="152" t="s">
        <v>225</v>
      </c>
      <c r="G14" s="152" t="s">
        <v>225</v>
      </c>
      <c r="H14" s="152" t="s">
        <v>225</v>
      </c>
      <c r="I14" s="152" t="s">
        <v>225</v>
      </c>
      <c r="J14" s="152" t="s">
        <v>225</v>
      </c>
      <c r="K14" s="152" t="s">
        <v>225</v>
      </c>
      <c r="L14" s="152" t="s">
        <v>225</v>
      </c>
      <c r="M14" s="152" t="s">
        <v>225</v>
      </c>
      <c r="N14" s="152"/>
      <c r="O14" s="152"/>
      <c r="P14" s="157"/>
      <c r="Q14" s="157"/>
    </row>
    <row r="15" spans="1:18" ht="38.25">
      <c r="A15" s="160" t="s">
        <v>331</v>
      </c>
      <c r="B15" s="179" t="s">
        <v>332</v>
      </c>
      <c r="C15" s="152" t="s">
        <v>23</v>
      </c>
      <c r="D15" s="152" t="s">
        <v>225</v>
      </c>
      <c r="E15" s="152" t="s">
        <v>225</v>
      </c>
      <c r="F15" s="152" t="s">
        <v>225</v>
      </c>
      <c r="G15" s="152" t="s">
        <v>225</v>
      </c>
      <c r="H15" s="152" t="s">
        <v>225</v>
      </c>
      <c r="I15" s="152" t="s">
        <v>23</v>
      </c>
      <c r="J15" s="152" t="s">
        <v>225</v>
      </c>
      <c r="K15" s="152" t="s">
        <v>225</v>
      </c>
      <c r="L15" s="152" t="s">
        <v>225</v>
      </c>
      <c r="M15" s="152" t="s">
        <v>225</v>
      </c>
      <c r="N15" s="152"/>
      <c r="O15" s="152"/>
      <c r="P15" s="157"/>
      <c r="Q15" s="157"/>
    </row>
    <row r="16" spans="1:18" ht="25.5">
      <c r="A16" s="160" t="s">
        <v>333</v>
      </c>
      <c r="B16" s="179" t="s">
        <v>334</v>
      </c>
      <c r="C16" s="152" t="s">
        <v>23</v>
      </c>
      <c r="D16" s="152" t="s">
        <v>225</v>
      </c>
      <c r="E16" s="152" t="s">
        <v>225</v>
      </c>
      <c r="F16" s="152" t="s">
        <v>225</v>
      </c>
      <c r="G16" s="152" t="s">
        <v>225</v>
      </c>
      <c r="H16" s="152" t="s">
        <v>225</v>
      </c>
      <c r="I16" s="152" t="s">
        <v>225</v>
      </c>
      <c r="J16" s="152" t="s">
        <v>225</v>
      </c>
      <c r="K16" s="152" t="s">
        <v>225</v>
      </c>
      <c r="L16" s="152" t="s">
        <v>225</v>
      </c>
      <c r="M16" s="152" t="s">
        <v>225</v>
      </c>
      <c r="N16" s="152"/>
      <c r="O16" s="152"/>
      <c r="P16" s="157"/>
      <c r="Q16" s="157"/>
    </row>
    <row r="17" spans="1:17" ht="38.25">
      <c r="A17" s="160" t="s">
        <v>335</v>
      </c>
      <c r="B17" s="179" t="s">
        <v>336</v>
      </c>
      <c r="C17" s="152" t="s">
        <v>225</v>
      </c>
      <c r="D17" s="152" t="s">
        <v>225</v>
      </c>
      <c r="E17" s="152" t="s">
        <v>225</v>
      </c>
      <c r="F17" s="152" t="s">
        <v>225</v>
      </c>
      <c r="G17" s="152" t="s">
        <v>225</v>
      </c>
      <c r="H17" s="152" t="s">
        <v>225</v>
      </c>
      <c r="I17" s="152" t="s">
        <v>225</v>
      </c>
      <c r="J17" s="152" t="s">
        <v>225</v>
      </c>
      <c r="K17" s="152" t="s">
        <v>225</v>
      </c>
      <c r="L17" s="152" t="s">
        <v>225</v>
      </c>
      <c r="M17" s="152" t="s">
        <v>225</v>
      </c>
      <c r="N17" s="152"/>
      <c r="O17" s="152"/>
      <c r="P17" s="157"/>
      <c r="Q17" s="157"/>
    </row>
    <row r="18" spans="1:17" ht="38.25">
      <c r="A18" s="160" t="s">
        <v>337</v>
      </c>
      <c r="B18" s="179" t="s">
        <v>338</v>
      </c>
      <c r="C18" s="152" t="s">
        <v>11</v>
      </c>
      <c r="D18" s="152" t="s">
        <v>11</v>
      </c>
      <c r="E18" s="152" t="s">
        <v>11</v>
      </c>
      <c r="F18" s="152" t="s">
        <v>11</v>
      </c>
      <c r="G18" s="152" t="s">
        <v>11</v>
      </c>
      <c r="H18" s="152" t="s">
        <v>11</v>
      </c>
      <c r="I18" s="152" t="s">
        <v>11</v>
      </c>
      <c r="J18" s="152" t="s">
        <v>11</v>
      </c>
      <c r="K18" s="152" t="s">
        <v>11</v>
      </c>
      <c r="L18" s="152" t="s">
        <v>11</v>
      </c>
      <c r="M18" s="152" t="s">
        <v>11</v>
      </c>
      <c r="N18" s="152"/>
      <c r="O18" s="152"/>
      <c r="P18" s="157"/>
      <c r="Q18" s="157"/>
    </row>
    <row r="19" spans="1:17" ht="25.5">
      <c r="A19" s="160" t="s">
        <v>339</v>
      </c>
      <c r="B19" s="179" t="s">
        <v>340</v>
      </c>
      <c r="C19" s="152" t="s">
        <v>11</v>
      </c>
      <c r="D19" s="152" t="s">
        <v>11</v>
      </c>
      <c r="E19" s="152" t="s">
        <v>11</v>
      </c>
      <c r="F19" s="152" t="s">
        <v>11</v>
      </c>
      <c r="G19" s="152" t="s">
        <v>11</v>
      </c>
      <c r="H19" s="152" t="s">
        <v>11</v>
      </c>
      <c r="I19" s="152" t="s">
        <v>11</v>
      </c>
      <c r="J19" s="152" t="s">
        <v>11</v>
      </c>
      <c r="K19" s="152" t="s">
        <v>11</v>
      </c>
      <c r="L19" s="152" t="s">
        <v>11</v>
      </c>
      <c r="M19" s="152" t="s">
        <v>11</v>
      </c>
      <c r="N19" s="152"/>
      <c r="O19" s="152"/>
      <c r="P19" s="157"/>
      <c r="Q19" s="157"/>
    </row>
    <row r="20" spans="1:17" ht="25.5">
      <c r="A20" s="160" t="s">
        <v>341</v>
      </c>
      <c r="B20" s="179" t="s">
        <v>342</v>
      </c>
      <c r="C20" s="152" t="s">
        <v>11</v>
      </c>
      <c r="D20" s="152" t="s">
        <v>11</v>
      </c>
      <c r="E20" s="152" t="s">
        <v>11</v>
      </c>
      <c r="F20" s="152" t="s">
        <v>11</v>
      </c>
      <c r="G20" s="152" t="s">
        <v>11</v>
      </c>
      <c r="H20" s="152" t="s">
        <v>11</v>
      </c>
      <c r="I20" s="152" t="s">
        <v>11</v>
      </c>
      <c r="J20" s="152" t="s">
        <v>11</v>
      </c>
      <c r="K20" s="152" t="s">
        <v>11</v>
      </c>
      <c r="L20" s="152" t="s">
        <v>11</v>
      </c>
      <c r="M20" s="152" t="s">
        <v>11</v>
      </c>
      <c r="N20" s="152"/>
      <c r="O20" s="152"/>
      <c r="P20" s="157"/>
      <c r="Q20" s="157"/>
    </row>
    <row r="21" spans="1:17" ht="38.25">
      <c r="A21" s="160" t="s">
        <v>343</v>
      </c>
      <c r="B21" s="179" t="s">
        <v>344</v>
      </c>
      <c r="C21" s="152" t="s">
        <v>23</v>
      </c>
      <c r="D21" s="152" t="s">
        <v>225</v>
      </c>
      <c r="E21" s="152" t="s">
        <v>225</v>
      </c>
      <c r="F21" s="152" t="s">
        <v>225</v>
      </c>
      <c r="G21" s="152" t="s">
        <v>225</v>
      </c>
      <c r="H21" s="152" t="s">
        <v>225</v>
      </c>
      <c r="I21" s="152" t="s">
        <v>225</v>
      </c>
      <c r="J21" s="152" t="s">
        <v>225</v>
      </c>
      <c r="K21" s="152" t="s">
        <v>225</v>
      </c>
      <c r="L21" s="152" t="s">
        <v>225</v>
      </c>
      <c r="M21" s="152" t="s">
        <v>225</v>
      </c>
      <c r="N21" s="152"/>
      <c r="O21" s="152"/>
      <c r="P21" s="157"/>
      <c r="Q21" s="157"/>
    </row>
    <row r="22" spans="1:17" ht="38.25">
      <c r="A22" s="160" t="s">
        <v>345</v>
      </c>
      <c r="B22" s="179" t="s">
        <v>346</v>
      </c>
      <c r="C22" s="152" t="s">
        <v>11</v>
      </c>
      <c r="D22" s="152" t="s">
        <v>11</v>
      </c>
      <c r="E22" s="152" t="s">
        <v>11</v>
      </c>
      <c r="F22" s="152" t="s">
        <v>11</v>
      </c>
      <c r="G22" s="152" t="s">
        <v>11</v>
      </c>
      <c r="H22" s="152" t="s">
        <v>11</v>
      </c>
      <c r="I22" s="152" t="s">
        <v>11</v>
      </c>
      <c r="J22" s="152" t="s">
        <v>11</v>
      </c>
      <c r="K22" s="152" t="s">
        <v>11</v>
      </c>
      <c r="L22" s="152" t="s">
        <v>11</v>
      </c>
      <c r="M22" s="152" t="s">
        <v>11</v>
      </c>
      <c r="N22" s="152"/>
      <c r="O22" s="152"/>
      <c r="P22" s="157"/>
      <c r="Q22" s="157"/>
    </row>
    <row r="23" spans="1:17" ht="15">
      <c r="A23" s="154"/>
      <c r="B23" s="176" t="s">
        <v>229</v>
      </c>
      <c r="C23" s="155"/>
      <c r="D23" s="155"/>
      <c r="E23" s="155"/>
      <c r="F23" s="155"/>
      <c r="G23" s="155"/>
      <c r="H23" s="155"/>
      <c r="I23" s="155"/>
      <c r="J23" s="155"/>
      <c r="K23" s="155"/>
      <c r="L23" s="155"/>
      <c r="M23" s="155"/>
      <c r="N23" s="155"/>
      <c r="O23" s="155"/>
      <c r="P23" s="155"/>
      <c r="Q23" s="156"/>
    </row>
    <row r="24" spans="1:17" ht="38.25">
      <c r="A24" s="160" t="s">
        <v>234</v>
      </c>
      <c r="B24" s="179" t="s">
        <v>219</v>
      </c>
      <c r="C24" s="152" t="s">
        <v>225</v>
      </c>
      <c r="D24" s="152" t="s">
        <v>225</v>
      </c>
      <c r="E24" s="152" t="s">
        <v>225</v>
      </c>
      <c r="F24" s="152" t="s">
        <v>225</v>
      </c>
      <c r="G24" s="152" t="s">
        <v>23</v>
      </c>
      <c r="H24" s="152" t="s">
        <v>225</v>
      </c>
      <c r="I24" s="152" t="s">
        <v>225</v>
      </c>
      <c r="J24" s="152" t="s">
        <v>225</v>
      </c>
      <c r="K24" s="152" t="s">
        <v>225</v>
      </c>
      <c r="L24" s="152" t="s">
        <v>225</v>
      </c>
      <c r="M24" s="152" t="s">
        <v>225</v>
      </c>
      <c r="N24" s="152"/>
      <c r="O24" s="152"/>
      <c r="P24" s="157"/>
      <c r="Q24" s="157"/>
    </row>
    <row r="25" spans="1:17" ht="25.5">
      <c r="A25" s="160" t="s">
        <v>235</v>
      </c>
      <c r="B25" s="179" t="s">
        <v>220</v>
      </c>
      <c r="C25" s="152" t="s">
        <v>23</v>
      </c>
      <c r="D25" s="152" t="s">
        <v>225</v>
      </c>
      <c r="E25" s="152" t="s">
        <v>225</v>
      </c>
      <c r="F25" s="152" t="s">
        <v>225</v>
      </c>
      <c r="G25" s="152" t="s">
        <v>225</v>
      </c>
      <c r="H25" s="152" t="s">
        <v>225</v>
      </c>
      <c r="I25" s="152" t="s">
        <v>225</v>
      </c>
      <c r="J25" s="152" t="s">
        <v>225</v>
      </c>
      <c r="K25" s="152" t="s">
        <v>225</v>
      </c>
      <c r="L25" s="152" t="s">
        <v>225</v>
      </c>
      <c r="M25" s="152" t="s">
        <v>225</v>
      </c>
      <c r="N25" s="152"/>
      <c r="O25" s="152"/>
      <c r="P25" s="157"/>
      <c r="Q25" s="157"/>
    </row>
    <row r="26" spans="1:17" ht="38.25">
      <c r="A26" s="160" t="s">
        <v>236</v>
      </c>
      <c r="B26" s="179" t="s">
        <v>221</v>
      </c>
      <c r="C26" s="152" t="s">
        <v>23</v>
      </c>
      <c r="D26" s="152" t="s">
        <v>225</v>
      </c>
      <c r="E26" s="152" t="s">
        <v>225</v>
      </c>
      <c r="F26" s="152" t="s">
        <v>225</v>
      </c>
      <c r="G26" s="152" t="s">
        <v>225</v>
      </c>
      <c r="H26" s="152" t="s">
        <v>225</v>
      </c>
      <c r="I26" s="152" t="s">
        <v>225</v>
      </c>
      <c r="J26" s="152" t="s">
        <v>225</v>
      </c>
      <c r="K26" s="152" t="s">
        <v>225</v>
      </c>
      <c r="L26" s="152" t="s">
        <v>225</v>
      </c>
      <c r="M26" s="152" t="s">
        <v>225</v>
      </c>
      <c r="N26" s="152"/>
      <c r="O26" s="152"/>
      <c r="P26" s="157"/>
      <c r="Q26" s="157"/>
    </row>
    <row r="27" spans="1:17" ht="38.25">
      <c r="A27" s="160" t="s">
        <v>237</v>
      </c>
      <c r="B27" s="179" t="s">
        <v>222</v>
      </c>
      <c r="C27" s="152" t="s">
        <v>23</v>
      </c>
      <c r="D27" s="152" t="s">
        <v>225</v>
      </c>
      <c r="E27" s="152" t="s">
        <v>23</v>
      </c>
      <c r="F27" s="152" t="s">
        <v>225</v>
      </c>
      <c r="G27" s="152" t="s">
        <v>225</v>
      </c>
      <c r="H27" s="152" t="s">
        <v>225</v>
      </c>
      <c r="I27" s="152" t="s">
        <v>225</v>
      </c>
      <c r="J27" s="152" t="s">
        <v>225</v>
      </c>
      <c r="K27" s="152" t="s">
        <v>225</v>
      </c>
      <c r="L27" s="152" t="s">
        <v>225</v>
      </c>
      <c r="M27" s="152" t="s">
        <v>225</v>
      </c>
      <c r="N27" s="152"/>
      <c r="O27" s="152"/>
      <c r="P27" s="157"/>
      <c r="Q27" s="157"/>
    </row>
    <row r="28" spans="1:17" ht="15">
      <c r="A28" s="154"/>
      <c r="B28" s="176" t="s">
        <v>230</v>
      </c>
      <c r="C28" s="155"/>
      <c r="D28" s="155"/>
      <c r="E28" s="155"/>
      <c r="F28" s="155"/>
      <c r="G28" s="155"/>
      <c r="H28" s="155"/>
      <c r="I28" s="155"/>
      <c r="J28" s="155"/>
      <c r="K28" s="155"/>
      <c r="L28" s="155"/>
      <c r="M28" s="155"/>
      <c r="N28" s="155"/>
      <c r="O28" s="155"/>
      <c r="P28" s="155"/>
      <c r="Q28" s="156"/>
    </row>
    <row r="29" spans="1:17" ht="38.25">
      <c r="A29" s="160" t="s">
        <v>238</v>
      </c>
      <c r="B29" s="179" t="s">
        <v>223</v>
      </c>
      <c r="C29" s="152" t="s">
        <v>23</v>
      </c>
      <c r="D29" s="152" t="s">
        <v>225</v>
      </c>
      <c r="E29" s="152" t="s">
        <v>225</v>
      </c>
      <c r="F29" s="152" t="s">
        <v>225</v>
      </c>
      <c r="G29" s="152" t="s">
        <v>225</v>
      </c>
      <c r="H29" s="152" t="s">
        <v>225</v>
      </c>
      <c r="I29" s="152" t="s">
        <v>225</v>
      </c>
      <c r="J29" s="152" t="s">
        <v>225</v>
      </c>
      <c r="K29" s="152" t="s">
        <v>225</v>
      </c>
      <c r="L29" s="152" t="s">
        <v>225</v>
      </c>
      <c r="M29" s="152" t="s">
        <v>225</v>
      </c>
      <c r="N29" s="152"/>
      <c r="O29" s="152"/>
      <c r="P29" s="157"/>
      <c r="Q29" s="157"/>
    </row>
    <row r="30" spans="1:17" ht="38.25">
      <c r="A30" s="160" t="s">
        <v>239</v>
      </c>
      <c r="B30" s="179" t="s">
        <v>224</v>
      </c>
      <c r="C30" s="152" t="s">
        <v>11</v>
      </c>
      <c r="D30" s="152" t="s">
        <v>11</v>
      </c>
      <c r="E30" s="152" t="s">
        <v>11</v>
      </c>
      <c r="F30" s="152" t="s">
        <v>11</v>
      </c>
      <c r="G30" s="152" t="s">
        <v>11</v>
      </c>
      <c r="H30" s="152" t="s">
        <v>11</v>
      </c>
      <c r="I30" s="152" t="s">
        <v>11</v>
      </c>
      <c r="J30" s="152" t="s">
        <v>11</v>
      </c>
      <c r="K30" s="152" t="s">
        <v>11</v>
      </c>
      <c r="L30" s="152" t="s">
        <v>11</v>
      </c>
      <c r="M30" s="152" t="s">
        <v>11</v>
      </c>
      <c r="N30" s="152"/>
      <c r="O30" s="152"/>
      <c r="P30" s="157"/>
      <c r="Q30" s="157"/>
    </row>
    <row r="31" spans="1:17" ht="15">
      <c r="A31" s="154"/>
      <c r="B31" s="176" t="s">
        <v>216</v>
      </c>
      <c r="C31" s="155"/>
      <c r="D31" s="155"/>
      <c r="E31" s="155"/>
      <c r="F31" s="155"/>
      <c r="G31" s="155"/>
      <c r="H31" s="155"/>
      <c r="I31" s="155"/>
      <c r="J31" s="155"/>
      <c r="K31" s="155"/>
      <c r="L31" s="155"/>
      <c r="M31" s="155"/>
      <c r="N31" s="155"/>
      <c r="O31" s="155"/>
      <c r="P31" s="155"/>
      <c r="Q31" s="156"/>
    </row>
    <row r="32" spans="1:17" ht="51">
      <c r="A32" s="160" t="s">
        <v>217</v>
      </c>
      <c r="B32" s="179" t="s">
        <v>218</v>
      </c>
      <c r="C32" s="152"/>
      <c r="D32" s="152"/>
      <c r="E32" s="152"/>
      <c r="F32" s="152"/>
      <c r="G32" s="152"/>
      <c r="H32" s="152"/>
      <c r="I32" s="152"/>
      <c r="J32" s="152"/>
      <c r="K32" s="152"/>
      <c r="L32" s="152"/>
      <c r="M32" s="152"/>
      <c r="N32" s="152"/>
      <c r="O32" s="152"/>
      <c r="P32" s="157"/>
      <c r="Q32" s="157"/>
    </row>
    <row r="33" spans="1:17" ht="18">
      <c r="A33" s="180"/>
      <c r="B33" s="181" t="s">
        <v>240</v>
      </c>
      <c r="C33" s="180"/>
      <c r="D33" s="180"/>
      <c r="E33" s="180"/>
      <c r="F33" s="180"/>
      <c r="G33" s="180"/>
      <c r="H33" s="180"/>
      <c r="I33" s="180"/>
      <c r="J33" s="180"/>
      <c r="K33" s="180"/>
      <c r="L33" s="180"/>
      <c r="M33" s="180"/>
      <c r="N33" s="180"/>
      <c r="O33" s="180"/>
      <c r="P33" s="180"/>
      <c r="Q33" s="180"/>
    </row>
  </sheetData>
  <mergeCells count="1">
    <mergeCell ref="P2:Q2"/>
  </mergeCells>
  <dataValidations count="1">
    <dataValidation type="list" allowBlank="1" showInputMessage="1" showErrorMessage="1" sqref="C8:N22 C32:N32 C6:N6 C29:N30 C24:N27"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AB33"/>
  <sheetViews>
    <sheetView zoomScale="80" zoomScaleNormal="80" workbookViewId="0">
      <pane xSplit="1" ySplit="3" topLeftCell="B17" activePane="bottomRight" state="frozen"/>
      <selection pane="topRight" activeCell="B1" sqref="B1"/>
      <selection pane="bottomLeft" activeCell="A4" sqref="A4"/>
      <selection pane="bottomRight" activeCell="X2" sqref="X2"/>
    </sheetView>
  </sheetViews>
  <sheetFormatPr defaultColWidth="9.42578125" defaultRowHeight="12.75"/>
  <cols>
    <col min="1" max="1" width="11" style="153" bestFit="1" customWidth="1"/>
    <col min="2" max="2" width="61" style="151" customWidth="1"/>
    <col min="3" max="4" width="4.42578125" style="150" bestFit="1" customWidth="1"/>
    <col min="5" max="5" width="4.42578125" style="150" customWidth="1"/>
    <col min="6" max="9" width="4.42578125" style="150" bestFit="1" customWidth="1"/>
    <col min="10" max="10" width="4.42578125" style="150" customWidth="1"/>
    <col min="11" max="21" width="4.42578125" style="150" bestFit="1" customWidth="1"/>
    <col min="22" max="22" width="4.42578125" style="150" customWidth="1"/>
    <col min="23" max="24" width="4.42578125" style="150" bestFit="1" customWidth="1"/>
    <col min="25" max="25" width="30.5703125" style="150" customWidth="1"/>
    <col min="26" max="27" width="27.85546875" style="150" customWidth="1"/>
    <col min="28" max="16384" width="9.42578125" style="150"/>
  </cols>
  <sheetData>
    <row r="2" spans="1:28" ht="101.25">
      <c r="A2" s="166" t="s">
        <v>226</v>
      </c>
      <c r="B2" s="167" t="s">
        <v>261</v>
      </c>
      <c r="C2" s="168" t="s">
        <v>411</v>
      </c>
      <c r="D2" s="168" t="s">
        <v>425</v>
      </c>
      <c r="E2" s="168" t="s">
        <v>439</v>
      </c>
      <c r="F2" s="168" t="s">
        <v>440</v>
      </c>
      <c r="G2" s="168" t="s">
        <v>441</v>
      </c>
      <c r="H2" s="168" t="s">
        <v>442</v>
      </c>
      <c r="I2" s="168" t="s">
        <v>443</v>
      </c>
      <c r="J2" s="168" t="s">
        <v>485</v>
      </c>
      <c r="K2" s="168" t="s">
        <v>486</v>
      </c>
      <c r="L2" s="168" t="s">
        <v>487</v>
      </c>
      <c r="M2" s="168" t="s">
        <v>488</v>
      </c>
      <c r="N2" s="168" t="s">
        <v>489</v>
      </c>
      <c r="O2" s="168" t="s">
        <v>541</v>
      </c>
      <c r="P2" s="168" t="s">
        <v>542</v>
      </c>
      <c r="Q2" s="168" t="s">
        <v>562</v>
      </c>
      <c r="R2" s="168" t="s">
        <v>563</v>
      </c>
      <c r="S2" s="168" t="s">
        <v>570</v>
      </c>
      <c r="T2" s="168" t="s">
        <v>648</v>
      </c>
      <c r="U2" s="168" t="s">
        <v>655</v>
      </c>
      <c r="V2" s="168" t="s">
        <v>670</v>
      </c>
      <c r="W2" s="168" t="s">
        <v>675</v>
      </c>
      <c r="X2" s="168" t="s">
        <v>677</v>
      </c>
      <c r="Y2" s="169" t="s">
        <v>241</v>
      </c>
      <c r="Z2" s="363" t="s">
        <v>186</v>
      </c>
      <c r="AA2" s="364"/>
    </row>
    <row r="3" spans="1:28" ht="37.5">
      <c r="A3" s="170"/>
      <c r="B3" s="171"/>
      <c r="C3" s="171">
        <f t="shared" ref="C3:L3" si="0">COUNTIF(C5:C32,"Yes")</f>
        <v>6</v>
      </c>
      <c r="D3" s="171">
        <f t="shared" si="0"/>
        <v>5</v>
      </c>
      <c r="E3" s="171">
        <f t="shared" si="0"/>
        <v>7</v>
      </c>
      <c r="F3" s="171">
        <f t="shared" si="0"/>
        <v>7</v>
      </c>
      <c r="G3" s="171">
        <f t="shared" si="0"/>
        <v>8</v>
      </c>
      <c r="H3" s="171">
        <f t="shared" si="0"/>
        <v>9</v>
      </c>
      <c r="I3" s="171">
        <f t="shared" si="0"/>
        <v>10</v>
      </c>
      <c r="J3" s="171">
        <f t="shared" si="0"/>
        <v>8</v>
      </c>
      <c r="K3" s="171">
        <f t="shared" si="0"/>
        <v>8</v>
      </c>
      <c r="L3" s="171">
        <f t="shared" si="0"/>
        <v>10</v>
      </c>
      <c r="M3" s="171">
        <f t="shared" ref="M3:O3" si="1">COUNTIF(M5:M32,"Yes")</f>
        <v>10</v>
      </c>
      <c r="N3" s="171">
        <f t="shared" si="1"/>
        <v>8</v>
      </c>
      <c r="O3" s="171">
        <f t="shared" si="1"/>
        <v>10</v>
      </c>
      <c r="P3" s="171">
        <f t="shared" ref="P3:R3" si="2">COUNTIF(P5:P32,"Yes")</f>
        <v>11</v>
      </c>
      <c r="Q3" s="171">
        <f t="shared" ref="Q3:S3" si="3">COUNTIF(Q5:Q32,"Yes")</f>
        <v>11</v>
      </c>
      <c r="R3" s="171">
        <f t="shared" si="2"/>
        <v>11</v>
      </c>
      <c r="S3" s="171">
        <f t="shared" si="3"/>
        <v>12</v>
      </c>
      <c r="T3" s="171">
        <f>COUNTIF(T5:T32,"Yes")</f>
        <v>12</v>
      </c>
      <c r="U3" s="171">
        <f>COUNTIF(U5:U32,"Yes")</f>
        <v>12</v>
      </c>
      <c r="V3" s="171">
        <v>12</v>
      </c>
      <c r="W3" s="171">
        <f t="shared" ref="W3:X3" si="4">COUNTIF(W5:W32,"Yes")</f>
        <v>12</v>
      </c>
      <c r="X3" s="171">
        <f t="shared" si="4"/>
        <v>12</v>
      </c>
      <c r="Y3" s="158"/>
      <c r="Z3" s="182" t="s">
        <v>232</v>
      </c>
      <c r="AA3" s="182" t="s">
        <v>233</v>
      </c>
      <c r="AB3" s="159"/>
    </row>
    <row r="4" spans="1:28" ht="36">
      <c r="A4" s="172"/>
      <c r="B4" s="173" t="s">
        <v>245</v>
      </c>
      <c r="C4" s="174"/>
      <c r="D4" s="174"/>
      <c r="E4" s="174"/>
      <c r="F4" s="174"/>
      <c r="G4" s="174"/>
      <c r="H4" s="174"/>
      <c r="I4" s="174"/>
      <c r="J4" s="174"/>
      <c r="K4" s="174"/>
      <c r="L4" s="174"/>
      <c r="M4" s="174"/>
      <c r="N4" s="174"/>
      <c r="O4" s="174"/>
      <c r="P4" s="174"/>
      <c r="Q4" s="174"/>
      <c r="R4" s="174"/>
      <c r="S4" s="174"/>
      <c r="T4" s="174"/>
      <c r="U4" s="174"/>
      <c r="V4" s="174"/>
      <c r="W4" s="174"/>
      <c r="X4" s="174"/>
      <c r="Y4" s="174"/>
      <c r="Z4" s="174"/>
      <c r="AA4" s="175"/>
      <c r="AB4" s="89"/>
    </row>
    <row r="5" spans="1:28" ht="15">
      <c r="A5" s="154"/>
      <c r="B5" s="176" t="s">
        <v>228</v>
      </c>
      <c r="C5" s="155"/>
      <c r="D5" s="155"/>
      <c r="E5" s="155"/>
      <c r="F5" s="155"/>
      <c r="G5" s="155"/>
      <c r="H5" s="155"/>
      <c r="I5" s="155"/>
      <c r="J5" s="155"/>
      <c r="K5" s="155"/>
      <c r="L5" s="155"/>
      <c r="M5" s="155"/>
      <c r="N5" s="155"/>
      <c r="O5" s="155"/>
      <c r="P5" s="155"/>
      <c r="Q5" s="155"/>
      <c r="R5" s="155"/>
      <c r="S5" s="155"/>
      <c r="T5" s="155"/>
      <c r="U5" s="155"/>
      <c r="V5" s="155"/>
      <c r="W5" s="155"/>
      <c r="X5" s="155"/>
      <c r="Y5" s="155"/>
      <c r="Z5" s="155"/>
      <c r="AA5" s="156"/>
    </row>
    <row r="6" spans="1:28" ht="38.25">
      <c r="A6" s="160" t="s">
        <v>262</v>
      </c>
      <c r="B6" s="179" t="s">
        <v>263</v>
      </c>
      <c r="C6" s="152" t="s">
        <v>23</v>
      </c>
      <c r="D6" s="152" t="s">
        <v>23</v>
      </c>
      <c r="E6" s="152" t="s">
        <v>11</v>
      </c>
      <c r="F6" s="152" t="s">
        <v>11</v>
      </c>
      <c r="G6" s="152" t="s">
        <v>11</v>
      </c>
      <c r="H6" s="152" t="s">
        <v>225</v>
      </c>
      <c r="I6" s="152" t="s">
        <v>225</v>
      </c>
      <c r="J6" s="152" t="s">
        <v>11</v>
      </c>
      <c r="K6" s="152" t="s">
        <v>11</v>
      </c>
      <c r="L6" s="152" t="s">
        <v>225</v>
      </c>
      <c r="M6" s="152" t="s">
        <v>225</v>
      </c>
      <c r="N6" s="152" t="s">
        <v>11</v>
      </c>
      <c r="O6" s="152" t="s">
        <v>23</v>
      </c>
      <c r="P6" s="152" t="s">
        <v>23</v>
      </c>
      <c r="Q6" s="152" t="s">
        <v>23</v>
      </c>
      <c r="R6" s="152" t="s">
        <v>23</v>
      </c>
      <c r="S6" s="152" t="s">
        <v>225</v>
      </c>
      <c r="T6" s="152" t="s">
        <v>225</v>
      </c>
      <c r="U6" s="152" t="s">
        <v>225</v>
      </c>
      <c r="V6" s="152" t="s">
        <v>225</v>
      </c>
      <c r="W6" s="152" t="s">
        <v>225</v>
      </c>
      <c r="X6" s="152" t="s">
        <v>225</v>
      </c>
      <c r="Y6" s="152"/>
      <c r="Z6" s="157"/>
      <c r="AA6" s="157"/>
    </row>
    <row r="7" spans="1:28" ht="38.25">
      <c r="A7" s="160" t="s">
        <v>264</v>
      </c>
      <c r="B7" s="179" t="s">
        <v>265</v>
      </c>
      <c r="C7" s="152" t="s">
        <v>23</v>
      </c>
      <c r="D7" s="152" t="s">
        <v>23</v>
      </c>
      <c r="E7" s="152" t="s">
        <v>225</v>
      </c>
      <c r="F7" s="152" t="s">
        <v>225</v>
      </c>
      <c r="G7" s="152" t="s">
        <v>225</v>
      </c>
      <c r="H7" s="152" t="s">
        <v>225</v>
      </c>
      <c r="I7" s="152" t="s">
        <v>225</v>
      </c>
      <c r="J7" s="152" t="s">
        <v>225</v>
      </c>
      <c r="K7" s="152" t="s">
        <v>225</v>
      </c>
      <c r="L7" s="152" t="s">
        <v>225</v>
      </c>
      <c r="M7" s="152" t="s">
        <v>225</v>
      </c>
      <c r="N7" s="152" t="s">
        <v>225</v>
      </c>
      <c r="O7" s="152" t="s">
        <v>225</v>
      </c>
      <c r="P7" s="152" t="s">
        <v>225</v>
      </c>
      <c r="Q7" s="152" t="s">
        <v>225</v>
      </c>
      <c r="R7" s="152" t="s">
        <v>225</v>
      </c>
      <c r="S7" s="152" t="s">
        <v>225</v>
      </c>
      <c r="T7" s="152" t="s">
        <v>225</v>
      </c>
      <c r="U7" s="152" t="s">
        <v>225</v>
      </c>
      <c r="V7" s="152" t="s">
        <v>225</v>
      </c>
      <c r="W7" s="152" t="s">
        <v>225</v>
      </c>
      <c r="X7" s="152" t="s">
        <v>225</v>
      </c>
      <c r="Y7" s="152"/>
      <c r="Z7" s="157"/>
      <c r="AA7" s="157"/>
    </row>
    <row r="8" spans="1:28" ht="15">
      <c r="A8" s="154"/>
      <c r="B8" s="176" t="s">
        <v>316</v>
      </c>
      <c r="C8" s="155"/>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1:28" ht="25.5">
      <c r="A9" s="160" t="s">
        <v>347</v>
      </c>
      <c r="B9" s="179" t="s">
        <v>348</v>
      </c>
      <c r="C9" s="152" t="s">
        <v>225</v>
      </c>
      <c r="D9" s="152" t="s">
        <v>225</v>
      </c>
      <c r="E9" s="152" t="s">
        <v>225</v>
      </c>
      <c r="F9" s="152" t="s">
        <v>225</v>
      </c>
      <c r="G9" s="152" t="s">
        <v>225</v>
      </c>
      <c r="H9" s="152" t="s">
        <v>225</v>
      </c>
      <c r="I9" s="152" t="s">
        <v>225</v>
      </c>
      <c r="J9" s="152" t="s">
        <v>225</v>
      </c>
      <c r="K9" s="152" t="s">
        <v>225</v>
      </c>
      <c r="L9" s="152" t="s">
        <v>225</v>
      </c>
      <c r="M9" s="152" t="s">
        <v>225</v>
      </c>
      <c r="N9" s="152" t="s">
        <v>225</v>
      </c>
      <c r="O9" s="152" t="s">
        <v>225</v>
      </c>
      <c r="P9" s="152" t="s">
        <v>225</v>
      </c>
      <c r="Q9" s="152" t="s">
        <v>225</v>
      </c>
      <c r="R9" s="152" t="s">
        <v>225</v>
      </c>
      <c r="S9" s="152" t="s">
        <v>225</v>
      </c>
      <c r="T9" s="152" t="s">
        <v>225</v>
      </c>
      <c r="U9" s="152" t="s">
        <v>225</v>
      </c>
      <c r="V9" s="152" t="s">
        <v>225</v>
      </c>
      <c r="W9" s="152" t="s">
        <v>225</v>
      </c>
      <c r="X9" s="152" t="s">
        <v>225</v>
      </c>
      <c r="Y9" s="19"/>
      <c r="Z9" s="38"/>
      <c r="AA9" s="157"/>
    </row>
    <row r="10" spans="1:28" ht="38.25">
      <c r="A10" s="160" t="s">
        <v>349</v>
      </c>
      <c r="B10" s="179" t="s">
        <v>350</v>
      </c>
      <c r="C10" s="152" t="s">
        <v>225</v>
      </c>
      <c r="D10" s="152" t="s">
        <v>225</v>
      </c>
      <c r="E10" s="152" t="s">
        <v>225</v>
      </c>
      <c r="F10" s="152" t="s">
        <v>225</v>
      </c>
      <c r="G10" s="152" t="s">
        <v>225</v>
      </c>
      <c r="H10" s="152" t="s">
        <v>225</v>
      </c>
      <c r="I10" s="152" t="s">
        <v>225</v>
      </c>
      <c r="J10" s="152" t="s">
        <v>225</v>
      </c>
      <c r="K10" s="152" t="s">
        <v>225</v>
      </c>
      <c r="L10" s="152" t="s">
        <v>225</v>
      </c>
      <c r="M10" s="152" t="s">
        <v>225</v>
      </c>
      <c r="N10" s="152" t="s">
        <v>225</v>
      </c>
      <c r="O10" s="152" t="s">
        <v>225</v>
      </c>
      <c r="P10" s="152" t="s">
        <v>225</v>
      </c>
      <c r="Q10" s="152" t="s">
        <v>225</v>
      </c>
      <c r="R10" s="152" t="s">
        <v>225</v>
      </c>
      <c r="S10" s="152" t="s">
        <v>225</v>
      </c>
      <c r="T10" s="152" t="s">
        <v>225</v>
      </c>
      <c r="U10" s="152" t="s">
        <v>225</v>
      </c>
      <c r="V10" s="152" t="s">
        <v>225</v>
      </c>
      <c r="W10" s="152" t="s">
        <v>225</v>
      </c>
      <c r="X10" s="152" t="s">
        <v>225</v>
      </c>
      <c r="Y10" s="19"/>
      <c r="Z10" s="19"/>
      <c r="AA10" s="157"/>
    </row>
    <row r="11" spans="1:28" ht="25.5">
      <c r="A11" s="160" t="s">
        <v>351</v>
      </c>
      <c r="B11" s="179" t="s">
        <v>352</v>
      </c>
      <c r="C11" s="152" t="s">
        <v>11</v>
      </c>
      <c r="D11" s="152" t="s">
        <v>11</v>
      </c>
      <c r="E11" s="152" t="s">
        <v>11</v>
      </c>
      <c r="F11" s="152" t="s">
        <v>11</v>
      </c>
      <c r="G11" s="152" t="s">
        <v>11</v>
      </c>
      <c r="H11" s="152" t="s">
        <v>11</v>
      </c>
      <c r="I11" s="152" t="s">
        <v>11</v>
      </c>
      <c r="J11" s="152" t="s">
        <v>11</v>
      </c>
      <c r="K11" s="152" t="s">
        <v>11</v>
      </c>
      <c r="L11" s="152" t="s">
        <v>11</v>
      </c>
      <c r="M11" s="152" t="s">
        <v>11</v>
      </c>
      <c r="N11" s="152" t="s">
        <v>11</v>
      </c>
      <c r="O11" s="152" t="s">
        <v>11</v>
      </c>
      <c r="P11" s="152" t="s">
        <v>11</v>
      </c>
      <c r="Q11" s="152" t="s">
        <v>11</v>
      </c>
      <c r="R11" s="152" t="s">
        <v>11</v>
      </c>
      <c r="S11" s="152" t="s">
        <v>11</v>
      </c>
      <c r="T11" s="152" t="s">
        <v>11</v>
      </c>
      <c r="U11" s="152" t="s">
        <v>11</v>
      </c>
      <c r="V11" s="152" t="s">
        <v>11</v>
      </c>
      <c r="W11" s="152" t="s">
        <v>11</v>
      </c>
      <c r="X11" s="152" t="s">
        <v>11</v>
      </c>
      <c r="Y11" s="19"/>
      <c r="Z11" s="19"/>
      <c r="AA11" s="157"/>
    </row>
    <row r="12" spans="1:28" ht="25.5">
      <c r="A12" s="160" t="s">
        <v>353</v>
      </c>
      <c r="B12" s="179" t="s">
        <v>354</v>
      </c>
      <c r="C12" s="152" t="s">
        <v>225</v>
      </c>
      <c r="D12" s="152" t="s">
        <v>23</v>
      </c>
      <c r="E12" s="152" t="s">
        <v>225</v>
      </c>
      <c r="F12" s="152" t="s">
        <v>225</v>
      </c>
      <c r="G12" s="152" t="s">
        <v>225</v>
      </c>
      <c r="H12" s="152" t="s">
        <v>225</v>
      </c>
      <c r="I12" s="152" t="s">
        <v>225</v>
      </c>
      <c r="J12" s="152" t="s">
        <v>225</v>
      </c>
      <c r="K12" s="152" t="s">
        <v>225</v>
      </c>
      <c r="L12" s="152" t="s">
        <v>225</v>
      </c>
      <c r="M12" s="152" t="s">
        <v>225</v>
      </c>
      <c r="N12" s="152" t="s">
        <v>225</v>
      </c>
      <c r="O12" s="152" t="s">
        <v>225</v>
      </c>
      <c r="P12" s="152" t="s">
        <v>225</v>
      </c>
      <c r="Q12" s="152" t="s">
        <v>225</v>
      </c>
      <c r="R12" s="152" t="s">
        <v>225</v>
      </c>
      <c r="S12" s="152" t="s">
        <v>225</v>
      </c>
      <c r="T12" s="152" t="s">
        <v>225</v>
      </c>
      <c r="U12" s="152" t="s">
        <v>225</v>
      </c>
      <c r="V12" s="152" t="s">
        <v>225</v>
      </c>
      <c r="W12" s="152" t="s">
        <v>225</v>
      </c>
      <c r="X12" s="152" t="s">
        <v>225</v>
      </c>
      <c r="Y12" s="19"/>
      <c r="Z12" s="38"/>
      <c r="AA12" s="157"/>
    </row>
    <row r="13" spans="1:28" ht="25.5">
      <c r="A13" s="160" t="s">
        <v>355</v>
      </c>
      <c r="B13" s="179" t="s">
        <v>356</v>
      </c>
      <c r="C13" s="152" t="s">
        <v>11</v>
      </c>
      <c r="D13" s="152" t="s">
        <v>11</v>
      </c>
      <c r="E13" s="152" t="s">
        <v>11</v>
      </c>
      <c r="F13" s="152" t="s">
        <v>11</v>
      </c>
      <c r="G13" s="152" t="s">
        <v>11</v>
      </c>
      <c r="H13" s="152" t="s">
        <v>11</v>
      </c>
      <c r="I13" s="152" t="s">
        <v>11</v>
      </c>
      <c r="J13" s="152" t="s">
        <v>11</v>
      </c>
      <c r="K13" s="152" t="s">
        <v>11</v>
      </c>
      <c r="L13" s="152" t="s">
        <v>11</v>
      </c>
      <c r="M13" s="152" t="s">
        <v>11</v>
      </c>
      <c r="N13" s="152" t="s">
        <v>11</v>
      </c>
      <c r="O13" s="152" t="s">
        <v>11</v>
      </c>
      <c r="P13" s="152" t="s">
        <v>11</v>
      </c>
      <c r="Q13" s="152" t="s">
        <v>11</v>
      </c>
      <c r="R13" s="152" t="s">
        <v>11</v>
      </c>
      <c r="S13" s="152" t="s">
        <v>11</v>
      </c>
      <c r="T13" s="152" t="s">
        <v>11</v>
      </c>
      <c r="U13" s="152" t="s">
        <v>11</v>
      </c>
      <c r="V13" s="152" t="s">
        <v>11</v>
      </c>
      <c r="W13" s="152" t="s">
        <v>11</v>
      </c>
      <c r="X13" s="152" t="s">
        <v>11</v>
      </c>
      <c r="Y13" s="152"/>
      <c r="Z13" s="157"/>
      <c r="AA13" s="157"/>
    </row>
    <row r="14" spans="1:28" ht="51">
      <c r="A14" s="160" t="s">
        <v>357</v>
      </c>
      <c r="B14" s="179" t="s">
        <v>358</v>
      </c>
      <c r="C14" s="152" t="s">
        <v>23</v>
      </c>
      <c r="D14" s="152" t="s">
        <v>23</v>
      </c>
      <c r="E14" s="152" t="s">
        <v>23</v>
      </c>
      <c r="F14" s="152" t="s">
        <v>23</v>
      </c>
      <c r="G14" s="152" t="s">
        <v>225</v>
      </c>
      <c r="H14" s="152" t="s">
        <v>23</v>
      </c>
      <c r="I14" s="152" t="s">
        <v>225</v>
      </c>
      <c r="J14" s="152" t="s">
        <v>225</v>
      </c>
      <c r="K14" s="152" t="s">
        <v>225</v>
      </c>
      <c r="L14" s="152" t="s">
        <v>225</v>
      </c>
      <c r="M14" s="152" t="s">
        <v>225</v>
      </c>
      <c r="N14" s="152" t="s">
        <v>225</v>
      </c>
      <c r="O14" s="152" t="s">
        <v>225</v>
      </c>
      <c r="P14" s="152" t="s">
        <v>225</v>
      </c>
      <c r="Q14" s="152" t="s">
        <v>225</v>
      </c>
      <c r="R14" s="152" t="s">
        <v>225</v>
      </c>
      <c r="S14" s="152" t="s">
        <v>225</v>
      </c>
      <c r="T14" s="152" t="s">
        <v>225</v>
      </c>
      <c r="U14" s="152" t="s">
        <v>225</v>
      </c>
      <c r="V14" s="152" t="s">
        <v>225</v>
      </c>
      <c r="W14" s="152" t="s">
        <v>225</v>
      </c>
      <c r="X14" s="152" t="s">
        <v>225</v>
      </c>
      <c r="Y14" s="152"/>
      <c r="Z14" s="157"/>
      <c r="AA14" s="157"/>
    </row>
    <row r="15" spans="1:28" ht="38.25">
      <c r="A15" s="160" t="s">
        <v>359</v>
      </c>
      <c r="B15" s="179" t="s">
        <v>360</v>
      </c>
      <c r="C15" s="152" t="s">
        <v>225</v>
      </c>
      <c r="D15" s="152" t="s">
        <v>225</v>
      </c>
      <c r="E15" s="152" t="s">
        <v>11</v>
      </c>
      <c r="F15" s="152" t="s">
        <v>11</v>
      </c>
      <c r="G15" s="152" t="s">
        <v>11</v>
      </c>
      <c r="H15" s="152" t="s">
        <v>225</v>
      </c>
      <c r="I15" s="152" t="s">
        <v>225</v>
      </c>
      <c r="J15" s="152" t="s">
        <v>11</v>
      </c>
      <c r="K15" s="152" t="s">
        <v>11</v>
      </c>
      <c r="L15" s="152" t="s">
        <v>225</v>
      </c>
      <c r="M15" s="152" t="s">
        <v>225</v>
      </c>
      <c r="N15" s="152" t="s">
        <v>11</v>
      </c>
      <c r="O15" s="152" t="s">
        <v>225</v>
      </c>
      <c r="P15" s="152" t="s">
        <v>225</v>
      </c>
      <c r="Q15" s="152" t="s">
        <v>225</v>
      </c>
      <c r="R15" s="152" t="s">
        <v>225</v>
      </c>
      <c r="S15" s="152" t="s">
        <v>225</v>
      </c>
      <c r="T15" s="152" t="s">
        <v>225</v>
      </c>
      <c r="U15" s="152" t="s">
        <v>225</v>
      </c>
      <c r="V15" s="152" t="s">
        <v>225</v>
      </c>
      <c r="W15" s="152" t="s">
        <v>225</v>
      </c>
      <c r="X15" s="152" t="s">
        <v>225</v>
      </c>
      <c r="Y15" s="152"/>
      <c r="Z15" s="157"/>
      <c r="AA15" s="157"/>
    </row>
    <row r="16" spans="1:28" ht="51">
      <c r="A16" s="160" t="s">
        <v>361</v>
      </c>
      <c r="B16" s="179" t="s">
        <v>362</v>
      </c>
      <c r="C16" s="152" t="s">
        <v>11</v>
      </c>
      <c r="D16" s="152" t="s">
        <v>11</v>
      </c>
      <c r="E16" s="152" t="s">
        <v>11</v>
      </c>
      <c r="F16" s="152" t="s">
        <v>11</v>
      </c>
      <c r="G16" s="152" t="s">
        <v>11</v>
      </c>
      <c r="H16" s="152" t="s">
        <v>11</v>
      </c>
      <c r="I16" s="152" t="s">
        <v>11</v>
      </c>
      <c r="J16" s="152" t="s">
        <v>11</v>
      </c>
      <c r="K16" s="152" t="s">
        <v>11</v>
      </c>
      <c r="L16" s="152" t="s">
        <v>11</v>
      </c>
      <c r="M16" s="152" t="s">
        <v>11</v>
      </c>
      <c r="N16" s="152" t="s">
        <v>11</v>
      </c>
      <c r="O16" s="152" t="s">
        <v>11</v>
      </c>
      <c r="P16" s="152" t="s">
        <v>11</v>
      </c>
      <c r="Q16" s="152" t="s">
        <v>11</v>
      </c>
      <c r="R16" s="152" t="s">
        <v>11</v>
      </c>
      <c r="S16" s="152" t="s">
        <v>11</v>
      </c>
      <c r="T16" s="152" t="s">
        <v>11</v>
      </c>
      <c r="U16" s="152" t="s">
        <v>11</v>
      </c>
      <c r="V16" s="152" t="s">
        <v>11</v>
      </c>
      <c r="W16" s="152" t="s">
        <v>11</v>
      </c>
      <c r="X16" s="152" t="s">
        <v>11</v>
      </c>
      <c r="Y16" s="152"/>
      <c r="Z16" s="157"/>
      <c r="AA16" s="157"/>
    </row>
    <row r="17" spans="1:27" ht="38.25">
      <c r="A17" s="160" t="s">
        <v>363</v>
      </c>
      <c r="B17" s="179" t="s">
        <v>364</v>
      </c>
      <c r="C17" s="152" t="s">
        <v>11</v>
      </c>
      <c r="D17" s="152" t="s">
        <v>11</v>
      </c>
      <c r="E17" s="152" t="s">
        <v>11</v>
      </c>
      <c r="F17" s="152" t="s">
        <v>11</v>
      </c>
      <c r="G17" s="152" t="s">
        <v>11</v>
      </c>
      <c r="H17" s="152" t="s">
        <v>11</v>
      </c>
      <c r="I17" s="152" t="s">
        <v>11</v>
      </c>
      <c r="J17" s="152" t="s">
        <v>11</v>
      </c>
      <c r="K17" s="152" t="s">
        <v>11</v>
      </c>
      <c r="L17" s="152" t="s">
        <v>11</v>
      </c>
      <c r="M17" s="152" t="s">
        <v>11</v>
      </c>
      <c r="N17" s="152" t="s">
        <v>11</v>
      </c>
      <c r="O17" s="152" t="s">
        <v>11</v>
      </c>
      <c r="P17" s="152" t="s">
        <v>11</v>
      </c>
      <c r="Q17" s="152" t="s">
        <v>11</v>
      </c>
      <c r="R17" s="152" t="s">
        <v>11</v>
      </c>
      <c r="S17" s="152" t="s">
        <v>11</v>
      </c>
      <c r="T17" s="152" t="s">
        <v>11</v>
      </c>
      <c r="U17" s="152" t="s">
        <v>11</v>
      </c>
      <c r="V17" s="152" t="s">
        <v>11</v>
      </c>
      <c r="W17" s="152" t="s">
        <v>11</v>
      </c>
      <c r="X17" s="152" t="s">
        <v>11</v>
      </c>
      <c r="Y17" s="152"/>
      <c r="Z17" s="157"/>
      <c r="AA17" s="157"/>
    </row>
    <row r="18" spans="1:27" ht="25.5">
      <c r="A18" s="160" t="s">
        <v>365</v>
      </c>
      <c r="B18" s="179" t="s">
        <v>366</v>
      </c>
      <c r="C18" s="152" t="s">
        <v>225</v>
      </c>
      <c r="D18" s="152" t="s">
        <v>225</v>
      </c>
      <c r="E18" s="152" t="s">
        <v>225</v>
      </c>
      <c r="F18" s="152" t="s">
        <v>225</v>
      </c>
      <c r="G18" s="152" t="s">
        <v>225</v>
      </c>
      <c r="H18" s="152" t="s">
        <v>225</v>
      </c>
      <c r="I18" s="152" t="s">
        <v>225</v>
      </c>
      <c r="J18" s="152" t="s">
        <v>225</v>
      </c>
      <c r="K18" s="152" t="s">
        <v>225</v>
      </c>
      <c r="L18" s="152" t="s">
        <v>225</v>
      </c>
      <c r="M18" s="152" t="s">
        <v>225</v>
      </c>
      <c r="N18" s="152" t="s">
        <v>225</v>
      </c>
      <c r="O18" s="152" t="s">
        <v>225</v>
      </c>
      <c r="P18" s="152" t="s">
        <v>225</v>
      </c>
      <c r="Q18" s="152" t="s">
        <v>225</v>
      </c>
      <c r="R18" s="152" t="s">
        <v>225</v>
      </c>
      <c r="S18" s="152" t="s">
        <v>225</v>
      </c>
      <c r="T18" s="152" t="s">
        <v>225</v>
      </c>
      <c r="U18" s="152" t="s">
        <v>225</v>
      </c>
      <c r="V18" s="152" t="s">
        <v>225</v>
      </c>
      <c r="W18" s="152" t="s">
        <v>225</v>
      </c>
      <c r="X18" s="152" t="s">
        <v>225</v>
      </c>
      <c r="Y18" s="152"/>
      <c r="Z18" s="157"/>
      <c r="AA18" s="157"/>
    </row>
    <row r="19" spans="1:27" ht="38.25">
      <c r="A19" s="160" t="s">
        <v>388</v>
      </c>
      <c r="B19" s="179" t="s">
        <v>389</v>
      </c>
      <c r="C19" s="152" t="s">
        <v>11</v>
      </c>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t="s">
        <v>11</v>
      </c>
      <c r="S19" s="152" t="s">
        <v>11</v>
      </c>
      <c r="T19" s="152" t="s">
        <v>11</v>
      </c>
      <c r="U19" s="152" t="s">
        <v>11</v>
      </c>
      <c r="V19" s="152" t="s">
        <v>11</v>
      </c>
      <c r="W19" s="152" t="s">
        <v>11</v>
      </c>
      <c r="X19" s="152" t="s">
        <v>11</v>
      </c>
      <c r="Y19" s="152"/>
      <c r="Z19" s="157"/>
      <c r="AA19" s="157"/>
    </row>
    <row r="20" spans="1:27" ht="25.5">
      <c r="A20" s="160" t="s">
        <v>390</v>
      </c>
      <c r="B20" s="179" t="s">
        <v>391</v>
      </c>
      <c r="C20" s="152" t="s">
        <v>11</v>
      </c>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t="s">
        <v>11</v>
      </c>
      <c r="W20" s="152" t="s">
        <v>11</v>
      </c>
      <c r="X20" s="152" t="s">
        <v>11</v>
      </c>
      <c r="Y20" s="152"/>
      <c r="Z20" s="157"/>
      <c r="AA20" s="157"/>
    </row>
    <row r="21" spans="1:27" ht="15">
      <c r="A21" s="154"/>
      <c r="B21" s="176" t="s">
        <v>229</v>
      </c>
      <c r="C21" s="15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56"/>
    </row>
    <row r="22" spans="1:27" ht="38.25">
      <c r="A22" s="160" t="s">
        <v>234</v>
      </c>
      <c r="B22" s="179" t="s">
        <v>219</v>
      </c>
      <c r="C22" s="152" t="s">
        <v>225</v>
      </c>
      <c r="D22" s="152" t="s">
        <v>23</v>
      </c>
      <c r="E22" s="152" t="s">
        <v>225</v>
      </c>
      <c r="F22" s="152" t="s">
        <v>225</v>
      </c>
      <c r="G22" s="152" t="s">
        <v>225</v>
      </c>
      <c r="H22" s="152" t="s">
        <v>225</v>
      </c>
      <c r="I22" s="152" t="s">
        <v>225</v>
      </c>
      <c r="J22" s="152" t="s">
        <v>225</v>
      </c>
      <c r="K22" s="152" t="s">
        <v>225</v>
      </c>
      <c r="L22" s="152" t="s">
        <v>225</v>
      </c>
      <c r="M22" s="152" t="s">
        <v>225</v>
      </c>
      <c r="N22" s="152" t="s">
        <v>225</v>
      </c>
      <c r="O22" s="152" t="s">
        <v>225</v>
      </c>
      <c r="P22" s="152" t="s">
        <v>225</v>
      </c>
      <c r="Q22" s="152" t="s">
        <v>225</v>
      </c>
      <c r="R22" s="152" t="s">
        <v>225</v>
      </c>
      <c r="S22" s="152" t="s">
        <v>225</v>
      </c>
      <c r="T22" s="152" t="s">
        <v>225</v>
      </c>
      <c r="U22" s="152" t="s">
        <v>225</v>
      </c>
      <c r="V22" s="152" t="s">
        <v>225</v>
      </c>
      <c r="W22" s="152" t="s">
        <v>225</v>
      </c>
      <c r="X22" s="152" t="s">
        <v>225</v>
      </c>
      <c r="Y22" s="152"/>
      <c r="Z22" s="157"/>
      <c r="AA22" s="157"/>
    </row>
    <row r="23" spans="1:27" ht="25.5">
      <c r="A23" s="160" t="s">
        <v>235</v>
      </c>
      <c r="B23" s="179" t="s">
        <v>220</v>
      </c>
      <c r="C23" s="152" t="s">
        <v>11</v>
      </c>
      <c r="D23" s="152" t="s">
        <v>11</v>
      </c>
      <c r="E23" s="152" t="s">
        <v>11</v>
      </c>
      <c r="F23" s="152" t="s">
        <v>11</v>
      </c>
      <c r="G23" s="152" t="s">
        <v>11</v>
      </c>
      <c r="H23" s="152" t="s">
        <v>11</v>
      </c>
      <c r="I23" s="152" t="s">
        <v>11</v>
      </c>
      <c r="J23" s="152" t="s">
        <v>11</v>
      </c>
      <c r="K23" s="152" t="s">
        <v>11</v>
      </c>
      <c r="L23" s="152" t="s">
        <v>11</v>
      </c>
      <c r="M23" s="152" t="s">
        <v>11</v>
      </c>
      <c r="N23" s="152" t="s">
        <v>11</v>
      </c>
      <c r="O23" s="152" t="s">
        <v>11</v>
      </c>
      <c r="P23" s="152" t="s">
        <v>11</v>
      </c>
      <c r="Q23" s="152" t="s">
        <v>11</v>
      </c>
      <c r="R23" s="152" t="s">
        <v>11</v>
      </c>
      <c r="S23" s="152" t="s">
        <v>11</v>
      </c>
      <c r="T23" s="152" t="s">
        <v>11</v>
      </c>
      <c r="U23" s="152" t="s">
        <v>11</v>
      </c>
      <c r="V23" s="152" t="s">
        <v>11</v>
      </c>
      <c r="W23" s="152" t="s">
        <v>11</v>
      </c>
      <c r="X23" s="152" t="s">
        <v>11</v>
      </c>
      <c r="Y23" s="152"/>
      <c r="Z23" s="157"/>
      <c r="AA23" s="157"/>
    </row>
    <row r="24" spans="1:27" ht="38.25">
      <c r="A24" s="160" t="s">
        <v>236</v>
      </c>
      <c r="B24" s="179" t="s">
        <v>221</v>
      </c>
      <c r="C24" s="152" t="s">
        <v>11</v>
      </c>
      <c r="D24" s="152" t="s">
        <v>11</v>
      </c>
      <c r="E24" s="152" t="s">
        <v>11</v>
      </c>
      <c r="F24" s="152" t="s">
        <v>11</v>
      </c>
      <c r="G24" s="152" t="s">
        <v>11</v>
      </c>
      <c r="H24" s="152" t="s">
        <v>11</v>
      </c>
      <c r="I24" s="152" t="s">
        <v>11</v>
      </c>
      <c r="J24" s="152" t="s">
        <v>11</v>
      </c>
      <c r="K24" s="152" t="s">
        <v>11</v>
      </c>
      <c r="L24" s="152" t="s">
        <v>11</v>
      </c>
      <c r="M24" s="152" t="s">
        <v>11</v>
      </c>
      <c r="N24" s="152" t="s">
        <v>11</v>
      </c>
      <c r="O24" s="152" t="s">
        <v>11</v>
      </c>
      <c r="P24" s="152" t="s">
        <v>11</v>
      </c>
      <c r="Q24" s="152" t="s">
        <v>11</v>
      </c>
      <c r="R24" s="152" t="s">
        <v>11</v>
      </c>
      <c r="S24" s="152" t="s">
        <v>11</v>
      </c>
      <c r="T24" s="152" t="s">
        <v>11</v>
      </c>
      <c r="U24" s="152" t="s">
        <v>11</v>
      </c>
      <c r="V24" s="152" t="s">
        <v>11</v>
      </c>
      <c r="W24" s="152" t="s">
        <v>11</v>
      </c>
      <c r="X24" s="152" t="s">
        <v>11</v>
      </c>
      <c r="Y24" s="152"/>
      <c r="Z24" s="157"/>
      <c r="AA24" s="157"/>
    </row>
    <row r="25" spans="1:27" ht="38.25">
      <c r="A25" s="160" t="s">
        <v>237</v>
      </c>
      <c r="B25" s="179" t="s">
        <v>222</v>
      </c>
      <c r="C25" s="152" t="s">
        <v>11</v>
      </c>
      <c r="D25" s="152" t="s">
        <v>11</v>
      </c>
      <c r="E25" s="152" t="s">
        <v>11</v>
      </c>
      <c r="F25" s="152" t="s">
        <v>11</v>
      </c>
      <c r="G25" s="152" t="s">
        <v>11</v>
      </c>
      <c r="H25" s="152" t="s">
        <v>11</v>
      </c>
      <c r="I25" s="152" t="s">
        <v>11</v>
      </c>
      <c r="J25" s="152" t="s">
        <v>11</v>
      </c>
      <c r="K25" s="152" t="s">
        <v>11</v>
      </c>
      <c r="L25" s="152" t="s">
        <v>11</v>
      </c>
      <c r="M25" s="152" t="s">
        <v>11</v>
      </c>
      <c r="N25" s="152" t="s">
        <v>11</v>
      </c>
      <c r="O25" s="152" t="s">
        <v>11</v>
      </c>
      <c r="P25" s="152" t="s">
        <v>11</v>
      </c>
      <c r="Q25" s="152" t="s">
        <v>11</v>
      </c>
      <c r="R25" s="152" t="s">
        <v>11</v>
      </c>
      <c r="S25" s="152" t="s">
        <v>11</v>
      </c>
      <c r="T25" s="152" t="s">
        <v>11</v>
      </c>
      <c r="U25" s="152" t="s">
        <v>11</v>
      </c>
      <c r="V25" s="152" t="s">
        <v>11</v>
      </c>
      <c r="W25" s="152" t="s">
        <v>11</v>
      </c>
      <c r="X25" s="152" t="s">
        <v>11</v>
      </c>
      <c r="Y25" s="152"/>
      <c r="Z25" s="157"/>
      <c r="AA25" s="157"/>
    </row>
    <row r="26" spans="1:27" ht="15">
      <c r="A26" s="154"/>
      <c r="B26" s="176" t="s">
        <v>230</v>
      </c>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1:27" ht="38.25">
      <c r="A27" s="160" t="s">
        <v>238</v>
      </c>
      <c r="B27" s="179" t="s">
        <v>223</v>
      </c>
      <c r="C27" s="152" t="s">
        <v>23</v>
      </c>
      <c r="D27" s="152" t="s">
        <v>225</v>
      </c>
      <c r="E27" s="152" t="s">
        <v>225</v>
      </c>
      <c r="F27" s="152" t="s">
        <v>225</v>
      </c>
      <c r="G27" s="152" t="s">
        <v>225</v>
      </c>
      <c r="H27" s="152" t="s">
        <v>225</v>
      </c>
      <c r="I27" s="152" t="s">
        <v>225</v>
      </c>
      <c r="J27" s="152" t="s">
        <v>225</v>
      </c>
      <c r="K27" s="152" t="s">
        <v>225</v>
      </c>
      <c r="L27" s="152" t="s">
        <v>225</v>
      </c>
      <c r="M27" s="152" t="s">
        <v>225</v>
      </c>
      <c r="N27" s="152" t="s">
        <v>225</v>
      </c>
      <c r="O27" s="152" t="s">
        <v>225</v>
      </c>
      <c r="P27" s="152" t="s">
        <v>225</v>
      </c>
      <c r="Q27" s="152" t="s">
        <v>225</v>
      </c>
      <c r="R27" s="152" t="s">
        <v>225</v>
      </c>
      <c r="S27" s="152" t="s">
        <v>225</v>
      </c>
      <c r="T27" s="152" t="s">
        <v>225</v>
      </c>
      <c r="U27" s="152" t="s">
        <v>225</v>
      </c>
      <c r="V27" s="152" t="s">
        <v>225</v>
      </c>
      <c r="W27" s="152" t="s">
        <v>225</v>
      </c>
      <c r="X27" s="152" t="s">
        <v>225</v>
      </c>
      <c r="Y27" s="152"/>
      <c r="Z27" s="157"/>
      <c r="AA27" s="157"/>
    </row>
    <row r="28" spans="1:27" ht="38.25">
      <c r="A28" s="160" t="s">
        <v>239</v>
      </c>
      <c r="B28" s="179" t="s">
        <v>224</v>
      </c>
      <c r="C28" s="152" t="s">
        <v>11</v>
      </c>
      <c r="D28" s="152" t="s">
        <v>11</v>
      </c>
      <c r="E28" s="152" t="s">
        <v>11</v>
      </c>
      <c r="F28" s="152" t="s">
        <v>11</v>
      </c>
      <c r="G28" s="152" t="s">
        <v>11</v>
      </c>
      <c r="H28" s="152" t="s">
        <v>11</v>
      </c>
      <c r="I28" s="152" t="s">
        <v>11</v>
      </c>
      <c r="J28" s="152" t="s">
        <v>11</v>
      </c>
      <c r="K28" s="152" t="s">
        <v>11</v>
      </c>
      <c r="L28" s="152" t="s">
        <v>11</v>
      </c>
      <c r="M28" s="152" t="s">
        <v>11</v>
      </c>
      <c r="N28" s="152" t="s">
        <v>11</v>
      </c>
      <c r="O28" s="152" t="s">
        <v>11</v>
      </c>
      <c r="P28" s="152" t="s">
        <v>11</v>
      </c>
      <c r="Q28" s="152" t="s">
        <v>11</v>
      </c>
      <c r="R28" s="152" t="s">
        <v>11</v>
      </c>
      <c r="S28" s="152" t="s">
        <v>11</v>
      </c>
      <c r="T28" s="152" t="s">
        <v>11</v>
      </c>
      <c r="U28" s="152" t="s">
        <v>11</v>
      </c>
      <c r="V28" s="152" t="s">
        <v>11</v>
      </c>
      <c r="W28" s="152" t="s">
        <v>11</v>
      </c>
      <c r="X28" s="152" t="s">
        <v>11</v>
      </c>
      <c r="Y28" s="152"/>
      <c r="Z28" s="157"/>
      <c r="AA28" s="157"/>
    </row>
    <row r="29" spans="1:27" ht="15">
      <c r="A29" s="154"/>
      <c r="B29" s="176" t="s">
        <v>216</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6"/>
    </row>
    <row r="30" spans="1:27" ht="25.5">
      <c r="A30" s="160" t="s">
        <v>516</v>
      </c>
      <c r="B30" s="179" t="s">
        <v>517</v>
      </c>
      <c r="C30" s="157" t="s">
        <v>11</v>
      </c>
      <c r="D30" s="157" t="s">
        <v>11</v>
      </c>
      <c r="E30" s="157" t="s">
        <v>11</v>
      </c>
      <c r="F30" s="157" t="s">
        <v>11</v>
      </c>
      <c r="G30" s="157" t="s">
        <v>11</v>
      </c>
      <c r="H30" s="157" t="s">
        <v>11</v>
      </c>
      <c r="I30" s="157" t="s">
        <v>11</v>
      </c>
      <c r="J30" s="157" t="s">
        <v>11</v>
      </c>
      <c r="K30" s="157" t="s">
        <v>11</v>
      </c>
      <c r="L30" s="157" t="s">
        <v>11</v>
      </c>
      <c r="M30" s="157" t="s">
        <v>11</v>
      </c>
      <c r="N30" s="157" t="s">
        <v>11</v>
      </c>
      <c r="O30" s="152" t="s">
        <v>225</v>
      </c>
      <c r="P30" s="152" t="s">
        <v>225</v>
      </c>
      <c r="Q30" s="152" t="s">
        <v>225</v>
      </c>
      <c r="R30" s="152" t="s">
        <v>225</v>
      </c>
      <c r="S30" s="152" t="s">
        <v>225</v>
      </c>
      <c r="T30" s="157" t="s">
        <v>225</v>
      </c>
      <c r="U30" s="157" t="s">
        <v>225</v>
      </c>
      <c r="V30" s="157" t="s">
        <v>225</v>
      </c>
      <c r="W30" s="152" t="s">
        <v>225</v>
      </c>
      <c r="X30" s="152" t="s">
        <v>225</v>
      </c>
      <c r="Y30" s="157"/>
      <c r="Z30" s="157"/>
      <c r="AA30" s="157"/>
    </row>
    <row r="31" spans="1:27" ht="38.25">
      <c r="A31" s="160" t="s">
        <v>518</v>
      </c>
      <c r="B31" s="179" t="s">
        <v>519</v>
      </c>
      <c r="C31" s="157" t="s">
        <v>11</v>
      </c>
      <c r="D31" s="157" t="s">
        <v>11</v>
      </c>
      <c r="E31" s="157" t="s">
        <v>11</v>
      </c>
      <c r="F31" s="157" t="s">
        <v>11</v>
      </c>
      <c r="G31" s="157" t="s">
        <v>11</v>
      </c>
      <c r="H31" s="157" t="s">
        <v>11</v>
      </c>
      <c r="I31" s="157" t="s">
        <v>11</v>
      </c>
      <c r="J31" s="157" t="s">
        <v>11</v>
      </c>
      <c r="K31" s="157" t="s">
        <v>11</v>
      </c>
      <c r="L31" s="157" t="s">
        <v>11</v>
      </c>
      <c r="M31" s="157" t="s">
        <v>11</v>
      </c>
      <c r="N31" s="157" t="s">
        <v>11</v>
      </c>
      <c r="O31" s="152" t="s">
        <v>23</v>
      </c>
      <c r="P31" s="152" t="s">
        <v>225</v>
      </c>
      <c r="Q31" s="152" t="s">
        <v>225</v>
      </c>
      <c r="R31" s="152" t="s">
        <v>225</v>
      </c>
      <c r="S31" s="152" t="s">
        <v>225</v>
      </c>
      <c r="T31" s="157" t="s">
        <v>225</v>
      </c>
      <c r="U31" s="157" t="s">
        <v>225</v>
      </c>
      <c r="V31" s="157" t="s">
        <v>225</v>
      </c>
      <c r="W31" s="152" t="s">
        <v>225</v>
      </c>
      <c r="X31" s="152" t="s">
        <v>225</v>
      </c>
      <c r="Y31" s="157"/>
      <c r="Z31" s="157"/>
      <c r="AA31" s="157"/>
    </row>
    <row r="32" spans="1:27" ht="18">
      <c r="A32" s="180"/>
      <c r="B32" s="181" t="s">
        <v>240</v>
      </c>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row>
    <row r="33" spans="1:27" ht="15">
      <c r="A33" s="162"/>
      <c r="B33" s="163" t="s">
        <v>242</v>
      </c>
      <c r="C33" s="164"/>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165"/>
    </row>
  </sheetData>
  <mergeCells count="1">
    <mergeCell ref="Z2:AA2"/>
  </mergeCells>
  <conditionalFormatting sqref="Y9:Z12">
    <cfRule type="expression" dxfId="0" priority="1" stopIfTrue="1">
      <formula>AND($AA9="Approved",OR($Z9=$AF$1,$Z9=$AH$1))</formula>
    </cfRule>
  </conditionalFormatting>
  <dataValidations count="1">
    <dataValidation type="list" allowBlank="1" showInputMessage="1" showErrorMessage="1" sqref="C9:X20 O30:S31 C22:X25 C6:X7 W30:X31 C27:X28"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Q34"/>
  <sheetViews>
    <sheetView zoomScale="130" zoomScaleNormal="130" workbookViewId="0">
      <pane xSplit="1" ySplit="3" topLeftCell="B4" activePane="bottomRight" state="frozen"/>
      <selection pane="topRight" activeCell="B1" sqref="B1"/>
      <selection pane="bottomLeft" activeCell="A4" sqref="A4"/>
      <selection pane="bottomRight" activeCell="M2" sqref="M2"/>
    </sheetView>
  </sheetViews>
  <sheetFormatPr defaultColWidth="9.42578125" defaultRowHeight="12.75"/>
  <cols>
    <col min="1" max="1" width="10.85546875" style="153" bestFit="1" customWidth="1"/>
    <col min="2" max="2" width="61" style="151" customWidth="1"/>
    <col min="3" max="13" width="4.42578125" style="150" bestFit="1" customWidth="1"/>
    <col min="14" max="14" width="30.5703125" style="150" customWidth="1"/>
    <col min="15" max="16" width="27.85546875" style="150" customWidth="1"/>
    <col min="17" max="16384" width="9.42578125" style="150"/>
  </cols>
  <sheetData>
    <row r="2" spans="1:17" ht="49.5" customHeight="1">
      <c r="A2" s="166" t="s">
        <v>226</v>
      </c>
      <c r="B2" s="167" t="s">
        <v>266</v>
      </c>
      <c r="C2" s="168" t="s">
        <v>465</v>
      </c>
      <c r="D2" s="168" t="s">
        <v>469</v>
      </c>
      <c r="E2" s="168" t="s">
        <v>470</v>
      </c>
      <c r="F2" s="168" t="s">
        <v>471</v>
      </c>
      <c r="G2" s="168" t="s">
        <v>511</v>
      </c>
      <c r="H2" s="168" t="s">
        <v>538</v>
      </c>
      <c r="I2" s="168" t="s">
        <v>550</v>
      </c>
      <c r="J2" s="168" t="s">
        <v>554</v>
      </c>
      <c r="K2" s="168" t="s">
        <v>555</v>
      </c>
      <c r="L2" s="168" t="s">
        <v>556</v>
      </c>
      <c r="M2" s="245" t="s">
        <v>631</v>
      </c>
      <c r="N2" s="169" t="s">
        <v>241</v>
      </c>
      <c r="O2" s="363" t="s">
        <v>186</v>
      </c>
      <c r="P2" s="364"/>
    </row>
    <row r="3" spans="1:17" ht="37.5">
      <c r="A3" s="170"/>
      <c r="B3" s="171"/>
      <c r="C3" s="171">
        <f t="shared" ref="C3:G3" si="0">COUNTIF(C5:C34,"Yes")</f>
        <v>0</v>
      </c>
      <c r="D3" s="171">
        <f t="shared" si="0"/>
        <v>16</v>
      </c>
      <c r="E3" s="171">
        <f t="shared" ref="E3:F3" si="1">COUNTIF(E5:E34,"Yes")</f>
        <v>17</v>
      </c>
      <c r="F3" s="171">
        <f t="shared" si="1"/>
        <v>17</v>
      </c>
      <c r="G3" s="171">
        <f t="shared" si="0"/>
        <v>17</v>
      </c>
      <c r="H3" s="171">
        <f t="shared" ref="H3:I3" si="2">COUNTIF(H5:H34,"Yes")</f>
        <v>17</v>
      </c>
      <c r="I3" s="171">
        <f t="shared" si="2"/>
        <v>17</v>
      </c>
      <c r="J3" s="171">
        <f t="shared" ref="J3:K3" si="3">COUNTIF(J5:J34,"Yes")</f>
        <v>17</v>
      </c>
      <c r="K3" s="171">
        <f t="shared" si="3"/>
        <v>17</v>
      </c>
      <c r="L3" s="171">
        <f t="shared" ref="L3:M3" si="4">COUNTIF(L5:L34,"Yes")</f>
        <v>17</v>
      </c>
      <c r="M3" s="171">
        <f t="shared" si="4"/>
        <v>17</v>
      </c>
      <c r="N3" s="158"/>
      <c r="O3" s="182" t="s">
        <v>232</v>
      </c>
      <c r="P3" s="182" t="s">
        <v>233</v>
      </c>
      <c r="Q3" s="159"/>
    </row>
    <row r="4" spans="1:17" ht="36">
      <c r="A4" s="172"/>
      <c r="B4" s="173" t="s">
        <v>245</v>
      </c>
      <c r="C4" s="174"/>
      <c r="D4" s="174"/>
      <c r="E4" s="174"/>
      <c r="F4" s="174"/>
      <c r="G4" s="174"/>
      <c r="H4" s="174"/>
      <c r="I4" s="174"/>
      <c r="J4" s="174"/>
      <c r="K4" s="174"/>
      <c r="L4" s="174"/>
      <c r="M4" s="174"/>
      <c r="N4" s="174"/>
      <c r="O4" s="174"/>
      <c r="P4" s="175"/>
      <c r="Q4" s="89"/>
    </row>
    <row r="5" spans="1:17" ht="15">
      <c r="A5" s="154"/>
      <c r="B5" s="176" t="s">
        <v>246</v>
      </c>
      <c r="C5" s="155"/>
      <c r="D5" s="155"/>
      <c r="E5" s="155"/>
      <c r="F5" s="155"/>
      <c r="G5" s="155"/>
      <c r="H5" s="155"/>
      <c r="I5" s="155"/>
      <c r="J5" s="155"/>
      <c r="K5" s="155"/>
      <c r="L5" s="155"/>
      <c r="M5" s="155"/>
      <c r="N5" s="155"/>
      <c r="O5" s="155"/>
      <c r="P5" s="156"/>
    </row>
    <row r="6" spans="1:17" ht="25.5">
      <c r="A6" s="160" t="s">
        <v>267</v>
      </c>
      <c r="B6" s="179" t="s">
        <v>248</v>
      </c>
      <c r="C6" s="152" t="s">
        <v>11</v>
      </c>
      <c r="D6" s="152" t="s">
        <v>225</v>
      </c>
      <c r="E6" s="152" t="s">
        <v>225</v>
      </c>
      <c r="F6" s="152" t="s">
        <v>225</v>
      </c>
      <c r="G6" s="152" t="s">
        <v>225</v>
      </c>
      <c r="H6" s="152" t="s">
        <v>225</v>
      </c>
      <c r="I6" s="152" t="s">
        <v>225</v>
      </c>
      <c r="J6" s="152" t="s">
        <v>225</v>
      </c>
      <c r="K6" s="152" t="s">
        <v>225</v>
      </c>
      <c r="L6" s="152" t="s">
        <v>225</v>
      </c>
      <c r="M6" s="152" t="s">
        <v>225</v>
      </c>
      <c r="N6" s="152"/>
      <c r="O6" s="157"/>
      <c r="P6" s="157"/>
    </row>
    <row r="7" spans="1:17" ht="38.25">
      <c r="A7" s="160" t="s">
        <v>268</v>
      </c>
      <c r="B7" s="179" t="s">
        <v>289</v>
      </c>
      <c r="C7" s="152" t="s">
        <v>11</v>
      </c>
      <c r="D7" s="152" t="s">
        <v>225</v>
      </c>
      <c r="E7" s="152" t="s">
        <v>225</v>
      </c>
      <c r="F7" s="152" t="s">
        <v>225</v>
      </c>
      <c r="G7" s="152" t="s">
        <v>225</v>
      </c>
      <c r="H7" s="152" t="s">
        <v>225</v>
      </c>
      <c r="I7" s="152" t="s">
        <v>225</v>
      </c>
      <c r="J7" s="152" t="s">
        <v>225</v>
      </c>
      <c r="K7" s="152" t="s">
        <v>225</v>
      </c>
      <c r="L7" s="152" t="s">
        <v>225</v>
      </c>
      <c r="M7" s="152" t="s">
        <v>225</v>
      </c>
      <c r="N7" s="152"/>
      <c r="O7" s="161" t="s">
        <v>290</v>
      </c>
      <c r="P7" s="157"/>
    </row>
    <row r="8" spans="1:17" ht="38.25">
      <c r="A8" s="160" t="s">
        <v>252</v>
      </c>
      <c r="B8" s="179" t="s">
        <v>291</v>
      </c>
      <c r="C8" s="152" t="s">
        <v>11</v>
      </c>
      <c r="D8" s="152" t="s">
        <v>23</v>
      </c>
      <c r="E8" s="152" t="s">
        <v>225</v>
      </c>
      <c r="F8" s="152" t="s">
        <v>225</v>
      </c>
      <c r="G8" s="152" t="s">
        <v>225</v>
      </c>
      <c r="H8" s="152" t="s">
        <v>225</v>
      </c>
      <c r="I8" s="152" t="s">
        <v>225</v>
      </c>
      <c r="J8" s="152" t="s">
        <v>225</v>
      </c>
      <c r="K8" s="152" t="s">
        <v>225</v>
      </c>
      <c r="L8" s="152" t="s">
        <v>225</v>
      </c>
      <c r="M8" s="152" t="s">
        <v>225</v>
      </c>
      <c r="N8" s="152"/>
      <c r="O8" s="157"/>
      <c r="P8" s="157"/>
    </row>
    <row r="9" spans="1:17" ht="38.25">
      <c r="A9" s="160" t="s">
        <v>253</v>
      </c>
      <c r="B9" s="179" t="s">
        <v>292</v>
      </c>
      <c r="C9" s="152" t="s">
        <v>11</v>
      </c>
      <c r="D9" s="152" t="s">
        <v>225</v>
      </c>
      <c r="E9" s="152" t="s">
        <v>225</v>
      </c>
      <c r="F9" s="152" t="s">
        <v>225</v>
      </c>
      <c r="G9" s="152" t="s">
        <v>225</v>
      </c>
      <c r="H9" s="152" t="s">
        <v>225</v>
      </c>
      <c r="I9" s="152" t="s">
        <v>225</v>
      </c>
      <c r="J9" s="152" t="s">
        <v>225</v>
      </c>
      <c r="K9" s="152" t="s">
        <v>225</v>
      </c>
      <c r="L9" s="152" t="s">
        <v>225</v>
      </c>
      <c r="M9" s="152" t="s">
        <v>225</v>
      </c>
      <c r="N9" s="152"/>
      <c r="O9" s="157"/>
      <c r="P9" s="157"/>
    </row>
    <row r="10" spans="1:17" ht="25.5">
      <c r="A10" s="160" t="s">
        <v>293</v>
      </c>
      <c r="B10" s="179" t="s">
        <v>294</v>
      </c>
      <c r="C10" s="152" t="s">
        <v>11</v>
      </c>
      <c r="D10" s="152" t="s">
        <v>225</v>
      </c>
      <c r="E10" s="152" t="s">
        <v>225</v>
      </c>
      <c r="F10" s="152" t="s">
        <v>225</v>
      </c>
      <c r="G10" s="152" t="s">
        <v>225</v>
      </c>
      <c r="H10" s="152" t="s">
        <v>225</v>
      </c>
      <c r="I10" s="152" t="s">
        <v>225</v>
      </c>
      <c r="J10" s="152" t="s">
        <v>225</v>
      </c>
      <c r="K10" s="152" t="s">
        <v>225</v>
      </c>
      <c r="L10" s="152" t="s">
        <v>225</v>
      </c>
      <c r="M10" s="152" t="s">
        <v>225</v>
      </c>
      <c r="N10" s="152"/>
      <c r="O10" s="157"/>
      <c r="P10" s="157"/>
    </row>
    <row r="11" spans="1:17" ht="25.5">
      <c r="A11" s="160" t="s">
        <v>269</v>
      </c>
      <c r="B11" s="179" t="s">
        <v>249</v>
      </c>
      <c r="C11" s="152" t="s">
        <v>11</v>
      </c>
      <c r="D11" s="152" t="s">
        <v>225</v>
      </c>
      <c r="E11" s="152" t="s">
        <v>225</v>
      </c>
      <c r="F11" s="152" t="s">
        <v>225</v>
      </c>
      <c r="G11" s="152" t="s">
        <v>225</v>
      </c>
      <c r="H11" s="152" t="s">
        <v>225</v>
      </c>
      <c r="I11" s="152" t="s">
        <v>225</v>
      </c>
      <c r="J11" s="152" t="s">
        <v>225</v>
      </c>
      <c r="K11" s="152" t="s">
        <v>225</v>
      </c>
      <c r="L11" s="152" t="s">
        <v>225</v>
      </c>
      <c r="M11" s="152" t="s">
        <v>225</v>
      </c>
      <c r="N11" s="152"/>
      <c r="O11" s="157"/>
      <c r="P11" s="157"/>
    </row>
    <row r="12" spans="1:17" ht="51">
      <c r="A12" s="160" t="s">
        <v>254</v>
      </c>
      <c r="B12" s="179" t="s">
        <v>255</v>
      </c>
      <c r="C12" s="152" t="s">
        <v>11</v>
      </c>
      <c r="D12" s="152" t="s">
        <v>225</v>
      </c>
      <c r="E12" s="152" t="s">
        <v>225</v>
      </c>
      <c r="F12" s="152" t="s">
        <v>225</v>
      </c>
      <c r="G12" s="152" t="s">
        <v>225</v>
      </c>
      <c r="H12" s="152" t="s">
        <v>225</v>
      </c>
      <c r="I12" s="152" t="s">
        <v>225</v>
      </c>
      <c r="J12" s="152" t="s">
        <v>225</v>
      </c>
      <c r="K12" s="152" t="s">
        <v>225</v>
      </c>
      <c r="L12" s="152" t="s">
        <v>225</v>
      </c>
      <c r="M12" s="152" t="s">
        <v>225</v>
      </c>
      <c r="N12" s="152"/>
      <c r="O12" s="157"/>
      <c r="P12" s="157"/>
    </row>
    <row r="13" spans="1:17" ht="25.5">
      <c r="A13" s="160" t="s">
        <v>270</v>
      </c>
      <c r="B13" s="179" t="s">
        <v>295</v>
      </c>
      <c r="C13" s="152" t="s">
        <v>11</v>
      </c>
      <c r="D13" s="152" t="s">
        <v>225</v>
      </c>
      <c r="E13" s="152" t="s">
        <v>225</v>
      </c>
      <c r="F13" s="152" t="s">
        <v>225</v>
      </c>
      <c r="G13" s="152" t="s">
        <v>225</v>
      </c>
      <c r="H13" s="152" t="s">
        <v>225</v>
      </c>
      <c r="I13" s="152" t="s">
        <v>225</v>
      </c>
      <c r="J13" s="152" t="s">
        <v>225</v>
      </c>
      <c r="K13" s="152" t="s">
        <v>225</v>
      </c>
      <c r="L13" s="152" t="s">
        <v>225</v>
      </c>
      <c r="M13" s="152" t="s">
        <v>225</v>
      </c>
      <c r="N13" s="152"/>
      <c r="O13" s="157"/>
      <c r="P13" s="157"/>
    </row>
    <row r="14" spans="1:17" ht="38.25">
      <c r="A14" s="160" t="s">
        <v>296</v>
      </c>
      <c r="B14" s="179" t="s">
        <v>297</v>
      </c>
      <c r="C14" s="152" t="s">
        <v>11</v>
      </c>
      <c r="D14" s="152" t="s">
        <v>225</v>
      </c>
      <c r="E14" s="152" t="s">
        <v>225</v>
      </c>
      <c r="F14" s="152" t="s">
        <v>225</v>
      </c>
      <c r="G14" s="152" t="s">
        <v>225</v>
      </c>
      <c r="H14" s="152" t="s">
        <v>225</v>
      </c>
      <c r="I14" s="152" t="s">
        <v>225</v>
      </c>
      <c r="J14" s="152" t="s">
        <v>225</v>
      </c>
      <c r="K14" s="152" t="s">
        <v>225</v>
      </c>
      <c r="L14" s="152" t="s">
        <v>225</v>
      </c>
      <c r="M14" s="152" t="s">
        <v>225</v>
      </c>
      <c r="N14" s="152"/>
      <c r="O14" s="157"/>
      <c r="P14" s="157"/>
    </row>
    <row r="15" spans="1:17" ht="15">
      <c r="A15" s="154"/>
      <c r="B15" s="176" t="s">
        <v>247</v>
      </c>
      <c r="C15" s="155"/>
      <c r="D15" s="155"/>
      <c r="E15" s="155"/>
      <c r="F15" s="155"/>
      <c r="G15" s="155"/>
      <c r="H15" s="155"/>
      <c r="I15" s="155"/>
      <c r="J15" s="155"/>
      <c r="K15" s="155"/>
      <c r="L15" s="155"/>
      <c r="M15" s="155"/>
      <c r="N15" s="155"/>
      <c r="O15" s="155"/>
      <c r="P15" s="156"/>
    </row>
    <row r="16" spans="1:17" ht="63.75">
      <c r="A16" s="160" t="s">
        <v>271</v>
      </c>
      <c r="B16" s="179" t="s">
        <v>250</v>
      </c>
      <c r="C16" s="152" t="s">
        <v>11</v>
      </c>
      <c r="D16" s="152" t="s">
        <v>11</v>
      </c>
      <c r="E16" s="152" t="s">
        <v>11</v>
      </c>
      <c r="F16" s="152" t="s">
        <v>11</v>
      </c>
      <c r="G16" s="152" t="s">
        <v>11</v>
      </c>
      <c r="H16" s="152" t="s">
        <v>11</v>
      </c>
      <c r="I16" s="152" t="s">
        <v>11</v>
      </c>
      <c r="J16" s="152" t="s">
        <v>11</v>
      </c>
      <c r="K16" s="152" t="s">
        <v>11</v>
      </c>
      <c r="L16" s="152" t="s">
        <v>11</v>
      </c>
      <c r="M16" s="152" t="s">
        <v>11</v>
      </c>
      <c r="N16" s="152"/>
      <c r="O16" s="157"/>
      <c r="P16" s="157"/>
    </row>
    <row r="17" spans="1:16" ht="63.75">
      <c r="A17" s="160" t="s">
        <v>256</v>
      </c>
      <c r="B17" s="179" t="s">
        <v>251</v>
      </c>
      <c r="C17" s="152" t="s">
        <v>11</v>
      </c>
      <c r="D17" s="152" t="s">
        <v>11</v>
      </c>
      <c r="E17" s="152" t="s">
        <v>11</v>
      </c>
      <c r="F17" s="152" t="s">
        <v>11</v>
      </c>
      <c r="G17" s="152" t="s">
        <v>11</v>
      </c>
      <c r="H17" s="152" t="s">
        <v>11</v>
      </c>
      <c r="I17" s="152" t="s">
        <v>11</v>
      </c>
      <c r="J17" s="152" t="s">
        <v>11</v>
      </c>
      <c r="K17" s="152" t="s">
        <v>11</v>
      </c>
      <c r="L17" s="152" t="s">
        <v>11</v>
      </c>
      <c r="M17" s="152" t="s">
        <v>11</v>
      </c>
      <c r="N17" s="152"/>
      <c r="O17" s="157"/>
      <c r="P17" s="157"/>
    </row>
    <row r="18" spans="1:16" ht="51">
      <c r="A18" s="160" t="s">
        <v>272</v>
      </c>
      <c r="B18" s="179" t="s">
        <v>273</v>
      </c>
      <c r="C18" s="152" t="s">
        <v>11</v>
      </c>
      <c r="D18" s="152" t="s">
        <v>225</v>
      </c>
      <c r="E18" s="152" t="s">
        <v>225</v>
      </c>
      <c r="F18" s="152" t="s">
        <v>225</v>
      </c>
      <c r="G18" s="152" t="s">
        <v>225</v>
      </c>
      <c r="H18" s="152" t="s">
        <v>225</v>
      </c>
      <c r="I18" s="152" t="s">
        <v>225</v>
      </c>
      <c r="J18" s="152" t="s">
        <v>225</v>
      </c>
      <c r="K18" s="152" t="s">
        <v>225</v>
      </c>
      <c r="L18" s="152" t="s">
        <v>225</v>
      </c>
      <c r="M18" s="152" t="s">
        <v>225</v>
      </c>
      <c r="N18" s="152"/>
      <c r="O18" s="157"/>
      <c r="P18" s="157"/>
    </row>
    <row r="19" spans="1:16" ht="25.5">
      <c r="A19" s="160" t="s">
        <v>257</v>
      </c>
      <c r="B19" s="179" t="s">
        <v>258</v>
      </c>
      <c r="C19" s="152" t="s">
        <v>11</v>
      </c>
      <c r="D19" s="152" t="s">
        <v>225</v>
      </c>
      <c r="E19" s="152" t="s">
        <v>225</v>
      </c>
      <c r="F19" s="152" t="s">
        <v>225</v>
      </c>
      <c r="G19" s="152" t="s">
        <v>225</v>
      </c>
      <c r="H19" s="152" t="s">
        <v>225</v>
      </c>
      <c r="I19" s="152" t="s">
        <v>225</v>
      </c>
      <c r="J19" s="152" t="s">
        <v>225</v>
      </c>
      <c r="K19" s="152" t="s">
        <v>225</v>
      </c>
      <c r="L19" s="152" t="s">
        <v>225</v>
      </c>
      <c r="M19" s="152" t="s">
        <v>225</v>
      </c>
      <c r="N19" s="152"/>
      <c r="O19" s="157"/>
      <c r="P19" s="157"/>
    </row>
    <row r="20" spans="1:16" ht="15">
      <c r="A20" s="154"/>
      <c r="B20" s="176" t="s">
        <v>316</v>
      </c>
      <c r="C20" s="155"/>
      <c r="D20" s="155"/>
      <c r="E20" s="155"/>
      <c r="F20" s="155"/>
      <c r="G20" s="155"/>
      <c r="H20" s="155"/>
      <c r="I20" s="155"/>
      <c r="J20" s="155"/>
      <c r="K20" s="155"/>
      <c r="L20" s="155"/>
      <c r="M20" s="155"/>
      <c r="N20" s="155"/>
      <c r="O20" s="155"/>
      <c r="P20" s="156"/>
    </row>
    <row r="21" spans="1:16" ht="38.25">
      <c r="A21" s="160" t="s">
        <v>367</v>
      </c>
      <c r="B21" s="179" t="s">
        <v>368</v>
      </c>
      <c r="C21" s="152" t="s">
        <v>11</v>
      </c>
      <c r="D21" s="152" t="s">
        <v>11</v>
      </c>
      <c r="E21" s="152" t="s">
        <v>11</v>
      </c>
      <c r="F21" s="152" t="s">
        <v>11</v>
      </c>
      <c r="G21" s="152" t="s">
        <v>11</v>
      </c>
      <c r="H21" s="152" t="s">
        <v>11</v>
      </c>
      <c r="I21" s="152" t="s">
        <v>11</v>
      </c>
      <c r="J21" s="152" t="s">
        <v>11</v>
      </c>
      <c r="K21" s="152" t="s">
        <v>11</v>
      </c>
      <c r="L21" s="152" t="s">
        <v>11</v>
      </c>
      <c r="M21" s="152" t="s">
        <v>11</v>
      </c>
      <c r="N21" s="152"/>
      <c r="O21" s="157"/>
      <c r="P21" s="157"/>
    </row>
    <row r="22" spans="1:16" ht="38.25">
      <c r="A22" s="160" t="s">
        <v>369</v>
      </c>
      <c r="B22" s="179" t="s">
        <v>370</v>
      </c>
      <c r="C22" s="152" t="s">
        <v>11</v>
      </c>
      <c r="D22" s="152" t="s">
        <v>11</v>
      </c>
      <c r="E22" s="152" t="s">
        <v>11</v>
      </c>
      <c r="F22" s="152" t="s">
        <v>11</v>
      </c>
      <c r="G22" s="152" t="s">
        <v>11</v>
      </c>
      <c r="H22" s="152" t="s">
        <v>11</v>
      </c>
      <c r="I22" s="152" t="s">
        <v>11</v>
      </c>
      <c r="J22" s="152" t="s">
        <v>11</v>
      </c>
      <c r="K22" s="152" t="s">
        <v>11</v>
      </c>
      <c r="L22" s="152" t="s">
        <v>11</v>
      </c>
      <c r="M22" s="152" t="s">
        <v>11</v>
      </c>
      <c r="N22" s="152"/>
      <c r="O22" s="157"/>
      <c r="P22" s="157"/>
    </row>
    <row r="23" spans="1:16" ht="51">
      <c r="A23" s="160" t="s">
        <v>371</v>
      </c>
      <c r="B23" s="179" t="s">
        <v>372</v>
      </c>
      <c r="C23" s="152" t="s">
        <v>11</v>
      </c>
      <c r="D23" s="152" t="s">
        <v>11</v>
      </c>
      <c r="E23" s="152" t="s">
        <v>11</v>
      </c>
      <c r="F23" s="152" t="s">
        <v>11</v>
      </c>
      <c r="G23" s="152" t="s">
        <v>11</v>
      </c>
      <c r="H23" s="152" t="s">
        <v>11</v>
      </c>
      <c r="I23" s="152" t="s">
        <v>11</v>
      </c>
      <c r="J23" s="152" t="s">
        <v>11</v>
      </c>
      <c r="K23" s="152" t="s">
        <v>11</v>
      </c>
      <c r="L23" s="152" t="s">
        <v>11</v>
      </c>
      <c r="M23" s="152" t="s">
        <v>11</v>
      </c>
      <c r="N23" s="152"/>
      <c r="O23" s="157"/>
      <c r="P23" s="157"/>
    </row>
    <row r="24" spans="1:16" ht="15">
      <c r="A24" s="154"/>
      <c r="B24" s="176" t="s">
        <v>229</v>
      </c>
      <c r="C24" s="155"/>
      <c r="D24" s="155"/>
      <c r="E24" s="155"/>
      <c r="F24" s="155"/>
      <c r="G24" s="155"/>
      <c r="H24" s="155"/>
      <c r="I24" s="155"/>
      <c r="J24" s="155"/>
      <c r="K24" s="155"/>
      <c r="L24" s="155"/>
      <c r="M24" s="155"/>
      <c r="N24" s="155"/>
      <c r="O24" s="155"/>
      <c r="P24" s="156"/>
    </row>
    <row r="25" spans="1:16" ht="38.25">
      <c r="A25" s="160" t="s">
        <v>234</v>
      </c>
      <c r="B25" s="179" t="s">
        <v>219</v>
      </c>
      <c r="C25" s="152" t="s">
        <v>11</v>
      </c>
      <c r="D25" s="152" t="s">
        <v>225</v>
      </c>
      <c r="E25" s="152" t="s">
        <v>225</v>
      </c>
      <c r="F25" s="152" t="s">
        <v>225</v>
      </c>
      <c r="G25" s="152" t="s">
        <v>225</v>
      </c>
      <c r="H25" s="152" t="s">
        <v>225</v>
      </c>
      <c r="I25" s="152" t="s">
        <v>225</v>
      </c>
      <c r="J25" s="152" t="s">
        <v>225</v>
      </c>
      <c r="K25" s="152" t="s">
        <v>225</v>
      </c>
      <c r="L25" s="152" t="s">
        <v>225</v>
      </c>
      <c r="M25" s="152" t="s">
        <v>225</v>
      </c>
      <c r="N25" s="152"/>
      <c r="O25" s="157"/>
      <c r="P25" s="157"/>
    </row>
    <row r="26" spans="1:16" ht="25.5">
      <c r="A26" s="160" t="s">
        <v>235</v>
      </c>
      <c r="B26" s="179" t="s">
        <v>220</v>
      </c>
      <c r="C26" s="152" t="s">
        <v>11</v>
      </c>
      <c r="D26" s="152" t="s">
        <v>225</v>
      </c>
      <c r="E26" s="152" t="s">
        <v>225</v>
      </c>
      <c r="F26" s="152" t="s">
        <v>225</v>
      </c>
      <c r="G26" s="152" t="s">
        <v>225</v>
      </c>
      <c r="H26" s="152" t="s">
        <v>225</v>
      </c>
      <c r="I26" s="152" t="s">
        <v>225</v>
      </c>
      <c r="J26" s="152" t="s">
        <v>225</v>
      </c>
      <c r="K26" s="152" t="s">
        <v>225</v>
      </c>
      <c r="L26" s="152" t="s">
        <v>225</v>
      </c>
      <c r="M26" s="152" t="s">
        <v>225</v>
      </c>
      <c r="N26" s="152"/>
      <c r="O26" s="157"/>
      <c r="P26" s="157"/>
    </row>
    <row r="27" spans="1:16" ht="38.25">
      <c r="A27" s="160" t="s">
        <v>236</v>
      </c>
      <c r="B27" s="179" t="s">
        <v>221</v>
      </c>
      <c r="C27" s="152" t="s">
        <v>11</v>
      </c>
      <c r="D27" s="152" t="s">
        <v>225</v>
      </c>
      <c r="E27" s="152" t="s">
        <v>225</v>
      </c>
      <c r="F27" s="152" t="s">
        <v>225</v>
      </c>
      <c r="G27" s="152" t="s">
        <v>225</v>
      </c>
      <c r="H27" s="152" t="s">
        <v>225</v>
      </c>
      <c r="I27" s="152" t="s">
        <v>225</v>
      </c>
      <c r="J27" s="152" t="s">
        <v>225</v>
      </c>
      <c r="K27" s="152" t="s">
        <v>225</v>
      </c>
      <c r="L27" s="152" t="s">
        <v>225</v>
      </c>
      <c r="M27" s="152" t="s">
        <v>225</v>
      </c>
      <c r="N27" s="152"/>
      <c r="O27" s="157"/>
      <c r="P27" s="157"/>
    </row>
    <row r="28" spans="1:16" ht="38.25">
      <c r="A28" s="160" t="s">
        <v>237</v>
      </c>
      <c r="B28" s="179" t="s">
        <v>222</v>
      </c>
      <c r="C28" s="152" t="s">
        <v>11</v>
      </c>
      <c r="D28" s="152" t="s">
        <v>225</v>
      </c>
      <c r="E28" s="152" t="s">
        <v>225</v>
      </c>
      <c r="F28" s="152" t="s">
        <v>225</v>
      </c>
      <c r="G28" s="152" t="s">
        <v>225</v>
      </c>
      <c r="H28" s="152" t="s">
        <v>225</v>
      </c>
      <c r="I28" s="152" t="s">
        <v>225</v>
      </c>
      <c r="J28" s="152" t="s">
        <v>225</v>
      </c>
      <c r="K28" s="152" t="s">
        <v>225</v>
      </c>
      <c r="L28" s="152" t="s">
        <v>225</v>
      </c>
      <c r="M28" s="152" t="s">
        <v>225</v>
      </c>
      <c r="N28" s="152"/>
      <c r="O28" s="157"/>
      <c r="P28" s="157"/>
    </row>
    <row r="29" spans="1:16" ht="15">
      <c r="A29" s="154"/>
      <c r="B29" s="176" t="s">
        <v>230</v>
      </c>
      <c r="C29" s="155"/>
      <c r="D29" s="155"/>
      <c r="E29" s="155"/>
      <c r="F29" s="155"/>
      <c r="G29" s="155"/>
      <c r="H29" s="155"/>
      <c r="I29" s="155"/>
      <c r="J29" s="155"/>
      <c r="K29" s="155"/>
      <c r="L29" s="155"/>
      <c r="M29" s="155"/>
      <c r="N29" s="155"/>
      <c r="O29" s="155"/>
      <c r="P29" s="156"/>
    </row>
    <row r="30" spans="1:16" ht="38.25">
      <c r="A30" s="160" t="s">
        <v>238</v>
      </c>
      <c r="B30" s="179" t="s">
        <v>223</v>
      </c>
      <c r="C30" s="152" t="s">
        <v>11</v>
      </c>
      <c r="D30" s="152" t="s">
        <v>225</v>
      </c>
      <c r="E30" s="152" t="s">
        <v>225</v>
      </c>
      <c r="F30" s="152" t="s">
        <v>225</v>
      </c>
      <c r="G30" s="152" t="s">
        <v>225</v>
      </c>
      <c r="H30" s="152" t="s">
        <v>225</v>
      </c>
      <c r="I30" s="152" t="s">
        <v>225</v>
      </c>
      <c r="J30" s="152" t="s">
        <v>225</v>
      </c>
      <c r="K30" s="152" t="s">
        <v>225</v>
      </c>
      <c r="L30" s="152" t="s">
        <v>225</v>
      </c>
      <c r="M30" s="152" t="s">
        <v>225</v>
      </c>
      <c r="N30" s="152"/>
      <c r="O30" s="157"/>
      <c r="P30" s="157"/>
    </row>
    <row r="31" spans="1:16" ht="38.25">
      <c r="A31" s="160" t="s">
        <v>239</v>
      </c>
      <c r="B31" s="179" t="s">
        <v>224</v>
      </c>
      <c r="C31" s="152" t="s">
        <v>11</v>
      </c>
      <c r="D31" s="152" t="s">
        <v>225</v>
      </c>
      <c r="E31" s="152" t="s">
        <v>225</v>
      </c>
      <c r="F31" s="152" t="s">
        <v>225</v>
      </c>
      <c r="G31" s="152" t="s">
        <v>225</v>
      </c>
      <c r="H31" s="152" t="s">
        <v>225</v>
      </c>
      <c r="I31" s="152" t="s">
        <v>225</v>
      </c>
      <c r="J31" s="152" t="s">
        <v>225</v>
      </c>
      <c r="K31" s="152" t="s">
        <v>225</v>
      </c>
      <c r="L31" s="152" t="s">
        <v>225</v>
      </c>
      <c r="M31" s="152" t="s">
        <v>225</v>
      </c>
      <c r="N31" s="152"/>
      <c r="O31" s="157"/>
      <c r="P31" s="157"/>
    </row>
    <row r="32" spans="1:16" ht="15">
      <c r="A32" s="154"/>
      <c r="B32" s="176" t="s">
        <v>216</v>
      </c>
      <c r="C32" s="155"/>
      <c r="D32" s="155"/>
      <c r="E32" s="155"/>
      <c r="F32" s="155"/>
      <c r="G32" s="155"/>
      <c r="H32" s="155"/>
      <c r="I32" s="155"/>
      <c r="J32" s="155"/>
      <c r="K32" s="155"/>
      <c r="L32" s="155"/>
      <c r="M32" s="155"/>
      <c r="N32" s="155"/>
      <c r="O32" s="155"/>
      <c r="P32" s="156"/>
    </row>
    <row r="33" spans="1:16" ht="51">
      <c r="A33" s="160" t="s">
        <v>217</v>
      </c>
      <c r="B33" s="179" t="s">
        <v>218</v>
      </c>
      <c r="C33" s="152" t="s">
        <v>11</v>
      </c>
      <c r="D33" s="152" t="s">
        <v>11</v>
      </c>
      <c r="E33" s="152" t="s">
        <v>11</v>
      </c>
      <c r="F33" s="152" t="s">
        <v>11</v>
      </c>
      <c r="G33" s="152" t="s">
        <v>11</v>
      </c>
      <c r="H33" s="152" t="s">
        <v>11</v>
      </c>
      <c r="I33" s="152" t="s">
        <v>11</v>
      </c>
      <c r="J33" s="152" t="s">
        <v>11</v>
      </c>
      <c r="K33" s="152" t="s">
        <v>11</v>
      </c>
      <c r="L33" s="152" t="s">
        <v>11</v>
      </c>
      <c r="M33" s="152" t="s">
        <v>11</v>
      </c>
      <c r="N33" s="152"/>
      <c r="O33" s="157"/>
      <c r="P33" s="157"/>
    </row>
    <row r="34" spans="1:16" ht="18">
      <c r="A34" s="180"/>
      <c r="B34" s="181" t="s">
        <v>240</v>
      </c>
      <c r="C34" s="180"/>
      <c r="D34" s="180"/>
      <c r="E34" s="180"/>
      <c r="F34" s="180"/>
      <c r="G34" s="180"/>
      <c r="H34" s="180"/>
      <c r="I34" s="180"/>
      <c r="J34" s="180"/>
      <c r="K34" s="180"/>
      <c r="L34" s="180"/>
      <c r="M34" s="180"/>
      <c r="N34" s="180"/>
      <c r="O34" s="180"/>
      <c r="P34" s="180"/>
    </row>
  </sheetData>
  <mergeCells count="1">
    <mergeCell ref="O2:P2"/>
  </mergeCells>
  <dataValidations count="1">
    <dataValidation type="list" allowBlank="1" showInputMessage="1" showErrorMessage="1" sqref="C25:M28 C33:M33 C16:M19 C21:M23 C30:M31 C6:M14"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S36"/>
  <sheetViews>
    <sheetView zoomScale="130" zoomScaleNormal="130" workbookViewId="0">
      <pane xSplit="1" ySplit="3" topLeftCell="B4" activePane="bottomRight" state="frozen"/>
      <selection pane="topRight" activeCell="B1" sqref="B1"/>
      <selection pane="bottomLeft" activeCell="A4" sqref="A4"/>
      <selection pane="bottomRight" activeCell="P6" sqref="P6"/>
    </sheetView>
  </sheetViews>
  <sheetFormatPr defaultColWidth="9.42578125" defaultRowHeight="12.75"/>
  <cols>
    <col min="1" max="1" width="10.85546875" style="153" bestFit="1" customWidth="1"/>
    <col min="2" max="2" width="61" style="151" customWidth="1"/>
    <col min="3" max="15" width="4.42578125" style="150" bestFit="1" customWidth="1"/>
    <col min="16" max="16" width="30.5703125" style="150" customWidth="1"/>
    <col min="17" max="18" width="27.85546875" style="150" customWidth="1"/>
    <col min="19" max="16384" width="9.42578125" style="150"/>
  </cols>
  <sheetData>
    <row r="2" spans="1:19" ht="69.75">
      <c r="A2" s="166" t="s">
        <v>226</v>
      </c>
      <c r="B2" s="167" t="s">
        <v>274</v>
      </c>
      <c r="C2" s="168" t="s">
        <v>449</v>
      </c>
      <c r="D2" s="168" t="s">
        <v>458</v>
      </c>
      <c r="E2" s="168" t="s">
        <v>514</v>
      </c>
      <c r="F2" s="168" t="s">
        <v>639</v>
      </c>
      <c r="G2" s="168" t="s">
        <v>568</v>
      </c>
      <c r="H2" s="168" t="s">
        <v>643</v>
      </c>
      <c r="I2" s="168" t="s">
        <v>646</v>
      </c>
      <c r="J2" s="168" t="s">
        <v>659</v>
      </c>
      <c r="K2" s="168" t="s">
        <v>662</v>
      </c>
      <c r="L2" s="168" t="s">
        <v>666</v>
      </c>
      <c r="M2" s="168" t="s">
        <v>679</v>
      </c>
      <c r="N2" s="168" t="s">
        <v>398</v>
      </c>
      <c r="O2" s="168" t="s">
        <v>398</v>
      </c>
      <c r="P2" s="169" t="s">
        <v>241</v>
      </c>
      <c r="Q2" s="363" t="s">
        <v>186</v>
      </c>
      <c r="R2" s="364"/>
    </row>
    <row r="3" spans="1:19" ht="37.5">
      <c r="A3" s="170"/>
      <c r="B3" s="171"/>
      <c r="C3" s="171">
        <f t="shared" ref="C3:O3" si="0">COUNTIF(C5:C36,"Yes")</f>
        <v>8</v>
      </c>
      <c r="D3" s="171">
        <f t="shared" ref="D3:G3" si="1">COUNTIF(D5:D36,"Yes")</f>
        <v>8</v>
      </c>
      <c r="E3" s="171">
        <f t="shared" si="1"/>
        <v>10</v>
      </c>
      <c r="F3" s="171">
        <f t="shared" ref="F3" si="2">COUNTIF(F5:F36,"Yes")</f>
        <v>10</v>
      </c>
      <c r="G3" s="171">
        <f t="shared" si="1"/>
        <v>10</v>
      </c>
      <c r="H3" s="171">
        <f t="shared" ref="H3:I3" si="3">COUNTIF(H5:H36,"Yes")</f>
        <v>10</v>
      </c>
      <c r="I3" s="171">
        <f t="shared" si="3"/>
        <v>10</v>
      </c>
      <c r="J3" s="171">
        <f>COUNTIF(J5:J36,"Yes")</f>
        <v>10</v>
      </c>
      <c r="K3" s="171">
        <f>COUNTIF(K5:K36,"Yes")</f>
        <v>10</v>
      </c>
      <c r="L3" s="171">
        <f>COUNTIF(L5:L36,"Yes")</f>
        <v>10</v>
      </c>
      <c r="M3" s="171">
        <f>COUNTIF(M5:M36,"Yes")</f>
        <v>10</v>
      </c>
      <c r="N3" s="171">
        <f t="shared" si="0"/>
        <v>0</v>
      </c>
      <c r="O3" s="171">
        <f t="shared" si="0"/>
        <v>0</v>
      </c>
      <c r="P3" s="158"/>
      <c r="Q3" s="182" t="s">
        <v>232</v>
      </c>
      <c r="R3" s="182" t="s">
        <v>233</v>
      </c>
      <c r="S3" s="159"/>
    </row>
    <row r="4" spans="1:19" ht="36">
      <c r="A4" s="172"/>
      <c r="B4" s="173" t="s">
        <v>245</v>
      </c>
      <c r="C4" s="174"/>
      <c r="D4" s="174"/>
      <c r="E4" s="174"/>
      <c r="F4" s="174"/>
      <c r="G4" s="174"/>
      <c r="H4" s="174"/>
      <c r="I4" s="174"/>
      <c r="J4" s="174"/>
      <c r="K4" s="174"/>
      <c r="L4" s="174"/>
      <c r="M4" s="174"/>
      <c r="N4" s="174"/>
      <c r="O4" s="174"/>
      <c r="P4" s="174"/>
      <c r="Q4" s="174"/>
      <c r="R4" s="175"/>
      <c r="S4" s="89"/>
    </row>
    <row r="5" spans="1:19" ht="15">
      <c r="A5" s="154"/>
      <c r="B5" s="176" t="s">
        <v>246</v>
      </c>
      <c r="C5" s="155"/>
      <c r="D5" s="155"/>
      <c r="E5" s="155"/>
      <c r="F5" s="155"/>
      <c r="G5" s="155"/>
      <c r="H5" s="155"/>
      <c r="I5" s="155"/>
      <c r="J5" s="155"/>
      <c r="K5" s="155"/>
      <c r="L5" s="155"/>
      <c r="M5" s="155"/>
      <c r="N5" s="155"/>
      <c r="O5" s="155"/>
      <c r="P5" s="155"/>
      <c r="Q5" s="155"/>
      <c r="R5" s="156"/>
    </row>
    <row r="6" spans="1:19" ht="25.5">
      <c r="A6" s="160" t="s">
        <v>267</v>
      </c>
      <c r="B6" s="179" t="s">
        <v>248</v>
      </c>
      <c r="C6" s="152" t="s">
        <v>11</v>
      </c>
      <c r="D6" s="152" t="s">
        <v>23</v>
      </c>
      <c r="E6" s="152" t="s">
        <v>225</v>
      </c>
      <c r="F6" s="152" t="s">
        <v>225</v>
      </c>
      <c r="G6" s="152" t="s">
        <v>225</v>
      </c>
      <c r="H6" s="152" t="s">
        <v>225</v>
      </c>
      <c r="I6" s="152" t="s">
        <v>225</v>
      </c>
      <c r="J6" s="152" t="s">
        <v>225</v>
      </c>
      <c r="K6" s="152" t="s">
        <v>225</v>
      </c>
      <c r="L6" s="152" t="s">
        <v>225</v>
      </c>
      <c r="M6" s="152" t="s">
        <v>225</v>
      </c>
      <c r="N6" s="152"/>
      <c r="O6" s="152"/>
      <c r="P6" s="152"/>
      <c r="Q6" s="157"/>
      <c r="R6" s="157"/>
    </row>
    <row r="7" spans="1:19" ht="38.25">
      <c r="A7" s="160" t="s">
        <v>268</v>
      </c>
      <c r="B7" s="179" t="s">
        <v>289</v>
      </c>
      <c r="C7" s="152" t="s">
        <v>225</v>
      </c>
      <c r="D7" s="152" t="s">
        <v>225</v>
      </c>
      <c r="E7" s="152" t="s">
        <v>225</v>
      </c>
      <c r="F7" s="152" t="s">
        <v>225</v>
      </c>
      <c r="G7" s="152" t="s">
        <v>225</v>
      </c>
      <c r="H7" s="152" t="s">
        <v>225</v>
      </c>
      <c r="I7" s="152" t="s">
        <v>225</v>
      </c>
      <c r="J7" s="152" t="s">
        <v>225</v>
      </c>
      <c r="K7" s="152" t="s">
        <v>225</v>
      </c>
      <c r="L7" s="152" t="s">
        <v>225</v>
      </c>
      <c r="M7" s="152" t="s">
        <v>225</v>
      </c>
      <c r="N7" s="152"/>
      <c r="O7" s="152"/>
      <c r="P7" s="152"/>
      <c r="Q7" s="161" t="s">
        <v>290</v>
      </c>
      <c r="R7" s="157"/>
    </row>
    <row r="8" spans="1:19" ht="25.5">
      <c r="A8" s="160" t="s">
        <v>269</v>
      </c>
      <c r="B8" s="179" t="s">
        <v>249</v>
      </c>
      <c r="C8" s="152" t="s">
        <v>225</v>
      </c>
      <c r="D8" s="152" t="s">
        <v>225</v>
      </c>
      <c r="E8" s="152" t="s">
        <v>225</v>
      </c>
      <c r="F8" s="152" t="s">
        <v>225</v>
      </c>
      <c r="G8" s="152" t="s">
        <v>225</v>
      </c>
      <c r="H8" s="152" t="s">
        <v>225</v>
      </c>
      <c r="I8" s="152" t="s">
        <v>225</v>
      </c>
      <c r="J8" s="152" t="s">
        <v>225</v>
      </c>
      <c r="K8" s="152" t="s">
        <v>225</v>
      </c>
      <c r="L8" s="152" t="s">
        <v>225</v>
      </c>
      <c r="M8" s="152" t="s">
        <v>225</v>
      </c>
      <c r="N8" s="152"/>
      <c r="O8" s="152"/>
      <c r="P8" s="152"/>
      <c r="Q8" s="157"/>
      <c r="R8" s="157"/>
    </row>
    <row r="9" spans="1:19" ht="25.5">
      <c r="A9" s="160" t="s">
        <v>270</v>
      </c>
      <c r="B9" s="179" t="s">
        <v>295</v>
      </c>
      <c r="C9" s="152" t="s">
        <v>225</v>
      </c>
      <c r="D9" s="152" t="s">
        <v>225</v>
      </c>
      <c r="E9" s="152" t="s">
        <v>225</v>
      </c>
      <c r="F9" s="152" t="s">
        <v>225</v>
      </c>
      <c r="G9" s="152" t="s">
        <v>225</v>
      </c>
      <c r="H9" s="152" t="s">
        <v>225</v>
      </c>
      <c r="I9" s="152" t="s">
        <v>225</v>
      </c>
      <c r="J9" s="152" t="s">
        <v>225</v>
      </c>
      <c r="K9" s="152" t="s">
        <v>225</v>
      </c>
      <c r="L9" s="152" t="s">
        <v>225</v>
      </c>
      <c r="M9" s="152" t="s">
        <v>225</v>
      </c>
      <c r="N9" s="152"/>
      <c r="O9" s="152"/>
      <c r="P9" s="152"/>
      <c r="Q9" s="157"/>
      <c r="R9" s="157"/>
    </row>
    <row r="10" spans="1:19" ht="38.25">
      <c r="A10" s="160" t="s">
        <v>296</v>
      </c>
      <c r="B10" s="179" t="s">
        <v>297</v>
      </c>
      <c r="C10" s="152" t="s">
        <v>11</v>
      </c>
      <c r="D10" s="152" t="s">
        <v>11</v>
      </c>
      <c r="E10" s="152" t="s">
        <v>11</v>
      </c>
      <c r="F10" s="152" t="s">
        <v>11</v>
      </c>
      <c r="G10" s="152" t="s">
        <v>11</v>
      </c>
      <c r="H10" s="152" t="s">
        <v>11</v>
      </c>
      <c r="I10" s="152" t="s">
        <v>11</v>
      </c>
      <c r="J10" s="152" t="s">
        <v>11</v>
      </c>
      <c r="K10" s="152" t="s">
        <v>11</v>
      </c>
      <c r="L10" s="152" t="s">
        <v>11</v>
      </c>
      <c r="M10" s="152" t="s">
        <v>11</v>
      </c>
      <c r="N10" s="152"/>
      <c r="O10" s="152"/>
      <c r="P10" s="152"/>
      <c r="Q10" s="157"/>
      <c r="R10" s="157"/>
    </row>
    <row r="11" spans="1:19" ht="15">
      <c r="A11" s="154"/>
      <c r="B11" s="176" t="s">
        <v>247</v>
      </c>
      <c r="C11" s="155"/>
      <c r="D11" s="155"/>
      <c r="E11" s="155"/>
      <c r="F11" s="155"/>
      <c r="G11" s="155"/>
      <c r="H11" s="155"/>
      <c r="I11" s="155"/>
      <c r="J11" s="155"/>
      <c r="K11" s="155"/>
      <c r="L11" s="155"/>
      <c r="M11" s="155"/>
      <c r="N11" s="155"/>
      <c r="O11" s="155"/>
      <c r="P11" s="155"/>
      <c r="Q11" s="155"/>
      <c r="R11" s="156"/>
    </row>
    <row r="12" spans="1:19" ht="63.75">
      <c r="A12" s="160" t="s">
        <v>271</v>
      </c>
      <c r="B12" s="179" t="s">
        <v>250</v>
      </c>
      <c r="C12" s="152" t="s">
        <v>225</v>
      </c>
      <c r="D12" s="152" t="s">
        <v>225</v>
      </c>
      <c r="E12" s="152" t="s">
        <v>225</v>
      </c>
      <c r="F12" s="152" t="s">
        <v>225</v>
      </c>
      <c r="G12" s="152" t="s">
        <v>225</v>
      </c>
      <c r="H12" s="152" t="s">
        <v>225</v>
      </c>
      <c r="I12" s="152" t="s">
        <v>225</v>
      </c>
      <c r="J12" s="152" t="s">
        <v>225</v>
      </c>
      <c r="K12" s="152" t="s">
        <v>225</v>
      </c>
      <c r="L12" s="152" t="s">
        <v>225</v>
      </c>
      <c r="M12" s="152" t="s">
        <v>225</v>
      </c>
      <c r="N12" s="152"/>
      <c r="O12" s="152"/>
      <c r="P12" s="152"/>
      <c r="Q12" s="157"/>
      <c r="R12" s="157"/>
    </row>
    <row r="13" spans="1:19" ht="63.75">
      <c r="A13" s="160" t="s">
        <v>256</v>
      </c>
      <c r="B13" s="179" t="s">
        <v>251</v>
      </c>
      <c r="C13" s="152" t="s">
        <v>225</v>
      </c>
      <c r="D13" s="152" t="s">
        <v>225</v>
      </c>
      <c r="E13" s="152" t="s">
        <v>225</v>
      </c>
      <c r="F13" s="152" t="s">
        <v>225</v>
      </c>
      <c r="G13" s="152" t="s">
        <v>225</v>
      </c>
      <c r="H13" s="152" t="s">
        <v>225</v>
      </c>
      <c r="I13" s="152" t="s">
        <v>225</v>
      </c>
      <c r="J13" s="152" t="s">
        <v>225</v>
      </c>
      <c r="K13" s="152" t="s">
        <v>225</v>
      </c>
      <c r="L13" s="152" t="s">
        <v>225</v>
      </c>
      <c r="M13" s="152" t="s">
        <v>225</v>
      </c>
      <c r="N13" s="152"/>
      <c r="O13" s="152"/>
      <c r="P13" s="152"/>
      <c r="Q13" s="157"/>
      <c r="R13" s="157"/>
    </row>
    <row r="14" spans="1:19" ht="51">
      <c r="A14" s="160" t="s">
        <v>272</v>
      </c>
      <c r="B14" s="179" t="s">
        <v>273</v>
      </c>
      <c r="C14" s="152" t="s">
        <v>225</v>
      </c>
      <c r="D14" s="152" t="s">
        <v>225</v>
      </c>
      <c r="E14" s="152" t="s">
        <v>225</v>
      </c>
      <c r="F14" s="152" t="s">
        <v>225</v>
      </c>
      <c r="G14" s="152" t="s">
        <v>225</v>
      </c>
      <c r="H14" s="152" t="s">
        <v>225</v>
      </c>
      <c r="I14" s="152" t="s">
        <v>225</v>
      </c>
      <c r="J14" s="152" t="s">
        <v>225</v>
      </c>
      <c r="K14" s="152" t="s">
        <v>225</v>
      </c>
      <c r="L14" s="152" t="s">
        <v>225</v>
      </c>
      <c r="M14" s="152" t="s">
        <v>225</v>
      </c>
      <c r="N14" s="152"/>
      <c r="O14" s="152"/>
      <c r="P14" s="152"/>
      <c r="Q14" s="157"/>
      <c r="R14" s="157"/>
    </row>
    <row r="15" spans="1:19" ht="25.5">
      <c r="A15" s="160" t="s">
        <v>257</v>
      </c>
      <c r="B15" s="179" t="s">
        <v>258</v>
      </c>
      <c r="C15" s="152" t="s">
        <v>225</v>
      </c>
      <c r="D15" s="152" t="s">
        <v>225</v>
      </c>
      <c r="E15" s="152" t="s">
        <v>225</v>
      </c>
      <c r="F15" s="152" t="s">
        <v>225</v>
      </c>
      <c r="G15" s="152" t="s">
        <v>225</v>
      </c>
      <c r="H15" s="152" t="s">
        <v>225</v>
      </c>
      <c r="I15" s="152" t="s">
        <v>225</v>
      </c>
      <c r="J15" s="152" t="s">
        <v>225</v>
      </c>
      <c r="K15" s="152" t="s">
        <v>225</v>
      </c>
      <c r="L15" s="152" t="s">
        <v>225</v>
      </c>
      <c r="M15" s="152" t="s">
        <v>225</v>
      </c>
      <c r="N15" s="152"/>
      <c r="O15" s="152"/>
      <c r="P15" s="152"/>
      <c r="Q15" s="157"/>
      <c r="R15" s="157"/>
    </row>
    <row r="16" spans="1:19" ht="15">
      <c r="A16" s="154"/>
      <c r="B16" s="176" t="s">
        <v>275</v>
      </c>
      <c r="C16" s="155"/>
      <c r="D16" s="155"/>
      <c r="E16" s="155"/>
      <c r="F16" s="155"/>
      <c r="G16" s="155"/>
      <c r="H16" s="155"/>
      <c r="I16" s="155"/>
      <c r="J16" s="155"/>
      <c r="K16" s="155"/>
      <c r="L16" s="155"/>
      <c r="M16" s="155"/>
      <c r="N16" s="155"/>
      <c r="O16" s="155"/>
      <c r="P16" s="155"/>
      <c r="Q16" s="155"/>
      <c r="R16" s="156"/>
    </row>
    <row r="17" spans="1:18" ht="38.25">
      <c r="A17" s="160" t="s">
        <v>373</v>
      </c>
      <c r="B17" s="179" t="s">
        <v>374</v>
      </c>
      <c r="C17" s="152" t="s">
        <v>225</v>
      </c>
      <c r="D17" s="152" t="s">
        <v>225</v>
      </c>
      <c r="E17" s="152" t="s">
        <v>225</v>
      </c>
      <c r="F17" s="152" t="s">
        <v>225</v>
      </c>
      <c r="G17" s="152" t="s">
        <v>225</v>
      </c>
      <c r="H17" s="152" t="s">
        <v>225</v>
      </c>
      <c r="I17" s="152" t="s">
        <v>225</v>
      </c>
      <c r="J17" s="152" t="s">
        <v>225</v>
      </c>
      <c r="K17" s="152" t="s">
        <v>225</v>
      </c>
      <c r="L17" s="152" t="s">
        <v>225</v>
      </c>
      <c r="M17" s="152" t="s">
        <v>225</v>
      </c>
      <c r="N17" s="152"/>
      <c r="O17" s="152"/>
      <c r="P17" s="152"/>
      <c r="Q17" s="157"/>
      <c r="R17" s="157"/>
    </row>
    <row r="18" spans="1:18" ht="76.5">
      <c r="A18" s="160" t="s">
        <v>375</v>
      </c>
      <c r="B18" s="179" t="s">
        <v>376</v>
      </c>
      <c r="C18" s="152" t="s">
        <v>23</v>
      </c>
      <c r="D18" s="152" t="s">
        <v>23</v>
      </c>
      <c r="E18" s="152" t="s">
        <v>225</v>
      </c>
      <c r="F18" s="152" t="s">
        <v>225</v>
      </c>
      <c r="G18" s="152" t="s">
        <v>225</v>
      </c>
      <c r="H18" s="152" t="s">
        <v>225</v>
      </c>
      <c r="I18" s="152" t="s">
        <v>225</v>
      </c>
      <c r="J18" s="152" t="s">
        <v>225</v>
      </c>
      <c r="K18" s="152" t="s">
        <v>225</v>
      </c>
      <c r="L18" s="152" t="s">
        <v>225</v>
      </c>
      <c r="M18" s="152" t="s">
        <v>225</v>
      </c>
      <c r="N18" s="152"/>
      <c r="O18" s="152"/>
      <c r="P18" s="152"/>
      <c r="Q18" s="157"/>
      <c r="R18" s="157"/>
    </row>
    <row r="19" spans="1:18" ht="15">
      <c r="A19" s="154"/>
      <c r="B19" s="176" t="s">
        <v>316</v>
      </c>
      <c r="C19" s="155"/>
      <c r="D19" s="155"/>
      <c r="E19" s="155"/>
      <c r="F19" s="155"/>
      <c r="G19" s="155"/>
      <c r="H19" s="155"/>
      <c r="I19" s="155"/>
      <c r="J19" s="155"/>
      <c r="K19" s="155"/>
      <c r="L19" s="155"/>
      <c r="M19" s="155"/>
      <c r="N19" s="155"/>
      <c r="O19" s="155"/>
      <c r="P19" s="155"/>
      <c r="Q19" s="155"/>
      <c r="R19" s="156"/>
    </row>
    <row r="20" spans="1:18" ht="51">
      <c r="A20" s="160" t="s">
        <v>377</v>
      </c>
      <c r="B20" s="179" t="s">
        <v>372</v>
      </c>
      <c r="C20" s="152" t="s">
        <v>11</v>
      </c>
      <c r="D20" s="152" t="s">
        <v>11</v>
      </c>
      <c r="E20" s="152" t="s">
        <v>11</v>
      </c>
      <c r="F20" s="152" t="s">
        <v>11</v>
      </c>
      <c r="G20" s="152" t="s">
        <v>11</v>
      </c>
      <c r="H20" s="152" t="s">
        <v>11</v>
      </c>
      <c r="I20" s="152" t="s">
        <v>11</v>
      </c>
      <c r="J20" s="152" t="s">
        <v>11</v>
      </c>
      <c r="K20" s="152" t="s">
        <v>11</v>
      </c>
      <c r="L20" s="152" t="s">
        <v>11</v>
      </c>
      <c r="M20" s="152" t="s">
        <v>11</v>
      </c>
      <c r="N20" s="152"/>
      <c r="O20" s="152"/>
      <c r="P20" s="152"/>
      <c r="Q20" s="157"/>
      <c r="R20" s="157"/>
    </row>
    <row r="21" spans="1:18" ht="51">
      <c r="A21" s="160" t="s">
        <v>378</v>
      </c>
      <c r="B21" s="179" t="s">
        <v>379</v>
      </c>
      <c r="C21" s="152" t="s">
        <v>11</v>
      </c>
      <c r="D21" s="152" t="s">
        <v>11</v>
      </c>
      <c r="E21" s="152" t="s">
        <v>11</v>
      </c>
      <c r="F21" s="152" t="s">
        <v>11</v>
      </c>
      <c r="G21" s="152" t="s">
        <v>11</v>
      </c>
      <c r="H21" s="152" t="s">
        <v>11</v>
      </c>
      <c r="I21" s="152" t="s">
        <v>11</v>
      </c>
      <c r="J21" s="152" t="s">
        <v>11</v>
      </c>
      <c r="K21" s="152" t="s">
        <v>11</v>
      </c>
      <c r="L21" s="152" t="s">
        <v>11</v>
      </c>
      <c r="M21" s="152" t="s">
        <v>11</v>
      </c>
      <c r="N21" s="152"/>
      <c r="O21" s="152"/>
      <c r="P21" s="152"/>
      <c r="Q21" s="157"/>
      <c r="R21" s="157"/>
    </row>
    <row r="22" spans="1:18" ht="51">
      <c r="A22" s="160" t="s">
        <v>380</v>
      </c>
      <c r="B22" s="179" t="s">
        <v>381</v>
      </c>
      <c r="C22" s="152" t="s">
        <v>11</v>
      </c>
      <c r="D22" s="152" t="s">
        <v>11</v>
      </c>
      <c r="E22" s="152" t="s">
        <v>11</v>
      </c>
      <c r="F22" s="152" t="s">
        <v>11</v>
      </c>
      <c r="G22" s="152" t="s">
        <v>11</v>
      </c>
      <c r="H22" s="152" t="s">
        <v>11</v>
      </c>
      <c r="I22" s="152" t="s">
        <v>11</v>
      </c>
      <c r="J22" s="152" t="s">
        <v>11</v>
      </c>
      <c r="K22" s="152" t="s">
        <v>11</v>
      </c>
      <c r="L22" s="152" t="s">
        <v>11</v>
      </c>
      <c r="M22" s="152" t="s">
        <v>11</v>
      </c>
      <c r="N22" s="152"/>
      <c r="O22" s="152"/>
      <c r="P22" s="152"/>
      <c r="Q22" s="157"/>
      <c r="R22" s="157"/>
    </row>
    <row r="23" spans="1:18" ht="25.5">
      <c r="A23" s="160" t="s">
        <v>382</v>
      </c>
      <c r="B23" s="179" t="s">
        <v>383</v>
      </c>
      <c r="C23" s="152" t="s">
        <v>11</v>
      </c>
      <c r="D23" s="152" t="s">
        <v>11</v>
      </c>
      <c r="E23" s="152" t="s">
        <v>11</v>
      </c>
      <c r="F23" s="152" t="s">
        <v>11</v>
      </c>
      <c r="G23" s="152" t="s">
        <v>11</v>
      </c>
      <c r="H23" s="152" t="s">
        <v>11</v>
      </c>
      <c r="I23" s="152" t="s">
        <v>11</v>
      </c>
      <c r="J23" s="152" t="s">
        <v>11</v>
      </c>
      <c r="K23" s="152" t="s">
        <v>11</v>
      </c>
      <c r="L23" s="152" t="s">
        <v>11</v>
      </c>
      <c r="M23" s="152" t="s">
        <v>11</v>
      </c>
      <c r="N23" s="152"/>
      <c r="O23" s="152"/>
      <c r="P23" s="152"/>
      <c r="Q23" s="157"/>
      <c r="R23" s="157"/>
    </row>
    <row r="24" spans="1:18" ht="51">
      <c r="A24" s="160" t="s">
        <v>384</v>
      </c>
      <c r="B24" s="179" t="s">
        <v>385</v>
      </c>
      <c r="C24" s="152" t="s">
        <v>11</v>
      </c>
      <c r="D24" s="152" t="s">
        <v>11</v>
      </c>
      <c r="E24" s="152" t="s">
        <v>11</v>
      </c>
      <c r="F24" s="152" t="s">
        <v>11</v>
      </c>
      <c r="G24" s="152" t="s">
        <v>11</v>
      </c>
      <c r="H24" s="152" t="s">
        <v>11</v>
      </c>
      <c r="I24" s="152" t="s">
        <v>11</v>
      </c>
      <c r="J24" s="152" t="s">
        <v>11</v>
      </c>
      <c r="K24" s="152" t="s">
        <v>11</v>
      </c>
      <c r="L24" s="152" t="s">
        <v>11</v>
      </c>
      <c r="M24" s="152" t="s">
        <v>11</v>
      </c>
      <c r="N24" s="152"/>
      <c r="O24" s="152"/>
      <c r="P24" s="152"/>
      <c r="Q24" s="157"/>
      <c r="R24" s="157"/>
    </row>
    <row r="25" spans="1:18" ht="25.5">
      <c r="A25" s="160" t="s">
        <v>386</v>
      </c>
      <c r="B25" s="179" t="s">
        <v>387</v>
      </c>
      <c r="C25" s="152" t="s">
        <v>11</v>
      </c>
      <c r="D25" s="152" t="s">
        <v>11</v>
      </c>
      <c r="E25" s="152" t="s">
        <v>11</v>
      </c>
      <c r="F25" s="152" t="s">
        <v>11</v>
      </c>
      <c r="G25" s="152" t="s">
        <v>11</v>
      </c>
      <c r="H25" s="152" t="s">
        <v>11</v>
      </c>
      <c r="I25" s="152" t="s">
        <v>11</v>
      </c>
      <c r="J25" s="152" t="s">
        <v>11</v>
      </c>
      <c r="K25" s="152" t="s">
        <v>11</v>
      </c>
      <c r="L25" s="152" t="s">
        <v>11</v>
      </c>
      <c r="M25" s="152" t="s">
        <v>11</v>
      </c>
      <c r="N25" s="152"/>
      <c r="O25" s="152"/>
      <c r="P25" s="152"/>
      <c r="Q25" s="157"/>
      <c r="R25" s="157"/>
    </row>
    <row r="26" spans="1:18" ht="15">
      <c r="A26" s="154"/>
      <c r="B26" s="176" t="s">
        <v>229</v>
      </c>
      <c r="C26" s="155"/>
      <c r="D26" s="155"/>
      <c r="E26" s="155"/>
      <c r="F26" s="155"/>
      <c r="G26" s="155"/>
      <c r="H26" s="155"/>
      <c r="I26" s="155"/>
      <c r="J26" s="155"/>
      <c r="K26" s="155"/>
      <c r="L26" s="155"/>
      <c r="M26" s="155"/>
      <c r="N26" s="155"/>
      <c r="O26" s="155"/>
      <c r="P26" s="155"/>
      <c r="Q26" s="155"/>
      <c r="R26" s="156"/>
    </row>
    <row r="27" spans="1:18" ht="38.25">
      <c r="A27" s="160" t="s">
        <v>234</v>
      </c>
      <c r="B27" s="179" t="s">
        <v>219</v>
      </c>
      <c r="C27" s="152" t="s">
        <v>11</v>
      </c>
      <c r="D27" s="152" t="s">
        <v>11</v>
      </c>
      <c r="E27" s="152" t="s">
        <v>11</v>
      </c>
      <c r="F27" s="152" t="s">
        <v>11</v>
      </c>
      <c r="G27" s="152" t="s">
        <v>11</v>
      </c>
      <c r="H27" s="152" t="s">
        <v>11</v>
      </c>
      <c r="I27" s="152" t="s">
        <v>11</v>
      </c>
      <c r="J27" s="152" t="s">
        <v>11</v>
      </c>
      <c r="K27" s="152" t="s">
        <v>11</v>
      </c>
      <c r="L27" s="152" t="s">
        <v>11</v>
      </c>
      <c r="M27" s="152" t="s">
        <v>11</v>
      </c>
      <c r="N27" s="152"/>
      <c r="O27" s="152"/>
      <c r="P27" s="152"/>
      <c r="Q27" s="157"/>
      <c r="R27" s="157"/>
    </row>
    <row r="28" spans="1:18" ht="25.5">
      <c r="A28" s="160" t="s">
        <v>235</v>
      </c>
      <c r="B28" s="179" t="s">
        <v>220</v>
      </c>
      <c r="C28" s="152" t="s">
        <v>11</v>
      </c>
      <c r="D28" s="152" t="s">
        <v>11</v>
      </c>
      <c r="E28" s="152" t="s">
        <v>11</v>
      </c>
      <c r="F28" s="152" t="s">
        <v>11</v>
      </c>
      <c r="G28" s="152" t="s">
        <v>11</v>
      </c>
      <c r="H28" s="152" t="s">
        <v>11</v>
      </c>
      <c r="I28" s="152" t="s">
        <v>11</v>
      </c>
      <c r="J28" s="152" t="s">
        <v>11</v>
      </c>
      <c r="K28" s="152" t="s">
        <v>11</v>
      </c>
      <c r="L28" s="152" t="s">
        <v>11</v>
      </c>
      <c r="M28" s="152" t="s">
        <v>11</v>
      </c>
      <c r="N28" s="152"/>
      <c r="O28" s="152"/>
      <c r="P28" s="152"/>
      <c r="Q28" s="157"/>
      <c r="R28" s="157"/>
    </row>
    <row r="29" spans="1:18" ht="38.25">
      <c r="A29" s="160" t="s">
        <v>236</v>
      </c>
      <c r="B29" s="179" t="s">
        <v>221</v>
      </c>
      <c r="C29" s="152" t="s">
        <v>11</v>
      </c>
      <c r="D29" s="152" t="s">
        <v>11</v>
      </c>
      <c r="E29" s="152" t="s">
        <v>11</v>
      </c>
      <c r="F29" s="152" t="s">
        <v>11</v>
      </c>
      <c r="G29" s="152" t="s">
        <v>11</v>
      </c>
      <c r="H29" s="152" t="s">
        <v>11</v>
      </c>
      <c r="I29" s="152" t="s">
        <v>11</v>
      </c>
      <c r="J29" s="152" t="s">
        <v>11</v>
      </c>
      <c r="K29" s="152" t="s">
        <v>11</v>
      </c>
      <c r="L29" s="152" t="s">
        <v>11</v>
      </c>
      <c r="M29" s="152" t="s">
        <v>11</v>
      </c>
      <c r="N29" s="152"/>
      <c r="O29" s="152"/>
      <c r="P29" s="152"/>
      <c r="Q29" s="157"/>
      <c r="R29" s="157"/>
    </row>
    <row r="30" spans="1:18" ht="38.25">
      <c r="A30" s="160" t="s">
        <v>237</v>
      </c>
      <c r="B30" s="179" t="s">
        <v>222</v>
      </c>
      <c r="C30" s="152" t="s">
        <v>11</v>
      </c>
      <c r="D30" s="152" t="s">
        <v>11</v>
      </c>
      <c r="E30" s="152" t="s">
        <v>11</v>
      </c>
      <c r="F30" s="152" t="s">
        <v>11</v>
      </c>
      <c r="G30" s="152" t="s">
        <v>11</v>
      </c>
      <c r="H30" s="152" t="s">
        <v>11</v>
      </c>
      <c r="I30" s="152" t="s">
        <v>11</v>
      </c>
      <c r="J30" s="152" t="s">
        <v>11</v>
      </c>
      <c r="K30" s="152" t="s">
        <v>11</v>
      </c>
      <c r="L30" s="152" t="s">
        <v>11</v>
      </c>
      <c r="M30" s="152" t="s">
        <v>11</v>
      </c>
      <c r="N30" s="152"/>
      <c r="O30" s="152"/>
      <c r="P30" s="152"/>
      <c r="Q30" s="157"/>
      <c r="R30" s="157"/>
    </row>
    <row r="31" spans="1:18" ht="15">
      <c r="A31" s="154"/>
      <c r="B31" s="176" t="s">
        <v>230</v>
      </c>
      <c r="C31" s="155"/>
      <c r="D31" s="155"/>
      <c r="E31" s="155"/>
      <c r="F31" s="155"/>
      <c r="G31" s="155"/>
      <c r="H31" s="155"/>
      <c r="I31" s="155"/>
      <c r="J31" s="155"/>
      <c r="K31" s="155"/>
      <c r="L31" s="155"/>
      <c r="M31" s="155"/>
      <c r="N31" s="155"/>
      <c r="O31" s="155"/>
      <c r="P31" s="155"/>
      <c r="Q31" s="155"/>
      <c r="R31" s="156"/>
    </row>
    <row r="32" spans="1:18" ht="38.25">
      <c r="A32" s="160" t="s">
        <v>238</v>
      </c>
      <c r="B32" s="179" t="s">
        <v>223</v>
      </c>
      <c r="C32" s="152" t="s">
        <v>11</v>
      </c>
      <c r="D32" s="152" t="s">
        <v>11</v>
      </c>
      <c r="E32" s="152" t="s">
        <v>11</v>
      </c>
      <c r="F32" s="152" t="s">
        <v>11</v>
      </c>
      <c r="G32" s="152" t="s">
        <v>11</v>
      </c>
      <c r="H32" s="152" t="s">
        <v>11</v>
      </c>
      <c r="I32" s="152" t="s">
        <v>11</v>
      </c>
      <c r="J32" s="152" t="s">
        <v>11</v>
      </c>
      <c r="K32" s="152" t="s">
        <v>11</v>
      </c>
      <c r="L32" s="152" t="s">
        <v>11</v>
      </c>
      <c r="M32" s="152" t="s">
        <v>11</v>
      </c>
      <c r="N32" s="152"/>
      <c r="O32" s="152"/>
      <c r="P32" s="152"/>
      <c r="Q32" s="157"/>
      <c r="R32" s="157"/>
    </row>
    <row r="33" spans="1:18" ht="38.25">
      <c r="A33" s="160" t="s">
        <v>239</v>
      </c>
      <c r="B33" s="179" t="s">
        <v>224</v>
      </c>
      <c r="C33" s="152" t="s">
        <v>11</v>
      </c>
      <c r="D33" s="152" t="s">
        <v>11</v>
      </c>
      <c r="E33" s="152" t="s">
        <v>11</v>
      </c>
      <c r="F33" s="152" t="s">
        <v>11</v>
      </c>
      <c r="G33" s="152" t="s">
        <v>11</v>
      </c>
      <c r="H33" s="152" t="s">
        <v>11</v>
      </c>
      <c r="I33" s="152" t="s">
        <v>11</v>
      </c>
      <c r="J33" s="152" t="s">
        <v>11</v>
      </c>
      <c r="K33" s="152" t="s">
        <v>11</v>
      </c>
      <c r="L33" s="152" t="s">
        <v>11</v>
      </c>
      <c r="M33" s="152" t="s">
        <v>11</v>
      </c>
      <c r="N33" s="152"/>
      <c r="O33" s="152"/>
      <c r="P33" s="152"/>
      <c r="Q33" s="157"/>
      <c r="R33" s="157"/>
    </row>
    <row r="34" spans="1:18" ht="15">
      <c r="A34" s="154"/>
      <c r="B34" s="176" t="s">
        <v>216</v>
      </c>
      <c r="C34" s="155"/>
      <c r="D34" s="155"/>
      <c r="E34" s="155"/>
      <c r="F34" s="155"/>
      <c r="G34" s="155"/>
      <c r="H34" s="155"/>
      <c r="I34" s="155"/>
      <c r="J34" s="155"/>
      <c r="K34" s="155"/>
      <c r="L34" s="155"/>
      <c r="M34" s="155"/>
      <c r="N34" s="155"/>
      <c r="O34" s="155"/>
      <c r="P34" s="155"/>
      <c r="Q34" s="155"/>
      <c r="R34" s="156"/>
    </row>
    <row r="35" spans="1:18" ht="51">
      <c r="A35" s="160" t="s">
        <v>217</v>
      </c>
      <c r="B35" s="179" t="s">
        <v>218</v>
      </c>
      <c r="C35" s="152" t="s">
        <v>11</v>
      </c>
      <c r="D35" s="152" t="s">
        <v>11</v>
      </c>
      <c r="E35" s="152" t="s">
        <v>11</v>
      </c>
      <c r="F35" s="152" t="s">
        <v>11</v>
      </c>
      <c r="G35" s="152" t="s">
        <v>11</v>
      </c>
      <c r="H35" s="152" t="s">
        <v>11</v>
      </c>
      <c r="I35" s="152" t="s">
        <v>11</v>
      </c>
      <c r="J35" s="152" t="s">
        <v>11</v>
      </c>
      <c r="K35" s="152" t="s">
        <v>11</v>
      </c>
      <c r="L35" s="152" t="s">
        <v>11</v>
      </c>
      <c r="M35" s="152" t="s">
        <v>11</v>
      </c>
      <c r="N35" s="152"/>
      <c r="O35" s="152"/>
      <c r="P35" s="152"/>
      <c r="Q35" s="157"/>
      <c r="R35" s="157"/>
    </row>
    <row r="36" spans="1:18" ht="18">
      <c r="A36" s="180"/>
      <c r="B36" s="181" t="s">
        <v>240</v>
      </c>
      <c r="C36" s="180"/>
      <c r="D36" s="180"/>
      <c r="E36" s="180"/>
      <c r="F36" s="180"/>
      <c r="G36" s="180"/>
      <c r="H36" s="180"/>
      <c r="I36" s="180"/>
      <c r="J36" s="180"/>
      <c r="K36" s="180"/>
      <c r="L36" s="180"/>
      <c r="M36" s="180"/>
      <c r="N36" s="180"/>
      <c r="O36" s="180"/>
      <c r="P36" s="180"/>
      <c r="Q36" s="180"/>
      <c r="R36" s="180"/>
    </row>
  </sheetData>
  <mergeCells count="1">
    <mergeCell ref="Q2:R2"/>
  </mergeCells>
  <dataValidations count="1">
    <dataValidation type="list" allowBlank="1" showInputMessage="1" showErrorMessage="1" sqref="C17:O18 C20:O25 C27:O30 C32:O33 C6:O10 C12:O15 C35:O35"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LongProperties xmlns="http://schemas.microsoft.com/office/2006/metadata/long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2024-03-05T07:29:29Z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