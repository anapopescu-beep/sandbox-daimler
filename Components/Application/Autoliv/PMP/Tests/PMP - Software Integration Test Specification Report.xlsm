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_Sandbox\DAI_MMA\View_Development\Components\Application\Autoliv\PMP\Tests\"/>
    </mc:Choice>
  </mc:AlternateContent>
  <xr:revisionPtr revIDLastSave="0" documentId="13_ncr:1_{3E1E6592-3AC5-49A8-A55A-7D748F6559DE}" xr6:coauthVersionLast="47" xr6:coauthVersionMax="47" xr10:uidLastSave="{00000000-0000-0000-0000-000000000000}"/>
  <bookViews>
    <workbookView xWindow="57480" yWindow="-120" windowWidth="29040" windowHeight="15840" tabRatio="921" activeTab="3" xr2:uid="{00000000-000D-0000-FFFF-FFFF00000000}"/>
  </bookViews>
  <sheets>
    <sheet name="FrontPage" sheetId="4" r:id="rId1"/>
    <sheet name="General info" sheetId="11" r:id="rId2"/>
    <sheet name="Guide (help)" sheetId="18" r:id="rId3"/>
    <sheet name="Tests Synthesis" sheetId="13" r:id="rId4"/>
    <sheet name="SW_IT_PMP_0001" sheetId="14" r:id="rId5"/>
    <sheet name="SW_IT_PMP_0002" sheetId="19" r:id="rId6"/>
    <sheet name="SW_IT_PMP_0003" sheetId="20" r:id="rId7"/>
    <sheet name="SW_IT_PMP_0004" sheetId="21" r:id="rId8"/>
    <sheet name="SW_IT_PMP_0005" sheetId="23" r:id="rId9"/>
    <sheet name="SW_IT_PMP_0006" sheetId="22" r:id="rId10"/>
    <sheet name="SW_IT_PMP_0007" sheetId="24" r:id="rId11"/>
    <sheet name="SW_IT_PMP_0008" sheetId="25" r:id="rId12"/>
    <sheet name="SW_IT_PMP_0009" sheetId="26" r:id="rId13"/>
    <sheet name="SW_IT_PMP_0010" sheetId="27" r:id="rId14"/>
    <sheet name="SW_IT_PMP_0011" sheetId="28" r:id="rId15"/>
    <sheet name="SW_IT_PMP_0012" sheetId="29" r:id="rId16"/>
    <sheet name="Metrics" sheetId="16" r:id="rId17"/>
  </sheets>
  <externalReferences>
    <externalReference r:id="rId18"/>
  </externalReference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E7" i="11" l="1"/>
  <c r="A23" i="4"/>
  <c r="K19" i="13"/>
  <c r="K18" i="13"/>
  <c r="F5" i="16"/>
  <c r="K47" i="13"/>
  <c r="F47" i="13"/>
  <c r="E47" i="13"/>
  <c r="D47" i="13"/>
  <c r="K46" i="13"/>
  <c r="F46" i="13"/>
  <c r="E46" i="13"/>
  <c r="D46" i="13"/>
  <c r="K45" i="13"/>
  <c r="F45" i="13"/>
  <c r="E45" i="13"/>
  <c r="D45" i="13"/>
  <c r="K44" i="13"/>
  <c r="F44" i="13"/>
  <c r="E44" i="13"/>
  <c r="D44" i="13"/>
  <c r="K43" i="13"/>
  <c r="F43" i="13"/>
  <c r="E43" i="13"/>
  <c r="D43" i="13"/>
  <c r="K42" i="13"/>
  <c r="F42" i="13"/>
  <c r="E42" i="13"/>
  <c r="D42" i="13"/>
  <c r="K41" i="13"/>
  <c r="F41" i="13"/>
  <c r="E41" i="13"/>
  <c r="D41" i="13"/>
  <c r="K40" i="13"/>
  <c r="F40" i="13"/>
  <c r="E40" i="13"/>
  <c r="D40" i="13"/>
  <c r="K39" i="13"/>
  <c r="F39" i="13"/>
  <c r="E39" i="13"/>
  <c r="D39" i="13"/>
  <c r="K38" i="13"/>
  <c r="F38" i="13"/>
  <c r="E38" i="13"/>
  <c r="D38" i="13"/>
  <c r="K37" i="13"/>
  <c r="F37" i="13"/>
  <c r="E37" i="13"/>
  <c r="D37" i="13"/>
  <c r="K36" i="13"/>
  <c r="F36" i="13"/>
  <c r="E36" i="13"/>
  <c r="D36" i="13"/>
  <c r="K35" i="13"/>
  <c r="F35" i="13"/>
  <c r="E35" i="13"/>
  <c r="D35" i="13"/>
  <c r="K34" i="13"/>
  <c r="F34" i="13"/>
  <c r="E34" i="13"/>
  <c r="D34" i="13"/>
  <c r="K33" i="13"/>
  <c r="F33" i="13"/>
  <c r="E33" i="13"/>
  <c r="D33" i="13"/>
  <c r="K32" i="13"/>
  <c r="F32" i="13"/>
  <c r="E32" i="13"/>
  <c r="D32" i="13"/>
  <c r="K31" i="13"/>
  <c r="F31" i="13"/>
  <c r="E31" i="13"/>
  <c r="D31" i="13"/>
  <c r="K30" i="13"/>
  <c r="F30" i="13"/>
  <c r="E30" i="13"/>
  <c r="D30" i="13"/>
  <c r="K29" i="13"/>
  <c r="F29" i="13"/>
  <c r="E29" i="13"/>
  <c r="D29" i="13"/>
  <c r="K28" i="13"/>
  <c r="F28" i="13"/>
  <c r="E28" i="13"/>
  <c r="D28" i="13"/>
  <c r="K27" i="13"/>
  <c r="F27" i="13"/>
  <c r="E27" i="13"/>
  <c r="D27" i="13"/>
  <c r="K26" i="13"/>
  <c r="F26" i="13"/>
  <c r="E26" i="13"/>
  <c r="D26" i="13"/>
  <c r="K25" i="13"/>
  <c r="F25" i="13"/>
  <c r="E25" i="13"/>
  <c r="D25" i="13"/>
  <c r="K24" i="13"/>
  <c r="F24" i="13"/>
  <c r="E24" i="13"/>
  <c r="D24" i="13"/>
  <c r="K23" i="13"/>
  <c r="F23" i="13"/>
  <c r="E23" i="13"/>
  <c r="D23" i="13"/>
  <c r="K22" i="13"/>
  <c r="F22" i="13"/>
  <c r="E22" i="13"/>
  <c r="D22" i="13"/>
  <c r="K21" i="13"/>
  <c r="F21" i="13"/>
  <c r="E21" i="13"/>
  <c r="D21" i="13"/>
  <c r="K20" i="13"/>
  <c r="F20" i="13"/>
  <c r="E20" i="13"/>
  <c r="D20" i="13"/>
  <c r="AD3" i="4"/>
  <c r="AD3" i="11" s="1"/>
  <c r="W7" i="4"/>
  <c r="K10" i="13"/>
  <c r="D13" i="13"/>
  <c r="D5" i="13"/>
  <c r="D8" i="13"/>
  <c r="F8" i="13"/>
  <c r="E14" i="13"/>
  <c r="E6" i="13"/>
  <c r="F9" i="13"/>
  <c r="E4" i="13"/>
  <c r="K3" i="13"/>
  <c r="E12" i="13"/>
  <c r="F5" i="13"/>
  <c r="D10" i="13"/>
  <c r="K4" i="13"/>
  <c r="F7" i="13"/>
  <c r="K8" i="13"/>
  <c r="K7" i="13"/>
  <c r="K6" i="13"/>
  <c r="F14" i="13"/>
  <c r="F3" i="13"/>
  <c r="D7" i="13"/>
  <c r="F13" i="13"/>
  <c r="K5" i="13"/>
  <c r="E7" i="13"/>
  <c r="D4" i="13"/>
  <c r="K12" i="13"/>
  <c r="F4" i="13"/>
  <c r="K13" i="13"/>
  <c r="F10" i="13"/>
  <c r="E9" i="13"/>
  <c r="E11" i="13"/>
  <c r="K11" i="13"/>
  <c r="D6" i="13"/>
  <c r="F12" i="13"/>
  <c r="E3" i="13"/>
  <c r="E8" i="13"/>
  <c r="F11" i="13"/>
  <c r="E10" i="13"/>
  <c r="D11" i="13"/>
  <c r="E5" i="13"/>
  <c r="K9" i="13"/>
  <c r="D9" i="13"/>
  <c r="D12" i="13"/>
  <c r="E13" i="13"/>
  <c r="D3" i="13"/>
  <c r="F6" i="13"/>
  <c r="K14" i="13"/>
  <c r="D14" i="13"/>
  <c r="W7" i="11" l="1"/>
  <c r="A7" i="11"/>
  <c r="W5" i="11"/>
  <c r="E7" i="11"/>
  <c r="AB5" i="11"/>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8FDCBE47-0A32-4674-AD09-A4D2A4C92CB3}">
      <text>
        <r>
          <rPr>
            <sz val="9"/>
            <color indexed="81"/>
            <rFont val="Tahoma"/>
            <family val="2"/>
          </rPr>
          <t>Template from process AEM_PROCESS_1.17.00 Last change : AEM_PROCESS_1.05.00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35" authorId="1" shapeId="0" xr:uid="{00000000-0006-0000-0100-000007000000}">
      <text>
        <r>
          <rPr>
            <sz val="9"/>
            <color indexed="81"/>
            <rFont val="Tahoma"/>
            <family val="2"/>
          </rPr>
          <t>The referenced documents correspond to the customer or standard documents to be applied for the integration.</t>
        </r>
      </text>
    </comment>
    <comment ref="B36"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36" authorId="0" shapeId="0" xr:uid="{00000000-0006-0000-0100-000009000000}">
      <text>
        <r>
          <rPr>
            <sz val="8"/>
            <color indexed="81"/>
            <rFont val="Tahoma"/>
            <family val="2"/>
          </rPr>
          <t>Title of reference documents.</t>
        </r>
      </text>
    </comment>
    <comment ref="Y36" authorId="0" shapeId="0" xr:uid="{00000000-0006-0000-0100-00000A000000}">
      <text>
        <r>
          <rPr>
            <sz val="8"/>
            <color indexed="81"/>
            <rFont val="Tahoma"/>
            <family val="2"/>
          </rPr>
          <t>Reference number, e.g. E123456 and revision of the reference.</t>
        </r>
      </text>
    </comment>
    <comment ref="N41"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2"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2" authorId="0" shapeId="0" xr:uid="{00000000-0006-0000-0100-00000D000000}">
      <text>
        <r>
          <rPr>
            <sz val="8"/>
            <color indexed="81"/>
            <rFont val="Tahoma"/>
            <family val="2"/>
          </rPr>
          <t>Title of reference documents.</t>
        </r>
      </text>
    </comment>
    <comment ref="Y42"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C1421FED-E180-468C-9780-0D00ED330A8D}">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400-000001000000}">
      <text>
        <r>
          <rPr>
            <b/>
            <sz val="9"/>
            <color indexed="81"/>
            <rFont val="Tahoma"/>
            <family val="2"/>
          </rPr>
          <t xml:space="preserve">See Guide (help)
</t>
        </r>
        <r>
          <rPr>
            <sz val="9"/>
            <color indexed="81"/>
            <rFont val="Tahoma"/>
            <family val="2"/>
          </rPr>
          <t xml:space="preserve">
</t>
        </r>
      </text>
    </comment>
    <comment ref="A3" authorId="0" shapeId="0" xr:uid="{00000000-0006-0000-0400-000002000000}">
      <text>
        <r>
          <rPr>
            <b/>
            <sz val="9"/>
            <color indexed="81"/>
            <rFont val="Tahoma"/>
            <family val="2"/>
          </rPr>
          <t xml:space="preserve">See Guide (help)
</t>
        </r>
        <r>
          <rPr>
            <sz val="9"/>
            <color indexed="81"/>
            <rFont val="Tahoma"/>
            <family val="2"/>
          </rPr>
          <t xml:space="preserve">
</t>
        </r>
      </text>
    </comment>
    <comment ref="A5" authorId="0" shapeId="0" xr:uid="{00000000-0006-0000-0400-000003000000}">
      <text>
        <r>
          <rPr>
            <sz val="9"/>
            <color indexed="81"/>
            <rFont val="Tahoma"/>
            <family val="2"/>
          </rPr>
          <t>Definition is in the "General info" tab.
Use the dropdown list.</t>
        </r>
      </text>
    </comment>
    <comment ref="A9" authorId="0" shapeId="0" xr:uid="{00000000-0006-0000-0400-000004000000}">
      <text>
        <r>
          <rPr>
            <b/>
            <sz val="9"/>
            <color indexed="81"/>
            <rFont val="Tahoma"/>
            <family val="2"/>
          </rPr>
          <t>See Guide (help)</t>
        </r>
        <r>
          <rPr>
            <sz val="9"/>
            <color indexed="81"/>
            <rFont val="Tahoma"/>
            <family val="2"/>
          </rPr>
          <t xml:space="preserve">
</t>
        </r>
      </text>
    </comment>
    <comment ref="A11" authorId="0" shapeId="0" xr:uid="{00000000-0006-0000-04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4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BB9F3CD6-5AD1-4F5A-A8A4-D76023DC6726}">
      <text>
        <r>
          <rPr>
            <b/>
            <sz val="9"/>
            <color indexed="81"/>
            <rFont val="Tahoma"/>
            <family val="2"/>
          </rPr>
          <t xml:space="preserve">See Guide (help)
</t>
        </r>
        <r>
          <rPr>
            <sz val="9"/>
            <color indexed="81"/>
            <rFont val="Tahoma"/>
            <family val="2"/>
          </rPr>
          <t xml:space="preserve">
</t>
        </r>
      </text>
    </comment>
    <comment ref="A3" authorId="0" shapeId="0" xr:uid="{7FF2C1E4-07F0-43B8-AF1F-FCB9BE4E1785}">
      <text>
        <r>
          <rPr>
            <b/>
            <sz val="9"/>
            <color indexed="81"/>
            <rFont val="Tahoma"/>
            <family val="2"/>
          </rPr>
          <t xml:space="preserve">See Guide (help)
</t>
        </r>
        <r>
          <rPr>
            <sz val="9"/>
            <color indexed="81"/>
            <rFont val="Tahoma"/>
            <family val="2"/>
          </rPr>
          <t xml:space="preserve">
</t>
        </r>
      </text>
    </comment>
    <comment ref="A5" authorId="0" shapeId="0" xr:uid="{711EA8CB-8A42-46C8-A517-A2EC46F3639E}">
      <text>
        <r>
          <rPr>
            <sz val="9"/>
            <color indexed="81"/>
            <rFont val="Tahoma"/>
            <family val="2"/>
          </rPr>
          <t>Definition is in the "General info" tab.
Use the dropdown list.</t>
        </r>
      </text>
    </comment>
    <comment ref="A9" authorId="0" shapeId="0" xr:uid="{9B31A14F-56F9-48E5-BB7F-9E0F7BF2B1D7}">
      <text>
        <r>
          <rPr>
            <b/>
            <sz val="9"/>
            <color indexed="81"/>
            <rFont val="Tahoma"/>
            <family val="2"/>
          </rPr>
          <t>See Guide (help)</t>
        </r>
        <r>
          <rPr>
            <sz val="9"/>
            <color indexed="81"/>
            <rFont val="Tahoma"/>
            <family val="2"/>
          </rPr>
          <t xml:space="preserve">
</t>
        </r>
      </text>
    </comment>
    <comment ref="A11" authorId="0" shapeId="0" xr:uid="{BE476AA0-189E-4B31-9EB1-84715D5F6443}">
      <text>
        <r>
          <rPr>
            <b/>
            <sz val="9"/>
            <color indexed="81"/>
            <rFont val="Tahoma"/>
            <family val="2"/>
          </rPr>
          <t xml:space="preserve">Describe the test environment and setup.
</t>
        </r>
        <r>
          <rPr>
            <sz val="9"/>
            <color indexed="81"/>
            <rFont val="Tahoma"/>
            <family val="2"/>
          </rPr>
          <t xml:space="preserve">
</t>
        </r>
      </text>
    </comment>
    <comment ref="A16" authorId="0" shapeId="0" xr:uid="{02C7A592-9631-4FDE-840A-5394B7EF74C0}">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F3FC6E75-815F-4658-968D-2FC8413F9301}">
      <text>
        <r>
          <rPr>
            <b/>
            <sz val="9"/>
            <color indexed="81"/>
            <rFont val="Tahoma"/>
            <family val="2"/>
          </rPr>
          <t xml:space="preserve">See Guide (help)
</t>
        </r>
        <r>
          <rPr>
            <sz val="9"/>
            <color indexed="81"/>
            <rFont val="Tahoma"/>
            <family val="2"/>
          </rPr>
          <t xml:space="preserve">
</t>
        </r>
      </text>
    </comment>
    <comment ref="A3" authorId="0" shapeId="0" xr:uid="{28FAA443-262D-4762-8D26-13777B7DFE12}">
      <text>
        <r>
          <rPr>
            <b/>
            <sz val="9"/>
            <color indexed="81"/>
            <rFont val="Tahoma"/>
            <family val="2"/>
          </rPr>
          <t xml:space="preserve">See Guide (help)
</t>
        </r>
        <r>
          <rPr>
            <sz val="9"/>
            <color indexed="81"/>
            <rFont val="Tahoma"/>
            <family val="2"/>
          </rPr>
          <t xml:space="preserve">
</t>
        </r>
      </text>
    </comment>
    <comment ref="A5" authorId="0" shapeId="0" xr:uid="{FADA06DC-9270-4FDF-8A34-62FFFE1EDC24}">
      <text>
        <r>
          <rPr>
            <sz val="9"/>
            <color indexed="81"/>
            <rFont val="Tahoma"/>
            <family val="2"/>
          </rPr>
          <t>Definition is in the "General info" tab.
Use the dropdown list.</t>
        </r>
      </text>
    </comment>
    <comment ref="A9" authorId="0" shapeId="0" xr:uid="{1B183C3C-A685-4AC0-A8BD-E09C400970D8}">
      <text>
        <r>
          <rPr>
            <b/>
            <sz val="9"/>
            <color indexed="81"/>
            <rFont val="Tahoma"/>
            <family val="2"/>
          </rPr>
          <t>See Guide (help)</t>
        </r>
        <r>
          <rPr>
            <sz val="9"/>
            <color indexed="81"/>
            <rFont val="Tahoma"/>
            <family val="2"/>
          </rPr>
          <t xml:space="preserve">
</t>
        </r>
      </text>
    </comment>
    <comment ref="A11" authorId="0" shapeId="0" xr:uid="{98AF9BD2-5C7D-4011-924E-917801AA7083}">
      <text>
        <r>
          <rPr>
            <b/>
            <sz val="9"/>
            <color indexed="81"/>
            <rFont val="Tahoma"/>
            <family val="2"/>
          </rPr>
          <t xml:space="preserve">Describe the test environment and setup.
</t>
        </r>
        <r>
          <rPr>
            <sz val="9"/>
            <color indexed="81"/>
            <rFont val="Tahoma"/>
            <family val="2"/>
          </rPr>
          <t xml:space="preserve">
</t>
        </r>
      </text>
    </comment>
    <comment ref="A16" authorId="0" shapeId="0" xr:uid="{3DCAE673-7667-4DBB-A5EE-FEB53E7B4B00}">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9642B29A-168B-4B07-8D83-412CD28EA9FA}">
      <text>
        <r>
          <rPr>
            <b/>
            <sz val="9"/>
            <color indexed="81"/>
            <rFont val="Tahoma"/>
            <family val="2"/>
          </rPr>
          <t xml:space="preserve">See Guide (help)
</t>
        </r>
        <r>
          <rPr>
            <sz val="9"/>
            <color indexed="81"/>
            <rFont val="Tahoma"/>
            <family val="2"/>
          </rPr>
          <t xml:space="preserve">
</t>
        </r>
      </text>
    </comment>
    <comment ref="A3" authorId="0" shapeId="0" xr:uid="{B36556A0-D38C-4D26-BFF3-D7A5063ADF64}">
      <text>
        <r>
          <rPr>
            <b/>
            <sz val="9"/>
            <color indexed="81"/>
            <rFont val="Tahoma"/>
            <family val="2"/>
          </rPr>
          <t xml:space="preserve">See Guide (help)
</t>
        </r>
        <r>
          <rPr>
            <sz val="9"/>
            <color indexed="81"/>
            <rFont val="Tahoma"/>
            <family val="2"/>
          </rPr>
          <t xml:space="preserve">
</t>
        </r>
      </text>
    </comment>
    <comment ref="A5" authorId="0" shapeId="0" xr:uid="{EE2DC577-11CF-404F-A14D-60F9BB9E627E}">
      <text>
        <r>
          <rPr>
            <sz val="9"/>
            <color indexed="81"/>
            <rFont val="Tahoma"/>
            <family val="2"/>
          </rPr>
          <t>Definition is in the "General info" tab.
Use the dropdown list.</t>
        </r>
      </text>
    </comment>
    <comment ref="A9" authorId="0" shapeId="0" xr:uid="{C1CA73DF-8CF1-4702-897A-594D1D2AF151}">
      <text>
        <r>
          <rPr>
            <b/>
            <sz val="9"/>
            <color indexed="81"/>
            <rFont val="Tahoma"/>
            <family val="2"/>
          </rPr>
          <t>See Guide (help)</t>
        </r>
        <r>
          <rPr>
            <sz val="9"/>
            <color indexed="81"/>
            <rFont val="Tahoma"/>
            <family val="2"/>
          </rPr>
          <t xml:space="preserve">
</t>
        </r>
      </text>
    </comment>
    <comment ref="A11" authorId="0" shapeId="0" xr:uid="{FFC3909E-CF3F-4FAC-8CE4-B76CD9372EBD}">
      <text>
        <r>
          <rPr>
            <b/>
            <sz val="9"/>
            <color indexed="81"/>
            <rFont val="Tahoma"/>
            <family val="2"/>
          </rPr>
          <t xml:space="preserve">Describe the test environment and setup.
</t>
        </r>
        <r>
          <rPr>
            <sz val="9"/>
            <color indexed="81"/>
            <rFont val="Tahoma"/>
            <family val="2"/>
          </rPr>
          <t xml:space="preserve">
</t>
        </r>
      </text>
    </comment>
    <comment ref="A16" authorId="0" shapeId="0" xr:uid="{61501020-9E72-4EBD-91EA-0D5120B5F0FE}">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31BA291-68BF-42E6-9AA5-60CC990D12F6}">
      <text>
        <r>
          <rPr>
            <b/>
            <sz val="9"/>
            <color indexed="81"/>
            <rFont val="Tahoma"/>
            <family val="2"/>
          </rPr>
          <t xml:space="preserve">See Guide (help)
</t>
        </r>
        <r>
          <rPr>
            <sz val="9"/>
            <color indexed="81"/>
            <rFont val="Tahoma"/>
            <family val="2"/>
          </rPr>
          <t xml:space="preserve">
</t>
        </r>
      </text>
    </comment>
    <comment ref="A3" authorId="0" shapeId="0" xr:uid="{9828B303-9442-49B8-A8E5-B01194C4A21A}">
      <text>
        <r>
          <rPr>
            <b/>
            <sz val="9"/>
            <color indexed="81"/>
            <rFont val="Tahoma"/>
            <family val="2"/>
          </rPr>
          <t xml:space="preserve">See Guide (help)
</t>
        </r>
        <r>
          <rPr>
            <sz val="9"/>
            <color indexed="81"/>
            <rFont val="Tahoma"/>
            <family val="2"/>
          </rPr>
          <t xml:space="preserve">
</t>
        </r>
      </text>
    </comment>
    <comment ref="A5" authorId="0" shapeId="0" xr:uid="{BAFDBF79-8209-4629-8B18-15FC4C902FF5}">
      <text>
        <r>
          <rPr>
            <sz val="9"/>
            <color indexed="81"/>
            <rFont val="Tahoma"/>
            <family val="2"/>
          </rPr>
          <t>Definition is in the "General info" tab.
Use the dropdown list.</t>
        </r>
      </text>
    </comment>
    <comment ref="A9" authorId="0" shapeId="0" xr:uid="{11EA5944-462E-436E-9178-7C6E718C6E48}">
      <text>
        <r>
          <rPr>
            <b/>
            <sz val="9"/>
            <color indexed="81"/>
            <rFont val="Tahoma"/>
            <family val="2"/>
          </rPr>
          <t>See Guide (help)</t>
        </r>
        <r>
          <rPr>
            <sz val="9"/>
            <color indexed="81"/>
            <rFont val="Tahoma"/>
            <family val="2"/>
          </rPr>
          <t xml:space="preserve">
</t>
        </r>
      </text>
    </comment>
    <comment ref="A11" authorId="0" shapeId="0" xr:uid="{3BD9902F-D2A9-4AD7-8002-7A29205D7FBC}">
      <text>
        <r>
          <rPr>
            <b/>
            <sz val="9"/>
            <color indexed="81"/>
            <rFont val="Tahoma"/>
            <family val="2"/>
          </rPr>
          <t xml:space="preserve">Describe the test environment and setup.
</t>
        </r>
        <r>
          <rPr>
            <sz val="9"/>
            <color indexed="81"/>
            <rFont val="Tahoma"/>
            <family val="2"/>
          </rPr>
          <t xml:space="preserve">
</t>
        </r>
      </text>
    </comment>
    <comment ref="A16" authorId="0" shapeId="0" xr:uid="{746FD78A-0FF8-40FD-A398-1D92A01DCCFC}">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CC2C27A-709D-4849-A78C-1EC3B4399999}">
      <text>
        <r>
          <rPr>
            <b/>
            <sz val="9"/>
            <color indexed="81"/>
            <rFont val="Tahoma"/>
            <family val="2"/>
          </rPr>
          <t xml:space="preserve">See Guide (help)
</t>
        </r>
        <r>
          <rPr>
            <sz val="9"/>
            <color indexed="81"/>
            <rFont val="Tahoma"/>
            <family val="2"/>
          </rPr>
          <t xml:space="preserve">
</t>
        </r>
      </text>
    </comment>
    <comment ref="A3" authorId="0" shapeId="0" xr:uid="{66CA5F7C-992C-4BD8-ABAF-8C059644C7CB}">
      <text>
        <r>
          <rPr>
            <b/>
            <sz val="9"/>
            <color indexed="81"/>
            <rFont val="Tahoma"/>
            <family val="2"/>
          </rPr>
          <t xml:space="preserve">See Guide (help)
</t>
        </r>
        <r>
          <rPr>
            <sz val="9"/>
            <color indexed="81"/>
            <rFont val="Tahoma"/>
            <family val="2"/>
          </rPr>
          <t xml:space="preserve">
</t>
        </r>
      </text>
    </comment>
    <comment ref="A5" authorId="0" shapeId="0" xr:uid="{0759E5CC-EA7B-4CF0-827F-65639556AF3F}">
      <text>
        <r>
          <rPr>
            <sz val="9"/>
            <color indexed="81"/>
            <rFont val="Tahoma"/>
            <family val="2"/>
          </rPr>
          <t>Definition is in the "General info" tab.
Use the dropdown list.</t>
        </r>
      </text>
    </comment>
    <comment ref="A9" authorId="0" shapeId="0" xr:uid="{BC4A15CD-4296-4AE0-B2A9-66595BC1FDA2}">
      <text>
        <r>
          <rPr>
            <b/>
            <sz val="9"/>
            <color indexed="81"/>
            <rFont val="Tahoma"/>
            <family val="2"/>
          </rPr>
          <t>See Guide (help)</t>
        </r>
        <r>
          <rPr>
            <sz val="9"/>
            <color indexed="81"/>
            <rFont val="Tahoma"/>
            <family val="2"/>
          </rPr>
          <t xml:space="preserve">
</t>
        </r>
      </text>
    </comment>
    <comment ref="A11" authorId="0" shapeId="0" xr:uid="{778C7603-9042-49B6-AAD7-9900EF6D8241}">
      <text>
        <r>
          <rPr>
            <b/>
            <sz val="9"/>
            <color indexed="81"/>
            <rFont val="Tahoma"/>
            <family val="2"/>
          </rPr>
          <t xml:space="preserve">Describe the test environment and setup.
</t>
        </r>
        <r>
          <rPr>
            <sz val="9"/>
            <color indexed="81"/>
            <rFont val="Tahoma"/>
            <family val="2"/>
          </rPr>
          <t xml:space="preserve">
</t>
        </r>
      </text>
    </comment>
    <comment ref="A16" authorId="0" shapeId="0" xr:uid="{31ADEBF0-AAD4-4DBE-A48E-CCCE9949DA3B}">
      <text>
        <r>
          <rPr>
            <b/>
            <sz val="9"/>
            <color indexed="81"/>
            <rFont val="Tahoma"/>
            <family val="2"/>
          </rPr>
          <t>Give the initial state before beginning the test.</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2FF02B3-A56D-43BC-A446-426084C4B6F8}">
      <text>
        <r>
          <rPr>
            <b/>
            <sz val="9"/>
            <color indexed="81"/>
            <rFont val="Tahoma"/>
            <family val="2"/>
          </rPr>
          <t xml:space="preserve">See Guide (help)
</t>
        </r>
        <r>
          <rPr>
            <sz val="9"/>
            <color indexed="81"/>
            <rFont val="Tahoma"/>
            <family val="2"/>
          </rPr>
          <t xml:space="preserve">
</t>
        </r>
      </text>
    </comment>
    <comment ref="A3" authorId="0" shapeId="0" xr:uid="{C18C15C4-8FAF-45EE-A31E-524909256CDE}">
      <text>
        <r>
          <rPr>
            <b/>
            <sz val="9"/>
            <color indexed="81"/>
            <rFont val="Tahoma"/>
            <family val="2"/>
          </rPr>
          <t xml:space="preserve">See Guide (help)
</t>
        </r>
        <r>
          <rPr>
            <sz val="9"/>
            <color indexed="81"/>
            <rFont val="Tahoma"/>
            <family val="2"/>
          </rPr>
          <t xml:space="preserve">
</t>
        </r>
      </text>
    </comment>
    <comment ref="A5" authorId="0" shapeId="0" xr:uid="{AF9E3565-89CF-4148-8148-1169B41F2F2B}">
      <text>
        <r>
          <rPr>
            <sz val="9"/>
            <color indexed="81"/>
            <rFont val="Tahoma"/>
            <family val="2"/>
          </rPr>
          <t>Definition is in the "General info" tab.
Use the dropdown list.</t>
        </r>
      </text>
    </comment>
    <comment ref="A9" authorId="0" shapeId="0" xr:uid="{DADA4153-EA9F-4E01-BB93-9FD455A9B830}">
      <text>
        <r>
          <rPr>
            <b/>
            <sz val="9"/>
            <color indexed="81"/>
            <rFont val="Tahoma"/>
            <family val="2"/>
          </rPr>
          <t>See Guide (help)</t>
        </r>
        <r>
          <rPr>
            <sz val="9"/>
            <color indexed="81"/>
            <rFont val="Tahoma"/>
            <family val="2"/>
          </rPr>
          <t xml:space="preserve">
</t>
        </r>
      </text>
    </comment>
    <comment ref="A11" authorId="0" shapeId="0" xr:uid="{127DEBCE-49EB-46EB-A1E1-FD7AD7157F75}">
      <text>
        <r>
          <rPr>
            <b/>
            <sz val="9"/>
            <color indexed="81"/>
            <rFont val="Tahoma"/>
            <family val="2"/>
          </rPr>
          <t xml:space="preserve">Describe the test environment and setup.
</t>
        </r>
        <r>
          <rPr>
            <sz val="9"/>
            <color indexed="81"/>
            <rFont val="Tahoma"/>
            <family val="2"/>
          </rPr>
          <t xml:space="preserve">
</t>
        </r>
      </text>
    </comment>
    <comment ref="A16" authorId="0" shapeId="0" xr:uid="{33AA7B48-5AC9-4F33-B482-4153B2E4D669}">
      <text>
        <r>
          <rPr>
            <b/>
            <sz val="9"/>
            <color indexed="81"/>
            <rFont val="Tahoma"/>
            <family val="2"/>
          </rPr>
          <t>Give the initial state before beginning the test.</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7000D4E-6D1B-478A-B176-906540F744A4}">
      <text>
        <r>
          <rPr>
            <b/>
            <sz val="9"/>
            <color indexed="81"/>
            <rFont val="Tahoma"/>
            <family val="2"/>
          </rPr>
          <t xml:space="preserve">See Guide (help)
</t>
        </r>
        <r>
          <rPr>
            <sz val="9"/>
            <color indexed="81"/>
            <rFont val="Tahoma"/>
            <family val="2"/>
          </rPr>
          <t xml:space="preserve">
</t>
        </r>
      </text>
    </comment>
    <comment ref="A3" authorId="0" shapeId="0" xr:uid="{172A4397-88B6-4218-B980-C49AEFC26F96}">
      <text>
        <r>
          <rPr>
            <b/>
            <sz val="9"/>
            <color indexed="81"/>
            <rFont val="Tahoma"/>
            <family val="2"/>
          </rPr>
          <t xml:space="preserve">See Guide (help)
</t>
        </r>
        <r>
          <rPr>
            <sz val="9"/>
            <color indexed="81"/>
            <rFont val="Tahoma"/>
            <family val="2"/>
          </rPr>
          <t xml:space="preserve">
</t>
        </r>
      </text>
    </comment>
    <comment ref="A5" authorId="0" shapeId="0" xr:uid="{776582A8-4765-4454-9DB2-344FB65E60A4}">
      <text>
        <r>
          <rPr>
            <sz val="9"/>
            <color indexed="81"/>
            <rFont val="Tahoma"/>
            <family val="2"/>
          </rPr>
          <t>Definition is in the "General info" tab.
Use the dropdown list.</t>
        </r>
      </text>
    </comment>
    <comment ref="A9" authorId="0" shapeId="0" xr:uid="{755BAD8B-9EA3-4B41-B528-D97FD8042F0A}">
      <text>
        <r>
          <rPr>
            <b/>
            <sz val="9"/>
            <color indexed="81"/>
            <rFont val="Tahoma"/>
            <family val="2"/>
          </rPr>
          <t>See Guide (help)</t>
        </r>
        <r>
          <rPr>
            <sz val="9"/>
            <color indexed="81"/>
            <rFont val="Tahoma"/>
            <family val="2"/>
          </rPr>
          <t xml:space="preserve">
</t>
        </r>
      </text>
    </comment>
    <comment ref="A11" authorId="0" shapeId="0" xr:uid="{07114A48-EF4A-4B4A-A4C1-F0693957A7DE}">
      <text>
        <r>
          <rPr>
            <b/>
            <sz val="9"/>
            <color indexed="81"/>
            <rFont val="Tahoma"/>
            <family val="2"/>
          </rPr>
          <t xml:space="preserve">Describe the test environment and setup.
</t>
        </r>
        <r>
          <rPr>
            <sz val="9"/>
            <color indexed="81"/>
            <rFont val="Tahoma"/>
            <family val="2"/>
          </rPr>
          <t xml:space="preserve">
</t>
        </r>
      </text>
    </comment>
    <comment ref="A16" authorId="0" shapeId="0" xr:uid="{BCF5FD74-8E0D-4B12-8DC5-8FD24F535699}">
      <text>
        <r>
          <rPr>
            <b/>
            <sz val="9"/>
            <color indexed="81"/>
            <rFont val="Tahoma"/>
            <family val="2"/>
          </rPr>
          <t>Give the initial state before beginning the test.</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E26CA30A-5EFE-477A-A33C-BFEFEEA070FA}">
      <text>
        <r>
          <rPr>
            <b/>
            <sz val="9"/>
            <color indexed="81"/>
            <rFont val="Tahoma"/>
            <family val="2"/>
          </rPr>
          <t xml:space="preserve">See Guide (help)
</t>
        </r>
        <r>
          <rPr>
            <sz val="9"/>
            <color indexed="81"/>
            <rFont val="Tahoma"/>
            <family val="2"/>
          </rPr>
          <t xml:space="preserve">
</t>
        </r>
      </text>
    </comment>
    <comment ref="A3" authorId="0" shapeId="0" xr:uid="{21CD8020-76F9-46E6-B06A-18F64AE1DE6F}">
      <text>
        <r>
          <rPr>
            <b/>
            <sz val="9"/>
            <color indexed="81"/>
            <rFont val="Tahoma"/>
            <family val="2"/>
          </rPr>
          <t xml:space="preserve">See Guide (help)
</t>
        </r>
        <r>
          <rPr>
            <sz val="9"/>
            <color indexed="81"/>
            <rFont val="Tahoma"/>
            <family val="2"/>
          </rPr>
          <t xml:space="preserve">
</t>
        </r>
      </text>
    </comment>
    <comment ref="A5" authorId="0" shapeId="0" xr:uid="{0B02498B-6351-4BE5-B00B-74D65AF7AF0F}">
      <text>
        <r>
          <rPr>
            <sz val="9"/>
            <color indexed="81"/>
            <rFont val="Tahoma"/>
            <family val="2"/>
          </rPr>
          <t>Definition is in the "General info" tab.
Use the dropdown list.</t>
        </r>
      </text>
    </comment>
    <comment ref="A9" authorId="0" shapeId="0" xr:uid="{7A261978-0DD5-4D93-959B-6777EB161A7E}">
      <text>
        <r>
          <rPr>
            <b/>
            <sz val="9"/>
            <color indexed="81"/>
            <rFont val="Tahoma"/>
            <family val="2"/>
          </rPr>
          <t>See Guide (help)</t>
        </r>
        <r>
          <rPr>
            <sz val="9"/>
            <color indexed="81"/>
            <rFont val="Tahoma"/>
            <family val="2"/>
          </rPr>
          <t xml:space="preserve">
</t>
        </r>
      </text>
    </comment>
    <comment ref="A11" authorId="0" shapeId="0" xr:uid="{FDE31F5B-50EF-4428-AEBA-E3C9D1BEAA90}">
      <text>
        <r>
          <rPr>
            <b/>
            <sz val="9"/>
            <color indexed="81"/>
            <rFont val="Tahoma"/>
            <family val="2"/>
          </rPr>
          <t xml:space="preserve">Describe the test environment and setup.
</t>
        </r>
        <r>
          <rPr>
            <sz val="9"/>
            <color indexed="81"/>
            <rFont val="Tahoma"/>
            <family val="2"/>
          </rPr>
          <t xml:space="preserve">
</t>
        </r>
      </text>
    </comment>
    <comment ref="A16" authorId="0" shapeId="0" xr:uid="{C18937D0-6F5A-4783-A46A-5D40150A27B1}">
      <text>
        <r>
          <rPr>
            <b/>
            <sz val="9"/>
            <color indexed="81"/>
            <rFont val="Tahoma"/>
            <family val="2"/>
          </rPr>
          <t>Give the initial state before beginning the test.</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264C6607-0413-429F-860C-97CA1840CA7F}">
      <text>
        <r>
          <rPr>
            <b/>
            <sz val="9"/>
            <color indexed="81"/>
            <rFont val="Tahoma"/>
            <family val="2"/>
          </rPr>
          <t xml:space="preserve">See Guide (help)
</t>
        </r>
        <r>
          <rPr>
            <sz val="9"/>
            <color indexed="81"/>
            <rFont val="Tahoma"/>
            <family val="2"/>
          </rPr>
          <t xml:space="preserve">
</t>
        </r>
      </text>
    </comment>
    <comment ref="A3" authorId="0" shapeId="0" xr:uid="{913BEE6B-33A3-4A39-9C13-7BFCD2427E43}">
      <text>
        <r>
          <rPr>
            <b/>
            <sz val="9"/>
            <color indexed="81"/>
            <rFont val="Tahoma"/>
            <family val="2"/>
          </rPr>
          <t xml:space="preserve">See Guide (help)
</t>
        </r>
        <r>
          <rPr>
            <sz val="9"/>
            <color indexed="81"/>
            <rFont val="Tahoma"/>
            <family val="2"/>
          </rPr>
          <t xml:space="preserve">
</t>
        </r>
      </text>
    </comment>
    <comment ref="A5" authorId="0" shapeId="0" xr:uid="{E99C7BED-113C-455C-987B-DED1780852DD}">
      <text>
        <r>
          <rPr>
            <sz val="9"/>
            <color indexed="81"/>
            <rFont val="Tahoma"/>
            <family val="2"/>
          </rPr>
          <t>Definition is in the "General info" tab.
Use the dropdown list.</t>
        </r>
      </text>
    </comment>
    <comment ref="A9" authorId="0" shapeId="0" xr:uid="{D48086CD-1377-4875-B1D0-67A650F7A3A9}">
      <text>
        <r>
          <rPr>
            <b/>
            <sz val="9"/>
            <color indexed="81"/>
            <rFont val="Tahoma"/>
            <family val="2"/>
          </rPr>
          <t>See Guide (help)</t>
        </r>
        <r>
          <rPr>
            <sz val="9"/>
            <color indexed="81"/>
            <rFont val="Tahoma"/>
            <family val="2"/>
          </rPr>
          <t xml:space="preserve">
</t>
        </r>
      </text>
    </comment>
    <comment ref="A11" authorId="0" shapeId="0" xr:uid="{1677D55F-F20F-496A-9A03-017ED8ED7C22}">
      <text>
        <r>
          <rPr>
            <b/>
            <sz val="9"/>
            <color indexed="81"/>
            <rFont val="Tahoma"/>
            <family val="2"/>
          </rPr>
          <t xml:space="preserve">Describe the test environment and setup.
</t>
        </r>
        <r>
          <rPr>
            <sz val="9"/>
            <color indexed="81"/>
            <rFont val="Tahoma"/>
            <family val="2"/>
          </rPr>
          <t xml:space="preserve">
</t>
        </r>
      </text>
    </comment>
    <comment ref="A16" authorId="0" shapeId="0" xr:uid="{00CE81ED-6AC4-48C6-B0D5-2ECE1E45B59A}">
      <text>
        <r>
          <rPr>
            <b/>
            <sz val="9"/>
            <color indexed="81"/>
            <rFont val="Tahoma"/>
            <family val="2"/>
          </rPr>
          <t>Give the initial state before beginning the test.</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A2644AA2-DBE1-426E-B731-8BA321C7D88E}">
      <text>
        <r>
          <rPr>
            <b/>
            <sz val="9"/>
            <color indexed="81"/>
            <rFont val="Tahoma"/>
            <family val="2"/>
          </rPr>
          <t xml:space="preserve">See Guide (help)
</t>
        </r>
        <r>
          <rPr>
            <sz val="9"/>
            <color indexed="81"/>
            <rFont val="Tahoma"/>
            <family val="2"/>
          </rPr>
          <t xml:space="preserve">
</t>
        </r>
      </text>
    </comment>
    <comment ref="A3" authorId="0" shapeId="0" xr:uid="{282048BE-8AB1-43E9-9956-73EB870C6A5F}">
      <text>
        <r>
          <rPr>
            <b/>
            <sz val="9"/>
            <color indexed="81"/>
            <rFont val="Tahoma"/>
            <family val="2"/>
          </rPr>
          <t xml:space="preserve">See Guide (help)
</t>
        </r>
        <r>
          <rPr>
            <sz val="9"/>
            <color indexed="81"/>
            <rFont val="Tahoma"/>
            <family val="2"/>
          </rPr>
          <t xml:space="preserve">
</t>
        </r>
      </text>
    </comment>
    <comment ref="A5" authorId="0" shapeId="0" xr:uid="{35B2A9B4-C8C8-49E2-A0C7-ACD7C79B3C72}">
      <text>
        <r>
          <rPr>
            <sz val="9"/>
            <color indexed="81"/>
            <rFont val="Tahoma"/>
            <family val="2"/>
          </rPr>
          <t>Definition is in the "General info" tab.
Use the dropdown list.</t>
        </r>
      </text>
    </comment>
    <comment ref="A9" authorId="0" shapeId="0" xr:uid="{AF1AB071-9D4C-428F-B0F2-D33F38EF3040}">
      <text>
        <r>
          <rPr>
            <b/>
            <sz val="9"/>
            <color indexed="81"/>
            <rFont val="Tahoma"/>
            <family val="2"/>
          </rPr>
          <t>See Guide (help)</t>
        </r>
        <r>
          <rPr>
            <sz val="9"/>
            <color indexed="81"/>
            <rFont val="Tahoma"/>
            <family val="2"/>
          </rPr>
          <t xml:space="preserve">
</t>
        </r>
      </text>
    </comment>
    <comment ref="A11" authorId="0" shapeId="0" xr:uid="{B159CFFD-9BBB-48F6-942D-E512E9E18A24}">
      <text>
        <r>
          <rPr>
            <b/>
            <sz val="9"/>
            <color indexed="81"/>
            <rFont val="Tahoma"/>
            <family val="2"/>
          </rPr>
          <t xml:space="preserve">Describe the test environment and setup.
</t>
        </r>
        <r>
          <rPr>
            <sz val="9"/>
            <color indexed="81"/>
            <rFont val="Tahoma"/>
            <family val="2"/>
          </rPr>
          <t xml:space="preserve">
</t>
        </r>
      </text>
    </comment>
    <comment ref="A16" authorId="0" shapeId="0" xr:uid="{D633E069-6E55-4077-A21A-2E2B4D7AAAD7}">
      <text>
        <r>
          <rPr>
            <b/>
            <sz val="9"/>
            <color indexed="81"/>
            <rFont val="Tahoma"/>
            <family val="2"/>
          </rPr>
          <t>Give the initial state before beginning the test.</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16E70607-EFBB-444C-B8CE-A9AA94379CD6}">
      <text>
        <r>
          <rPr>
            <b/>
            <sz val="9"/>
            <color indexed="81"/>
            <rFont val="Tahoma"/>
            <family val="2"/>
          </rPr>
          <t xml:space="preserve">See Guide (help)
</t>
        </r>
        <r>
          <rPr>
            <sz val="9"/>
            <color indexed="81"/>
            <rFont val="Tahoma"/>
            <family val="2"/>
          </rPr>
          <t xml:space="preserve">
</t>
        </r>
      </text>
    </comment>
    <comment ref="A3" authorId="0" shapeId="0" xr:uid="{D83BE510-A795-44B8-8B81-E2024A6EB688}">
      <text>
        <r>
          <rPr>
            <b/>
            <sz val="9"/>
            <color indexed="81"/>
            <rFont val="Tahoma"/>
            <family val="2"/>
          </rPr>
          <t xml:space="preserve">See Guide (help)
</t>
        </r>
        <r>
          <rPr>
            <sz val="9"/>
            <color indexed="81"/>
            <rFont val="Tahoma"/>
            <family val="2"/>
          </rPr>
          <t xml:space="preserve">
</t>
        </r>
      </text>
    </comment>
    <comment ref="A5" authorId="0" shapeId="0" xr:uid="{F55C0CD3-E21D-46B1-A78B-CB49A336834B}">
      <text>
        <r>
          <rPr>
            <sz val="9"/>
            <color indexed="81"/>
            <rFont val="Tahoma"/>
            <family val="2"/>
          </rPr>
          <t>Definition is in the "General info" tab.
Use the dropdown list.</t>
        </r>
      </text>
    </comment>
    <comment ref="A9" authorId="0" shapeId="0" xr:uid="{A874180A-3250-4CC9-A8CD-D497037F4F72}">
      <text>
        <r>
          <rPr>
            <b/>
            <sz val="9"/>
            <color indexed="81"/>
            <rFont val="Tahoma"/>
            <family val="2"/>
          </rPr>
          <t>See Guide (help)</t>
        </r>
        <r>
          <rPr>
            <sz val="9"/>
            <color indexed="81"/>
            <rFont val="Tahoma"/>
            <family val="2"/>
          </rPr>
          <t xml:space="preserve">
</t>
        </r>
      </text>
    </comment>
    <comment ref="A11" authorId="0" shapeId="0" xr:uid="{5B0BA722-39CC-4625-BE19-316DB8148246}">
      <text>
        <r>
          <rPr>
            <b/>
            <sz val="9"/>
            <color indexed="81"/>
            <rFont val="Tahoma"/>
            <family val="2"/>
          </rPr>
          <t xml:space="preserve">Describe the test environment and setup.
</t>
        </r>
        <r>
          <rPr>
            <sz val="9"/>
            <color indexed="81"/>
            <rFont val="Tahoma"/>
            <family val="2"/>
          </rPr>
          <t xml:space="preserve">
</t>
        </r>
      </text>
    </comment>
    <comment ref="A16" authorId="0" shapeId="0" xr:uid="{1B743583-1967-4C62-9CB9-D2EE7000FB4E}">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<sst xmlns="http://schemas.openxmlformats.org/spreadsheetml/2006/main" count="1085" uniqueCount="323">
  <si>
    <t>Project Number &amp; Name</t>
  </si>
  <si>
    <t>Document state</t>
  </si>
  <si>
    <t>Document id</t>
  </si>
  <si>
    <t>Document title</t>
  </si>
  <si>
    <t>Version</t>
  </si>
  <si>
    <t>Description/comment</t>
  </si>
  <si>
    <t>Tab</t>
  </si>
  <si>
    <t>ID</t>
  </si>
  <si>
    <t>Title</t>
  </si>
  <si>
    <t>Reference &amp; revision</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</si>
  <si>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</si>
  <si>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</si>
  <si>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</si>
  <si>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</si>
  <si>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</si>
  <si>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</si>
  <si>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</si>
  <si>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</si>
  <si>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</si>
  <si>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</si>
  <si>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</si>
  <si>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</si>
  <si>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</si>
  <si>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</si>
  <si>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</si>
  <si>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</si>
  <si>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</si>
  <si>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</si>
  <si>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</si>
  <si>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</si>
  <si>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</si>
  <si>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</si>
  <si>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</si>
  <si>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</si>
  <si>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</si>
  <si>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</si>
  <si>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</si>
  <si>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</si>
  <si>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</si>
  <si>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</si>
  <si>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</si>
  <si>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</si>
  <si>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</si>
  <si>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</si>
  <si>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</si>
  <si>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</si>
  <si>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</si>
  <si>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</si>
  <si>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</si>
  <si>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</si>
  <si>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</si>
  <si>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</si>
  <si>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</si>
  <si>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</si>
  <si>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</si>
  <si>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Step 8</t>
  </si>
  <si>
    <t>Step 9</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</si>
  <si>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</si>
  <si>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</si>
  <si>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</si>
  <si>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</si>
  <si>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</si>
  <si>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</si>
  <si>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</si>
  <si>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</si>
  <si>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</si>
  <si>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</si>
  <si>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</si>
  <si>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</si>
  <si>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</si>
  <si>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</si>
  <si>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</si>
  <si>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</si>
  <si>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</si>
  <si>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</si>
  <si>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</si>
  <si>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</si>
  <si>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</si>
  <si>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</si>
  <si>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</si>
  <si>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</si>
  <si>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</si>
  <si>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</si>
  <si>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</si>
  <si>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</si>
  <si>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</si>
  <si>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</si>
  <si>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</si>
  <si>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</si>
  <si>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</si>
  <si>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</si>
  <si>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</si>
  <si>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</si>
  <si>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</si>
  <si>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</si>
  <si>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</si>
  <si>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</si>
  <si>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</si>
  <si>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</si>
  <si>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</si>
  <si>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</si>
  <si>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</si>
  <si>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</si>
  <si>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</si>
  <si>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</si>
  <si>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</si>
  <si>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</si>
  <si>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</si>
  <si>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</si>
  <si>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</si>
  <si>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</si>
  <si>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</si>
  <si>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</si>
  <si>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</si>
  <si>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</si>
  <si>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</si>
  <si>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</si>
  <si>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</si>
  <si>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</si>
  <si>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</si>
  <si>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</si>
  <si>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</si>
  <si>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</si>
  <si>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This sheet helps to fill the differents fields and sheets of the template.</t>
  </si>
  <si>
    <t>254888 DAIMLER MER W174W178 EL SB ECU</t>
  </si>
  <si>
    <t>Initial revision</t>
  </si>
  <si>
    <t>17.01.2022</t>
  </si>
  <si>
    <t>NA</t>
  </si>
  <si>
    <t xml:space="preserve">See Project Master Document for the roles and Project Members List for the name of people </t>
  </si>
  <si>
    <t>Stefan Dominte</t>
  </si>
  <si>
    <t>1.0</t>
  </si>
  <si>
    <t>DAIMLER MER ECU or Mock-up board
Power supply connected
CAN case connected
CANoe for DAIMLER MER configuration
ic5000 debuger
WinIdea</t>
  </si>
  <si>
    <t>Nominal</t>
  </si>
  <si>
    <t>Latest PTC SW flashed with application
Power On CANoe simulation and the power supply
Run the software</t>
  </si>
  <si>
    <t>PMP - Software Integration Test Specification Report.xls</t>
  </si>
  <si>
    <t>SWD:</t>
  </si>
  <si>
    <t>Testing module initialization function</t>
  </si>
  <si>
    <t>Put a breakpoint at the beginning and at the end of PMP_Init() function</t>
  </si>
  <si>
    <t>N.A.</t>
  </si>
  <si>
    <t>Reset the system.</t>
  </si>
  <si>
    <t>Testing values of specific structure after initialization</t>
  </si>
  <si>
    <t>Run the system and see that the first breakpoint is reached.</t>
  </si>
  <si>
    <t>Run the system and see that the second breakpoint is reached.</t>
  </si>
  <si>
    <t>Breakpoint is reached.</t>
  </si>
  <si>
    <t>SW_IT_PMP_0001</t>
  </si>
  <si>
    <t>Testing if battery voltage is updating</t>
  </si>
  <si>
    <t>SW_IT_PMP_0002</t>
  </si>
  <si>
    <t>SW_IT_PMP_0003</t>
  </si>
  <si>
    <t>Testing if ECU temperature is provided</t>
  </si>
  <si>
    <t>See that the breakpoint is reached.</t>
  </si>
  <si>
    <t>The breakpoint is reached.</t>
  </si>
  <si>
    <t>SW_IT_PMP_0004</t>
  </si>
  <si>
    <t>Testing if battery voltage state is monitored.</t>
  </si>
  <si>
    <t>pmp_u16InternalAnalogSignal can be set to 350.</t>
  </si>
  <si>
    <t>See that the breakpoint is reached and PMP_stBatterySurveyParam.u8CounterToValidateBatterySurvey was updated.</t>
  </si>
  <si>
    <t>Put a breakpoint at the end of the function, step over and set pmp_u16InternalAnalogSignal to 350 and PMP_stBatterySurveyParam.u8CounterToValidateBatterySurvey to 2</t>
  </si>
  <si>
    <t>PMP_stBatterySurveyParam.u8CounterToValidateBatterySurvey is 3 and PMP_stBatterySurveyParam.u8BatteryVoltageSurveyState is not updating.</t>
  </si>
  <si>
    <t>Run the software and see that the first breakpoint is reached again.</t>
  </si>
  <si>
    <t>Step over and set pmp_u16InternalAnalogSignal to 350 and PMP_stBatterySurveyParam.u8CounterToValidateBatterySurvey to 4</t>
  </si>
  <si>
    <t>PMP_stBatterySurveyParam.u8BatteryVoltageSurveyState is KU8_BATTERY_STABLE.</t>
  </si>
  <si>
    <t>Step over and set pmp_u16InternalAnalogSignal to 700.</t>
  </si>
  <si>
    <t>pmp_u16InternalAnalogSignal can be set to 700.</t>
  </si>
  <si>
    <t>See that the last breakpoint is reached and PMP_stBatterySurveyParam.u8BatteryVoltageSurveyState was updated.</t>
  </si>
  <si>
    <t>See that the last breakpoint is reached and both PMP_stBatterySurveyParam.u8BatteryVoltageSurveyState and PMP_stBatterySurveyParam.u8CounterToValidateBatterySurvey are updated.</t>
  </si>
  <si>
    <t>PMP_stBatterySurveyParam.u8BatteryVoltageSurveyState is KU8_BATTERY_UNSTABLE and PMP_stBatterySurveyParam.u8CounterToValidateBatterySurvey is 0.</t>
  </si>
  <si>
    <t>SW_IT_PMP_0005</t>
  </si>
  <si>
    <t>Put a breakpoint in PMP_runComputeDeficiencyLevel function, where Rte_Call_pclMotor_I_Get_A() is called and at the end of the function.</t>
  </si>
  <si>
    <t>See that the first breakpoint is reached.</t>
  </si>
  <si>
    <t>Step over and see that pu32DeficiencyLevel was updated.</t>
  </si>
  <si>
    <t>pu32DeficiencyLevel was updated.</t>
  </si>
  <si>
    <t>SW_IT_PMP_0006</t>
  </si>
  <si>
    <t>Testing if the estimation of energy stored is computed and provided.</t>
  </si>
  <si>
    <t>Testing if the motor resistance is computed and provided.</t>
  </si>
  <si>
    <t>Testing overvoltage detection.</t>
  </si>
  <si>
    <t>Testing undervoltage detection.</t>
  </si>
  <si>
    <t>SW_IT_PMP_0007</t>
  </si>
  <si>
    <t>SW_IT_PMP_0008</t>
  </si>
  <si>
    <t>N.A</t>
  </si>
  <si>
    <t>See that the first breakpoint is reached and step over.</t>
  </si>
  <si>
    <t>Last breakpoint is reached and pmp_u8ResultOfAutoTest is set to KU8_ATM_TEST_NOT_DECIDED.</t>
  </si>
  <si>
    <t>Run the software and see that the first breakpoint is reached, step over and set pmp_u8AECBatteryUVStatus to KU8_ATM_TEST_OK.</t>
  </si>
  <si>
    <t>Step 10</t>
  </si>
  <si>
    <t>Step 11</t>
  </si>
  <si>
    <t>Step 12</t>
  </si>
  <si>
    <t>Step 13</t>
  </si>
  <si>
    <t>Set a breakpoint in PMP_Autotest_CheckPowerSupplyOV function, where Rte_Call_pclAutotestServices_GetTestResult(ATM_KU8_ID_TEST_UNDER_VOLTAGE_POWER, &amp;pmp_u8AECBatteryUVStatus) is called and at the end of function.</t>
  </si>
  <si>
    <t>Step over, set pmp_u8AECBatteryUVStatus to KU8_ATM_TEST_NOK, run the software and see that the last breakpoint was reached.</t>
  </si>
  <si>
    <t>Set a breakpoint in PMP_Autotest_CheckPowerSupplyOV function, where Rte_Call_pclAutotestServices_GetTestResult(ATM_KU8_ID_TEST_OVER_VOLTAGE_POWER, &amp;pmp_u8AECBatteryOVStatus) is called and start the software.</t>
  </si>
  <si>
    <t>Last breakpoint is reached and pmp_u8ResultOfAutoTest is set to KU8_ATM_TEST_OK.</t>
  </si>
  <si>
    <t>Step over, set pmp_u8AECBatteryOVStatus to KU8_ATM_TEST_OK and pmp_u16FilteredVbatPowerVoltage to 12000, run the software.</t>
  </si>
  <si>
    <t>Run the software and see that the second breakpoint is reached.</t>
  </si>
  <si>
    <t>Step over, set pmp_u8AECBatteryOVStatus to KU8_ATM_TEST_OK and pmp_u16FilteredVbatPowerVoltage to 17000, run the software.</t>
  </si>
  <si>
    <t>Last breakpoint is reached and pmp_u8ResultOfAutoTest is set to KU8_ATM_TEST_NOK.</t>
  </si>
  <si>
    <t>Step over, set pmp_u8AECBatteryOVStatus to KU8_ATM_TEST_NOK and pmp_u16FilteredVbatPowerVoltage to 12000, run the software.</t>
  </si>
  <si>
    <t>Step 14</t>
  </si>
  <si>
    <t>Step 15</t>
  </si>
  <si>
    <t>Step over, set pmp_u8AECBatteryOVStatus to KU8_ATM_TEST_NOK and pmp_u16FilteredVbatPowerVoltage to 17000, run the software.</t>
  </si>
  <si>
    <t>Set a breakpoint in PMP_Autotest_CheckPowerSupplyUV function, where Rte_Call_pclAutotestServices_GetTestResult(ATM_KU8_ID_TEST_OVER_VOLTAGE_POWER, &amp;pmp_u8AECBatteryOVStatus) is called and at the end of function.</t>
  </si>
  <si>
    <t>Step over, set pmp_u8AECBatteryOVStatus to KU8_ATM_TEST_NOK, run the software and see that the last breakpoint was reached.</t>
  </si>
  <si>
    <t>Run the software and see that the first breakpoint is reached, step over and set pmp_u8AECBatteryOVStatus to KU8_ATM_TEST_OK.</t>
  </si>
  <si>
    <t>Set a breakpoint in PMP_Autotest_CheckPowerSupplyOV function, where Rte_Call_pclAutotestServices_GetTestResult(ATM_KU8_ID_TEST_UNDER_VOLTAGE_POWER, &amp;pmp_u8AECStatus) is called and start the software.</t>
  </si>
  <si>
    <t>Step over, set pmp_u8AECStatus to KU8_ATM_TEST_OK and pmp_u16FilteredVbatPowerVoltage to 12000, run the software.</t>
  </si>
  <si>
    <t>Step over, set pmp_u8AECStatus to KU8_ATM_TEST_OK and pmp_u16FilteredVbatPowerVoltage to 8000, run the software.</t>
  </si>
  <si>
    <t>Step over, set pmp_u8AECStatus to KU8_ATM_TEST_NOK and pmp_u16FilteredVbatPowerVoltage to 12000, run the software.</t>
  </si>
  <si>
    <t>Step over, set pmp_u8AECStatus to KU8_ATM_TEST_NOK and pmp_u16FilteredVbatPowerVoltage to 8000, run the software.</t>
  </si>
  <si>
    <t>Check the values of PMP_stBatterySurveyParam members</t>
  </si>
  <si>
    <t>Ok</t>
  </si>
  <si>
    <t>Nok</t>
  </si>
  <si>
    <t>Put a breakpoint in PMP_runGetBatteryVoltage(), where the raw battery voltage value is taken from AdcIf.</t>
  </si>
  <si>
    <t>Rte_Call_pclKL30_V_raw_Get() exists and the breakpoint can be ticked off.</t>
  </si>
  <si>
    <t>Call exists and the breakpoint can be ticked off.</t>
  </si>
  <si>
    <t>Call does NOT exist.</t>
  </si>
  <si>
    <t>Breakpoint can NOT be ticked off.</t>
  </si>
  <si>
    <t>Remove the checkpoint and put a breakpoint in PMP_runGetBatteryVoltage_10ms(), where the 10ms filtered battery voltage is taken from AdcIf.</t>
  </si>
  <si>
    <t>Remove the checkpoint and put a breakpoint in PMP_runGetBatteryVoltage_2ms(), where the 2ms filtered battery voltage is taken from AdcIf.</t>
  </si>
  <si>
    <t>Rte_Call_pclKL30_V_raw_Get_2ms exists and the breakpoint can be ticked off.</t>
  </si>
  <si>
    <t>Rte_Call_pclKL30_V_raw_Get_10ms exists and the breakpoint can be ticked off.</t>
  </si>
  <si>
    <t>Remove the checkpoint and put a breakpoint in PMP_runGetBatteryVoltage_100ms(), where the 100ms filtered battery voltage is taken from AdcIf.</t>
  </si>
  <si>
    <t>Rte_Call_pclKL30_V_raw_Get_100ms exists and the breakpoint can be ticked off.</t>
  </si>
  <si>
    <t>Put a breakpoint in PMP_runComputeDeficiencyLevel() function, at the "Check if motor curent is not null" and set pmp_s8MotorCurrentInA to 10</t>
  </si>
  <si>
    <t>Put a breakpoint in PMP_runGetFilteredTemperature_deg function, where PMP_runGetFilteredTemperature is called and check if it is reached.</t>
  </si>
  <si>
    <t>Put a breakpoint in PMP_runGetFilteredTemperature function, where pmp_GetCorrectedTemperature is called and see if it is reached.</t>
  </si>
  <si>
    <t>Put a breakpoint in pmp_GetCorrectedTemperature function, where Rte_Call_pclMcu_T_raw_Get_10ms is called and see if it is reached.</t>
  </si>
  <si>
    <t>ARCH_SW_PMP_0005</t>
  </si>
  <si>
    <t>ARCH_SW_PMP_9014, ARCH_SW_PMP_0260, ARCH_SW_PMP_0280, ARCH_SW_PMP_0265, ARCH_SW_PMP_0285, ARCH_SW_PMP_9009, ARCH_SW_PMP_9002</t>
  </si>
  <si>
    <t>ARCH_SW_PMP_0200, ARCH_SW_PMP_0210, ARCH_SW_PMP_0201, ARCH_SW_PMP_0202</t>
  </si>
  <si>
    <t>ARCH_SW_PMP_0340, ARCH_SW_PMP_0320, ARCH_SW_PMP_9006, ARCH_SW_PMP_9007, ARCH_SW_PMP_9008, ARCH_SW_PMP_9004, ARCH_SW_PMP_9005, ARCH_SW_PMP_0341, ARCH_SW_PMP_9001, ARCH_SW_PMP_9003</t>
  </si>
  <si>
    <t>ARCH_SW_PMP_0380</t>
  </si>
  <si>
    <t>Breakpoint is not reached.</t>
  </si>
  <si>
    <t>Temperature can not be set to 25.</t>
  </si>
  <si>
    <t>Remove the first breakpoint, put a breakpoint to "Check if motor curent is not null" line, run the software and see that the breakpoint is reached.</t>
  </si>
  <si>
    <t>Set pmp_s8MotorCurrentInA to 0, pmp_u32PreviousDeficiencyLevel to 30, run the software and see that the last breakpoint was reached and Rte_Irv_PMP_AC_PhysicalMeasuresProvider_u32DeficiencyLevel was updated with 0.</t>
  </si>
  <si>
    <t>Breakpoint is reached and Rte_Irv_PMP_AC_PhysicalMeasuresProvider_u32DeficiencyLevel = 0</t>
  </si>
  <si>
    <t>Run the software and check that the  "Check if motor curent is not null" line breakpoint is reached again.</t>
  </si>
  <si>
    <t>Set pmp_s8MotorCurrentInA to 0, pmp_u32PreviousDeficiencyLevel to 80, run the software and see that the last breakpoint was reached and Rte_Irv_PMP_AC_PhysicalMeasuresProvider_u32DeficiencyLevel was updated with 30.</t>
  </si>
  <si>
    <t>Breakpoint is reached and Rte_Irv_PMP_AC_PhysicalMeasuresProvider_u32DeficiencyLevel = 30</t>
  </si>
  <si>
    <t>Set pmp_s8MotorCurrentInA to 10, put a breakpoint on "Get the internal temperature", run the software and see that the breakpoint is reached.</t>
  </si>
  <si>
    <t>Step over and set pmp_s16InternalTemperature_deg to 40 and pmp_u32PreviousDeficiencyLevel to 0, run the software and see that the last breakpoint was reached and Rte_Irv_PMP_AC_PhysicalMeasuresProvider_u32DeficiencyLevel was updated with 10.</t>
  </si>
  <si>
    <t>Breakpoint is reached and Rte_Irv_PMP_AC_PhysicalMeasuresProvider_u32DeficiencyLevel = 10</t>
  </si>
  <si>
    <t>Step over and set pmp_s16InternalTemperature_deg to 30 and pmp_u32PreviousDeficiencyLevel to 0, run the software and see that the last breakpoint was reached and Rte_Irv_PMP_AC_PhysicalMeasuresProvider_u32DeficiencyLevel was updated with 100.</t>
  </si>
  <si>
    <t>Breakpoint is reached and Rte_Irv_PMP_AC_PhysicalMeasuresProvider_u32DeficiencyLevel = 100</t>
  </si>
  <si>
    <t>Remove the first breakpoint, put a breakpoint to "Check deficiency level range"  line, run the software and see that the breakpoint is reached.</t>
  </si>
  <si>
    <t>Set pmp_u32NewDeficiencyLevel to 200000, run the software and see that the last breakpoint was reached and Rte_Irv_PMP_AC_PhysicalMeasuresProvider_u32DeficiencyLevel was updated with 160000.</t>
  </si>
  <si>
    <t>Breakpoint is reached and Rte_Irv_PMP_AC_PhysicalMeasuresProvider_u32DeficiencyLevel = 160000</t>
  </si>
  <si>
    <t>Remove all breakpoints, put a breakpoint in PMP_runGetDeficiencyLevel function, run the software and see that the breakpoint is reached.</t>
  </si>
  <si>
    <t>Step 16</t>
  </si>
  <si>
    <t>Set a breakpoint in MMG.c, where current active cycle is checked, see if the breakpoint is reached, set u8ModeStatus as KU8_MODE_STATUS_OFF and run the software.</t>
  </si>
  <si>
    <t>Breakpoint is reached and status can be set.</t>
  </si>
  <si>
    <t>SW_IT_PMP_0009</t>
  </si>
  <si>
    <t>SW_IT_PMP_0010</t>
  </si>
  <si>
    <t>Testing overvoltage detection during activation.</t>
  </si>
  <si>
    <t>Testing undervoltage detection during activation.</t>
  </si>
  <si>
    <t>Set a breakpoint in MMG.c, where current active cycle is checked, see if the breakpoint is reached, set u8ModeStatus as KU8_MODE_STATUS_ON and run the software.</t>
  </si>
  <si>
    <t>Set a breakpoint in PMP_Autotest_CheckPowerSupplyOVDuringActivation function, where Rte_Call_pclAutotestServices_GetTestResult(ATM_KU8_ID_TEST_UNDER_VOLTAGE_POWER, &amp;pmp_u8AECBatteryUVStatus) is called and at the end of function.</t>
  </si>
  <si>
    <t>Step over, set pmp_u8AECBatteryOVStatus to KU8_ATM_TEST_OK and pmp_u16FilteredVbatPowerVoltage to 19000, run the software.</t>
  </si>
  <si>
    <t>Step over, set pmp_u8AECBatteryOVStatus to KU8_ATM_TEST_NOK and pmp_u16FilteredVbatPowerVoltage to 19000, run the software.</t>
  </si>
  <si>
    <t>Set a breakpoint in PMP_Autotest_PMP_Autotest_CheckPowerSupplyUVDuringActivation function, where Rte_Call_pclAutotestServices_GetTestResult(ATM_KU8_ID_TEST_OVER_VOLTAGE_POWER, &amp;pmp_u8AECBatteryOVStatus) is called and at the end of function.</t>
  </si>
  <si>
    <t>Step over, set pmp_u8AECStatus to KU8_ATM_TEST_OK and pmp_u16FilteredVbatPowerVoltage to 6000, run the software.</t>
  </si>
  <si>
    <t>Step over, set pmp_u8AECStatus to KU8_ATM_TEST_NOK and pmp_u16FilteredVbatPowerVoltage to 6000, run the software.</t>
  </si>
  <si>
    <t>u16OldRawBatteryVoltage = 0, u16MinBatteryVoltageADCFormat = 217, u16MaxBatteryVoltageADCFormat = 574, u16MinDiffVoltageToValidateBatterySurvey = 37, u8CounterToValidateBatterySurvey = 0, u8BatteryVoltageSurveyState = 1</t>
  </si>
  <si>
    <t>Put a breakpoint at the end of PMP_runGetFilteredTemperature_deg function, see if it is reached, step and check if pmp_s16InternalTemperature_deg was updated.</t>
  </si>
  <si>
    <t>The breakpoint is reached and pmp_s16InternalTemperature_deg is updated.</t>
  </si>
  <si>
    <t>Step 17</t>
  </si>
  <si>
    <t>Step 18</t>
  </si>
  <si>
    <t>Step 19</t>
  </si>
  <si>
    <t>Step 20</t>
  </si>
  <si>
    <t>Released</t>
  </si>
  <si>
    <t>31.08.2022</t>
  </si>
  <si>
    <t>V. Chioveanu</t>
  </si>
  <si>
    <t>Vlad Chioveanu</t>
  </si>
  <si>
    <t>IT for R3.0</t>
  </si>
  <si>
    <t>V.Chioveanu</t>
  </si>
  <si>
    <t>AdcIf_runGetMcu_T_10ms</t>
  </si>
  <si>
    <t>AdcIf_runGetMcu_T_10ms is reached</t>
  </si>
  <si>
    <t>Step in</t>
  </si>
  <si>
    <t>Put a breakpoint in PMP_runSurveyBatteryVoltage function , modify batery status and check it in PMP_runGetBatteryVoltageSurveyStatus</t>
  </si>
  <si>
    <t>Status updated</t>
  </si>
  <si>
    <t>Put a breakpoint in PMP_runSurveyBatteryVoltage function where Rte_Call_pclKL30_V_raw_Get is called and see that the breakpoint is reached. Step In</t>
  </si>
  <si>
    <t>Jump in AdcIf_runGetKL30_V</t>
  </si>
  <si>
    <t>Check if values ofPMP_stBatterySurveyParam.u16MinBatteryVoltageADCFormat and PMP_stBatterySurveyParam.u16MaxBatteryVoltageADCFormat corespondes to NVP_u16KL30MinimumThr and NVP_u16KL30MaximumThr</t>
  </si>
  <si>
    <t>OK</t>
  </si>
  <si>
    <t>Set a BP in PAL_Autotest_CheckMotorDisengagement at the pre-conditions check</t>
  </si>
  <si>
    <t>BP Set</t>
  </si>
  <si>
    <t xml:space="preserve">Modify the variable u8PreviousADCTestResult to 01, u8PreviousSelfProtectionTestResult to 01, u8ExecutedCycleNumber to 30 and step in. </t>
  </si>
  <si>
    <t xml:space="preserve">Variables modified successfully </t>
  </si>
  <si>
    <t>Step in until PWMOrder check and set the s16MotorPWMOrder to 0xF000 and step in.</t>
  </si>
  <si>
    <t>Step over untill Rte_Call_pclResistance_Get is called and step in.</t>
  </si>
  <si>
    <t>Jump in PMP_runGetMotorResistance</t>
  </si>
  <si>
    <t>ARCH_SW_PMP_1000, ARCH_SW_PMP_1001, ARCH_SW_PMP_1005, ARCH_SW_PMP_1007, ARCH_SW_PMP_1008</t>
  </si>
  <si>
    <t>ARCH_SW_PMP_0010, ARCH_SW_PMP_0011, ARCH_SW_PMP_0012, ARCH_SW_PMP_0013,  ARCH_SW_PMP_0014, ARCH_SW_PMP_0020</t>
  </si>
  <si>
    <t>Testing the ERH interfaces</t>
  </si>
  <si>
    <t>Set at BP in PMP_Autotest_CheckPowerSupplyOV at the Rte_Call_pclAecStatus_GetAecStatus call and run the debugger.</t>
  </si>
  <si>
    <t>BP reached.</t>
  </si>
  <si>
    <t>ATM function not called</t>
  </si>
  <si>
    <t>When BP is reached step in.</t>
  </si>
  <si>
    <t>Jump in ERH_runGetAecStatus</t>
  </si>
  <si>
    <t>ERH_runGetAecStatus not called</t>
  </si>
  <si>
    <t>ARCH_SW_PMP_1050, ARCH_SW_PMP_1051, ARCH_SW_PMP_1055, ARCH_SW_PMP_1057, ARCH_SW_PMP_1058</t>
  </si>
  <si>
    <t>Set at BP in PMP_Autotest_CheckPowerSupplyUV at the Rte_Call_pclAecStatus_GetAecStatus call and run the debugger.</t>
  </si>
  <si>
    <t>ARCH_SW_PMP_1060, ARCH_SW_PMP_1061, ARCH_SW_PMP_1065, ARCH_SW_PMP_1067, ARCH_SW_PMP_1080,ARCH_SW_PMP_1068</t>
  </si>
  <si>
    <t>Set at BP in PMP_Autotest_CheckPowerSupplyUVDuringActivation at the Rte_Call_pclAecStatus_GetAecStatus call and run the debugger.</t>
  </si>
  <si>
    <t>Set at BP in PMP_Autotest_CheckPowerSupplyOVDuringActivation at the Rte_Call_pclAecStatus_GetAecStatus call and run the debugger.</t>
  </si>
  <si>
    <t>ARCH_SW_PMP_1070, ARCH_SW_PMP_1071, ARCH_SW_PMP_1075, ARCH_SW_PMP_1077, ARCH_SW_PMP_1078</t>
  </si>
  <si>
    <t>ARCH_SW_PMP_1008, ARCH_SW_PMP_1059,  ARCH_SW_PMP_1069, ARCH_SW_PMP_1079</t>
  </si>
  <si>
    <t>Autotest CheckTemperatureSensor interfaces check</t>
  </si>
  <si>
    <t>Testing the interfaces of PMP_Autotest_CheckTemperatureSensor</t>
  </si>
  <si>
    <t>Testing the interfaces between PMP and ERH</t>
  </si>
  <si>
    <t>ARCH_SW_PMP_1081, ARCH_SW_PMP_1082</t>
  </si>
  <si>
    <t>NVP param called.</t>
  </si>
  <si>
    <t>NVP param not called</t>
  </si>
  <si>
    <t>Check if in PMP_Autotest_CheckTemperatureSensor function the NVP parameters are called</t>
  </si>
  <si>
    <t>Set a BP in PMP_Autotest_CheckTemperatureSensor at Rte_Call_pclAutotestServices_GetTestResult call and run the debugger.</t>
  </si>
  <si>
    <t>When BP reached step in.</t>
  </si>
  <si>
    <t>Jump in ATM_runGetTestResult</t>
  </si>
  <si>
    <t>ATM_runGetTestResult not reached</t>
  </si>
  <si>
    <t>BP reached</t>
  </si>
  <si>
    <t>Applied from SW R3.0 release</t>
  </si>
  <si>
    <t>SW_IT_PMP_0011</t>
  </si>
  <si>
    <t>SW_IT_PMP_0012</t>
  </si>
  <si>
    <t>1.1</t>
  </si>
  <si>
    <r>
      <t xml:space="preserve">Comment
</t>
    </r>
    <r>
      <rPr>
        <i/>
        <sz val="11"/>
        <rFont val="Calibri"/>
        <family val="2"/>
      </rPr>
      <t>(aplicable only if test not executed)</t>
    </r>
  </si>
  <si>
    <t>Test for Regression</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</si>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</sst>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46"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amily val="2"/>
    </font>
    <font>
      <sz val="8"/>
      <name val="Arial"/>
      <family val="2"/>
    </font>
    <font>
      <sz val="8"/>
      <name val="Arial"/>
    </font>
    <font>
      <sz val="11"/>
      <name val="Calibri"/>
      <family val="2"/>
      <charset val="238"/>
    </font>
    <font>
      <i/>
      <sz val="11"/>
      <name val="Calibri"/>
      <family val="2"/>
    </font>
  </fonts>
  <fills count="10">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rgb="FFC5D9F1"/>
        <bgColor rgb="FF000000"/>
      </patternFill>
    </fill>
  </fills>
  <borders count="46">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thin">
        <color rgb="FF000080"/>
      </bottom>
      <diagonal/>
    </border>
    <border>
      <left style="thin">
        <color indexed="64"/>
      </left>
      <right style="thin">
        <color indexed="64"/>
      </right>
      <top/>
      <bottom/>
      <diagonal/>
    </border>
    <border>
      <left style="thin">
        <color indexed="64"/>
      </left>
      <right style="thin">
        <color indexed="64"/>
      </right>
      <top style="medium">
        <color indexed="64"/>
      </top>
      <bottom/>
      <diagonal/>
    </border>
  </borders>
  <cellStyleXfs count="3">
    <xf numFmtId="0" fontId="0" fillId="0" borderId="0"/>
    <xf numFmtId="0" fontId="23" fillId="0" borderId="0" applyNumberFormat="0" applyFill="0" applyBorder="0" applyAlignment="0" applyProtection="0"/>
    <xf numFmtId="0" fontId="1" fillId="0" borderId="0"/>
  </cellStyleXfs>
  <cellXfs count="240">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43" xfId="0" applyFont="1" applyBorder="1" applyAlignment="1" applyProtection="1">
      <alignment vertical="center"/>
      <protection locked="0"/>
    </xf>
    <xf numFmtId="0" fontId="0" fillId="0" borderId="43"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29" fillId="0" borderId="14" xfId="0" applyFont="1" applyBorder="1" applyAlignment="1">
      <alignment vertical="top"/>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33" fillId="0" borderId="0" xfId="0" applyFont="1" applyFill="1" applyBorder="1"/>
    <xf numFmtId="0" fontId="33" fillId="0" borderId="10" xfId="0" applyFont="1" applyFill="1" applyBorder="1"/>
    <xf numFmtId="0" fontId="20" fillId="0" borderId="10" xfId="0" applyFont="1" applyFill="1" applyBorder="1"/>
    <xf numFmtId="10" fontId="33" fillId="0" borderId="10" xfId="0" applyNumberFormat="1" applyFont="1" applyFill="1" applyBorder="1"/>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49" fontId="1" fillId="0" borderId="0" xfId="0" applyNumberFormat="1" applyFont="1" applyFill="1" applyBorder="1" applyAlignment="1" applyProtection="1">
      <alignment horizontal="left" vertical="center"/>
      <protection locked="0"/>
    </xf>
    <xf numFmtId="0" fontId="29" fillId="0" borderId="16" xfId="0" applyFont="1" applyBorder="1" applyAlignment="1">
      <alignment vertical="top"/>
    </xf>
    <xf numFmtId="0" fontId="35" fillId="0" borderId="10" xfId="0" applyFont="1" applyBorder="1" applyAlignment="1">
      <alignment horizontal="center" vertical="center"/>
    </xf>
    <xf numFmtId="0" fontId="0" fillId="5" borderId="0" xfId="0" applyFill="1"/>
    <xf numFmtId="0" fontId="35" fillId="5" borderId="0" xfId="0" applyFont="1" applyFill="1" applyBorder="1" applyAlignment="1">
      <alignment horizontal="center" vertical="center"/>
    </xf>
    <xf numFmtId="0" fontId="35" fillId="5" borderId="17" xfId="0" applyFont="1" applyFill="1" applyBorder="1" applyAlignment="1">
      <alignment horizontal="center" vertical="center"/>
    </xf>
    <xf numFmtId="0" fontId="35" fillId="5" borderId="18" xfId="0" applyFont="1" applyFill="1" applyBorder="1" applyAlignment="1">
      <alignment horizontal="center" vertical="center"/>
    </xf>
    <xf numFmtId="0" fontId="0" fillId="5" borderId="0" xfId="0" applyFill="1" applyAlignment="1">
      <alignment wrapText="1"/>
    </xf>
    <xf numFmtId="0" fontId="37" fillId="6" borderId="4" xfId="0" applyFont="1" applyFill="1" applyBorder="1" applyAlignment="1">
      <alignment wrapText="1"/>
    </xf>
    <xf numFmtId="0" fontId="37" fillId="6" borderId="19" xfId="0" applyFont="1" applyFill="1" applyBorder="1" applyAlignment="1">
      <alignment vertical="center" wrapText="1"/>
    </xf>
    <xf numFmtId="0" fontId="37" fillId="6" borderId="20" xfId="0" applyFont="1" applyFill="1" applyBorder="1" applyAlignment="1">
      <alignment horizontal="center" wrapText="1"/>
    </xf>
    <xf numFmtId="0" fontId="1" fillId="7" borderId="9" xfId="2" applyFont="1" applyFill="1" applyBorder="1" applyAlignment="1">
      <alignment wrapText="1"/>
    </xf>
    <xf numFmtId="0" fontId="1" fillId="7" borderId="13" xfId="2" applyFont="1" applyFill="1" applyBorder="1" applyAlignment="1">
      <alignment wrapText="1"/>
    </xf>
    <xf numFmtId="0" fontId="35" fillId="5" borderId="7" xfId="0" applyFont="1" applyFill="1" applyBorder="1" applyAlignment="1">
      <alignment horizontal="left" vertical="center"/>
    </xf>
    <xf numFmtId="0" fontId="23" fillId="0" borderId="10" xfId="1" applyBorder="1" applyAlignment="1">
      <alignment vertical="top"/>
    </xf>
    <xf numFmtId="0" fontId="23" fillId="0" borderId="10" xfId="1" applyFill="1" applyBorder="1" applyAlignment="1">
      <alignment vertical="top"/>
    </xf>
    <xf numFmtId="0" fontId="31" fillId="0" borderId="11" xfId="0" applyFont="1" applyFill="1" applyBorder="1" applyAlignment="1">
      <alignment vertical="top"/>
    </xf>
    <xf numFmtId="0" fontId="31" fillId="0" borderId="11" xfId="0" applyFont="1" applyFill="1" applyBorder="1" applyAlignment="1">
      <alignment horizontal="center" vertical="center"/>
    </xf>
    <xf numFmtId="14" fontId="31" fillId="0" borderId="11" xfId="0" applyNumberFormat="1" applyFont="1" applyFill="1" applyBorder="1" applyAlignment="1">
      <alignment horizontal="center" vertical="center" wrapText="1"/>
    </xf>
    <xf numFmtId="0" fontId="34" fillId="0" borderId="15" xfId="0" applyFont="1" applyFill="1" applyBorder="1" applyAlignment="1">
      <alignment vertical="top"/>
    </xf>
    <xf numFmtId="0" fontId="31" fillId="0" borderId="12" xfId="0" applyFont="1" applyFill="1" applyBorder="1" applyAlignment="1">
      <alignment vertical="top" wrapText="1"/>
    </xf>
    <xf numFmtId="0" fontId="0" fillId="0" borderId="0" xfId="0" applyAlignment="1">
      <alignment wrapText="1"/>
    </xf>
    <xf numFmtId="0" fontId="36" fillId="0" borderId="11" xfId="0" applyFont="1" applyBorder="1" applyAlignment="1">
      <alignment vertical="top" wrapText="1"/>
    </xf>
    <xf numFmtId="0" fontId="36" fillId="0" borderId="11" xfId="0" applyFont="1" applyFill="1" applyBorder="1" applyAlignment="1">
      <alignment vertical="top" wrapText="1"/>
    </xf>
    <xf numFmtId="0" fontId="31" fillId="0" borderId="11" xfId="0" applyFont="1" applyBorder="1" applyAlignment="1">
      <alignment vertical="top" wrapText="1"/>
    </xf>
    <xf numFmtId="0" fontId="31" fillId="0" borderId="44" xfId="0" applyFont="1" applyFill="1" applyBorder="1" applyAlignment="1">
      <alignment horizontal="center" vertical="center" wrapText="1"/>
    </xf>
    <xf numFmtId="0" fontId="35" fillId="0" borderId="45" xfId="0" applyFont="1" applyFill="1" applyBorder="1" applyAlignment="1">
      <alignment horizontal="center" vertical="center"/>
    </xf>
    <xf numFmtId="0" fontId="34" fillId="0" borderId="24" xfId="0" applyFont="1" applyFill="1" applyBorder="1" applyAlignment="1">
      <alignment vertical="top"/>
    </xf>
    <xf numFmtId="0" fontId="31" fillId="0" borderId="10" xfId="0" applyFont="1" applyFill="1" applyBorder="1" applyAlignment="1">
      <alignment horizontal="center" vertical="center" wrapText="1"/>
    </xf>
    <xf numFmtId="0" fontId="35" fillId="0" borderId="10" xfId="0" applyFont="1" applyFill="1" applyBorder="1" applyAlignment="1">
      <alignment horizontal="center" vertical="center"/>
    </xf>
    <xf numFmtId="0" fontId="34" fillId="0" borderId="10" xfId="0" applyFont="1" applyFill="1" applyBorder="1" applyAlignment="1">
      <alignment vertical="top"/>
    </xf>
    <xf numFmtId="0" fontId="0" fillId="0" borderId="10" xfId="0" applyBorder="1"/>
    <xf numFmtId="0" fontId="31" fillId="0" borderId="10" xfId="0" applyFont="1" applyBorder="1" applyAlignment="1">
      <alignment horizontal="center" vertical="center" wrapText="1"/>
    </xf>
    <xf numFmtId="0" fontId="44" fillId="9" borderId="7" xfId="0" applyFont="1" applyFill="1" applyBorder="1" applyAlignment="1">
      <alignment horizontal="center" vertical="center" wrapText="1"/>
    </xf>
    <xf numFmtId="0" fontId="38" fillId="0" borderId="15" xfId="0" applyFont="1" applyBorder="1" applyAlignment="1" applyProtection="1">
      <alignment horizontal="left" vertical="center" shrinkToFit="1"/>
    </xf>
    <xf numFmtId="0" fontId="38" fillId="0" borderId="1" xfId="0" applyFont="1" applyBorder="1" applyAlignment="1" applyProtection="1">
      <alignment horizontal="left" vertical="center" shrinkToFit="1"/>
    </xf>
    <xf numFmtId="0" fontId="38" fillId="0" borderId="21" xfId="0" applyFont="1" applyBorder="1" applyAlignment="1" applyProtection="1">
      <alignment horizontal="left" vertical="center" shrinkToFit="1"/>
    </xf>
    <xf numFmtId="0" fontId="39" fillId="8" borderId="22" xfId="0" applyFont="1" applyFill="1" applyBorder="1" applyAlignment="1" applyProtection="1">
      <alignment horizontal="center" vertical="center" shrinkToFit="1"/>
      <protection locked="0"/>
    </xf>
    <xf numFmtId="0" fontId="39" fillId="8" borderId="23" xfId="0" applyFont="1" applyFill="1" applyBorder="1" applyAlignment="1" applyProtection="1">
      <alignment horizontal="center" vertical="center" shrinkToFit="1"/>
      <protection locked="0"/>
    </xf>
    <xf numFmtId="0" fontId="39" fillId="8" borderId="24" xfId="0" applyFont="1" applyFill="1" applyBorder="1" applyAlignment="1" applyProtection="1">
      <alignment horizontal="center" vertical="center" shrinkToFit="1"/>
      <protection locked="0"/>
    </xf>
    <xf numFmtId="0" fontId="6" fillId="0" borderId="22" xfId="0" applyFont="1" applyBorder="1" applyAlignment="1" applyProtection="1">
      <alignment horizontal="left" vertical="center" shrinkToFit="1"/>
    </xf>
    <xf numFmtId="0" fontId="6" fillId="0" borderId="23" xfId="0" applyFont="1" applyBorder="1" applyAlignment="1" applyProtection="1">
      <alignment horizontal="left" vertical="center" shrinkToFit="1"/>
    </xf>
    <xf numFmtId="0" fontId="6" fillId="0" borderId="24" xfId="0" applyFont="1" applyBorder="1" applyAlignment="1" applyProtection="1">
      <alignment horizontal="left" vertical="center" shrinkToFit="1"/>
    </xf>
    <xf numFmtId="0" fontId="1" fillId="0" borderId="15"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0" fontId="39" fillId="8" borderId="2" xfId="0" applyFont="1" applyFill="1" applyBorder="1" applyAlignment="1" applyProtection="1">
      <alignment horizontal="center" vertical="center" shrinkToFit="1"/>
      <protection locked="0"/>
    </xf>
    <xf numFmtId="0" fontId="39" fillId="8" borderId="0" xfId="0" applyFont="1" applyFill="1" applyBorder="1" applyAlignment="1" applyProtection="1">
      <alignment horizontal="center" vertical="center" shrinkToFit="1"/>
      <protection locked="0"/>
    </xf>
    <xf numFmtId="0" fontId="39" fillId="8" borderId="3" xfId="0" applyFont="1" applyFill="1" applyBorder="1" applyAlignment="1" applyProtection="1">
      <alignment horizontal="center" vertical="center" shrinkToFit="1"/>
      <protection locked="0"/>
    </xf>
    <xf numFmtId="0" fontId="1" fillId="0" borderId="1" xfId="0" applyFont="1" applyFill="1" applyBorder="1" applyAlignment="1" applyProtection="1">
      <alignment horizontal="left" vertical="top" wrapText="1" shrinkToFit="1"/>
      <protection locked="0"/>
    </xf>
    <xf numFmtId="0" fontId="2" fillId="0" borderId="1" xfId="0" applyFont="1" applyFill="1" applyBorder="1" applyAlignment="1" applyProtection="1">
      <alignment horizontal="left" vertical="top" shrinkToFit="1"/>
      <protection locked="0"/>
    </xf>
    <xf numFmtId="0" fontId="2" fillId="0" borderId="21" xfId="0" applyFont="1" applyFill="1" applyBorder="1" applyAlignment="1" applyProtection="1">
      <alignment horizontal="left" vertical="top" shrinkToFit="1"/>
      <protection locked="0"/>
    </xf>
    <xf numFmtId="0" fontId="38" fillId="0" borderId="15" xfId="0" applyNumberFormat="1" applyFont="1" applyBorder="1" applyAlignment="1" applyProtection="1">
      <alignment horizontal="left" vertical="center" shrinkToFit="1"/>
    </xf>
    <xf numFmtId="0" fontId="38" fillId="0" borderId="1" xfId="0" applyNumberFormat="1" applyFont="1" applyBorder="1" applyAlignment="1" applyProtection="1">
      <alignment horizontal="left" vertical="center" shrinkToFit="1"/>
    </xf>
    <xf numFmtId="0" fontId="38" fillId="0" borderId="21" xfId="0" applyNumberFormat="1" applyFont="1" applyBorder="1" applyAlignment="1" applyProtection="1">
      <alignment horizontal="left" vertical="center" shrinkToFi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6" fillId="0" borderId="24" xfId="0" applyFont="1" applyBorder="1" applyAlignment="1" applyProtection="1">
      <alignment horizontal="left" vertical="center" wrapText="1"/>
    </xf>
    <xf numFmtId="0" fontId="6" fillId="0" borderId="22" xfId="0" applyFont="1" applyFill="1" applyBorder="1" applyAlignment="1" applyProtection="1">
      <alignment horizontal="left" vertical="center" shrinkToFit="1"/>
    </xf>
    <xf numFmtId="0" fontId="6" fillId="0" borderId="23" xfId="0" applyFont="1" applyFill="1" applyBorder="1" applyAlignment="1" applyProtection="1">
      <alignment horizontal="left" vertical="center" shrinkToFit="1"/>
    </xf>
    <xf numFmtId="0" fontId="6" fillId="0" borderId="24" xfId="0" applyFont="1" applyFill="1" applyBorder="1" applyAlignment="1" applyProtection="1">
      <alignment horizontal="left" vertical="center" shrinkToFit="1"/>
    </xf>
    <xf numFmtId="0" fontId="1" fillId="0" borderId="15" xfId="0" applyFont="1" applyFill="1" applyBorder="1" applyAlignment="1" applyProtection="1">
      <alignment horizontal="left" vertical="top" wrapText="1" shrinkToFit="1"/>
      <protection locked="0"/>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1" fillId="0" borderId="25" xfId="0" applyFont="1" applyFill="1" applyBorder="1" applyAlignment="1" applyProtection="1">
      <alignment horizontal="left" vertical="top" wrapText="1" shrinkToFit="1"/>
      <protection locked="0"/>
    </xf>
    <xf numFmtId="0" fontId="2" fillId="0" borderId="26" xfId="0" applyFont="1" applyFill="1" applyBorder="1" applyAlignment="1" applyProtection="1">
      <alignment horizontal="left" vertical="top" shrinkToFit="1"/>
      <protection locked="0"/>
    </xf>
    <xf numFmtId="0" fontId="2" fillId="0" borderId="16" xfId="0" applyFont="1" applyFill="1" applyBorder="1" applyAlignment="1" applyProtection="1">
      <alignment horizontal="left" vertical="top" shrinkToFit="1"/>
      <protection locked="0"/>
    </xf>
    <xf numFmtId="0" fontId="1" fillId="0" borderId="22" xfId="0" applyFont="1" applyFill="1" applyBorder="1" applyAlignment="1" applyProtection="1">
      <alignment horizontal="left" vertical="top"/>
      <protection locked="0"/>
    </xf>
    <xf numFmtId="0" fontId="4" fillId="0" borderId="23" xfId="0" applyFont="1" applyFill="1" applyBorder="1" applyAlignment="1" applyProtection="1">
      <alignment horizontal="left" vertical="top"/>
      <protection locked="0"/>
    </xf>
    <xf numFmtId="0" fontId="4" fillId="0" borderId="24" xfId="0" applyFont="1" applyFill="1" applyBorder="1" applyAlignment="1" applyProtection="1">
      <alignment horizontal="left" vertical="top"/>
      <protection locked="0"/>
    </xf>
    <xf numFmtId="0" fontId="39" fillId="8" borderId="23" xfId="0" applyFont="1" applyFill="1" applyBorder="1" applyAlignment="1" applyProtection="1">
      <alignment horizontal="center" vertical="center" wrapText="1"/>
      <protection locked="0"/>
    </xf>
    <xf numFmtId="0" fontId="39" fillId="8" borderId="0" xfId="0" applyFont="1" applyFill="1" applyBorder="1" applyAlignment="1" applyProtection="1">
      <alignment horizontal="center" vertical="center" wrapText="1"/>
      <protection locked="0"/>
    </xf>
    <xf numFmtId="0" fontId="4" fillId="0" borderId="15"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21" xfId="0" applyFont="1" applyFill="1" applyBorder="1" applyAlignment="1" applyProtection="1">
      <alignment horizontal="left" vertical="top"/>
      <protection locked="0"/>
    </xf>
    <xf numFmtId="0" fontId="40" fillId="0" borderId="1" xfId="0" applyFont="1" applyFill="1" applyBorder="1" applyAlignment="1" applyProtection="1">
      <alignment horizontal="left" vertical="top" wrapText="1" shrinkToFit="1"/>
      <protection locked="0"/>
    </xf>
    <xf numFmtId="0" fontId="40" fillId="0" borderId="21" xfId="0" applyFont="1" applyFill="1" applyBorder="1" applyAlignment="1" applyProtection="1">
      <alignment horizontal="left" vertical="top" wrapText="1" shrinkToFit="1"/>
      <protection locked="0"/>
    </xf>
    <xf numFmtId="0" fontId="38" fillId="3" borderId="15" xfId="0" applyFont="1" applyFill="1" applyBorder="1" applyAlignment="1" applyProtection="1">
      <alignment horizontal="left" vertical="center" shrinkToFit="1"/>
    </xf>
    <xf numFmtId="0" fontId="38" fillId="3" borderId="1" xfId="0" applyFont="1" applyFill="1" applyBorder="1" applyAlignment="1" applyProtection="1">
      <alignment horizontal="left" vertical="center" shrinkToFit="1"/>
    </xf>
    <xf numFmtId="0" fontId="38" fillId="3" borderId="21" xfId="0" applyFont="1" applyFill="1" applyBorder="1" applyAlignment="1" applyProtection="1">
      <alignment horizontal="left" vertical="center" shrinkToFit="1"/>
    </xf>
    <xf numFmtId="0" fontId="6" fillId="3" borderId="22"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wrapText="1"/>
    </xf>
    <xf numFmtId="0" fontId="6" fillId="3" borderId="24" xfId="0" applyFont="1" applyFill="1" applyBorder="1" applyAlignment="1" applyProtection="1">
      <alignment horizontal="left" vertical="center" wrapText="1"/>
    </xf>
    <xf numFmtId="0" fontId="6" fillId="3" borderId="22" xfId="0" applyFont="1" applyFill="1" applyBorder="1" applyAlignment="1" applyProtection="1">
      <alignment horizontal="left" vertical="center" shrinkToFit="1"/>
    </xf>
    <xf numFmtId="0" fontId="6" fillId="3" borderId="23" xfId="0" applyFont="1" applyFill="1" applyBorder="1" applyAlignment="1" applyProtection="1">
      <alignment horizontal="left" vertical="center" shrinkToFit="1"/>
    </xf>
    <xf numFmtId="0" fontId="6" fillId="3" borderId="24" xfId="0" applyFont="1" applyFill="1" applyBorder="1" applyAlignment="1" applyProtection="1">
      <alignment horizontal="left" vertical="center" shrinkToFit="1"/>
    </xf>
    <xf numFmtId="49" fontId="1" fillId="0" borderId="25" xfId="0" applyNumberFormat="1" applyFont="1" applyFill="1" applyBorder="1" applyAlignment="1" applyProtection="1">
      <alignment horizontal="left" vertical="center" wrapText="1"/>
      <protection locked="0"/>
    </xf>
    <xf numFmtId="49" fontId="4" fillId="0" borderId="26" xfId="0" applyNumberFormat="1" applyFont="1" applyFill="1" applyBorder="1" applyAlignment="1" applyProtection="1">
      <alignment horizontal="left" vertical="center" wrapText="1"/>
      <protection locked="0"/>
    </xf>
    <xf numFmtId="49" fontId="4" fillId="0" borderId="16" xfId="0" applyNumberFormat="1" applyFont="1" applyFill="1" applyBorder="1" applyAlignment="1" applyProtection="1">
      <alignment horizontal="left" vertical="center" wrapText="1"/>
      <protection locked="0"/>
    </xf>
    <xf numFmtId="0" fontId="37" fillId="6" borderId="10" xfId="0" applyFont="1" applyFill="1" applyBorder="1" applyAlignment="1">
      <alignment horizontal="center"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16" xfId="0" applyBorder="1" applyAlignment="1">
      <alignment horizontal="left" vertical="center" wrapText="1"/>
    </xf>
    <xf numFmtId="0" fontId="1" fillId="0" borderId="25" xfId="0" applyFont="1" applyBorder="1" applyAlignment="1">
      <alignment horizontal="left" vertical="center" wrapText="1"/>
    </xf>
    <xf numFmtId="0" fontId="8" fillId="2" borderId="10" xfId="0" applyFont="1" applyFill="1" applyBorder="1" applyAlignment="1" applyProtection="1">
      <alignment horizontal="center" vertical="center" wrapText="1"/>
      <protection locked="0"/>
    </xf>
    <xf numFmtId="49" fontId="4"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49" fontId="4" fillId="0" borderId="10" xfId="0" applyNumberFormat="1" applyFont="1" applyFill="1" applyBorder="1" applyAlignment="1" applyProtection="1">
      <alignment vertical="center" wrapText="1"/>
      <protection locked="0"/>
    </xf>
    <xf numFmtId="0" fontId="0" fillId="0" borderId="10" xfId="0" applyBorder="1" applyAlignment="1">
      <alignment horizontal="center" vertical="center" wrapText="1"/>
    </xf>
    <xf numFmtId="49" fontId="4"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lignment horizontal="center" vertical="center" wrapText="1"/>
    </xf>
    <xf numFmtId="49" fontId="1" fillId="0" borderId="10" xfId="0" applyNumberFormat="1" applyFont="1" applyFill="1" applyBorder="1" applyAlignment="1" applyProtection="1">
      <alignment horizontal="left" vertical="center" wrapText="1"/>
      <protection locked="0"/>
    </xf>
    <xf numFmtId="49" fontId="4" fillId="0" borderId="10" xfId="0" applyNumberFormat="1" applyFont="1" applyFill="1" applyBorder="1" applyAlignment="1">
      <alignment horizontal="left" vertical="center" wrapText="1"/>
    </xf>
    <xf numFmtId="49" fontId="5" fillId="0" borderId="0" xfId="0" applyNumberFormat="1" applyFont="1" applyFill="1" applyAlignment="1" applyProtection="1">
      <alignment horizontal="left" vertical="top" wrapText="1"/>
      <protection locked="0"/>
    </xf>
    <xf numFmtId="49" fontId="1" fillId="0" borderId="10" xfId="0" applyNumberFormat="1" applyFont="1" applyFill="1" applyBorder="1" applyAlignment="1" applyProtection="1">
      <alignment horizontal="center" vertical="center" wrapText="1"/>
      <protection locked="0"/>
    </xf>
    <xf numFmtId="0" fontId="11" fillId="3" borderId="15"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1" xfId="0" applyFont="1" applyFill="1" applyBorder="1" applyAlignment="1" applyProtection="1">
      <alignment horizontal="left" vertical="center" shrinkToFit="1"/>
    </xf>
    <xf numFmtId="4" fontId="38" fillId="3" borderId="15" xfId="0" applyNumberFormat="1" applyFont="1" applyFill="1" applyBorder="1" applyAlignment="1" applyProtection="1">
      <alignment horizontal="left" vertical="center" shrinkToFit="1"/>
    </xf>
    <xf numFmtId="4" fontId="38" fillId="3" borderId="1" xfId="0" applyNumberFormat="1" applyFont="1" applyFill="1" applyBorder="1" applyAlignment="1" applyProtection="1">
      <alignment horizontal="left" vertical="center" shrinkToFit="1"/>
    </xf>
    <xf numFmtId="4" fontId="38" fillId="3" borderId="21" xfId="0" applyNumberFormat="1"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left" vertical="top" wrapText="1"/>
      <protection locked="0"/>
    </xf>
    <xf numFmtId="0" fontId="9" fillId="5" borderId="6" xfId="0" applyFont="1" applyFill="1" applyBorder="1" applyAlignment="1">
      <alignment horizontal="left"/>
    </xf>
    <xf numFmtId="0" fontId="1" fillId="5" borderId="27" xfId="0" applyFont="1" applyFill="1" applyBorder="1" applyAlignment="1">
      <alignment horizontal="left"/>
    </xf>
    <xf numFmtId="0" fontId="1" fillId="5" borderId="28" xfId="0" applyFont="1" applyFill="1" applyBorder="1" applyAlignment="1">
      <alignment horizontal="left"/>
    </xf>
    <xf numFmtId="0" fontId="1" fillId="5" borderId="6" xfId="0" applyFont="1" applyFill="1" applyBorder="1" applyAlignment="1">
      <alignment horizontal="left" vertical="top"/>
    </xf>
    <xf numFmtId="0" fontId="1" fillId="5" borderId="27" xfId="0" applyFont="1" applyFill="1" applyBorder="1" applyAlignment="1">
      <alignment horizontal="left" vertical="top"/>
    </xf>
    <xf numFmtId="0" fontId="1" fillId="5" borderId="28" xfId="0" applyFont="1" applyFill="1" applyBorder="1" applyAlignment="1">
      <alignment horizontal="left" vertical="top"/>
    </xf>
    <xf numFmtId="0" fontId="37" fillId="6" borderId="29" xfId="0" applyFont="1" applyFill="1" applyBorder="1" applyAlignment="1">
      <alignment horizontal="center" wrapText="1"/>
    </xf>
    <xf numFmtId="0" fontId="37" fillId="6" borderId="30" xfId="0" applyFont="1" applyFill="1" applyBorder="1" applyAlignment="1">
      <alignment horizontal="center" wrapText="1"/>
    </xf>
    <xf numFmtId="0" fontId="37" fillId="6" borderId="31" xfId="0" applyFont="1" applyFill="1" applyBorder="1" applyAlignment="1">
      <alignment horizontal="center" wrapText="1"/>
    </xf>
    <xf numFmtId="0" fontId="1" fillId="5" borderId="25" xfId="2" applyFill="1" applyBorder="1" applyAlignment="1">
      <alignment horizontal="left" vertical="center" wrapText="1" shrinkToFit="1"/>
    </xf>
    <xf numFmtId="0" fontId="1" fillId="5" borderId="26" xfId="2" applyFill="1" applyBorder="1" applyAlignment="1">
      <alignment horizontal="left" vertical="center" wrapText="1" shrinkToFit="1"/>
    </xf>
    <xf numFmtId="0" fontId="1" fillId="5" borderId="16" xfId="2" applyFill="1" applyBorder="1" applyAlignment="1">
      <alignment horizontal="left" vertical="center" wrapText="1" shrinkToFit="1"/>
    </xf>
    <xf numFmtId="0" fontId="1" fillId="5" borderId="10" xfId="2" applyFont="1" applyFill="1" applyBorder="1" applyAlignment="1">
      <alignment horizontal="left" vertical="top" wrapText="1" shrinkToFit="1"/>
    </xf>
    <xf numFmtId="0" fontId="37" fillId="6" borderId="34" xfId="0" applyFont="1" applyFill="1" applyBorder="1" applyAlignment="1">
      <alignment horizontal="left" vertical="center" wrapText="1"/>
    </xf>
    <xf numFmtId="0" fontId="37" fillId="6" borderId="36" xfId="0" applyFont="1" applyFill="1" applyBorder="1" applyAlignment="1">
      <alignment horizontal="left" vertical="center" wrapText="1"/>
    </xf>
    <xf numFmtId="49" fontId="1" fillId="5" borderId="25" xfId="2" applyNumberFormat="1" applyFill="1" applyBorder="1" applyAlignment="1">
      <alignment horizontal="left" vertical="center" wrapText="1" shrinkToFit="1"/>
    </xf>
    <xf numFmtId="49" fontId="1" fillId="5" borderId="26" xfId="2" applyNumberFormat="1" applyFill="1" applyBorder="1" applyAlignment="1">
      <alignment horizontal="left" vertical="center" wrapText="1" shrinkToFit="1"/>
    </xf>
    <xf numFmtId="49" fontId="1" fillId="5" borderId="16" xfId="2" applyNumberFormat="1" applyFill="1" applyBorder="1" applyAlignment="1">
      <alignment horizontal="left" vertical="center" wrapText="1" shrinkToFit="1"/>
    </xf>
    <xf numFmtId="0" fontId="1" fillId="5" borderId="25" xfId="2" applyFont="1" applyFill="1" applyBorder="1" applyAlignment="1">
      <alignment horizontal="left" vertical="top" wrapText="1" shrinkToFit="1"/>
    </xf>
    <xf numFmtId="0" fontId="1" fillId="5" borderId="26"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1" fillId="5" borderId="32" xfId="0" applyFont="1" applyFill="1" applyBorder="1" applyAlignment="1">
      <alignment horizontal="left" vertical="top" wrapText="1" shrinkToFit="1"/>
    </xf>
    <xf numFmtId="0" fontId="1" fillId="5" borderId="33" xfId="0" applyFont="1" applyFill="1" applyBorder="1" applyAlignment="1">
      <alignment horizontal="left" vertical="top" wrapText="1" shrinkToFit="1"/>
    </xf>
    <xf numFmtId="0" fontId="1" fillId="5" borderId="34" xfId="0" applyFont="1" applyFill="1" applyBorder="1" applyAlignment="1">
      <alignment horizontal="left" vertical="top" wrapText="1" shrinkToFit="1"/>
    </xf>
    <xf numFmtId="0" fontId="1" fillId="5" borderId="35" xfId="0" applyFont="1" applyFill="1" applyBorder="1" applyAlignment="1">
      <alignment horizontal="left" vertical="top" wrapText="1" shrinkToFit="1"/>
    </xf>
    <xf numFmtId="0" fontId="1" fillId="5" borderId="0"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37" xfId="0" applyFont="1" applyFill="1" applyBorder="1" applyAlignment="1">
      <alignment horizontal="left" vertical="top" wrapText="1" shrinkToFit="1"/>
    </xf>
    <xf numFmtId="0" fontId="1" fillId="5" borderId="38" xfId="0" applyFont="1" applyFill="1" applyBorder="1" applyAlignment="1">
      <alignment horizontal="left" vertical="top" wrapText="1" shrinkToFit="1"/>
    </xf>
    <xf numFmtId="0" fontId="1" fillId="5" borderId="39" xfId="0" applyFont="1" applyFill="1" applyBorder="1" applyAlignment="1">
      <alignment horizontal="left" vertical="top" wrapText="1" shrinkToFit="1"/>
    </xf>
    <xf numFmtId="0" fontId="1" fillId="5" borderId="14" xfId="2" applyFont="1" applyFill="1" applyBorder="1" applyAlignment="1">
      <alignment horizontal="left" vertical="top" wrapText="1" shrinkToFit="1"/>
    </xf>
    <xf numFmtId="0" fontId="1" fillId="5" borderId="40" xfId="2" applyFont="1" applyFill="1" applyBorder="1" applyAlignment="1">
      <alignment horizontal="left" vertical="top" wrapText="1" shrinkToFit="1"/>
    </xf>
    <xf numFmtId="0" fontId="1" fillId="5" borderId="41" xfId="2" applyFont="1" applyFill="1" applyBorder="1" applyAlignment="1">
      <alignment horizontal="left" vertical="top" wrapText="1" shrinkToFit="1"/>
    </xf>
    <xf numFmtId="0" fontId="1" fillId="5" borderId="42" xfId="2" applyFont="1" applyFill="1" applyBorder="1" applyAlignment="1">
      <alignment horizontal="left" vertical="top" wrapText="1" shrinkToFit="1"/>
    </xf>
    <xf numFmtId="0" fontId="1" fillId="5" borderId="6" xfId="0" applyFont="1" applyFill="1" applyBorder="1" applyAlignment="1">
      <alignment horizontal="left" vertical="top" wrapText="1"/>
    </xf>
    <xf numFmtId="0" fontId="1" fillId="5" borderId="27" xfId="0" applyFont="1" applyFill="1" applyBorder="1" applyAlignment="1">
      <alignment horizontal="left" vertical="top" wrapText="1"/>
    </xf>
    <xf numFmtId="0" fontId="1" fillId="5" borderId="28" xfId="0" applyFont="1" applyFill="1" applyBorder="1" applyAlignment="1">
      <alignment horizontal="left" vertical="top" wrapText="1"/>
    </xf>
    <xf numFmtId="49" fontId="1" fillId="5" borderId="25" xfId="2" applyNumberFormat="1" applyFill="1" applyBorder="1" applyAlignment="1">
      <alignment horizontal="left" vertical="top" wrapText="1" shrinkToFit="1"/>
    </xf>
    <xf numFmtId="49" fontId="1" fillId="5" borderId="26" xfId="2" applyNumberFormat="1" applyFill="1" applyBorder="1" applyAlignment="1">
      <alignment horizontal="left" vertical="top" wrapText="1" shrinkToFit="1"/>
    </xf>
    <xf numFmtId="49" fontId="1" fillId="5" borderId="16" xfId="2" applyNumberFormat="1" applyFill="1" applyBorder="1" applyAlignment="1">
      <alignment horizontal="left" vertical="top" wrapText="1" shrinkToFit="1"/>
    </xf>
    <xf numFmtId="0" fontId="9" fillId="5" borderId="27" xfId="0" applyFont="1" applyFill="1" applyBorder="1" applyAlignment="1">
      <alignment horizontal="left"/>
    </xf>
    <xf numFmtId="0" fontId="9" fillId="5" borderId="28" xfId="0" applyFont="1" applyFill="1" applyBorder="1" applyAlignment="1">
      <alignment horizontal="left"/>
    </xf>
  </cellXfs>
  <cellStyles count="3">
    <cellStyle name="Hyperlink" xfId="1" builtinId="8"/>
    <cellStyle name="Normal" xfId="0" builtinId="0"/>
    <cellStyle name="Normal 2" xfId="2" xr:uid="{00000000-0005-0000-0000-000002000000}"/>
  </cellStyles>
  <dxfs count="282">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0.66666666666666663</c:v>
                </c:pt>
                <c:pt idx="1">
                  <c:v>0.33333333333333331</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EC3B1DB7-EFD0-4450-A4A6-37F30917EA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C873E46E-CC37-47C9-B846-1DF96BCE9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B18CBB95-9994-499B-BF63-42E7193B7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773197C6-D8B1-4205-A2F6-3F6FDCBCEC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3B8DEE3C-F3F6-4252-8DA4-4575A22FE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Z21" sqref="Z21"/>
    </sheetView>
  </sheetViews>
  <sheetFormatPr defaultColWidth="0" defaultRowHeight="13.2" zeroHeight="1" x14ac:dyDescent="0.25"/>
  <cols>
    <col min="1" max="33" width="2.664062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PMP - Software Integration Test Specification Report.xlsm</v>
      </c>
      <c r="AE3" s="8"/>
      <c r="AF3" s="8"/>
      <c r="AG3" s="8"/>
      <c r="AH3" s="8"/>
      <c r="AI3" s="8"/>
      <c r="AJ3" s="8"/>
      <c r="AK3" s="8"/>
    </row>
    <row r="4" spans="1:37" s="7" customFormat="1" ht="11.1" customHeight="1" x14ac:dyDescent="0.25">
      <c r="A4" s="126" t="s">
        <v>0</v>
      </c>
      <c r="B4" s="127"/>
      <c r="C4" s="127"/>
      <c r="D4" s="127"/>
      <c r="E4" s="127"/>
      <c r="F4" s="127"/>
      <c r="G4" s="127"/>
      <c r="H4" s="127"/>
      <c r="I4" s="127"/>
      <c r="J4" s="127"/>
      <c r="K4" s="127"/>
      <c r="L4" s="127"/>
      <c r="M4" s="127"/>
      <c r="N4" s="127"/>
      <c r="O4" s="127"/>
      <c r="P4" s="127"/>
      <c r="Q4" s="127"/>
      <c r="R4" s="127"/>
      <c r="S4" s="127"/>
      <c r="T4" s="127"/>
      <c r="U4" s="127"/>
      <c r="V4" s="128"/>
      <c r="W4" s="140" t="s">
        <v>1</v>
      </c>
      <c r="X4" s="141"/>
      <c r="Y4" s="141"/>
      <c r="Z4" s="141"/>
      <c r="AA4" s="142"/>
      <c r="AB4" s="143" t="s">
        <v>19</v>
      </c>
      <c r="AC4" s="144"/>
      <c r="AD4" s="144"/>
      <c r="AE4" s="144"/>
      <c r="AF4" s="144"/>
      <c r="AG4" s="145"/>
      <c r="AH4" s="10"/>
      <c r="AI4" s="10"/>
      <c r="AJ4" s="10"/>
      <c r="AK4" s="8"/>
    </row>
    <row r="5" spans="1:37" s="12" customFormat="1" ht="12.75" customHeight="1" x14ac:dyDescent="0.25">
      <c r="A5" s="120" t="s">
        <v>124</v>
      </c>
      <c r="B5" s="121"/>
      <c r="C5" s="121"/>
      <c r="D5" s="121"/>
      <c r="E5" s="121"/>
      <c r="F5" s="121"/>
      <c r="G5" s="121"/>
      <c r="H5" s="121"/>
      <c r="I5" s="121"/>
      <c r="J5" s="121"/>
      <c r="K5" s="121"/>
      <c r="L5" s="121"/>
      <c r="M5" s="121"/>
      <c r="N5" s="121"/>
      <c r="O5" s="121"/>
      <c r="P5" s="121"/>
      <c r="Q5" s="121"/>
      <c r="R5" s="121"/>
      <c r="S5" s="121"/>
      <c r="T5" s="121"/>
      <c r="U5" s="121"/>
      <c r="V5" s="122"/>
      <c r="W5" s="120" t="s">
        <v>266</v>
      </c>
      <c r="X5" s="121"/>
      <c r="Y5" s="121"/>
      <c r="Z5" s="121"/>
      <c r="AA5" s="122"/>
      <c r="AB5" s="120" t="s">
        <v>267</v>
      </c>
      <c r="AC5" s="121"/>
      <c r="AD5" s="121"/>
      <c r="AE5" s="121"/>
      <c r="AF5" s="121"/>
      <c r="AG5" s="122"/>
      <c r="AH5" s="11"/>
      <c r="AI5" s="11"/>
      <c r="AJ5" s="11"/>
      <c r="AK5" s="11"/>
    </row>
    <row r="6" spans="1:37" s="45" customFormat="1" ht="11.1" customHeight="1" x14ac:dyDescent="0.25">
      <c r="A6" s="140" t="s">
        <v>2</v>
      </c>
      <c r="B6" s="141"/>
      <c r="C6" s="141"/>
      <c r="D6" s="142"/>
      <c r="E6" s="140" t="s">
        <v>3</v>
      </c>
      <c r="F6" s="141"/>
      <c r="G6" s="141"/>
      <c r="H6" s="141"/>
      <c r="I6" s="141"/>
      <c r="J6" s="141"/>
      <c r="K6" s="141"/>
      <c r="L6" s="141"/>
      <c r="M6" s="141"/>
      <c r="N6" s="141"/>
      <c r="O6" s="141"/>
      <c r="P6" s="141"/>
      <c r="Q6" s="141"/>
      <c r="R6" s="141"/>
      <c r="S6" s="141"/>
      <c r="T6" s="141"/>
      <c r="U6" s="141"/>
      <c r="V6" s="142"/>
      <c r="W6" s="126" t="s">
        <v>14</v>
      </c>
      <c r="X6" s="127"/>
      <c r="Y6" s="127"/>
      <c r="Z6" s="127"/>
      <c r="AA6" s="128"/>
      <c r="AB6" s="140"/>
      <c r="AC6" s="141"/>
      <c r="AD6" s="142"/>
      <c r="AE6" s="140" t="s">
        <v>4</v>
      </c>
      <c r="AF6" s="141"/>
      <c r="AG6" s="142"/>
      <c r="AH6" s="44"/>
      <c r="AI6" s="44"/>
      <c r="AJ6" s="44"/>
      <c r="AK6" s="44"/>
    </row>
    <row r="7" spans="1:37" s="14" customFormat="1" ht="12.75" customHeight="1" x14ac:dyDescent="0.25">
      <c r="A7" s="120" t="s">
        <v>127</v>
      </c>
      <c r="B7" s="121"/>
      <c r="C7" s="121"/>
      <c r="D7" s="122"/>
      <c r="E7" s="120" t="s">
        <v>134</v>
      </c>
      <c r="F7" s="121"/>
      <c r="G7" s="121"/>
      <c r="H7" s="121"/>
      <c r="I7" s="121"/>
      <c r="J7" s="121"/>
      <c r="K7" s="121"/>
      <c r="L7" s="121"/>
      <c r="M7" s="121"/>
      <c r="N7" s="121"/>
      <c r="O7" s="121"/>
      <c r="P7" s="121"/>
      <c r="Q7" s="121"/>
      <c r="R7" s="121"/>
      <c r="S7" s="121"/>
      <c r="T7" s="121"/>
      <c r="U7" s="121"/>
      <c r="V7" s="122"/>
      <c r="W7" s="120" t="str">
        <f ca="1" xml:space="preserve"> IFERROR(IF([1]!alvDocProperty("MXDocTemplate_Name")="","SW04TEM001",[1]!alvDocProperty("MXDocTemplate_Name")),"SW04TEM001")</f>
        <v>SW04TEM001</v>
      </c>
      <c r="X7" s="121"/>
      <c r="Y7" s="121"/>
      <c r="Z7" s="121"/>
      <c r="AA7" s="122"/>
      <c r="AB7" s="120"/>
      <c r="AC7" s="121"/>
      <c r="AD7" s="122"/>
      <c r="AE7" s="137">
        <v>1.1000000000000001</v>
      </c>
      <c r="AF7" s="138"/>
      <c r="AG7" s="139"/>
      <c r="AH7" s="13"/>
      <c r="AI7" s="13"/>
      <c r="AJ7" s="13"/>
      <c r="AK7" s="13"/>
    </row>
    <row r="8" spans="1:37" s="12" customFormat="1" x14ac:dyDescent="0.25">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5">
      <c r="A9" s="131" t="s">
        <v>20</v>
      </c>
      <c r="B9" s="132"/>
      <c r="C9" s="132"/>
      <c r="D9" s="132"/>
      <c r="E9" s="132"/>
      <c r="F9" s="132"/>
      <c r="G9" s="132"/>
      <c r="H9" s="132"/>
      <c r="I9" s="132"/>
      <c r="J9" s="132"/>
      <c r="K9" s="133"/>
      <c r="L9" s="131" t="s">
        <v>21</v>
      </c>
      <c r="M9" s="132"/>
      <c r="N9" s="132"/>
      <c r="O9" s="132"/>
      <c r="P9" s="132"/>
      <c r="Q9" s="132"/>
      <c r="R9" s="132"/>
      <c r="S9" s="132"/>
      <c r="T9" s="132"/>
      <c r="U9" s="132"/>
      <c r="V9" s="133"/>
      <c r="W9" s="131" t="s">
        <v>22</v>
      </c>
      <c r="X9" s="132"/>
      <c r="Y9" s="132"/>
      <c r="Z9" s="132"/>
      <c r="AA9" s="132"/>
      <c r="AB9" s="132"/>
      <c r="AC9" s="132"/>
      <c r="AD9" s="132"/>
      <c r="AE9" s="132"/>
      <c r="AF9" s="132"/>
      <c r="AG9" s="133"/>
      <c r="AH9" s="15"/>
      <c r="AI9" s="15"/>
    </row>
    <row r="10" spans="1:37" s="49" customFormat="1" ht="28.5" customHeight="1" x14ac:dyDescent="0.25">
      <c r="A10" s="129" t="s">
        <v>135</v>
      </c>
      <c r="B10" s="130"/>
      <c r="C10" s="130"/>
      <c r="D10" s="130"/>
      <c r="E10" s="130"/>
      <c r="F10" s="160" t="s">
        <v>268</v>
      </c>
      <c r="G10" s="160"/>
      <c r="H10" s="160"/>
      <c r="I10" s="160"/>
      <c r="J10" s="160"/>
      <c r="K10" s="161"/>
      <c r="L10" s="134" t="s">
        <v>128</v>
      </c>
      <c r="M10" s="135"/>
      <c r="N10" s="135"/>
      <c r="O10" s="135"/>
      <c r="P10" s="135"/>
      <c r="Q10" s="135"/>
      <c r="R10" s="135"/>
      <c r="S10" s="135"/>
      <c r="T10" s="135"/>
      <c r="U10" s="135"/>
      <c r="V10" s="136"/>
      <c r="W10" s="146" t="s">
        <v>128</v>
      </c>
      <c r="X10" s="135"/>
      <c r="Y10" s="135"/>
      <c r="Z10" s="135"/>
      <c r="AA10" s="135"/>
      <c r="AB10" s="135"/>
      <c r="AC10" s="135"/>
      <c r="AD10" s="135"/>
      <c r="AE10" s="135"/>
      <c r="AF10" s="135"/>
      <c r="AG10" s="136"/>
      <c r="AH10" s="48"/>
      <c r="AI10" s="48"/>
    </row>
    <row r="11" spans="1:37" s="55" customFormat="1" ht="4.5" customHeight="1" x14ac:dyDescent="0.25">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5">
      <c r="A12" s="123" t="s">
        <v>23</v>
      </c>
      <c r="B12" s="124"/>
      <c r="C12" s="124"/>
      <c r="D12" s="124"/>
      <c r="E12" s="124"/>
      <c r="F12" s="124"/>
      <c r="G12" s="124"/>
      <c r="H12" s="124"/>
      <c r="I12" s="124"/>
      <c r="J12" s="124"/>
      <c r="K12" s="124"/>
      <c r="L12" s="124"/>
      <c r="M12" s="124"/>
      <c r="N12" s="124"/>
      <c r="O12" s="124"/>
      <c r="P12" s="124"/>
      <c r="Q12" s="124"/>
      <c r="R12" s="124"/>
      <c r="S12" s="124"/>
      <c r="T12" s="124"/>
      <c r="U12" s="124"/>
      <c r="V12" s="124"/>
      <c r="W12" s="124"/>
      <c r="X12" s="124"/>
      <c r="Y12" s="124"/>
      <c r="Z12" s="124"/>
      <c r="AA12" s="124"/>
      <c r="AB12" s="124"/>
      <c r="AC12" s="124"/>
      <c r="AD12" s="124"/>
      <c r="AE12" s="124"/>
      <c r="AF12" s="124"/>
      <c r="AG12" s="125"/>
      <c r="AH12" s="15"/>
      <c r="AI12" s="15"/>
      <c r="AJ12" s="15"/>
      <c r="AK12" s="15"/>
    </row>
    <row r="13" spans="1:37" s="49" customFormat="1" ht="28.5" customHeight="1" x14ac:dyDescent="0.25">
      <c r="A13" s="149" t="s">
        <v>128</v>
      </c>
      <c r="B13" s="150"/>
      <c r="C13" s="150"/>
      <c r="D13" s="150"/>
      <c r="E13" s="150"/>
      <c r="F13" s="150"/>
      <c r="G13" s="150"/>
      <c r="H13" s="150"/>
      <c r="I13" s="150"/>
      <c r="J13" s="150"/>
      <c r="K13" s="151"/>
      <c r="L13" s="146" t="s">
        <v>128</v>
      </c>
      <c r="M13" s="135"/>
      <c r="N13" s="135"/>
      <c r="O13" s="135"/>
      <c r="P13" s="135"/>
      <c r="Q13" s="135"/>
      <c r="R13" s="135"/>
      <c r="S13" s="135"/>
      <c r="T13" s="135"/>
      <c r="U13" s="135"/>
      <c r="V13" s="136"/>
      <c r="W13" s="149" t="s">
        <v>128</v>
      </c>
      <c r="X13" s="150"/>
      <c r="Y13" s="150"/>
      <c r="Z13" s="150"/>
      <c r="AA13" s="150"/>
      <c r="AB13" s="150"/>
      <c r="AC13" s="150"/>
      <c r="AD13" s="150"/>
      <c r="AE13" s="150"/>
      <c r="AF13" s="150"/>
      <c r="AG13" s="151"/>
      <c r="AH13" s="48"/>
      <c r="AI13" s="48"/>
      <c r="AJ13" s="48"/>
      <c r="AK13" s="48"/>
    </row>
    <row r="14" spans="1:37" s="55" customFormat="1" ht="4.5" customHeight="1" x14ac:dyDescent="0.25">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37.5" customHeight="1" x14ac:dyDescent="0.25">
      <c r="A15" s="155" t="s">
        <v>24</v>
      </c>
      <c r="B15" s="155"/>
      <c r="C15" s="155"/>
      <c r="D15" s="155"/>
      <c r="E15" s="152" t="s">
        <v>316</v>
      </c>
      <c r="F15" s="153"/>
      <c r="G15" s="153"/>
      <c r="H15" s="153"/>
      <c r="I15" s="153"/>
      <c r="J15" s="153"/>
      <c r="K15" s="153"/>
      <c r="L15" s="153"/>
      <c r="M15" s="153"/>
      <c r="N15" s="153"/>
      <c r="O15" s="153"/>
      <c r="P15" s="153"/>
      <c r="Q15" s="153"/>
      <c r="R15" s="153"/>
      <c r="S15" s="153"/>
      <c r="T15" s="153"/>
      <c r="U15" s="153"/>
      <c r="V15" s="153"/>
      <c r="W15" s="153"/>
      <c r="X15" s="153"/>
      <c r="Y15" s="153"/>
      <c r="Z15" s="153"/>
      <c r="AA15" s="153"/>
      <c r="AB15" s="153"/>
      <c r="AC15" s="153"/>
      <c r="AD15" s="153"/>
      <c r="AE15" s="153"/>
      <c r="AF15" s="153"/>
      <c r="AG15" s="154"/>
      <c r="AH15" s="17"/>
      <c r="AI15" s="17"/>
      <c r="AJ15" s="17"/>
      <c r="AK15" s="17"/>
    </row>
    <row r="16" spans="1:37" s="18" customFormat="1" ht="37.5" customHeight="1" x14ac:dyDescent="0.25">
      <c r="A16" s="156"/>
      <c r="B16" s="156"/>
      <c r="C16" s="156"/>
      <c r="D16" s="156"/>
      <c r="E16" s="157"/>
      <c r="F16" s="158"/>
      <c r="G16" s="158"/>
      <c r="H16" s="158"/>
      <c r="I16" s="158"/>
      <c r="J16" s="158"/>
      <c r="K16" s="158"/>
      <c r="L16" s="158"/>
      <c r="M16" s="158"/>
      <c r="N16" s="158"/>
      <c r="O16" s="158"/>
      <c r="P16" s="158"/>
      <c r="Q16" s="158"/>
      <c r="R16" s="158"/>
      <c r="S16" s="158"/>
      <c r="T16" s="158"/>
      <c r="U16" s="158"/>
      <c r="V16" s="158"/>
      <c r="W16" s="158"/>
      <c r="X16" s="158"/>
      <c r="Y16" s="158"/>
      <c r="Z16" s="158"/>
      <c r="AA16" s="158"/>
      <c r="AB16" s="158"/>
      <c r="AC16" s="158"/>
      <c r="AD16" s="158"/>
      <c r="AE16" s="158"/>
      <c r="AF16" s="158"/>
      <c r="AG16" s="159"/>
      <c r="AH16" s="17"/>
      <c r="AI16" s="17"/>
      <c r="AJ16" s="17"/>
      <c r="AK16" s="17"/>
    </row>
    <row r="17" spans="1:37" s="18" customFormat="1" x14ac:dyDescent="0.25">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5">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5">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5">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5">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5">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5">
      <c r="A23" s="147" t="str">
        <f>MXTitle</f>
        <v>PMP - Software Integration Test Specification Report.xls</v>
      </c>
      <c r="B23" s="148"/>
      <c r="C23" s="148"/>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148"/>
      <c r="AB23" s="148"/>
      <c r="AC23" s="148"/>
      <c r="AD23" s="148"/>
      <c r="AE23" s="148"/>
      <c r="AF23" s="148"/>
      <c r="AG23" s="148"/>
      <c r="AH23" s="17"/>
      <c r="AI23" s="17"/>
      <c r="AJ23" s="17"/>
      <c r="AK23" s="17"/>
    </row>
    <row r="24" spans="1:37" s="18" customFormat="1" ht="24.6" x14ac:dyDescent="0.25">
      <c r="C24" s="17"/>
      <c r="D24" s="17"/>
      <c r="E24" s="17"/>
      <c r="F24" s="17"/>
      <c r="G24" s="17"/>
      <c r="H24" s="17"/>
      <c r="I24" s="17"/>
      <c r="J24" s="17"/>
      <c r="K24" s="17"/>
      <c r="L24" s="17"/>
      <c r="M24" s="17"/>
      <c r="N24" s="17"/>
      <c r="O24" s="17"/>
      <c r="P24" s="17"/>
      <c r="Q24" s="57"/>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5">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5"/>
  </sheetData>
  <sheetProtection formatCells="0" formatRows="0" insertColumns="0" insertRows="0" insertHyperlinks="0" deleteRows="0" selectLockedCells="1" sort="0" autoFilter="0" pivotTables="0"/>
  <dataConsolidate/>
  <mergeCells count="31">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s>
  <phoneticPr fontId="3" type="noConversion"/>
  <conditionalFormatting sqref="W5:AA5">
    <cfRule type="cellIs" dxfId="281" priority="1" operator="equal">
      <formula>"In-Work"</formula>
    </cfRule>
    <cfRule type="cellIs" dxfId="280" priority="2" stopIfTrue="1" operator="equal">
      <formula>"draft"</formula>
    </cfRule>
    <cfRule type="cellIs" dxfId="279" priority="3" operator="equal">
      <formula>"In-Work"</formula>
    </cfRule>
    <cfRule type="cellIs" dxfId="278" priority="4" stopIfTrue="1" operator="equal">
      <formula>"draft"</formula>
    </cfRule>
    <cfRule type="cellIs" dxfId="277" priority="5" operator="equal">
      <formula>"In-Work"</formula>
    </cfRule>
    <cfRule type="cellIs" dxfId="276" priority="6" stopIfTrue="1" operator="equal">
      <formula>"draft"</formula>
    </cfRule>
    <cfRule type="cellIs" dxfId="275" priority="7" operator="equal">
      <formula>"In-Work"</formula>
    </cfRule>
    <cfRule type="cellIs" dxfId="274" priority="8" stopIfTrue="1" operator="equal">
      <formula>"draft"</formula>
    </cfRule>
    <cfRule type="cellIs" dxfId="273" priority="9" operator="equal">
      <formula>"In-Work"</formula>
    </cfRule>
    <cfRule type="cellIs" dxfId="272" priority="10" stopIfTrue="1" operator="equal">
      <formula>"draft"</formula>
    </cfRule>
    <cfRule type="cellIs" dxfId="271" priority="11" operator="equal">
      <formula>"In-Work"</formula>
    </cfRule>
    <cfRule type="cellIs" dxfId="270" priority="12" stopIfTrue="1" operator="equal">
      <formula>"draft"</formula>
    </cfRule>
    <cfRule type="cellIs" dxfId="269" priority="13" operator="equal">
      <formula>"In-Work"</formula>
    </cfRule>
    <cfRule type="cellIs" dxfId="268" priority="14" stopIfTrue="1" operator="equal">
      <formula>"draft"</formula>
    </cfRule>
    <cfRule type="cellIs" dxfId="267" priority="15" operator="equal">
      <formula>"In-Work"</formula>
    </cfRule>
    <cfRule type="cellIs" dxfId="266" priority="16" stopIfTrue="1" operator="equal">
      <formula>"draft"</formula>
    </cfRule>
    <cfRule type="cellIs" dxfId="265" priority="17" operator="equal">
      <formula>"In-Work"</formula>
    </cfRule>
    <cfRule type="cellIs" dxfId="264" priority="18" stopIfTrue="1" operator="equal">
      <formula>"draft"</formula>
    </cfRule>
    <cfRule type="cellIs" dxfId="263" priority="19" operator="equal">
      <formula>"In-Work"</formula>
    </cfRule>
    <cfRule type="cellIs" dxfId="262" priority="20" stopIfTrue="1" operator="equal">
      <formula>"draft"</formula>
    </cfRule>
    <cfRule type="cellIs" dxfId="261" priority="21" operator="equal">
      <formula>"In-Work"</formula>
    </cfRule>
    <cfRule type="cellIs" dxfId="260" priority="22" stopIfTrue="1" operator="equal">
      <formula>"draft"</formula>
    </cfRule>
    <cfRule type="cellIs" dxfId="259" priority="23" operator="equal">
      <formula>"In-Work"</formula>
    </cfRule>
    <cfRule type="cellIs" dxfId="258" priority="24" stopIfTrue="1" operator="equal">
      <formula>"draft"</formula>
    </cfRule>
    <cfRule type="cellIs" dxfId="257" priority="25" operator="equal">
      <formula>"In-Work"</formula>
    </cfRule>
    <cfRule type="cellIs" dxfId="256" priority="26" stopIfTrue="1" operator="equal">
      <formula>"draft"</formula>
    </cfRule>
    <cfRule type="cellIs" dxfId="255" priority="27" operator="equal">
      <formula>"In-Work"</formula>
    </cfRule>
    <cfRule type="cellIs" dxfId="254" priority="28" stopIfTrue="1" operator="equal">
      <formula>"draft"</formula>
    </cfRule>
    <cfRule type="cellIs" dxfId="253" priority="29" operator="equal">
      <formula>"In-Work"</formula>
    </cfRule>
    <cfRule type="cellIs" dxfId="252" priority="30" stopIfTrue="1" operator="equal">
      <formula>"draft"</formula>
    </cfRule>
    <cfRule type="cellIs" dxfId="251" priority="31" operator="equal">
      <formula>"In-Work"</formula>
    </cfRule>
    <cfRule type="cellIs" dxfId="250" priority="32" stopIfTrue="1" operator="equal">
      <formula>"draft"</formula>
    </cfRule>
    <cfRule type="cellIs" dxfId="249" priority="33" operator="equal">
      <formula>"In-Work"</formula>
    </cfRule>
    <cfRule type="cellIs" dxfId="248" priority="34" stopIfTrue="1" operator="equal">
      <formula>"draft"</formula>
    </cfRule>
    <cfRule type="cellIs" dxfId="247" priority="35" operator="equal">
      <formula>"In-Work"</formula>
    </cfRule>
    <cfRule type="cellIs" dxfId="246" priority="36"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1.1&amp;R&amp;P</oddFooter>
  </headerFooter>
  <ignoredErrors>
    <ignoredError sqref="B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3"/>
  <sheetViews>
    <sheetView showGridLines="0" zoomScaleNormal="100" workbookViewId="0">
      <selection activeCell="A9" sqref="A9:AG9"/>
    </sheetView>
  </sheetViews>
  <sheetFormatPr defaultColWidth="0" defaultRowHeight="13.2" zeroHeight="1" x14ac:dyDescent="0.25"/>
  <cols>
    <col min="1" max="33" width="2.664062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9" t="str">
        <f ca="1">FileName</f>
        <v>PMP - Software Integration Test Specification Report.xlsm</v>
      </c>
      <c r="AE3" s="8"/>
      <c r="AF3" s="8"/>
      <c r="AG3" s="8"/>
      <c r="AH3" s="8"/>
      <c r="AI3" s="8"/>
      <c r="AJ3" s="8"/>
      <c r="AK3" s="8"/>
    </row>
    <row r="4" spans="1:37" s="7" customFormat="1" ht="11.1" customHeight="1" x14ac:dyDescent="0.25">
      <c r="A4" s="126" t="s">
        <v>0</v>
      </c>
      <c r="B4" s="127"/>
      <c r="C4" s="127"/>
      <c r="D4" s="127"/>
      <c r="E4" s="127"/>
      <c r="F4" s="127"/>
      <c r="G4" s="127"/>
      <c r="H4" s="127"/>
      <c r="I4" s="127"/>
      <c r="J4" s="127"/>
      <c r="K4" s="127"/>
      <c r="L4" s="127"/>
      <c r="M4" s="127"/>
      <c r="N4" s="127"/>
      <c r="O4" s="127"/>
      <c r="P4" s="127"/>
      <c r="Q4" s="127"/>
      <c r="R4" s="127"/>
      <c r="S4" s="127"/>
      <c r="T4" s="127"/>
      <c r="U4" s="127"/>
      <c r="V4" s="128"/>
      <c r="W4" s="165" t="s">
        <v>1</v>
      </c>
      <c r="X4" s="166"/>
      <c r="Y4" s="166"/>
      <c r="Z4" s="166"/>
      <c r="AA4" s="167"/>
      <c r="AB4" s="143" t="s">
        <v>19</v>
      </c>
      <c r="AC4" s="144"/>
      <c r="AD4" s="144"/>
      <c r="AE4" s="144"/>
      <c r="AF4" s="144"/>
      <c r="AG4" s="145"/>
      <c r="AH4" s="10"/>
      <c r="AI4" s="10"/>
      <c r="AJ4" s="10"/>
      <c r="AK4" s="8"/>
    </row>
    <row r="5" spans="1:37" s="12" customFormat="1" x14ac:dyDescent="0.25">
      <c r="A5" s="120" t="s">
        <v>124</v>
      </c>
      <c r="B5" s="121"/>
      <c r="C5" s="121"/>
      <c r="D5" s="121"/>
      <c r="E5" s="121"/>
      <c r="F5" s="121"/>
      <c r="G5" s="121"/>
      <c r="H5" s="121"/>
      <c r="I5" s="121"/>
      <c r="J5" s="121"/>
      <c r="K5" s="121"/>
      <c r="L5" s="121"/>
      <c r="M5" s="121"/>
      <c r="N5" s="121"/>
      <c r="O5" s="121"/>
      <c r="P5" s="121"/>
      <c r="Q5" s="121"/>
      <c r="R5" s="121"/>
      <c r="S5" s="121"/>
      <c r="T5" s="121"/>
      <c r="U5" s="121"/>
      <c r="V5" s="122"/>
      <c r="W5" s="162" t="str">
        <f>MXCurrent.Localized</f>
        <v>Released</v>
      </c>
      <c r="X5" s="163"/>
      <c r="Y5" s="163"/>
      <c r="Z5" s="163"/>
      <c r="AA5" s="164"/>
      <c r="AB5" s="120" t="str">
        <f>MXActual_state_Released</f>
        <v>31.08.2022</v>
      </c>
      <c r="AC5" s="121"/>
      <c r="AD5" s="121"/>
      <c r="AE5" s="121"/>
      <c r="AF5" s="121"/>
      <c r="AG5" s="122"/>
      <c r="AH5" s="11"/>
      <c r="AI5" s="11"/>
      <c r="AJ5" s="11"/>
      <c r="AK5" s="11"/>
    </row>
    <row r="6" spans="1:37" s="1" customFormat="1" ht="11.1" customHeight="1" x14ac:dyDescent="0.25">
      <c r="A6" s="168" t="s">
        <v>2</v>
      </c>
      <c r="B6" s="169"/>
      <c r="C6" s="169"/>
      <c r="D6" s="170"/>
      <c r="E6" s="168" t="s">
        <v>3</v>
      </c>
      <c r="F6" s="169"/>
      <c r="G6" s="169"/>
      <c r="H6" s="169"/>
      <c r="I6" s="169"/>
      <c r="J6" s="169"/>
      <c r="K6" s="169"/>
      <c r="L6" s="169"/>
      <c r="M6" s="169"/>
      <c r="N6" s="169"/>
      <c r="O6" s="169"/>
      <c r="P6" s="169"/>
      <c r="Q6" s="169"/>
      <c r="R6" s="169"/>
      <c r="S6" s="169"/>
      <c r="T6" s="169"/>
      <c r="U6" s="169"/>
      <c r="V6" s="170"/>
      <c r="W6" s="126" t="s">
        <v>14</v>
      </c>
      <c r="X6" s="127"/>
      <c r="Y6" s="127"/>
      <c r="Z6" s="127"/>
      <c r="AA6" s="128"/>
      <c r="AB6" s="165"/>
      <c r="AC6" s="166"/>
      <c r="AD6" s="167"/>
      <c r="AE6" s="165" t="s">
        <v>4</v>
      </c>
      <c r="AF6" s="166"/>
      <c r="AG6" s="167"/>
      <c r="AH6" s="6"/>
      <c r="AI6" s="6"/>
      <c r="AJ6" s="6"/>
      <c r="AK6" s="6"/>
    </row>
    <row r="7" spans="1:37" s="14" customFormat="1" x14ac:dyDescent="0.25">
      <c r="A7" s="162" t="str">
        <f>MXName</f>
        <v>NA</v>
      </c>
      <c r="B7" s="163"/>
      <c r="C7" s="163"/>
      <c r="D7" s="164"/>
      <c r="E7" s="162" t="str">
        <f>MXTitle</f>
        <v>PMP - Software Integration Test Specification Report.xls</v>
      </c>
      <c r="F7" s="163"/>
      <c r="G7" s="163"/>
      <c r="H7" s="163"/>
      <c r="I7" s="163"/>
      <c r="J7" s="163"/>
      <c r="K7" s="163"/>
      <c r="L7" s="163"/>
      <c r="M7" s="163"/>
      <c r="N7" s="163"/>
      <c r="O7" s="163"/>
      <c r="P7" s="163"/>
      <c r="Q7" s="163"/>
      <c r="R7" s="163"/>
      <c r="S7" s="163"/>
      <c r="T7" s="163"/>
      <c r="U7" s="163"/>
      <c r="V7" s="164"/>
      <c r="W7" s="162" t="str">
        <f ca="1">TemplateRef</f>
        <v>SW04TEM001</v>
      </c>
      <c r="X7" s="163"/>
      <c r="Y7" s="163"/>
      <c r="Z7" s="163"/>
      <c r="AA7" s="164"/>
      <c r="AB7" s="162"/>
      <c r="AC7" s="163"/>
      <c r="AD7" s="164"/>
      <c r="AE7" s="193">
        <f>MXVersion</f>
        <v>1.1000000000000001</v>
      </c>
      <c r="AF7" s="194"/>
      <c r="AG7" s="195"/>
      <c r="AH7" s="13"/>
      <c r="AI7" s="13"/>
      <c r="AJ7" s="13"/>
      <c r="AK7" s="13"/>
    </row>
    <row r="8" spans="1:37" ht="11.1" customHeight="1" x14ac:dyDescent="0.25">
      <c r="A8" s="168"/>
      <c r="B8" s="169"/>
      <c r="C8" s="169"/>
      <c r="D8" s="169"/>
      <c r="E8" s="169"/>
      <c r="F8" s="169"/>
      <c r="G8" s="169"/>
      <c r="H8" s="169"/>
      <c r="I8" s="169"/>
      <c r="J8" s="169"/>
      <c r="K8" s="169"/>
      <c r="L8" s="169"/>
      <c r="M8" s="169"/>
      <c r="N8" s="169"/>
      <c r="O8" s="169"/>
      <c r="P8" s="169"/>
      <c r="Q8" s="169"/>
      <c r="R8" s="169"/>
      <c r="S8" s="169"/>
      <c r="T8" s="169"/>
      <c r="U8" s="169"/>
      <c r="V8" s="169"/>
      <c r="W8" s="169"/>
      <c r="X8" s="169"/>
      <c r="Y8" s="169"/>
      <c r="Z8" s="169"/>
      <c r="AA8" s="169"/>
      <c r="AB8" s="169"/>
      <c r="AC8" s="169"/>
      <c r="AD8" s="169"/>
      <c r="AE8" s="169"/>
      <c r="AF8" s="169"/>
      <c r="AG8" s="170"/>
      <c r="AH8" s="15"/>
      <c r="AI8" s="15"/>
      <c r="AJ8" s="15"/>
      <c r="AK8" s="15"/>
    </row>
    <row r="9" spans="1:37" s="18" customFormat="1" x14ac:dyDescent="0.25">
      <c r="A9" s="190" t="s">
        <v>13</v>
      </c>
      <c r="B9" s="191"/>
      <c r="C9" s="191"/>
      <c r="D9" s="191"/>
      <c r="E9" s="191"/>
      <c r="F9" s="191"/>
      <c r="G9" s="191"/>
      <c r="H9" s="191"/>
      <c r="I9" s="191"/>
      <c r="J9" s="191"/>
      <c r="K9" s="191"/>
      <c r="L9" s="191"/>
      <c r="M9" s="191"/>
      <c r="N9" s="191"/>
      <c r="O9" s="191"/>
      <c r="P9" s="191"/>
      <c r="Q9" s="191"/>
      <c r="R9" s="191"/>
      <c r="S9" s="191"/>
      <c r="T9" s="191"/>
      <c r="U9" s="191"/>
      <c r="V9" s="191"/>
      <c r="W9" s="191"/>
      <c r="X9" s="191"/>
      <c r="Y9" s="191"/>
      <c r="Z9" s="191"/>
      <c r="AA9" s="191"/>
      <c r="AB9" s="191"/>
      <c r="AC9" s="191"/>
      <c r="AD9" s="191"/>
      <c r="AE9" s="191"/>
      <c r="AF9" s="191"/>
      <c r="AG9" s="192"/>
      <c r="AH9" s="17"/>
      <c r="AI9" s="17"/>
      <c r="AJ9" s="17"/>
    </row>
    <row r="10" spans="1:37" x14ac:dyDescent="0.25"/>
    <row r="11" spans="1:37" x14ac:dyDescent="0.25"/>
    <row r="12" spans="1:37" ht="24.6" x14ac:dyDescent="0.25">
      <c r="B12" s="19" t="s">
        <v>15</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5"/>
    <row r="14" spans="1:37" ht="20.399999999999999" x14ac:dyDescent="0.25">
      <c r="B14" s="21" t="s">
        <v>16</v>
      </c>
      <c r="C14" s="22"/>
    </row>
    <row r="15" spans="1:37" x14ac:dyDescent="0.25">
      <c r="B15" s="179" t="s">
        <v>6</v>
      </c>
      <c r="C15" s="196"/>
      <c r="D15" s="196"/>
      <c r="E15" s="196"/>
      <c r="F15" s="196"/>
      <c r="G15" s="179" t="s">
        <v>5</v>
      </c>
      <c r="H15" s="179"/>
      <c r="I15" s="179"/>
      <c r="J15" s="179"/>
      <c r="K15" s="179"/>
      <c r="L15" s="179"/>
      <c r="M15" s="179"/>
      <c r="N15" s="179"/>
      <c r="O15" s="179"/>
      <c r="P15" s="179"/>
      <c r="Q15" s="179"/>
      <c r="R15" s="179"/>
      <c r="S15" s="179"/>
      <c r="T15" s="179"/>
      <c r="U15" s="179"/>
      <c r="V15" s="179"/>
      <c r="W15" s="179"/>
      <c r="X15" s="179"/>
      <c r="Y15" s="179"/>
      <c r="Z15" s="179"/>
      <c r="AA15" s="179"/>
      <c r="AB15" s="179"/>
      <c r="AC15" s="179"/>
      <c r="AD15" s="179"/>
      <c r="AE15" s="179"/>
      <c r="AF15" s="179"/>
    </row>
    <row r="16" spans="1:37" ht="24" customHeight="1" x14ac:dyDescent="0.25">
      <c r="B16" s="184" t="s">
        <v>32</v>
      </c>
      <c r="C16" s="184"/>
      <c r="D16" s="184"/>
      <c r="E16" s="184"/>
      <c r="F16" s="184"/>
      <c r="G16" s="180" t="s">
        <v>34</v>
      </c>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row>
    <row r="17" spans="1:45" ht="24" customHeight="1" x14ac:dyDescent="0.25">
      <c r="B17" s="184" t="s">
        <v>33</v>
      </c>
      <c r="C17" s="184"/>
      <c r="D17" s="184"/>
      <c r="E17" s="184"/>
      <c r="F17" s="184"/>
      <c r="G17" s="186" t="s">
        <v>117</v>
      </c>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row>
    <row r="18" spans="1:45" ht="24" customHeight="1" x14ac:dyDescent="0.25">
      <c r="B18" s="189" t="s">
        <v>112</v>
      </c>
      <c r="C18" s="184"/>
      <c r="D18" s="184"/>
      <c r="E18" s="184"/>
      <c r="F18" s="184"/>
      <c r="G18" s="186" t="s">
        <v>123</v>
      </c>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row>
    <row r="19" spans="1:45" ht="24" customHeight="1" x14ac:dyDescent="0.25">
      <c r="B19" s="189" t="s">
        <v>113</v>
      </c>
      <c r="C19" s="184"/>
      <c r="D19" s="184"/>
      <c r="E19" s="184"/>
      <c r="F19" s="184"/>
      <c r="G19" s="186" t="s">
        <v>119</v>
      </c>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S19" s="23"/>
    </row>
    <row r="20" spans="1:45" ht="24" customHeight="1" x14ac:dyDescent="0.25">
      <c r="B20" s="189" t="s">
        <v>43</v>
      </c>
      <c r="C20" s="184"/>
      <c r="D20" s="184"/>
      <c r="E20" s="184"/>
      <c r="F20" s="184"/>
      <c r="G20" s="186" t="s">
        <v>120</v>
      </c>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S20" s="23"/>
    </row>
    <row r="21" spans="1:45" ht="24" customHeight="1" x14ac:dyDescent="0.25">
      <c r="B21" s="189" t="s">
        <v>114</v>
      </c>
      <c r="C21" s="184"/>
      <c r="D21" s="184"/>
      <c r="E21" s="184"/>
      <c r="F21" s="184"/>
      <c r="G21" s="186" t="s">
        <v>118</v>
      </c>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S21" s="23"/>
    </row>
    <row r="22" spans="1:45" x14ac:dyDescent="0.25">
      <c r="C22" s="24"/>
      <c r="I22" s="25"/>
    </row>
    <row r="23" spans="1:45" ht="20.399999999999999" x14ac:dyDescent="0.25">
      <c r="A23" s="21"/>
      <c r="B23" s="21" t="s">
        <v>26</v>
      </c>
      <c r="C23" s="24"/>
      <c r="I23" s="25"/>
    </row>
    <row r="24" spans="1:45" x14ac:dyDescent="0.25">
      <c r="B24" s="179" t="s">
        <v>4</v>
      </c>
      <c r="C24" s="183"/>
      <c r="D24" s="183"/>
      <c r="E24" s="179" t="s">
        <v>10</v>
      </c>
      <c r="F24" s="179"/>
      <c r="G24" s="179"/>
      <c r="H24" s="179"/>
      <c r="I24" s="179" t="s">
        <v>11</v>
      </c>
      <c r="J24" s="183"/>
      <c r="K24" s="183"/>
      <c r="L24" s="183"/>
      <c r="M24" s="183"/>
      <c r="N24" s="183"/>
      <c r="O24" s="183"/>
      <c r="P24" s="183"/>
      <c r="Q24" s="183"/>
      <c r="R24" s="179" t="s">
        <v>12</v>
      </c>
      <c r="S24" s="179"/>
      <c r="T24" s="179"/>
      <c r="U24" s="179"/>
      <c r="V24" s="179"/>
      <c r="W24" s="179"/>
      <c r="X24" s="179"/>
      <c r="Y24" s="179"/>
      <c r="Z24" s="179"/>
      <c r="AA24" s="179"/>
      <c r="AB24" s="179"/>
      <c r="AC24" s="179"/>
      <c r="AD24" s="179"/>
      <c r="AE24" s="179"/>
      <c r="AF24" s="179"/>
    </row>
    <row r="25" spans="1:45" x14ac:dyDescent="0.25">
      <c r="B25" s="189" t="s">
        <v>130</v>
      </c>
      <c r="C25" s="185"/>
      <c r="D25" s="185"/>
      <c r="E25" s="186" t="s">
        <v>126</v>
      </c>
      <c r="F25" s="180"/>
      <c r="G25" s="180"/>
      <c r="H25" s="180"/>
      <c r="I25" s="186" t="s">
        <v>129</v>
      </c>
      <c r="J25" s="187"/>
      <c r="K25" s="187"/>
      <c r="L25" s="187"/>
      <c r="M25" s="187"/>
      <c r="N25" s="187"/>
      <c r="O25" s="187"/>
      <c r="P25" s="187"/>
      <c r="Q25" s="187"/>
      <c r="R25" s="186" t="s">
        <v>125</v>
      </c>
      <c r="S25" s="180"/>
      <c r="T25" s="180"/>
      <c r="U25" s="180"/>
      <c r="V25" s="180"/>
      <c r="W25" s="180"/>
      <c r="X25" s="180"/>
      <c r="Y25" s="180"/>
      <c r="Z25" s="180"/>
      <c r="AA25" s="180"/>
      <c r="AB25" s="180"/>
      <c r="AC25" s="180"/>
      <c r="AD25" s="180"/>
      <c r="AE25" s="180"/>
      <c r="AF25" s="180"/>
    </row>
    <row r="26" spans="1:45" x14ac:dyDescent="0.25">
      <c r="B26" s="189" t="s">
        <v>319</v>
      </c>
      <c r="C26" s="185"/>
      <c r="D26" s="185"/>
      <c r="E26" s="186" t="s">
        <v>267</v>
      </c>
      <c r="F26" s="180"/>
      <c r="G26" s="180"/>
      <c r="H26" s="180"/>
      <c r="I26" s="186" t="s">
        <v>269</v>
      </c>
      <c r="J26" s="187"/>
      <c r="K26" s="187"/>
      <c r="L26" s="187"/>
      <c r="M26" s="187"/>
      <c r="N26" s="187"/>
      <c r="O26" s="187"/>
      <c r="P26" s="187"/>
      <c r="Q26" s="187"/>
      <c r="R26" s="186" t="s">
        <v>270</v>
      </c>
      <c r="S26" s="180"/>
      <c r="T26" s="180"/>
      <c r="U26" s="180"/>
      <c r="V26" s="180"/>
      <c r="W26" s="180"/>
      <c r="X26" s="180"/>
      <c r="Y26" s="180"/>
      <c r="Z26" s="180"/>
      <c r="AA26" s="180"/>
      <c r="AB26" s="180"/>
      <c r="AC26" s="180"/>
      <c r="AD26" s="180"/>
      <c r="AE26" s="180"/>
      <c r="AF26" s="180"/>
    </row>
    <row r="27" spans="1:45" x14ac:dyDescent="0.25">
      <c r="B27" s="184"/>
      <c r="C27" s="185"/>
      <c r="D27" s="185"/>
      <c r="E27" s="180"/>
      <c r="F27" s="180"/>
      <c r="G27" s="180"/>
      <c r="H27" s="180"/>
      <c r="I27" s="180"/>
      <c r="J27" s="187"/>
      <c r="K27" s="187"/>
      <c r="L27" s="187"/>
      <c r="M27" s="187"/>
      <c r="N27" s="187"/>
      <c r="O27" s="187"/>
      <c r="P27" s="187"/>
      <c r="Q27" s="187"/>
      <c r="R27" s="180"/>
      <c r="S27" s="180"/>
      <c r="T27" s="180"/>
      <c r="U27" s="180"/>
      <c r="V27" s="180"/>
      <c r="W27" s="180"/>
      <c r="X27" s="180"/>
      <c r="Y27" s="180"/>
      <c r="Z27" s="180"/>
      <c r="AA27" s="180"/>
      <c r="AB27" s="180"/>
      <c r="AC27" s="180"/>
      <c r="AD27" s="180"/>
      <c r="AE27" s="180"/>
      <c r="AF27" s="180"/>
    </row>
    <row r="28" spans="1:45" x14ac:dyDescent="0.25">
      <c r="B28" s="184"/>
      <c r="C28" s="185"/>
      <c r="D28" s="185"/>
      <c r="E28" s="180"/>
      <c r="F28" s="180"/>
      <c r="G28" s="180"/>
      <c r="H28" s="180"/>
      <c r="I28" s="180"/>
      <c r="J28" s="187"/>
      <c r="K28" s="187"/>
      <c r="L28" s="187"/>
      <c r="M28" s="187"/>
      <c r="N28" s="187"/>
      <c r="O28" s="187"/>
      <c r="P28" s="187"/>
      <c r="Q28" s="187"/>
      <c r="R28" s="180"/>
      <c r="S28" s="180"/>
      <c r="T28" s="180"/>
      <c r="U28" s="180"/>
      <c r="V28" s="180"/>
      <c r="W28" s="180"/>
      <c r="X28" s="180"/>
      <c r="Y28" s="180"/>
      <c r="Z28" s="180"/>
      <c r="AA28" s="180"/>
      <c r="AB28" s="180"/>
      <c r="AC28" s="180"/>
      <c r="AD28" s="180"/>
      <c r="AE28" s="180"/>
      <c r="AF28" s="180"/>
    </row>
    <row r="29" spans="1:45" x14ac:dyDescent="0.25">
      <c r="B29" s="26" t="s">
        <v>25</v>
      </c>
      <c r="C29" s="27"/>
      <c r="D29" s="27"/>
      <c r="E29" s="28"/>
      <c r="F29" s="28"/>
      <c r="G29" s="28"/>
      <c r="H29" s="28"/>
      <c r="I29" s="28"/>
      <c r="J29" s="29"/>
      <c r="K29" s="29"/>
      <c r="L29" s="29"/>
      <c r="M29" s="29"/>
      <c r="N29" s="29"/>
      <c r="O29" s="29"/>
      <c r="P29" s="29"/>
      <c r="Q29" s="29"/>
      <c r="R29" s="28"/>
      <c r="S29" s="28"/>
      <c r="T29" s="28"/>
      <c r="U29" s="28"/>
      <c r="V29" s="28"/>
      <c r="W29" s="28"/>
      <c r="X29" s="28"/>
      <c r="Y29" s="28"/>
      <c r="Z29" s="28"/>
      <c r="AA29" s="28"/>
      <c r="AB29" s="28"/>
      <c r="AC29" s="28"/>
      <c r="AD29" s="28"/>
      <c r="AE29" s="28"/>
      <c r="AF29" s="28"/>
    </row>
    <row r="30" spans="1:45" x14ac:dyDescent="0.25">
      <c r="C30" s="24"/>
      <c r="I30" s="25"/>
    </row>
    <row r="31" spans="1:45" ht="20.399999999999999" x14ac:dyDescent="0.25">
      <c r="B31" s="21" t="s">
        <v>17</v>
      </c>
      <c r="I31" s="25"/>
    </row>
    <row r="32" spans="1:45" ht="66.75" customHeight="1" x14ac:dyDescent="0.25">
      <c r="B32" s="188" t="s">
        <v>122</v>
      </c>
      <c r="C32" s="188"/>
      <c r="D32" s="188"/>
      <c r="E32" s="188"/>
      <c r="F32" s="188"/>
      <c r="G32" s="188"/>
      <c r="H32" s="188"/>
      <c r="I32" s="188"/>
      <c r="J32" s="188"/>
      <c r="K32" s="188"/>
      <c r="L32" s="188"/>
      <c r="M32" s="188"/>
      <c r="N32" s="188"/>
      <c r="O32" s="188"/>
      <c r="P32" s="188"/>
      <c r="Q32" s="188"/>
      <c r="R32" s="188"/>
      <c r="S32" s="188"/>
      <c r="T32" s="188"/>
      <c r="U32" s="188"/>
      <c r="V32" s="188"/>
      <c r="W32" s="188"/>
      <c r="X32" s="188"/>
      <c r="Y32" s="188"/>
      <c r="Z32" s="188"/>
      <c r="AA32" s="188"/>
      <c r="AB32" s="188"/>
      <c r="AC32" s="188"/>
      <c r="AD32" s="188"/>
      <c r="AE32" s="188"/>
      <c r="AF32" s="188"/>
      <c r="AG32" s="30"/>
    </row>
    <row r="33" spans="2:32" x14ac:dyDescent="0.25">
      <c r="J33" s="31"/>
    </row>
    <row r="34" spans="2:32" ht="20.399999999999999" x14ac:dyDescent="0.25">
      <c r="B34" s="21" t="s">
        <v>18</v>
      </c>
      <c r="C34" s="22"/>
      <c r="I34" s="25"/>
    </row>
    <row r="35" spans="2:32" ht="24.75" customHeight="1" x14ac:dyDescent="0.25">
      <c r="B35" s="32" t="s">
        <v>27</v>
      </c>
      <c r="C35" s="22"/>
      <c r="I35" s="25"/>
    </row>
    <row r="36" spans="2:32" ht="12.75" customHeight="1" x14ac:dyDescent="0.25">
      <c r="B36" s="179" t="s">
        <v>7</v>
      </c>
      <c r="C36" s="179"/>
      <c r="D36" s="179"/>
      <c r="E36" s="179" t="s">
        <v>8</v>
      </c>
      <c r="F36" s="183"/>
      <c r="G36" s="183"/>
      <c r="H36" s="183"/>
      <c r="I36" s="183"/>
      <c r="J36" s="183"/>
      <c r="K36" s="183"/>
      <c r="L36" s="183"/>
      <c r="M36" s="183"/>
      <c r="N36" s="183"/>
      <c r="O36" s="183"/>
      <c r="P36" s="183"/>
      <c r="Q36" s="183"/>
      <c r="R36" s="183"/>
      <c r="S36" s="183"/>
      <c r="T36" s="183"/>
      <c r="U36" s="183"/>
      <c r="V36" s="183"/>
      <c r="W36" s="183"/>
      <c r="X36" s="183"/>
      <c r="Y36" s="179" t="s">
        <v>9</v>
      </c>
      <c r="Z36" s="179"/>
      <c r="AA36" s="179"/>
      <c r="AB36" s="179"/>
      <c r="AC36" s="179"/>
      <c r="AD36" s="179"/>
      <c r="AE36" s="179"/>
      <c r="AF36" s="179"/>
    </row>
    <row r="37" spans="2:32" x14ac:dyDescent="0.25">
      <c r="B37" s="182"/>
      <c r="C37" s="182"/>
      <c r="D37" s="182"/>
      <c r="E37" s="180"/>
      <c r="F37" s="181"/>
      <c r="G37" s="181"/>
      <c r="H37" s="181"/>
      <c r="I37" s="181"/>
      <c r="J37" s="181"/>
      <c r="K37" s="181"/>
      <c r="L37" s="181"/>
      <c r="M37" s="181"/>
      <c r="N37" s="181"/>
      <c r="O37" s="181"/>
      <c r="P37" s="181"/>
      <c r="Q37" s="181"/>
      <c r="R37" s="181"/>
      <c r="S37" s="181"/>
      <c r="T37" s="181"/>
      <c r="U37" s="181"/>
      <c r="V37" s="181"/>
      <c r="W37" s="181"/>
      <c r="X37" s="181"/>
      <c r="Y37" s="180"/>
      <c r="Z37" s="181"/>
      <c r="AA37" s="181"/>
      <c r="AB37" s="181"/>
      <c r="AC37" s="181"/>
      <c r="AD37" s="181"/>
      <c r="AE37" s="181"/>
      <c r="AF37" s="181"/>
    </row>
    <row r="38" spans="2:32" x14ac:dyDescent="0.25">
      <c r="B38" s="182"/>
      <c r="C38" s="182"/>
      <c r="D38" s="182"/>
      <c r="E38" s="180"/>
      <c r="F38" s="181"/>
      <c r="G38" s="181"/>
      <c r="H38" s="181"/>
      <c r="I38" s="181"/>
      <c r="J38" s="181"/>
      <c r="K38" s="181"/>
      <c r="L38" s="181"/>
      <c r="M38" s="181"/>
      <c r="N38" s="181"/>
      <c r="O38" s="181"/>
      <c r="P38" s="181"/>
      <c r="Q38" s="181"/>
      <c r="R38" s="181"/>
      <c r="S38" s="181"/>
      <c r="T38" s="181"/>
      <c r="U38" s="181"/>
      <c r="V38" s="181"/>
      <c r="W38" s="181"/>
      <c r="X38" s="181"/>
      <c r="Y38" s="180"/>
      <c r="Z38" s="181"/>
      <c r="AA38" s="181"/>
      <c r="AB38" s="181"/>
      <c r="AC38" s="181"/>
      <c r="AD38" s="181"/>
      <c r="AE38" s="181"/>
      <c r="AF38" s="181"/>
    </row>
    <row r="39" spans="2:32" x14ac:dyDescent="0.25">
      <c r="B39" s="182"/>
      <c r="C39" s="182"/>
      <c r="D39" s="182"/>
      <c r="E39" s="180"/>
      <c r="F39" s="181"/>
      <c r="G39" s="181"/>
      <c r="H39" s="181"/>
      <c r="I39" s="181"/>
      <c r="J39" s="181"/>
      <c r="K39" s="181"/>
      <c r="L39" s="181"/>
      <c r="M39" s="181"/>
      <c r="N39" s="181"/>
      <c r="O39" s="181"/>
      <c r="P39" s="181"/>
      <c r="Q39" s="181"/>
      <c r="R39" s="181"/>
      <c r="S39" s="181"/>
      <c r="T39" s="181"/>
      <c r="U39" s="181"/>
      <c r="V39" s="181"/>
      <c r="W39" s="181"/>
      <c r="X39" s="181"/>
      <c r="Y39" s="180"/>
      <c r="Z39" s="181"/>
      <c r="AA39" s="181"/>
      <c r="AB39" s="181"/>
      <c r="AC39" s="181"/>
      <c r="AD39" s="181"/>
      <c r="AE39" s="181"/>
      <c r="AF39" s="181"/>
    </row>
    <row r="40" spans="2:32" x14ac:dyDescent="0.25">
      <c r="B40" s="182"/>
      <c r="C40" s="182"/>
      <c r="D40" s="182"/>
      <c r="E40" s="180"/>
      <c r="F40" s="181"/>
      <c r="G40" s="181"/>
      <c r="H40" s="181"/>
      <c r="I40" s="181"/>
      <c r="J40" s="181"/>
      <c r="K40" s="181"/>
      <c r="L40" s="181"/>
      <c r="M40" s="181"/>
      <c r="N40" s="181"/>
      <c r="O40" s="181"/>
      <c r="P40" s="181"/>
      <c r="Q40" s="181"/>
      <c r="R40" s="181"/>
      <c r="S40" s="181"/>
      <c r="T40" s="181"/>
      <c r="U40" s="181"/>
      <c r="V40" s="181"/>
      <c r="W40" s="181"/>
      <c r="X40" s="181"/>
      <c r="Y40" s="180"/>
      <c r="Z40" s="181"/>
      <c r="AA40" s="181"/>
      <c r="AB40" s="181"/>
      <c r="AC40" s="181"/>
      <c r="AD40" s="181"/>
      <c r="AE40" s="181"/>
      <c r="AF40" s="181"/>
    </row>
    <row r="41" spans="2:32" ht="24.75" customHeight="1" x14ac:dyDescent="0.25">
      <c r="B41" s="32" t="s">
        <v>28</v>
      </c>
      <c r="C41" s="22"/>
      <c r="I41" s="25"/>
    </row>
    <row r="42" spans="2:32" ht="12.75" customHeight="1" x14ac:dyDescent="0.25">
      <c r="B42" s="179" t="s">
        <v>7</v>
      </c>
      <c r="C42" s="179"/>
      <c r="D42" s="179"/>
      <c r="E42" s="179" t="s">
        <v>8</v>
      </c>
      <c r="F42" s="183"/>
      <c r="G42" s="183"/>
      <c r="H42" s="183"/>
      <c r="I42" s="183"/>
      <c r="J42" s="183"/>
      <c r="K42" s="183"/>
      <c r="L42" s="183"/>
      <c r="M42" s="183"/>
      <c r="N42" s="183"/>
      <c r="O42" s="183"/>
      <c r="P42" s="183"/>
      <c r="Q42" s="183"/>
      <c r="R42" s="183"/>
      <c r="S42" s="183"/>
      <c r="T42" s="183"/>
      <c r="U42" s="183"/>
      <c r="V42" s="183"/>
      <c r="W42" s="183"/>
      <c r="X42" s="183"/>
      <c r="Y42" s="179" t="s">
        <v>9</v>
      </c>
      <c r="Z42" s="179"/>
      <c r="AA42" s="179"/>
      <c r="AB42" s="179"/>
      <c r="AC42" s="179"/>
      <c r="AD42" s="179"/>
      <c r="AE42" s="179"/>
      <c r="AF42" s="179"/>
    </row>
    <row r="43" spans="2:32" x14ac:dyDescent="0.25">
      <c r="B43" s="182"/>
      <c r="C43" s="182"/>
      <c r="D43" s="182"/>
      <c r="E43" s="180"/>
      <c r="F43" s="181"/>
      <c r="G43" s="181"/>
      <c r="H43" s="181"/>
      <c r="I43" s="181"/>
      <c r="J43" s="181"/>
      <c r="K43" s="181"/>
      <c r="L43" s="181"/>
      <c r="M43" s="181"/>
      <c r="N43" s="181"/>
      <c r="O43" s="181"/>
      <c r="P43" s="181"/>
      <c r="Q43" s="181"/>
      <c r="R43" s="181"/>
      <c r="S43" s="181"/>
      <c r="T43" s="181"/>
      <c r="U43" s="181"/>
      <c r="V43" s="181"/>
      <c r="W43" s="181"/>
      <c r="X43" s="181"/>
      <c r="Y43" s="180"/>
      <c r="Z43" s="181"/>
      <c r="AA43" s="181"/>
      <c r="AB43" s="181"/>
      <c r="AC43" s="181"/>
      <c r="AD43" s="181"/>
      <c r="AE43" s="181"/>
      <c r="AF43" s="181"/>
    </row>
    <row r="44" spans="2:32" x14ac:dyDescent="0.25">
      <c r="B44" s="182"/>
      <c r="C44" s="182"/>
      <c r="D44" s="182"/>
      <c r="E44" s="180"/>
      <c r="F44" s="181"/>
      <c r="G44" s="181"/>
      <c r="H44" s="181"/>
      <c r="I44" s="181"/>
      <c r="J44" s="181"/>
      <c r="K44" s="181"/>
      <c r="L44" s="181"/>
      <c r="M44" s="181"/>
      <c r="N44" s="181"/>
      <c r="O44" s="181"/>
      <c r="P44" s="181"/>
      <c r="Q44" s="181"/>
      <c r="R44" s="181"/>
      <c r="S44" s="181"/>
      <c r="T44" s="181"/>
      <c r="U44" s="181"/>
      <c r="V44" s="181"/>
      <c r="W44" s="181"/>
      <c r="X44" s="181"/>
      <c r="Y44" s="180"/>
      <c r="Z44" s="181"/>
      <c r="AA44" s="181"/>
      <c r="AB44" s="181"/>
      <c r="AC44" s="181"/>
      <c r="AD44" s="181"/>
      <c r="AE44" s="181"/>
      <c r="AF44" s="181"/>
    </row>
    <row r="45" spans="2:32" x14ac:dyDescent="0.25">
      <c r="B45" s="182"/>
      <c r="C45" s="182"/>
      <c r="D45" s="182"/>
      <c r="E45" s="180"/>
      <c r="F45" s="181"/>
      <c r="G45" s="181"/>
      <c r="H45" s="181"/>
      <c r="I45" s="181"/>
      <c r="J45" s="181"/>
      <c r="K45" s="181"/>
      <c r="L45" s="181"/>
      <c r="M45" s="181"/>
      <c r="N45" s="181"/>
      <c r="O45" s="181"/>
      <c r="P45" s="181"/>
      <c r="Q45" s="181"/>
      <c r="R45" s="181"/>
      <c r="S45" s="181"/>
      <c r="T45" s="181"/>
      <c r="U45" s="181"/>
      <c r="V45" s="181"/>
      <c r="W45" s="181"/>
      <c r="X45" s="181"/>
      <c r="Y45" s="180"/>
      <c r="Z45" s="181"/>
      <c r="AA45" s="181"/>
      <c r="AB45" s="181"/>
      <c r="AC45" s="181"/>
      <c r="AD45" s="181"/>
      <c r="AE45" s="181"/>
      <c r="AF45" s="181"/>
    </row>
    <row r="46" spans="2:32" x14ac:dyDescent="0.25">
      <c r="B46" s="182"/>
      <c r="C46" s="182"/>
      <c r="D46" s="182"/>
      <c r="E46" s="180"/>
      <c r="F46" s="181"/>
      <c r="G46" s="181"/>
      <c r="H46" s="181"/>
      <c r="I46" s="181"/>
      <c r="J46" s="181"/>
      <c r="K46" s="181"/>
      <c r="L46" s="181"/>
      <c r="M46" s="181"/>
      <c r="N46" s="181"/>
      <c r="O46" s="181"/>
      <c r="P46" s="181"/>
      <c r="Q46" s="181"/>
      <c r="R46" s="181"/>
      <c r="S46" s="181"/>
      <c r="T46" s="181"/>
      <c r="U46" s="181"/>
      <c r="V46" s="181"/>
      <c r="W46" s="181"/>
      <c r="X46" s="181"/>
      <c r="Y46" s="180"/>
      <c r="Z46" s="181"/>
      <c r="AA46" s="181"/>
      <c r="AB46" s="181"/>
      <c r="AC46" s="181"/>
      <c r="AD46" s="181"/>
      <c r="AE46" s="181"/>
      <c r="AF46" s="181"/>
    </row>
    <row r="47" spans="2:32" x14ac:dyDescent="0.25">
      <c r="C47" s="24"/>
      <c r="I47" s="25"/>
    </row>
    <row r="48" spans="2:32" ht="20.399999999999999" x14ac:dyDescent="0.25">
      <c r="B48" s="21" t="s">
        <v>30</v>
      </c>
      <c r="C48" s="22"/>
      <c r="I48" s="25"/>
    </row>
    <row r="49" spans="2:32" ht="12.75" customHeight="1" x14ac:dyDescent="0.25">
      <c r="B49" s="179" t="s">
        <v>29</v>
      </c>
      <c r="C49" s="179"/>
      <c r="D49" s="179"/>
      <c r="E49" s="179"/>
      <c r="F49" s="179"/>
      <c r="G49" s="179"/>
      <c r="H49" s="174"/>
      <c r="I49" s="174"/>
      <c r="J49" s="174"/>
      <c r="K49" s="174"/>
      <c r="L49" s="174"/>
      <c r="M49" s="174"/>
      <c r="N49" s="174"/>
      <c r="O49" s="174"/>
      <c r="P49" s="174"/>
      <c r="Q49" s="174"/>
      <c r="R49" s="174"/>
      <c r="S49" s="174"/>
      <c r="T49" s="174"/>
      <c r="U49" s="174"/>
      <c r="V49" s="174"/>
      <c r="W49" s="174"/>
      <c r="X49" s="174"/>
      <c r="Y49" s="174"/>
      <c r="Z49" s="174"/>
      <c r="AA49" s="174"/>
      <c r="AB49" s="174"/>
      <c r="AC49" s="174"/>
      <c r="AD49" s="174"/>
      <c r="AE49" s="174"/>
      <c r="AF49" s="174"/>
    </row>
    <row r="50" spans="2:32" ht="33.75" customHeight="1" x14ac:dyDescent="0.25">
      <c r="B50" s="171" t="s">
        <v>107</v>
      </c>
      <c r="C50" s="172"/>
      <c r="D50" s="172"/>
      <c r="E50" s="172"/>
      <c r="F50" s="172"/>
      <c r="G50" s="173"/>
      <c r="H50" s="178" t="s">
        <v>111</v>
      </c>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7"/>
    </row>
    <row r="51" spans="2:32" ht="36.75" customHeight="1" x14ac:dyDescent="0.25">
      <c r="B51" s="171" t="s">
        <v>70</v>
      </c>
      <c r="C51" s="172"/>
      <c r="D51" s="172"/>
      <c r="E51" s="172"/>
      <c r="F51" s="172"/>
      <c r="G51" s="173"/>
      <c r="H51" s="175" t="s">
        <v>71</v>
      </c>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7"/>
    </row>
    <row r="52" spans="2:32" ht="45.75" customHeight="1" x14ac:dyDescent="0.25">
      <c r="B52" s="171" t="s">
        <v>72</v>
      </c>
      <c r="C52" s="172"/>
      <c r="D52" s="172"/>
      <c r="E52" s="172"/>
      <c r="F52" s="172"/>
      <c r="G52" s="173"/>
      <c r="H52" s="175" t="s">
        <v>77</v>
      </c>
      <c r="I52" s="176"/>
      <c r="J52" s="176"/>
      <c r="K52" s="176"/>
      <c r="L52" s="176"/>
      <c r="M52" s="176"/>
      <c r="N52" s="176"/>
      <c r="O52" s="176"/>
      <c r="P52" s="176"/>
      <c r="Q52" s="176"/>
      <c r="R52" s="176"/>
      <c r="S52" s="176"/>
      <c r="T52" s="176"/>
      <c r="U52" s="176"/>
      <c r="V52" s="176"/>
      <c r="W52" s="176"/>
      <c r="X52" s="176"/>
      <c r="Y52" s="176"/>
      <c r="Z52" s="176"/>
      <c r="AA52" s="176"/>
      <c r="AB52" s="176"/>
      <c r="AC52" s="176"/>
      <c r="AD52" s="176"/>
      <c r="AE52" s="176"/>
      <c r="AF52" s="177"/>
    </row>
    <row r="53" spans="2:32" ht="45.75" customHeight="1" x14ac:dyDescent="0.25">
      <c r="B53" s="171" t="s">
        <v>73</v>
      </c>
      <c r="C53" s="172"/>
      <c r="D53" s="172"/>
      <c r="E53" s="172"/>
      <c r="F53" s="172"/>
      <c r="G53" s="173"/>
      <c r="H53" s="175" t="s">
        <v>76</v>
      </c>
      <c r="I53" s="176"/>
      <c r="J53" s="176"/>
      <c r="K53" s="176"/>
      <c r="L53" s="176"/>
      <c r="M53" s="176"/>
      <c r="N53" s="176"/>
      <c r="O53" s="176"/>
      <c r="P53" s="176"/>
      <c r="Q53" s="176"/>
      <c r="R53" s="176"/>
      <c r="S53" s="176"/>
      <c r="T53" s="176"/>
      <c r="U53" s="176"/>
      <c r="V53" s="176"/>
      <c r="W53" s="176"/>
      <c r="X53" s="176"/>
      <c r="Y53" s="176"/>
      <c r="Z53" s="176"/>
      <c r="AA53" s="176"/>
      <c r="AB53" s="176"/>
      <c r="AC53" s="176"/>
      <c r="AD53" s="176"/>
      <c r="AE53" s="176"/>
      <c r="AF53" s="177"/>
    </row>
    <row r="54" spans="2:32" ht="37.5" customHeight="1" x14ac:dyDescent="0.25">
      <c r="B54" s="171" t="s">
        <v>74</v>
      </c>
      <c r="C54" s="172"/>
      <c r="D54" s="172"/>
      <c r="E54" s="172"/>
      <c r="F54" s="172"/>
      <c r="G54" s="173"/>
      <c r="H54" s="175" t="s">
        <v>75</v>
      </c>
      <c r="I54" s="176"/>
      <c r="J54" s="176"/>
      <c r="K54" s="176"/>
      <c r="L54" s="176"/>
      <c r="M54" s="176"/>
      <c r="N54" s="176"/>
      <c r="O54" s="176"/>
      <c r="P54" s="176"/>
      <c r="Q54" s="176"/>
      <c r="R54" s="176"/>
      <c r="S54" s="176"/>
      <c r="T54" s="176"/>
      <c r="U54" s="176"/>
      <c r="V54" s="176"/>
      <c r="W54" s="176"/>
      <c r="X54" s="176"/>
      <c r="Y54" s="176"/>
      <c r="Z54" s="176"/>
      <c r="AA54" s="176"/>
      <c r="AB54" s="176"/>
      <c r="AC54" s="176"/>
      <c r="AD54" s="176"/>
      <c r="AE54" s="176"/>
      <c r="AF54" s="177"/>
    </row>
    <row r="55" spans="2:32" x14ac:dyDescent="0.25">
      <c r="B55" s="28"/>
      <c r="C55" s="28"/>
      <c r="D55" s="28"/>
      <c r="E55" s="28"/>
      <c r="F55" s="28"/>
      <c r="G55" s="28"/>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row>
    <row r="56" spans="2:32" x14ac:dyDescent="0.25">
      <c r="B56" s="28"/>
      <c r="C56" s="28"/>
      <c r="D56" s="28"/>
      <c r="E56" s="28"/>
      <c r="F56" s="28"/>
      <c r="G56" s="28"/>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row>
    <row r="57" spans="2:32" ht="24.6" x14ac:dyDescent="0.25">
      <c r="B57" s="34" t="s">
        <v>31</v>
      </c>
      <c r="C57" s="35"/>
      <c r="D57" s="35"/>
      <c r="E57" s="35"/>
      <c r="F57" s="35"/>
      <c r="G57" s="35"/>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row>
    <row r="58" spans="2:32" ht="15.75" customHeight="1" x14ac:dyDescent="0.25">
      <c r="B58" s="37"/>
      <c r="C58" s="28"/>
      <c r="D58" s="28"/>
      <c r="E58" s="28"/>
      <c r="F58" s="28"/>
      <c r="G58" s="28"/>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row>
    <row r="59" spans="2:32" x14ac:dyDescent="0.25">
      <c r="B59" s="86" t="s">
        <v>78</v>
      </c>
      <c r="C59" s="38"/>
      <c r="D59" s="38"/>
      <c r="E59" s="38"/>
      <c r="F59" s="38"/>
      <c r="G59" s="38"/>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row>
    <row r="60" spans="2:32" x14ac:dyDescent="0.25">
      <c r="B60" s="86" t="s">
        <v>109</v>
      </c>
      <c r="C60" s="38"/>
      <c r="D60" s="38"/>
      <c r="E60" s="38"/>
      <c r="F60" s="38"/>
      <c r="G60" s="38"/>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row>
    <row r="61" spans="2:32" x14ac:dyDescent="0.25">
      <c r="B61" s="38"/>
      <c r="C61" s="38"/>
      <c r="D61" s="38"/>
      <c r="E61" s="38"/>
      <c r="F61" s="38"/>
      <c r="G61" s="38"/>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row>
    <row r="62" spans="2:32" x14ac:dyDescent="0.25">
      <c r="B62" s="38"/>
      <c r="C62" s="38"/>
      <c r="D62" s="38"/>
      <c r="E62" s="38"/>
      <c r="F62" s="38"/>
      <c r="G62" s="38"/>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row>
    <row r="63" spans="2:32" x14ac:dyDescent="0.25">
      <c r="B63" s="38"/>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5">
      <c r="B64" s="38"/>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x14ac:dyDescent="0.25">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5">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5">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5">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5">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5">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5">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ht="12" customHeight="1" x14ac:dyDescent="0.25"/>
    <row r="73" spans="2:34" ht="12.75" hidden="1" customHeight="1" x14ac:dyDescent="0.25">
      <c r="B73" s="16" t="s">
        <v>79</v>
      </c>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row>
    <row r="74" spans="2:34" ht="12.75" hidden="1" customHeight="1" x14ac:dyDescent="0.25">
      <c r="B74" s="16" t="s">
        <v>80</v>
      </c>
      <c r="F74" s="40"/>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0"/>
    </row>
    <row r="75" spans="2:34" ht="12.75" hidden="1" customHeight="1" x14ac:dyDescent="0.25">
      <c r="B75" s="16" t="s">
        <v>81</v>
      </c>
      <c r="F75" s="40"/>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40"/>
    </row>
    <row r="76" spans="2:34" ht="12.75" hidden="1" customHeight="1" x14ac:dyDescent="0.25">
      <c r="B76" s="16" t="s">
        <v>82</v>
      </c>
      <c r="F76" s="40"/>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40"/>
    </row>
    <row r="77" spans="2:34" ht="12.75" hidden="1" customHeight="1" x14ac:dyDescent="0.25">
      <c r="B77" s="16" t="s">
        <v>83</v>
      </c>
      <c r="F77" s="42"/>
      <c r="G77" s="42"/>
      <c r="H77" s="42"/>
      <c r="I77" s="42"/>
      <c r="J77" s="40"/>
      <c r="K77" s="40"/>
      <c r="L77" s="40"/>
      <c r="M77" s="40"/>
      <c r="N77" s="40"/>
      <c r="O77" s="40"/>
      <c r="P77" s="40"/>
      <c r="Q77" s="40"/>
      <c r="R77" s="40"/>
      <c r="S77" s="42"/>
      <c r="T77" s="42"/>
      <c r="U77" s="42"/>
      <c r="V77" s="42"/>
      <c r="W77" s="42"/>
      <c r="X77" s="42"/>
      <c r="Y77" s="42"/>
      <c r="Z77" s="42"/>
      <c r="AA77" s="42"/>
      <c r="AB77" s="42"/>
      <c r="AC77" s="42"/>
      <c r="AD77" s="42"/>
      <c r="AE77" s="42"/>
      <c r="AF77" s="42"/>
      <c r="AG77" s="42"/>
      <c r="AH77" s="40"/>
    </row>
    <row r="78" spans="2:34" ht="12.75" hidden="1" customHeight="1" x14ac:dyDescent="0.25">
      <c r="B78" s="16" t="s">
        <v>84</v>
      </c>
      <c r="F78" s="42"/>
      <c r="G78" s="42"/>
      <c r="H78" s="42"/>
      <c r="I78" s="42"/>
      <c r="J78" s="40"/>
      <c r="K78" s="40"/>
      <c r="L78" s="40"/>
      <c r="M78" s="40"/>
      <c r="N78" s="40"/>
      <c r="O78" s="40"/>
      <c r="P78" s="40"/>
      <c r="Q78" s="40"/>
      <c r="R78" s="40"/>
      <c r="S78" s="42"/>
      <c r="T78" s="42"/>
      <c r="U78" s="42"/>
      <c r="V78" s="42"/>
      <c r="W78" s="42"/>
      <c r="X78" s="42"/>
      <c r="Y78" s="42"/>
      <c r="Z78" s="42"/>
      <c r="AA78" s="42"/>
      <c r="AB78" s="42"/>
      <c r="AC78" s="42"/>
      <c r="AD78" s="42"/>
      <c r="AE78" s="42"/>
      <c r="AF78" s="42"/>
      <c r="AG78" s="42"/>
      <c r="AH78" s="40"/>
    </row>
    <row r="79" spans="2:34" ht="12.75" hidden="1" customHeight="1" x14ac:dyDescent="0.25">
      <c r="B79" s="16" t="s">
        <v>85</v>
      </c>
      <c r="F79" s="43"/>
      <c r="G79" s="43"/>
      <c r="H79" s="43"/>
      <c r="I79" s="43"/>
      <c r="J79" s="43"/>
      <c r="K79" s="43"/>
      <c r="R79" s="43"/>
      <c r="S79" s="42"/>
      <c r="T79" s="42"/>
      <c r="U79" s="42"/>
      <c r="V79" s="42"/>
      <c r="W79" s="42"/>
      <c r="X79" s="42"/>
      <c r="Y79" s="42"/>
      <c r="Z79" s="42"/>
      <c r="AA79" s="42"/>
      <c r="AB79" s="42"/>
      <c r="AC79" s="42"/>
      <c r="AD79" s="42"/>
      <c r="AE79" s="42"/>
      <c r="AF79" s="42"/>
      <c r="AG79" s="42"/>
      <c r="AH79" s="43"/>
    </row>
    <row r="80" spans="2:34" ht="12.75" hidden="1" customHeight="1" x14ac:dyDescent="0.25">
      <c r="B80" s="16" t="s">
        <v>86</v>
      </c>
      <c r="R80" s="43"/>
      <c r="S80" s="43"/>
      <c r="T80" s="43"/>
      <c r="U80" s="43"/>
      <c r="V80" s="43"/>
      <c r="W80" s="43"/>
      <c r="X80" s="43"/>
      <c r="Y80" s="43"/>
      <c r="Z80" s="43"/>
      <c r="AA80" s="43"/>
      <c r="AB80" s="43"/>
      <c r="AC80" s="43"/>
      <c r="AD80" s="43"/>
      <c r="AE80" s="43"/>
      <c r="AF80" s="43"/>
      <c r="AG80" s="43"/>
      <c r="AH80" s="43"/>
    </row>
    <row r="81" spans="2:34" ht="12.75" hidden="1" customHeight="1" x14ac:dyDescent="0.25">
      <c r="B81" s="16" t="s">
        <v>87</v>
      </c>
      <c r="R81" s="43"/>
      <c r="S81" s="43"/>
      <c r="T81" s="43"/>
      <c r="U81" s="43"/>
      <c r="V81" s="43"/>
      <c r="W81" s="43"/>
      <c r="X81" s="43"/>
      <c r="Y81" s="43"/>
      <c r="Z81" s="43"/>
      <c r="AA81" s="43"/>
      <c r="AB81" s="43"/>
      <c r="AC81" s="43"/>
      <c r="AD81" s="43"/>
      <c r="AE81" s="43"/>
      <c r="AF81" s="43"/>
      <c r="AG81" s="43"/>
      <c r="AH81" s="43"/>
    </row>
    <row r="82" spans="2:34" ht="12.75" hidden="1" customHeight="1" x14ac:dyDescent="0.25">
      <c r="B82" s="16" t="s">
        <v>88</v>
      </c>
    </row>
    <row r="83" spans="2:34" ht="12.75" hidden="1" customHeight="1" x14ac:dyDescent="0.25">
      <c r="B83" s="16" t="s">
        <v>89</v>
      </c>
    </row>
    <row r="84" spans="2:34" ht="12.75" hidden="1" customHeight="1" x14ac:dyDescent="0.25">
      <c r="B84" s="16" t="s">
        <v>90</v>
      </c>
    </row>
    <row r="85" spans="2:34" ht="12.75" hidden="1" customHeight="1" x14ac:dyDescent="0.25">
      <c r="B85" s="16" t="s">
        <v>91</v>
      </c>
    </row>
    <row r="86" spans="2:34" ht="12.75" hidden="1" customHeight="1" x14ac:dyDescent="0.25">
      <c r="B86" s="16" t="s">
        <v>92</v>
      </c>
    </row>
    <row r="87" spans="2:34" ht="12.75" hidden="1" customHeight="1" x14ac:dyDescent="0.25">
      <c r="B87" s="16" t="s">
        <v>93</v>
      </c>
    </row>
    <row r="88" spans="2:34" ht="12.75" hidden="1" customHeight="1" x14ac:dyDescent="0.25">
      <c r="B88" s="16" t="s">
        <v>94</v>
      </c>
    </row>
    <row r="89" spans="2:34" ht="12.75" hidden="1" customHeight="1" x14ac:dyDescent="0.25">
      <c r="B89" s="16" t="s">
        <v>95</v>
      </c>
    </row>
    <row r="90" spans="2:34" ht="12.75" hidden="1" customHeight="1" x14ac:dyDescent="0.25">
      <c r="B90" s="16" t="s">
        <v>96</v>
      </c>
    </row>
    <row r="91" spans="2:34" ht="12.75" hidden="1" customHeight="1" x14ac:dyDescent="0.25">
      <c r="B91" s="16" t="s">
        <v>97</v>
      </c>
    </row>
    <row r="92" spans="2:34" ht="12.75" hidden="1" customHeight="1" x14ac:dyDescent="0.25">
      <c r="B92" s="16" t="s">
        <v>98</v>
      </c>
    </row>
    <row r="93" spans="2:34" ht="12.75" hidden="1" customHeight="1" x14ac:dyDescent="0.25">
      <c r="B93" s="16" t="s">
        <v>99</v>
      </c>
    </row>
    <row r="94" spans="2:34" ht="12.75" hidden="1" customHeight="1" x14ac:dyDescent="0.25">
      <c r="B94" s="16" t="s">
        <v>100</v>
      </c>
    </row>
    <row r="95" spans="2:34" ht="12.75" hidden="1" customHeight="1" x14ac:dyDescent="0.25">
      <c r="B95" s="16" t="s">
        <v>101</v>
      </c>
    </row>
    <row r="96" spans="2:34" ht="12.75" hidden="1" customHeight="1" x14ac:dyDescent="0.25">
      <c r="B96" s="16" t="s">
        <v>102</v>
      </c>
    </row>
    <row r="97" spans="2:2" ht="12.75" hidden="1" customHeight="1" x14ac:dyDescent="0.25">
      <c r="B97" s="16" t="s">
        <v>103</v>
      </c>
    </row>
    <row r="98" spans="2:2" ht="12.75" hidden="1" customHeight="1" x14ac:dyDescent="0.25">
      <c r="B98" s="16" t="s">
        <v>104</v>
      </c>
    </row>
    <row r="99" spans="2:2" ht="12.75" hidden="1" customHeight="1" x14ac:dyDescent="0.25">
      <c r="B99" s="16" t="s">
        <v>105</v>
      </c>
    </row>
    <row r="100" spans="2:2" ht="12.75" hidden="1" customHeight="1" x14ac:dyDescent="0.25">
      <c r="B100" s="16" t="s">
        <v>106</v>
      </c>
    </row>
    <row r="171" x14ac:dyDescent="0.25"/>
    <row r="172" x14ac:dyDescent="0.25"/>
    <row r="173" x14ac:dyDescent="0.25"/>
  </sheetData>
  <sheetProtection formatCells="0" formatRows="0" insertColumns="0" insertRows="0" insertHyperlinks="0" deleteRows="0" selectLockedCells="1" sort="0" autoFilter="0" pivotTables="0"/>
  <mergeCells count="95">
    <mergeCell ref="E42:X42"/>
    <mergeCell ref="E43:X43"/>
    <mergeCell ref="AB4:AG4"/>
    <mergeCell ref="AB5:AG5"/>
    <mergeCell ref="AE6:AG6"/>
    <mergeCell ref="AE7:AG7"/>
    <mergeCell ref="A8:AG8"/>
    <mergeCell ref="AB6:AD6"/>
    <mergeCell ref="AB7:AD7"/>
    <mergeCell ref="E6:V6"/>
    <mergeCell ref="B15:F15"/>
    <mergeCell ref="B24:D24"/>
    <mergeCell ref="B18:F18"/>
    <mergeCell ref="G18:AF18"/>
    <mergeCell ref="W7:AA7"/>
    <mergeCell ref="G15:AF15"/>
    <mergeCell ref="G16:AF16"/>
    <mergeCell ref="G21:AF21"/>
    <mergeCell ref="B21:F21"/>
    <mergeCell ref="G17:AF17"/>
    <mergeCell ref="A9:AG9"/>
    <mergeCell ref="B17:F17"/>
    <mergeCell ref="B16:F16"/>
    <mergeCell ref="B20:F20"/>
    <mergeCell ref="G20:AF20"/>
    <mergeCell ref="B19:F19"/>
    <mergeCell ref="G19:AF19"/>
    <mergeCell ref="I28:Q28"/>
    <mergeCell ref="B26:D26"/>
    <mergeCell ref="I26:Q26"/>
    <mergeCell ref="B40:D40"/>
    <mergeCell ref="E40:X40"/>
    <mergeCell ref="I25:Q25"/>
    <mergeCell ref="B37:D37"/>
    <mergeCell ref="I24:Q24"/>
    <mergeCell ref="R24:AF24"/>
    <mergeCell ref="E27:H27"/>
    <mergeCell ref="I27:Q27"/>
    <mergeCell ref="R27:AF27"/>
    <mergeCell ref="R25:AF25"/>
    <mergeCell ref="R26:AF26"/>
    <mergeCell ref="B32:AF32"/>
    <mergeCell ref="E24:H24"/>
    <mergeCell ref="E25:H25"/>
    <mergeCell ref="E26:H26"/>
    <mergeCell ref="E28:H28"/>
    <mergeCell ref="B27:D27"/>
    <mergeCell ref="B25:D25"/>
    <mergeCell ref="Y42:AF42"/>
    <mergeCell ref="R28:AF28"/>
    <mergeCell ref="Y36:AF36"/>
    <mergeCell ref="B36:D36"/>
    <mergeCell ref="E36:X36"/>
    <mergeCell ref="E39:X39"/>
    <mergeCell ref="E38:X38"/>
    <mergeCell ref="E37:X37"/>
    <mergeCell ref="B38:D38"/>
    <mergeCell ref="Y37:AF37"/>
    <mergeCell ref="Y38:AF38"/>
    <mergeCell ref="Y40:AF40"/>
    <mergeCell ref="B42:D42"/>
    <mergeCell ref="Y39:AF39"/>
    <mergeCell ref="B39:D39"/>
    <mergeCell ref="B28:D28"/>
    <mergeCell ref="Y45:AF45"/>
    <mergeCell ref="Y46:AF46"/>
    <mergeCell ref="B44:D44"/>
    <mergeCell ref="B46:D46"/>
    <mergeCell ref="B43:D43"/>
    <mergeCell ref="B45:D45"/>
    <mergeCell ref="Y44:AF44"/>
    <mergeCell ref="E44:X44"/>
    <mergeCell ref="E46:X46"/>
    <mergeCell ref="Y43:AF43"/>
    <mergeCell ref="E45:X45"/>
    <mergeCell ref="B54:G54"/>
    <mergeCell ref="H49:AF49"/>
    <mergeCell ref="H54:AF54"/>
    <mergeCell ref="B52:G52"/>
    <mergeCell ref="H52:AF52"/>
    <mergeCell ref="B51:G51"/>
    <mergeCell ref="H51:AF51"/>
    <mergeCell ref="H53:AF53"/>
    <mergeCell ref="B53:G53"/>
    <mergeCell ref="B50:G50"/>
    <mergeCell ref="H50:AF50"/>
    <mergeCell ref="B49:G49"/>
    <mergeCell ref="E7:V7"/>
    <mergeCell ref="A4:V4"/>
    <mergeCell ref="A5:V5"/>
    <mergeCell ref="W4:AA4"/>
    <mergeCell ref="W5:AA5"/>
    <mergeCell ref="A6:D6"/>
    <mergeCell ref="A7:D7"/>
    <mergeCell ref="W6:AA6"/>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1.1&amp;R&amp;P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election activeCell="B1" sqref="B1:AG37"/>
    </sheetView>
  </sheetViews>
  <sheetFormatPr defaultColWidth="0" defaultRowHeight="12.75" customHeight="1" zeroHeight="1" x14ac:dyDescent="0.25"/>
  <cols>
    <col min="1" max="33" width="2.6640625" style="16" customWidth="1"/>
    <col min="34" max="34" width="1.33203125" style="16" customWidth="1"/>
    <col min="35" max="60" width="3.33203125" style="16" hidden="1" customWidth="1"/>
    <col min="61" max="16384" width="0" style="16" hidden="1"/>
  </cols>
  <sheetData>
    <row r="1" spans="2:34" ht="13.2" x14ac:dyDescent="0.25">
      <c r="B1" s="197" t="s">
        <v>121</v>
      </c>
      <c r="C1" s="197"/>
      <c r="D1" s="197"/>
      <c r="E1" s="197"/>
      <c r="F1" s="197"/>
      <c r="G1" s="197"/>
      <c r="H1" s="197"/>
      <c r="I1" s="197"/>
      <c r="J1" s="197"/>
      <c r="K1" s="197"/>
      <c r="L1" s="197"/>
      <c r="M1" s="197"/>
      <c r="N1" s="197"/>
      <c r="O1" s="197"/>
      <c r="P1" s="197"/>
      <c r="Q1" s="197"/>
      <c r="R1" s="197"/>
      <c r="S1" s="197"/>
      <c r="T1" s="197"/>
      <c r="U1" s="197"/>
      <c r="V1" s="197"/>
      <c r="W1" s="197"/>
      <c r="X1" s="197"/>
      <c r="Y1" s="197"/>
      <c r="Z1" s="197"/>
      <c r="AA1" s="197"/>
      <c r="AB1" s="197"/>
      <c r="AC1" s="197"/>
      <c r="AD1" s="197"/>
      <c r="AE1" s="197"/>
      <c r="AF1" s="197"/>
      <c r="AG1" s="197"/>
    </row>
    <row r="2" spans="2:34" ht="20.25" customHeight="1" x14ac:dyDescent="0.25">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row>
    <row r="3" spans="2:34" ht="13.2" x14ac:dyDescent="0.25">
      <c r="B3" s="197"/>
      <c r="C3" s="197"/>
      <c r="D3" s="197"/>
      <c r="E3" s="197"/>
      <c r="F3" s="197"/>
      <c r="G3" s="197"/>
      <c r="H3" s="197"/>
      <c r="I3" s="197"/>
      <c r="J3" s="197"/>
      <c r="K3" s="197"/>
      <c r="L3" s="197"/>
      <c r="M3" s="197"/>
      <c r="N3" s="197"/>
      <c r="O3" s="197"/>
      <c r="P3" s="197"/>
      <c r="Q3" s="197"/>
      <c r="R3" s="197"/>
      <c r="S3" s="197"/>
      <c r="T3" s="197"/>
      <c r="U3" s="197"/>
      <c r="V3" s="197"/>
      <c r="W3" s="197"/>
      <c r="X3" s="197"/>
      <c r="Y3" s="197"/>
      <c r="Z3" s="197"/>
      <c r="AA3" s="197"/>
      <c r="AB3" s="197"/>
      <c r="AC3" s="197"/>
      <c r="AD3" s="197"/>
      <c r="AE3" s="197"/>
      <c r="AF3" s="197"/>
      <c r="AG3" s="197"/>
    </row>
    <row r="4" spans="2:34" ht="13.2" x14ac:dyDescent="0.25">
      <c r="B4" s="197"/>
      <c r="C4" s="197"/>
      <c r="D4" s="197"/>
      <c r="E4" s="197"/>
      <c r="F4" s="197"/>
      <c r="G4" s="197"/>
      <c r="H4" s="197"/>
      <c r="I4" s="197"/>
      <c r="J4" s="197"/>
      <c r="K4" s="197"/>
      <c r="L4" s="197"/>
      <c r="M4" s="197"/>
      <c r="N4" s="197"/>
      <c r="O4" s="197"/>
      <c r="P4" s="197"/>
      <c r="Q4" s="197"/>
      <c r="R4" s="197"/>
      <c r="S4" s="197"/>
      <c r="T4" s="197"/>
      <c r="U4" s="197"/>
      <c r="V4" s="197"/>
      <c r="W4" s="197"/>
      <c r="X4" s="197"/>
      <c r="Y4" s="197"/>
      <c r="Z4" s="197"/>
      <c r="AA4" s="197"/>
      <c r="AB4" s="197"/>
      <c r="AC4" s="197"/>
      <c r="AD4" s="197"/>
      <c r="AE4" s="197"/>
      <c r="AF4" s="197"/>
      <c r="AG4" s="197"/>
    </row>
    <row r="5" spans="2:34" ht="13.2" x14ac:dyDescent="0.25">
      <c r="B5" s="197"/>
      <c r="C5" s="197"/>
      <c r="D5" s="197"/>
      <c r="E5" s="197"/>
      <c r="F5" s="197"/>
      <c r="G5" s="197"/>
      <c r="H5" s="197"/>
      <c r="I5" s="197"/>
      <c r="J5" s="197"/>
      <c r="K5" s="197"/>
      <c r="L5" s="197"/>
      <c r="M5" s="197"/>
      <c r="N5" s="197"/>
      <c r="O5" s="197"/>
      <c r="P5" s="197"/>
      <c r="Q5" s="197"/>
      <c r="R5" s="197"/>
      <c r="S5" s="197"/>
      <c r="T5" s="197"/>
      <c r="U5" s="197"/>
      <c r="V5" s="197"/>
      <c r="W5" s="197"/>
      <c r="X5" s="197"/>
      <c r="Y5" s="197"/>
      <c r="Z5" s="197"/>
      <c r="AA5" s="197"/>
      <c r="AB5" s="197"/>
      <c r="AC5" s="197"/>
      <c r="AD5" s="197"/>
      <c r="AE5" s="197"/>
      <c r="AF5" s="197"/>
      <c r="AG5" s="197"/>
    </row>
    <row r="6" spans="2:34" ht="13.2" x14ac:dyDescent="0.25">
      <c r="B6" s="197"/>
      <c r="C6" s="197"/>
      <c r="D6" s="197"/>
      <c r="E6" s="197"/>
      <c r="F6" s="197"/>
      <c r="G6" s="197"/>
      <c r="H6" s="197"/>
      <c r="I6" s="197"/>
      <c r="J6" s="197"/>
      <c r="K6" s="197"/>
      <c r="L6" s="197"/>
      <c r="M6" s="197"/>
      <c r="N6" s="197"/>
      <c r="O6" s="197"/>
      <c r="P6" s="197"/>
      <c r="Q6" s="197"/>
      <c r="R6" s="197"/>
      <c r="S6" s="197"/>
      <c r="T6" s="197"/>
      <c r="U6" s="197"/>
      <c r="V6" s="197"/>
      <c r="W6" s="197"/>
      <c r="X6" s="197"/>
      <c r="Y6" s="197"/>
      <c r="Z6" s="197"/>
      <c r="AA6" s="197"/>
      <c r="AB6" s="197"/>
      <c r="AC6" s="197"/>
      <c r="AD6" s="197"/>
      <c r="AE6" s="197"/>
      <c r="AF6" s="197"/>
      <c r="AG6" s="197"/>
    </row>
    <row r="7" spans="2:34" ht="13.2" x14ac:dyDescent="0.25">
      <c r="B7" s="197"/>
      <c r="C7" s="197"/>
      <c r="D7" s="197"/>
      <c r="E7" s="197"/>
      <c r="F7" s="197"/>
      <c r="G7" s="197"/>
      <c r="H7" s="197"/>
      <c r="I7" s="197"/>
      <c r="J7" s="197"/>
      <c r="K7" s="197"/>
      <c r="L7" s="197"/>
      <c r="M7" s="197"/>
      <c r="N7" s="197"/>
      <c r="O7" s="197"/>
      <c r="P7" s="197"/>
      <c r="Q7" s="197"/>
      <c r="R7" s="197"/>
      <c r="S7" s="197"/>
      <c r="T7" s="197"/>
      <c r="U7" s="197"/>
      <c r="V7" s="197"/>
      <c r="W7" s="197"/>
      <c r="X7" s="197"/>
      <c r="Y7" s="197"/>
      <c r="Z7" s="197"/>
      <c r="AA7" s="197"/>
      <c r="AB7" s="197"/>
      <c r="AC7" s="197"/>
      <c r="AD7" s="197"/>
      <c r="AE7" s="197"/>
      <c r="AF7" s="197"/>
      <c r="AG7" s="197"/>
    </row>
    <row r="8" spans="2:34" ht="13.2" x14ac:dyDescent="0.25">
      <c r="B8" s="197"/>
      <c r="C8" s="197"/>
      <c r="D8" s="197"/>
      <c r="E8" s="197"/>
      <c r="F8" s="197"/>
      <c r="G8" s="197"/>
      <c r="H8" s="197"/>
      <c r="I8" s="197"/>
      <c r="J8" s="197"/>
      <c r="K8" s="197"/>
      <c r="L8" s="197"/>
      <c r="M8" s="197"/>
      <c r="N8" s="197"/>
      <c r="O8" s="197"/>
      <c r="P8" s="197"/>
      <c r="Q8" s="197"/>
      <c r="R8" s="197"/>
      <c r="S8" s="197"/>
      <c r="T8" s="197"/>
      <c r="U8" s="197"/>
      <c r="V8" s="197"/>
      <c r="W8" s="197"/>
      <c r="X8" s="197"/>
      <c r="Y8" s="197"/>
      <c r="Z8" s="197"/>
      <c r="AA8" s="197"/>
      <c r="AB8" s="197"/>
      <c r="AC8" s="197"/>
      <c r="AD8" s="197"/>
      <c r="AE8" s="197"/>
      <c r="AF8" s="197"/>
      <c r="AG8" s="197"/>
    </row>
    <row r="9" spans="2:34" ht="13.2" x14ac:dyDescent="0.25">
      <c r="B9" s="197"/>
      <c r="C9" s="197"/>
      <c r="D9" s="197"/>
      <c r="E9" s="197"/>
      <c r="F9" s="197"/>
      <c r="G9" s="197"/>
      <c r="H9" s="197"/>
      <c r="I9" s="197"/>
      <c r="J9" s="197"/>
      <c r="K9" s="197"/>
      <c r="L9" s="197"/>
      <c r="M9" s="197"/>
      <c r="N9" s="197"/>
      <c r="O9" s="197"/>
      <c r="P9" s="197"/>
      <c r="Q9" s="197"/>
      <c r="R9" s="197"/>
      <c r="S9" s="197"/>
      <c r="T9" s="197"/>
      <c r="U9" s="197"/>
      <c r="V9" s="197"/>
      <c r="W9" s="197"/>
      <c r="X9" s="197"/>
      <c r="Y9" s="197"/>
      <c r="Z9" s="197"/>
      <c r="AA9" s="197"/>
      <c r="AB9" s="197"/>
      <c r="AC9" s="197"/>
      <c r="AD9" s="197"/>
      <c r="AE9" s="197"/>
      <c r="AF9" s="197"/>
      <c r="AG9" s="197"/>
    </row>
    <row r="10" spans="2:34" ht="13.2" x14ac:dyDescent="0.25">
      <c r="B10" s="197"/>
      <c r="C10" s="197"/>
      <c r="D10" s="197"/>
      <c r="E10" s="197"/>
      <c r="F10" s="197"/>
      <c r="G10" s="197"/>
      <c r="H10" s="197"/>
      <c r="I10" s="197"/>
      <c r="J10" s="197"/>
      <c r="K10" s="197"/>
      <c r="L10" s="197"/>
      <c r="M10" s="197"/>
      <c r="N10" s="197"/>
      <c r="O10" s="197"/>
      <c r="P10" s="197"/>
      <c r="Q10" s="197"/>
      <c r="R10" s="197"/>
      <c r="S10" s="197"/>
      <c r="T10" s="197"/>
      <c r="U10" s="197"/>
      <c r="V10" s="197"/>
      <c r="W10" s="197"/>
      <c r="X10" s="197"/>
      <c r="Y10" s="197"/>
      <c r="Z10" s="197"/>
      <c r="AA10" s="197"/>
      <c r="AB10" s="197"/>
      <c r="AC10" s="197"/>
      <c r="AD10" s="197"/>
      <c r="AE10" s="197"/>
      <c r="AF10" s="197"/>
      <c r="AG10" s="197"/>
    </row>
    <row r="11" spans="2:34" ht="13.2" x14ac:dyDescent="0.25">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row>
    <row r="12" spans="2:34" ht="13.2" x14ac:dyDescent="0.25">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row>
    <row r="13" spans="2:34" ht="13.2" x14ac:dyDescent="0.25">
      <c r="B13" s="197"/>
      <c r="C13" s="197"/>
      <c r="D13" s="197"/>
      <c r="E13" s="197"/>
      <c r="F13" s="197"/>
      <c r="G13" s="197"/>
      <c r="H13" s="197"/>
      <c r="I13" s="197"/>
      <c r="J13" s="197"/>
      <c r="K13" s="197"/>
      <c r="L13" s="197"/>
      <c r="M13" s="197"/>
      <c r="N13" s="197"/>
      <c r="O13" s="197"/>
      <c r="P13" s="197"/>
      <c r="Q13" s="197"/>
      <c r="R13" s="197"/>
      <c r="S13" s="197"/>
      <c r="T13" s="197"/>
      <c r="U13" s="197"/>
      <c r="V13" s="197"/>
      <c r="W13" s="197"/>
      <c r="X13" s="197"/>
      <c r="Y13" s="197"/>
      <c r="Z13" s="197"/>
      <c r="AA13" s="197"/>
      <c r="AB13" s="197"/>
      <c r="AC13" s="197"/>
      <c r="AD13" s="197"/>
      <c r="AE13" s="197"/>
      <c r="AF13" s="197"/>
      <c r="AG13" s="197"/>
    </row>
    <row r="14" spans="2:34" ht="13.2" x14ac:dyDescent="0.25">
      <c r="B14" s="197"/>
      <c r="C14" s="197"/>
      <c r="D14" s="197"/>
      <c r="E14" s="197"/>
      <c r="F14" s="197"/>
      <c r="G14" s="197"/>
      <c r="H14" s="197"/>
      <c r="I14" s="197"/>
      <c r="J14" s="197"/>
      <c r="K14" s="197"/>
      <c r="L14" s="197"/>
      <c r="M14" s="197"/>
      <c r="N14" s="197"/>
      <c r="O14" s="197"/>
      <c r="P14" s="197"/>
      <c r="Q14" s="197"/>
      <c r="R14" s="197"/>
      <c r="S14" s="197"/>
      <c r="T14" s="197"/>
      <c r="U14" s="197"/>
      <c r="V14" s="197"/>
      <c r="W14" s="197"/>
      <c r="X14" s="197"/>
      <c r="Y14" s="197"/>
      <c r="Z14" s="197"/>
      <c r="AA14" s="197"/>
      <c r="AB14" s="197"/>
      <c r="AC14" s="197"/>
      <c r="AD14" s="197"/>
      <c r="AE14" s="197"/>
      <c r="AF14" s="197"/>
      <c r="AG14" s="197"/>
      <c r="AH14" s="40"/>
    </row>
    <row r="15" spans="2:34" ht="13.2" x14ac:dyDescent="0.25">
      <c r="B15" s="197"/>
      <c r="C15" s="197"/>
      <c r="D15" s="197"/>
      <c r="E15" s="197"/>
      <c r="F15" s="197"/>
      <c r="G15" s="197"/>
      <c r="H15" s="197"/>
      <c r="I15" s="197"/>
      <c r="J15" s="197"/>
      <c r="K15" s="197"/>
      <c r="L15" s="197"/>
      <c r="M15" s="197"/>
      <c r="N15" s="197"/>
      <c r="O15" s="197"/>
      <c r="P15" s="197"/>
      <c r="Q15" s="197"/>
      <c r="R15" s="197"/>
      <c r="S15" s="197"/>
      <c r="T15" s="197"/>
      <c r="U15" s="197"/>
      <c r="V15" s="197"/>
      <c r="W15" s="197"/>
      <c r="X15" s="197"/>
      <c r="Y15" s="197"/>
      <c r="Z15" s="197"/>
      <c r="AA15" s="197"/>
      <c r="AB15" s="197"/>
      <c r="AC15" s="197"/>
      <c r="AD15" s="197"/>
      <c r="AE15" s="197"/>
      <c r="AF15" s="197"/>
      <c r="AG15" s="197"/>
      <c r="AH15" s="40"/>
    </row>
    <row r="16" spans="2:34" ht="13.2" x14ac:dyDescent="0.25">
      <c r="B16" s="197"/>
      <c r="C16" s="197"/>
      <c r="D16" s="197"/>
      <c r="E16" s="197"/>
      <c r="F16" s="197"/>
      <c r="G16" s="197"/>
      <c r="H16" s="197"/>
      <c r="I16" s="197"/>
      <c r="J16" s="197"/>
      <c r="K16" s="197"/>
      <c r="L16" s="197"/>
      <c r="M16" s="197"/>
      <c r="N16" s="197"/>
      <c r="O16" s="197"/>
      <c r="P16" s="197"/>
      <c r="Q16" s="197"/>
      <c r="R16" s="197"/>
      <c r="S16" s="197"/>
      <c r="T16" s="197"/>
      <c r="U16" s="197"/>
      <c r="V16" s="197"/>
      <c r="W16" s="197"/>
      <c r="X16" s="197"/>
      <c r="Y16" s="197"/>
      <c r="Z16" s="197"/>
      <c r="AA16" s="197"/>
      <c r="AB16" s="197"/>
      <c r="AC16" s="197"/>
      <c r="AD16" s="197"/>
      <c r="AE16" s="197"/>
      <c r="AF16" s="197"/>
      <c r="AG16" s="197"/>
      <c r="AH16" s="40"/>
    </row>
    <row r="17" spans="2:34" ht="13.2" x14ac:dyDescent="0.25">
      <c r="B17" s="197"/>
      <c r="C17" s="197"/>
      <c r="D17" s="197"/>
      <c r="E17" s="197"/>
      <c r="F17" s="197"/>
      <c r="G17" s="197"/>
      <c r="H17" s="197"/>
      <c r="I17" s="197"/>
      <c r="J17" s="197"/>
      <c r="K17" s="197"/>
      <c r="L17" s="197"/>
      <c r="M17" s="197"/>
      <c r="N17" s="197"/>
      <c r="O17" s="197"/>
      <c r="P17" s="197"/>
      <c r="Q17" s="197"/>
      <c r="R17" s="197"/>
      <c r="S17" s="197"/>
      <c r="T17" s="197"/>
      <c r="U17" s="197"/>
      <c r="V17" s="197"/>
      <c r="W17" s="197"/>
      <c r="X17" s="197"/>
      <c r="Y17" s="197"/>
      <c r="Z17" s="197"/>
      <c r="AA17" s="197"/>
      <c r="AB17" s="197"/>
      <c r="AC17" s="197"/>
      <c r="AD17" s="197"/>
      <c r="AE17" s="197"/>
      <c r="AF17" s="197"/>
      <c r="AG17" s="197"/>
      <c r="AH17" s="40"/>
    </row>
    <row r="18" spans="2:34" ht="13.2" x14ac:dyDescent="0.25">
      <c r="B18" s="197"/>
      <c r="C18" s="197"/>
      <c r="D18" s="197"/>
      <c r="E18" s="197"/>
      <c r="F18" s="197"/>
      <c r="G18" s="197"/>
      <c r="H18" s="197"/>
      <c r="I18" s="197"/>
      <c r="J18" s="197"/>
      <c r="K18" s="197"/>
      <c r="L18" s="197"/>
      <c r="M18" s="197"/>
      <c r="N18" s="197"/>
      <c r="O18" s="197"/>
      <c r="P18" s="197"/>
      <c r="Q18" s="197"/>
      <c r="R18" s="197"/>
      <c r="S18" s="197"/>
      <c r="T18" s="197"/>
      <c r="U18" s="197"/>
      <c r="V18" s="197"/>
      <c r="W18" s="197"/>
      <c r="X18" s="197"/>
      <c r="Y18" s="197"/>
      <c r="Z18" s="197"/>
      <c r="AA18" s="197"/>
      <c r="AB18" s="197"/>
      <c r="AC18" s="197"/>
      <c r="AD18" s="197"/>
      <c r="AE18" s="197"/>
      <c r="AF18" s="197"/>
      <c r="AG18" s="197"/>
      <c r="AH18" s="40"/>
    </row>
    <row r="19" spans="2:34" ht="13.2" x14ac:dyDescent="0.25">
      <c r="B19" s="197"/>
      <c r="C19" s="197"/>
      <c r="D19" s="197"/>
      <c r="E19" s="197"/>
      <c r="F19" s="197"/>
      <c r="G19" s="197"/>
      <c r="H19" s="197"/>
      <c r="I19" s="197"/>
      <c r="J19" s="197"/>
      <c r="K19" s="197"/>
      <c r="L19" s="197"/>
      <c r="M19" s="197"/>
      <c r="N19" s="197"/>
      <c r="O19" s="197"/>
      <c r="P19" s="197"/>
      <c r="Q19" s="197"/>
      <c r="R19" s="197"/>
      <c r="S19" s="197"/>
      <c r="T19" s="197"/>
      <c r="U19" s="197"/>
      <c r="V19" s="197"/>
      <c r="W19" s="197"/>
      <c r="X19" s="197"/>
      <c r="Y19" s="197"/>
      <c r="Z19" s="197"/>
      <c r="AA19" s="197"/>
      <c r="AB19" s="197"/>
      <c r="AC19" s="197"/>
      <c r="AD19" s="197"/>
      <c r="AE19" s="197"/>
      <c r="AF19" s="197"/>
      <c r="AG19" s="197"/>
      <c r="AH19" s="40"/>
    </row>
    <row r="20" spans="2:34" ht="13.2" x14ac:dyDescent="0.25">
      <c r="B20" s="197"/>
      <c r="C20" s="197"/>
      <c r="D20" s="197"/>
      <c r="E20" s="197"/>
      <c r="F20" s="197"/>
      <c r="G20" s="197"/>
      <c r="H20" s="197"/>
      <c r="I20" s="197"/>
      <c r="J20" s="197"/>
      <c r="K20" s="197"/>
      <c r="L20" s="197"/>
      <c r="M20" s="197"/>
      <c r="N20" s="197"/>
      <c r="O20" s="197"/>
      <c r="P20" s="197"/>
      <c r="Q20" s="197"/>
      <c r="R20" s="197"/>
      <c r="S20" s="197"/>
      <c r="T20" s="197"/>
      <c r="U20" s="197"/>
      <c r="V20" s="197"/>
      <c r="W20" s="197"/>
      <c r="X20" s="197"/>
      <c r="Y20" s="197"/>
      <c r="Z20" s="197"/>
      <c r="AA20" s="197"/>
      <c r="AB20" s="197"/>
      <c r="AC20" s="197"/>
      <c r="AD20" s="197"/>
      <c r="AE20" s="197"/>
      <c r="AF20" s="197"/>
      <c r="AG20" s="197"/>
      <c r="AH20" s="43"/>
    </row>
    <row r="21" spans="2:34" ht="13.2" x14ac:dyDescent="0.25">
      <c r="B21" s="197"/>
      <c r="C21" s="197"/>
      <c r="D21" s="197"/>
      <c r="E21" s="197"/>
      <c r="F21" s="197"/>
      <c r="G21" s="197"/>
      <c r="H21" s="197"/>
      <c r="I21" s="197"/>
      <c r="J21" s="197"/>
      <c r="K21" s="197"/>
      <c r="L21" s="197"/>
      <c r="M21" s="197"/>
      <c r="N21" s="197"/>
      <c r="O21" s="197"/>
      <c r="P21" s="197"/>
      <c r="Q21" s="197"/>
      <c r="R21" s="197"/>
      <c r="S21" s="197"/>
      <c r="T21" s="197"/>
      <c r="U21" s="197"/>
      <c r="V21" s="197"/>
      <c r="W21" s="197"/>
      <c r="X21" s="197"/>
      <c r="Y21" s="197"/>
      <c r="Z21" s="197"/>
      <c r="AA21" s="197"/>
      <c r="AB21" s="197"/>
      <c r="AC21" s="197"/>
      <c r="AD21" s="197"/>
      <c r="AE21" s="197"/>
      <c r="AF21" s="197"/>
      <c r="AG21" s="197"/>
      <c r="AH21" s="43"/>
    </row>
    <row r="22" spans="2:34" ht="13.2" x14ac:dyDescent="0.25">
      <c r="B22" s="197"/>
      <c r="C22" s="197"/>
      <c r="D22" s="197"/>
      <c r="E22" s="197"/>
      <c r="F22" s="197"/>
      <c r="G22" s="197"/>
      <c r="H22" s="197"/>
      <c r="I22" s="197"/>
      <c r="J22" s="197"/>
      <c r="K22" s="197"/>
      <c r="L22" s="197"/>
      <c r="M22" s="197"/>
      <c r="N22" s="197"/>
      <c r="O22" s="197"/>
      <c r="P22" s="197"/>
      <c r="Q22" s="197"/>
      <c r="R22" s="197"/>
      <c r="S22" s="197"/>
      <c r="T22" s="197"/>
      <c r="U22" s="197"/>
      <c r="V22" s="197"/>
      <c r="W22" s="197"/>
      <c r="X22" s="197"/>
      <c r="Y22" s="197"/>
      <c r="Z22" s="197"/>
      <c r="AA22" s="197"/>
      <c r="AB22" s="197"/>
      <c r="AC22" s="197"/>
      <c r="AD22" s="197"/>
      <c r="AE22" s="197"/>
      <c r="AF22" s="197"/>
      <c r="AG22" s="197"/>
      <c r="AH22" s="43"/>
    </row>
    <row r="23" spans="2:34" ht="13.2" x14ac:dyDescent="0.25">
      <c r="B23" s="197"/>
      <c r="C23" s="197"/>
      <c r="D23" s="197"/>
      <c r="E23" s="197"/>
      <c r="F23" s="197"/>
      <c r="G23" s="197"/>
      <c r="H23" s="197"/>
      <c r="I23" s="197"/>
      <c r="J23" s="197"/>
      <c r="K23" s="197"/>
      <c r="L23" s="197"/>
      <c r="M23" s="197"/>
      <c r="N23" s="197"/>
      <c r="O23" s="197"/>
      <c r="P23" s="197"/>
      <c r="Q23" s="197"/>
      <c r="R23" s="197"/>
      <c r="S23" s="197"/>
      <c r="T23" s="197"/>
      <c r="U23" s="197"/>
      <c r="V23" s="197"/>
      <c r="W23" s="197"/>
      <c r="X23" s="197"/>
      <c r="Y23" s="197"/>
      <c r="Z23" s="197"/>
      <c r="AA23" s="197"/>
      <c r="AB23" s="197"/>
      <c r="AC23" s="197"/>
      <c r="AD23" s="197"/>
      <c r="AE23" s="197"/>
      <c r="AF23" s="197"/>
      <c r="AG23" s="197"/>
    </row>
    <row r="24" spans="2:34" ht="13.2" x14ac:dyDescent="0.25">
      <c r="B24" s="197"/>
      <c r="C24" s="197"/>
      <c r="D24" s="197"/>
      <c r="E24" s="197"/>
      <c r="F24" s="197"/>
      <c r="G24" s="197"/>
      <c r="H24" s="197"/>
      <c r="I24" s="197"/>
      <c r="J24" s="197"/>
      <c r="K24" s="197"/>
      <c r="L24" s="197"/>
      <c r="M24" s="197"/>
      <c r="N24" s="197"/>
      <c r="O24" s="197"/>
      <c r="P24" s="197"/>
      <c r="Q24" s="197"/>
      <c r="R24" s="197"/>
      <c r="S24" s="197"/>
      <c r="T24" s="197"/>
      <c r="U24" s="197"/>
      <c r="V24" s="197"/>
      <c r="W24" s="197"/>
      <c r="X24" s="197"/>
      <c r="Y24" s="197"/>
      <c r="Z24" s="197"/>
      <c r="AA24" s="197"/>
      <c r="AB24" s="197"/>
      <c r="AC24" s="197"/>
      <c r="AD24" s="197"/>
      <c r="AE24" s="197"/>
      <c r="AF24" s="197"/>
      <c r="AG24" s="197"/>
    </row>
    <row r="25" spans="2:34" ht="13.2" x14ac:dyDescent="0.25">
      <c r="B25" s="197"/>
      <c r="C25" s="197"/>
      <c r="D25" s="197"/>
      <c r="E25" s="197"/>
      <c r="F25" s="197"/>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row>
    <row r="26" spans="2:34" ht="13.2" x14ac:dyDescent="0.25">
      <c r="B26" s="197"/>
      <c r="C26" s="197"/>
      <c r="D26" s="197"/>
      <c r="E26" s="197"/>
      <c r="F26" s="197"/>
      <c r="G26" s="197"/>
      <c r="H26" s="197"/>
      <c r="I26" s="197"/>
      <c r="J26" s="197"/>
      <c r="K26" s="197"/>
      <c r="L26" s="197"/>
      <c r="M26" s="197"/>
      <c r="N26" s="197"/>
      <c r="O26" s="197"/>
      <c r="P26" s="197"/>
      <c r="Q26" s="197"/>
      <c r="R26" s="197"/>
      <c r="S26" s="197"/>
      <c r="T26" s="197"/>
      <c r="U26" s="197"/>
      <c r="V26" s="197"/>
      <c r="W26" s="197"/>
      <c r="X26" s="197"/>
      <c r="Y26" s="197"/>
      <c r="Z26" s="197"/>
      <c r="AA26" s="197"/>
      <c r="AB26" s="197"/>
      <c r="AC26" s="197"/>
      <c r="AD26" s="197"/>
      <c r="AE26" s="197"/>
      <c r="AF26" s="197"/>
      <c r="AG26" s="197"/>
    </row>
    <row r="27" spans="2:34" ht="13.2" x14ac:dyDescent="0.25">
      <c r="B27" s="197"/>
      <c r="C27" s="197"/>
      <c r="D27" s="197"/>
      <c r="E27" s="197"/>
      <c r="F27" s="197"/>
      <c r="G27" s="197"/>
      <c r="H27" s="197"/>
      <c r="I27" s="197"/>
      <c r="J27" s="197"/>
      <c r="K27" s="197"/>
      <c r="L27" s="197"/>
      <c r="M27" s="197"/>
      <c r="N27" s="197"/>
      <c r="O27" s="197"/>
      <c r="P27" s="197"/>
      <c r="Q27" s="197"/>
      <c r="R27" s="197"/>
      <c r="S27" s="197"/>
      <c r="T27" s="197"/>
      <c r="U27" s="197"/>
      <c r="V27" s="197"/>
      <c r="W27" s="197"/>
      <c r="X27" s="197"/>
      <c r="Y27" s="197"/>
      <c r="Z27" s="197"/>
      <c r="AA27" s="197"/>
      <c r="AB27" s="197"/>
      <c r="AC27" s="197"/>
      <c r="AD27" s="197"/>
      <c r="AE27" s="197"/>
      <c r="AF27" s="197"/>
      <c r="AG27" s="197"/>
    </row>
    <row r="28" spans="2:34" ht="13.2" x14ac:dyDescent="0.25">
      <c r="B28" s="197"/>
      <c r="C28" s="197"/>
      <c r="D28" s="197"/>
      <c r="E28" s="197"/>
      <c r="F28" s="197"/>
      <c r="G28" s="197"/>
      <c r="H28" s="197"/>
      <c r="I28" s="197"/>
      <c r="J28" s="197"/>
      <c r="K28" s="197"/>
      <c r="L28" s="197"/>
      <c r="M28" s="197"/>
      <c r="N28" s="197"/>
      <c r="O28" s="197"/>
      <c r="P28" s="197"/>
      <c r="Q28" s="197"/>
      <c r="R28" s="197"/>
      <c r="S28" s="197"/>
      <c r="T28" s="197"/>
      <c r="U28" s="197"/>
      <c r="V28" s="197"/>
      <c r="W28" s="197"/>
      <c r="X28" s="197"/>
      <c r="Y28" s="197"/>
      <c r="Z28" s="197"/>
      <c r="AA28" s="197"/>
      <c r="AB28" s="197"/>
      <c r="AC28" s="197"/>
      <c r="AD28" s="197"/>
      <c r="AE28" s="197"/>
      <c r="AF28" s="197"/>
      <c r="AG28" s="197"/>
    </row>
    <row r="29" spans="2:34" ht="13.2" x14ac:dyDescent="0.25">
      <c r="B29" s="197"/>
      <c r="C29" s="197"/>
      <c r="D29" s="197"/>
      <c r="E29" s="197"/>
      <c r="F29" s="197"/>
      <c r="G29" s="197"/>
      <c r="H29" s="197"/>
      <c r="I29" s="197"/>
      <c r="J29" s="197"/>
      <c r="K29" s="197"/>
      <c r="L29" s="197"/>
      <c r="M29" s="197"/>
      <c r="N29" s="197"/>
      <c r="O29" s="197"/>
      <c r="P29" s="197"/>
      <c r="Q29" s="197"/>
      <c r="R29" s="197"/>
      <c r="S29" s="197"/>
      <c r="T29" s="197"/>
      <c r="U29" s="197"/>
      <c r="V29" s="197"/>
      <c r="W29" s="197"/>
      <c r="X29" s="197"/>
      <c r="Y29" s="197"/>
      <c r="Z29" s="197"/>
      <c r="AA29" s="197"/>
      <c r="AB29" s="197"/>
      <c r="AC29" s="197"/>
      <c r="AD29" s="197"/>
      <c r="AE29" s="197"/>
      <c r="AF29" s="197"/>
      <c r="AG29" s="197"/>
    </row>
    <row r="30" spans="2:34" ht="13.2" x14ac:dyDescent="0.25">
      <c r="B30" s="197"/>
      <c r="C30" s="197"/>
      <c r="D30" s="197"/>
      <c r="E30" s="197"/>
      <c r="F30" s="197"/>
      <c r="G30" s="197"/>
      <c r="H30" s="197"/>
      <c r="I30" s="197"/>
      <c r="J30" s="197"/>
      <c r="K30" s="197"/>
      <c r="L30" s="197"/>
      <c r="M30" s="197"/>
      <c r="N30" s="197"/>
      <c r="O30" s="197"/>
      <c r="P30" s="197"/>
      <c r="Q30" s="197"/>
      <c r="R30" s="197"/>
      <c r="S30" s="197"/>
      <c r="T30" s="197"/>
      <c r="U30" s="197"/>
      <c r="V30" s="197"/>
      <c r="W30" s="197"/>
      <c r="X30" s="197"/>
      <c r="Y30" s="197"/>
      <c r="Z30" s="197"/>
      <c r="AA30" s="197"/>
      <c r="AB30" s="197"/>
      <c r="AC30" s="197"/>
      <c r="AD30" s="197"/>
      <c r="AE30" s="197"/>
      <c r="AF30" s="197"/>
      <c r="AG30" s="197"/>
    </row>
    <row r="31" spans="2:34" ht="13.2" x14ac:dyDescent="0.25">
      <c r="B31" s="197"/>
      <c r="C31" s="197"/>
      <c r="D31" s="197"/>
      <c r="E31" s="197"/>
      <c r="F31" s="197"/>
      <c r="G31" s="197"/>
      <c r="H31" s="197"/>
      <c r="I31" s="197"/>
      <c r="J31" s="197"/>
      <c r="K31" s="197"/>
      <c r="L31" s="197"/>
      <c r="M31" s="197"/>
      <c r="N31" s="197"/>
      <c r="O31" s="197"/>
      <c r="P31" s="197"/>
      <c r="Q31" s="197"/>
      <c r="R31" s="197"/>
      <c r="S31" s="197"/>
      <c r="T31" s="197"/>
      <c r="U31" s="197"/>
      <c r="V31" s="197"/>
      <c r="W31" s="197"/>
      <c r="X31" s="197"/>
      <c r="Y31" s="197"/>
      <c r="Z31" s="197"/>
      <c r="AA31" s="197"/>
      <c r="AB31" s="197"/>
      <c r="AC31" s="197"/>
      <c r="AD31" s="197"/>
      <c r="AE31" s="197"/>
      <c r="AF31" s="197"/>
      <c r="AG31" s="197"/>
    </row>
    <row r="32" spans="2:34" ht="13.2" x14ac:dyDescent="0.25">
      <c r="B32" s="197"/>
      <c r="C32" s="197"/>
      <c r="D32" s="197"/>
      <c r="E32" s="197"/>
      <c r="F32" s="197"/>
      <c r="G32" s="197"/>
      <c r="H32" s="197"/>
      <c r="I32" s="197"/>
      <c r="J32" s="197"/>
      <c r="K32" s="197"/>
      <c r="L32" s="197"/>
      <c r="M32" s="197"/>
      <c r="N32" s="197"/>
      <c r="O32" s="197"/>
      <c r="P32" s="197"/>
      <c r="Q32" s="197"/>
      <c r="R32" s="197"/>
      <c r="S32" s="197"/>
      <c r="T32" s="197"/>
      <c r="U32" s="197"/>
      <c r="V32" s="197"/>
      <c r="W32" s="197"/>
      <c r="X32" s="197"/>
      <c r="Y32" s="197"/>
      <c r="Z32" s="197"/>
      <c r="AA32" s="197"/>
      <c r="AB32" s="197"/>
      <c r="AC32" s="197"/>
      <c r="AD32" s="197"/>
      <c r="AE32" s="197"/>
      <c r="AF32" s="197"/>
      <c r="AG32" s="197"/>
    </row>
    <row r="33" spans="2:33" ht="13.2" x14ac:dyDescent="0.25">
      <c r="B33" s="197"/>
      <c r="C33" s="197"/>
      <c r="D33" s="197"/>
      <c r="E33" s="197"/>
      <c r="F33" s="197"/>
      <c r="G33" s="197"/>
      <c r="H33" s="197"/>
      <c r="I33" s="197"/>
      <c r="J33" s="197"/>
      <c r="K33" s="197"/>
      <c r="L33" s="197"/>
      <c r="M33" s="197"/>
      <c r="N33" s="197"/>
      <c r="O33" s="197"/>
      <c r="P33" s="197"/>
      <c r="Q33" s="197"/>
      <c r="R33" s="197"/>
      <c r="S33" s="197"/>
      <c r="T33" s="197"/>
      <c r="U33" s="197"/>
      <c r="V33" s="197"/>
      <c r="W33" s="197"/>
      <c r="X33" s="197"/>
      <c r="Y33" s="197"/>
      <c r="Z33" s="197"/>
      <c r="AA33" s="197"/>
      <c r="AB33" s="197"/>
      <c r="AC33" s="197"/>
      <c r="AD33" s="197"/>
      <c r="AE33" s="197"/>
      <c r="AF33" s="197"/>
      <c r="AG33" s="197"/>
    </row>
    <row r="34" spans="2:33" ht="13.2" x14ac:dyDescent="0.25">
      <c r="B34" s="197"/>
      <c r="C34" s="197"/>
      <c r="D34" s="197"/>
      <c r="E34" s="197"/>
      <c r="F34" s="197"/>
      <c r="G34" s="197"/>
      <c r="H34" s="197"/>
      <c r="I34" s="197"/>
      <c r="J34" s="197"/>
      <c r="K34" s="197"/>
      <c r="L34" s="197"/>
      <c r="M34" s="197"/>
      <c r="N34" s="197"/>
      <c r="O34" s="197"/>
      <c r="P34" s="197"/>
      <c r="Q34" s="197"/>
      <c r="R34" s="197"/>
      <c r="S34" s="197"/>
      <c r="T34" s="197"/>
      <c r="U34" s="197"/>
      <c r="V34" s="197"/>
      <c r="W34" s="197"/>
      <c r="X34" s="197"/>
      <c r="Y34" s="197"/>
      <c r="Z34" s="197"/>
      <c r="AA34" s="197"/>
      <c r="AB34" s="197"/>
      <c r="AC34" s="197"/>
      <c r="AD34" s="197"/>
      <c r="AE34" s="197"/>
      <c r="AF34" s="197"/>
      <c r="AG34" s="197"/>
    </row>
    <row r="35" spans="2:33" ht="12.75" customHeight="1" x14ac:dyDescent="0.25">
      <c r="B35" s="197"/>
      <c r="C35" s="197"/>
      <c r="D35" s="197"/>
      <c r="E35" s="197"/>
      <c r="F35" s="197"/>
      <c r="G35" s="197"/>
      <c r="H35" s="197"/>
      <c r="I35" s="197"/>
      <c r="J35" s="197"/>
      <c r="K35" s="197"/>
      <c r="L35" s="197"/>
      <c r="M35" s="197"/>
      <c r="N35" s="197"/>
      <c r="O35" s="197"/>
      <c r="P35" s="197"/>
      <c r="Q35" s="197"/>
      <c r="R35" s="197"/>
      <c r="S35" s="197"/>
      <c r="T35" s="197"/>
      <c r="U35" s="197"/>
      <c r="V35" s="197"/>
      <c r="W35" s="197"/>
      <c r="X35" s="197"/>
      <c r="Y35" s="197"/>
      <c r="Z35" s="197"/>
      <c r="AA35" s="197"/>
      <c r="AB35" s="197"/>
      <c r="AC35" s="197"/>
      <c r="AD35" s="197"/>
      <c r="AE35" s="197"/>
      <c r="AF35" s="197"/>
      <c r="AG35" s="197"/>
    </row>
    <row r="36" spans="2:33" ht="12.75" customHeight="1" x14ac:dyDescent="0.25">
      <c r="B36" s="197"/>
      <c r="C36" s="197"/>
      <c r="D36" s="197"/>
      <c r="E36" s="197"/>
      <c r="F36" s="197"/>
      <c r="G36" s="197"/>
      <c r="H36" s="197"/>
      <c r="I36" s="197"/>
      <c r="J36" s="197"/>
      <c r="K36" s="197"/>
      <c r="L36" s="197"/>
      <c r="M36" s="197"/>
      <c r="N36" s="197"/>
      <c r="O36" s="197"/>
      <c r="P36" s="197"/>
      <c r="Q36" s="197"/>
      <c r="R36" s="197"/>
      <c r="S36" s="197"/>
      <c r="T36" s="197"/>
      <c r="U36" s="197"/>
      <c r="V36" s="197"/>
      <c r="W36" s="197"/>
      <c r="X36" s="197"/>
      <c r="Y36" s="197"/>
      <c r="Z36" s="197"/>
      <c r="AA36" s="197"/>
      <c r="AB36" s="197"/>
      <c r="AC36" s="197"/>
      <c r="AD36" s="197"/>
      <c r="AE36" s="197"/>
      <c r="AF36" s="197"/>
      <c r="AG36" s="197"/>
    </row>
    <row r="37" spans="2:33" ht="12.75" customHeight="1" x14ac:dyDescent="0.25">
      <c r="B37" s="197"/>
      <c r="C37" s="197"/>
      <c r="D37" s="197"/>
      <c r="E37" s="197"/>
      <c r="F37" s="197"/>
      <c r="G37" s="197"/>
      <c r="H37" s="197"/>
      <c r="I37" s="197"/>
      <c r="J37" s="197"/>
      <c r="K37" s="197"/>
      <c r="L37" s="197"/>
      <c r="M37" s="197"/>
      <c r="N37" s="197"/>
      <c r="O37" s="197"/>
      <c r="P37" s="197"/>
      <c r="Q37" s="197"/>
      <c r="R37" s="197"/>
      <c r="S37" s="197"/>
      <c r="T37" s="197"/>
      <c r="U37" s="197"/>
      <c r="V37" s="197"/>
      <c r="W37" s="197"/>
      <c r="X37" s="197"/>
      <c r="Y37" s="197"/>
      <c r="Z37" s="197"/>
      <c r="AA37" s="197"/>
      <c r="AB37" s="197"/>
      <c r="AC37" s="197"/>
      <c r="AD37" s="197"/>
      <c r="AE37" s="197"/>
      <c r="AF37" s="197"/>
      <c r="AG37" s="197"/>
    </row>
    <row r="38" spans="2:33" ht="12.75" customHeight="1" x14ac:dyDescent="0.25"/>
    <row r="39" spans="2:33" ht="12.75" customHeight="1" x14ac:dyDescent="0.25"/>
    <row r="40" spans="2:33" ht="12.75" customHeight="1" x14ac:dyDescent="0.25"/>
    <row r="41" spans="2:33" ht="12.75" customHeight="1" x14ac:dyDescent="0.25"/>
    <row r="42" spans="2:33" ht="12.75" customHeight="1" x14ac:dyDescent="0.25"/>
    <row r="43" spans="2:33" ht="12.75" customHeight="1" x14ac:dyDescent="0.25"/>
    <row r="44" spans="2:33" ht="12.75" customHeight="1" x14ac:dyDescent="0.25"/>
    <row r="45" spans="2:33" ht="12.75" customHeight="1" x14ac:dyDescent="0.25"/>
    <row r="46" spans="2:33" ht="12.75" customHeight="1" x14ac:dyDescent="0.25"/>
    <row r="47" spans="2:33" ht="12.75" customHeight="1" x14ac:dyDescent="0.25"/>
    <row r="48" spans="2:3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1.1&amp;R&amp;P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47"/>
  <sheetViews>
    <sheetView tabSelected="1" zoomScaleNormal="100" workbookViewId="0">
      <selection activeCell="I13" sqref="I13"/>
    </sheetView>
  </sheetViews>
  <sheetFormatPr defaultRowHeight="13.2" x14ac:dyDescent="0.25"/>
  <cols>
    <col min="1" max="1" width="2.5546875" customWidth="1"/>
    <col min="2" max="2" width="5.33203125" customWidth="1"/>
    <col min="3" max="3" width="17.109375" customWidth="1"/>
    <col min="4" max="4" width="38.33203125" style="107" customWidth="1"/>
    <col min="5" max="5" width="14" customWidth="1"/>
    <col min="6" max="6" width="62.33203125" customWidth="1"/>
    <col min="7" max="7" width="11.6640625" customWidth="1"/>
    <col min="8" max="8" width="7.5546875" bestFit="1" customWidth="1"/>
    <col min="9" max="9" width="10.33203125" customWidth="1"/>
    <col min="10" max="10" width="18.44140625" customWidth="1"/>
    <col min="12" max="12" width="13" customWidth="1"/>
    <col min="13" max="13" width="11.44140625" customWidth="1"/>
    <col min="14" max="14" width="18.33203125" customWidth="1"/>
  </cols>
  <sheetData>
    <row r="1" spans="2:14" ht="13.8" thickBot="1" x14ac:dyDescent="0.3"/>
    <row r="2" spans="2:14" ht="43.8" thickBot="1" x14ac:dyDescent="0.3">
      <c r="B2" s="59" t="s">
        <v>35</v>
      </c>
      <c r="C2" s="60" t="s">
        <v>36</v>
      </c>
      <c r="D2" s="61" t="s">
        <v>66</v>
      </c>
      <c r="E2" s="61" t="s">
        <v>107</v>
      </c>
      <c r="F2" s="61" t="s">
        <v>37</v>
      </c>
      <c r="G2" s="61" t="s">
        <v>321</v>
      </c>
      <c r="H2" s="61" t="s">
        <v>68</v>
      </c>
      <c r="I2" s="60" t="s">
        <v>10</v>
      </c>
      <c r="J2" s="60" t="s">
        <v>67</v>
      </c>
      <c r="K2" s="60" t="s">
        <v>57</v>
      </c>
      <c r="L2" s="62" t="s">
        <v>38</v>
      </c>
      <c r="M2" s="62" t="s">
        <v>69</v>
      </c>
      <c r="N2" s="119" t="s">
        <v>320</v>
      </c>
    </row>
    <row r="3" spans="2:14" s="85" customFormat="1" ht="28.8" x14ac:dyDescent="0.25">
      <c r="B3" s="84">
        <v>1</v>
      </c>
      <c r="C3" s="100" t="s">
        <v>144</v>
      </c>
      <c r="D3" s="108" t="str">
        <f t="shared" ref="D3:D12" ca="1" si="0">IF(C3&lt;&gt;"",INDIRECT(C3&amp;"!B3"),"")</f>
        <v>ARCH_SW_PMP_0005</v>
      </c>
      <c r="E3" s="66" t="str">
        <f t="shared" ref="E3:E12" ca="1" si="1">IF(C3&lt;&gt;"",INDIRECT(C3&amp;"!B5"),"")</f>
        <v>Nominal</v>
      </c>
      <c r="F3" s="66" t="str">
        <f t="shared" ref="F3:F8" ca="1" si="2">IF(C3&lt;&gt;"",INDIRECT(C3&amp;"!B1"),"")</f>
        <v>Testing module initialization function</v>
      </c>
      <c r="G3" s="103" t="s">
        <v>322</v>
      </c>
      <c r="H3" s="102">
        <v>1</v>
      </c>
      <c r="I3" s="104" t="s">
        <v>267</v>
      </c>
      <c r="J3" s="111"/>
      <c r="K3" s="112" t="str">
        <f t="shared" ref="K3:K10" ca="1" si="3">IF(C3&lt;&gt;"",INDIRECT(C3&amp;"!B9"),"")</f>
        <v>Ok</v>
      </c>
      <c r="L3" s="113" t="s">
        <v>271</v>
      </c>
      <c r="M3" s="105"/>
      <c r="N3" s="106"/>
    </row>
    <row r="4" spans="2:14" ht="86.4" x14ac:dyDescent="0.25">
      <c r="B4" s="64">
        <v>2</v>
      </c>
      <c r="C4" s="100" t="s">
        <v>146</v>
      </c>
      <c r="D4" s="108" t="str">
        <f t="shared" ca="1" si="0"/>
        <v>ARCH_SW_PMP_0010, ARCH_SW_PMP_0011, ARCH_SW_PMP_0012, ARCH_SW_PMP_0013,  ARCH_SW_PMP_0014, ARCH_SW_PMP_0020</v>
      </c>
      <c r="E4" s="66" t="str">
        <f t="shared" ca="1" si="1"/>
        <v>Nominal</v>
      </c>
      <c r="F4" s="66" t="str">
        <f t="shared" ca="1" si="2"/>
        <v>Testing if battery voltage is updating</v>
      </c>
      <c r="G4" s="103"/>
      <c r="H4" s="102">
        <v>1</v>
      </c>
      <c r="I4" s="104" t="s">
        <v>267</v>
      </c>
      <c r="J4" s="114"/>
      <c r="K4" s="115" t="str">
        <f t="shared" ca="1" si="3"/>
        <v>Nok</v>
      </c>
      <c r="L4" s="116" t="s">
        <v>271</v>
      </c>
      <c r="M4" s="105">
        <v>813817</v>
      </c>
      <c r="N4" s="106"/>
    </row>
    <row r="5" spans="2:14" ht="100.8" x14ac:dyDescent="0.25">
      <c r="B5" s="64">
        <v>3</v>
      </c>
      <c r="C5" s="100" t="s">
        <v>147</v>
      </c>
      <c r="D5" s="108" t="str">
        <f ca="1">IF(C5&lt;&gt;"",INDIRECT(C5&amp;"!B3"),"")</f>
        <v>ARCH_SW_PMP_9014, ARCH_SW_PMP_0260, ARCH_SW_PMP_0280, ARCH_SW_PMP_0265, ARCH_SW_PMP_0285, ARCH_SW_PMP_9009, ARCH_SW_PMP_9002</v>
      </c>
      <c r="E5" s="66" t="str">
        <f t="shared" ca="1" si="1"/>
        <v>Nominal</v>
      </c>
      <c r="F5" s="66" t="str">
        <f t="shared" ca="1" si="2"/>
        <v>Testing if ECU temperature is provided</v>
      </c>
      <c r="G5" s="103"/>
      <c r="H5" s="102">
        <v>1</v>
      </c>
      <c r="I5" s="104" t="s">
        <v>267</v>
      </c>
      <c r="J5" s="114"/>
      <c r="K5" s="115" t="str">
        <f t="shared" ca="1" si="3"/>
        <v>Ok</v>
      </c>
      <c r="L5" s="116" t="s">
        <v>271</v>
      </c>
      <c r="M5" s="105"/>
      <c r="N5" s="106"/>
    </row>
    <row r="6" spans="2:14" ht="65.25" customHeight="1" x14ac:dyDescent="0.25">
      <c r="B6" s="64">
        <v>4</v>
      </c>
      <c r="C6" s="100" t="s">
        <v>151</v>
      </c>
      <c r="D6" s="108" t="str">
        <f t="shared" ca="1" si="0"/>
        <v>ARCH_SW_PMP_0200, ARCH_SW_PMP_0210, ARCH_SW_PMP_0201, ARCH_SW_PMP_0202</v>
      </c>
      <c r="E6" s="66" t="str">
        <f t="shared" ca="1" si="1"/>
        <v>Nominal</v>
      </c>
      <c r="F6" s="66" t="str">
        <f t="shared" ca="1" si="2"/>
        <v>Testing if battery voltage state is monitored.</v>
      </c>
      <c r="G6" s="103"/>
      <c r="H6" s="102">
        <v>1</v>
      </c>
      <c r="I6" s="104" t="s">
        <v>267</v>
      </c>
      <c r="J6" s="114"/>
      <c r="K6" s="115" t="str">
        <f t="shared" ca="1" si="3"/>
        <v>Ok</v>
      </c>
      <c r="L6" s="116" t="s">
        <v>271</v>
      </c>
      <c r="M6" s="105"/>
      <c r="N6" s="106"/>
    </row>
    <row r="7" spans="2:14" ht="155.25" customHeight="1" x14ac:dyDescent="0.25">
      <c r="B7" s="64">
        <v>5</v>
      </c>
      <c r="C7" s="100" t="s">
        <v>165</v>
      </c>
      <c r="D7" s="108" t="str">
        <f t="shared" ca="1" si="0"/>
        <v>ARCH_SW_PMP_0340, ARCH_SW_PMP_0320, ARCH_SW_PMP_9006, ARCH_SW_PMP_9007, ARCH_SW_PMP_9008, ARCH_SW_PMP_9004, ARCH_SW_PMP_9005, ARCH_SW_PMP_0341, ARCH_SW_PMP_9001, ARCH_SW_PMP_9003</v>
      </c>
      <c r="E7" s="66" t="str">
        <f t="shared" ca="1" si="1"/>
        <v>Nominal</v>
      </c>
      <c r="F7" s="66" t="str">
        <f t="shared" ca="1" si="2"/>
        <v>Testing if the estimation of energy stored is computed and provided.</v>
      </c>
      <c r="G7" s="103"/>
      <c r="H7" s="102">
        <v>1</v>
      </c>
      <c r="I7" s="104" t="s">
        <v>267</v>
      </c>
      <c r="J7" s="114"/>
      <c r="K7" s="115" t="str">
        <f t="shared" ca="1" si="3"/>
        <v>Ok</v>
      </c>
      <c r="L7" s="116" t="s">
        <v>271</v>
      </c>
      <c r="M7" s="105"/>
      <c r="N7" s="106"/>
    </row>
    <row r="8" spans="2:14" ht="28.8" x14ac:dyDescent="0.25">
      <c r="B8" s="64">
        <v>6</v>
      </c>
      <c r="C8" s="100" t="s">
        <v>170</v>
      </c>
      <c r="D8" s="108" t="str">
        <f t="shared" ca="1" si="0"/>
        <v>ARCH_SW_PMP_0380</v>
      </c>
      <c r="E8" s="66" t="str">
        <f t="shared" ca="1" si="1"/>
        <v>Nominal</v>
      </c>
      <c r="F8" s="66" t="str">
        <f t="shared" ca="1" si="2"/>
        <v>Testing if the motor resistance is computed and provided.</v>
      </c>
      <c r="G8" s="103"/>
      <c r="H8" s="102">
        <v>1</v>
      </c>
      <c r="I8" s="104" t="s">
        <v>267</v>
      </c>
      <c r="J8" s="114"/>
      <c r="K8" s="115" t="str">
        <f t="shared" ca="1" si="3"/>
        <v>Ok</v>
      </c>
      <c r="L8" s="116" t="s">
        <v>271</v>
      </c>
      <c r="M8" s="105">
        <v>813818</v>
      </c>
      <c r="N8" s="106"/>
    </row>
    <row r="9" spans="2:14" ht="61.5" customHeight="1" x14ac:dyDescent="0.25">
      <c r="B9" s="64">
        <v>7</v>
      </c>
      <c r="C9" s="100" t="s">
        <v>175</v>
      </c>
      <c r="D9" s="108" t="str">
        <f t="shared" ca="1" si="0"/>
        <v>ARCH_SW_PMP_1000, ARCH_SW_PMP_1001, ARCH_SW_PMP_1005, ARCH_SW_PMP_1007, ARCH_SW_PMP_1008</v>
      </c>
      <c r="E9" s="66" t="str">
        <f t="shared" ca="1" si="1"/>
        <v>Nominal</v>
      </c>
      <c r="F9" s="66" t="str">
        <f t="shared" ref="F9:F47" ca="1" si="4">IF(C9&lt;&gt;"",INDIRECT(C9&amp;"!B1"),"")</f>
        <v>Testing overvoltage detection.</v>
      </c>
      <c r="G9" s="103" t="s">
        <v>322</v>
      </c>
      <c r="H9" s="102">
        <v>1</v>
      </c>
      <c r="I9" s="104" t="s">
        <v>267</v>
      </c>
      <c r="J9" s="114"/>
      <c r="K9" s="115" t="str">
        <f ca="1">IF(C9&lt;&gt;"",INDIRECT(C9&amp;"!B9"),"")</f>
        <v>Ok</v>
      </c>
      <c r="L9" s="116" t="s">
        <v>271</v>
      </c>
      <c r="M9" s="105"/>
      <c r="N9" s="106"/>
    </row>
    <row r="10" spans="2:14" ht="62.25" customHeight="1" x14ac:dyDescent="0.25">
      <c r="B10" s="64">
        <v>8</v>
      </c>
      <c r="C10" s="100" t="s">
        <v>176</v>
      </c>
      <c r="D10" s="108" t="str">
        <f t="shared" ca="1" si="0"/>
        <v>ARCH_SW_PMP_1050, ARCH_SW_PMP_1051, ARCH_SW_PMP_1055, ARCH_SW_PMP_1057, ARCH_SW_PMP_1058</v>
      </c>
      <c r="E10" s="66" t="str">
        <f t="shared" ca="1" si="1"/>
        <v>Nominal</v>
      </c>
      <c r="F10" s="66" t="str">
        <f ca="1">IF(C10&lt;&gt;"",INDIRECT(C10&amp;"!B1"),"")</f>
        <v>Testing undervoltage detection.</v>
      </c>
      <c r="G10" s="103" t="s">
        <v>322</v>
      </c>
      <c r="H10" s="102">
        <v>1</v>
      </c>
      <c r="I10" s="104" t="s">
        <v>267</v>
      </c>
      <c r="J10" s="114"/>
      <c r="K10" s="115" t="str">
        <f t="shared" ca="1" si="3"/>
        <v>Ok</v>
      </c>
      <c r="L10" s="116" t="s">
        <v>271</v>
      </c>
      <c r="M10" s="105"/>
      <c r="N10" s="106"/>
    </row>
    <row r="11" spans="2:14" ht="72" x14ac:dyDescent="0.25">
      <c r="B11" s="64">
        <v>9</v>
      </c>
      <c r="C11" s="100" t="s">
        <v>248</v>
      </c>
      <c r="D11" s="108" t="str">
        <f t="shared" ca="1" si="0"/>
        <v>ARCH_SW_PMP_1070, ARCH_SW_PMP_1071, ARCH_SW_PMP_1075, ARCH_SW_PMP_1077, ARCH_SW_PMP_1078</v>
      </c>
      <c r="E11" s="66" t="str">
        <f t="shared" ca="1" si="1"/>
        <v>Nominal</v>
      </c>
      <c r="F11" s="66" t="str">
        <f t="shared" ref="F11:F12" ca="1" si="5">IF(C11&lt;&gt;"",INDIRECT(C11&amp;"!B1"),"")</f>
        <v>Testing overvoltage detection during activation.</v>
      </c>
      <c r="G11" s="103"/>
      <c r="H11" s="102">
        <v>1</v>
      </c>
      <c r="I11" s="104" t="s">
        <v>267</v>
      </c>
      <c r="J11" s="114"/>
      <c r="K11" s="115" t="str">
        <f ca="1">IF(C11&lt;&gt;"",INDIRECT(C11&amp;"!B9"),"")</f>
        <v>Ok</v>
      </c>
      <c r="L11" s="116" t="s">
        <v>271</v>
      </c>
      <c r="M11" s="105"/>
      <c r="N11" s="106"/>
    </row>
    <row r="12" spans="2:14" ht="72" x14ac:dyDescent="0.25">
      <c r="B12" s="64">
        <v>10</v>
      </c>
      <c r="C12" s="100" t="s">
        <v>249</v>
      </c>
      <c r="D12" s="108" t="str">
        <f t="shared" ca="1" si="0"/>
        <v>ARCH_SW_PMP_1060, ARCH_SW_PMP_1061, ARCH_SW_PMP_1065, ARCH_SW_PMP_1067, ARCH_SW_PMP_1080,ARCH_SW_PMP_1068</v>
      </c>
      <c r="E12" s="66" t="str">
        <f t="shared" ca="1" si="1"/>
        <v>Nominal</v>
      </c>
      <c r="F12" s="66" t="str">
        <f t="shared" ca="1" si="5"/>
        <v>Testing undervoltage detection during activation.</v>
      </c>
      <c r="G12" s="103"/>
      <c r="H12" s="102">
        <v>1</v>
      </c>
      <c r="I12" s="104" t="s">
        <v>267</v>
      </c>
      <c r="J12" s="114"/>
      <c r="K12" s="115" t="str">
        <f ca="1">IF(C12&lt;&gt;"",INDIRECT(C12&amp;"!B9"),"")</f>
        <v>Nok</v>
      </c>
      <c r="L12" s="116" t="s">
        <v>271</v>
      </c>
      <c r="M12" s="105">
        <v>814534</v>
      </c>
      <c r="N12" s="106"/>
    </row>
    <row r="13" spans="2:14" ht="57.6" x14ac:dyDescent="0.25">
      <c r="B13" s="64">
        <v>11</v>
      </c>
      <c r="C13" s="100" t="s">
        <v>317</v>
      </c>
      <c r="D13" s="108" t="str">
        <f t="shared" ref="D13:D14" ca="1" si="6">IF(C13&lt;&gt;"",INDIRECT(C13&amp;"!B3"),"")</f>
        <v>ARCH_SW_PMP_1008, ARCH_SW_PMP_1059,  ARCH_SW_PMP_1069, ARCH_SW_PMP_1079</v>
      </c>
      <c r="E13" s="66" t="str">
        <f t="shared" ref="E13:E14" ca="1" si="7">IF(C13&lt;&gt;"",INDIRECT(C13&amp;"!B5"),"")</f>
        <v>Nominal</v>
      </c>
      <c r="F13" s="66" t="str">
        <f t="shared" ref="F13:F14" ca="1" si="8">IF(C13&lt;&gt;"",INDIRECT(C13&amp;"!B1"),"")</f>
        <v>Testing the ERH interfaces</v>
      </c>
      <c r="G13" s="103"/>
      <c r="H13" s="102">
        <v>1</v>
      </c>
      <c r="I13" s="104" t="s">
        <v>267</v>
      </c>
      <c r="J13" s="114"/>
      <c r="K13" s="115" t="str">
        <f t="shared" ref="K13:K14" ca="1" si="9">IF(C13&lt;&gt;"",INDIRECT(C13&amp;"!B9"),"")</f>
        <v>Nok</v>
      </c>
      <c r="L13" s="116" t="s">
        <v>271</v>
      </c>
      <c r="M13" s="105">
        <v>814534</v>
      </c>
      <c r="N13" s="106"/>
    </row>
    <row r="14" spans="2:14" ht="28.8" x14ac:dyDescent="0.25">
      <c r="B14" s="64">
        <v>12</v>
      </c>
      <c r="C14" s="100" t="s">
        <v>318</v>
      </c>
      <c r="D14" s="108" t="str">
        <f t="shared" ca="1" si="6"/>
        <v>ARCH_SW_PMP_1081, ARCH_SW_PMP_1082</v>
      </c>
      <c r="E14" s="66" t="str">
        <f t="shared" ca="1" si="7"/>
        <v>Nominal</v>
      </c>
      <c r="F14" s="66" t="str">
        <f t="shared" ca="1" si="8"/>
        <v>Autotest CheckTemperatureSensor interfaces check</v>
      </c>
      <c r="G14" s="103"/>
      <c r="H14" s="102">
        <v>1</v>
      </c>
      <c r="I14" s="104" t="s">
        <v>267</v>
      </c>
      <c r="J14" s="114"/>
      <c r="K14" s="115" t="str">
        <f t="shared" ca="1" si="9"/>
        <v>Nok</v>
      </c>
      <c r="L14" s="116" t="s">
        <v>271</v>
      </c>
      <c r="M14" s="105">
        <v>814534</v>
      </c>
      <c r="N14" s="106"/>
    </row>
    <row r="15" spans="2:14" ht="14.4" x14ac:dyDescent="0.25">
      <c r="B15" s="64">
        <v>13</v>
      </c>
      <c r="C15" s="101"/>
      <c r="D15" s="109"/>
      <c r="E15" s="102"/>
      <c r="F15" s="102"/>
      <c r="G15" s="103"/>
      <c r="H15" s="102"/>
      <c r="I15" s="104"/>
      <c r="J15" s="114"/>
      <c r="K15" s="115"/>
      <c r="L15" s="116"/>
      <c r="M15" s="105"/>
      <c r="N15" s="106"/>
    </row>
    <row r="16" spans="2:14" ht="14.4" x14ac:dyDescent="0.25">
      <c r="B16" s="64">
        <v>14</v>
      </c>
      <c r="C16" s="101"/>
      <c r="D16" s="109"/>
      <c r="E16" s="102"/>
      <c r="F16" s="102"/>
      <c r="G16" s="103"/>
      <c r="H16" s="102"/>
      <c r="I16" s="104"/>
      <c r="J16" s="114"/>
      <c r="K16" s="115"/>
      <c r="L16" s="116"/>
      <c r="M16" s="105"/>
      <c r="N16" s="106"/>
    </row>
    <row r="17" spans="2:14" ht="14.4" x14ac:dyDescent="0.25">
      <c r="B17" s="64">
        <v>15</v>
      </c>
      <c r="C17" s="100"/>
      <c r="D17" s="108"/>
      <c r="E17" s="66"/>
      <c r="F17" s="66"/>
      <c r="G17" s="66"/>
      <c r="H17" s="66"/>
      <c r="I17" s="67"/>
      <c r="J17" s="117"/>
      <c r="K17" s="88"/>
      <c r="L17" s="65"/>
      <c r="M17" s="83"/>
      <c r="N17" s="69"/>
    </row>
    <row r="18" spans="2:14" ht="14.4" x14ac:dyDescent="0.25">
      <c r="B18" s="64">
        <v>16</v>
      </c>
      <c r="C18" s="100"/>
      <c r="D18" s="108"/>
      <c r="E18" s="66"/>
      <c r="F18" s="66"/>
      <c r="G18" s="66"/>
      <c r="H18" s="66"/>
      <c r="I18" s="67"/>
      <c r="J18" s="118"/>
      <c r="K18" s="88" t="str">
        <f t="shared" ref="K18:K47" ca="1" si="10">IF(C18&lt;&gt;"",INDIRECT(C18&amp;"!B11"),"")</f>
        <v/>
      </c>
      <c r="L18" s="65"/>
      <c r="M18" s="83"/>
      <c r="N18" s="69"/>
    </row>
    <row r="19" spans="2:14" ht="14.4" x14ac:dyDescent="0.25">
      <c r="B19" s="64">
        <v>17</v>
      </c>
      <c r="C19" s="100"/>
      <c r="D19" s="108"/>
      <c r="E19" s="66"/>
      <c r="F19" s="66"/>
      <c r="G19" s="66"/>
      <c r="H19" s="66"/>
      <c r="I19" s="67"/>
      <c r="J19" s="118"/>
      <c r="K19" s="88" t="str">
        <f t="shared" ca="1" si="10"/>
        <v/>
      </c>
      <c r="L19" s="65"/>
      <c r="M19" s="83"/>
      <c r="N19" s="69"/>
    </row>
    <row r="20" spans="2:14" ht="14.4" x14ac:dyDescent="0.25">
      <c r="B20" s="64">
        <v>18</v>
      </c>
      <c r="C20" s="65"/>
      <c r="D20" s="110" t="str">
        <f t="shared" ref="D20:D47" ca="1" si="11">IF(C20&lt;&gt;"",INDIRECT(C20&amp;"!B5"),"")</f>
        <v/>
      </c>
      <c r="E20" s="66" t="str">
        <f t="shared" ref="E20:E47" ca="1" si="12">IF(C20&lt;&gt;"",INDIRECT(C20&amp;"!B7"),"")</f>
        <v/>
      </c>
      <c r="F20" s="66" t="str">
        <f t="shared" ca="1" si="4"/>
        <v/>
      </c>
      <c r="G20" s="66"/>
      <c r="H20" s="66"/>
      <c r="I20" s="67"/>
      <c r="J20" s="68"/>
      <c r="K20" s="88" t="str">
        <f t="shared" ca="1" si="10"/>
        <v/>
      </c>
      <c r="L20" s="87"/>
      <c r="M20" s="83"/>
      <c r="N20" s="69"/>
    </row>
    <row r="21" spans="2:14" ht="14.4" x14ac:dyDescent="0.25">
      <c r="B21" s="63">
        <v>19</v>
      </c>
      <c r="C21" s="65"/>
      <c r="D21" s="110" t="str">
        <f t="shared" ca="1" si="11"/>
        <v/>
      </c>
      <c r="E21" s="66" t="str">
        <f t="shared" ca="1" si="12"/>
        <v/>
      </c>
      <c r="F21" s="66" t="str">
        <f t="shared" ca="1" si="4"/>
        <v/>
      </c>
      <c r="G21" s="66"/>
      <c r="H21" s="66"/>
      <c r="I21" s="67"/>
      <c r="K21" s="88" t="str">
        <f t="shared" ca="1" si="10"/>
        <v/>
      </c>
      <c r="L21" s="87"/>
      <c r="M21" s="83"/>
      <c r="N21" s="69"/>
    </row>
    <row r="22" spans="2:14" ht="14.4" x14ac:dyDescent="0.25">
      <c r="B22" s="64">
        <v>20</v>
      </c>
      <c r="C22" s="65"/>
      <c r="D22" s="110" t="str">
        <f t="shared" ca="1" si="11"/>
        <v/>
      </c>
      <c r="E22" s="66" t="str">
        <f t="shared" ca="1" si="12"/>
        <v/>
      </c>
      <c r="F22" s="66" t="str">
        <f t="shared" ca="1" si="4"/>
        <v/>
      </c>
      <c r="G22" s="66"/>
      <c r="H22" s="66"/>
      <c r="I22" s="67"/>
      <c r="J22" s="68"/>
      <c r="K22" s="88" t="str">
        <f t="shared" ca="1" si="10"/>
        <v/>
      </c>
      <c r="L22" s="87"/>
      <c r="M22" s="83"/>
      <c r="N22" s="69"/>
    </row>
    <row r="23" spans="2:14" ht="14.4" x14ac:dyDescent="0.25">
      <c r="B23" s="64">
        <v>21</v>
      </c>
      <c r="C23" s="65"/>
      <c r="D23" s="110" t="str">
        <f t="shared" ca="1" si="11"/>
        <v/>
      </c>
      <c r="E23" s="66" t="str">
        <f t="shared" ca="1" si="12"/>
        <v/>
      </c>
      <c r="F23" s="66" t="str">
        <f t="shared" ca="1" si="4"/>
        <v/>
      </c>
      <c r="G23" s="66"/>
      <c r="H23" s="66"/>
      <c r="I23" s="67"/>
      <c r="J23" s="68"/>
      <c r="K23" s="88" t="str">
        <f t="shared" ca="1" si="10"/>
        <v/>
      </c>
      <c r="L23" s="87"/>
      <c r="M23" s="83"/>
      <c r="N23" s="69"/>
    </row>
    <row r="24" spans="2:14" ht="14.4" x14ac:dyDescent="0.25">
      <c r="B24" s="64">
        <v>22</v>
      </c>
      <c r="C24" s="65"/>
      <c r="D24" s="110" t="str">
        <f t="shared" ca="1" si="11"/>
        <v/>
      </c>
      <c r="E24" s="66" t="str">
        <f t="shared" ca="1" si="12"/>
        <v/>
      </c>
      <c r="F24" s="66" t="str">
        <f t="shared" ca="1" si="4"/>
        <v/>
      </c>
      <c r="G24" s="66"/>
      <c r="H24" s="66"/>
      <c r="I24" s="67"/>
      <c r="J24" s="68"/>
      <c r="K24" s="88" t="str">
        <f t="shared" ca="1" si="10"/>
        <v/>
      </c>
      <c r="L24" s="87"/>
      <c r="M24" s="83"/>
      <c r="N24" s="69"/>
    </row>
    <row r="25" spans="2:14" ht="14.4" x14ac:dyDescent="0.25">
      <c r="B25" s="64">
        <v>23</v>
      </c>
      <c r="C25" s="65"/>
      <c r="D25" s="110" t="str">
        <f t="shared" ca="1" si="11"/>
        <v/>
      </c>
      <c r="E25" s="66" t="str">
        <f t="shared" ca="1" si="12"/>
        <v/>
      </c>
      <c r="F25" s="66" t="str">
        <f t="shared" ca="1" si="4"/>
        <v/>
      </c>
      <c r="G25" s="66"/>
      <c r="H25" s="66"/>
      <c r="I25" s="67"/>
      <c r="J25" s="68"/>
      <c r="K25" s="88" t="str">
        <f t="shared" ca="1" si="10"/>
        <v/>
      </c>
      <c r="L25" s="87"/>
      <c r="M25" s="83"/>
      <c r="N25" s="69"/>
    </row>
    <row r="26" spans="2:14" ht="14.4" x14ac:dyDescent="0.25">
      <c r="B26" s="64">
        <v>24</v>
      </c>
      <c r="C26" s="65"/>
      <c r="D26" s="110" t="str">
        <f t="shared" ca="1" si="11"/>
        <v/>
      </c>
      <c r="E26" s="66" t="str">
        <f t="shared" ca="1" si="12"/>
        <v/>
      </c>
      <c r="F26" s="66" t="str">
        <f t="shared" ca="1" si="4"/>
        <v/>
      </c>
      <c r="G26" s="66"/>
      <c r="H26" s="66"/>
      <c r="I26" s="67"/>
      <c r="J26" s="68"/>
      <c r="K26" s="88" t="str">
        <f t="shared" ca="1" si="10"/>
        <v/>
      </c>
      <c r="L26" s="87"/>
      <c r="M26" s="83"/>
      <c r="N26" s="69"/>
    </row>
    <row r="27" spans="2:14" ht="14.4" x14ac:dyDescent="0.25">
      <c r="B27" s="64">
        <v>25</v>
      </c>
      <c r="C27" s="65"/>
      <c r="D27" s="110" t="str">
        <f t="shared" ca="1" si="11"/>
        <v/>
      </c>
      <c r="E27" s="66" t="str">
        <f t="shared" ca="1" si="12"/>
        <v/>
      </c>
      <c r="F27" s="66" t="str">
        <f t="shared" ca="1" si="4"/>
        <v/>
      </c>
      <c r="G27" s="66"/>
      <c r="H27" s="66"/>
      <c r="I27" s="67"/>
      <c r="J27" s="68"/>
      <c r="K27" s="88" t="str">
        <f t="shared" ca="1" si="10"/>
        <v/>
      </c>
      <c r="L27" s="87"/>
      <c r="M27" s="83"/>
      <c r="N27" s="69"/>
    </row>
    <row r="28" spans="2:14" ht="14.4" x14ac:dyDescent="0.25">
      <c r="B28" s="64">
        <v>26</v>
      </c>
      <c r="C28" s="65"/>
      <c r="D28" s="110" t="str">
        <f t="shared" ca="1" si="11"/>
        <v/>
      </c>
      <c r="E28" s="66" t="str">
        <f t="shared" ca="1" si="12"/>
        <v/>
      </c>
      <c r="F28" s="66" t="str">
        <f t="shared" ca="1" si="4"/>
        <v/>
      </c>
      <c r="G28" s="66"/>
      <c r="H28" s="66"/>
      <c r="I28" s="67"/>
      <c r="J28" s="68"/>
      <c r="K28" s="88" t="str">
        <f t="shared" ca="1" si="10"/>
        <v/>
      </c>
      <c r="L28" s="87"/>
      <c r="M28" s="83"/>
      <c r="N28" s="69"/>
    </row>
    <row r="29" spans="2:14" ht="14.4" x14ac:dyDescent="0.25">
      <c r="B29" s="64">
        <v>27</v>
      </c>
      <c r="C29" s="65"/>
      <c r="D29" s="110" t="str">
        <f t="shared" ca="1" si="11"/>
        <v/>
      </c>
      <c r="E29" s="66" t="str">
        <f t="shared" ca="1" si="12"/>
        <v/>
      </c>
      <c r="F29" s="66" t="str">
        <f t="shared" ca="1" si="4"/>
        <v/>
      </c>
      <c r="G29" s="66"/>
      <c r="H29" s="66"/>
      <c r="I29" s="67"/>
      <c r="J29" s="68"/>
      <c r="K29" s="88" t="str">
        <f t="shared" ca="1" si="10"/>
        <v/>
      </c>
      <c r="L29" s="87"/>
      <c r="M29" s="83"/>
      <c r="N29" s="69"/>
    </row>
    <row r="30" spans="2:14" ht="14.4" x14ac:dyDescent="0.25">
      <c r="B30" s="63">
        <v>28</v>
      </c>
      <c r="C30" s="65"/>
      <c r="D30" s="110" t="str">
        <f t="shared" ca="1" si="11"/>
        <v/>
      </c>
      <c r="E30" s="66" t="str">
        <f t="shared" ca="1" si="12"/>
        <v/>
      </c>
      <c r="F30" s="66" t="str">
        <f t="shared" ca="1" si="4"/>
        <v/>
      </c>
      <c r="G30" s="66"/>
      <c r="H30" s="66"/>
      <c r="I30" s="67"/>
      <c r="J30" s="68"/>
      <c r="K30" s="88" t="str">
        <f t="shared" ca="1" si="10"/>
        <v/>
      </c>
      <c r="L30" s="87"/>
      <c r="M30" s="83"/>
      <c r="N30" s="69"/>
    </row>
    <row r="31" spans="2:14" ht="14.4" x14ac:dyDescent="0.25">
      <c r="B31" s="64">
        <v>29</v>
      </c>
      <c r="C31" s="65"/>
      <c r="D31" s="110" t="str">
        <f t="shared" ca="1" si="11"/>
        <v/>
      </c>
      <c r="E31" s="66" t="str">
        <f t="shared" ca="1" si="12"/>
        <v/>
      </c>
      <c r="F31" s="66" t="str">
        <f t="shared" ca="1" si="4"/>
        <v/>
      </c>
      <c r="G31" s="66"/>
      <c r="H31" s="66"/>
      <c r="I31" s="67"/>
      <c r="J31" s="68"/>
      <c r="K31" s="88" t="str">
        <f t="shared" ca="1" si="10"/>
        <v/>
      </c>
      <c r="L31" s="87"/>
      <c r="M31" s="83"/>
      <c r="N31" s="69"/>
    </row>
    <row r="32" spans="2:14" ht="14.4" x14ac:dyDescent="0.25">
      <c r="B32" s="64">
        <v>30</v>
      </c>
      <c r="C32" s="65"/>
      <c r="D32" s="110" t="str">
        <f t="shared" ca="1" si="11"/>
        <v/>
      </c>
      <c r="E32" s="66" t="str">
        <f t="shared" ca="1" si="12"/>
        <v/>
      </c>
      <c r="F32" s="66" t="str">
        <f t="shared" ca="1" si="4"/>
        <v/>
      </c>
      <c r="G32" s="66"/>
      <c r="H32" s="66"/>
      <c r="I32" s="67"/>
      <c r="J32" s="68"/>
      <c r="K32" s="88" t="str">
        <f t="shared" ca="1" si="10"/>
        <v/>
      </c>
      <c r="L32" s="87"/>
      <c r="M32" s="83"/>
      <c r="N32" s="69"/>
    </row>
    <row r="33" spans="2:14" ht="14.4" x14ac:dyDescent="0.25">
      <c r="B33" s="64">
        <v>31</v>
      </c>
      <c r="C33" s="65"/>
      <c r="D33" s="110" t="str">
        <f t="shared" ca="1" si="11"/>
        <v/>
      </c>
      <c r="E33" s="66" t="str">
        <f t="shared" ca="1" si="12"/>
        <v/>
      </c>
      <c r="F33" s="66" t="str">
        <f t="shared" ca="1" si="4"/>
        <v/>
      </c>
      <c r="G33" s="66"/>
      <c r="H33" s="66"/>
      <c r="I33" s="67"/>
      <c r="J33" s="68"/>
      <c r="K33" s="88" t="str">
        <f t="shared" ca="1" si="10"/>
        <v/>
      </c>
      <c r="L33" s="87"/>
      <c r="M33" s="83"/>
      <c r="N33" s="69"/>
    </row>
    <row r="34" spans="2:14" ht="14.4" x14ac:dyDescent="0.25">
      <c r="B34" s="64">
        <v>32</v>
      </c>
      <c r="C34" s="65"/>
      <c r="D34" s="110" t="str">
        <f t="shared" ca="1" si="11"/>
        <v/>
      </c>
      <c r="E34" s="66" t="str">
        <f t="shared" ca="1" si="12"/>
        <v/>
      </c>
      <c r="F34" s="66" t="str">
        <f t="shared" ca="1" si="4"/>
        <v/>
      </c>
      <c r="G34" s="66"/>
      <c r="H34" s="66"/>
      <c r="I34" s="67"/>
      <c r="J34" s="68"/>
      <c r="K34" s="88" t="str">
        <f t="shared" ca="1" si="10"/>
        <v/>
      </c>
      <c r="L34" s="87"/>
      <c r="M34" s="83"/>
      <c r="N34" s="69"/>
    </row>
    <row r="35" spans="2:14" ht="14.4" x14ac:dyDescent="0.25">
      <c r="B35" s="64">
        <v>33</v>
      </c>
      <c r="C35" s="65"/>
      <c r="D35" s="110" t="str">
        <f t="shared" ca="1" si="11"/>
        <v/>
      </c>
      <c r="E35" s="66" t="str">
        <f t="shared" ca="1" si="12"/>
        <v/>
      </c>
      <c r="F35" s="66" t="str">
        <f t="shared" ca="1" si="4"/>
        <v/>
      </c>
      <c r="G35" s="66"/>
      <c r="H35" s="66"/>
      <c r="I35" s="67"/>
      <c r="J35" s="68"/>
      <c r="K35" s="88" t="str">
        <f t="shared" ca="1" si="10"/>
        <v/>
      </c>
      <c r="L35" s="87"/>
      <c r="M35" s="83"/>
      <c r="N35" s="69"/>
    </row>
    <row r="36" spans="2:14" ht="14.4" x14ac:dyDescent="0.25">
      <c r="B36" s="64">
        <v>34</v>
      </c>
      <c r="C36" s="65"/>
      <c r="D36" s="110" t="str">
        <f t="shared" ca="1" si="11"/>
        <v/>
      </c>
      <c r="E36" s="66" t="str">
        <f t="shared" ca="1" si="12"/>
        <v/>
      </c>
      <c r="F36" s="66" t="str">
        <f t="shared" ca="1" si="4"/>
        <v/>
      </c>
      <c r="G36" s="66"/>
      <c r="H36" s="66"/>
      <c r="I36" s="67"/>
      <c r="J36" s="68"/>
      <c r="K36" s="88" t="str">
        <f t="shared" ca="1" si="10"/>
        <v/>
      </c>
      <c r="L36" s="87"/>
      <c r="M36" s="83"/>
      <c r="N36" s="69"/>
    </row>
    <row r="37" spans="2:14" ht="14.4" x14ac:dyDescent="0.25">
      <c r="B37" s="64">
        <v>35</v>
      </c>
      <c r="C37" s="65"/>
      <c r="D37" s="110" t="str">
        <f t="shared" ca="1" si="11"/>
        <v/>
      </c>
      <c r="E37" s="66" t="str">
        <f t="shared" ca="1" si="12"/>
        <v/>
      </c>
      <c r="F37" s="66" t="str">
        <f t="shared" ca="1" si="4"/>
        <v/>
      </c>
      <c r="G37" s="66"/>
      <c r="H37" s="66"/>
      <c r="I37" s="67"/>
      <c r="J37" s="68"/>
      <c r="K37" s="88" t="str">
        <f t="shared" ca="1" si="10"/>
        <v/>
      </c>
      <c r="L37" s="87"/>
      <c r="M37" s="83"/>
      <c r="N37" s="69"/>
    </row>
    <row r="38" spans="2:14" ht="14.4" x14ac:dyDescent="0.25">
      <c r="B38" s="64">
        <v>36</v>
      </c>
      <c r="C38" s="65"/>
      <c r="D38" s="110" t="str">
        <f t="shared" ca="1" si="11"/>
        <v/>
      </c>
      <c r="E38" s="66" t="str">
        <f t="shared" ca="1" si="12"/>
        <v/>
      </c>
      <c r="F38" s="66" t="str">
        <f t="shared" ca="1" si="4"/>
        <v/>
      </c>
      <c r="G38" s="66"/>
      <c r="H38" s="66"/>
      <c r="I38" s="67"/>
      <c r="J38" s="68"/>
      <c r="K38" s="88" t="str">
        <f t="shared" ca="1" si="10"/>
        <v/>
      </c>
      <c r="L38" s="87"/>
      <c r="M38" s="83"/>
      <c r="N38" s="69"/>
    </row>
    <row r="39" spans="2:14" ht="14.4" x14ac:dyDescent="0.25">
      <c r="B39" s="63">
        <v>37</v>
      </c>
      <c r="C39" s="65"/>
      <c r="D39" s="110" t="str">
        <f t="shared" ca="1" si="11"/>
        <v/>
      </c>
      <c r="E39" s="66" t="str">
        <f t="shared" ca="1" si="12"/>
        <v/>
      </c>
      <c r="F39" s="66" t="str">
        <f t="shared" ca="1" si="4"/>
        <v/>
      </c>
      <c r="G39" s="66"/>
      <c r="H39" s="66"/>
      <c r="I39" s="67"/>
      <c r="J39" s="68"/>
      <c r="K39" s="88" t="str">
        <f t="shared" ca="1" si="10"/>
        <v/>
      </c>
      <c r="L39" s="87"/>
      <c r="M39" s="83"/>
      <c r="N39" s="69"/>
    </row>
    <row r="40" spans="2:14" ht="14.4" x14ac:dyDescent="0.25">
      <c r="B40" s="64">
        <v>38</v>
      </c>
      <c r="C40" s="65"/>
      <c r="D40" s="110" t="str">
        <f t="shared" ca="1" si="11"/>
        <v/>
      </c>
      <c r="E40" s="66" t="str">
        <f t="shared" ca="1" si="12"/>
        <v/>
      </c>
      <c r="F40" s="66" t="str">
        <f t="shared" ca="1" si="4"/>
        <v/>
      </c>
      <c r="G40" s="66"/>
      <c r="H40" s="66"/>
      <c r="I40" s="67"/>
      <c r="J40" s="68"/>
      <c r="K40" s="88" t="str">
        <f t="shared" ca="1" si="10"/>
        <v/>
      </c>
      <c r="L40" s="87"/>
      <c r="M40" s="83"/>
      <c r="N40" s="69"/>
    </row>
    <row r="41" spans="2:14" ht="14.4" x14ac:dyDescent="0.25">
      <c r="B41" s="64">
        <v>39</v>
      </c>
      <c r="C41" s="65"/>
      <c r="D41" s="110" t="str">
        <f t="shared" ca="1" si="11"/>
        <v/>
      </c>
      <c r="E41" s="66" t="str">
        <f t="shared" ca="1" si="12"/>
        <v/>
      </c>
      <c r="F41" s="66" t="str">
        <f t="shared" ca="1" si="4"/>
        <v/>
      </c>
      <c r="G41" s="66"/>
      <c r="H41" s="66"/>
      <c r="I41" s="67"/>
      <c r="J41" s="68"/>
      <c r="K41" s="88" t="str">
        <f t="shared" ca="1" si="10"/>
        <v/>
      </c>
      <c r="L41" s="87"/>
      <c r="M41" s="83"/>
      <c r="N41" s="69"/>
    </row>
    <row r="42" spans="2:14" ht="14.4" x14ac:dyDescent="0.25">
      <c r="B42" s="64">
        <v>40</v>
      </c>
      <c r="C42" s="65"/>
      <c r="D42" s="110" t="str">
        <f t="shared" ca="1" si="11"/>
        <v/>
      </c>
      <c r="E42" s="66" t="str">
        <f t="shared" ca="1" si="12"/>
        <v/>
      </c>
      <c r="F42" s="66" t="str">
        <f t="shared" ca="1" si="4"/>
        <v/>
      </c>
      <c r="G42" s="66"/>
      <c r="H42" s="66"/>
      <c r="I42" s="67"/>
      <c r="J42" s="68"/>
      <c r="K42" s="88" t="str">
        <f t="shared" ca="1" si="10"/>
        <v/>
      </c>
      <c r="L42" s="87"/>
      <c r="M42" s="83"/>
      <c r="N42" s="69"/>
    </row>
    <row r="43" spans="2:14" ht="14.4" x14ac:dyDescent="0.25">
      <c r="B43" s="64">
        <v>41</v>
      </c>
      <c r="C43" s="65"/>
      <c r="D43" s="110" t="str">
        <f t="shared" ca="1" si="11"/>
        <v/>
      </c>
      <c r="E43" s="66" t="str">
        <f t="shared" ca="1" si="12"/>
        <v/>
      </c>
      <c r="F43" s="66" t="str">
        <f t="shared" ca="1" si="4"/>
        <v/>
      </c>
      <c r="G43" s="66"/>
      <c r="H43" s="66"/>
      <c r="I43" s="67"/>
      <c r="J43" s="68"/>
      <c r="K43" s="88" t="str">
        <f t="shared" ca="1" si="10"/>
        <v/>
      </c>
      <c r="L43" s="87"/>
      <c r="M43" s="83"/>
      <c r="N43" s="69"/>
    </row>
    <row r="44" spans="2:14" ht="14.4" x14ac:dyDescent="0.25">
      <c r="B44" s="64">
        <v>42</v>
      </c>
      <c r="C44" s="65"/>
      <c r="D44" s="110" t="str">
        <f t="shared" ca="1" si="11"/>
        <v/>
      </c>
      <c r="E44" s="66" t="str">
        <f t="shared" ca="1" si="12"/>
        <v/>
      </c>
      <c r="F44" s="66" t="str">
        <f t="shared" ca="1" si="4"/>
        <v/>
      </c>
      <c r="G44" s="66"/>
      <c r="H44" s="66"/>
      <c r="I44" s="67"/>
      <c r="J44" s="68"/>
      <c r="K44" s="88" t="str">
        <f t="shared" ca="1" si="10"/>
        <v/>
      </c>
      <c r="L44" s="87"/>
      <c r="M44" s="83"/>
      <c r="N44" s="69"/>
    </row>
    <row r="45" spans="2:14" ht="14.4" x14ac:dyDescent="0.25">
      <c r="B45" s="64">
        <v>43</v>
      </c>
      <c r="C45" s="65"/>
      <c r="D45" s="110" t="str">
        <f t="shared" ca="1" si="11"/>
        <v/>
      </c>
      <c r="E45" s="66" t="str">
        <f t="shared" ca="1" si="12"/>
        <v/>
      </c>
      <c r="F45" s="66" t="str">
        <f t="shared" ca="1" si="4"/>
        <v/>
      </c>
      <c r="G45" s="66"/>
      <c r="H45" s="66"/>
      <c r="I45" s="67"/>
      <c r="J45" s="68"/>
      <c r="K45" s="88" t="str">
        <f t="shared" ca="1" si="10"/>
        <v/>
      </c>
      <c r="L45" s="87"/>
      <c r="M45" s="83"/>
      <c r="N45" s="69"/>
    </row>
    <row r="46" spans="2:14" ht="14.4" x14ac:dyDescent="0.25">
      <c r="B46" s="64">
        <v>44</v>
      </c>
      <c r="C46" s="65"/>
      <c r="D46" s="110" t="str">
        <f t="shared" ca="1" si="11"/>
        <v/>
      </c>
      <c r="E46" s="66" t="str">
        <f t="shared" ca="1" si="12"/>
        <v/>
      </c>
      <c r="F46" s="66" t="str">
        <f t="shared" ca="1" si="4"/>
        <v/>
      </c>
      <c r="G46" s="66"/>
      <c r="H46" s="66"/>
      <c r="I46" s="67"/>
      <c r="J46" s="68"/>
      <c r="K46" s="88" t="str">
        <f t="shared" ca="1" si="10"/>
        <v/>
      </c>
      <c r="L46" s="87"/>
      <c r="M46" s="83"/>
      <c r="N46" s="69"/>
    </row>
    <row r="47" spans="2:14" ht="15" thickBot="1" x14ac:dyDescent="0.3">
      <c r="B47" s="70">
        <v>45</v>
      </c>
      <c r="C47" s="71"/>
      <c r="D47" s="110" t="str">
        <f t="shared" ca="1" si="11"/>
        <v/>
      </c>
      <c r="E47" s="66" t="str">
        <f t="shared" ca="1" si="12"/>
        <v/>
      </c>
      <c r="F47" s="66" t="str">
        <f t="shared" ca="1" si="4"/>
        <v/>
      </c>
      <c r="G47" s="66"/>
      <c r="H47" s="66"/>
      <c r="I47" s="67"/>
      <c r="J47" s="68"/>
      <c r="K47" s="88" t="str">
        <f t="shared" ca="1" si="10"/>
        <v/>
      </c>
      <c r="L47" s="87"/>
      <c r="M47" s="83"/>
      <c r="N47" s="69"/>
    </row>
  </sheetData>
  <phoneticPr fontId="41" type="noConversion"/>
  <conditionalFormatting sqref="K20:K47">
    <cfRule type="cellIs" dxfId="245" priority="17" operator="equal">
      <formula>"Nok"</formula>
    </cfRule>
    <cfRule type="cellIs" dxfId="244" priority="18" operator="equal">
      <formula>"Ok"</formula>
    </cfRule>
  </conditionalFormatting>
  <conditionalFormatting sqref="K3">
    <cfRule type="cellIs" dxfId="243" priority="15" operator="equal">
      <formula>"Nok"</formula>
    </cfRule>
    <cfRule type="cellIs" dxfId="242" priority="16" operator="equal">
      <formula>"Ok"</formula>
    </cfRule>
  </conditionalFormatting>
  <conditionalFormatting sqref="K4">
    <cfRule type="cellIs" dxfId="241" priority="13" operator="equal">
      <formula>"Nok"</formula>
    </cfRule>
    <cfRule type="cellIs" dxfId="240" priority="14" operator="equal">
      <formula>"Ok"</formula>
    </cfRule>
  </conditionalFormatting>
  <conditionalFormatting sqref="K5">
    <cfRule type="cellIs" dxfId="239" priority="11" operator="equal">
      <formula>"Nok"</formula>
    </cfRule>
    <cfRule type="cellIs" dxfId="238" priority="12" operator="equal">
      <formula>"Ok"</formula>
    </cfRule>
  </conditionalFormatting>
  <conditionalFormatting sqref="K6">
    <cfRule type="cellIs" dxfId="237" priority="9" operator="equal">
      <formula>"Nok"</formula>
    </cfRule>
    <cfRule type="cellIs" dxfId="236" priority="10" operator="equal">
      <formula>"Ok"</formula>
    </cfRule>
  </conditionalFormatting>
  <conditionalFormatting sqref="K7 K9 K15 K11:K12">
    <cfRule type="cellIs" dxfId="235" priority="7" operator="equal">
      <formula>"Nok"</formula>
    </cfRule>
    <cfRule type="cellIs" dxfId="234" priority="8" operator="equal">
      <formula>"Ok"</formula>
    </cfRule>
  </conditionalFormatting>
  <conditionalFormatting sqref="K8 K10 K16:K19">
    <cfRule type="cellIs" dxfId="233" priority="5" operator="equal">
      <formula>"Nok"</formula>
    </cfRule>
    <cfRule type="cellIs" dxfId="232" priority="6" operator="equal">
      <formula>"Ok"</formula>
    </cfRule>
  </conditionalFormatting>
  <conditionalFormatting sqref="K18:K19">
    <cfRule type="cellIs" dxfId="231" priority="3" operator="equal">
      <formula>"Nok"</formula>
    </cfRule>
    <cfRule type="cellIs" dxfId="230" priority="4" operator="equal">
      <formula>"Ok"</formula>
    </cfRule>
  </conditionalFormatting>
  <conditionalFormatting sqref="K13:K14">
    <cfRule type="cellIs" dxfId="229" priority="1" operator="equal">
      <formula>"Nok"</formula>
    </cfRule>
    <cfRule type="cellIs" dxfId="228" priority="2" operator="equal">
      <formula>"Ok"</formula>
    </cfRule>
  </conditionalFormatting>
  <dataValidations count="3">
    <dataValidation type="list" allowBlank="1" showInputMessage="1" showErrorMessage="1" sqref="E20:E47" xr:uid="{00000000-0002-0000-0300-000000000000}">
      <formula1>"Nominal, Robustness, Endurance, Qualification, Other"</formula1>
    </dataValidation>
    <dataValidation type="list" allowBlank="1" showInputMessage="1" showErrorMessage="1" sqref="G3:G19" xr:uid="{32962E0A-C472-462C-8C4B-AA8F2A6FDCE7}">
      <formula1>",X,"</formula1>
    </dataValidation>
    <dataValidation type="list" allowBlank="1" showInputMessage="1" showErrorMessage="1" sqref="H3:H19" xr:uid="{450F32B0-BEFE-4CE1-86BE-E6829A783650}">
      <formula1>"1,2,3,"</formula1>
    </dataValidation>
  </dataValidations>
  <hyperlinks>
    <hyperlink ref="C3" location="SW_IT_PMP_0001!A1" display="SW_IT_PMP_0001" xr:uid="{00000000-0004-0000-0300-000000000000}"/>
    <hyperlink ref="C4" location="SW_IT_PMP_0002!A1" display="SW_IT_PMP_0002" xr:uid="{12B1B525-C685-487F-9B58-D9BA439944B1}"/>
    <hyperlink ref="C5" location="SW_IT_PMP_0003!A1" display="SW_IT_PMP_0003" xr:uid="{ECCA7D67-556B-49EB-8359-56AFB54D4B24}"/>
    <hyperlink ref="C6" location="SW_IT_PMP_0004!A1" display="SW_IT_PMP_0004" xr:uid="{0D982692-7E4F-4E74-AC1F-F68929649B1C}"/>
    <hyperlink ref="C7" location="SW_IT_PMP_0005!A1" display="SW_IT_PMP_0005" xr:uid="{D648EC95-4F45-4B7D-8846-592C0D7F9ED3}"/>
    <hyperlink ref="C8" location="SW_IT_PMP_0006!A1" display="SW_IT_PMP_0006" xr:uid="{8B063775-CA34-4158-BECC-FACA0314EBC2}"/>
    <hyperlink ref="C9" location="SW_IT_PMP_0007!A1" display="SW_IT_PMP_0007" xr:uid="{C29ADFD9-8DA9-4C96-8BEC-E3B15AF15766}"/>
    <hyperlink ref="C10" location="SW_IT_PMP_0008!A1" display="SW_IT_PMP_0008" xr:uid="{0827F89B-7166-4993-A1E8-E84473C1759D}"/>
    <hyperlink ref="C12" location="SW_IT_PMP_0010!A1" display="SW_IT_PMP_0010" xr:uid="{283A9151-D246-4506-81A7-871907052094}"/>
    <hyperlink ref="C11" location="SW_IT_PMP_0009!A1" display="SW_IT_PMP_0009" xr:uid="{E720271A-0E17-4F28-B8F3-2F4087D8AFBE}"/>
    <hyperlink ref="C13" location="SW_IT_PMP_0011!A1" display="SW_IT_PMP_0011" xr:uid="{F99FDC1F-D371-4D5F-AA04-841E3CA03FBD}"/>
    <hyperlink ref="C14" location="SW_IT_PMP_0012!A1" display="SW_IT_PMP_0012" xr:uid="{A8BEE27E-A054-4A18-B699-8E4B2A1DF10A}"/>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1.1&amp;R&amp;P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P31"/>
  <sheetViews>
    <sheetView workbookViewId="0">
      <selection activeCell="L26" sqref="L26:O26"/>
    </sheetView>
  </sheetViews>
  <sheetFormatPr defaultColWidth="9.33203125" defaultRowHeight="13.2" x14ac:dyDescent="0.25"/>
  <cols>
    <col min="1" max="1" width="20.33203125" style="93" customWidth="1"/>
    <col min="2" max="2" width="18.44140625" style="89" customWidth="1"/>
    <col min="3" max="5" width="9.33203125" style="89"/>
    <col min="6" max="6" width="3.6640625" style="89" customWidth="1"/>
    <col min="7" max="7" width="0.6640625" style="89" customWidth="1"/>
    <col min="8" max="10" width="9.5546875" style="89" customWidth="1"/>
    <col min="11" max="11" width="12.44140625" style="89" customWidth="1"/>
    <col min="12" max="15" width="9.5546875" style="89" customWidth="1"/>
    <col min="16" max="16384" width="9.33203125" style="89"/>
  </cols>
  <sheetData>
    <row r="1" spans="1:15" ht="13.8" thickBot="1" x14ac:dyDescent="0.3">
      <c r="A1" s="94" t="s">
        <v>39</v>
      </c>
      <c r="B1" s="198" t="s">
        <v>136</v>
      </c>
      <c r="C1" s="199"/>
      <c r="D1" s="199"/>
      <c r="E1" s="199"/>
      <c r="F1" s="199"/>
      <c r="G1" s="20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95" t="s">
        <v>44</v>
      </c>
      <c r="B3" s="201" t="s">
        <v>223</v>
      </c>
      <c r="C3" s="202"/>
      <c r="D3" s="202"/>
      <c r="E3" s="202"/>
      <c r="F3" s="202"/>
      <c r="G3" s="20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4" t="s">
        <v>108</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4" t="s">
        <v>40</v>
      </c>
      <c r="B7" s="201" t="s">
        <v>140</v>
      </c>
      <c r="C7" s="202"/>
      <c r="D7" s="202"/>
      <c r="E7" s="202"/>
      <c r="F7" s="202"/>
      <c r="G7" s="20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4" t="s">
        <v>41</v>
      </c>
      <c r="B9" s="99" t="s">
        <v>206</v>
      </c>
      <c r="C9" s="73"/>
      <c r="D9" s="74"/>
      <c r="E9" s="74"/>
      <c r="F9" s="74"/>
      <c r="G9" s="74"/>
      <c r="H9" s="74"/>
      <c r="I9" s="74"/>
      <c r="J9" s="74"/>
      <c r="K9" s="74"/>
      <c r="L9" s="74"/>
      <c r="M9" s="74"/>
      <c r="N9" s="74"/>
      <c r="O9" s="74"/>
    </row>
    <row r="10" spans="1:15" ht="13.8" thickBot="1" x14ac:dyDescent="0.3">
      <c r="A10" s="76"/>
      <c r="B10" s="90"/>
      <c r="C10" s="73"/>
      <c r="D10" s="74"/>
      <c r="E10" s="74"/>
      <c r="F10" s="74"/>
      <c r="G10" s="74"/>
      <c r="H10" s="74"/>
      <c r="I10" s="74"/>
      <c r="J10" s="74"/>
      <c r="K10" s="74"/>
      <c r="L10" s="74"/>
      <c r="M10" s="74"/>
      <c r="N10" s="74"/>
      <c r="O10" s="74"/>
    </row>
    <row r="11" spans="1:15" ht="12" customHeight="1" x14ac:dyDescent="0.25">
      <c r="A11" s="211" t="s">
        <v>110</v>
      </c>
      <c r="B11" s="219" t="s">
        <v>131</v>
      </c>
      <c r="C11" s="220"/>
      <c r="D11" s="220"/>
      <c r="E11" s="220"/>
      <c r="F11" s="220"/>
      <c r="G11" s="221"/>
      <c r="H11" s="74"/>
      <c r="I11" s="74"/>
      <c r="J11" s="74"/>
      <c r="K11" s="74"/>
      <c r="L11" s="74"/>
      <c r="M11" s="74"/>
      <c r="N11" s="74"/>
      <c r="O11" s="74"/>
    </row>
    <row r="12" spans="1:15" x14ac:dyDescent="0.25">
      <c r="A12" s="212"/>
      <c r="B12" s="222"/>
      <c r="C12" s="223"/>
      <c r="D12" s="223"/>
      <c r="E12" s="223"/>
      <c r="F12" s="223"/>
      <c r="G12" s="224"/>
      <c r="H12" s="74"/>
      <c r="I12" s="74"/>
      <c r="J12" s="74"/>
      <c r="K12" s="74"/>
      <c r="L12" s="74"/>
      <c r="M12" s="74"/>
      <c r="N12" s="74"/>
      <c r="O12" s="74"/>
    </row>
    <row r="13" spans="1:15" x14ac:dyDescent="0.25">
      <c r="A13" s="212"/>
      <c r="B13" s="222"/>
      <c r="C13" s="223"/>
      <c r="D13" s="223"/>
      <c r="E13" s="223"/>
      <c r="F13" s="223"/>
      <c r="G13" s="224"/>
      <c r="H13" s="72"/>
      <c r="I13" s="74"/>
      <c r="J13" s="74"/>
      <c r="K13" s="74"/>
      <c r="L13" s="74"/>
      <c r="M13" s="74"/>
      <c r="N13" s="74"/>
      <c r="O13" s="74"/>
    </row>
    <row r="14" spans="1:15" ht="13.8" thickBot="1" x14ac:dyDescent="0.3">
      <c r="A14" s="212"/>
      <c r="B14" s="225"/>
      <c r="C14" s="226"/>
      <c r="D14" s="226"/>
      <c r="E14" s="226"/>
      <c r="F14" s="226"/>
      <c r="G14" s="22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1" t="s">
        <v>42</v>
      </c>
      <c r="B16" s="219" t="s">
        <v>133</v>
      </c>
      <c r="C16" s="220"/>
      <c r="D16" s="220"/>
      <c r="E16" s="220"/>
      <c r="F16" s="220"/>
      <c r="G16" s="221"/>
      <c r="H16" s="74"/>
      <c r="I16" s="74"/>
      <c r="J16" s="74"/>
      <c r="K16" s="74"/>
      <c r="L16" s="74"/>
      <c r="M16" s="74"/>
      <c r="N16" s="74"/>
      <c r="O16" s="74"/>
    </row>
    <row r="17" spans="1:16" x14ac:dyDescent="0.25">
      <c r="A17" s="212"/>
      <c r="B17" s="222"/>
      <c r="C17" s="223"/>
      <c r="D17" s="223"/>
      <c r="E17" s="223"/>
      <c r="F17" s="223"/>
      <c r="G17" s="224"/>
      <c r="H17" s="74"/>
      <c r="I17" s="74"/>
      <c r="J17" s="74"/>
      <c r="K17" s="74"/>
      <c r="L17" s="74"/>
      <c r="M17" s="74"/>
      <c r="N17" s="74"/>
      <c r="O17" s="74"/>
    </row>
    <row r="18" spans="1:16" x14ac:dyDescent="0.25">
      <c r="A18" s="212"/>
      <c r="B18" s="222"/>
      <c r="C18" s="223"/>
      <c r="D18" s="223"/>
      <c r="E18" s="223"/>
      <c r="F18" s="223"/>
      <c r="G18" s="224"/>
      <c r="H18" s="72"/>
      <c r="I18" s="74"/>
      <c r="J18" s="74"/>
      <c r="K18" s="74"/>
      <c r="L18" s="74"/>
      <c r="M18" s="74"/>
      <c r="N18" s="74"/>
      <c r="O18" s="74"/>
    </row>
    <row r="19" spans="1:16" ht="13.8" thickBot="1" x14ac:dyDescent="0.3">
      <c r="A19" s="212"/>
      <c r="B19" s="225"/>
      <c r="C19" s="226"/>
      <c r="D19" s="226"/>
      <c r="E19" s="226"/>
      <c r="F19" s="226"/>
      <c r="G19" s="22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204" t="s">
        <v>46</v>
      </c>
      <c r="B21" s="205"/>
      <c r="C21" s="205"/>
      <c r="D21" s="205"/>
      <c r="E21" s="205"/>
      <c r="F21" s="205"/>
      <c r="G21" s="206"/>
      <c r="H21" s="204" t="s">
        <v>47</v>
      </c>
      <c r="I21" s="205"/>
      <c r="J21" s="205"/>
      <c r="K21" s="206"/>
      <c r="L21" s="204" t="s">
        <v>58</v>
      </c>
      <c r="M21" s="205"/>
      <c r="N21" s="205"/>
      <c r="O21" s="206"/>
      <c r="P21" s="96" t="s">
        <v>45</v>
      </c>
    </row>
    <row r="22" spans="1:16" ht="36.450000000000003" customHeight="1" x14ac:dyDescent="0.25">
      <c r="A22" s="97" t="s">
        <v>48</v>
      </c>
      <c r="B22" s="213" t="s">
        <v>137</v>
      </c>
      <c r="C22" s="214"/>
      <c r="D22" s="214"/>
      <c r="E22" s="214"/>
      <c r="F22" s="214"/>
      <c r="G22" s="215"/>
      <c r="H22" s="207" t="s">
        <v>138</v>
      </c>
      <c r="I22" s="208"/>
      <c r="J22" s="208"/>
      <c r="K22" s="209"/>
      <c r="L22" s="207" t="s">
        <v>138</v>
      </c>
      <c r="M22" s="208"/>
      <c r="N22" s="208"/>
      <c r="O22" s="209"/>
      <c r="P22" s="91" t="s">
        <v>206</v>
      </c>
    </row>
    <row r="23" spans="1:16" ht="27" customHeight="1" x14ac:dyDescent="0.25">
      <c r="A23" s="97" t="s">
        <v>49</v>
      </c>
      <c r="B23" s="216" t="s">
        <v>139</v>
      </c>
      <c r="C23" s="217"/>
      <c r="D23" s="217"/>
      <c r="E23" s="217"/>
      <c r="F23" s="217"/>
      <c r="G23" s="218"/>
      <c r="H23" s="210" t="s">
        <v>138</v>
      </c>
      <c r="I23" s="210"/>
      <c r="J23" s="210"/>
      <c r="K23" s="210"/>
      <c r="L23" s="210" t="s">
        <v>138</v>
      </c>
      <c r="M23" s="210"/>
      <c r="N23" s="210"/>
      <c r="O23" s="210"/>
      <c r="P23" s="91" t="s">
        <v>206</v>
      </c>
    </row>
    <row r="24" spans="1:16" ht="40.950000000000003" customHeight="1" x14ac:dyDescent="0.25">
      <c r="A24" s="97" t="s">
        <v>50</v>
      </c>
      <c r="B24" s="213" t="s">
        <v>141</v>
      </c>
      <c r="C24" s="214"/>
      <c r="D24" s="214"/>
      <c r="E24" s="214"/>
      <c r="F24" s="214"/>
      <c r="G24" s="215"/>
      <c r="H24" s="210" t="s">
        <v>143</v>
      </c>
      <c r="I24" s="210"/>
      <c r="J24" s="210"/>
      <c r="K24" s="210"/>
      <c r="L24" s="210" t="s">
        <v>143</v>
      </c>
      <c r="M24" s="210"/>
      <c r="N24" s="210"/>
      <c r="O24" s="210"/>
      <c r="P24" s="91" t="s">
        <v>206</v>
      </c>
    </row>
    <row r="25" spans="1:16" ht="39.450000000000003" customHeight="1" x14ac:dyDescent="0.25">
      <c r="A25" s="97" t="s">
        <v>51</v>
      </c>
      <c r="B25" s="213" t="s">
        <v>142</v>
      </c>
      <c r="C25" s="214"/>
      <c r="D25" s="214"/>
      <c r="E25" s="214"/>
      <c r="F25" s="214"/>
      <c r="G25" s="215"/>
      <c r="H25" s="210" t="s">
        <v>143</v>
      </c>
      <c r="I25" s="210"/>
      <c r="J25" s="210"/>
      <c r="K25" s="210"/>
      <c r="L25" s="210" t="s">
        <v>143</v>
      </c>
      <c r="M25" s="210"/>
      <c r="N25" s="210"/>
      <c r="O25" s="210"/>
      <c r="P25" s="91" t="s">
        <v>206</v>
      </c>
    </row>
    <row r="26" spans="1:16" ht="83.25" customHeight="1" x14ac:dyDescent="0.25">
      <c r="A26" s="97" t="s">
        <v>52</v>
      </c>
      <c r="B26" s="213" t="s">
        <v>205</v>
      </c>
      <c r="C26" s="214"/>
      <c r="D26" s="214"/>
      <c r="E26" s="214"/>
      <c r="F26" s="214"/>
      <c r="G26" s="215"/>
      <c r="H26" s="210" t="s">
        <v>259</v>
      </c>
      <c r="I26" s="210"/>
      <c r="J26" s="210"/>
      <c r="K26" s="210"/>
      <c r="L26" s="210" t="s">
        <v>259</v>
      </c>
      <c r="M26" s="210"/>
      <c r="N26" s="210"/>
      <c r="O26" s="210"/>
      <c r="P26" s="91" t="s">
        <v>206</v>
      </c>
    </row>
    <row r="27" spans="1:16" x14ac:dyDescent="0.25">
      <c r="A27" s="97" t="s">
        <v>53</v>
      </c>
      <c r="B27" s="213"/>
      <c r="C27" s="214"/>
      <c r="D27" s="214"/>
      <c r="E27" s="214"/>
      <c r="F27" s="214"/>
      <c r="G27" s="215"/>
      <c r="H27" s="210"/>
      <c r="I27" s="210"/>
      <c r="J27" s="210"/>
      <c r="K27" s="210"/>
      <c r="L27" s="210"/>
      <c r="M27" s="210"/>
      <c r="N27" s="210"/>
      <c r="O27" s="210"/>
      <c r="P27" s="91"/>
    </row>
    <row r="28" spans="1:16" x14ac:dyDescent="0.25">
      <c r="A28" s="97" t="s">
        <v>54</v>
      </c>
      <c r="B28" s="213"/>
      <c r="C28" s="214"/>
      <c r="D28" s="214"/>
      <c r="E28" s="214"/>
      <c r="F28" s="214"/>
      <c r="G28" s="215"/>
      <c r="H28" s="210"/>
      <c r="I28" s="210"/>
      <c r="J28" s="210"/>
      <c r="K28" s="210"/>
      <c r="L28" s="210"/>
      <c r="M28" s="210"/>
      <c r="N28" s="210"/>
      <c r="O28" s="210"/>
      <c r="P28" s="91"/>
    </row>
    <row r="29" spans="1:16" ht="13.8" thickBot="1" x14ac:dyDescent="0.3">
      <c r="A29" s="98" t="s">
        <v>55</v>
      </c>
      <c r="B29" s="229"/>
      <c r="C29" s="230"/>
      <c r="D29" s="230"/>
      <c r="E29" s="230"/>
      <c r="F29" s="230"/>
      <c r="G29" s="231"/>
      <c r="H29" s="228"/>
      <c r="I29" s="228"/>
      <c r="J29" s="228"/>
      <c r="K29" s="228"/>
      <c r="L29" s="228"/>
      <c r="M29" s="228"/>
      <c r="N29" s="228"/>
      <c r="O29" s="228"/>
      <c r="P29" s="92"/>
    </row>
    <row r="30" spans="1:16" x14ac:dyDescent="0.25">
      <c r="B30" s="93"/>
      <c r="C30" s="93"/>
      <c r="D30" s="93"/>
      <c r="E30" s="93"/>
      <c r="F30" s="93"/>
      <c r="G30" s="93"/>
      <c r="H30" s="93"/>
    </row>
    <row r="31" spans="1:16" x14ac:dyDescent="0.25">
      <c r="B31" s="93"/>
      <c r="C31" s="93"/>
      <c r="D31" s="93"/>
      <c r="E31" s="93"/>
      <c r="F31" s="93"/>
      <c r="G31" s="93"/>
      <c r="H31" s="93"/>
    </row>
  </sheetData>
  <mergeCells count="34">
    <mergeCell ref="L29:O29"/>
    <mergeCell ref="B28:G28"/>
    <mergeCell ref="B29:G29"/>
    <mergeCell ref="H24:K24"/>
    <mergeCell ref="H29:K29"/>
    <mergeCell ref="L26:O26"/>
    <mergeCell ref="L27:O27"/>
    <mergeCell ref="L28:O28"/>
    <mergeCell ref="H25:K25"/>
    <mergeCell ref="H26:K26"/>
    <mergeCell ref="A11:A14"/>
    <mergeCell ref="A16:A19"/>
    <mergeCell ref="B27:G27"/>
    <mergeCell ref="H27:K27"/>
    <mergeCell ref="H28:K28"/>
    <mergeCell ref="A21:G21"/>
    <mergeCell ref="B22:G22"/>
    <mergeCell ref="B23:G23"/>
    <mergeCell ref="B26:G26"/>
    <mergeCell ref="H23:K23"/>
    <mergeCell ref="B11:G14"/>
    <mergeCell ref="B16:G19"/>
    <mergeCell ref="B24:G24"/>
    <mergeCell ref="B25:G25"/>
    <mergeCell ref="L21:O21"/>
    <mergeCell ref="L22:O22"/>
    <mergeCell ref="L23:O23"/>
    <mergeCell ref="L24:O24"/>
    <mergeCell ref="L25:O25"/>
    <mergeCell ref="B1:G1"/>
    <mergeCell ref="B3:G3"/>
    <mergeCell ref="B7:G7"/>
    <mergeCell ref="H21:K21"/>
    <mergeCell ref="H22:K22"/>
  </mergeCells>
  <conditionalFormatting sqref="B9:B10">
    <cfRule type="cellIs" dxfId="227" priority="3" operator="equal">
      <formula>"Nok"</formula>
    </cfRule>
    <cfRule type="cellIs" dxfId="226" priority="4" operator="equal">
      <formula>"Ok"</formula>
    </cfRule>
  </conditionalFormatting>
  <conditionalFormatting sqref="P22:P29">
    <cfRule type="cellIs" dxfId="225" priority="1" operator="equal">
      <formula>"Nok"</formula>
    </cfRule>
    <cfRule type="cellIs" dxfId="224" priority="2" operator="equal">
      <formula>"Ok"</formula>
    </cfRule>
  </conditionalFormatting>
  <dataValidations count="3">
    <dataValidation type="list" allowBlank="1" showInputMessage="1" showErrorMessage="1" sqref="B5" xr:uid="{00000000-0002-0000-0400-000000000000}">
      <formula1>"Nominal, Robustness, Endurance, Qualification"</formula1>
    </dataValidation>
    <dataValidation type="list" allowBlank="1" showInputMessage="1" showErrorMessage="1" sqref="B9" xr:uid="{00000000-0002-0000-0400-000001000000}">
      <formula1>"Ok, Nok, Not run, NA"</formula1>
    </dataValidation>
    <dataValidation type="list" allowBlank="1" showInputMessage="1" showErrorMessage="1" sqref="P22:P29" xr:uid="{00000000-0002-0000-0400-000002000000}">
      <formula1>"Ok, Nok, Not run, ,"</formula1>
    </dataValidation>
  </dataValidations>
  <pageMargins left="0.7" right="0.7" top="0.75" bottom="0.75" header="0.3" footer="0.3"/>
  <pageSetup paperSize="9" orientation="portrait" r:id="rId1"/>
  <headerFooter>
    <oddFooter>&amp;LNA ver 1.1&amp;R&amp;P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019D9-84FC-49DE-928F-A17EE4D495F3}">
  <sheetPr codeName="Sheet7"/>
  <dimension ref="A1:P32"/>
  <sheetViews>
    <sheetView topLeftCell="A4" workbookViewId="0"/>
  </sheetViews>
  <sheetFormatPr defaultColWidth="9.33203125" defaultRowHeight="13.2" x14ac:dyDescent="0.25"/>
  <cols>
    <col min="1" max="1" width="20.33203125" style="93" customWidth="1"/>
    <col min="2" max="2" width="18.44140625" style="89" customWidth="1"/>
    <col min="3" max="7" width="9.33203125" style="89"/>
    <col min="8" max="15" width="9.5546875" style="89" customWidth="1"/>
    <col min="16" max="16384" width="9.33203125" style="89"/>
  </cols>
  <sheetData>
    <row r="1" spans="1:15" ht="13.8" thickBot="1" x14ac:dyDescent="0.3">
      <c r="A1" s="94" t="s">
        <v>39</v>
      </c>
      <c r="B1" s="198" t="s">
        <v>145</v>
      </c>
      <c r="C1" s="199"/>
      <c r="D1" s="199"/>
      <c r="E1" s="199"/>
      <c r="F1" s="199"/>
      <c r="G1" s="20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95" t="s">
        <v>44</v>
      </c>
      <c r="B3" s="232" t="s">
        <v>289</v>
      </c>
      <c r="C3" s="233"/>
      <c r="D3" s="233"/>
      <c r="E3" s="233"/>
      <c r="F3" s="233"/>
      <c r="G3" s="234"/>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4" t="s">
        <v>108</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4" t="s">
        <v>40</v>
      </c>
      <c r="B7" s="201" t="s">
        <v>145</v>
      </c>
      <c r="C7" s="202"/>
      <c r="D7" s="202"/>
      <c r="E7" s="202"/>
      <c r="F7" s="202"/>
      <c r="G7" s="20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4" t="s">
        <v>41</v>
      </c>
      <c r="B9" s="99" t="s">
        <v>207</v>
      </c>
      <c r="C9" s="73"/>
      <c r="D9" s="74"/>
      <c r="E9" s="74"/>
      <c r="F9" s="74"/>
      <c r="G9" s="74"/>
      <c r="H9" s="74"/>
      <c r="I9" s="74"/>
      <c r="J9" s="74"/>
      <c r="K9" s="74"/>
      <c r="L9" s="74"/>
      <c r="M9" s="74"/>
      <c r="N9" s="74"/>
      <c r="O9" s="74"/>
    </row>
    <row r="10" spans="1:15" ht="13.8" thickBot="1" x14ac:dyDescent="0.3">
      <c r="A10" s="76"/>
      <c r="B10" s="90"/>
      <c r="C10" s="73"/>
      <c r="D10" s="74"/>
      <c r="E10" s="74"/>
      <c r="F10" s="74"/>
      <c r="G10" s="74"/>
      <c r="H10" s="74"/>
      <c r="I10" s="74"/>
      <c r="J10" s="74"/>
      <c r="K10" s="74"/>
      <c r="L10" s="74"/>
      <c r="M10" s="74"/>
      <c r="N10" s="74"/>
      <c r="O10" s="74"/>
    </row>
    <row r="11" spans="1:15" ht="12" customHeight="1" x14ac:dyDescent="0.25">
      <c r="A11" s="211" t="s">
        <v>110</v>
      </c>
      <c r="B11" s="219" t="s">
        <v>131</v>
      </c>
      <c r="C11" s="220"/>
      <c r="D11" s="220"/>
      <c r="E11" s="220"/>
      <c r="F11" s="220"/>
      <c r="G11" s="221"/>
      <c r="H11" s="74"/>
      <c r="I11" s="74"/>
      <c r="J11" s="74"/>
      <c r="K11" s="74"/>
      <c r="L11" s="74"/>
      <c r="M11" s="74"/>
      <c r="N11" s="74"/>
      <c r="O11" s="74"/>
    </row>
    <row r="12" spans="1:15" x14ac:dyDescent="0.25">
      <c r="A12" s="212"/>
      <c r="B12" s="222"/>
      <c r="C12" s="223"/>
      <c r="D12" s="223"/>
      <c r="E12" s="223"/>
      <c r="F12" s="223"/>
      <c r="G12" s="224"/>
      <c r="H12" s="74"/>
      <c r="I12" s="74"/>
      <c r="J12" s="74"/>
      <c r="K12" s="74"/>
      <c r="L12" s="74"/>
      <c r="M12" s="74"/>
      <c r="N12" s="74"/>
      <c r="O12" s="74"/>
    </row>
    <row r="13" spans="1:15" x14ac:dyDescent="0.25">
      <c r="A13" s="212"/>
      <c r="B13" s="222"/>
      <c r="C13" s="223"/>
      <c r="D13" s="223"/>
      <c r="E13" s="223"/>
      <c r="F13" s="223"/>
      <c r="G13" s="224"/>
      <c r="H13" s="72"/>
      <c r="I13" s="74"/>
      <c r="J13" s="74"/>
      <c r="K13" s="74"/>
      <c r="L13" s="74"/>
      <c r="M13" s="74"/>
      <c r="N13" s="74"/>
      <c r="O13" s="74"/>
    </row>
    <row r="14" spans="1:15" ht="13.8" thickBot="1" x14ac:dyDescent="0.3">
      <c r="A14" s="212"/>
      <c r="B14" s="225"/>
      <c r="C14" s="226"/>
      <c r="D14" s="226"/>
      <c r="E14" s="226"/>
      <c r="F14" s="226"/>
      <c r="G14" s="22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1" t="s">
        <v>42</v>
      </c>
      <c r="B16" s="219" t="s">
        <v>133</v>
      </c>
      <c r="C16" s="220"/>
      <c r="D16" s="220"/>
      <c r="E16" s="220"/>
      <c r="F16" s="220"/>
      <c r="G16" s="221"/>
      <c r="H16" s="74"/>
      <c r="I16" s="74"/>
      <c r="J16" s="74"/>
      <c r="K16" s="74"/>
      <c r="L16" s="74"/>
      <c r="M16" s="74"/>
      <c r="N16" s="74"/>
      <c r="O16" s="74"/>
    </row>
    <row r="17" spans="1:16" x14ac:dyDescent="0.25">
      <c r="A17" s="212"/>
      <c r="B17" s="222"/>
      <c r="C17" s="223"/>
      <c r="D17" s="223"/>
      <c r="E17" s="223"/>
      <c r="F17" s="223"/>
      <c r="G17" s="224"/>
      <c r="H17" s="74"/>
      <c r="I17" s="74"/>
      <c r="J17" s="74"/>
      <c r="K17" s="74"/>
      <c r="L17" s="74"/>
      <c r="M17" s="74"/>
      <c r="N17" s="74"/>
      <c r="O17" s="74"/>
    </row>
    <row r="18" spans="1:16" x14ac:dyDescent="0.25">
      <c r="A18" s="212"/>
      <c r="B18" s="222"/>
      <c r="C18" s="223"/>
      <c r="D18" s="223"/>
      <c r="E18" s="223"/>
      <c r="F18" s="223"/>
      <c r="G18" s="224"/>
      <c r="H18" s="72"/>
      <c r="I18" s="74"/>
      <c r="J18" s="74"/>
      <c r="K18" s="74"/>
      <c r="L18" s="74"/>
      <c r="M18" s="74"/>
      <c r="N18" s="74"/>
      <c r="O18" s="74"/>
    </row>
    <row r="19" spans="1:16" ht="13.8" thickBot="1" x14ac:dyDescent="0.3">
      <c r="A19" s="212"/>
      <c r="B19" s="225"/>
      <c r="C19" s="226"/>
      <c r="D19" s="226"/>
      <c r="E19" s="226"/>
      <c r="F19" s="226"/>
      <c r="G19" s="22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204" t="s">
        <v>46</v>
      </c>
      <c r="B21" s="205"/>
      <c r="C21" s="205"/>
      <c r="D21" s="205"/>
      <c r="E21" s="205"/>
      <c r="F21" s="205"/>
      <c r="G21" s="206"/>
      <c r="H21" s="204" t="s">
        <v>47</v>
      </c>
      <c r="I21" s="205"/>
      <c r="J21" s="205"/>
      <c r="K21" s="206"/>
      <c r="L21" s="204" t="s">
        <v>58</v>
      </c>
      <c r="M21" s="205"/>
      <c r="N21" s="205"/>
      <c r="O21" s="206"/>
      <c r="P21" s="96" t="s">
        <v>45</v>
      </c>
    </row>
    <row r="22" spans="1:16" ht="39.75" customHeight="1" x14ac:dyDescent="0.25">
      <c r="A22" s="97" t="s">
        <v>48</v>
      </c>
      <c r="B22" s="213" t="s">
        <v>208</v>
      </c>
      <c r="C22" s="214"/>
      <c r="D22" s="214"/>
      <c r="E22" s="214"/>
      <c r="F22" s="214"/>
      <c r="G22" s="215"/>
      <c r="H22" s="207" t="s">
        <v>209</v>
      </c>
      <c r="I22" s="208"/>
      <c r="J22" s="208"/>
      <c r="K22" s="209"/>
      <c r="L22" s="207" t="s">
        <v>210</v>
      </c>
      <c r="M22" s="208"/>
      <c r="N22" s="208"/>
      <c r="O22" s="209"/>
      <c r="P22" s="91" t="s">
        <v>206</v>
      </c>
    </row>
    <row r="23" spans="1:16" ht="34.5" customHeight="1" x14ac:dyDescent="0.25">
      <c r="A23" s="97" t="s">
        <v>49</v>
      </c>
      <c r="B23" s="216" t="s">
        <v>149</v>
      </c>
      <c r="C23" s="217"/>
      <c r="D23" s="217"/>
      <c r="E23" s="217"/>
      <c r="F23" s="217"/>
      <c r="G23" s="218"/>
      <c r="H23" s="210" t="s">
        <v>143</v>
      </c>
      <c r="I23" s="210"/>
      <c r="J23" s="210"/>
      <c r="K23" s="210"/>
      <c r="L23" s="210" t="s">
        <v>143</v>
      </c>
      <c r="M23" s="210"/>
      <c r="N23" s="210"/>
      <c r="O23" s="210"/>
      <c r="P23" s="91" t="s">
        <v>206</v>
      </c>
    </row>
    <row r="24" spans="1:16" ht="38.700000000000003" customHeight="1" x14ac:dyDescent="0.25">
      <c r="A24" s="97" t="s">
        <v>50</v>
      </c>
      <c r="B24" s="213" t="s">
        <v>214</v>
      </c>
      <c r="C24" s="214"/>
      <c r="D24" s="214"/>
      <c r="E24" s="214"/>
      <c r="F24" s="214"/>
      <c r="G24" s="215"/>
      <c r="H24" s="210" t="s">
        <v>215</v>
      </c>
      <c r="I24" s="210"/>
      <c r="J24" s="210"/>
      <c r="K24" s="210"/>
      <c r="L24" s="210" t="s">
        <v>211</v>
      </c>
      <c r="M24" s="210"/>
      <c r="N24" s="210"/>
      <c r="O24" s="210"/>
      <c r="P24" s="91" t="s">
        <v>207</v>
      </c>
    </row>
    <row r="25" spans="1:16" ht="39.450000000000003" customHeight="1" x14ac:dyDescent="0.25">
      <c r="A25" s="97" t="s">
        <v>51</v>
      </c>
      <c r="B25" s="213" t="s">
        <v>149</v>
      </c>
      <c r="C25" s="214"/>
      <c r="D25" s="214"/>
      <c r="E25" s="214"/>
      <c r="F25" s="214"/>
      <c r="G25" s="215"/>
      <c r="H25" s="210" t="s">
        <v>143</v>
      </c>
      <c r="I25" s="210"/>
      <c r="J25" s="210"/>
      <c r="K25" s="210"/>
      <c r="L25" s="210" t="s">
        <v>212</v>
      </c>
      <c r="M25" s="210"/>
      <c r="N25" s="210"/>
      <c r="O25" s="210"/>
      <c r="P25" s="91" t="s">
        <v>207</v>
      </c>
    </row>
    <row r="26" spans="1:16" ht="43.5" customHeight="1" x14ac:dyDescent="0.25">
      <c r="A26" s="97" t="s">
        <v>52</v>
      </c>
      <c r="B26" s="216" t="s">
        <v>213</v>
      </c>
      <c r="C26" s="217"/>
      <c r="D26" s="217"/>
      <c r="E26" s="217"/>
      <c r="F26" s="217"/>
      <c r="G26" s="218"/>
      <c r="H26" s="210" t="s">
        <v>216</v>
      </c>
      <c r="I26" s="210"/>
      <c r="J26" s="210"/>
      <c r="K26" s="210"/>
      <c r="L26" s="210" t="s">
        <v>216</v>
      </c>
      <c r="M26" s="210"/>
      <c r="N26" s="210"/>
      <c r="O26" s="210"/>
      <c r="P26" s="91" t="s">
        <v>206</v>
      </c>
    </row>
    <row r="27" spans="1:16" ht="25.5" customHeight="1" x14ac:dyDescent="0.25">
      <c r="A27" s="97" t="s">
        <v>53</v>
      </c>
      <c r="B27" s="213" t="s">
        <v>149</v>
      </c>
      <c r="C27" s="214"/>
      <c r="D27" s="214"/>
      <c r="E27" s="214"/>
      <c r="F27" s="214"/>
      <c r="G27" s="215"/>
      <c r="H27" s="210" t="s">
        <v>143</v>
      </c>
      <c r="I27" s="210"/>
      <c r="J27" s="210"/>
      <c r="K27" s="210"/>
      <c r="L27" s="210" t="s">
        <v>143</v>
      </c>
      <c r="M27" s="210"/>
      <c r="N27" s="210"/>
      <c r="O27" s="210"/>
      <c r="P27" s="91" t="s">
        <v>206</v>
      </c>
    </row>
    <row r="28" spans="1:16" ht="25.5" customHeight="1" x14ac:dyDescent="0.25">
      <c r="A28" s="97" t="s">
        <v>54</v>
      </c>
      <c r="B28" s="213" t="s">
        <v>217</v>
      </c>
      <c r="C28" s="214"/>
      <c r="D28" s="214"/>
      <c r="E28" s="214"/>
      <c r="F28" s="214"/>
      <c r="G28" s="215"/>
      <c r="H28" s="210" t="s">
        <v>218</v>
      </c>
      <c r="I28" s="210"/>
      <c r="J28" s="210"/>
      <c r="K28" s="210"/>
      <c r="L28" s="207" t="s">
        <v>210</v>
      </c>
      <c r="M28" s="208"/>
      <c r="N28" s="208"/>
      <c r="O28" s="209"/>
      <c r="P28" s="91" t="s">
        <v>206</v>
      </c>
    </row>
    <row r="29" spans="1:16" ht="26.25" customHeight="1" x14ac:dyDescent="0.25">
      <c r="A29" s="97" t="s">
        <v>55</v>
      </c>
      <c r="B29" s="213" t="s">
        <v>149</v>
      </c>
      <c r="C29" s="214"/>
      <c r="D29" s="214"/>
      <c r="E29" s="214"/>
      <c r="F29" s="214"/>
      <c r="G29" s="215"/>
      <c r="H29" s="210" t="s">
        <v>143</v>
      </c>
      <c r="I29" s="210"/>
      <c r="J29" s="210"/>
      <c r="K29" s="210"/>
      <c r="L29" s="210" t="s">
        <v>143</v>
      </c>
      <c r="M29" s="210"/>
      <c r="N29" s="210"/>
      <c r="O29" s="210"/>
      <c r="P29" s="91" t="s">
        <v>206</v>
      </c>
    </row>
    <row r="30" spans="1:16" ht="13.8" thickBot="1" x14ac:dyDescent="0.3">
      <c r="A30" s="98" t="s">
        <v>56</v>
      </c>
      <c r="B30" s="229"/>
      <c r="C30" s="230"/>
      <c r="D30" s="230"/>
      <c r="E30" s="230"/>
      <c r="F30" s="230"/>
      <c r="G30" s="231"/>
      <c r="H30" s="228"/>
      <c r="I30" s="228"/>
      <c r="J30" s="228"/>
      <c r="K30" s="228"/>
      <c r="L30" s="228"/>
      <c r="M30" s="228"/>
      <c r="N30" s="228"/>
      <c r="O30" s="228"/>
      <c r="P30" s="92"/>
    </row>
    <row r="31" spans="1:16" x14ac:dyDescent="0.25">
      <c r="B31" s="93"/>
      <c r="C31" s="93"/>
      <c r="D31" s="93"/>
      <c r="E31" s="93"/>
      <c r="F31" s="93"/>
      <c r="G31" s="93"/>
      <c r="H31" s="93"/>
    </row>
    <row r="32" spans="1:16" x14ac:dyDescent="0.25">
      <c r="B32" s="93"/>
      <c r="C32" s="93"/>
      <c r="D32" s="93"/>
      <c r="E32" s="93"/>
      <c r="F32" s="93"/>
      <c r="G32" s="93"/>
      <c r="H32" s="93"/>
    </row>
  </sheetData>
  <mergeCells count="37">
    <mergeCell ref="H23:K23"/>
    <mergeCell ref="L23:O23"/>
    <mergeCell ref="B1:G1"/>
    <mergeCell ref="B3:G3"/>
    <mergeCell ref="B7:G7"/>
    <mergeCell ref="A21:G21"/>
    <mergeCell ref="H21:K21"/>
    <mergeCell ref="L21:O21"/>
    <mergeCell ref="H22:K22"/>
    <mergeCell ref="L22:O22"/>
    <mergeCell ref="B22:G22"/>
    <mergeCell ref="A11:A14"/>
    <mergeCell ref="B11:G14"/>
    <mergeCell ref="A16:A19"/>
    <mergeCell ref="B16:G19"/>
    <mergeCell ref="B23:G23"/>
    <mergeCell ref="B24:G24"/>
    <mergeCell ref="H24:K24"/>
    <mergeCell ref="L24:O24"/>
    <mergeCell ref="B25:G25"/>
    <mergeCell ref="H25:K25"/>
    <mergeCell ref="L25:O25"/>
    <mergeCell ref="B26:G26"/>
    <mergeCell ref="H26:K26"/>
    <mergeCell ref="L26:O26"/>
    <mergeCell ref="B27:G27"/>
    <mergeCell ref="H27:K27"/>
    <mergeCell ref="L27:O27"/>
    <mergeCell ref="B30:G30"/>
    <mergeCell ref="H30:K30"/>
    <mergeCell ref="L30:O30"/>
    <mergeCell ref="B28:G28"/>
    <mergeCell ref="H28:K28"/>
    <mergeCell ref="L28:O28"/>
    <mergeCell ref="B29:G29"/>
    <mergeCell ref="H29:K29"/>
    <mergeCell ref="L29:O29"/>
  </mergeCells>
  <conditionalFormatting sqref="B9:B10">
    <cfRule type="cellIs" dxfId="223" priority="3" operator="equal">
      <formula>"Nok"</formula>
    </cfRule>
    <cfRule type="cellIs" dxfId="222" priority="4" operator="equal">
      <formula>"Ok"</formula>
    </cfRule>
  </conditionalFormatting>
  <conditionalFormatting sqref="P22:P30">
    <cfRule type="cellIs" dxfId="221" priority="1" operator="equal">
      <formula>"Nok"</formula>
    </cfRule>
    <cfRule type="cellIs" dxfId="220" priority="2" operator="equal">
      <formula>"Ok"</formula>
    </cfRule>
  </conditionalFormatting>
  <dataValidations count="3">
    <dataValidation type="list" allowBlank="1" showInputMessage="1" showErrorMessage="1" sqref="P22:P30" xr:uid="{0FB66D9A-5DFC-4544-B73F-1161D4114261}">
      <formula1>"Ok, Nok, Not run, ,"</formula1>
    </dataValidation>
    <dataValidation type="list" allowBlank="1" showInputMessage="1" showErrorMessage="1" sqref="B9" xr:uid="{059FC140-7702-4DBF-A826-964D241C0ED6}">
      <formula1>"Ok, Nok, Not run, NA"</formula1>
    </dataValidation>
    <dataValidation type="list" allowBlank="1" showInputMessage="1" showErrorMessage="1" sqref="B5" xr:uid="{0843CA0A-57F7-4737-8739-582F724A8B8B}">
      <formula1>"Nominal, Robustness, Endurance, Qualification"</formula1>
    </dataValidation>
  </dataValidations>
  <pageMargins left="0.7" right="0.7" top="0.75" bottom="0.75" header="0.3" footer="0.3"/>
  <pageSetup paperSize="9" orientation="portrait" r:id="rId1"/>
  <headerFooter>
    <oddFooter>&amp;LNA ver 1.1&amp;R&amp;P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F0025-275B-4CD2-B3DC-70C108C61271}">
  <sheetPr codeName="Sheet8"/>
  <dimension ref="A1:P33"/>
  <sheetViews>
    <sheetView workbookViewId="0">
      <selection activeCell="B25" sqref="B25:G25"/>
    </sheetView>
  </sheetViews>
  <sheetFormatPr defaultColWidth="9.33203125" defaultRowHeight="13.2" x14ac:dyDescent="0.25"/>
  <cols>
    <col min="1" max="1" width="20.33203125" style="93" customWidth="1"/>
    <col min="2" max="2" width="18.44140625" style="89" customWidth="1"/>
    <col min="3" max="7" width="9.33203125" style="89"/>
    <col min="8" max="15" width="9.5546875" style="89" customWidth="1"/>
    <col min="16" max="16384" width="9.33203125" style="89"/>
  </cols>
  <sheetData>
    <row r="1" spans="1:15" ht="13.8" thickBot="1" x14ac:dyDescent="0.3">
      <c r="A1" s="94" t="s">
        <v>39</v>
      </c>
      <c r="B1" s="198" t="s">
        <v>148</v>
      </c>
      <c r="C1" s="199"/>
      <c r="D1" s="199"/>
      <c r="E1" s="199"/>
      <c r="F1" s="199"/>
      <c r="G1" s="20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95" t="s">
        <v>44</v>
      </c>
      <c r="B3" s="232" t="s">
        <v>224</v>
      </c>
      <c r="C3" s="233"/>
      <c r="D3" s="233"/>
      <c r="E3" s="233"/>
      <c r="F3" s="233"/>
      <c r="G3" s="234"/>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4" t="s">
        <v>108</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4" t="s">
        <v>40</v>
      </c>
      <c r="B7" s="201" t="s">
        <v>148</v>
      </c>
      <c r="C7" s="202"/>
      <c r="D7" s="202"/>
      <c r="E7" s="202"/>
      <c r="F7" s="202"/>
      <c r="G7" s="20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4" t="s">
        <v>41</v>
      </c>
      <c r="B9" s="99" t="s">
        <v>206</v>
      </c>
      <c r="C9" s="73"/>
      <c r="D9" s="74"/>
      <c r="E9" s="74"/>
      <c r="F9" s="74"/>
      <c r="G9" s="74"/>
      <c r="H9" s="74"/>
      <c r="I9" s="74"/>
      <c r="J9" s="74"/>
      <c r="K9" s="74"/>
      <c r="L9" s="74"/>
      <c r="M9" s="74"/>
      <c r="N9" s="74"/>
      <c r="O9" s="74"/>
    </row>
    <row r="10" spans="1:15" ht="13.8" thickBot="1" x14ac:dyDescent="0.3">
      <c r="A10" s="76"/>
      <c r="B10" s="90"/>
      <c r="C10" s="73"/>
      <c r="D10" s="74"/>
      <c r="E10" s="74"/>
      <c r="F10" s="74"/>
      <c r="G10" s="74"/>
      <c r="H10" s="74"/>
      <c r="I10" s="74"/>
      <c r="J10" s="74"/>
      <c r="K10" s="74"/>
      <c r="L10" s="74"/>
      <c r="M10" s="74"/>
      <c r="N10" s="74"/>
      <c r="O10" s="74"/>
    </row>
    <row r="11" spans="1:15" ht="12" customHeight="1" x14ac:dyDescent="0.25">
      <c r="A11" s="211" t="s">
        <v>110</v>
      </c>
      <c r="B11" s="219" t="s">
        <v>131</v>
      </c>
      <c r="C11" s="220"/>
      <c r="D11" s="220"/>
      <c r="E11" s="220"/>
      <c r="F11" s="220"/>
      <c r="G11" s="221"/>
      <c r="H11" s="74"/>
      <c r="I11" s="74"/>
      <c r="J11" s="74"/>
      <c r="K11" s="74"/>
      <c r="L11" s="74"/>
      <c r="M11" s="74"/>
      <c r="N11" s="74"/>
      <c r="O11" s="74"/>
    </row>
    <row r="12" spans="1:15" x14ac:dyDescent="0.25">
      <c r="A12" s="212"/>
      <c r="B12" s="222"/>
      <c r="C12" s="223"/>
      <c r="D12" s="223"/>
      <c r="E12" s="223"/>
      <c r="F12" s="223"/>
      <c r="G12" s="224"/>
      <c r="H12" s="74"/>
      <c r="I12" s="74"/>
      <c r="J12" s="74"/>
      <c r="K12" s="74"/>
      <c r="L12" s="74"/>
      <c r="M12" s="74"/>
      <c r="N12" s="74"/>
      <c r="O12" s="74"/>
    </row>
    <row r="13" spans="1:15" x14ac:dyDescent="0.25">
      <c r="A13" s="212"/>
      <c r="B13" s="222"/>
      <c r="C13" s="223"/>
      <c r="D13" s="223"/>
      <c r="E13" s="223"/>
      <c r="F13" s="223"/>
      <c r="G13" s="224"/>
      <c r="H13" s="72"/>
      <c r="I13" s="74"/>
      <c r="J13" s="74"/>
      <c r="K13" s="74"/>
      <c r="L13" s="74"/>
      <c r="M13" s="74"/>
      <c r="N13" s="74"/>
      <c r="O13" s="74"/>
    </row>
    <row r="14" spans="1:15" ht="13.8" thickBot="1" x14ac:dyDescent="0.3">
      <c r="A14" s="212"/>
      <c r="B14" s="225"/>
      <c r="C14" s="226"/>
      <c r="D14" s="226"/>
      <c r="E14" s="226"/>
      <c r="F14" s="226"/>
      <c r="G14" s="22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1" t="s">
        <v>42</v>
      </c>
      <c r="B16" s="219" t="s">
        <v>133</v>
      </c>
      <c r="C16" s="220"/>
      <c r="D16" s="220"/>
      <c r="E16" s="220"/>
      <c r="F16" s="220"/>
      <c r="G16" s="221"/>
      <c r="H16" s="74"/>
      <c r="I16" s="74"/>
      <c r="J16" s="74"/>
      <c r="K16" s="74"/>
      <c r="L16" s="74"/>
      <c r="M16" s="74"/>
      <c r="N16" s="74"/>
      <c r="O16" s="74"/>
    </row>
    <row r="17" spans="1:16" x14ac:dyDescent="0.25">
      <c r="A17" s="212"/>
      <c r="B17" s="222"/>
      <c r="C17" s="223"/>
      <c r="D17" s="223"/>
      <c r="E17" s="223"/>
      <c r="F17" s="223"/>
      <c r="G17" s="224"/>
      <c r="H17" s="74"/>
      <c r="I17" s="74"/>
      <c r="J17" s="74"/>
      <c r="K17" s="74"/>
      <c r="L17" s="74"/>
      <c r="M17" s="74"/>
      <c r="N17" s="74"/>
      <c r="O17" s="74"/>
    </row>
    <row r="18" spans="1:16" x14ac:dyDescent="0.25">
      <c r="A18" s="212"/>
      <c r="B18" s="222"/>
      <c r="C18" s="223"/>
      <c r="D18" s="223"/>
      <c r="E18" s="223"/>
      <c r="F18" s="223"/>
      <c r="G18" s="224"/>
      <c r="H18" s="72"/>
      <c r="I18" s="74"/>
      <c r="J18" s="74"/>
      <c r="K18" s="74"/>
      <c r="L18" s="74"/>
      <c r="M18" s="74"/>
      <c r="N18" s="74"/>
      <c r="O18" s="74"/>
    </row>
    <row r="19" spans="1:16" ht="13.8" thickBot="1" x14ac:dyDescent="0.3">
      <c r="A19" s="212"/>
      <c r="B19" s="225"/>
      <c r="C19" s="226"/>
      <c r="D19" s="226"/>
      <c r="E19" s="226"/>
      <c r="F19" s="226"/>
      <c r="G19" s="22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204" t="s">
        <v>46</v>
      </c>
      <c r="B21" s="205"/>
      <c r="C21" s="205"/>
      <c r="D21" s="205"/>
      <c r="E21" s="205"/>
      <c r="F21" s="205"/>
      <c r="G21" s="206"/>
      <c r="H21" s="204" t="s">
        <v>47</v>
      </c>
      <c r="I21" s="205"/>
      <c r="J21" s="205"/>
      <c r="K21" s="206"/>
      <c r="L21" s="204" t="s">
        <v>58</v>
      </c>
      <c r="M21" s="205"/>
      <c r="N21" s="205"/>
      <c r="O21" s="206"/>
      <c r="P21" s="96" t="s">
        <v>45</v>
      </c>
    </row>
    <row r="22" spans="1:16" ht="43.5" customHeight="1" x14ac:dyDescent="0.25">
      <c r="A22" s="97" t="s">
        <v>48</v>
      </c>
      <c r="B22" s="213" t="s">
        <v>219</v>
      </c>
      <c r="C22" s="214"/>
      <c r="D22" s="214"/>
      <c r="E22" s="214"/>
      <c r="F22" s="214"/>
      <c r="G22" s="215"/>
      <c r="H22" s="216" t="s">
        <v>150</v>
      </c>
      <c r="I22" s="217"/>
      <c r="J22" s="217"/>
      <c r="K22" s="218"/>
      <c r="L22" s="216" t="s">
        <v>150</v>
      </c>
      <c r="M22" s="217"/>
      <c r="N22" s="217"/>
      <c r="O22" s="218"/>
      <c r="P22" s="91" t="s">
        <v>206</v>
      </c>
    </row>
    <row r="23" spans="1:16" ht="26.25" customHeight="1" x14ac:dyDescent="0.25">
      <c r="A23" s="97" t="s">
        <v>49</v>
      </c>
      <c r="B23" s="213" t="s">
        <v>220</v>
      </c>
      <c r="C23" s="214"/>
      <c r="D23" s="214"/>
      <c r="E23" s="214"/>
      <c r="F23" s="214"/>
      <c r="G23" s="215"/>
      <c r="H23" s="216" t="s">
        <v>150</v>
      </c>
      <c r="I23" s="217"/>
      <c r="J23" s="217"/>
      <c r="K23" s="218"/>
      <c r="L23" s="216" t="s">
        <v>150</v>
      </c>
      <c r="M23" s="217"/>
      <c r="N23" s="217"/>
      <c r="O23" s="218"/>
      <c r="P23" s="91" t="s">
        <v>206</v>
      </c>
    </row>
    <row r="24" spans="1:16" ht="39.75" customHeight="1" x14ac:dyDescent="0.25">
      <c r="A24" s="97" t="s">
        <v>50</v>
      </c>
      <c r="B24" s="213" t="s">
        <v>221</v>
      </c>
      <c r="C24" s="214"/>
      <c r="D24" s="214"/>
      <c r="E24" s="214"/>
      <c r="F24" s="214"/>
      <c r="G24" s="215"/>
      <c r="H24" s="216" t="s">
        <v>150</v>
      </c>
      <c r="I24" s="217"/>
      <c r="J24" s="217"/>
      <c r="K24" s="218"/>
      <c r="L24" s="216" t="s">
        <v>150</v>
      </c>
      <c r="M24" s="217"/>
      <c r="N24" s="217"/>
      <c r="O24" s="218"/>
      <c r="P24" s="91" t="s">
        <v>206</v>
      </c>
    </row>
    <row r="25" spans="1:16" ht="39" customHeight="1" x14ac:dyDescent="0.25">
      <c r="A25" s="97" t="s">
        <v>51</v>
      </c>
      <c r="B25" s="213" t="s">
        <v>222</v>
      </c>
      <c r="C25" s="214"/>
      <c r="D25" s="214"/>
      <c r="E25" s="214"/>
      <c r="F25" s="214"/>
      <c r="G25" s="215"/>
      <c r="H25" s="216" t="s">
        <v>150</v>
      </c>
      <c r="I25" s="217"/>
      <c r="J25" s="217"/>
      <c r="K25" s="218"/>
      <c r="L25" s="216" t="s">
        <v>150</v>
      </c>
      <c r="M25" s="217"/>
      <c r="N25" s="217"/>
      <c r="O25" s="218"/>
      <c r="P25" s="91" t="s">
        <v>206</v>
      </c>
    </row>
    <row r="26" spans="1:16" ht="40.5" customHeight="1" x14ac:dyDescent="0.25">
      <c r="A26" s="97" t="s">
        <v>52</v>
      </c>
      <c r="B26" s="216" t="s">
        <v>260</v>
      </c>
      <c r="C26" s="217"/>
      <c r="D26" s="217"/>
      <c r="E26" s="217"/>
      <c r="F26" s="217"/>
      <c r="G26" s="218"/>
      <c r="H26" s="216" t="s">
        <v>261</v>
      </c>
      <c r="I26" s="217"/>
      <c r="J26" s="217"/>
      <c r="K26" s="218"/>
      <c r="L26" s="216" t="s">
        <v>261</v>
      </c>
      <c r="M26" s="217"/>
      <c r="N26" s="217"/>
      <c r="O26" s="218"/>
      <c r="P26" s="91" t="s">
        <v>206</v>
      </c>
    </row>
    <row r="27" spans="1:16" ht="39.450000000000003" customHeight="1" x14ac:dyDescent="0.25">
      <c r="A27" s="97" t="s">
        <v>53</v>
      </c>
      <c r="B27" s="213" t="s">
        <v>222</v>
      </c>
      <c r="C27" s="214"/>
      <c r="D27" s="214"/>
      <c r="E27" s="214"/>
      <c r="F27" s="214"/>
      <c r="G27" s="215"/>
      <c r="H27" s="216" t="s">
        <v>150</v>
      </c>
      <c r="I27" s="217"/>
      <c r="J27" s="217"/>
      <c r="K27" s="218"/>
      <c r="L27" s="216" t="s">
        <v>150</v>
      </c>
      <c r="M27" s="217"/>
      <c r="N27" s="217"/>
      <c r="O27" s="218"/>
      <c r="P27" s="91" t="s">
        <v>206</v>
      </c>
    </row>
    <row r="28" spans="1:16" ht="39" customHeight="1" x14ac:dyDescent="0.25">
      <c r="A28" s="97" t="s">
        <v>54</v>
      </c>
      <c r="B28" s="213" t="s">
        <v>274</v>
      </c>
      <c r="C28" s="214"/>
      <c r="D28" s="214"/>
      <c r="E28" s="214"/>
      <c r="F28" s="214"/>
      <c r="G28" s="215"/>
      <c r="H28" s="216" t="s">
        <v>273</v>
      </c>
      <c r="I28" s="217"/>
      <c r="J28" s="217"/>
      <c r="K28" s="218"/>
      <c r="L28" s="216" t="s">
        <v>272</v>
      </c>
      <c r="M28" s="217"/>
      <c r="N28" s="217"/>
      <c r="O28" s="218"/>
      <c r="P28" s="91" t="s">
        <v>206</v>
      </c>
    </row>
    <row r="29" spans="1:16" ht="12.75" customHeight="1" x14ac:dyDescent="0.25">
      <c r="A29" s="97" t="s">
        <v>55</v>
      </c>
      <c r="B29" s="216"/>
      <c r="C29" s="217"/>
      <c r="D29" s="217"/>
      <c r="E29" s="217"/>
      <c r="F29" s="217"/>
      <c r="G29" s="218"/>
      <c r="H29" s="216"/>
      <c r="I29" s="217"/>
      <c r="J29" s="217"/>
      <c r="K29" s="218"/>
      <c r="L29" s="216"/>
      <c r="M29" s="217"/>
      <c r="N29" s="217"/>
      <c r="O29" s="218"/>
      <c r="P29" s="91"/>
    </row>
    <row r="30" spans="1:16" ht="27" customHeight="1" x14ac:dyDescent="0.25">
      <c r="A30" s="97" t="s">
        <v>56</v>
      </c>
      <c r="B30" s="216"/>
      <c r="C30" s="217"/>
      <c r="D30" s="217"/>
      <c r="E30" s="217"/>
      <c r="F30" s="217"/>
      <c r="G30" s="218"/>
      <c r="L30" s="216"/>
      <c r="M30" s="217"/>
      <c r="N30" s="217"/>
      <c r="O30" s="218"/>
      <c r="P30" s="91"/>
    </row>
    <row r="31" spans="1:16" ht="13.8" thickBot="1" x14ac:dyDescent="0.3">
      <c r="A31" s="97" t="s">
        <v>181</v>
      </c>
      <c r="B31" s="229"/>
      <c r="C31" s="230"/>
      <c r="D31" s="230"/>
      <c r="E31" s="230"/>
      <c r="F31" s="230"/>
      <c r="G31" s="231"/>
      <c r="H31" s="229"/>
      <c r="I31" s="230"/>
      <c r="J31" s="230"/>
      <c r="K31" s="231"/>
      <c r="L31" s="229"/>
      <c r="M31" s="230"/>
      <c r="N31" s="230"/>
      <c r="O31" s="231"/>
      <c r="P31" s="92"/>
    </row>
    <row r="32" spans="1:16" x14ac:dyDescent="0.25">
      <c r="B32" s="93"/>
      <c r="C32" s="93"/>
      <c r="D32" s="93"/>
      <c r="E32" s="93"/>
      <c r="F32" s="93"/>
      <c r="G32" s="93"/>
      <c r="H32" s="93"/>
    </row>
    <row r="33" spans="2:8" x14ac:dyDescent="0.25">
      <c r="B33" s="93"/>
      <c r="C33" s="93"/>
      <c r="D33" s="93"/>
      <c r="E33" s="93"/>
      <c r="F33" s="93"/>
      <c r="G33" s="93"/>
      <c r="H33" s="93"/>
    </row>
  </sheetData>
  <mergeCells count="39">
    <mergeCell ref="L21:O21"/>
    <mergeCell ref="H23:K23"/>
    <mergeCell ref="L23:O23"/>
    <mergeCell ref="B23:G23"/>
    <mergeCell ref="A11:A14"/>
    <mergeCell ref="B11:G14"/>
    <mergeCell ref="A16:A19"/>
    <mergeCell ref="B16:G19"/>
    <mergeCell ref="B22:G22"/>
    <mergeCell ref="H22:K22"/>
    <mergeCell ref="L22:O22"/>
    <mergeCell ref="B1:G1"/>
    <mergeCell ref="B3:G3"/>
    <mergeCell ref="B7:G7"/>
    <mergeCell ref="A21:G21"/>
    <mergeCell ref="H21:K21"/>
    <mergeCell ref="B25:G25"/>
    <mergeCell ref="H25:K25"/>
    <mergeCell ref="L25:O25"/>
    <mergeCell ref="H24:K24"/>
    <mergeCell ref="L24:O24"/>
    <mergeCell ref="B24:G24"/>
    <mergeCell ref="B26:G26"/>
    <mergeCell ref="L26:O26"/>
    <mergeCell ref="H26:K26"/>
    <mergeCell ref="B27:G27"/>
    <mergeCell ref="H27:K27"/>
    <mergeCell ref="L27:O27"/>
    <mergeCell ref="B28:G28"/>
    <mergeCell ref="H28:K28"/>
    <mergeCell ref="L28:O28"/>
    <mergeCell ref="B31:G31"/>
    <mergeCell ref="H31:K31"/>
    <mergeCell ref="L31:O31"/>
    <mergeCell ref="B29:G29"/>
    <mergeCell ref="H29:K29"/>
    <mergeCell ref="L29:O29"/>
    <mergeCell ref="B30:G30"/>
    <mergeCell ref="L30:O30"/>
  </mergeCells>
  <phoneticPr fontId="42" type="noConversion"/>
  <conditionalFormatting sqref="B9:B10">
    <cfRule type="cellIs" dxfId="219" priority="5" operator="equal">
      <formula>"Nok"</formula>
    </cfRule>
    <cfRule type="cellIs" dxfId="218" priority="6" operator="equal">
      <formula>"Ok"</formula>
    </cfRule>
  </conditionalFormatting>
  <conditionalFormatting sqref="P23:P31">
    <cfRule type="cellIs" dxfId="217" priority="3" operator="equal">
      <formula>"Nok"</formula>
    </cfRule>
    <cfRule type="cellIs" dxfId="216" priority="4" operator="equal">
      <formula>"Ok"</formula>
    </cfRule>
  </conditionalFormatting>
  <conditionalFormatting sqref="P22">
    <cfRule type="cellIs" dxfId="215" priority="1" operator="equal">
      <formula>"Nok"</formula>
    </cfRule>
    <cfRule type="cellIs" dxfId="214" priority="2" operator="equal">
      <formula>"Ok"</formula>
    </cfRule>
  </conditionalFormatting>
  <dataValidations count="3">
    <dataValidation type="list" allowBlank="1" showInputMessage="1" showErrorMessage="1" sqref="B5" xr:uid="{05A5934F-ED2D-4F41-A78F-6E39D8BE8E18}">
      <formula1>"Nominal, Robustness, Endurance, Qualification"</formula1>
    </dataValidation>
    <dataValidation type="list" allowBlank="1" showInputMessage="1" showErrorMessage="1" sqref="B9" xr:uid="{D7AA1071-92B0-4F17-B0E2-F836902E3295}">
      <formula1>"Ok, Nok, Not run, NA"</formula1>
    </dataValidation>
    <dataValidation type="list" allowBlank="1" showInputMessage="1" showErrorMessage="1" sqref="P22:P31" xr:uid="{80699889-CA18-480A-B0F6-506440F47EDD}">
      <formula1>"Ok, Nok, Not run, ,"</formula1>
    </dataValidation>
  </dataValidations>
  <pageMargins left="0.7" right="0.7" top="0.75" bottom="0.75" header="0.3" footer="0.3"/>
  <pageSetup paperSize="9" orientation="portrait" r:id="rId1"/>
  <headerFooter>
    <oddFooter>&amp;LNA ver 1.1&amp;R&amp;P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6A50F-6ECA-46B1-ACCE-ADA21FB811BB}">
  <sheetPr codeName="Sheet9"/>
  <dimension ref="A1:P34"/>
  <sheetViews>
    <sheetView topLeftCell="A7" workbookViewId="0">
      <selection activeCell="B25" sqref="B25:G25"/>
    </sheetView>
  </sheetViews>
  <sheetFormatPr defaultColWidth="9.33203125" defaultRowHeight="13.2" x14ac:dyDescent="0.25"/>
  <cols>
    <col min="1" max="1" width="20.33203125" style="93" customWidth="1"/>
    <col min="2" max="2" width="18.44140625" style="89" customWidth="1"/>
    <col min="3" max="7" width="9.33203125" style="89"/>
    <col min="8" max="15" width="9.5546875" style="89" customWidth="1"/>
    <col min="16" max="16384" width="9.33203125" style="89"/>
  </cols>
  <sheetData>
    <row r="1" spans="1:15" ht="13.8" thickBot="1" x14ac:dyDescent="0.3">
      <c r="A1" s="94" t="s">
        <v>39</v>
      </c>
      <c r="B1" s="198" t="s">
        <v>152</v>
      </c>
      <c r="C1" s="199"/>
      <c r="D1" s="199"/>
      <c r="E1" s="199"/>
      <c r="F1" s="199"/>
      <c r="G1" s="20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95" t="s">
        <v>44</v>
      </c>
      <c r="B3" s="232" t="s">
        <v>225</v>
      </c>
      <c r="C3" s="233"/>
      <c r="D3" s="233"/>
      <c r="E3" s="233"/>
      <c r="F3" s="233"/>
      <c r="G3" s="234"/>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4" t="s">
        <v>108</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4" t="s">
        <v>40</v>
      </c>
      <c r="B7" s="201" t="s">
        <v>152</v>
      </c>
      <c r="C7" s="202"/>
      <c r="D7" s="202"/>
      <c r="E7" s="202"/>
      <c r="F7" s="202"/>
      <c r="G7" s="20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4" t="s">
        <v>41</v>
      </c>
      <c r="B9" s="99" t="s">
        <v>206</v>
      </c>
      <c r="C9" s="73"/>
      <c r="D9" s="74"/>
      <c r="E9" s="74"/>
      <c r="F9" s="74"/>
      <c r="G9" s="74"/>
      <c r="H9" s="74"/>
      <c r="I9" s="74"/>
      <c r="J9" s="74"/>
      <c r="K9" s="74"/>
      <c r="L9" s="74"/>
      <c r="M9" s="74"/>
      <c r="N9" s="74"/>
      <c r="O9" s="74"/>
    </row>
    <row r="10" spans="1:15" ht="13.8" thickBot="1" x14ac:dyDescent="0.3">
      <c r="A10" s="76"/>
      <c r="B10" s="90"/>
      <c r="C10" s="73"/>
      <c r="D10" s="74"/>
      <c r="E10" s="74"/>
      <c r="F10" s="74"/>
      <c r="G10" s="74"/>
      <c r="H10" s="74"/>
      <c r="I10" s="74"/>
      <c r="J10" s="74"/>
      <c r="K10" s="74"/>
      <c r="L10" s="74"/>
      <c r="M10" s="74"/>
      <c r="N10" s="74"/>
      <c r="O10" s="74"/>
    </row>
    <row r="11" spans="1:15" ht="12" customHeight="1" x14ac:dyDescent="0.25">
      <c r="A11" s="211" t="s">
        <v>110</v>
      </c>
      <c r="B11" s="219" t="s">
        <v>131</v>
      </c>
      <c r="C11" s="220"/>
      <c r="D11" s="220"/>
      <c r="E11" s="220"/>
      <c r="F11" s="220"/>
      <c r="G11" s="221"/>
      <c r="H11" s="74"/>
      <c r="I11" s="74"/>
      <c r="J11" s="74"/>
      <c r="K11" s="74"/>
      <c r="L11" s="74"/>
      <c r="M11" s="74"/>
      <c r="N11" s="74"/>
      <c r="O11" s="74"/>
    </row>
    <row r="12" spans="1:15" x14ac:dyDescent="0.25">
      <c r="A12" s="212"/>
      <c r="B12" s="222"/>
      <c r="C12" s="223"/>
      <c r="D12" s="223"/>
      <c r="E12" s="223"/>
      <c r="F12" s="223"/>
      <c r="G12" s="224"/>
      <c r="H12" s="74"/>
      <c r="I12" s="74"/>
      <c r="J12" s="74"/>
      <c r="K12" s="74"/>
      <c r="L12" s="74"/>
      <c r="M12" s="74"/>
      <c r="N12" s="74"/>
      <c r="O12" s="74"/>
    </row>
    <row r="13" spans="1:15" x14ac:dyDescent="0.25">
      <c r="A13" s="212"/>
      <c r="B13" s="222"/>
      <c r="C13" s="223"/>
      <c r="D13" s="223"/>
      <c r="E13" s="223"/>
      <c r="F13" s="223"/>
      <c r="G13" s="224"/>
      <c r="H13" s="72"/>
      <c r="I13" s="74"/>
      <c r="J13" s="74"/>
      <c r="K13" s="74"/>
      <c r="L13" s="74"/>
      <c r="M13" s="74"/>
      <c r="N13" s="74"/>
      <c r="O13" s="74"/>
    </row>
    <row r="14" spans="1:15" ht="13.8" thickBot="1" x14ac:dyDescent="0.3">
      <c r="A14" s="212"/>
      <c r="B14" s="225"/>
      <c r="C14" s="226"/>
      <c r="D14" s="226"/>
      <c r="E14" s="226"/>
      <c r="F14" s="226"/>
      <c r="G14" s="22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1" t="s">
        <v>42</v>
      </c>
      <c r="B16" s="219" t="s">
        <v>133</v>
      </c>
      <c r="C16" s="220"/>
      <c r="D16" s="220"/>
      <c r="E16" s="220"/>
      <c r="F16" s="220"/>
      <c r="G16" s="221"/>
      <c r="H16" s="74"/>
      <c r="I16" s="74"/>
      <c r="J16" s="74"/>
      <c r="K16" s="74"/>
      <c r="L16" s="74"/>
      <c r="M16" s="74"/>
      <c r="N16" s="74"/>
      <c r="O16" s="74"/>
    </row>
    <row r="17" spans="1:16" x14ac:dyDescent="0.25">
      <c r="A17" s="212"/>
      <c r="B17" s="222"/>
      <c r="C17" s="223"/>
      <c r="D17" s="223"/>
      <c r="E17" s="223"/>
      <c r="F17" s="223"/>
      <c r="G17" s="224"/>
      <c r="H17" s="74"/>
      <c r="I17" s="74"/>
      <c r="J17" s="74"/>
      <c r="K17" s="74"/>
      <c r="L17" s="74"/>
      <c r="M17" s="74"/>
      <c r="N17" s="74"/>
      <c r="O17" s="74"/>
    </row>
    <row r="18" spans="1:16" x14ac:dyDescent="0.25">
      <c r="A18" s="212"/>
      <c r="B18" s="222"/>
      <c r="C18" s="223"/>
      <c r="D18" s="223"/>
      <c r="E18" s="223"/>
      <c r="F18" s="223"/>
      <c r="G18" s="224"/>
      <c r="H18" s="72"/>
      <c r="I18" s="74"/>
      <c r="J18" s="74"/>
      <c r="K18" s="74"/>
      <c r="L18" s="74"/>
      <c r="M18" s="74"/>
      <c r="N18" s="74"/>
      <c r="O18" s="74"/>
    </row>
    <row r="19" spans="1:16" ht="13.8" thickBot="1" x14ac:dyDescent="0.3">
      <c r="A19" s="212"/>
      <c r="B19" s="225"/>
      <c r="C19" s="226"/>
      <c r="D19" s="226"/>
      <c r="E19" s="226"/>
      <c r="F19" s="226"/>
      <c r="G19" s="22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204" t="s">
        <v>46</v>
      </c>
      <c r="B21" s="205"/>
      <c r="C21" s="205"/>
      <c r="D21" s="205"/>
      <c r="E21" s="205"/>
      <c r="F21" s="205"/>
      <c r="G21" s="206"/>
      <c r="H21" s="204" t="s">
        <v>47</v>
      </c>
      <c r="I21" s="205"/>
      <c r="J21" s="205"/>
      <c r="K21" s="206"/>
      <c r="L21" s="204" t="s">
        <v>58</v>
      </c>
      <c r="M21" s="205"/>
      <c r="N21" s="205"/>
      <c r="O21" s="206"/>
      <c r="P21" s="96" t="s">
        <v>45</v>
      </c>
    </row>
    <row r="22" spans="1:16" ht="39" customHeight="1" x14ac:dyDescent="0.25">
      <c r="A22" s="97" t="s">
        <v>48</v>
      </c>
      <c r="B22" s="213" t="s">
        <v>277</v>
      </c>
      <c r="C22" s="214"/>
      <c r="D22" s="214"/>
      <c r="E22" s="214"/>
      <c r="F22" s="214"/>
      <c r="G22" s="215"/>
      <c r="H22" s="207" t="s">
        <v>278</v>
      </c>
      <c r="I22" s="208"/>
      <c r="J22" s="208"/>
      <c r="K22" s="209"/>
      <c r="L22" s="207" t="s">
        <v>278</v>
      </c>
      <c r="M22" s="208"/>
      <c r="N22" s="208"/>
      <c r="O22" s="209"/>
      <c r="P22" s="91" t="s">
        <v>206</v>
      </c>
    </row>
    <row r="23" spans="1:16" ht="39" customHeight="1" x14ac:dyDescent="0.25">
      <c r="A23" s="97" t="s">
        <v>49</v>
      </c>
      <c r="B23" s="213" t="s">
        <v>275</v>
      </c>
      <c r="C23" s="214"/>
      <c r="D23" s="214"/>
      <c r="E23" s="214"/>
      <c r="F23" s="214"/>
      <c r="G23" s="215"/>
      <c r="H23" s="207" t="s">
        <v>276</v>
      </c>
      <c r="I23" s="208"/>
      <c r="J23" s="208"/>
      <c r="K23" s="209"/>
      <c r="L23" s="207" t="s">
        <v>276</v>
      </c>
      <c r="M23" s="208"/>
      <c r="N23" s="208"/>
      <c r="O23" s="209"/>
      <c r="P23" s="91" t="s">
        <v>206</v>
      </c>
    </row>
    <row r="24" spans="1:16" ht="53.25" customHeight="1" x14ac:dyDescent="0.25">
      <c r="A24" s="97"/>
      <c r="B24" s="213" t="s">
        <v>279</v>
      </c>
      <c r="C24" s="214"/>
      <c r="D24" s="214"/>
      <c r="E24" s="214"/>
      <c r="F24" s="214"/>
      <c r="G24" s="215"/>
      <c r="H24" s="207" t="s">
        <v>280</v>
      </c>
      <c r="I24" s="208"/>
      <c r="J24" s="208"/>
      <c r="K24" s="209"/>
      <c r="L24" s="207" t="s">
        <v>280</v>
      </c>
      <c r="M24" s="208"/>
      <c r="N24" s="208"/>
      <c r="O24" s="209"/>
      <c r="P24" s="91" t="s">
        <v>206</v>
      </c>
    </row>
    <row r="25" spans="1:16" ht="49.5" customHeight="1" x14ac:dyDescent="0.25">
      <c r="A25" s="97" t="s">
        <v>50</v>
      </c>
      <c r="B25" s="216" t="s">
        <v>155</v>
      </c>
      <c r="C25" s="217"/>
      <c r="D25" s="217"/>
      <c r="E25" s="217"/>
      <c r="F25" s="217"/>
      <c r="G25" s="218"/>
      <c r="H25" s="210" t="s">
        <v>153</v>
      </c>
      <c r="I25" s="210"/>
      <c r="J25" s="210"/>
      <c r="K25" s="210"/>
      <c r="L25" s="210" t="s">
        <v>153</v>
      </c>
      <c r="M25" s="210"/>
      <c r="N25" s="210"/>
      <c r="O25" s="210"/>
      <c r="P25" s="91" t="s">
        <v>206</v>
      </c>
    </row>
    <row r="26" spans="1:16" ht="59.25" customHeight="1" x14ac:dyDescent="0.25">
      <c r="A26" s="97" t="s">
        <v>51</v>
      </c>
      <c r="B26" s="213" t="s">
        <v>154</v>
      </c>
      <c r="C26" s="214"/>
      <c r="D26" s="214"/>
      <c r="E26" s="214"/>
      <c r="F26" s="214"/>
      <c r="G26" s="215"/>
      <c r="H26" s="210" t="s">
        <v>156</v>
      </c>
      <c r="I26" s="210"/>
      <c r="J26" s="210"/>
      <c r="K26" s="210"/>
      <c r="L26" s="210" t="s">
        <v>156</v>
      </c>
      <c r="M26" s="210"/>
      <c r="N26" s="210"/>
      <c r="O26" s="210"/>
      <c r="P26" s="91" t="s">
        <v>206</v>
      </c>
    </row>
    <row r="27" spans="1:16" ht="39.450000000000003" customHeight="1" x14ac:dyDescent="0.25">
      <c r="A27" s="97" t="s">
        <v>52</v>
      </c>
      <c r="B27" s="213" t="s">
        <v>157</v>
      </c>
      <c r="C27" s="214"/>
      <c r="D27" s="214"/>
      <c r="E27" s="214"/>
      <c r="F27" s="214"/>
      <c r="G27" s="215"/>
      <c r="H27" s="210" t="s">
        <v>150</v>
      </c>
      <c r="I27" s="210"/>
      <c r="J27" s="210"/>
      <c r="K27" s="210"/>
      <c r="L27" s="210" t="s">
        <v>150</v>
      </c>
      <c r="M27" s="210"/>
      <c r="N27" s="210"/>
      <c r="O27" s="210"/>
      <c r="P27" s="91" t="s">
        <v>206</v>
      </c>
    </row>
    <row r="28" spans="1:16" ht="39.450000000000003" customHeight="1" x14ac:dyDescent="0.25">
      <c r="A28" s="97" t="s">
        <v>53</v>
      </c>
      <c r="B28" s="216" t="s">
        <v>158</v>
      </c>
      <c r="C28" s="217"/>
      <c r="D28" s="217"/>
      <c r="E28" s="217"/>
      <c r="F28" s="217"/>
      <c r="G28" s="218"/>
      <c r="H28" s="210" t="s">
        <v>153</v>
      </c>
      <c r="I28" s="210"/>
      <c r="J28" s="210"/>
      <c r="K28" s="210"/>
      <c r="L28" s="210" t="s">
        <v>153</v>
      </c>
      <c r="M28" s="210"/>
      <c r="N28" s="210"/>
      <c r="O28" s="210"/>
      <c r="P28" s="91" t="s">
        <v>206</v>
      </c>
    </row>
    <row r="29" spans="1:16" ht="44.7" customHeight="1" x14ac:dyDescent="0.25">
      <c r="A29" s="97" t="s">
        <v>54</v>
      </c>
      <c r="B29" s="213" t="s">
        <v>162</v>
      </c>
      <c r="C29" s="214"/>
      <c r="D29" s="214"/>
      <c r="E29" s="214"/>
      <c r="F29" s="214"/>
      <c r="G29" s="215"/>
      <c r="H29" s="210" t="s">
        <v>159</v>
      </c>
      <c r="I29" s="210"/>
      <c r="J29" s="210"/>
      <c r="K29" s="210"/>
      <c r="L29" s="210" t="s">
        <v>159</v>
      </c>
      <c r="M29" s="210"/>
      <c r="N29" s="210"/>
      <c r="O29" s="210"/>
      <c r="P29" s="91" t="s">
        <v>206</v>
      </c>
    </row>
    <row r="30" spans="1:16" ht="40.200000000000003" customHeight="1" x14ac:dyDescent="0.25">
      <c r="A30" s="97" t="s">
        <v>55</v>
      </c>
      <c r="B30" s="213" t="s">
        <v>157</v>
      </c>
      <c r="C30" s="214"/>
      <c r="D30" s="214"/>
      <c r="E30" s="214"/>
      <c r="F30" s="214"/>
      <c r="G30" s="215"/>
      <c r="H30" s="210" t="s">
        <v>150</v>
      </c>
      <c r="I30" s="210"/>
      <c r="J30" s="210"/>
      <c r="K30" s="210"/>
      <c r="L30" s="210" t="s">
        <v>150</v>
      </c>
      <c r="M30" s="210"/>
      <c r="N30" s="210"/>
      <c r="O30" s="210"/>
      <c r="P30" s="91" t="s">
        <v>206</v>
      </c>
    </row>
    <row r="31" spans="1:16" ht="44.7" customHeight="1" x14ac:dyDescent="0.25">
      <c r="A31" s="97" t="s">
        <v>56</v>
      </c>
      <c r="B31" s="216" t="s">
        <v>160</v>
      </c>
      <c r="C31" s="217"/>
      <c r="D31" s="217"/>
      <c r="E31" s="217"/>
      <c r="F31" s="217"/>
      <c r="G31" s="218"/>
      <c r="H31" s="210" t="s">
        <v>161</v>
      </c>
      <c r="I31" s="210"/>
      <c r="J31" s="210"/>
      <c r="K31" s="210"/>
      <c r="L31" s="210" t="s">
        <v>161</v>
      </c>
      <c r="M31" s="210"/>
      <c r="N31" s="210"/>
      <c r="O31" s="210"/>
      <c r="P31" s="91" t="s">
        <v>206</v>
      </c>
    </row>
    <row r="32" spans="1:16" ht="66.75" customHeight="1" thickBot="1" x14ac:dyDescent="0.3">
      <c r="A32" s="97" t="s">
        <v>181</v>
      </c>
      <c r="B32" s="213" t="s">
        <v>163</v>
      </c>
      <c r="C32" s="214"/>
      <c r="D32" s="214"/>
      <c r="E32" s="214"/>
      <c r="F32" s="214"/>
      <c r="G32" s="215"/>
      <c r="H32" s="210" t="s">
        <v>164</v>
      </c>
      <c r="I32" s="210"/>
      <c r="J32" s="210"/>
      <c r="K32" s="210"/>
      <c r="L32" s="210" t="s">
        <v>164</v>
      </c>
      <c r="M32" s="210"/>
      <c r="N32" s="210"/>
      <c r="O32" s="210"/>
      <c r="P32" s="92" t="s">
        <v>206</v>
      </c>
    </row>
    <row r="33" spans="2:8" x14ac:dyDescent="0.25">
      <c r="B33" s="93"/>
      <c r="C33" s="93"/>
      <c r="D33" s="93"/>
      <c r="E33" s="93"/>
      <c r="F33" s="93"/>
      <c r="G33" s="93"/>
      <c r="H33" s="93"/>
    </row>
    <row r="34" spans="2:8" x14ac:dyDescent="0.25">
      <c r="B34" s="93"/>
      <c r="C34" s="93"/>
      <c r="D34" s="93"/>
      <c r="E34" s="93"/>
      <c r="F34" s="93"/>
      <c r="G34" s="93"/>
      <c r="H34" s="93"/>
    </row>
  </sheetData>
  <mergeCells count="43">
    <mergeCell ref="B23:G23"/>
    <mergeCell ref="H23:K23"/>
    <mergeCell ref="L23:O23"/>
    <mergeCell ref="B24:G24"/>
    <mergeCell ref="H24:K24"/>
    <mergeCell ref="L24:O24"/>
    <mergeCell ref="H25:K25"/>
    <mergeCell ref="L25:O25"/>
    <mergeCell ref="B1:G1"/>
    <mergeCell ref="B3:G3"/>
    <mergeCell ref="B7:G7"/>
    <mergeCell ref="A21:G21"/>
    <mergeCell ref="H21:K21"/>
    <mergeCell ref="L21:O21"/>
    <mergeCell ref="H22:K22"/>
    <mergeCell ref="L22:O22"/>
    <mergeCell ref="B22:G22"/>
    <mergeCell ref="A11:A14"/>
    <mergeCell ref="B11:G14"/>
    <mergeCell ref="A16:A19"/>
    <mergeCell ref="B16:G19"/>
    <mergeCell ref="B25:G25"/>
    <mergeCell ref="B26:G26"/>
    <mergeCell ref="H26:K26"/>
    <mergeCell ref="L26:O26"/>
    <mergeCell ref="B27:G27"/>
    <mergeCell ref="H27:K27"/>
    <mergeCell ref="L27:O27"/>
    <mergeCell ref="B28:G28"/>
    <mergeCell ref="H28:K28"/>
    <mergeCell ref="L28:O28"/>
    <mergeCell ref="B29:G29"/>
    <mergeCell ref="H29:K29"/>
    <mergeCell ref="L29:O29"/>
    <mergeCell ref="B32:G32"/>
    <mergeCell ref="H32:K32"/>
    <mergeCell ref="L32:O32"/>
    <mergeCell ref="B30:G30"/>
    <mergeCell ref="H30:K30"/>
    <mergeCell ref="L30:O30"/>
    <mergeCell ref="B31:G31"/>
    <mergeCell ref="H31:K31"/>
    <mergeCell ref="L31:O31"/>
  </mergeCells>
  <phoneticPr fontId="43" type="noConversion"/>
  <conditionalFormatting sqref="B9:B10">
    <cfRule type="cellIs" dxfId="213" priority="3" operator="equal">
      <formula>"Nok"</formula>
    </cfRule>
    <cfRule type="cellIs" dxfId="212" priority="4" operator="equal">
      <formula>"Ok"</formula>
    </cfRule>
  </conditionalFormatting>
  <conditionalFormatting sqref="P22:P32">
    <cfRule type="cellIs" dxfId="211" priority="1" operator="equal">
      <formula>"Nok"</formula>
    </cfRule>
    <cfRule type="cellIs" dxfId="210" priority="2" operator="equal">
      <formula>"Ok"</formula>
    </cfRule>
  </conditionalFormatting>
  <dataValidations count="3">
    <dataValidation type="list" allowBlank="1" showInputMessage="1" showErrorMessage="1" sqref="P22:P32" xr:uid="{658A0435-C2EA-456B-864F-C8CD4F9FAB9A}">
      <formula1>"Ok, Nok, Not run, ,"</formula1>
    </dataValidation>
    <dataValidation type="list" allowBlank="1" showInputMessage="1" showErrorMessage="1" sqref="B9" xr:uid="{0CB0340F-0B68-4E3E-883E-7B794076649F}">
      <formula1>"Ok, Nok, Not run, NA"</formula1>
    </dataValidation>
    <dataValidation type="list" allowBlank="1" showInputMessage="1" showErrorMessage="1" sqref="B5" xr:uid="{736817DC-3A14-4D1E-B848-92D4F44506B9}">
      <formula1>"Nominal, Robustness, Endurance, Qualification"</formula1>
    </dataValidation>
  </dataValidations>
  <pageMargins left="0.7" right="0.7" top="0.75" bottom="0.75" header="0.3" footer="0.3"/>
  <pageSetup paperSize="9" orientation="portrait" r:id="rId1"/>
  <headerFooter>
    <oddFooter>&amp;LNA ver 1.1&amp;R&amp;P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BE76A-6336-4E7C-AE7E-72174626F6E2}">
  <sheetPr codeName="Sheet11"/>
  <dimension ref="A1:P43"/>
  <sheetViews>
    <sheetView workbookViewId="0">
      <selection activeCell="E10" sqref="E10"/>
    </sheetView>
  </sheetViews>
  <sheetFormatPr defaultColWidth="9.33203125" defaultRowHeight="13.2" x14ac:dyDescent="0.25"/>
  <cols>
    <col min="1" max="1" width="20.33203125" style="93" customWidth="1"/>
    <col min="2" max="2" width="18.44140625" style="89" customWidth="1"/>
    <col min="3" max="7" width="9.33203125" style="89"/>
    <col min="8" max="15" width="9.5546875" style="89" customWidth="1"/>
    <col min="16" max="16384" width="9.33203125" style="89"/>
  </cols>
  <sheetData>
    <row r="1" spans="1:15" ht="13.8" thickBot="1" x14ac:dyDescent="0.3">
      <c r="A1" s="94" t="s">
        <v>39</v>
      </c>
      <c r="B1" s="198" t="s">
        <v>171</v>
      </c>
      <c r="C1" s="199"/>
      <c r="D1" s="199"/>
      <c r="E1" s="199"/>
      <c r="F1" s="199"/>
      <c r="G1" s="20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54.75" customHeight="1" thickBot="1" x14ac:dyDescent="0.3">
      <c r="A3" s="95" t="s">
        <v>44</v>
      </c>
      <c r="B3" s="232" t="s">
        <v>226</v>
      </c>
      <c r="C3" s="233"/>
      <c r="D3" s="233"/>
      <c r="E3" s="233"/>
      <c r="F3" s="233"/>
      <c r="G3" s="234"/>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4" t="s">
        <v>108</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4" t="s">
        <v>40</v>
      </c>
      <c r="B7" s="201" t="s">
        <v>171</v>
      </c>
      <c r="C7" s="202"/>
      <c r="D7" s="202"/>
      <c r="E7" s="202"/>
      <c r="F7" s="202"/>
      <c r="G7" s="20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4" t="s">
        <v>41</v>
      </c>
      <c r="B9" s="99" t="s">
        <v>206</v>
      </c>
      <c r="C9" s="73"/>
      <c r="D9" s="74"/>
      <c r="E9" s="74"/>
      <c r="F9" s="74"/>
      <c r="G9" s="74"/>
      <c r="H9" s="74"/>
      <c r="I9" s="74"/>
      <c r="J9" s="74"/>
      <c r="K9" s="74"/>
      <c r="L9" s="74"/>
      <c r="M9" s="74"/>
      <c r="N9" s="74"/>
      <c r="O9" s="74"/>
    </row>
    <row r="10" spans="1:15" ht="13.8" thickBot="1" x14ac:dyDescent="0.3">
      <c r="A10" s="76"/>
      <c r="B10" s="90"/>
      <c r="C10" s="73"/>
      <c r="D10" s="74"/>
      <c r="E10" s="74"/>
      <c r="F10" s="74"/>
      <c r="G10" s="74"/>
      <c r="H10" s="74"/>
      <c r="I10" s="74"/>
      <c r="J10" s="74"/>
      <c r="K10" s="74"/>
      <c r="L10" s="74"/>
      <c r="M10" s="74"/>
      <c r="N10" s="74"/>
      <c r="O10" s="74"/>
    </row>
    <row r="11" spans="1:15" ht="12" customHeight="1" x14ac:dyDescent="0.25">
      <c r="A11" s="211" t="s">
        <v>110</v>
      </c>
      <c r="B11" s="219" t="s">
        <v>131</v>
      </c>
      <c r="C11" s="220"/>
      <c r="D11" s="220"/>
      <c r="E11" s="220"/>
      <c r="F11" s="220"/>
      <c r="G11" s="221"/>
      <c r="H11" s="74"/>
      <c r="I11" s="74"/>
      <c r="J11" s="74"/>
      <c r="K11" s="74"/>
      <c r="L11" s="74"/>
      <c r="M11" s="74"/>
      <c r="N11" s="74"/>
      <c r="O11" s="74"/>
    </row>
    <row r="12" spans="1:15" x14ac:dyDescent="0.25">
      <c r="A12" s="212"/>
      <c r="B12" s="222"/>
      <c r="C12" s="223"/>
      <c r="D12" s="223"/>
      <c r="E12" s="223"/>
      <c r="F12" s="223"/>
      <c r="G12" s="224"/>
      <c r="H12" s="74"/>
      <c r="I12" s="74"/>
      <c r="J12" s="74"/>
      <c r="K12" s="74"/>
      <c r="L12" s="74"/>
      <c r="M12" s="74"/>
      <c r="N12" s="74"/>
      <c r="O12" s="74"/>
    </row>
    <row r="13" spans="1:15" x14ac:dyDescent="0.25">
      <c r="A13" s="212"/>
      <c r="B13" s="222"/>
      <c r="C13" s="223"/>
      <c r="D13" s="223"/>
      <c r="E13" s="223"/>
      <c r="F13" s="223"/>
      <c r="G13" s="224"/>
      <c r="H13" s="72"/>
      <c r="I13" s="74"/>
      <c r="J13" s="74"/>
      <c r="K13" s="74"/>
      <c r="L13" s="74"/>
      <c r="M13" s="74"/>
      <c r="N13" s="74"/>
      <c r="O13" s="74"/>
    </row>
    <row r="14" spans="1:15" ht="13.8" thickBot="1" x14ac:dyDescent="0.3">
      <c r="A14" s="212"/>
      <c r="B14" s="225"/>
      <c r="C14" s="226"/>
      <c r="D14" s="226"/>
      <c r="E14" s="226"/>
      <c r="F14" s="226"/>
      <c r="G14" s="22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1" t="s">
        <v>42</v>
      </c>
      <c r="B16" s="219" t="s">
        <v>133</v>
      </c>
      <c r="C16" s="220"/>
      <c r="D16" s="220"/>
      <c r="E16" s="220"/>
      <c r="F16" s="220"/>
      <c r="G16" s="221"/>
      <c r="H16" s="74"/>
      <c r="I16" s="74"/>
      <c r="J16" s="74"/>
      <c r="K16" s="74"/>
      <c r="L16" s="74"/>
      <c r="M16" s="74"/>
      <c r="N16" s="74"/>
      <c r="O16" s="74"/>
    </row>
    <row r="17" spans="1:16" x14ac:dyDescent="0.25">
      <c r="A17" s="212"/>
      <c r="B17" s="222"/>
      <c r="C17" s="223"/>
      <c r="D17" s="223"/>
      <c r="E17" s="223"/>
      <c r="F17" s="223"/>
      <c r="G17" s="224"/>
      <c r="H17" s="74"/>
      <c r="I17" s="74"/>
      <c r="J17" s="74"/>
      <c r="K17" s="74"/>
      <c r="L17" s="74"/>
      <c r="M17" s="74"/>
      <c r="N17" s="74"/>
      <c r="O17" s="74"/>
    </row>
    <row r="18" spans="1:16" x14ac:dyDescent="0.25">
      <c r="A18" s="212"/>
      <c r="B18" s="222"/>
      <c r="C18" s="223"/>
      <c r="D18" s="223"/>
      <c r="E18" s="223"/>
      <c r="F18" s="223"/>
      <c r="G18" s="224"/>
      <c r="H18" s="72"/>
      <c r="I18" s="74"/>
      <c r="J18" s="74"/>
      <c r="K18" s="74"/>
      <c r="L18" s="74"/>
      <c r="M18" s="74"/>
      <c r="N18" s="74"/>
      <c r="O18" s="74"/>
    </row>
    <row r="19" spans="1:16" ht="13.8" thickBot="1" x14ac:dyDescent="0.3">
      <c r="A19" s="212"/>
      <c r="B19" s="225"/>
      <c r="C19" s="226"/>
      <c r="D19" s="226"/>
      <c r="E19" s="226"/>
      <c r="F19" s="226"/>
      <c r="G19" s="22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204" t="s">
        <v>46</v>
      </c>
      <c r="B21" s="205"/>
      <c r="C21" s="205"/>
      <c r="D21" s="205"/>
      <c r="E21" s="205"/>
      <c r="F21" s="205"/>
      <c r="G21" s="206"/>
      <c r="H21" s="204" t="s">
        <v>47</v>
      </c>
      <c r="I21" s="205"/>
      <c r="J21" s="205"/>
      <c r="K21" s="206"/>
      <c r="L21" s="204" t="s">
        <v>58</v>
      </c>
      <c r="M21" s="205"/>
      <c r="N21" s="205"/>
      <c r="O21" s="206"/>
      <c r="P21" s="96" t="s">
        <v>45</v>
      </c>
    </row>
    <row r="22" spans="1:16" ht="32.25" customHeight="1" x14ac:dyDescent="0.25">
      <c r="A22" s="97" t="s">
        <v>48</v>
      </c>
      <c r="B22" s="213" t="s">
        <v>166</v>
      </c>
      <c r="C22" s="214"/>
      <c r="D22" s="214"/>
      <c r="E22" s="214"/>
      <c r="F22" s="214"/>
      <c r="G22" s="215"/>
      <c r="H22" s="207" t="s">
        <v>138</v>
      </c>
      <c r="I22" s="208"/>
      <c r="J22" s="208"/>
      <c r="K22" s="209"/>
      <c r="L22" s="207" t="s">
        <v>138</v>
      </c>
      <c r="M22" s="208"/>
      <c r="N22" s="208"/>
      <c r="O22" s="209"/>
      <c r="P22" s="91" t="s">
        <v>206</v>
      </c>
    </row>
    <row r="23" spans="1:16" ht="41.7" customHeight="1" x14ac:dyDescent="0.25">
      <c r="A23" s="97" t="s">
        <v>49</v>
      </c>
      <c r="B23" s="216" t="s">
        <v>167</v>
      </c>
      <c r="C23" s="217"/>
      <c r="D23" s="217"/>
      <c r="E23" s="217"/>
      <c r="F23" s="217"/>
      <c r="G23" s="218"/>
      <c r="H23" s="210" t="s">
        <v>143</v>
      </c>
      <c r="I23" s="210"/>
      <c r="J23" s="210"/>
      <c r="K23" s="210"/>
      <c r="L23" s="210" t="s">
        <v>143</v>
      </c>
      <c r="M23" s="210"/>
      <c r="N23" s="210"/>
      <c r="O23" s="210"/>
      <c r="P23" s="91" t="s">
        <v>206</v>
      </c>
    </row>
    <row r="24" spans="1:16" ht="41.7" customHeight="1" x14ac:dyDescent="0.25">
      <c r="A24" s="97" t="s">
        <v>50</v>
      </c>
      <c r="B24" s="216" t="s">
        <v>230</v>
      </c>
      <c r="C24" s="217"/>
      <c r="D24" s="217"/>
      <c r="E24" s="217"/>
      <c r="F24" s="217"/>
      <c r="G24" s="218"/>
      <c r="H24" s="210" t="s">
        <v>143</v>
      </c>
      <c r="I24" s="210"/>
      <c r="J24" s="210"/>
      <c r="K24" s="210"/>
      <c r="L24" s="210" t="s">
        <v>143</v>
      </c>
      <c r="M24" s="210"/>
      <c r="N24" s="210"/>
      <c r="O24" s="210"/>
      <c r="P24" s="91" t="s">
        <v>206</v>
      </c>
    </row>
    <row r="25" spans="1:16" ht="62.25" customHeight="1" x14ac:dyDescent="0.25">
      <c r="A25" s="97" t="s">
        <v>51</v>
      </c>
      <c r="B25" s="216" t="s">
        <v>231</v>
      </c>
      <c r="C25" s="217"/>
      <c r="D25" s="217"/>
      <c r="E25" s="217"/>
      <c r="F25" s="217"/>
      <c r="G25" s="218"/>
      <c r="H25" s="210" t="s">
        <v>232</v>
      </c>
      <c r="I25" s="210"/>
      <c r="J25" s="210"/>
      <c r="K25" s="210"/>
      <c r="L25" s="210" t="s">
        <v>232</v>
      </c>
      <c r="M25" s="210"/>
      <c r="N25" s="210"/>
      <c r="O25" s="210"/>
      <c r="P25" s="91" t="s">
        <v>206</v>
      </c>
    </row>
    <row r="26" spans="1:16" ht="41.7" customHeight="1" x14ac:dyDescent="0.25">
      <c r="A26" s="97" t="s">
        <v>52</v>
      </c>
      <c r="B26" s="216" t="s">
        <v>233</v>
      </c>
      <c r="C26" s="217"/>
      <c r="D26" s="217"/>
      <c r="E26" s="217"/>
      <c r="F26" s="217"/>
      <c r="G26" s="218"/>
      <c r="H26" s="210" t="s">
        <v>143</v>
      </c>
      <c r="I26" s="210"/>
      <c r="J26" s="210"/>
      <c r="K26" s="210"/>
      <c r="L26" s="210" t="s">
        <v>143</v>
      </c>
      <c r="M26" s="210"/>
      <c r="N26" s="210"/>
      <c r="O26" s="210"/>
      <c r="P26" s="91" t="s">
        <v>206</v>
      </c>
    </row>
    <row r="27" spans="1:16" ht="67.5" customHeight="1" x14ac:dyDescent="0.25">
      <c r="A27" s="97" t="s">
        <v>53</v>
      </c>
      <c r="B27" s="216" t="s">
        <v>234</v>
      </c>
      <c r="C27" s="217"/>
      <c r="D27" s="217"/>
      <c r="E27" s="217"/>
      <c r="F27" s="217"/>
      <c r="G27" s="218"/>
      <c r="H27" s="210" t="s">
        <v>235</v>
      </c>
      <c r="I27" s="210"/>
      <c r="J27" s="210"/>
      <c r="K27" s="210"/>
      <c r="L27" s="210" t="s">
        <v>235</v>
      </c>
      <c r="M27" s="210"/>
      <c r="N27" s="210"/>
      <c r="O27" s="210"/>
      <c r="P27" s="91" t="s">
        <v>206</v>
      </c>
    </row>
    <row r="28" spans="1:16" ht="37.5" customHeight="1" x14ac:dyDescent="0.25">
      <c r="A28" s="97" t="s">
        <v>54</v>
      </c>
      <c r="B28" s="216" t="s">
        <v>233</v>
      </c>
      <c r="C28" s="217"/>
      <c r="D28" s="217"/>
      <c r="E28" s="217"/>
      <c r="F28" s="217"/>
      <c r="G28" s="218"/>
      <c r="H28" s="210" t="s">
        <v>143</v>
      </c>
      <c r="I28" s="210"/>
      <c r="J28" s="210"/>
      <c r="K28" s="210"/>
      <c r="L28" s="210" t="s">
        <v>143</v>
      </c>
      <c r="M28" s="210"/>
      <c r="N28" s="210"/>
      <c r="O28" s="210"/>
      <c r="P28" s="91" t="s">
        <v>206</v>
      </c>
    </row>
    <row r="29" spans="1:16" ht="39.450000000000003" customHeight="1" x14ac:dyDescent="0.25">
      <c r="A29" s="97" t="s">
        <v>55</v>
      </c>
      <c r="B29" s="216" t="s">
        <v>236</v>
      </c>
      <c r="C29" s="217"/>
      <c r="D29" s="217"/>
      <c r="E29" s="217"/>
      <c r="F29" s="217"/>
      <c r="G29" s="218"/>
      <c r="H29" s="210" t="s">
        <v>143</v>
      </c>
      <c r="I29" s="210"/>
      <c r="J29" s="210"/>
      <c r="K29" s="210"/>
      <c r="L29" s="210" t="s">
        <v>143</v>
      </c>
      <c r="M29" s="210"/>
      <c r="N29" s="210"/>
      <c r="O29" s="210"/>
      <c r="P29" s="91" t="s">
        <v>206</v>
      </c>
    </row>
    <row r="30" spans="1:16" ht="90.75" customHeight="1" x14ac:dyDescent="0.25">
      <c r="A30" s="97" t="s">
        <v>56</v>
      </c>
      <c r="B30" s="213" t="s">
        <v>237</v>
      </c>
      <c r="C30" s="214"/>
      <c r="D30" s="214"/>
      <c r="E30" s="214"/>
      <c r="F30" s="214"/>
      <c r="G30" s="215"/>
      <c r="H30" s="210" t="s">
        <v>238</v>
      </c>
      <c r="I30" s="210"/>
      <c r="J30" s="210"/>
      <c r="K30" s="210"/>
      <c r="L30" s="210" t="s">
        <v>238</v>
      </c>
      <c r="M30" s="210"/>
      <c r="N30" s="210"/>
      <c r="O30" s="210"/>
      <c r="P30" s="91" t="s">
        <v>206</v>
      </c>
    </row>
    <row r="31" spans="1:16" ht="37.5" customHeight="1" x14ac:dyDescent="0.25">
      <c r="A31" s="97" t="s">
        <v>181</v>
      </c>
      <c r="B31" s="216" t="s">
        <v>233</v>
      </c>
      <c r="C31" s="217"/>
      <c r="D31" s="217"/>
      <c r="E31" s="217"/>
      <c r="F31" s="217"/>
      <c r="G31" s="218"/>
      <c r="H31" s="210" t="s">
        <v>143</v>
      </c>
      <c r="I31" s="210"/>
      <c r="J31" s="210"/>
      <c r="K31" s="210"/>
      <c r="L31" s="210" t="s">
        <v>143</v>
      </c>
      <c r="M31" s="210"/>
      <c r="N31" s="210"/>
      <c r="O31" s="210"/>
      <c r="P31" s="91" t="s">
        <v>206</v>
      </c>
    </row>
    <row r="32" spans="1:16" ht="41.25" customHeight="1" x14ac:dyDescent="0.25">
      <c r="A32" s="97" t="s">
        <v>182</v>
      </c>
      <c r="B32" s="216" t="s">
        <v>236</v>
      </c>
      <c r="C32" s="217"/>
      <c r="D32" s="217"/>
      <c r="E32" s="217"/>
      <c r="F32" s="217"/>
      <c r="G32" s="218"/>
      <c r="H32" s="210" t="s">
        <v>143</v>
      </c>
      <c r="I32" s="210"/>
      <c r="J32" s="210"/>
      <c r="K32" s="210"/>
      <c r="L32" s="210" t="s">
        <v>143</v>
      </c>
      <c r="M32" s="210"/>
      <c r="N32" s="210"/>
      <c r="O32" s="210"/>
      <c r="P32" s="91" t="s">
        <v>206</v>
      </c>
    </row>
    <row r="33" spans="1:16" ht="90.75" customHeight="1" x14ac:dyDescent="0.25">
      <c r="A33" s="97" t="s">
        <v>183</v>
      </c>
      <c r="B33" s="213" t="s">
        <v>239</v>
      </c>
      <c r="C33" s="214"/>
      <c r="D33" s="214"/>
      <c r="E33" s="214"/>
      <c r="F33" s="214"/>
      <c r="G33" s="215"/>
      <c r="H33" s="210" t="s">
        <v>240</v>
      </c>
      <c r="I33" s="210"/>
      <c r="J33" s="210"/>
      <c r="K33" s="210"/>
      <c r="L33" s="210" t="s">
        <v>240</v>
      </c>
      <c r="M33" s="210"/>
      <c r="N33" s="210"/>
      <c r="O33" s="210"/>
      <c r="P33" s="91" t="s">
        <v>206</v>
      </c>
    </row>
    <row r="34" spans="1:16" ht="37.5" customHeight="1" x14ac:dyDescent="0.25">
      <c r="A34" s="97" t="s">
        <v>184</v>
      </c>
      <c r="B34" s="213" t="s">
        <v>241</v>
      </c>
      <c r="C34" s="214"/>
      <c r="D34" s="214"/>
      <c r="E34" s="214"/>
      <c r="F34" s="214"/>
      <c r="G34" s="215"/>
      <c r="H34" s="210" t="s">
        <v>143</v>
      </c>
      <c r="I34" s="210"/>
      <c r="J34" s="210"/>
      <c r="K34" s="210"/>
      <c r="L34" s="210" t="s">
        <v>143</v>
      </c>
      <c r="M34" s="210"/>
      <c r="N34" s="210"/>
      <c r="O34" s="210"/>
      <c r="P34" s="91" t="s">
        <v>206</v>
      </c>
    </row>
    <row r="35" spans="1:16" ht="62.25" customHeight="1" x14ac:dyDescent="0.25">
      <c r="A35" s="97" t="s">
        <v>194</v>
      </c>
      <c r="B35" s="216" t="s">
        <v>242</v>
      </c>
      <c r="C35" s="217"/>
      <c r="D35" s="217"/>
      <c r="E35" s="217"/>
      <c r="F35" s="217"/>
      <c r="G35" s="218"/>
      <c r="H35" s="210" t="s">
        <v>243</v>
      </c>
      <c r="I35" s="210"/>
      <c r="J35" s="210"/>
      <c r="K35" s="210"/>
      <c r="L35" s="210" t="s">
        <v>243</v>
      </c>
      <c r="M35" s="210"/>
      <c r="N35" s="210"/>
      <c r="O35" s="210"/>
      <c r="P35" s="91" t="s">
        <v>206</v>
      </c>
    </row>
    <row r="36" spans="1:16" ht="37.5" customHeight="1" x14ac:dyDescent="0.25">
      <c r="A36" s="97" t="s">
        <v>195</v>
      </c>
      <c r="B36" s="213" t="s">
        <v>244</v>
      </c>
      <c r="C36" s="214"/>
      <c r="D36" s="214"/>
      <c r="E36" s="214"/>
      <c r="F36" s="214"/>
      <c r="G36" s="215"/>
      <c r="H36" s="210" t="s">
        <v>143</v>
      </c>
      <c r="I36" s="210"/>
      <c r="J36" s="210"/>
      <c r="K36" s="210"/>
      <c r="L36" s="210" t="s">
        <v>143</v>
      </c>
      <c r="M36" s="210"/>
      <c r="N36" s="210"/>
      <c r="O36" s="210"/>
      <c r="P36" s="91" t="s">
        <v>206</v>
      </c>
    </row>
    <row r="37" spans="1:16" ht="39.450000000000003" customHeight="1" x14ac:dyDescent="0.25">
      <c r="A37" s="97" t="s">
        <v>245</v>
      </c>
      <c r="B37" s="213" t="s">
        <v>168</v>
      </c>
      <c r="C37" s="214"/>
      <c r="D37" s="214"/>
      <c r="E37" s="214"/>
      <c r="F37" s="214"/>
      <c r="G37" s="215"/>
      <c r="H37" s="210" t="s">
        <v>169</v>
      </c>
      <c r="I37" s="210"/>
      <c r="J37" s="210"/>
      <c r="K37" s="210"/>
      <c r="L37" s="210" t="s">
        <v>169</v>
      </c>
      <c r="M37" s="210"/>
      <c r="N37" s="210"/>
      <c r="O37" s="210"/>
      <c r="P37" s="91" t="s">
        <v>206</v>
      </c>
    </row>
    <row r="38" spans="1:16" ht="37.950000000000003" customHeight="1" x14ac:dyDescent="0.25">
      <c r="A38" s="97"/>
      <c r="B38" s="213"/>
      <c r="C38" s="214"/>
      <c r="D38" s="214"/>
      <c r="E38" s="214"/>
      <c r="F38" s="214"/>
      <c r="G38" s="215"/>
      <c r="H38" s="210"/>
      <c r="I38" s="210"/>
      <c r="J38" s="210"/>
      <c r="K38" s="210"/>
      <c r="L38" s="210"/>
      <c r="M38" s="210"/>
      <c r="N38" s="210"/>
      <c r="O38" s="210"/>
      <c r="P38" s="91"/>
    </row>
    <row r="39" spans="1:16" x14ac:dyDescent="0.25">
      <c r="A39" s="97"/>
      <c r="B39" s="213"/>
      <c r="C39" s="214"/>
      <c r="D39" s="214"/>
      <c r="E39" s="214"/>
      <c r="F39" s="214"/>
      <c r="G39" s="215"/>
      <c r="H39" s="210"/>
      <c r="I39" s="210"/>
      <c r="J39" s="210"/>
      <c r="K39" s="210"/>
      <c r="L39" s="210"/>
      <c r="M39" s="210"/>
      <c r="N39" s="210"/>
      <c r="O39" s="210"/>
      <c r="P39" s="91"/>
    </row>
    <row r="40" spans="1:16" x14ac:dyDescent="0.25">
      <c r="A40" s="97"/>
      <c r="B40" s="216"/>
      <c r="C40" s="217"/>
      <c r="D40" s="217"/>
      <c r="E40" s="217"/>
      <c r="F40" s="217"/>
      <c r="G40" s="218"/>
      <c r="H40" s="210"/>
      <c r="I40" s="210"/>
      <c r="J40" s="210"/>
      <c r="K40" s="210"/>
      <c r="L40" s="210"/>
      <c r="M40" s="210"/>
      <c r="N40" s="210"/>
      <c r="O40" s="210"/>
      <c r="P40" s="91"/>
    </row>
    <row r="41" spans="1:16" ht="13.8" thickBot="1" x14ac:dyDescent="0.3">
      <c r="A41" s="98"/>
      <c r="B41" s="213"/>
      <c r="C41" s="214"/>
      <c r="D41" s="214"/>
      <c r="E41" s="214"/>
      <c r="F41" s="214"/>
      <c r="G41" s="215"/>
      <c r="H41" s="210"/>
      <c r="I41" s="210"/>
      <c r="J41" s="210"/>
      <c r="K41" s="210"/>
      <c r="L41" s="210"/>
      <c r="M41" s="210"/>
      <c r="N41" s="210"/>
      <c r="O41" s="210"/>
      <c r="P41" s="91"/>
    </row>
    <row r="42" spans="1:16" x14ac:dyDescent="0.25">
      <c r="B42" s="93"/>
      <c r="C42" s="93"/>
      <c r="D42" s="93"/>
      <c r="E42" s="93"/>
      <c r="F42" s="93"/>
      <c r="G42" s="93"/>
      <c r="H42" s="93"/>
    </row>
    <row r="43" spans="1:16" x14ac:dyDescent="0.25">
      <c r="B43" s="93"/>
      <c r="C43" s="93"/>
      <c r="D43" s="93"/>
      <c r="E43" s="93"/>
      <c r="F43" s="93"/>
      <c r="G43" s="93"/>
      <c r="H43" s="93"/>
    </row>
  </sheetData>
  <mergeCells count="70">
    <mergeCell ref="H34:K34"/>
    <mergeCell ref="L34:O34"/>
    <mergeCell ref="B35:G35"/>
    <mergeCell ref="H35:K35"/>
    <mergeCell ref="L35:O35"/>
    <mergeCell ref="B25:G25"/>
    <mergeCell ref="H25:K25"/>
    <mergeCell ref="L25:O25"/>
    <mergeCell ref="B24:G24"/>
    <mergeCell ref="H24:K24"/>
    <mergeCell ref="L24:O24"/>
    <mergeCell ref="L41:O41"/>
    <mergeCell ref="H41:K41"/>
    <mergeCell ref="B41:G41"/>
    <mergeCell ref="B26:G26"/>
    <mergeCell ref="H26:K26"/>
    <mergeCell ref="L26:O26"/>
    <mergeCell ref="B31:G31"/>
    <mergeCell ref="H31:K31"/>
    <mergeCell ref="L31:O31"/>
    <mergeCell ref="B32:G32"/>
    <mergeCell ref="H32:K32"/>
    <mergeCell ref="L32:O32"/>
    <mergeCell ref="B33:G33"/>
    <mergeCell ref="H33:K33"/>
    <mergeCell ref="L33:O33"/>
    <mergeCell ref="B34:G34"/>
    <mergeCell ref="L40:O40"/>
    <mergeCell ref="H40:K40"/>
    <mergeCell ref="B40:G40"/>
    <mergeCell ref="L39:O39"/>
    <mergeCell ref="H39:K39"/>
    <mergeCell ref="B39:G39"/>
    <mergeCell ref="H23:K23"/>
    <mergeCell ref="L23:O23"/>
    <mergeCell ref="B1:G1"/>
    <mergeCell ref="B3:G3"/>
    <mergeCell ref="B7:G7"/>
    <mergeCell ref="A21:G21"/>
    <mergeCell ref="H21:K21"/>
    <mergeCell ref="L21:O21"/>
    <mergeCell ref="H22:K22"/>
    <mergeCell ref="L22:O22"/>
    <mergeCell ref="B22:G22"/>
    <mergeCell ref="A11:A14"/>
    <mergeCell ref="B11:G14"/>
    <mergeCell ref="A16:A19"/>
    <mergeCell ref="B16:G19"/>
    <mergeCell ref="B23:G23"/>
    <mergeCell ref="H38:K38"/>
    <mergeCell ref="L38:O38"/>
    <mergeCell ref="B36:G36"/>
    <mergeCell ref="H36:K36"/>
    <mergeCell ref="L36:O36"/>
    <mergeCell ref="B37:G37"/>
    <mergeCell ref="H37:K37"/>
    <mergeCell ref="L37:O37"/>
    <mergeCell ref="B38:G38"/>
    <mergeCell ref="B27:G27"/>
    <mergeCell ref="H27:K27"/>
    <mergeCell ref="L27:O27"/>
    <mergeCell ref="B30:G30"/>
    <mergeCell ref="H30:K30"/>
    <mergeCell ref="L30:O30"/>
    <mergeCell ref="B28:G28"/>
    <mergeCell ref="H28:K28"/>
    <mergeCell ref="L28:O28"/>
    <mergeCell ref="B29:G29"/>
    <mergeCell ref="H29:K29"/>
    <mergeCell ref="L29:O29"/>
  </mergeCells>
  <conditionalFormatting sqref="B9:B10">
    <cfRule type="cellIs" dxfId="209" priority="29" operator="equal">
      <formula>"Nok"</formula>
    </cfRule>
    <cfRule type="cellIs" dxfId="208" priority="30" operator="equal">
      <formula>"Ok"</formula>
    </cfRule>
  </conditionalFormatting>
  <conditionalFormatting sqref="P22:P23 P27 P36 P38">
    <cfRule type="cellIs" dxfId="207" priority="27" operator="equal">
      <formula>"Nok"</formula>
    </cfRule>
    <cfRule type="cellIs" dxfId="206" priority="28" operator="equal">
      <formula>"Ok"</formula>
    </cfRule>
  </conditionalFormatting>
  <conditionalFormatting sqref="P39:P41">
    <cfRule type="cellIs" dxfId="205" priority="25" operator="equal">
      <formula>"Nok"</formula>
    </cfRule>
    <cfRule type="cellIs" dxfId="204" priority="26" operator="equal">
      <formula>"Ok"</formula>
    </cfRule>
  </conditionalFormatting>
  <conditionalFormatting sqref="P26">
    <cfRule type="cellIs" dxfId="203" priority="23" operator="equal">
      <formula>"Nok"</formula>
    </cfRule>
    <cfRule type="cellIs" dxfId="202" priority="24" operator="equal">
      <formula>"Ok"</formula>
    </cfRule>
  </conditionalFormatting>
  <conditionalFormatting sqref="P25">
    <cfRule type="cellIs" dxfId="201" priority="21" operator="equal">
      <formula>"Nok"</formula>
    </cfRule>
    <cfRule type="cellIs" dxfId="200" priority="22" operator="equal">
      <formula>"Ok"</formula>
    </cfRule>
  </conditionalFormatting>
  <conditionalFormatting sqref="P24">
    <cfRule type="cellIs" dxfId="199" priority="19" operator="equal">
      <formula>"Nok"</formula>
    </cfRule>
    <cfRule type="cellIs" dxfId="198" priority="20" operator="equal">
      <formula>"Ok"</formula>
    </cfRule>
  </conditionalFormatting>
  <conditionalFormatting sqref="P30">
    <cfRule type="cellIs" dxfId="197" priority="17" operator="equal">
      <formula>"Nok"</formula>
    </cfRule>
    <cfRule type="cellIs" dxfId="196" priority="18" operator="equal">
      <formula>"Ok"</formula>
    </cfRule>
  </conditionalFormatting>
  <conditionalFormatting sqref="P29">
    <cfRule type="cellIs" dxfId="195" priority="11" operator="equal">
      <formula>"Nok"</formula>
    </cfRule>
    <cfRule type="cellIs" dxfId="194" priority="12" operator="equal">
      <formula>"Ok"</formula>
    </cfRule>
  </conditionalFormatting>
  <conditionalFormatting sqref="P28">
    <cfRule type="cellIs" dxfId="193" priority="13" operator="equal">
      <formula>"Nok"</formula>
    </cfRule>
    <cfRule type="cellIs" dxfId="192" priority="14" operator="equal">
      <formula>"Ok"</formula>
    </cfRule>
  </conditionalFormatting>
  <conditionalFormatting sqref="P31">
    <cfRule type="cellIs" dxfId="191" priority="9" operator="equal">
      <formula>"Nok"</formula>
    </cfRule>
    <cfRule type="cellIs" dxfId="190" priority="10" operator="equal">
      <formula>"Ok"</formula>
    </cfRule>
  </conditionalFormatting>
  <conditionalFormatting sqref="P32">
    <cfRule type="cellIs" dxfId="189" priority="7" operator="equal">
      <formula>"Nok"</formula>
    </cfRule>
    <cfRule type="cellIs" dxfId="188" priority="8" operator="equal">
      <formula>"Ok"</formula>
    </cfRule>
  </conditionalFormatting>
  <conditionalFormatting sqref="P33">
    <cfRule type="cellIs" dxfId="187" priority="5" operator="equal">
      <formula>"Nok"</formula>
    </cfRule>
    <cfRule type="cellIs" dxfId="186" priority="6" operator="equal">
      <formula>"Ok"</formula>
    </cfRule>
  </conditionalFormatting>
  <conditionalFormatting sqref="P34:P35">
    <cfRule type="cellIs" dxfId="185" priority="3" operator="equal">
      <formula>"Nok"</formula>
    </cfRule>
    <cfRule type="cellIs" dxfId="184" priority="4" operator="equal">
      <formula>"Ok"</formula>
    </cfRule>
  </conditionalFormatting>
  <conditionalFormatting sqref="P37">
    <cfRule type="cellIs" dxfId="183" priority="1" operator="equal">
      <formula>"Nok"</formula>
    </cfRule>
    <cfRule type="cellIs" dxfId="182" priority="2" operator="equal">
      <formula>"Ok"</formula>
    </cfRule>
  </conditionalFormatting>
  <dataValidations count="3">
    <dataValidation type="list" allowBlank="1" showInputMessage="1" showErrorMessage="1" sqref="P22:P41" xr:uid="{1B218286-3E17-41EE-A3EB-DF7356B41F9E}">
      <formula1>"Ok, Nok, Not run, ,"</formula1>
    </dataValidation>
    <dataValidation type="list" allowBlank="1" showInputMessage="1" showErrorMessage="1" sqref="B9" xr:uid="{F3E2631C-E483-4ADA-AE29-0E1F93B544E6}">
      <formula1>"Ok, Nok, Not run, NA"</formula1>
    </dataValidation>
    <dataValidation type="list" allowBlank="1" showInputMessage="1" showErrorMessage="1" sqref="B5" xr:uid="{D1CDB27E-559D-4357-A959-3A0850374910}">
      <formula1>"Nominal, Robustness, Endurance, Qualification"</formula1>
    </dataValidation>
  </dataValidations>
  <pageMargins left="0.7" right="0.7" top="0.75" bottom="0.75" header="0.3" footer="0.3"/>
  <pageSetup paperSize="9" orientation="portrait" r:id="rId1"/>
  <headerFooter>
    <oddFooter>&amp;LNA ver 1.1&amp;R&amp;P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60122-A8FC-451F-B013-1EFC16B3F2D2}">
  <sheetPr codeName="Sheet10"/>
  <dimension ref="A1:P32"/>
  <sheetViews>
    <sheetView workbookViewId="0">
      <selection activeCell="L26" sqref="L26:O26"/>
    </sheetView>
  </sheetViews>
  <sheetFormatPr defaultColWidth="9.33203125" defaultRowHeight="13.2" x14ac:dyDescent="0.25"/>
  <cols>
    <col min="1" max="1" width="20.33203125" style="93" customWidth="1"/>
    <col min="2" max="2" width="18.44140625" style="89" customWidth="1"/>
    <col min="3" max="7" width="9.33203125" style="89"/>
    <col min="8" max="15" width="9.5546875" style="89" customWidth="1"/>
    <col min="16" max="16384" width="9.33203125" style="89"/>
  </cols>
  <sheetData>
    <row r="1" spans="1:15" ht="13.8" thickBot="1" x14ac:dyDescent="0.3">
      <c r="A1" s="94" t="s">
        <v>39</v>
      </c>
      <c r="B1" s="198" t="s">
        <v>172</v>
      </c>
      <c r="C1" s="199"/>
      <c r="D1" s="199"/>
      <c r="E1" s="199"/>
      <c r="F1" s="199"/>
      <c r="G1" s="20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95" t="s">
        <v>44</v>
      </c>
      <c r="B3" s="201" t="s">
        <v>227</v>
      </c>
      <c r="C3" s="202"/>
      <c r="D3" s="202"/>
      <c r="E3" s="202"/>
      <c r="F3" s="202"/>
      <c r="G3" s="20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4" t="s">
        <v>108</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4" t="s">
        <v>40</v>
      </c>
      <c r="B7" s="201" t="s">
        <v>172</v>
      </c>
      <c r="C7" s="202"/>
      <c r="D7" s="202"/>
      <c r="E7" s="202"/>
      <c r="F7" s="202"/>
      <c r="G7" s="20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4" t="s">
        <v>41</v>
      </c>
      <c r="B9" s="99" t="s">
        <v>206</v>
      </c>
      <c r="C9" s="73"/>
      <c r="D9" s="74"/>
      <c r="E9" s="74"/>
      <c r="F9" s="74"/>
      <c r="G9" s="74"/>
      <c r="H9" s="74"/>
      <c r="I9" s="74"/>
      <c r="J9" s="74"/>
      <c r="K9" s="74"/>
      <c r="L9" s="74"/>
      <c r="M9" s="74"/>
      <c r="N9" s="74"/>
      <c r="O9" s="74"/>
    </row>
    <row r="10" spans="1:15" ht="13.8" thickBot="1" x14ac:dyDescent="0.3">
      <c r="A10" s="76"/>
      <c r="B10" s="90"/>
      <c r="C10" s="73"/>
      <c r="D10" s="74"/>
      <c r="E10" s="74"/>
      <c r="F10" s="74"/>
      <c r="G10" s="74"/>
      <c r="H10" s="74"/>
      <c r="I10" s="74"/>
      <c r="J10" s="74"/>
      <c r="K10" s="74"/>
      <c r="L10" s="74"/>
      <c r="M10" s="74"/>
      <c r="N10" s="74"/>
      <c r="O10" s="74"/>
    </row>
    <row r="11" spans="1:15" ht="12" customHeight="1" x14ac:dyDescent="0.25">
      <c r="A11" s="211" t="s">
        <v>110</v>
      </c>
      <c r="B11" s="219" t="s">
        <v>131</v>
      </c>
      <c r="C11" s="220"/>
      <c r="D11" s="220"/>
      <c r="E11" s="220"/>
      <c r="F11" s="220"/>
      <c r="G11" s="221"/>
      <c r="H11" s="74"/>
      <c r="I11" s="74"/>
      <c r="J11" s="74"/>
      <c r="K11" s="74"/>
      <c r="L11" s="74"/>
      <c r="M11" s="74"/>
      <c r="N11" s="74"/>
      <c r="O11" s="74"/>
    </row>
    <row r="12" spans="1:15" x14ac:dyDescent="0.25">
      <c r="A12" s="212"/>
      <c r="B12" s="222"/>
      <c r="C12" s="223"/>
      <c r="D12" s="223"/>
      <c r="E12" s="223"/>
      <c r="F12" s="223"/>
      <c r="G12" s="224"/>
      <c r="H12" s="74"/>
      <c r="I12" s="74"/>
      <c r="J12" s="74"/>
      <c r="K12" s="74"/>
      <c r="L12" s="74"/>
      <c r="M12" s="74"/>
      <c r="N12" s="74"/>
      <c r="O12" s="74"/>
    </row>
    <row r="13" spans="1:15" x14ac:dyDescent="0.25">
      <c r="A13" s="212"/>
      <c r="B13" s="222"/>
      <c r="C13" s="223"/>
      <c r="D13" s="223"/>
      <c r="E13" s="223"/>
      <c r="F13" s="223"/>
      <c r="G13" s="224"/>
      <c r="H13" s="72"/>
      <c r="I13" s="74"/>
      <c r="J13" s="74"/>
      <c r="K13" s="74"/>
      <c r="L13" s="74"/>
      <c r="M13" s="74"/>
      <c r="N13" s="74"/>
      <c r="O13" s="74"/>
    </row>
    <row r="14" spans="1:15" ht="13.8" thickBot="1" x14ac:dyDescent="0.3">
      <c r="A14" s="212"/>
      <c r="B14" s="225"/>
      <c r="C14" s="226"/>
      <c r="D14" s="226"/>
      <c r="E14" s="226"/>
      <c r="F14" s="226"/>
      <c r="G14" s="22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1" t="s">
        <v>42</v>
      </c>
      <c r="B16" s="219" t="s">
        <v>133</v>
      </c>
      <c r="C16" s="220"/>
      <c r="D16" s="220"/>
      <c r="E16" s="220"/>
      <c r="F16" s="220"/>
      <c r="G16" s="221"/>
      <c r="H16" s="74"/>
      <c r="I16" s="74"/>
      <c r="J16" s="74"/>
      <c r="K16" s="74"/>
      <c r="L16" s="74"/>
      <c r="M16" s="74"/>
      <c r="N16" s="74"/>
      <c r="O16" s="74"/>
    </row>
    <row r="17" spans="1:16" x14ac:dyDescent="0.25">
      <c r="A17" s="212"/>
      <c r="B17" s="222"/>
      <c r="C17" s="223"/>
      <c r="D17" s="223"/>
      <c r="E17" s="223"/>
      <c r="F17" s="223"/>
      <c r="G17" s="224"/>
      <c r="H17" s="74"/>
      <c r="I17" s="74"/>
      <c r="J17" s="74"/>
      <c r="K17" s="74"/>
      <c r="L17" s="74"/>
      <c r="M17" s="74"/>
      <c r="N17" s="74"/>
      <c r="O17" s="74"/>
    </row>
    <row r="18" spans="1:16" x14ac:dyDescent="0.25">
      <c r="A18" s="212"/>
      <c r="B18" s="222"/>
      <c r="C18" s="223"/>
      <c r="D18" s="223"/>
      <c r="E18" s="223"/>
      <c r="F18" s="223"/>
      <c r="G18" s="224"/>
      <c r="H18" s="72"/>
      <c r="I18" s="74"/>
      <c r="J18" s="74"/>
      <c r="K18" s="74"/>
      <c r="L18" s="74"/>
      <c r="M18" s="74"/>
      <c r="N18" s="74"/>
      <c r="O18" s="74"/>
    </row>
    <row r="19" spans="1:16" ht="13.8" thickBot="1" x14ac:dyDescent="0.3">
      <c r="A19" s="212"/>
      <c r="B19" s="225"/>
      <c r="C19" s="226"/>
      <c r="D19" s="226"/>
      <c r="E19" s="226"/>
      <c r="F19" s="226"/>
      <c r="G19" s="22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204" t="s">
        <v>46</v>
      </c>
      <c r="B21" s="205"/>
      <c r="C21" s="205"/>
      <c r="D21" s="205"/>
      <c r="E21" s="205"/>
      <c r="F21" s="205"/>
      <c r="G21" s="206"/>
      <c r="H21" s="204" t="s">
        <v>47</v>
      </c>
      <c r="I21" s="205"/>
      <c r="J21" s="205"/>
      <c r="K21" s="206"/>
      <c r="L21" s="204" t="s">
        <v>58</v>
      </c>
      <c r="M21" s="205"/>
      <c r="N21" s="205"/>
      <c r="O21" s="206"/>
      <c r="P21" s="96" t="s">
        <v>45</v>
      </c>
    </row>
    <row r="22" spans="1:16" ht="31.5" customHeight="1" x14ac:dyDescent="0.25">
      <c r="A22" s="97" t="s">
        <v>48</v>
      </c>
      <c r="B22" s="213" t="s">
        <v>281</v>
      </c>
      <c r="C22" s="214"/>
      <c r="D22" s="214"/>
      <c r="E22" s="214"/>
      <c r="F22" s="214"/>
      <c r="G22" s="215"/>
      <c r="H22" s="207" t="s">
        <v>282</v>
      </c>
      <c r="I22" s="208"/>
      <c r="J22" s="208"/>
      <c r="K22" s="209"/>
      <c r="L22" s="207" t="s">
        <v>138</v>
      </c>
      <c r="M22" s="208"/>
      <c r="N22" s="208"/>
      <c r="O22" s="209"/>
      <c r="P22" s="91" t="s">
        <v>206</v>
      </c>
    </row>
    <row r="23" spans="1:16" ht="41.7" customHeight="1" x14ac:dyDescent="0.25">
      <c r="A23" s="97" t="s">
        <v>49</v>
      </c>
      <c r="B23" s="216" t="s">
        <v>283</v>
      </c>
      <c r="C23" s="217"/>
      <c r="D23" s="217"/>
      <c r="E23" s="217"/>
      <c r="F23" s="217"/>
      <c r="G23" s="218"/>
      <c r="H23" s="210" t="s">
        <v>284</v>
      </c>
      <c r="I23" s="210"/>
      <c r="J23" s="210"/>
      <c r="K23" s="210"/>
      <c r="L23" s="210" t="s">
        <v>228</v>
      </c>
      <c r="M23" s="210"/>
      <c r="N23" s="210"/>
      <c r="O23" s="210"/>
      <c r="P23" s="91" t="s">
        <v>206</v>
      </c>
    </row>
    <row r="24" spans="1:16" ht="39.450000000000003" customHeight="1" x14ac:dyDescent="0.25">
      <c r="A24" s="97" t="s">
        <v>50</v>
      </c>
      <c r="B24" s="216" t="s">
        <v>285</v>
      </c>
      <c r="C24" s="217"/>
      <c r="D24" s="217"/>
      <c r="E24" s="217"/>
      <c r="F24" s="217"/>
      <c r="G24" s="218"/>
      <c r="H24" s="210" t="s">
        <v>284</v>
      </c>
      <c r="I24" s="210"/>
      <c r="J24" s="210"/>
      <c r="K24" s="210"/>
      <c r="L24" s="210" t="s">
        <v>229</v>
      </c>
      <c r="M24" s="210"/>
      <c r="N24" s="210"/>
      <c r="O24" s="210"/>
      <c r="P24" s="91" t="s">
        <v>206</v>
      </c>
    </row>
    <row r="25" spans="1:16" ht="39" customHeight="1" x14ac:dyDescent="0.25">
      <c r="A25" s="97" t="s">
        <v>51</v>
      </c>
      <c r="B25" s="213" t="s">
        <v>286</v>
      </c>
      <c r="C25" s="214"/>
      <c r="D25" s="214"/>
      <c r="E25" s="214"/>
      <c r="F25" s="214"/>
      <c r="G25" s="215"/>
      <c r="H25" s="210" t="s">
        <v>287</v>
      </c>
      <c r="I25" s="210"/>
      <c r="J25" s="210"/>
      <c r="K25" s="210"/>
      <c r="L25" s="210" t="s">
        <v>287</v>
      </c>
      <c r="M25" s="210"/>
      <c r="N25" s="210"/>
      <c r="O25" s="210"/>
      <c r="P25" s="91" t="s">
        <v>206</v>
      </c>
    </row>
    <row r="26" spans="1:16" ht="39" customHeight="1" x14ac:dyDescent="0.25">
      <c r="A26" s="97" t="s">
        <v>52</v>
      </c>
      <c r="B26" s="213"/>
      <c r="C26" s="214"/>
      <c r="D26" s="214"/>
      <c r="E26" s="214"/>
      <c r="F26" s="214"/>
      <c r="G26" s="215"/>
      <c r="H26" s="210"/>
      <c r="I26" s="210"/>
      <c r="J26" s="210"/>
      <c r="K26" s="210"/>
      <c r="L26" s="210"/>
      <c r="M26" s="210"/>
      <c r="N26" s="210"/>
      <c r="O26" s="210"/>
      <c r="P26" s="91"/>
    </row>
    <row r="27" spans="1:16" ht="38.700000000000003" customHeight="1" x14ac:dyDescent="0.25">
      <c r="A27" s="97" t="s">
        <v>53</v>
      </c>
      <c r="B27" s="213"/>
      <c r="C27" s="214"/>
      <c r="D27" s="214"/>
      <c r="E27" s="214"/>
      <c r="F27" s="214"/>
      <c r="G27" s="215"/>
      <c r="H27" s="210"/>
      <c r="I27" s="210"/>
      <c r="J27" s="210"/>
      <c r="K27" s="210"/>
      <c r="L27" s="210"/>
      <c r="M27" s="210"/>
      <c r="N27" s="210"/>
      <c r="O27" s="210"/>
      <c r="P27" s="91"/>
    </row>
    <row r="28" spans="1:16" x14ac:dyDescent="0.25">
      <c r="A28" s="97" t="s">
        <v>54</v>
      </c>
      <c r="B28" s="216"/>
      <c r="C28" s="217"/>
      <c r="D28" s="217"/>
      <c r="E28" s="217"/>
      <c r="F28" s="217"/>
      <c r="G28" s="218"/>
      <c r="H28" s="210"/>
      <c r="I28" s="210"/>
      <c r="J28" s="210"/>
      <c r="K28" s="210"/>
      <c r="L28" s="210"/>
      <c r="M28" s="210"/>
      <c r="N28" s="210"/>
      <c r="O28" s="210"/>
      <c r="P28" s="91"/>
    </row>
    <row r="29" spans="1:16" x14ac:dyDescent="0.25">
      <c r="A29" s="97" t="s">
        <v>55</v>
      </c>
      <c r="B29" s="216"/>
      <c r="C29" s="217"/>
      <c r="D29" s="217"/>
      <c r="E29" s="217"/>
      <c r="F29" s="217"/>
      <c r="G29" s="218"/>
      <c r="H29" s="210"/>
      <c r="I29" s="210"/>
      <c r="J29" s="210"/>
      <c r="K29" s="210"/>
      <c r="L29" s="210"/>
      <c r="M29" s="210"/>
      <c r="N29" s="210"/>
      <c r="O29" s="210"/>
      <c r="P29" s="91"/>
    </row>
    <row r="30" spans="1:16" ht="13.8" thickBot="1" x14ac:dyDescent="0.3">
      <c r="A30" s="98" t="s">
        <v>56</v>
      </c>
      <c r="B30" s="229"/>
      <c r="C30" s="230"/>
      <c r="D30" s="230"/>
      <c r="E30" s="230"/>
      <c r="F30" s="230"/>
      <c r="G30" s="231"/>
      <c r="H30" s="228"/>
      <c r="I30" s="228"/>
      <c r="J30" s="228"/>
      <c r="K30" s="228"/>
      <c r="L30" s="228"/>
      <c r="M30" s="228"/>
      <c r="N30" s="228"/>
      <c r="O30" s="228"/>
      <c r="P30" s="92"/>
    </row>
    <row r="31" spans="1:16" x14ac:dyDescent="0.25">
      <c r="B31" s="93"/>
      <c r="C31" s="93"/>
      <c r="D31" s="93"/>
      <c r="E31" s="93"/>
      <c r="F31" s="93"/>
      <c r="G31" s="93"/>
      <c r="H31" s="93"/>
    </row>
    <row r="32" spans="1:16" x14ac:dyDescent="0.25">
      <c r="B32" s="93"/>
      <c r="C32" s="93"/>
      <c r="D32" s="93"/>
      <c r="E32" s="93"/>
      <c r="F32" s="93"/>
      <c r="G32" s="93"/>
      <c r="H32" s="93"/>
    </row>
  </sheetData>
  <mergeCells count="37">
    <mergeCell ref="H23:K23"/>
    <mergeCell ref="L23:O23"/>
    <mergeCell ref="B1:G1"/>
    <mergeCell ref="B3:G3"/>
    <mergeCell ref="B7:G7"/>
    <mergeCell ref="A21:G21"/>
    <mergeCell ref="H21:K21"/>
    <mergeCell ref="L21:O21"/>
    <mergeCell ref="H22:K22"/>
    <mergeCell ref="L22:O22"/>
    <mergeCell ref="B22:G22"/>
    <mergeCell ref="A11:A14"/>
    <mergeCell ref="B11:G14"/>
    <mergeCell ref="A16:A19"/>
    <mergeCell ref="B16:G19"/>
    <mergeCell ref="B23:G23"/>
    <mergeCell ref="B24:G24"/>
    <mergeCell ref="H24:K24"/>
    <mergeCell ref="L24:O24"/>
    <mergeCell ref="B25:G25"/>
    <mergeCell ref="H25:K25"/>
    <mergeCell ref="L25:O25"/>
    <mergeCell ref="B26:G26"/>
    <mergeCell ref="H26:K26"/>
    <mergeCell ref="L26:O26"/>
    <mergeCell ref="B27:G27"/>
    <mergeCell ref="H27:K27"/>
    <mergeCell ref="L27:O27"/>
    <mergeCell ref="B30:G30"/>
    <mergeCell ref="H30:K30"/>
    <mergeCell ref="L30:O30"/>
    <mergeCell ref="B28:G28"/>
    <mergeCell ref="H28:K28"/>
    <mergeCell ref="L28:O28"/>
    <mergeCell ref="B29:G29"/>
    <mergeCell ref="H29:K29"/>
    <mergeCell ref="L29:O29"/>
  </mergeCells>
  <conditionalFormatting sqref="B9:B10">
    <cfRule type="cellIs" dxfId="181" priority="3" operator="equal">
      <formula>"Nok"</formula>
    </cfRule>
    <cfRule type="cellIs" dxfId="180" priority="4" operator="equal">
      <formula>"Ok"</formula>
    </cfRule>
  </conditionalFormatting>
  <conditionalFormatting sqref="P22:P30">
    <cfRule type="cellIs" dxfId="179" priority="1" operator="equal">
      <formula>"Nok"</formula>
    </cfRule>
    <cfRule type="cellIs" dxfId="178" priority="2" operator="equal">
      <formula>"Ok"</formula>
    </cfRule>
  </conditionalFormatting>
  <dataValidations count="3">
    <dataValidation type="list" allowBlank="1" showInputMessage="1" showErrorMessage="1" sqref="B5" xr:uid="{3A3C226A-EA9C-41B4-A9B9-8221B14CFE84}">
      <formula1>"Nominal, Robustness, Endurance, Qualification"</formula1>
    </dataValidation>
    <dataValidation type="list" allowBlank="1" showInputMessage="1" showErrorMessage="1" sqref="B9" xr:uid="{79514B4A-7124-44D3-B477-0DEC69A51191}">
      <formula1>"Ok, Nok, Not run, NA"</formula1>
    </dataValidation>
    <dataValidation type="list" allowBlank="1" showInputMessage="1" showErrorMessage="1" sqref="P22:P30" xr:uid="{8D25E97D-250A-4F6E-A31E-C63873669B6D}">
      <formula1>"Ok, Nok, Not run, ,"</formula1>
    </dataValidation>
  </dataValidations>
  <pageMargins left="0.7" right="0.7" top="0.75" bottom="0.75" header="0.3" footer="0.3"/>
  <pageSetup paperSize="9" orientation="portrait" r:id="rId1"/>
  <headerFooter>
    <oddFooter>&amp;LNA ver 1.1&amp;R&amp;P</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A5D58-93BA-413B-9F27-839491D0705B}">
  <sheetPr codeName="Sheet12"/>
  <dimension ref="A1:P39"/>
  <sheetViews>
    <sheetView workbookViewId="0">
      <selection activeCell="J47" sqref="J47"/>
    </sheetView>
  </sheetViews>
  <sheetFormatPr defaultColWidth="9.33203125" defaultRowHeight="13.2" x14ac:dyDescent="0.25"/>
  <cols>
    <col min="1" max="1" width="20.33203125" style="93" customWidth="1"/>
    <col min="2" max="2" width="18.44140625" style="89" customWidth="1"/>
    <col min="3" max="7" width="9.33203125" style="89"/>
    <col min="8" max="15" width="9.5546875" style="89" customWidth="1"/>
    <col min="16" max="16384" width="9.33203125" style="89"/>
  </cols>
  <sheetData>
    <row r="1" spans="1:15" ht="13.8" thickBot="1" x14ac:dyDescent="0.3">
      <c r="A1" s="94" t="s">
        <v>39</v>
      </c>
      <c r="B1" s="198" t="s">
        <v>173</v>
      </c>
      <c r="C1" s="199"/>
      <c r="D1" s="199"/>
      <c r="E1" s="199"/>
      <c r="F1" s="199"/>
      <c r="G1" s="20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95" t="s">
        <v>44</v>
      </c>
      <c r="B3" s="232" t="s">
        <v>288</v>
      </c>
      <c r="C3" s="233"/>
      <c r="D3" s="233"/>
      <c r="E3" s="233"/>
      <c r="F3" s="233"/>
      <c r="G3" s="234"/>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4" t="s">
        <v>108</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4" t="s">
        <v>40</v>
      </c>
      <c r="B7" s="201" t="s">
        <v>173</v>
      </c>
      <c r="C7" s="202"/>
      <c r="D7" s="202"/>
      <c r="E7" s="202"/>
      <c r="F7" s="202"/>
      <c r="G7" s="20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4" t="s">
        <v>41</v>
      </c>
      <c r="B9" s="99" t="s">
        <v>206</v>
      </c>
      <c r="C9" s="73"/>
      <c r="D9" s="74"/>
      <c r="E9" s="74"/>
      <c r="F9" s="74"/>
      <c r="G9" s="74"/>
      <c r="H9" s="74"/>
      <c r="I9" s="74"/>
      <c r="J9" s="74"/>
      <c r="K9" s="74"/>
      <c r="L9" s="74"/>
      <c r="M9" s="74"/>
      <c r="N9" s="74"/>
      <c r="O9" s="74"/>
    </row>
    <row r="10" spans="1:15" ht="13.8" thickBot="1" x14ac:dyDescent="0.3">
      <c r="A10" s="76"/>
      <c r="B10" s="90"/>
      <c r="C10" s="73"/>
      <c r="D10" s="74"/>
      <c r="E10" s="74"/>
      <c r="F10" s="74"/>
      <c r="G10" s="74"/>
      <c r="H10" s="74"/>
      <c r="I10" s="74"/>
      <c r="J10" s="74"/>
      <c r="K10" s="74"/>
      <c r="L10" s="74"/>
      <c r="M10" s="74"/>
      <c r="N10" s="74"/>
      <c r="O10" s="74"/>
    </row>
    <row r="11" spans="1:15" ht="12" customHeight="1" x14ac:dyDescent="0.25">
      <c r="A11" s="211" t="s">
        <v>110</v>
      </c>
      <c r="B11" s="219" t="s">
        <v>131</v>
      </c>
      <c r="C11" s="220"/>
      <c r="D11" s="220"/>
      <c r="E11" s="220"/>
      <c r="F11" s="220"/>
      <c r="G11" s="221"/>
      <c r="H11" s="74"/>
      <c r="I11" s="74"/>
      <c r="J11" s="74"/>
      <c r="K11" s="74"/>
      <c r="L11" s="74"/>
      <c r="M11" s="74"/>
      <c r="N11" s="74"/>
      <c r="O11" s="74"/>
    </row>
    <row r="12" spans="1:15" x14ac:dyDescent="0.25">
      <c r="A12" s="212"/>
      <c r="B12" s="222"/>
      <c r="C12" s="223"/>
      <c r="D12" s="223"/>
      <c r="E12" s="223"/>
      <c r="F12" s="223"/>
      <c r="G12" s="224"/>
      <c r="H12" s="74"/>
      <c r="I12" s="74"/>
      <c r="J12" s="74"/>
      <c r="K12" s="74"/>
      <c r="L12" s="74"/>
      <c r="M12" s="74"/>
      <c r="N12" s="74"/>
      <c r="O12" s="74"/>
    </row>
    <row r="13" spans="1:15" x14ac:dyDescent="0.25">
      <c r="A13" s="212"/>
      <c r="B13" s="222"/>
      <c r="C13" s="223"/>
      <c r="D13" s="223"/>
      <c r="E13" s="223"/>
      <c r="F13" s="223"/>
      <c r="G13" s="224"/>
      <c r="H13" s="72"/>
      <c r="I13" s="74"/>
      <c r="J13" s="74"/>
      <c r="K13" s="74"/>
      <c r="L13" s="74"/>
      <c r="M13" s="74"/>
      <c r="N13" s="74"/>
      <c r="O13" s="74"/>
    </row>
    <row r="14" spans="1:15" ht="13.8" thickBot="1" x14ac:dyDescent="0.3">
      <c r="A14" s="212"/>
      <c r="B14" s="225"/>
      <c r="C14" s="226"/>
      <c r="D14" s="226"/>
      <c r="E14" s="226"/>
      <c r="F14" s="226"/>
      <c r="G14" s="22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1" t="s">
        <v>42</v>
      </c>
      <c r="B16" s="219" t="s">
        <v>133</v>
      </c>
      <c r="C16" s="220"/>
      <c r="D16" s="220"/>
      <c r="E16" s="220"/>
      <c r="F16" s="220"/>
      <c r="G16" s="221"/>
      <c r="H16" s="74"/>
      <c r="I16" s="74"/>
      <c r="J16" s="74"/>
      <c r="K16" s="74"/>
      <c r="L16" s="74"/>
      <c r="M16" s="74"/>
      <c r="N16" s="74"/>
      <c r="O16" s="74"/>
    </row>
    <row r="17" spans="1:16" x14ac:dyDescent="0.25">
      <c r="A17" s="212"/>
      <c r="B17" s="222"/>
      <c r="C17" s="223"/>
      <c r="D17" s="223"/>
      <c r="E17" s="223"/>
      <c r="F17" s="223"/>
      <c r="G17" s="224"/>
      <c r="H17" s="74"/>
      <c r="I17" s="74"/>
      <c r="J17" s="74"/>
      <c r="K17" s="74"/>
      <c r="L17" s="74"/>
      <c r="M17" s="74"/>
      <c r="N17" s="74"/>
      <c r="O17" s="74"/>
    </row>
    <row r="18" spans="1:16" x14ac:dyDescent="0.25">
      <c r="A18" s="212"/>
      <c r="B18" s="222"/>
      <c r="C18" s="223"/>
      <c r="D18" s="223"/>
      <c r="E18" s="223"/>
      <c r="F18" s="223"/>
      <c r="G18" s="224"/>
      <c r="H18" s="72"/>
      <c r="I18" s="74"/>
      <c r="J18" s="74"/>
      <c r="K18" s="74"/>
      <c r="L18" s="74"/>
      <c r="M18" s="74"/>
      <c r="N18" s="74"/>
      <c r="O18" s="74"/>
    </row>
    <row r="19" spans="1:16" ht="13.8" thickBot="1" x14ac:dyDescent="0.3">
      <c r="A19" s="212"/>
      <c r="B19" s="225"/>
      <c r="C19" s="226"/>
      <c r="D19" s="226"/>
      <c r="E19" s="226"/>
      <c r="F19" s="226"/>
      <c r="G19" s="22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204" t="s">
        <v>46</v>
      </c>
      <c r="B21" s="205"/>
      <c r="C21" s="205"/>
      <c r="D21" s="205"/>
      <c r="E21" s="205"/>
      <c r="F21" s="205"/>
      <c r="G21" s="206"/>
      <c r="H21" s="204" t="s">
        <v>47</v>
      </c>
      <c r="I21" s="205"/>
      <c r="J21" s="205"/>
      <c r="K21" s="206"/>
      <c r="L21" s="204" t="s">
        <v>58</v>
      </c>
      <c r="M21" s="205"/>
      <c r="N21" s="205"/>
      <c r="O21" s="206"/>
      <c r="P21" s="96" t="s">
        <v>45</v>
      </c>
    </row>
    <row r="22" spans="1:16" ht="62.25" customHeight="1" x14ac:dyDescent="0.25">
      <c r="A22" s="97" t="s">
        <v>48</v>
      </c>
      <c r="B22" s="213" t="s">
        <v>246</v>
      </c>
      <c r="C22" s="214"/>
      <c r="D22" s="214"/>
      <c r="E22" s="214"/>
      <c r="F22" s="214"/>
      <c r="G22" s="215"/>
      <c r="H22" s="207" t="s">
        <v>247</v>
      </c>
      <c r="I22" s="208"/>
      <c r="J22" s="208"/>
      <c r="K22" s="209"/>
      <c r="L22" s="207" t="s">
        <v>247</v>
      </c>
      <c r="M22" s="208"/>
      <c r="N22" s="208"/>
      <c r="O22" s="209"/>
      <c r="P22" s="91" t="s">
        <v>206</v>
      </c>
    </row>
    <row r="23" spans="1:16" ht="62.25" customHeight="1" x14ac:dyDescent="0.25">
      <c r="A23" s="97" t="s">
        <v>49</v>
      </c>
      <c r="B23" s="213" t="s">
        <v>185</v>
      </c>
      <c r="C23" s="214"/>
      <c r="D23" s="214"/>
      <c r="E23" s="214"/>
      <c r="F23" s="214"/>
      <c r="G23" s="215"/>
      <c r="H23" s="207" t="s">
        <v>138</v>
      </c>
      <c r="I23" s="208"/>
      <c r="J23" s="208"/>
      <c r="K23" s="209"/>
      <c r="L23" s="207" t="s">
        <v>177</v>
      </c>
      <c r="M23" s="208"/>
      <c r="N23" s="208"/>
      <c r="O23" s="209"/>
      <c r="P23" s="91" t="s">
        <v>206</v>
      </c>
    </row>
    <row r="24" spans="1:16" ht="41.7" customHeight="1" x14ac:dyDescent="0.25">
      <c r="A24" s="97" t="s">
        <v>50</v>
      </c>
      <c r="B24" s="216" t="s">
        <v>167</v>
      </c>
      <c r="C24" s="217"/>
      <c r="D24" s="217"/>
      <c r="E24" s="217"/>
      <c r="F24" s="217"/>
      <c r="G24" s="218"/>
      <c r="H24" s="210" t="s">
        <v>143</v>
      </c>
      <c r="I24" s="210"/>
      <c r="J24" s="210"/>
      <c r="K24" s="210"/>
      <c r="L24" s="210" t="s">
        <v>143</v>
      </c>
      <c r="M24" s="210"/>
      <c r="N24" s="210"/>
      <c r="O24" s="210"/>
      <c r="P24" s="91" t="s">
        <v>206</v>
      </c>
    </row>
    <row r="25" spans="1:16" ht="39.450000000000003" customHeight="1" x14ac:dyDescent="0.25">
      <c r="A25" s="97" t="s">
        <v>51</v>
      </c>
      <c r="B25" s="216" t="s">
        <v>186</v>
      </c>
      <c r="C25" s="217"/>
      <c r="D25" s="217"/>
      <c r="E25" s="217"/>
      <c r="F25" s="217"/>
      <c r="G25" s="218"/>
      <c r="H25" s="216" t="s">
        <v>179</v>
      </c>
      <c r="I25" s="217"/>
      <c r="J25" s="217"/>
      <c r="K25" s="218"/>
      <c r="L25" s="216" t="s">
        <v>179</v>
      </c>
      <c r="M25" s="217"/>
      <c r="N25" s="217"/>
      <c r="O25" s="218"/>
      <c r="P25" s="91" t="s">
        <v>206</v>
      </c>
    </row>
    <row r="26" spans="1:16" ht="39" customHeight="1" x14ac:dyDescent="0.25">
      <c r="A26" s="97" t="s">
        <v>52</v>
      </c>
      <c r="B26" s="235" t="s">
        <v>180</v>
      </c>
      <c r="C26" s="236"/>
      <c r="D26" s="236"/>
      <c r="E26" s="236"/>
      <c r="F26" s="236"/>
      <c r="G26" s="237"/>
      <c r="H26" s="216" t="s">
        <v>143</v>
      </c>
      <c r="I26" s="217"/>
      <c r="J26" s="217"/>
      <c r="K26" s="218"/>
      <c r="L26" s="216" t="s">
        <v>143</v>
      </c>
      <c r="M26" s="217"/>
      <c r="N26" s="217"/>
      <c r="O26" s="218"/>
      <c r="P26" s="91" t="s">
        <v>206</v>
      </c>
    </row>
    <row r="27" spans="1:16" ht="56.25" customHeight="1" x14ac:dyDescent="0.25">
      <c r="A27" s="97" t="s">
        <v>53</v>
      </c>
      <c r="B27" s="235" t="s">
        <v>187</v>
      </c>
      <c r="C27" s="236"/>
      <c r="D27" s="236"/>
      <c r="E27" s="236"/>
      <c r="F27" s="236"/>
      <c r="G27" s="237"/>
      <c r="H27" s="210" t="s">
        <v>143</v>
      </c>
      <c r="I27" s="210"/>
      <c r="J27" s="210"/>
      <c r="K27" s="210"/>
      <c r="L27" s="210" t="s">
        <v>143</v>
      </c>
      <c r="M27" s="210"/>
      <c r="N27" s="210"/>
      <c r="O27" s="210"/>
      <c r="P27" s="91" t="s">
        <v>206</v>
      </c>
    </row>
    <row r="28" spans="1:16" ht="40.5" customHeight="1" x14ac:dyDescent="0.25">
      <c r="A28" s="97" t="s">
        <v>54</v>
      </c>
      <c r="B28" s="235" t="s">
        <v>189</v>
      </c>
      <c r="C28" s="236"/>
      <c r="D28" s="236"/>
      <c r="E28" s="236"/>
      <c r="F28" s="236"/>
      <c r="G28" s="237"/>
      <c r="H28" s="216" t="s">
        <v>188</v>
      </c>
      <c r="I28" s="217"/>
      <c r="J28" s="217"/>
      <c r="K28" s="218"/>
      <c r="L28" s="216" t="s">
        <v>188</v>
      </c>
      <c r="M28" s="217"/>
      <c r="N28" s="217"/>
      <c r="O28" s="218"/>
      <c r="P28" s="91" t="s">
        <v>206</v>
      </c>
    </row>
    <row r="29" spans="1:16" ht="31.5" customHeight="1" x14ac:dyDescent="0.25">
      <c r="A29" s="97" t="s">
        <v>55</v>
      </c>
      <c r="B29" s="235" t="s">
        <v>180</v>
      </c>
      <c r="C29" s="236"/>
      <c r="D29" s="236"/>
      <c r="E29" s="236"/>
      <c r="F29" s="236"/>
      <c r="G29" s="237"/>
      <c r="H29" s="216" t="s">
        <v>143</v>
      </c>
      <c r="I29" s="217"/>
      <c r="J29" s="217"/>
      <c r="K29" s="218"/>
      <c r="L29" s="216" t="s">
        <v>143</v>
      </c>
      <c r="M29" s="217"/>
      <c r="N29" s="217"/>
      <c r="O29" s="218"/>
      <c r="P29" s="91" t="s">
        <v>206</v>
      </c>
    </row>
    <row r="30" spans="1:16" ht="20.25" customHeight="1" x14ac:dyDescent="0.25">
      <c r="A30" s="97" t="s">
        <v>56</v>
      </c>
      <c r="B30" s="235" t="s">
        <v>190</v>
      </c>
      <c r="C30" s="236"/>
      <c r="D30" s="236"/>
      <c r="E30" s="236"/>
      <c r="F30" s="236"/>
      <c r="G30" s="237"/>
      <c r="H30" s="216" t="s">
        <v>143</v>
      </c>
      <c r="I30" s="217"/>
      <c r="J30" s="217"/>
      <c r="K30" s="218"/>
      <c r="L30" s="216" t="s">
        <v>143</v>
      </c>
      <c r="M30" s="217"/>
      <c r="N30" s="217"/>
      <c r="O30" s="218"/>
      <c r="P30" s="91" t="s">
        <v>206</v>
      </c>
    </row>
    <row r="31" spans="1:16" ht="39" customHeight="1" x14ac:dyDescent="0.25">
      <c r="A31" s="97" t="s">
        <v>181</v>
      </c>
      <c r="B31" s="235" t="s">
        <v>191</v>
      </c>
      <c r="C31" s="236"/>
      <c r="D31" s="236"/>
      <c r="E31" s="236"/>
      <c r="F31" s="236"/>
      <c r="G31" s="237"/>
      <c r="H31" s="216" t="s">
        <v>192</v>
      </c>
      <c r="I31" s="217"/>
      <c r="J31" s="217"/>
      <c r="K31" s="218"/>
      <c r="L31" s="216" t="s">
        <v>192</v>
      </c>
      <c r="M31" s="217"/>
      <c r="N31" s="217"/>
      <c r="O31" s="218"/>
      <c r="P31" s="91" t="s">
        <v>206</v>
      </c>
    </row>
    <row r="32" spans="1:16" ht="27" customHeight="1" x14ac:dyDescent="0.25">
      <c r="A32" s="97" t="s">
        <v>182</v>
      </c>
      <c r="B32" s="235" t="s">
        <v>180</v>
      </c>
      <c r="C32" s="236"/>
      <c r="D32" s="236"/>
      <c r="E32" s="236"/>
      <c r="F32" s="236"/>
      <c r="G32" s="237"/>
      <c r="H32" s="216" t="s">
        <v>143</v>
      </c>
      <c r="I32" s="217"/>
      <c r="J32" s="217"/>
      <c r="K32" s="218"/>
      <c r="L32" s="216" t="s">
        <v>143</v>
      </c>
      <c r="M32" s="217"/>
      <c r="N32" s="217"/>
      <c r="O32" s="218"/>
      <c r="P32" s="91" t="s">
        <v>206</v>
      </c>
    </row>
    <row r="33" spans="1:16" ht="16.5" customHeight="1" x14ac:dyDescent="0.25">
      <c r="A33" s="97" t="s">
        <v>183</v>
      </c>
      <c r="B33" s="235" t="s">
        <v>190</v>
      </c>
      <c r="C33" s="236"/>
      <c r="D33" s="236"/>
      <c r="E33" s="236"/>
      <c r="F33" s="236"/>
      <c r="G33" s="237"/>
      <c r="H33" s="216" t="s">
        <v>143</v>
      </c>
      <c r="I33" s="217"/>
      <c r="J33" s="217"/>
      <c r="K33" s="218"/>
      <c r="L33" s="216" t="s">
        <v>143</v>
      </c>
      <c r="M33" s="217"/>
      <c r="N33" s="217"/>
      <c r="O33" s="218"/>
      <c r="P33" s="91" t="s">
        <v>206</v>
      </c>
    </row>
    <row r="34" spans="1:16" ht="42.75" customHeight="1" x14ac:dyDescent="0.25">
      <c r="A34" s="97" t="s">
        <v>184</v>
      </c>
      <c r="B34" s="235" t="s">
        <v>193</v>
      </c>
      <c r="C34" s="236"/>
      <c r="D34" s="236"/>
      <c r="E34" s="236"/>
      <c r="F34" s="236"/>
      <c r="G34" s="237"/>
      <c r="H34" s="216" t="s">
        <v>188</v>
      </c>
      <c r="I34" s="217"/>
      <c r="J34" s="217"/>
      <c r="K34" s="218"/>
      <c r="L34" s="216" t="s">
        <v>188</v>
      </c>
      <c r="M34" s="217"/>
      <c r="N34" s="217"/>
      <c r="O34" s="218"/>
      <c r="P34" s="91" t="s">
        <v>206</v>
      </c>
    </row>
    <row r="35" spans="1:16" ht="27" customHeight="1" x14ac:dyDescent="0.25">
      <c r="A35" s="97" t="s">
        <v>194</v>
      </c>
      <c r="B35" s="235" t="s">
        <v>180</v>
      </c>
      <c r="C35" s="236"/>
      <c r="D35" s="236"/>
      <c r="E35" s="236"/>
      <c r="F35" s="236"/>
      <c r="G35" s="237"/>
      <c r="H35" s="216" t="s">
        <v>143</v>
      </c>
      <c r="I35" s="217"/>
      <c r="J35" s="217"/>
      <c r="K35" s="218"/>
      <c r="L35" s="216" t="s">
        <v>143</v>
      </c>
      <c r="M35" s="217"/>
      <c r="N35" s="217"/>
      <c r="O35" s="218"/>
      <c r="P35" s="91" t="s">
        <v>206</v>
      </c>
    </row>
    <row r="36" spans="1:16" ht="16.5" customHeight="1" x14ac:dyDescent="0.25">
      <c r="A36" s="97" t="s">
        <v>195</v>
      </c>
      <c r="B36" s="235" t="s">
        <v>190</v>
      </c>
      <c r="C36" s="236"/>
      <c r="D36" s="236"/>
      <c r="E36" s="236"/>
      <c r="F36" s="236"/>
      <c r="G36" s="237"/>
      <c r="H36" s="216" t="s">
        <v>143</v>
      </c>
      <c r="I36" s="217"/>
      <c r="J36" s="217"/>
      <c r="K36" s="218"/>
      <c r="L36" s="216" t="s">
        <v>143</v>
      </c>
      <c r="M36" s="217"/>
      <c r="N36" s="217"/>
      <c r="O36" s="218"/>
      <c r="P36" s="91" t="s">
        <v>206</v>
      </c>
    </row>
    <row r="37" spans="1:16" ht="42.75" customHeight="1" x14ac:dyDescent="0.25">
      <c r="A37" s="97" t="s">
        <v>245</v>
      </c>
      <c r="B37" s="235" t="s">
        <v>196</v>
      </c>
      <c r="C37" s="236"/>
      <c r="D37" s="236"/>
      <c r="E37" s="236"/>
      <c r="F37" s="236"/>
      <c r="G37" s="237"/>
      <c r="H37" s="216" t="s">
        <v>192</v>
      </c>
      <c r="I37" s="217"/>
      <c r="J37" s="217"/>
      <c r="K37" s="218"/>
      <c r="L37" s="216" t="s">
        <v>192</v>
      </c>
      <c r="M37" s="217"/>
      <c r="N37" s="217"/>
      <c r="O37" s="218"/>
      <c r="P37" s="91" t="s">
        <v>206</v>
      </c>
    </row>
    <row r="38" spans="1:16" ht="12.75" customHeight="1" x14ac:dyDescent="0.25">
      <c r="A38" s="97"/>
      <c r="B38" s="235"/>
      <c r="C38" s="236"/>
      <c r="D38" s="236"/>
      <c r="E38" s="236"/>
      <c r="F38" s="236"/>
      <c r="G38" s="237"/>
      <c r="H38" s="216"/>
      <c r="I38" s="217"/>
      <c r="J38" s="217"/>
      <c r="K38" s="218"/>
      <c r="L38" s="216"/>
      <c r="M38" s="217"/>
      <c r="N38" s="217"/>
      <c r="O38" s="218"/>
      <c r="P38" s="91"/>
    </row>
    <row r="39" spans="1:16" ht="12.75" customHeight="1" x14ac:dyDescent="0.25">
      <c r="A39" s="97"/>
      <c r="B39" s="235"/>
      <c r="C39" s="236"/>
      <c r="D39" s="236"/>
      <c r="E39" s="236"/>
      <c r="F39" s="236"/>
      <c r="G39" s="237"/>
      <c r="H39" s="216"/>
      <c r="I39" s="217"/>
      <c r="J39" s="217"/>
      <c r="K39" s="218"/>
      <c r="L39" s="216"/>
      <c r="M39" s="217"/>
      <c r="N39" s="217"/>
      <c r="O39" s="218"/>
      <c r="P39" s="91"/>
    </row>
  </sheetData>
  <mergeCells count="64">
    <mergeCell ref="L31:O31"/>
    <mergeCell ref="L32:O32"/>
    <mergeCell ref="L35:O35"/>
    <mergeCell ref="B37:G37"/>
    <mergeCell ref="H37:K37"/>
    <mergeCell ref="L37:O37"/>
    <mergeCell ref="B35:G35"/>
    <mergeCell ref="H35:K35"/>
    <mergeCell ref="B34:G34"/>
    <mergeCell ref="H34:K34"/>
    <mergeCell ref="L34:O34"/>
    <mergeCell ref="B31:G31"/>
    <mergeCell ref="B32:G32"/>
    <mergeCell ref="H31:K31"/>
    <mergeCell ref="H32:K32"/>
    <mergeCell ref="B33:G33"/>
    <mergeCell ref="H28:K28"/>
    <mergeCell ref="L28:O28"/>
    <mergeCell ref="L29:O29"/>
    <mergeCell ref="H29:K29"/>
    <mergeCell ref="B29:G29"/>
    <mergeCell ref="B1:G1"/>
    <mergeCell ref="B3:G3"/>
    <mergeCell ref="B7:G7"/>
    <mergeCell ref="A11:A14"/>
    <mergeCell ref="B11:G14"/>
    <mergeCell ref="B36:G36"/>
    <mergeCell ref="H36:K36"/>
    <mergeCell ref="L36:O36"/>
    <mergeCell ref="A16:A19"/>
    <mergeCell ref="B16:G19"/>
    <mergeCell ref="A21:G21"/>
    <mergeCell ref="H21:K21"/>
    <mergeCell ref="L21:O21"/>
    <mergeCell ref="B22:G22"/>
    <mergeCell ref="H22:K22"/>
    <mergeCell ref="L22:O22"/>
    <mergeCell ref="B24:G24"/>
    <mergeCell ref="H24:K24"/>
    <mergeCell ref="L24:O24"/>
    <mergeCell ref="B25:G25"/>
    <mergeCell ref="H25:K25"/>
    <mergeCell ref="B23:G23"/>
    <mergeCell ref="H23:K23"/>
    <mergeCell ref="L23:O23"/>
    <mergeCell ref="H33:K33"/>
    <mergeCell ref="L33:O33"/>
    <mergeCell ref="L25:O25"/>
    <mergeCell ref="B30:G30"/>
    <mergeCell ref="L30:O30"/>
    <mergeCell ref="B26:G26"/>
    <mergeCell ref="H26:K26"/>
    <mergeCell ref="L26:O26"/>
    <mergeCell ref="B27:G27"/>
    <mergeCell ref="H27:K27"/>
    <mergeCell ref="L27:O27"/>
    <mergeCell ref="H30:K30"/>
    <mergeCell ref="B28:G28"/>
    <mergeCell ref="B38:G38"/>
    <mergeCell ref="H38:K38"/>
    <mergeCell ref="L38:O38"/>
    <mergeCell ref="B39:G39"/>
    <mergeCell ref="H39:K39"/>
    <mergeCell ref="L39:O39"/>
  </mergeCells>
  <phoneticPr fontId="42" type="noConversion"/>
  <conditionalFormatting sqref="B9:B10">
    <cfRule type="cellIs" dxfId="177" priority="27" operator="equal">
      <formula>"Nok"</formula>
    </cfRule>
    <cfRule type="cellIs" dxfId="176" priority="28" operator="equal">
      <formula>"Ok"</formula>
    </cfRule>
  </conditionalFormatting>
  <conditionalFormatting sqref="P24">
    <cfRule type="cellIs" dxfId="175" priority="25" operator="equal">
      <formula>"Nok"</formula>
    </cfRule>
    <cfRule type="cellIs" dxfId="174" priority="26" operator="equal">
      <formula>"Ok"</formula>
    </cfRule>
  </conditionalFormatting>
  <conditionalFormatting sqref="P29:P32">
    <cfRule type="cellIs" dxfId="173" priority="23" operator="equal">
      <formula>"Nok"</formula>
    </cfRule>
    <cfRule type="cellIs" dxfId="172" priority="24" operator="equal">
      <formula>"Ok"</formula>
    </cfRule>
  </conditionalFormatting>
  <conditionalFormatting sqref="P28">
    <cfRule type="cellIs" dxfId="171" priority="21" operator="equal">
      <formula>"Nok"</formula>
    </cfRule>
    <cfRule type="cellIs" dxfId="170" priority="22" operator="equal">
      <formula>"Ok"</formula>
    </cfRule>
  </conditionalFormatting>
  <conditionalFormatting sqref="P27">
    <cfRule type="cellIs" dxfId="169" priority="15" operator="equal">
      <formula>"Nok"</formula>
    </cfRule>
    <cfRule type="cellIs" dxfId="168" priority="16" operator="equal">
      <formula>"Ok"</formula>
    </cfRule>
  </conditionalFormatting>
  <conditionalFormatting sqref="P25">
    <cfRule type="cellIs" dxfId="167" priority="19" operator="equal">
      <formula>"Nok"</formula>
    </cfRule>
    <cfRule type="cellIs" dxfId="166" priority="20" operator="equal">
      <formula>"Ok"</formula>
    </cfRule>
  </conditionalFormatting>
  <conditionalFormatting sqref="P26">
    <cfRule type="cellIs" dxfId="165" priority="17" operator="equal">
      <formula>"Nok"</formula>
    </cfRule>
    <cfRule type="cellIs" dxfId="164" priority="18" operator="equal">
      <formula>"Ok"</formula>
    </cfRule>
  </conditionalFormatting>
  <conditionalFormatting sqref="P34">
    <cfRule type="cellIs" dxfId="163" priority="13" operator="equal">
      <formula>"Nok"</formula>
    </cfRule>
    <cfRule type="cellIs" dxfId="162" priority="14" operator="equal">
      <formula>"Ok"</formula>
    </cfRule>
  </conditionalFormatting>
  <conditionalFormatting sqref="P33">
    <cfRule type="cellIs" dxfId="161" priority="11" operator="equal">
      <formula>"Nok"</formula>
    </cfRule>
    <cfRule type="cellIs" dxfId="160" priority="12" operator="equal">
      <formula>"Ok"</formula>
    </cfRule>
  </conditionalFormatting>
  <conditionalFormatting sqref="P35">
    <cfRule type="cellIs" dxfId="159" priority="9" operator="equal">
      <formula>"Nok"</formula>
    </cfRule>
    <cfRule type="cellIs" dxfId="158" priority="10" operator="equal">
      <formula>"Ok"</formula>
    </cfRule>
  </conditionalFormatting>
  <conditionalFormatting sqref="P36 P38">
    <cfRule type="cellIs" dxfId="157" priority="7" operator="equal">
      <formula>"Nok"</formula>
    </cfRule>
    <cfRule type="cellIs" dxfId="156" priority="8" operator="equal">
      <formula>"Ok"</formula>
    </cfRule>
  </conditionalFormatting>
  <conditionalFormatting sqref="P37 P39">
    <cfRule type="cellIs" dxfId="155" priority="5" operator="equal">
      <formula>"Nok"</formula>
    </cfRule>
    <cfRule type="cellIs" dxfId="154" priority="6" operator="equal">
      <formula>"Ok"</formula>
    </cfRule>
  </conditionalFormatting>
  <conditionalFormatting sqref="P23">
    <cfRule type="cellIs" dxfId="153" priority="3" operator="equal">
      <formula>"Nok"</formula>
    </cfRule>
    <cfRule type="cellIs" dxfId="152" priority="4" operator="equal">
      <formula>"Ok"</formula>
    </cfRule>
  </conditionalFormatting>
  <conditionalFormatting sqref="P22">
    <cfRule type="cellIs" dxfId="151" priority="1" operator="equal">
      <formula>"Nok"</formula>
    </cfRule>
    <cfRule type="cellIs" dxfId="150" priority="2" operator="equal">
      <formula>"Ok"</formula>
    </cfRule>
  </conditionalFormatting>
  <dataValidations count="3">
    <dataValidation type="list" allowBlank="1" showInputMessage="1" showErrorMessage="1" sqref="B9" xr:uid="{2788F234-6FFF-439C-963D-EB3793585000}">
      <formula1>"Ok, Nok, Not run, NA"</formula1>
    </dataValidation>
    <dataValidation type="list" allowBlank="1" showInputMessage="1" showErrorMessage="1" sqref="B5" xr:uid="{3F341500-6ABF-4B48-B0CF-6CBB59B99875}">
      <formula1>"Nominal, Robustness, Endurance, Qualification"</formula1>
    </dataValidation>
    <dataValidation type="list" allowBlank="1" showInputMessage="1" showErrorMessage="1" sqref="P22:P39" xr:uid="{58CF8AB5-B7E0-44CB-B046-9946A651B110}">
      <formula1>"Ok, Nok, Not run, ,"</formula1>
    </dataValidation>
  </dataValidations>
  <pageMargins left="0.7" right="0.7" top="0.75" bottom="0.75" header="0.3" footer="0.3"/>
  <pageSetup paperSize="9" orientation="portrait" r:id="rId1"/>
  <headerFooter>
    <oddFooter>&amp;LNA ver 1.1&amp;R&amp;P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83927-3F69-42AD-B1C8-5CE470149887}">
  <sheetPr codeName="Sheet13"/>
  <dimension ref="A1:P37"/>
  <sheetViews>
    <sheetView topLeftCell="A2" workbookViewId="0">
      <selection activeCell="F5" sqref="F5"/>
    </sheetView>
  </sheetViews>
  <sheetFormatPr defaultColWidth="9.33203125" defaultRowHeight="13.2" x14ac:dyDescent="0.25"/>
  <cols>
    <col min="1" max="1" width="20.33203125" style="93" customWidth="1"/>
    <col min="2" max="2" width="18.44140625" style="89" customWidth="1"/>
    <col min="3" max="6" width="9.33203125" style="89"/>
    <col min="7" max="7" width="12" style="89" customWidth="1"/>
    <col min="8" max="15" width="9.5546875" style="89" customWidth="1"/>
    <col min="16" max="16384" width="9.33203125" style="89"/>
  </cols>
  <sheetData>
    <row r="1" spans="1:15" ht="13.8" thickBot="1" x14ac:dyDescent="0.3">
      <c r="A1" s="94" t="s">
        <v>39</v>
      </c>
      <c r="B1" s="198" t="s">
        <v>174</v>
      </c>
      <c r="C1" s="238"/>
      <c r="D1" s="238"/>
      <c r="E1" s="238"/>
      <c r="F1" s="238"/>
      <c r="G1" s="239"/>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95" t="s">
        <v>44</v>
      </c>
      <c r="B3" s="232" t="s">
        <v>297</v>
      </c>
      <c r="C3" s="233"/>
      <c r="D3" s="233"/>
      <c r="E3" s="233"/>
      <c r="F3" s="233"/>
      <c r="G3" s="234"/>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4" t="s">
        <v>108</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4" t="s">
        <v>40</v>
      </c>
      <c r="B7" s="201" t="s">
        <v>174</v>
      </c>
      <c r="C7" s="202"/>
      <c r="D7" s="202"/>
      <c r="E7" s="202"/>
      <c r="F7" s="202"/>
      <c r="G7" s="20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4" t="s">
        <v>41</v>
      </c>
      <c r="B9" s="99" t="s">
        <v>206</v>
      </c>
      <c r="C9" s="73"/>
      <c r="D9" s="74"/>
      <c r="E9" s="74"/>
      <c r="F9" s="74"/>
      <c r="G9" s="74"/>
      <c r="H9" s="74"/>
      <c r="I9" s="74"/>
      <c r="J9" s="74"/>
      <c r="K9" s="74"/>
      <c r="L9" s="74"/>
      <c r="M9" s="74"/>
      <c r="N9" s="74"/>
      <c r="O9" s="74"/>
    </row>
    <row r="10" spans="1:15" ht="13.8" thickBot="1" x14ac:dyDescent="0.3">
      <c r="A10" s="76"/>
      <c r="B10" s="90"/>
      <c r="C10" s="73"/>
      <c r="D10" s="74"/>
      <c r="E10" s="74"/>
      <c r="F10" s="74"/>
      <c r="G10" s="74"/>
      <c r="H10" s="74"/>
      <c r="I10" s="74"/>
      <c r="J10" s="74"/>
      <c r="K10" s="74"/>
      <c r="L10" s="74"/>
      <c r="M10" s="74"/>
      <c r="N10" s="74"/>
      <c r="O10" s="74"/>
    </row>
    <row r="11" spans="1:15" ht="12" customHeight="1" x14ac:dyDescent="0.25">
      <c r="A11" s="211" t="s">
        <v>110</v>
      </c>
      <c r="B11" s="219" t="s">
        <v>131</v>
      </c>
      <c r="C11" s="220"/>
      <c r="D11" s="220"/>
      <c r="E11" s="220"/>
      <c r="F11" s="220"/>
      <c r="G11" s="221"/>
      <c r="H11" s="74"/>
      <c r="I11" s="74"/>
      <c r="J11" s="74"/>
      <c r="K11" s="74"/>
      <c r="L11" s="74"/>
      <c r="M11" s="74"/>
      <c r="N11" s="74"/>
      <c r="O11" s="74"/>
    </row>
    <row r="12" spans="1:15" x14ac:dyDescent="0.25">
      <c r="A12" s="212"/>
      <c r="B12" s="222"/>
      <c r="C12" s="223"/>
      <c r="D12" s="223"/>
      <c r="E12" s="223"/>
      <c r="F12" s="223"/>
      <c r="G12" s="224"/>
      <c r="H12" s="74"/>
      <c r="I12" s="74"/>
      <c r="J12" s="74"/>
      <c r="K12" s="74"/>
      <c r="L12" s="74"/>
      <c r="M12" s="74"/>
      <c r="N12" s="74"/>
      <c r="O12" s="74"/>
    </row>
    <row r="13" spans="1:15" x14ac:dyDescent="0.25">
      <c r="A13" s="212"/>
      <c r="B13" s="222"/>
      <c r="C13" s="223"/>
      <c r="D13" s="223"/>
      <c r="E13" s="223"/>
      <c r="F13" s="223"/>
      <c r="G13" s="224"/>
      <c r="H13" s="72"/>
      <c r="I13" s="74"/>
      <c r="J13" s="74"/>
      <c r="K13" s="74"/>
      <c r="L13" s="74"/>
      <c r="M13" s="74"/>
      <c r="N13" s="74"/>
      <c r="O13" s="74"/>
    </row>
    <row r="14" spans="1:15" ht="13.8" thickBot="1" x14ac:dyDescent="0.3">
      <c r="A14" s="212"/>
      <c r="B14" s="225"/>
      <c r="C14" s="226"/>
      <c r="D14" s="226"/>
      <c r="E14" s="226"/>
      <c r="F14" s="226"/>
      <c r="G14" s="22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ht="13.2" customHeight="1" x14ac:dyDescent="0.25">
      <c r="A16" s="211" t="s">
        <v>42</v>
      </c>
      <c r="B16" s="219" t="s">
        <v>133</v>
      </c>
      <c r="C16" s="220"/>
      <c r="D16" s="220"/>
      <c r="E16" s="220"/>
      <c r="F16" s="220"/>
      <c r="G16" s="221"/>
      <c r="H16" s="74"/>
      <c r="I16" s="74"/>
      <c r="J16" s="74"/>
      <c r="K16" s="74"/>
      <c r="L16" s="74"/>
      <c r="M16" s="74"/>
      <c r="N16" s="74"/>
      <c r="O16" s="74"/>
    </row>
    <row r="17" spans="1:16" ht="13.2" customHeight="1" x14ac:dyDescent="0.25">
      <c r="A17" s="212"/>
      <c r="B17" s="222"/>
      <c r="C17" s="223"/>
      <c r="D17" s="223"/>
      <c r="E17" s="223"/>
      <c r="F17" s="223"/>
      <c r="G17" s="224"/>
      <c r="H17" s="74"/>
      <c r="I17" s="74"/>
      <c r="J17" s="74"/>
      <c r="K17" s="74"/>
      <c r="L17" s="74"/>
      <c r="M17" s="74"/>
      <c r="N17" s="74"/>
      <c r="O17" s="74"/>
    </row>
    <row r="18" spans="1:16" x14ac:dyDescent="0.25">
      <c r="A18" s="212"/>
      <c r="B18" s="222"/>
      <c r="C18" s="223"/>
      <c r="D18" s="223"/>
      <c r="E18" s="223"/>
      <c r="F18" s="223"/>
      <c r="G18" s="224"/>
      <c r="H18" s="72"/>
      <c r="I18" s="74"/>
      <c r="J18" s="74"/>
      <c r="K18" s="74"/>
      <c r="L18" s="74"/>
      <c r="M18" s="74"/>
      <c r="N18" s="74"/>
      <c r="O18" s="74"/>
    </row>
    <row r="19" spans="1:16" ht="13.8" thickBot="1" x14ac:dyDescent="0.3">
      <c r="A19" s="212"/>
      <c r="B19" s="225"/>
      <c r="C19" s="226"/>
      <c r="D19" s="226"/>
      <c r="E19" s="226"/>
      <c r="F19" s="226"/>
      <c r="G19" s="22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204" t="s">
        <v>46</v>
      </c>
      <c r="B21" s="205"/>
      <c r="C21" s="205"/>
      <c r="D21" s="205"/>
      <c r="E21" s="205"/>
      <c r="F21" s="205"/>
      <c r="G21" s="206"/>
      <c r="H21" s="204" t="s">
        <v>47</v>
      </c>
      <c r="I21" s="205"/>
      <c r="J21" s="205"/>
      <c r="K21" s="206"/>
      <c r="L21" s="204" t="s">
        <v>58</v>
      </c>
      <c r="M21" s="205"/>
      <c r="N21" s="205"/>
      <c r="O21" s="206"/>
      <c r="P21" s="96" t="s">
        <v>45</v>
      </c>
    </row>
    <row r="22" spans="1:16" ht="50.25" customHeight="1" x14ac:dyDescent="0.25">
      <c r="A22" s="97" t="s">
        <v>48</v>
      </c>
      <c r="B22" s="213" t="s">
        <v>246</v>
      </c>
      <c r="C22" s="214"/>
      <c r="D22" s="214"/>
      <c r="E22" s="214"/>
      <c r="F22" s="214"/>
      <c r="G22" s="215"/>
      <c r="H22" s="207" t="s">
        <v>247</v>
      </c>
      <c r="I22" s="208"/>
      <c r="J22" s="208"/>
      <c r="K22" s="209"/>
      <c r="L22" s="207" t="s">
        <v>247</v>
      </c>
      <c r="M22" s="208"/>
      <c r="N22" s="208"/>
      <c r="O22" s="209"/>
      <c r="P22" s="91" t="s">
        <v>206</v>
      </c>
    </row>
    <row r="23" spans="1:16" ht="50.25" customHeight="1" x14ac:dyDescent="0.25">
      <c r="A23" s="97" t="s">
        <v>48</v>
      </c>
      <c r="B23" s="213" t="s">
        <v>197</v>
      </c>
      <c r="C23" s="214"/>
      <c r="D23" s="214"/>
      <c r="E23" s="214"/>
      <c r="F23" s="214"/>
      <c r="G23" s="215"/>
      <c r="H23" s="207" t="s">
        <v>138</v>
      </c>
      <c r="I23" s="208"/>
      <c r="J23" s="208"/>
      <c r="K23" s="209"/>
      <c r="L23" s="207" t="s">
        <v>177</v>
      </c>
      <c r="M23" s="208"/>
      <c r="N23" s="208"/>
      <c r="O23" s="209"/>
      <c r="P23" s="91" t="s">
        <v>206</v>
      </c>
    </row>
    <row r="24" spans="1:16" ht="41.7" customHeight="1" x14ac:dyDescent="0.25">
      <c r="A24" s="97" t="s">
        <v>49</v>
      </c>
      <c r="B24" s="216" t="s">
        <v>178</v>
      </c>
      <c r="C24" s="217"/>
      <c r="D24" s="217"/>
      <c r="E24" s="217"/>
      <c r="F24" s="217"/>
      <c r="G24" s="218"/>
      <c r="H24" s="210" t="s">
        <v>143</v>
      </c>
      <c r="I24" s="210"/>
      <c r="J24" s="210"/>
      <c r="K24" s="210"/>
      <c r="L24" s="210" t="s">
        <v>143</v>
      </c>
      <c r="M24" s="210"/>
      <c r="N24" s="210"/>
      <c r="O24" s="210"/>
      <c r="P24" s="91" t="s">
        <v>206</v>
      </c>
    </row>
    <row r="25" spans="1:16" ht="39.450000000000003" customHeight="1" x14ac:dyDescent="0.25">
      <c r="A25" s="97" t="s">
        <v>50</v>
      </c>
      <c r="B25" s="216" t="s">
        <v>198</v>
      </c>
      <c r="C25" s="217"/>
      <c r="D25" s="217"/>
      <c r="E25" s="217"/>
      <c r="F25" s="217"/>
      <c r="G25" s="218"/>
      <c r="H25" s="216" t="s">
        <v>179</v>
      </c>
      <c r="I25" s="217"/>
      <c r="J25" s="217"/>
      <c r="K25" s="218"/>
      <c r="L25" s="216" t="s">
        <v>179</v>
      </c>
      <c r="M25" s="217"/>
      <c r="N25" s="217"/>
      <c r="O25" s="218"/>
      <c r="P25" s="91" t="s">
        <v>206</v>
      </c>
    </row>
    <row r="26" spans="1:16" ht="39" customHeight="1" x14ac:dyDescent="0.25">
      <c r="A26" s="97" t="s">
        <v>51</v>
      </c>
      <c r="B26" s="235" t="s">
        <v>199</v>
      </c>
      <c r="C26" s="236"/>
      <c r="D26" s="236"/>
      <c r="E26" s="236"/>
      <c r="F26" s="236"/>
      <c r="G26" s="237"/>
      <c r="H26" s="216" t="s">
        <v>143</v>
      </c>
      <c r="I26" s="217"/>
      <c r="J26" s="217"/>
      <c r="K26" s="218"/>
      <c r="L26" s="216" t="s">
        <v>143</v>
      </c>
      <c r="M26" s="217"/>
      <c r="N26" s="217"/>
      <c r="O26" s="218"/>
      <c r="P26" s="91" t="s">
        <v>206</v>
      </c>
    </row>
    <row r="27" spans="1:16" ht="51.75" customHeight="1" x14ac:dyDescent="0.25">
      <c r="A27" s="97" t="s">
        <v>52</v>
      </c>
      <c r="B27" s="235" t="s">
        <v>200</v>
      </c>
      <c r="C27" s="236"/>
      <c r="D27" s="236"/>
      <c r="E27" s="236"/>
      <c r="F27" s="236"/>
      <c r="G27" s="237"/>
      <c r="H27" s="210" t="s">
        <v>143</v>
      </c>
      <c r="I27" s="210"/>
      <c r="J27" s="210"/>
      <c r="K27" s="210"/>
      <c r="L27" s="210" t="s">
        <v>143</v>
      </c>
      <c r="M27" s="210"/>
      <c r="N27" s="210"/>
      <c r="O27" s="210"/>
      <c r="P27" s="91" t="s">
        <v>206</v>
      </c>
    </row>
    <row r="28" spans="1:16" ht="42" customHeight="1" x14ac:dyDescent="0.25">
      <c r="A28" s="97" t="s">
        <v>53</v>
      </c>
      <c r="B28" s="235" t="s">
        <v>201</v>
      </c>
      <c r="C28" s="236"/>
      <c r="D28" s="236"/>
      <c r="E28" s="236"/>
      <c r="F28" s="236"/>
      <c r="G28" s="237"/>
      <c r="H28" s="216" t="s">
        <v>188</v>
      </c>
      <c r="I28" s="217"/>
      <c r="J28" s="217"/>
      <c r="K28" s="218"/>
      <c r="L28" s="216" t="s">
        <v>188</v>
      </c>
      <c r="M28" s="217"/>
      <c r="N28" s="217"/>
      <c r="O28" s="218"/>
      <c r="P28" s="91" t="s">
        <v>206</v>
      </c>
    </row>
    <row r="29" spans="1:16" ht="26.25" customHeight="1" x14ac:dyDescent="0.25">
      <c r="A29" s="97" t="s">
        <v>54</v>
      </c>
      <c r="B29" s="235" t="s">
        <v>199</v>
      </c>
      <c r="C29" s="236"/>
      <c r="D29" s="236"/>
      <c r="E29" s="236"/>
      <c r="F29" s="236"/>
      <c r="G29" s="237"/>
      <c r="H29" s="216" t="s">
        <v>143</v>
      </c>
      <c r="I29" s="217"/>
      <c r="J29" s="217"/>
      <c r="K29" s="218"/>
      <c r="L29" s="216" t="s">
        <v>143</v>
      </c>
      <c r="M29" s="217"/>
      <c r="N29" s="217"/>
      <c r="O29" s="218"/>
      <c r="P29" s="91" t="s">
        <v>206</v>
      </c>
    </row>
    <row r="30" spans="1:16" ht="24" customHeight="1" x14ac:dyDescent="0.25">
      <c r="A30" s="97" t="s">
        <v>55</v>
      </c>
      <c r="B30" s="235" t="s">
        <v>190</v>
      </c>
      <c r="C30" s="236"/>
      <c r="D30" s="236"/>
      <c r="E30" s="236"/>
      <c r="F30" s="236"/>
      <c r="G30" s="237"/>
      <c r="H30" s="216" t="s">
        <v>143</v>
      </c>
      <c r="I30" s="217"/>
      <c r="J30" s="217"/>
      <c r="K30" s="218"/>
      <c r="L30" s="216" t="s">
        <v>143</v>
      </c>
      <c r="M30" s="217"/>
      <c r="N30" s="217"/>
      <c r="O30" s="218"/>
      <c r="P30" s="91" t="s">
        <v>206</v>
      </c>
    </row>
    <row r="31" spans="1:16" ht="42.75" customHeight="1" x14ac:dyDescent="0.25">
      <c r="A31" s="97" t="s">
        <v>56</v>
      </c>
      <c r="B31" s="235" t="s">
        <v>202</v>
      </c>
      <c r="C31" s="236"/>
      <c r="D31" s="236"/>
      <c r="E31" s="236"/>
      <c r="F31" s="236"/>
      <c r="G31" s="237"/>
      <c r="H31" s="216" t="s">
        <v>192</v>
      </c>
      <c r="I31" s="217"/>
      <c r="J31" s="217"/>
      <c r="K31" s="218"/>
      <c r="L31" s="216" t="s">
        <v>192</v>
      </c>
      <c r="M31" s="217"/>
      <c r="N31" s="217"/>
      <c r="O31" s="218"/>
      <c r="P31" s="91" t="s">
        <v>206</v>
      </c>
    </row>
    <row r="32" spans="1:16" ht="26.25" customHeight="1" x14ac:dyDescent="0.25">
      <c r="A32" s="97" t="s">
        <v>181</v>
      </c>
      <c r="B32" s="235" t="s">
        <v>199</v>
      </c>
      <c r="C32" s="236"/>
      <c r="D32" s="236"/>
      <c r="E32" s="236"/>
      <c r="F32" s="236"/>
      <c r="G32" s="237"/>
      <c r="H32" s="216" t="s">
        <v>143</v>
      </c>
      <c r="I32" s="217"/>
      <c r="J32" s="217"/>
      <c r="K32" s="218"/>
      <c r="L32" s="216" t="s">
        <v>143</v>
      </c>
      <c r="M32" s="217"/>
      <c r="N32" s="217"/>
      <c r="O32" s="218"/>
      <c r="P32" s="91" t="s">
        <v>206</v>
      </c>
    </row>
    <row r="33" spans="1:16" ht="28.5" customHeight="1" x14ac:dyDescent="0.25">
      <c r="A33" s="97" t="s">
        <v>182</v>
      </c>
      <c r="B33" s="235" t="s">
        <v>190</v>
      </c>
      <c r="C33" s="236"/>
      <c r="D33" s="236"/>
      <c r="E33" s="236"/>
      <c r="F33" s="236"/>
      <c r="G33" s="237"/>
      <c r="H33" s="216" t="s">
        <v>143</v>
      </c>
      <c r="I33" s="217"/>
      <c r="J33" s="217"/>
      <c r="K33" s="218"/>
      <c r="L33" s="216" t="s">
        <v>143</v>
      </c>
      <c r="M33" s="217"/>
      <c r="N33" s="217"/>
      <c r="O33" s="218"/>
      <c r="P33" s="91" t="s">
        <v>206</v>
      </c>
    </row>
    <row r="34" spans="1:16" ht="40.5" customHeight="1" x14ac:dyDescent="0.25">
      <c r="A34" s="97" t="s">
        <v>183</v>
      </c>
      <c r="B34" s="235" t="s">
        <v>203</v>
      </c>
      <c r="C34" s="236"/>
      <c r="D34" s="236"/>
      <c r="E34" s="236"/>
      <c r="F34" s="236"/>
      <c r="G34" s="237"/>
      <c r="H34" s="216" t="s">
        <v>188</v>
      </c>
      <c r="I34" s="217"/>
      <c r="J34" s="217"/>
      <c r="K34" s="218"/>
      <c r="L34" s="216" t="s">
        <v>188</v>
      </c>
      <c r="M34" s="217"/>
      <c r="N34" s="217"/>
      <c r="O34" s="218"/>
      <c r="P34" s="91" t="s">
        <v>206</v>
      </c>
    </row>
    <row r="35" spans="1:16" ht="27" customHeight="1" x14ac:dyDescent="0.25">
      <c r="A35" s="97" t="s">
        <v>184</v>
      </c>
      <c r="B35" s="235" t="s">
        <v>199</v>
      </c>
      <c r="C35" s="236"/>
      <c r="D35" s="236"/>
      <c r="E35" s="236"/>
      <c r="F35" s="236"/>
      <c r="G35" s="237"/>
      <c r="H35" s="216" t="s">
        <v>143</v>
      </c>
      <c r="I35" s="217"/>
      <c r="J35" s="217"/>
      <c r="K35" s="218"/>
      <c r="L35" s="216" t="s">
        <v>143</v>
      </c>
      <c r="M35" s="217"/>
      <c r="N35" s="217"/>
      <c r="O35" s="218"/>
      <c r="P35" s="91" t="s">
        <v>206</v>
      </c>
    </row>
    <row r="36" spans="1:16" ht="26.25" customHeight="1" x14ac:dyDescent="0.25">
      <c r="A36" s="97" t="s">
        <v>194</v>
      </c>
      <c r="B36" s="235" t="s">
        <v>190</v>
      </c>
      <c r="C36" s="236"/>
      <c r="D36" s="236"/>
      <c r="E36" s="236"/>
      <c r="F36" s="236"/>
      <c r="G36" s="237"/>
      <c r="H36" s="216" t="s">
        <v>143</v>
      </c>
      <c r="I36" s="217"/>
      <c r="J36" s="217"/>
      <c r="K36" s="218"/>
      <c r="L36" s="216" t="s">
        <v>143</v>
      </c>
      <c r="M36" s="217"/>
      <c r="N36" s="217"/>
      <c r="O36" s="218"/>
      <c r="P36" s="91" t="s">
        <v>206</v>
      </c>
    </row>
    <row r="37" spans="1:16" ht="43.5" customHeight="1" x14ac:dyDescent="0.25">
      <c r="A37" s="97" t="s">
        <v>195</v>
      </c>
      <c r="B37" s="235" t="s">
        <v>204</v>
      </c>
      <c r="C37" s="236"/>
      <c r="D37" s="236"/>
      <c r="E37" s="236"/>
      <c r="F37" s="236"/>
      <c r="G37" s="237"/>
      <c r="H37" s="216" t="s">
        <v>192</v>
      </c>
      <c r="I37" s="217"/>
      <c r="J37" s="217"/>
      <c r="K37" s="218"/>
      <c r="L37" s="216" t="s">
        <v>192</v>
      </c>
      <c r="M37" s="217"/>
      <c r="N37" s="217"/>
      <c r="O37" s="218"/>
      <c r="P37" s="91" t="s">
        <v>206</v>
      </c>
    </row>
  </sheetData>
  <mergeCells count="58">
    <mergeCell ref="B31:G31"/>
    <mergeCell ref="H31:K31"/>
    <mergeCell ref="L30:O30"/>
    <mergeCell ref="L31:O31"/>
    <mergeCell ref="B29:G29"/>
    <mergeCell ref="H29:K29"/>
    <mergeCell ref="L29:O29"/>
    <mergeCell ref="B30:G30"/>
    <mergeCell ref="H30:K30"/>
    <mergeCell ref="B27:G27"/>
    <mergeCell ref="H27:K27"/>
    <mergeCell ref="L27:O27"/>
    <mergeCell ref="B28:G28"/>
    <mergeCell ref="H28:K28"/>
    <mergeCell ref="L28:O28"/>
    <mergeCell ref="H25:K25"/>
    <mergeCell ref="L25:O25"/>
    <mergeCell ref="B26:G26"/>
    <mergeCell ref="H26:K26"/>
    <mergeCell ref="L26:O26"/>
    <mergeCell ref="A21:G21"/>
    <mergeCell ref="H21:K21"/>
    <mergeCell ref="L21:O21"/>
    <mergeCell ref="B22:G22"/>
    <mergeCell ref="H22:K22"/>
    <mergeCell ref="L22:O22"/>
    <mergeCell ref="A16:A19"/>
    <mergeCell ref="B16:G19"/>
    <mergeCell ref="B1:G1"/>
    <mergeCell ref="B3:G3"/>
    <mergeCell ref="B7:G7"/>
    <mergeCell ref="A11:A14"/>
    <mergeCell ref="B11:G14"/>
    <mergeCell ref="B37:G37"/>
    <mergeCell ref="H37:K37"/>
    <mergeCell ref="L37:O37"/>
    <mergeCell ref="B34:G34"/>
    <mergeCell ref="H34:K34"/>
    <mergeCell ref="L34:O34"/>
    <mergeCell ref="B35:G35"/>
    <mergeCell ref="H35:K35"/>
    <mergeCell ref="L35:O35"/>
    <mergeCell ref="B23:G23"/>
    <mergeCell ref="H23:K23"/>
    <mergeCell ref="L23:O23"/>
    <mergeCell ref="B36:G36"/>
    <mergeCell ref="H36:K36"/>
    <mergeCell ref="L36:O36"/>
    <mergeCell ref="B32:G32"/>
    <mergeCell ref="H32:K32"/>
    <mergeCell ref="B33:G33"/>
    <mergeCell ref="H33:K33"/>
    <mergeCell ref="L33:O33"/>
    <mergeCell ref="L32:O32"/>
    <mergeCell ref="B24:G24"/>
    <mergeCell ref="H24:K24"/>
    <mergeCell ref="L24:O24"/>
    <mergeCell ref="B25:G25"/>
  </mergeCells>
  <phoneticPr fontId="43" type="noConversion"/>
  <conditionalFormatting sqref="B9:B10">
    <cfRule type="cellIs" dxfId="149" priority="31" operator="equal">
      <formula>"Nok"</formula>
    </cfRule>
    <cfRule type="cellIs" dxfId="148" priority="32" operator="equal">
      <formula>"Ok"</formula>
    </cfRule>
  </conditionalFormatting>
  <conditionalFormatting sqref="P22 P24">
    <cfRule type="cellIs" dxfId="147" priority="23" operator="equal">
      <formula>"Nok"</formula>
    </cfRule>
    <cfRule type="cellIs" dxfId="146" priority="24" operator="equal">
      <formula>"Ok"</formula>
    </cfRule>
  </conditionalFormatting>
  <conditionalFormatting sqref="P29:P32">
    <cfRule type="cellIs" dxfId="145" priority="21" operator="equal">
      <formula>"Nok"</formula>
    </cfRule>
    <cfRule type="cellIs" dxfId="144" priority="22" operator="equal">
      <formula>"Ok"</formula>
    </cfRule>
  </conditionalFormatting>
  <conditionalFormatting sqref="P28">
    <cfRule type="cellIs" dxfId="143" priority="19" operator="equal">
      <formula>"Nok"</formula>
    </cfRule>
    <cfRule type="cellIs" dxfId="142" priority="20" operator="equal">
      <formula>"Ok"</formula>
    </cfRule>
  </conditionalFormatting>
  <conditionalFormatting sqref="P27">
    <cfRule type="cellIs" dxfId="141" priority="13" operator="equal">
      <formula>"Nok"</formula>
    </cfRule>
    <cfRule type="cellIs" dxfId="140" priority="14" operator="equal">
      <formula>"Ok"</formula>
    </cfRule>
  </conditionalFormatting>
  <conditionalFormatting sqref="P25">
    <cfRule type="cellIs" dxfId="139" priority="17" operator="equal">
      <formula>"Nok"</formula>
    </cfRule>
    <cfRule type="cellIs" dxfId="138" priority="18" operator="equal">
      <formula>"Ok"</formula>
    </cfRule>
  </conditionalFormatting>
  <conditionalFormatting sqref="P26">
    <cfRule type="cellIs" dxfId="137" priority="15" operator="equal">
      <formula>"Nok"</formula>
    </cfRule>
    <cfRule type="cellIs" dxfId="136" priority="16" operator="equal">
      <formula>"Ok"</formula>
    </cfRule>
  </conditionalFormatting>
  <conditionalFormatting sqref="P34">
    <cfRule type="cellIs" dxfId="135" priority="11" operator="equal">
      <formula>"Nok"</formula>
    </cfRule>
    <cfRule type="cellIs" dxfId="134" priority="12" operator="equal">
      <formula>"Ok"</formula>
    </cfRule>
  </conditionalFormatting>
  <conditionalFormatting sqref="P33">
    <cfRule type="cellIs" dxfId="133" priority="9" operator="equal">
      <formula>"Nok"</formula>
    </cfRule>
    <cfRule type="cellIs" dxfId="132" priority="10" operator="equal">
      <formula>"Ok"</formula>
    </cfRule>
  </conditionalFormatting>
  <conditionalFormatting sqref="P35">
    <cfRule type="cellIs" dxfId="131" priority="7" operator="equal">
      <formula>"Nok"</formula>
    </cfRule>
    <cfRule type="cellIs" dxfId="130" priority="8" operator="equal">
      <formula>"Ok"</formula>
    </cfRule>
  </conditionalFormatting>
  <conditionalFormatting sqref="P36">
    <cfRule type="cellIs" dxfId="129" priority="5" operator="equal">
      <formula>"Nok"</formula>
    </cfRule>
    <cfRule type="cellIs" dxfId="128" priority="6" operator="equal">
      <formula>"Ok"</formula>
    </cfRule>
  </conditionalFormatting>
  <conditionalFormatting sqref="P37">
    <cfRule type="cellIs" dxfId="127" priority="3" operator="equal">
      <formula>"Nok"</formula>
    </cfRule>
    <cfRule type="cellIs" dxfId="126" priority="4" operator="equal">
      <formula>"Ok"</formula>
    </cfRule>
  </conditionalFormatting>
  <conditionalFormatting sqref="P23">
    <cfRule type="cellIs" dxfId="125" priority="1" operator="equal">
      <formula>"Nok"</formula>
    </cfRule>
    <cfRule type="cellIs" dxfId="124" priority="2" operator="equal">
      <formula>"Ok"</formula>
    </cfRule>
  </conditionalFormatting>
  <dataValidations count="3">
    <dataValidation type="list" allowBlank="1" showInputMessage="1" showErrorMessage="1" sqref="B5" xr:uid="{50247EC4-B133-4102-AFF5-0C6878F537FB}">
      <formula1>"Nominal, Robustness, Endurance, Qualification"</formula1>
    </dataValidation>
    <dataValidation type="list" allowBlank="1" showInputMessage="1" showErrorMessage="1" sqref="B9" xr:uid="{6BC5609D-7A46-4B37-88DE-7001C937A95E}">
      <formula1>"Ok, Nok, Not run, NA"</formula1>
    </dataValidation>
    <dataValidation type="list" allowBlank="1" showInputMessage="1" showErrorMessage="1" sqref="P22:P37" xr:uid="{D32D2731-99ED-4399-BBC7-29B179505A24}">
      <formula1>"Ok, Nok, Not run, ,"</formula1>
    </dataValidation>
  </dataValidations>
  <pageMargins left="0.7" right="0.7" top="0.75" bottom="0.75" header="0.3" footer="0.3"/>
  <pageSetup paperSize="9" orientation="portrait" r:id="rId1"/>
  <headerFooter>
    <oddFooter>&amp;LNA ver 1.1&amp;R&amp;P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D6805-D92B-4E13-8A6F-9F07F5E5B13C}">
  <sheetPr codeName="Sheet14"/>
  <dimension ref="A1:P43"/>
  <sheetViews>
    <sheetView workbookViewId="0">
      <selection activeCell="F6" sqref="F6"/>
    </sheetView>
  </sheetViews>
  <sheetFormatPr defaultColWidth="9.33203125" defaultRowHeight="13.2" x14ac:dyDescent="0.25"/>
  <cols>
    <col min="1" max="1" width="20.33203125" style="93" customWidth="1"/>
    <col min="2" max="2" width="18.44140625" style="89" customWidth="1"/>
    <col min="3" max="7" width="9.33203125" style="89"/>
    <col min="8" max="15" width="9.5546875" style="89" customWidth="1"/>
    <col min="16" max="16384" width="9.33203125" style="89"/>
  </cols>
  <sheetData>
    <row r="1" spans="1:15" ht="13.8" thickBot="1" x14ac:dyDescent="0.3">
      <c r="A1" s="94" t="s">
        <v>39</v>
      </c>
      <c r="B1" s="198" t="s">
        <v>250</v>
      </c>
      <c r="C1" s="199"/>
      <c r="D1" s="199"/>
      <c r="E1" s="199"/>
      <c r="F1" s="199"/>
      <c r="G1" s="20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95" t="s">
        <v>44</v>
      </c>
      <c r="B3" s="232" t="s">
        <v>302</v>
      </c>
      <c r="C3" s="233"/>
      <c r="D3" s="233"/>
      <c r="E3" s="233"/>
      <c r="F3" s="233"/>
      <c r="G3" s="234"/>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4" t="s">
        <v>108</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4" t="s">
        <v>40</v>
      </c>
      <c r="B7" s="201" t="s">
        <v>173</v>
      </c>
      <c r="C7" s="202"/>
      <c r="D7" s="202"/>
      <c r="E7" s="202"/>
      <c r="F7" s="202"/>
      <c r="G7" s="20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4" t="s">
        <v>41</v>
      </c>
      <c r="B9" s="99" t="s">
        <v>206</v>
      </c>
      <c r="C9" s="73"/>
      <c r="D9" s="74"/>
      <c r="E9" s="74"/>
      <c r="F9" s="74"/>
      <c r="G9" s="74"/>
      <c r="H9" s="74"/>
      <c r="I9" s="74"/>
      <c r="J9" s="74"/>
      <c r="K9" s="74"/>
      <c r="L9" s="74"/>
      <c r="M9" s="74"/>
      <c r="N9" s="74"/>
      <c r="O9" s="74"/>
    </row>
    <row r="10" spans="1:15" ht="13.8" thickBot="1" x14ac:dyDescent="0.3">
      <c r="A10" s="76"/>
      <c r="B10" s="90"/>
      <c r="C10" s="73"/>
      <c r="D10" s="74"/>
      <c r="E10" s="74"/>
      <c r="F10" s="74"/>
      <c r="G10" s="74"/>
      <c r="H10" s="74"/>
      <c r="I10" s="74"/>
      <c r="J10" s="74"/>
      <c r="K10" s="74"/>
      <c r="L10" s="74"/>
      <c r="M10" s="74"/>
      <c r="N10" s="74"/>
      <c r="O10" s="74"/>
    </row>
    <row r="11" spans="1:15" ht="12" customHeight="1" x14ac:dyDescent="0.25">
      <c r="A11" s="211" t="s">
        <v>110</v>
      </c>
      <c r="B11" s="219" t="s">
        <v>131</v>
      </c>
      <c r="C11" s="220"/>
      <c r="D11" s="220"/>
      <c r="E11" s="220"/>
      <c r="F11" s="220"/>
      <c r="G11" s="221"/>
      <c r="H11" s="74"/>
      <c r="I11" s="74"/>
      <c r="J11" s="74"/>
      <c r="K11" s="74"/>
      <c r="L11" s="74"/>
      <c r="M11" s="74"/>
      <c r="N11" s="74"/>
      <c r="O11" s="74"/>
    </row>
    <row r="12" spans="1:15" x14ac:dyDescent="0.25">
      <c r="A12" s="212"/>
      <c r="B12" s="222"/>
      <c r="C12" s="223"/>
      <c r="D12" s="223"/>
      <c r="E12" s="223"/>
      <c r="F12" s="223"/>
      <c r="G12" s="224"/>
      <c r="H12" s="74"/>
      <c r="I12" s="74"/>
      <c r="J12" s="74"/>
      <c r="K12" s="74"/>
      <c r="L12" s="74"/>
      <c r="M12" s="74"/>
      <c r="N12" s="74"/>
      <c r="O12" s="74"/>
    </row>
    <row r="13" spans="1:15" x14ac:dyDescent="0.25">
      <c r="A13" s="212"/>
      <c r="B13" s="222"/>
      <c r="C13" s="223"/>
      <c r="D13" s="223"/>
      <c r="E13" s="223"/>
      <c r="F13" s="223"/>
      <c r="G13" s="224"/>
      <c r="H13" s="72"/>
      <c r="I13" s="74"/>
      <c r="J13" s="74"/>
      <c r="K13" s="74"/>
      <c r="L13" s="74"/>
      <c r="M13" s="74"/>
      <c r="N13" s="74"/>
      <c r="O13" s="74"/>
    </row>
    <row r="14" spans="1:15" ht="13.8" thickBot="1" x14ac:dyDescent="0.3">
      <c r="A14" s="212"/>
      <c r="B14" s="225"/>
      <c r="C14" s="226"/>
      <c r="D14" s="226"/>
      <c r="E14" s="226"/>
      <c r="F14" s="226"/>
      <c r="G14" s="22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11" t="s">
        <v>42</v>
      </c>
      <c r="B16" s="219" t="s">
        <v>133</v>
      </c>
      <c r="C16" s="220"/>
      <c r="D16" s="220"/>
      <c r="E16" s="220"/>
      <c r="F16" s="220"/>
      <c r="G16" s="221"/>
      <c r="H16" s="74"/>
      <c r="I16" s="74"/>
      <c r="J16" s="74"/>
      <c r="K16" s="74"/>
      <c r="L16" s="74"/>
      <c r="M16" s="74"/>
      <c r="N16" s="74"/>
      <c r="O16" s="74"/>
    </row>
    <row r="17" spans="1:16" x14ac:dyDescent="0.25">
      <c r="A17" s="212"/>
      <c r="B17" s="222"/>
      <c r="C17" s="223"/>
      <c r="D17" s="223"/>
      <c r="E17" s="223"/>
      <c r="F17" s="223"/>
      <c r="G17" s="224"/>
      <c r="H17" s="74"/>
      <c r="I17" s="74"/>
      <c r="J17" s="74"/>
      <c r="K17" s="74"/>
      <c r="L17" s="74"/>
      <c r="M17" s="74"/>
      <c r="N17" s="74"/>
      <c r="O17" s="74"/>
    </row>
    <row r="18" spans="1:16" x14ac:dyDescent="0.25">
      <c r="A18" s="212"/>
      <c r="B18" s="222"/>
      <c r="C18" s="223"/>
      <c r="D18" s="223"/>
      <c r="E18" s="223"/>
      <c r="F18" s="223"/>
      <c r="G18" s="224"/>
      <c r="H18" s="72"/>
      <c r="I18" s="74"/>
      <c r="J18" s="74"/>
      <c r="K18" s="74"/>
      <c r="L18" s="74"/>
      <c r="M18" s="74"/>
      <c r="N18" s="74"/>
      <c r="O18" s="74"/>
    </row>
    <row r="19" spans="1:16" ht="13.8" thickBot="1" x14ac:dyDescent="0.3">
      <c r="A19" s="212"/>
      <c r="B19" s="225"/>
      <c r="C19" s="226"/>
      <c r="D19" s="226"/>
      <c r="E19" s="226"/>
      <c r="F19" s="226"/>
      <c r="G19" s="22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204" t="s">
        <v>46</v>
      </c>
      <c r="B21" s="205"/>
      <c r="C21" s="205"/>
      <c r="D21" s="205"/>
      <c r="E21" s="205"/>
      <c r="F21" s="205"/>
      <c r="G21" s="206"/>
      <c r="H21" s="204" t="s">
        <v>47</v>
      </c>
      <c r="I21" s="205"/>
      <c r="J21" s="205"/>
      <c r="K21" s="206"/>
      <c r="L21" s="204" t="s">
        <v>58</v>
      </c>
      <c r="M21" s="205"/>
      <c r="N21" s="205"/>
      <c r="O21" s="206"/>
      <c r="P21" s="96" t="s">
        <v>45</v>
      </c>
    </row>
    <row r="22" spans="1:16" ht="62.25" customHeight="1" x14ac:dyDescent="0.25">
      <c r="A22" s="97" t="s">
        <v>48</v>
      </c>
      <c r="B22" s="213" t="s">
        <v>252</v>
      </c>
      <c r="C22" s="214"/>
      <c r="D22" s="214"/>
      <c r="E22" s="214"/>
      <c r="F22" s="214"/>
      <c r="G22" s="215"/>
      <c r="H22" s="207" t="s">
        <v>247</v>
      </c>
      <c r="I22" s="208"/>
      <c r="J22" s="208"/>
      <c r="K22" s="209"/>
      <c r="L22" s="207" t="s">
        <v>247</v>
      </c>
      <c r="M22" s="208"/>
      <c r="N22" s="208"/>
      <c r="O22" s="209"/>
      <c r="P22" s="91" t="s">
        <v>206</v>
      </c>
    </row>
    <row r="23" spans="1:16" ht="62.25" customHeight="1" x14ac:dyDescent="0.25">
      <c r="A23" s="97" t="s">
        <v>49</v>
      </c>
      <c r="B23" s="213" t="s">
        <v>253</v>
      </c>
      <c r="C23" s="214"/>
      <c r="D23" s="214"/>
      <c r="E23" s="214"/>
      <c r="F23" s="214"/>
      <c r="G23" s="215"/>
      <c r="H23" s="207" t="s">
        <v>138</v>
      </c>
      <c r="I23" s="208"/>
      <c r="J23" s="208"/>
      <c r="K23" s="209"/>
      <c r="L23" s="207" t="s">
        <v>177</v>
      </c>
      <c r="M23" s="208"/>
      <c r="N23" s="208"/>
      <c r="O23" s="209"/>
      <c r="P23" s="91" t="s">
        <v>206</v>
      </c>
    </row>
    <row r="24" spans="1:16" ht="41.7" customHeight="1" x14ac:dyDescent="0.25">
      <c r="A24" s="97" t="s">
        <v>50</v>
      </c>
      <c r="B24" s="216" t="s">
        <v>167</v>
      </c>
      <c r="C24" s="217"/>
      <c r="D24" s="217"/>
      <c r="E24" s="217"/>
      <c r="F24" s="217"/>
      <c r="G24" s="218"/>
      <c r="H24" s="210" t="s">
        <v>143</v>
      </c>
      <c r="I24" s="210"/>
      <c r="J24" s="210"/>
      <c r="K24" s="210"/>
      <c r="L24" s="210" t="s">
        <v>143</v>
      </c>
      <c r="M24" s="210"/>
      <c r="N24" s="210"/>
      <c r="O24" s="210"/>
      <c r="P24" s="91" t="s">
        <v>206</v>
      </c>
    </row>
    <row r="25" spans="1:16" ht="39.450000000000003" customHeight="1" x14ac:dyDescent="0.25">
      <c r="A25" s="97" t="s">
        <v>51</v>
      </c>
      <c r="B25" s="216" t="s">
        <v>186</v>
      </c>
      <c r="C25" s="217"/>
      <c r="D25" s="217"/>
      <c r="E25" s="217"/>
      <c r="F25" s="217"/>
      <c r="G25" s="218"/>
      <c r="H25" s="216" t="s">
        <v>179</v>
      </c>
      <c r="I25" s="217"/>
      <c r="J25" s="217"/>
      <c r="K25" s="218"/>
      <c r="L25" s="216" t="s">
        <v>179</v>
      </c>
      <c r="M25" s="217"/>
      <c r="N25" s="217"/>
      <c r="O25" s="218"/>
      <c r="P25" s="91" t="s">
        <v>206</v>
      </c>
    </row>
    <row r="26" spans="1:16" ht="62.25" customHeight="1" x14ac:dyDescent="0.25">
      <c r="A26" s="97" t="s">
        <v>52</v>
      </c>
      <c r="B26" s="213" t="s">
        <v>252</v>
      </c>
      <c r="C26" s="214"/>
      <c r="D26" s="214"/>
      <c r="E26" s="214"/>
      <c r="F26" s="214"/>
      <c r="G26" s="215"/>
      <c r="H26" s="207" t="s">
        <v>247</v>
      </c>
      <c r="I26" s="208"/>
      <c r="J26" s="208"/>
      <c r="K26" s="209"/>
      <c r="L26" s="207" t="s">
        <v>247</v>
      </c>
      <c r="M26" s="208"/>
      <c r="N26" s="208"/>
      <c r="O26" s="209"/>
      <c r="P26" s="91" t="s">
        <v>206</v>
      </c>
    </row>
    <row r="27" spans="1:16" ht="39" customHeight="1" x14ac:dyDescent="0.25">
      <c r="A27" s="97" t="s">
        <v>53</v>
      </c>
      <c r="B27" s="235" t="s">
        <v>180</v>
      </c>
      <c r="C27" s="236"/>
      <c r="D27" s="236"/>
      <c r="E27" s="236"/>
      <c r="F27" s="236"/>
      <c r="G27" s="237"/>
      <c r="H27" s="216" t="s">
        <v>143</v>
      </c>
      <c r="I27" s="217"/>
      <c r="J27" s="217"/>
      <c r="K27" s="218"/>
      <c r="L27" s="216" t="s">
        <v>143</v>
      </c>
      <c r="M27" s="217"/>
      <c r="N27" s="217"/>
      <c r="O27" s="218"/>
      <c r="P27" s="91" t="s">
        <v>206</v>
      </c>
    </row>
    <row r="28" spans="1:16" ht="56.25" customHeight="1" x14ac:dyDescent="0.25">
      <c r="A28" s="97" t="s">
        <v>54</v>
      </c>
      <c r="B28" s="235" t="s">
        <v>187</v>
      </c>
      <c r="C28" s="236"/>
      <c r="D28" s="236"/>
      <c r="E28" s="236"/>
      <c r="F28" s="236"/>
      <c r="G28" s="237"/>
      <c r="H28" s="210" t="s">
        <v>143</v>
      </c>
      <c r="I28" s="210"/>
      <c r="J28" s="210"/>
      <c r="K28" s="210"/>
      <c r="L28" s="210" t="s">
        <v>143</v>
      </c>
      <c r="M28" s="210"/>
      <c r="N28" s="210"/>
      <c r="O28" s="210"/>
      <c r="P28" s="91" t="s">
        <v>206</v>
      </c>
    </row>
    <row r="29" spans="1:16" ht="40.5" customHeight="1" x14ac:dyDescent="0.25">
      <c r="A29" s="97" t="s">
        <v>55</v>
      </c>
      <c r="B29" s="235" t="s">
        <v>189</v>
      </c>
      <c r="C29" s="236"/>
      <c r="D29" s="236"/>
      <c r="E29" s="236"/>
      <c r="F29" s="236"/>
      <c r="G29" s="237"/>
      <c r="H29" s="216" t="s">
        <v>188</v>
      </c>
      <c r="I29" s="217"/>
      <c r="J29" s="217"/>
      <c r="K29" s="218"/>
      <c r="L29" s="216" t="s">
        <v>188</v>
      </c>
      <c r="M29" s="217"/>
      <c r="N29" s="217"/>
      <c r="O29" s="218"/>
      <c r="P29" s="91" t="s">
        <v>206</v>
      </c>
    </row>
    <row r="30" spans="1:16" ht="62.25" customHeight="1" x14ac:dyDescent="0.25">
      <c r="A30" s="97" t="s">
        <v>56</v>
      </c>
      <c r="B30" s="213" t="s">
        <v>252</v>
      </c>
      <c r="C30" s="214"/>
      <c r="D30" s="214"/>
      <c r="E30" s="214"/>
      <c r="F30" s="214"/>
      <c r="G30" s="215"/>
      <c r="H30" s="207" t="s">
        <v>247</v>
      </c>
      <c r="I30" s="208"/>
      <c r="J30" s="208"/>
      <c r="K30" s="209"/>
      <c r="L30" s="207" t="s">
        <v>247</v>
      </c>
      <c r="M30" s="208"/>
      <c r="N30" s="208"/>
      <c r="O30" s="209"/>
      <c r="P30" s="91" t="s">
        <v>206</v>
      </c>
    </row>
    <row r="31" spans="1:16" ht="31.5" customHeight="1" x14ac:dyDescent="0.25">
      <c r="A31" s="97" t="s">
        <v>181</v>
      </c>
      <c r="B31" s="235" t="s">
        <v>180</v>
      </c>
      <c r="C31" s="236"/>
      <c r="D31" s="236"/>
      <c r="E31" s="236"/>
      <c r="F31" s="236"/>
      <c r="G31" s="237"/>
      <c r="H31" s="216" t="s">
        <v>143</v>
      </c>
      <c r="I31" s="217"/>
      <c r="J31" s="217"/>
      <c r="K31" s="218"/>
      <c r="L31" s="216" t="s">
        <v>143</v>
      </c>
      <c r="M31" s="217"/>
      <c r="N31" s="217"/>
      <c r="O31" s="218"/>
      <c r="P31" s="91" t="s">
        <v>206</v>
      </c>
    </row>
    <row r="32" spans="1:16" ht="20.25" customHeight="1" x14ac:dyDescent="0.25">
      <c r="A32" s="97" t="s">
        <v>182</v>
      </c>
      <c r="B32" s="235" t="s">
        <v>190</v>
      </c>
      <c r="C32" s="236"/>
      <c r="D32" s="236"/>
      <c r="E32" s="236"/>
      <c r="F32" s="236"/>
      <c r="G32" s="237"/>
      <c r="H32" s="216" t="s">
        <v>143</v>
      </c>
      <c r="I32" s="217"/>
      <c r="J32" s="217"/>
      <c r="K32" s="218"/>
      <c r="L32" s="216" t="s">
        <v>143</v>
      </c>
      <c r="M32" s="217"/>
      <c r="N32" s="217"/>
      <c r="O32" s="218"/>
      <c r="P32" s="91" t="s">
        <v>206</v>
      </c>
    </row>
    <row r="33" spans="1:16" ht="39" customHeight="1" x14ac:dyDescent="0.25">
      <c r="A33" s="97" t="s">
        <v>183</v>
      </c>
      <c r="B33" s="235" t="s">
        <v>254</v>
      </c>
      <c r="C33" s="236"/>
      <c r="D33" s="236"/>
      <c r="E33" s="236"/>
      <c r="F33" s="236"/>
      <c r="G33" s="237"/>
      <c r="H33" s="216" t="s">
        <v>192</v>
      </c>
      <c r="I33" s="217"/>
      <c r="J33" s="217"/>
      <c r="K33" s="218"/>
      <c r="L33" s="216" t="s">
        <v>192</v>
      </c>
      <c r="M33" s="217"/>
      <c r="N33" s="217"/>
      <c r="O33" s="218"/>
      <c r="P33" s="91" t="s">
        <v>206</v>
      </c>
    </row>
    <row r="34" spans="1:16" ht="62.25" customHeight="1" x14ac:dyDescent="0.25">
      <c r="A34" s="97" t="s">
        <v>184</v>
      </c>
      <c r="B34" s="213" t="s">
        <v>252</v>
      </c>
      <c r="C34" s="214"/>
      <c r="D34" s="214"/>
      <c r="E34" s="214"/>
      <c r="F34" s="214"/>
      <c r="G34" s="215"/>
      <c r="H34" s="207" t="s">
        <v>247</v>
      </c>
      <c r="I34" s="208"/>
      <c r="J34" s="208"/>
      <c r="K34" s="209"/>
      <c r="L34" s="207" t="s">
        <v>247</v>
      </c>
      <c r="M34" s="208"/>
      <c r="N34" s="208"/>
      <c r="O34" s="209"/>
      <c r="P34" s="91" t="s">
        <v>206</v>
      </c>
    </row>
    <row r="35" spans="1:16" ht="27" customHeight="1" x14ac:dyDescent="0.25">
      <c r="A35" s="97" t="s">
        <v>194</v>
      </c>
      <c r="B35" s="235" t="s">
        <v>180</v>
      </c>
      <c r="C35" s="236"/>
      <c r="D35" s="236"/>
      <c r="E35" s="236"/>
      <c r="F35" s="236"/>
      <c r="G35" s="237"/>
      <c r="H35" s="216" t="s">
        <v>143</v>
      </c>
      <c r="I35" s="217"/>
      <c r="J35" s="217"/>
      <c r="K35" s="218"/>
      <c r="L35" s="216" t="s">
        <v>143</v>
      </c>
      <c r="M35" s="217"/>
      <c r="N35" s="217"/>
      <c r="O35" s="218"/>
      <c r="P35" s="91" t="s">
        <v>206</v>
      </c>
    </row>
    <row r="36" spans="1:16" ht="16.5" customHeight="1" x14ac:dyDescent="0.25">
      <c r="A36" s="97" t="s">
        <v>195</v>
      </c>
      <c r="B36" s="235" t="s">
        <v>190</v>
      </c>
      <c r="C36" s="236"/>
      <c r="D36" s="236"/>
      <c r="E36" s="236"/>
      <c r="F36" s="236"/>
      <c r="G36" s="237"/>
      <c r="H36" s="216" t="s">
        <v>143</v>
      </c>
      <c r="I36" s="217"/>
      <c r="J36" s="217"/>
      <c r="K36" s="218"/>
      <c r="L36" s="216" t="s">
        <v>143</v>
      </c>
      <c r="M36" s="217"/>
      <c r="N36" s="217"/>
      <c r="O36" s="218"/>
      <c r="P36" s="91" t="s">
        <v>206</v>
      </c>
    </row>
    <row r="37" spans="1:16" ht="42.75" customHeight="1" x14ac:dyDescent="0.25">
      <c r="A37" s="97" t="s">
        <v>245</v>
      </c>
      <c r="B37" s="235" t="s">
        <v>193</v>
      </c>
      <c r="C37" s="236"/>
      <c r="D37" s="236"/>
      <c r="E37" s="236"/>
      <c r="F37" s="236"/>
      <c r="G37" s="237"/>
      <c r="H37" s="216" t="s">
        <v>188</v>
      </c>
      <c r="I37" s="217"/>
      <c r="J37" s="217"/>
      <c r="K37" s="218"/>
      <c r="L37" s="216" t="s">
        <v>188</v>
      </c>
      <c r="M37" s="217"/>
      <c r="N37" s="217"/>
      <c r="O37" s="218"/>
      <c r="P37" s="91" t="s">
        <v>206</v>
      </c>
    </row>
    <row r="38" spans="1:16" ht="62.25" customHeight="1" x14ac:dyDescent="0.25">
      <c r="A38" s="97" t="s">
        <v>262</v>
      </c>
      <c r="B38" s="213" t="s">
        <v>252</v>
      </c>
      <c r="C38" s="214"/>
      <c r="D38" s="214"/>
      <c r="E38" s="214"/>
      <c r="F38" s="214"/>
      <c r="G38" s="215"/>
      <c r="H38" s="207" t="s">
        <v>247</v>
      </c>
      <c r="I38" s="208"/>
      <c r="J38" s="208"/>
      <c r="K38" s="209"/>
      <c r="L38" s="207" t="s">
        <v>247</v>
      </c>
      <c r="M38" s="208"/>
      <c r="N38" s="208"/>
      <c r="O38" s="209"/>
      <c r="P38" s="91" t="s">
        <v>206</v>
      </c>
    </row>
    <row r="39" spans="1:16" ht="27" customHeight="1" x14ac:dyDescent="0.25">
      <c r="A39" s="97" t="s">
        <v>263</v>
      </c>
      <c r="B39" s="235" t="s">
        <v>180</v>
      </c>
      <c r="C39" s="236"/>
      <c r="D39" s="236"/>
      <c r="E39" s="236"/>
      <c r="F39" s="236"/>
      <c r="G39" s="237"/>
      <c r="H39" s="216" t="s">
        <v>143</v>
      </c>
      <c r="I39" s="217"/>
      <c r="J39" s="217"/>
      <c r="K39" s="218"/>
      <c r="L39" s="216" t="s">
        <v>143</v>
      </c>
      <c r="M39" s="217"/>
      <c r="N39" s="217"/>
      <c r="O39" s="218"/>
      <c r="P39" s="91" t="s">
        <v>206</v>
      </c>
    </row>
    <row r="40" spans="1:16" ht="16.5" customHeight="1" x14ac:dyDescent="0.25">
      <c r="A40" s="97" t="s">
        <v>264</v>
      </c>
      <c r="B40" s="235" t="s">
        <v>190</v>
      </c>
      <c r="C40" s="236"/>
      <c r="D40" s="236"/>
      <c r="E40" s="236"/>
      <c r="F40" s="236"/>
      <c r="G40" s="237"/>
      <c r="H40" s="216" t="s">
        <v>143</v>
      </c>
      <c r="I40" s="217"/>
      <c r="J40" s="217"/>
      <c r="K40" s="218"/>
      <c r="L40" s="216" t="s">
        <v>143</v>
      </c>
      <c r="M40" s="217"/>
      <c r="N40" s="217"/>
      <c r="O40" s="218"/>
      <c r="P40" s="91" t="s">
        <v>206</v>
      </c>
    </row>
    <row r="41" spans="1:16" ht="42.75" customHeight="1" x14ac:dyDescent="0.25">
      <c r="A41" s="97" t="s">
        <v>265</v>
      </c>
      <c r="B41" s="235" t="s">
        <v>255</v>
      </c>
      <c r="C41" s="236"/>
      <c r="D41" s="236"/>
      <c r="E41" s="236"/>
      <c r="F41" s="236"/>
      <c r="G41" s="237"/>
      <c r="H41" s="216" t="s">
        <v>192</v>
      </c>
      <c r="I41" s="217"/>
      <c r="J41" s="217"/>
      <c r="K41" s="218"/>
      <c r="L41" s="216" t="s">
        <v>192</v>
      </c>
      <c r="M41" s="217"/>
      <c r="N41" s="217"/>
      <c r="O41" s="218"/>
      <c r="P41" s="91" t="s">
        <v>206</v>
      </c>
    </row>
    <row r="42" spans="1:16" x14ac:dyDescent="0.25">
      <c r="B42" s="93"/>
      <c r="C42" s="93"/>
      <c r="D42" s="93"/>
      <c r="E42" s="93"/>
      <c r="F42" s="93"/>
      <c r="G42" s="93"/>
      <c r="H42" s="93"/>
    </row>
    <row r="43" spans="1:16" x14ac:dyDescent="0.25">
      <c r="B43" s="93"/>
      <c r="C43" s="93"/>
      <c r="D43" s="93"/>
      <c r="E43" s="93"/>
      <c r="F43" s="93"/>
      <c r="G43" s="93"/>
      <c r="H43" s="93"/>
    </row>
  </sheetData>
  <mergeCells count="70">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7:G27"/>
    <mergeCell ref="H27:K27"/>
    <mergeCell ref="L27:O27"/>
    <mergeCell ref="B26:G26"/>
    <mergeCell ref="H26:K26"/>
    <mergeCell ref="L26:O26"/>
    <mergeCell ref="B28:G28"/>
    <mergeCell ref="H28:K28"/>
    <mergeCell ref="L28:O28"/>
    <mergeCell ref="B29:G29"/>
    <mergeCell ref="H29:K29"/>
    <mergeCell ref="L29:O29"/>
    <mergeCell ref="B31:G31"/>
    <mergeCell ref="H31:K31"/>
    <mergeCell ref="L31:O31"/>
    <mergeCell ref="B32:G32"/>
    <mergeCell ref="H32:K32"/>
    <mergeCell ref="L32:O32"/>
    <mergeCell ref="H33:K33"/>
    <mergeCell ref="L33:O33"/>
    <mergeCell ref="B35:G35"/>
    <mergeCell ref="H35:K35"/>
    <mergeCell ref="L35:O35"/>
    <mergeCell ref="B41:G41"/>
    <mergeCell ref="H41:K41"/>
    <mergeCell ref="L41:O41"/>
    <mergeCell ref="B39:G39"/>
    <mergeCell ref="H39:K39"/>
    <mergeCell ref="L39:O39"/>
    <mergeCell ref="B40:G40"/>
    <mergeCell ref="H40:K40"/>
    <mergeCell ref="L40:O40"/>
    <mergeCell ref="B38:G38"/>
    <mergeCell ref="H38:K38"/>
    <mergeCell ref="L38:O38"/>
    <mergeCell ref="B30:G30"/>
    <mergeCell ref="H30:K30"/>
    <mergeCell ref="L30:O30"/>
    <mergeCell ref="B34:G34"/>
    <mergeCell ref="H34:K34"/>
    <mergeCell ref="L34:O34"/>
    <mergeCell ref="B36:G36"/>
    <mergeCell ref="H36:K36"/>
    <mergeCell ref="L36:O36"/>
    <mergeCell ref="B37:G37"/>
    <mergeCell ref="H37:K37"/>
    <mergeCell ref="L37:O37"/>
    <mergeCell ref="B33:G33"/>
  </mergeCells>
  <phoneticPr fontId="43" type="noConversion"/>
  <conditionalFormatting sqref="B9:B10">
    <cfRule type="cellIs" dxfId="123" priority="35" operator="equal">
      <formula>"Nok"</formula>
    </cfRule>
    <cfRule type="cellIs" dxfId="122" priority="36" operator="equal">
      <formula>"Ok"</formula>
    </cfRule>
  </conditionalFormatting>
  <conditionalFormatting sqref="P24">
    <cfRule type="cellIs" dxfId="121" priority="33" operator="equal">
      <formula>"Nok"</formula>
    </cfRule>
    <cfRule type="cellIs" dxfId="120" priority="34" operator="equal">
      <formula>"Ok"</formula>
    </cfRule>
  </conditionalFormatting>
  <conditionalFormatting sqref="P31:P33 P35">
    <cfRule type="cellIs" dxfId="119" priority="31" operator="equal">
      <formula>"Nok"</formula>
    </cfRule>
    <cfRule type="cellIs" dxfId="118" priority="32" operator="equal">
      <formula>"Ok"</formula>
    </cfRule>
  </conditionalFormatting>
  <conditionalFormatting sqref="P29">
    <cfRule type="cellIs" dxfId="117" priority="29" operator="equal">
      <formula>"Nok"</formula>
    </cfRule>
    <cfRule type="cellIs" dxfId="116" priority="30" operator="equal">
      <formula>"Ok"</formula>
    </cfRule>
  </conditionalFormatting>
  <conditionalFormatting sqref="P28">
    <cfRule type="cellIs" dxfId="115" priority="23" operator="equal">
      <formula>"Nok"</formula>
    </cfRule>
    <cfRule type="cellIs" dxfId="114" priority="24" operator="equal">
      <formula>"Ok"</formula>
    </cfRule>
  </conditionalFormatting>
  <conditionalFormatting sqref="P25">
    <cfRule type="cellIs" dxfId="113" priority="27" operator="equal">
      <formula>"Nok"</formula>
    </cfRule>
    <cfRule type="cellIs" dxfId="112" priority="28" operator="equal">
      <formula>"Ok"</formula>
    </cfRule>
  </conditionalFormatting>
  <conditionalFormatting sqref="P27">
    <cfRule type="cellIs" dxfId="111" priority="25" operator="equal">
      <formula>"Nok"</formula>
    </cfRule>
    <cfRule type="cellIs" dxfId="110" priority="26" operator="equal">
      <formula>"Ok"</formula>
    </cfRule>
  </conditionalFormatting>
  <conditionalFormatting sqref="P37">
    <cfRule type="cellIs" dxfId="109" priority="21" operator="equal">
      <formula>"Nok"</formula>
    </cfRule>
    <cfRule type="cellIs" dxfId="108" priority="22" operator="equal">
      <formula>"Ok"</formula>
    </cfRule>
  </conditionalFormatting>
  <conditionalFormatting sqref="P36">
    <cfRule type="cellIs" dxfId="107" priority="19" operator="equal">
      <formula>"Nok"</formula>
    </cfRule>
    <cfRule type="cellIs" dxfId="106" priority="20" operator="equal">
      <formula>"Ok"</formula>
    </cfRule>
  </conditionalFormatting>
  <conditionalFormatting sqref="P39">
    <cfRule type="cellIs" dxfId="105" priority="17" operator="equal">
      <formula>"Nok"</formula>
    </cfRule>
    <cfRule type="cellIs" dxfId="104" priority="18" operator="equal">
      <formula>"Ok"</formula>
    </cfRule>
  </conditionalFormatting>
  <conditionalFormatting sqref="P40">
    <cfRule type="cellIs" dxfId="103" priority="15" operator="equal">
      <formula>"Nok"</formula>
    </cfRule>
    <cfRule type="cellIs" dxfId="102" priority="16" operator="equal">
      <formula>"Ok"</formula>
    </cfRule>
  </conditionalFormatting>
  <conditionalFormatting sqref="P41">
    <cfRule type="cellIs" dxfId="101" priority="13" operator="equal">
      <formula>"Nok"</formula>
    </cfRule>
    <cfRule type="cellIs" dxfId="100" priority="14" operator="equal">
      <formula>"Ok"</formula>
    </cfRule>
  </conditionalFormatting>
  <conditionalFormatting sqref="P23">
    <cfRule type="cellIs" dxfId="99" priority="11" operator="equal">
      <formula>"Nok"</formula>
    </cfRule>
    <cfRule type="cellIs" dxfId="98" priority="12" operator="equal">
      <formula>"Ok"</formula>
    </cfRule>
  </conditionalFormatting>
  <conditionalFormatting sqref="P22">
    <cfRule type="cellIs" dxfId="97" priority="9" operator="equal">
      <formula>"Nok"</formula>
    </cfRule>
    <cfRule type="cellIs" dxfId="96" priority="10" operator="equal">
      <formula>"Ok"</formula>
    </cfRule>
  </conditionalFormatting>
  <conditionalFormatting sqref="P26">
    <cfRule type="cellIs" dxfId="95" priority="7" operator="equal">
      <formula>"Nok"</formula>
    </cfRule>
    <cfRule type="cellIs" dxfId="94" priority="8" operator="equal">
      <formula>"Ok"</formula>
    </cfRule>
  </conditionalFormatting>
  <conditionalFormatting sqref="P30">
    <cfRule type="cellIs" dxfId="93" priority="5" operator="equal">
      <formula>"Nok"</formula>
    </cfRule>
    <cfRule type="cellIs" dxfId="92" priority="6" operator="equal">
      <formula>"Ok"</formula>
    </cfRule>
  </conditionalFormatting>
  <conditionalFormatting sqref="P34">
    <cfRule type="cellIs" dxfId="91" priority="3" operator="equal">
      <formula>"Nok"</formula>
    </cfRule>
    <cfRule type="cellIs" dxfId="90" priority="4" operator="equal">
      <formula>"Ok"</formula>
    </cfRule>
  </conditionalFormatting>
  <conditionalFormatting sqref="P38">
    <cfRule type="cellIs" dxfId="89" priority="1" operator="equal">
      <formula>"Nok"</formula>
    </cfRule>
    <cfRule type="cellIs" dxfId="88" priority="2" operator="equal">
      <formula>"Ok"</formula>
    </cfRule>
  </conditionalFormatting>
  <dataValidations count="3">
    <dataValidation type="list" allowBlank="1" showInputMessage="1" showErrorMessage="1" sqref="P22:P41" xr:uid="{4DD86D7D-00B9-425A-AFB6-DE8833CFB162}">
      <formula1>"Ok, Nok, Not run, ,"</formula1>
    </dataValidation>
    <dataValidation type="list" allowBlank="1" showInputMessage="1" showErrorMessage="1" sqref="B5" xr:uid="{4C180D60-F719-47F3-BAF3-E53A978DFBAB}">
      <formula1>"Nominal, Robustness, Endurance, Qualification"</formula1>
    </dataValidation>
    <dataValidation type="list" allowBlank="1" showInputMessage="1" showErrorMessage="1" sqref="B9" xr:uid="{D9F62B37-52C8-4875-9A1E-93A00993DEFB}">
      <formula1>"Ok, Nok, Not run, NA"</formula1>
    </dataValidation>
  </dataValidations>
  <pageMargins left="0.7" right="0.7" top="0.75" bottom="0.75" header="0.3" footer="0.3"/>
  <pageSetup paperSize="9" orientation="portrait" r:id="rId1"/>
  <headerFooter>
    <oddFooter>&amp;LNA ver 1.1&amp;R&amp;P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28F0D-FF58-45F3-BAA4-D4AC2D65AA8D}">
  <sheetPr codeName="Sheet15"/>
  <dimension ref="A1:P38"/>
  <sheetViews>
    <sheetView topLeftCell="A25" workbookViewId="0">
      <selection activeCell="B28" sqref="B28:G28"/>
    </sheetView>
  </sheetViews>
  <sheetFormatPr defaultColWidth="9.33203125" defaultRowHeight="13.2" x14ac:dyDescent="0.25"/>
  <cols>
    <col min="1" max="1" width="20.33203125" style="93" customWidth="1"/>
    <col min="2" max="2" width="18.44140625" style="89" customWidth="1"/>
    <col min="3" max="6" width="9.33203125" style="89"/>
    <col min="7" max="7" width="12" style="89" customWidth="1"/>
    <col min="8" max="15" width="9.5546875" style="89" customWidth="1"/>
    <col min="16" max="16384" width="9.33203125" style="89"/>
  </cols>
  <sheetData>
    <row r="1" spans="1:15" ht="13.8" thickBot="1" x14ac:dyDescent="0.3">
      <c r="A1" s="94" t="s">
        <v>39</v>
      </c>
      <c r="B1" s="198" t="s">
        <v>251</v>
      </c>
      <c r="C1" s="238"/>
      <c r="D1" s="238"/>
      <c r="E1" s="238"/>
      <c r="F1" s="238"/>
      <c r="G1" s="239"/>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95" t="s">
        <v>44</v>
      </c>
      <c r="B3" s="232" t="s">
        <v>299</v>
      </c>
      <c r="C3" s="233"/>
      <c r="D3" s="233"/>
      <c r="E3" s="233"/>
      <c r="F3" s="233"/>
      <c r="G3" s="234"/>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4" t="s">
        <v>108</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4" t="s">
        <v>40</v>
      </c>
      <c r="B7" s="201" t="s">
        <v>174</v>
      </c>
      <c r="C7" s="202"/>
      <c r="D7" s="202"/>
      <c r="E7" s="202"/>
      <c r="F7" s="202"/>
      <c r="G7" s="20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4" t="s">
        <v>41</v>
      </c>
      <c r="B9" s="99" t="s">
        <v>207</v>
      </c>
      <c r="C9" s="73"/>
      <c r="D9" s="74"/>
      <c r="E9" s="74"/>
      <c r="F9" s="74"/>
      <c r="G9" s="74"/>
      <c r="H9" s="74"/>
      <c r="I9" s="74"/>
      <c r="J9" s="74"/>
      <c r="K9" s="74"/>
      <c r="L9" s="74"/>
      <c r="M9" s="74"/>
      <c r="N9" s="74"/>
      <c r="O9" s="74"/>
    </row>
    <row r="10" spans="1:15" ht="13.8" thickBot="1" x14ac:dyDescent="0.3">
      <c r="A10" s="76"/>
      <c r="B10" s="90"/>
      <c r="C10" s="73"/>
      <c r="D10" s="74"/>
      <c r="E10" s="74"/>
      <c r="F10" s="74"/>
      <c r="G10" s="74"/>
      <c r="H10" s="74"/>
      <c r="I10" s="74"/>
      <c r="J10" s="74"/>
      <c r="K10" s="74"/>
      <c r="L10" s="74"/>
      <c r="M10" s="74"/>
      <c r="N10" s="74"/>
      <c r="O10" s="74"/>
    </row>
    <row r="11" spans="1:15" ht="12" customHeight="1" x14ac:dyDescent="0.25">
      <c r="A11" s="211" t="s">
        <v>110</v>
      </c>
      <c r="B11" s="219" t="s">
        <v>131</v>
      </c>
      <c r="C11" s="220"/>
      <c r="D11" s="220"/>
      <c r="E11" s="220"/>
      <c r="F11" s="220"/>
      <c r="G11" s="221"/>
      <c r="H11" s="74"/>
      <c r="I11" s="74"/>
      <c r="J11" s="74"/>
      <c r="K11" s="74"/>
      <c r="L11" s="74"/>
      <c r="M11" s="74"/>
      <c r="N11" s="74"/>
      <c r="O11" s="74"/>
    </row>
    <row r="12" spans="1:15" x14ac:dyDescent="0.25">
      <c r="A12" s="212"/>
      <c r="B12" s="222"/>
      <c r="C12" s="223"/>
      <c r="D12" s="223"/>
      <c r="E12" s="223"/>
      <c r="F12" s="223"/>
      <c r="G12" s="224"/>
      <c r="H12" s="74"/>
      <c r="I12" s="74"/>
      <c r="J12" s="74"/>
      <c r="K12" s="74"/>
      <c r="L12" s="74"/>
      <c r="M12" s="74"/>
      <c r="N12" s="74"/>
      <c r="O12" s="74"/>
    </row>
    <row r="13" spans="1:15" x14ac:dyDescent="0.25">
      <c r="A13" s="212"/>
      <c r="B13" s="222"/>
      <c r="C13" s="223"/>
      <c r="D13" s="223"/>
      <c r="E13" s="223"/>
      <c r="F13" s="223"/>
      <c r="G13" s="224"/>
      <c r="H13" s="72"/>
      <c r="I13" s="74"/>
      <c r="J13" s="74"/>
      <c r="K13" s="74"/>
      <c r="L13" s="74"/>
      <c r="M13" s="74"/>
      <c r="N13" s="74"/>
      <c r="O13" s="74"/>
    </row>
    <row r="14" spans="1:15" ht="13.8" thickBot="1" x14ac:dyDescent="0.3">
      <c r="A14" s="212"/>
      <c r="B14" s="225"/>
      <c r="C14" s="226"/>
      <c r="D14" s="226"/>
      <c r="E14" s="226"/>
      <c r="F14" s="226"/>
      <c r="G14" s="22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ht="13.2" customHeight="1" x14ac:dyDescent="0.25">
      <c r="A16" s="211" t="s">
        <v>42</v>
      </c>
      <c r="B16" s="219" t="s">
        <v>133</v>
      </c>
      <c r="C16" s="220"/>
      <c r="D16" s="220"/>
      <c r="E16" s="220"/>
      <c r="F16" s="220"/>
      <c r="G16" s="221"/>
      <c r="H16" s="74"/>
      <c r="I16" s="74"/>
      <c r="J16" s="74"/>
      <c r="K16" s="74"/>
      <c r="L16" s="74"/>
      <c r="M16" s="74"/>
      <c r="N16" s="74"/>
      <c r="O16" s="74"/>
    </row>
    <row r="17" spans="1:16" ht="13.2" customHeight="1" x14ac:dyDescent="0.25">
      <c r="A17" s="212"/>
      <c r="B17" s="222"/>
      <c r="C17" s="223"/>
      <c r="D17" s="223"/>
      <c r="E17" s="223"/>
      <c r="F17" s="223"/>
      <c r="G17" s="224"/>
      <c r="H17" s="74"/>
      <c r="I17" s="74"/>
      <c r="J17" s="74"/>
      <c r="K17" s="74"/>
      <c r="L17" s="74"/>
      <c r="M17" s="74"/>
      <c r="N17" s="74"/>
      <c r="O17" s="74"/>
    </row>
    <row r="18" spans="1:16" x14ac:dyDescent="0.25">
      <c r="A18" s="212"/>
      <c r="B18" s="222"/>
      <c r="C18" s="223"/>
      <c r="D18" s="223"/>
      <c r="E18" s="223"/>
      <c r="F18" s="223"/>
      <c r="G18" s="224"/>
      <c r="H18" s="72"/>
      <c r="I18" s="74"/>
      <c r="J18" s="74"/>
      <c r="K18" s="74"/>
      <c r="L18" s="74"/>
      <c r="M18" s="74"/>
      <c r="N18" s="74"/>
      <c r="O18" s="74"/>
    </row>
    <row r="19" spans="1:16" ht="13.8" thickBot="1" x14ac:dyDescent="0.3">
      <c r="A19" s="212"/>
      <c r="B19" s="225"/>
      <c r="C19" s="226"/>
      <c r="D19" s="226"/>
      <c r="E19" s="226"/>
      <c r="F19" s="226"/>
      <c r="G19" s="22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204" t="s">
        <v>46</v>
      </c>
      <c r="B21" s="205"/>
      <c r="C21" s="205"/>
      <c r="D21" s="205"/>
      <c r="E21" s="205"/>
      <c r="F21" s="205"/>
      <c r="G21" s="206"/>
      <c r="H21" s="204" t="s">
        <v>47</v>
      </c>
      <c r="I21" s="205"/>
      <c r="J21" s="205"/>
      <c r="K21" s="206"/>
      <c r="L21" s="204" t="s">
        <v>58</v>
      </c>
      <c r="M21" s="205"/>
      <c r="N21" s="205"/>
      <c r="O21" s="206"/>
      <c r="P21" s="96" t="s">
        <v>45</v>
      </c>
    </row>
    <row r="22" spans="1:16" ht="50.25" customHeight="1" x14ac:dyDescent="0.25">
      <c r="A22" s="97" t="s">
        <v>48</v>
      </c>
      <c r="B22" s="213" t="s">
        <v>252</v>
      </c>
      <c r="C22" s="214"/>
      <c r="D22" s="214"/>
      <c r="E22" s="214"/>
      <c r="F22" s="214"/>
      <c r="G22" s="215"/>
      <c r="H22" s="207" t="s">
        <v>247</v>
      </c>
      <c r="I22" s="208"/>
      <c r="J22" s="208"/>
      <c r="K22" s="209"/>
      <c r="L22" s="207" t="s">
        <v>247</v>
      </c>
      <c r="M22" s="208"/>
      <c r="N22" s="208"/>
      <c r="O22" s="209"/>
      <c r="P22" s="91" t="s">
        <v>206</v>
      </c>
    </row>
    <row r="23" spans="1:16" ht="50.25" customHeight="1" x14ac:dyDescent="0.25">
      <c r="A23" s="97" t="s">
        <v>49</v>
      </c>
      <c r="B23" s="213" t="s">
        <v>256</v>
      </c>
      <c r="C23" s="214"/>
      <c r="D23" s="214"/>
      <c r="E23" s="214"/>
      <c r="F23" s="214"/>
      <c r="G23" s="215"/>
      <c r="H23" s="207" t="s">
        <v>138</v>
      </c>
      <c r="I23" s="208"/>
      <c r="J23" s="208"/>
      <c r="K23" s="209"/>
      <c r="L23" s="207" t="s">
        <v>138</v>
      </c>
      <c r="M23" s="208"/>
      <c r="N23" s="208"/>
      <c r="O23" s="209"/>
      <c r="P23" s="91" t="s">
        <v>206</v>
      </c>
    </row>
    <row r="24" spans="1:16" ht="41.7" customHeight="1" x14ac:dyDescent="0.25">
      <c r="A24" s="97" t="s">
        <v>50</v>
      </c>
      <c r="B24" s="216" t="s">
        <v>178</v>
      </c>
      <c r="C24" s="217"/>
      <c r="D24" s="217"/>
      <c r="E24" s="217"/>
      <c r="F24" s="217"/>
      <c r="G24" s="218"/>
      <c r="H24" s="210" t="s">
        <v>143</v>
      </c>
      <c r="I24" s="210"/>
      <c r="J24" s="210"/>
      <c r="K24" s="210"/>
      <c r="L24" s="210" t="s">
        <v>143</v>
      </c>
      <c r="M24" s="210"/>
      <c r="N24" s="210"/>
      <c r="O24" s="210"/>
      <c r="P24" s="91" t="s">
        <v>206</v>
      </c>
    </row>
    <row r="25" spans="1:16" ht="39.450000000000003" customHeight="1" x14ac:dyDescent="0.25">
      <c r="A25" s="97" t="s">
        <v>51</v>
      </c>
      <c r="B25" s="216" t="s">
        <v>198</v>
      </c>
      <c r="C25" s="217"/>
      <c r="D25" s="217"/>
      <c r="E25" s="217"/>
      <c r="F25" s="217"/>
      <c r="G25" s="218"/>
      <c r="H25" s="216" t="s">
        <v>179</v>
      </c>
      <c r="I25" s="217"/>
      <c r="J25" s="217"/>
      <c r="K25" s="218"/>
      <c r="L25" s="216" t="s">
        <v>293</v>
      </c>
      <c r="M25" s="217"/>
      <c r="N25" s="217"/>
      <c r="O25" s="218"/>
      <c r="P25" s="91" t="s">
        <v>207</v>
      </c>
    </row>
    <row r="26" spans="1:16" ht="50.25" customHeight="1" x14ac:dyDescent="0.25">
      <c r="A26" s="97" t="s">
        <v>48</v>
      </c>
      <c r="B26" s="213" t="s">
        <v>252</v>
      </c>
      <c r="C26" s="214"/>
      <c r="D26" s="214"/>
      <c r="E26" s="214"/>
      <c r="F26" s="214"/>
      <c r="G26" s="215"/>
      <c r="H26" s="207" t="s">
        <v>247</v>
      </c>
      <c r="I26" s="208"/>
      <c r="J26" s="208"/>
      <c r="K26" s="209"/>
      <c r="L26" s="207" t="s">
        <v>247</v>
      </c>
      <c r="M26" s="208"/>
      <c r="N26" s="208"/>
      <c r="O26" s="209"/>
      <c r="P26" s="91" t="s">
        <v>206</v>
      </c>
    </row>
    <row r="27" spans="1:16" ht="39" customHeight="1" x14ac:dyDescent="0.25">
      <c r="A27" s="97" t="s">
        <v>52</v>
      </c>
      <c r="B27" s="235" t="s">
        <v>199</v>
      </c>
      <c r="C27" s="236"/>
      <c r="D27" s="236"/>
      <c r="E27" s="236"/>
      <c r="F27" s="236"/>
      <c r="G27" s="237"/>
      <c r="H27" s="216" t="s">
        <v>143</v>
      </c>
      <c r="I27" s="217"/>
      <c r="J27" s="217"/>
      <c r="K27" s="218"/>
      <c r="L27" s="216" t="s">
        <v>143</v>
      </c>
      <c r="M27" s="217"/>
      <c r="N27" s="217"/>
      <c r="O27" s="218"/>
      <c r="P27" s="91" t="s">
        <v>206</v>
      </c>
    </row>
    <row r="28" spans="1:16" ht="51.75" customHeight="1" x14ac:dyDescent="0.25">
      <c r="A28" s="97" t="s">
        <v>53</v>
      </c>
      <c r="B28" s="235" t="s">
        <v>200</v>
      </c>
      <c r="C28" s="236"/>
      <c r="D28" s="236"/>
      <c r="E28" s="236"/>
      <c r="F28" s="236"/>
      <c r="G28" s="237"/>
      <c r="H28" s="210" t="s">
        <v>143</v>
      </c>
      <c r="I28" s="210"/>
      <c r="J28" s="210"/>
      <c r="K28" s="210"/>
      <c r="L28" s="207" t="s">
        <v>293</v>
      </c>
      <c r="M28" s="208"/>
      <c r="N28" s="208"/>
      <c r="O28" s="209"/>
      <c r="P28" s="91" t="s">
        <v>207</v>
      </c>
    </row>
    <row r="29" spans="1:16" ht="42" customHeight="1" x14ac:dyDescent="0.25">
      <c r="A29" s="97" t="s">
        <v>54</v>
      </c>
      <c r="B29" s="235" t="s">
        <v>201</v>
      </c>
      <c r="C29" s="236"/>
      <c r="D29" s="236"/>
      <c r="E29" s="236"/>
      <c r="F29" s="236"/>
      <c r="G29" s="237"/>
      <c r="H29" s="216" t="s">
        <v>188</v>
      </c>
      <c r="I29" s="217"/>
      <c r="J29" s="217"/>
      <c r="K29" s="218"/>
      <c r="L29" s="216" t="s">
        <v>188</v>
      </c>
      <c r="M29" s="217"/>
      <c r="N29" s="217"/>
      <c r="O29" s="218"/>
      <c r="P29" s="91" t="s">
        <v>206</v>
      </c>
    </row>
    <row r="30" spans="1:16" ht="26.25" customHeight="1" x14ac:dyDescent="0.25">
      <c r="A30" s="97" t="s">
        <v>55</v>
      </c>
      <c r="B30" s="235" t="s">
        <v>199</v>
      </c>
      <c r="C30" s="236"/>
      <c r="D30" s="236"/>
      <c r="E30" s="236"/>
      <c r="F30" s="236"/>
      <c r="G30" s="237"/>
      <c r="H30" s="216" t="s">
        <v>143</v>
      </c>
      <c r="I30" s="217"/>
      <c r="J30" s="217"/>
      <c r="K30" s="218"/>
      <c r="L30" s="216" t="s">
        <v>143</v>
      </c>
      <c r="M30" s="217"/>
      <c r="N30" s="217"/>
      <c r="O30" s="218"/>
      <c r="P30" s="91" t="s">
        <v>206</v>
      </c>
    </row>
    <row r="31" spans="1:16" ht="24" customHeight="1" x14ac:dyDescent="0.25">
      <c r="A31" s="97" t="s">
        <v>56</v>
      </c>
      <c r="B31" s="235" t="s">
        <v>190</v>
      </c>
      <c r="C31" s="236"/>
      <c r="D31" s="236"/>
      <c r="E31" s="236"/>
      <c r="F31" s="236"/>
      <c r="G31" s="237"/>
      <c r="H31" s="216" t="s">
        <v>143</v>
      </c>
      <c r="I31" s="217"/>
      <c r="J31" s="217"/>
      <c r="K31" s="218"/>
      <c r="L31" s="216" t="s">
        <v>143</v>
      </c>
      <c r="M31" s="217"/>
      <c r="N31" s="217"/>
      <c r="O31" s="218"/>
      <c r="P31" s="91" t="s">
        <v>206</v>
      </c>
    </row>
    <row r="32" spans="1:16" ht="42.75" customHeight="1" x14ac:dyDescent="0.25">
      <c r="A32" s="97" t="s">
        <v>181</v>
      </c>
      <c r="B32" s="235" t="s">
        <v>257</v>
      </c>
      <c r="C32" s="236"/>
      <c r="D32" s="236"/>
      <c r="E32" s="236"/>
      <c r="F32" s="236"/>
      <c r="G32" s="237"/>
      <c r="H32" s="216" t="s">
        <v>192</v>
      </c>
      <c r="I32" s="217"/>
      <c r="J32" s="217"/>
      <c r="K32" s="218"/>
      <c r="L32" s="216" t="s">
        <v>192</v>
      </c>
      <c r="M32" s="217"/>
      <c r="N32" s="217"/>
      <c r="O32" s="218"/>
      <c r="P32" s="91" t="s">
        <v>206</v>
      </c>
    </row>
    <row r="33" spans="1:16" ht="26.25" customHeight="1" x14ac:dyDescent="0.25">
      <c r="A33" s="97" t="s">
        <v>182</v>
      </c>
      <c r="B33" s="235" t="s">
        <v>199</v>
      </c>
      <c r="C33" s="236"/>
      <c r="D33" s="236"/>
      <c r="E33" s="236"/>
      <c r="F33" s="236"/>
      <c r="G33" s="237"/>
      <c r="H33" s="216" t="s">
        <v>143</v>
      </c>
      <c r="I33" s="217"/>
      <c r="J33" s="217"/>
      <c r="K33" s="218"/>
      <c r="L33" s="207" t="s">
        <v>293</v>
      </c>
      <c r="M33" s="208"/>
      <c r="N33" s="208"/>
      <c r="O33" s="209"/>
      <c r="P33" s="91" t="s">
        <v>207</v>
      </c>
    </row>
    <row r="34" spans="1:16" ht="28.5" customHeight="1" x14ac:dyDescent="0.25">
      <c r="A34" s="97" t="s">
        <v>183</v>
      </c>
      <c r="B34" s="235" t="s">
        <v>190</v>
      </c>
      <c r="C34" s="236"/>
      <c r="D34" s="236"/>
      <c r="E34" s="236"/>
      <c r="F34" s="236"/>
      <c r="G34" s="237"/>
      <c r="H34" s="216" t="s">
        <v>143</v>
      </c>
      <c r="I34" s="217"/>
      <c r="J34" s="217"/>
      <c r="K34" s="218"/>
      <c r="L34" s="216" t="s">
        <v>143</v>
      </c>
      <c r="M34" s="217"/>
      <c r="N34" s="217"/>
      <c r="O34" s="218"/>
      <c r="P34" s="91" t="s">
        <v>206</v>
      </c>
    </row>
    <row r="35" spans="1:16" ht="40.5" customHeight="1" x14ac:dyDescent="0.25">
      <c r="A35" s="97" t="s">
        <v>184</v>
      </c>
      <c r="B35" s="235" t="s">
        <v>203</v>
      </c>
      <c r="C35" s="236"/>
      <c r="D35" s="236"/>
      <c r="E35" s="236"/>
      <c r="F35" s="236"/>
      <c r="G35" s="237"/>
      <c r="H35" s="216" t="s">
        <v>188</v>
      </c>
      <c r="I35" s="217"/>
      <c r="J35" s="217"/>
      <c r="K35" s="218"/>
      <c r="L35" s="216" t="s">
        <v>188</v>
      </c>
      <c r="M35" s="217"/>
      <c r="N35" s="217"/>
      <c r="O35" s="218"/>
      <c r="P35" s="91" t="s">
        <v>206</v>
      </c>
    </row>
    <row r="36" spans="1:16" ht="27" customHeight="1" x14ac:dyDescent="0.25">
      <c r="A36" s="97" t="s">
        <v>194</v>
      </c>
      <c r="B36" s="235" t="s">
        <v>199</v>
      </c>
      <c r="C36" s="236"/>
      <c r="D36" s="236"/>
      <c r="E36" s="236"/>
      <c r="F36" s="236"/>
      <c r="G36" s="237"/>
      <c r="H36" s="216" t="s">
        <v>143</v>
      </c>
      <c r="I36" s="217"/>
      <c r="J36" s="217"/>
      <c r="K36" s="218"/>
      <c r="L36" s="207" t="s">
        <v>293</v>
      </c>
      <c r="M36" s="208"/>
      <c r="N36" s="208"/>
      <c r="O36" s="209"/>
      <c r="P36" s="91" t="s">
        <v>207</v>
      </c>
    </row>
    <row r="37" spans="1:16" ht="26.25" customHeight="1" x14ac:dyDescent="0.25">
      <c r="A37" s="97" t="s">
        <v>195</v>
      </c>
      <c r="B37" s="235" t="s">
        <v>190</v>
      </c>
      <c r="C37" s="236"/>
      <c r="D37" s="236"/>
      <c r="E37" s="236"/>
      <c r="F37" s="236"/>
      <c r="G37" s="237"/>
      <c r="H37" s="216" t="s">
        <v>143</v>
      </c>
      <c r="I37" s="217"/>
      <c r="J37" s="217"/>
      <c r="K37" s="218"/>
      <c r="L37" s="216" t="s">
        <v>143</v>
      </c>
      <c r="M37" s="217"/>
      <c r="N37" s="217"/>
      <c r="O37" s="218"/>
      <c r="P37" s="91" t="s">
        <v>206</v>
      </c>
    </row>
    <row r="38" spans="1:16" ht="43.5" customHeight="1" x14ac:dyDescent="0.25">
      <c r="A38" s="97" t="s">
        <v>245</v>
      </c>
      <c r="B38" s="235" t="s">
        <v>258</v>
      </c>
      <c r="C38" s="236"/>
      <c r="D38" s="236"/>
      <c r="E38" s="236"/>
      <c r="F38" s="236"/>
      <c r="G38" s="237"/>
      <c r="H38" s="216" t="s">
        <v>192</v>
      </c>
      <c r="I38" s="217"/>
      <c r="J38" s="217"/>
      <c r="K38" s="218"/>
      <c r="L38" s="216" t="s">
        <v>192</v>
      </c>
      <c r="M38" s="217"/>
      <c r="N38" s="217"/>
      <c r="O38" s="218"/>
      <c r="P38" s="91" t="s">
        <v>206</v>
      </c>
    </row>
  </sheetData>
  <mergeCells count="61">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7:G27"/>
    <mergeCell ref="H27:K27"/>
    <mergeCell ref="L27:O27"/>
    <mergeCell ref="B26:G26"/>
    <mergeCell ref="H26:K26"/>
    <mergeCell ref="L26:O26"/>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8:G38"/>
    <mergeCell ref="H38:K38"/>
    <mergeCell ref="L38:O38"/>
    <mergeCell ref="B36:G36"/>
    <mergeCell ref="H36:K36"/>
    <mergeCell ref="L36:O36"/>
    <mergeCell ref="B37:G37"/>
    <mergeCell ref="H37:K37"/>
    <mergeCell ref="L37:O37"/>
  </mergeCells>
  <phoneticPr fontId="43" type="noConversion"/>
  <conditionalFormatting sqref="B9:B10">
    <cfRule type="cellIs" dxfId="87" priority="27" operator="equal">
      <formula>"Nok"</formula>
    </cfRule>
    <cfRule type="cellIs" dxfId="86" priority="28" operator="equal">
      <formula>"Ok"</formula>
    </cfRule>
  </conditionalFormatting>
  <conditionalFormatting sqref="P22 P24">
    <cfRule type="cellIs" dxfId="85" priority="25" operator="equal">
      <formula>"Nok"</formula>
    </cfRule>
    <cfRule type="cellIs" dxfId="84" priority="26" operator="equal">
      <formula>"Ok"</formula>
    </cfRule>
  </conditionalFormatting>
  <conditionalFormatting sqref="P30:P33">
    <cfRule type="cellIs" dxfId="83" priority="23" operator="equal">
      <formula>"Nok"</formula>
    </cfRule>
    <cfRule type="cellIs" dxfId="82" priority="24" operator="equal">
      <formula>"Ok"</formula>
    </cfRule>
  </conditionalFormatting>
  <conditionalFormatting sqref="P29">
    <cfRule type="cellIs" dxfId="81" priority="21" operator="equal">
      <formula>"Nok"</formula>
    </cfRule>
    <cfRule type="cellIs" dxfId="80" priority="22" operator="equal">
      <formula>"Ok"</formula>
    </cfRule>
  </conditionalFormatting>
  <conditionalFormatting sqref="P28">
    <cfRule type="cellIs" dxfId="79" priority="15" operator="equal">
      <formula>"Nok"</formula>
    </cfRule>
    <cfRule type="cellIs" dxfId="78" priority="16" operator="equal">
      <formula>"Ok"</formula>
    </cfRule>
  </conditionalFormatting>
  <conditionalFormatting sqref="P25">
    <cfRule type="cellIs" dxfId="77" priority="19" operator="equal">
      <formula>"Nok"</formula>
    </cfRule>
    <cfRule type="cellIs" dxfId="76" priority="20" operator="equal">
      <formula>"Ok"</formula>
    </cfRule>
  </conditionalFormatting>
  <conditionalFormatting sqref="P27">
    <cfRule type="cellIs" dxfId="75" priority="17" operator="equal">
      <formula>"Nok"</formula>
    </cfRule>
    <cfRule type="cellIs" dxfId="74" priority="18" operator="equal">
      <formula>"Ok"</formula>
    </cfRule>
  </conditionalFormatting>
  <conditionalFormatting sqref="P35">
    <cfRule type="cellIs" dxfId="73" priority="13" operator="equal">
      <formula>"Nok"</formula>
    </cfRule>
    <cfRule type="cellIs" dxfId="72" priority="14" operator="equal">
      <formula>"Ok"</formula>
    </cfRule>
  </conditionalFormatting>
  <conditionalFormatting sqref="P34">
    <cfRule type="cellIs" dxfId="71" priority="11" operator="equal">
      <formula>"Nok"</formula>
    </cfRule>
    <cfRule type="cellIs" dxfId="70" priority="12" operator="equal">
      <formula>"Ok"</formula>
    </cfRule>
  </conditionalFormatting>
  <conditionalFormatting sqref="P36">
    <cfRule type="cellIs" dxfId="69" priority="9" operator="equal">
      <formula>"Nok"</formula>
    </cfRule>
    <cfRule type="cellIs" dxfId="68" priority="10" operator="equal">
      <formula>"Ok"</formula>
    </cfRule>
  </conditionalFormatting>
  <conditionalFormatting sqref="P37">
    <cfRule type="cellIs" dxfId="67" priority="7" operator="equal">
      <formula>"Nok"</formula>
    </cfRule>
    <cfRule type="cellIs" dxfId="66" priority="8" operator="equal">
      <formula>"Ok"</formula>
    </cfRule>
  </conditionalFormatting>
  <conditionalFormatting sqref="P38">
    <cfRule type="cellIs" dxfId="65" priority="5" operator="equal">
      <formula>"Nok"</formula>
    </cfRule>
    <cfRule type="cellIs" dxfId="64" priority="6" operator="equal">
      <formula>"Ok"</formula>
    </cfRule>
  </conditionalFormatting>
  <conditionalFormatting sqref="P23">
    <cfRule type="cellIs" dxfId="63" priority="3" operator="equal">
      <formula>"Nok"</formula>
    </cfRule>
    <cfRule type="cellIs" dxfId="62" priority="4" operator="equal">
      <formula>"Ok"</formula>
    </cfRule>
  </conditionalFormatting>
  <conditionalFormatting sqref="P26">
    <cfRule type="cellIs" dxfId="61" priority="1" operator="equal">
      <formula>"Nok"</formula>
    </cfRule>
    <cfRule type="cellIs" dxfId="60" priority="2" operator="equal">
      <formula>"Ok"</formula>
    </cfRule>
  </conditionalFormatting>
  <dataValidations count="3">
    <dataValidation type="list" allowBlank="1" showInputMessage="1" showErrorMessage="1" sqref="P22:P38" xr:uid="{2D1D96AE-9543-4327-8C4F-59F3AD0A86D2}">
      <formula1>"Ok, Nok, Not run, ,"</formula1>
    </dataValidation>
    <dataValidation type="list" allowBlank="1" showInputMessage="1" showErrorMessage="1" sqref="B9" xr:uid="{F4D4B211-0EE8-4472-9D09-F16724D6432F}">
      <formula1>"Ok, Nok, Not run, NA"</formula1>
    </dataValidation>
    <dataValidation type="list" allowBlank="1" showInputMessage="1" showErrorMessage="1" sqref="B5" xr:uid="{33C9610B-9D9F-44B1-93DE-991F4E43A17D}">
      <formula1>"Nominal, Robustness, Endurance, Qualification"</formula1>
    </dataValidation>
  </dataValidations>
  <pageMargins left="0.7" right="0.7" top="0.75" bottom="0.75" header="0.3" footer="0.3"/>
  <pageSetup paperSize="9" orientation="portrait" r:id="rId1"/>
  <headerFooter>
    <oddFooter>&amp;LNA ver 1.1&amp;R&amp;P</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6BE52-66B1-4751-99F1-A8C22241FB32}">
  <sheetPr codeName="Sheet16"/>
  <dimension ref="A1:P38"/>
  <sheetViews>
    <sheetView topLeftCell="A10" workbookViewId="0">
      <selection activeCell="B8" sqref="B8"/>
    </sheetView>
  </sheetViews>
  <sheetFormatPr defaultColWidth="9.33203125" defaultRowHeight="13.2" x14ac:dyDescent="0.25"/>
  <cols>
    <col min="1" max="1" width="20.33203125" style="93" customWidth="1"/>
    <col min="2" max="2" width="18.44140625" style="89" customWidth="1"/>
    <col min="3" max="6" width="9.33203125" style="89"/>
    <col min="7" max="7" width="12" style="89" customWidth="1"/>
    <col min="8" max="15" width="9.5546875" style="89" customWidth="1"/>
    <col min="16" max="16384" width="9.33203125" style="89"/>
  </cols>
  <sheetData>
    <row r="1" spans="1:15" ht="13.8" thickBot="1" x14ac:dyDescent="0.3">
      <c r="A1" s="94" t="s">
        <v>39</v>
      </c>
      <c r="B1" s="198" t="s">
        <v>290</v>
      </c>
      <c r="C1" s="238"/>
      <c r="D1" s="238"/>
      <c r="E1" s="238"/>
      <c r="F1" s="238"/>
      <c r="G1" s="239"/>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95" t="s">
        <v>44</v>
      </c>
      <c r="B3" s="232" t="s">
        <v>303</v>
      </c>
      <c r="C3" s="233"/>
      <c r="D3" s="233"/>
      <c r="E3" s="233"/>
      <c r="F3" s="233"/>
      <c r="G3" s="234"/>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4" t="s">
        <v>108</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4" t="s">
        <v>40</v>
      </c>
      <c r="B7" s="201" t="s">
        <v>306</v>
      </c>
      <c r="C7" s="202"/>
      <c r="D7" s="202"/>
      <c r="E7" s="202"/>
      <c r="F7" s="202"/>
      <c r="G7" s="20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4" t="s">
        <v>41</v>
      </c>
      <c r="B9" s="99" t="s">
        <v>207</v>
      </c>
      <c r="C9" s="73"/>
      <c r="D9" s="74"/>
      <c r="E9" s="74"/>
      <c r="F9" s="74"/>
      <c r="G9" s="74"/>
      <c r="H9" s="74"/>
      <c r="I9" s="74"/>
      <c r="J9" s="74"/>
      <c r="K9" s="74"/>
      <c r="L9" s="74"/>
      <c r="M9" s="74"/>
      <c r="N9" s="74"/>
      <c r="O9" s="74"/>
    </row>
    <row r="10" spans="1:15" ht="13.8" thickBot="1" x14ac:dyDescent="0.3">
      <c r="A10" s="76"/>
      <c r="B10" s="90"/>
      <c r="C10" s="73"/>
      <c r="D10" s="74"/>
      <c r="E10" s="74"/>
      <c r="F10" s="74"/>
      <c r="G10" s="74"/>
      <c r="H10" s="74"/>
      <c r="I10" s="74"/>
      <c r="J10" s="74"/>
      <c r="K10" s="74"/>
      <c r="L10" s="74"/>
      <c r="M10" s="74"/>
      <c r="N10" s="74"/>
      <c r="O10" s="74"/>
    </row>
    <row r="11" spans="1:15" ht="12" customHeight="1" x14ac:dyDescent="0.25">
      <c r="A11" s="211" t="s">
        <v>110</v>
      </c>
      <c r="B11" s="219" t="s">
        <v>131</v>
      </c>
      <c r="C11" s="220"/>
      <c r="D11" s="220"/>
      <c r="E11" s="220"/>
      <c r="F11" s="220"/>
      <c r="G11" s="221"/>
      <c r="H11" s="74"/>
      <c r="I11" s="74"/>
      <c r="J11" s="74"/>
      <c r="K11" s="74"/>
      <c r="L11" s="74"/>
      <c r="M11" s="74"/>
      <c r="N11" s="74"/>
      <c r="O11" s="74"/>
    </row>
    <row r="12" spans="1:15" x14ac:dyDescent="0.25">
      <c r="A12" s="212"/>
      <c r="B12" s="222"/>
      <c r="C12" s="223"/>
      <c r="D12" s="223"/>
      <c r="E12" s="223"/>
      <c r="F12" s="223"/>
      <c r="G12" s="224"/>
      <c r="H12" s="74"/>
      <c r="I12" s="74"/>
      <c r="J12" s="74"/>
      <c r="K12" s="74"/>
      <c r="L12" s="74"/>
      <c r="M12" s="74"/>
      <c r="N12" s="74"/>
      <c r="O12" s="74"/>
    </row>
    <row r="13" spans="1:15" x14ac:dyDescent="0.25">
      <c r="A13" s="212"/>
      <c r="B13" s="222"/>
      <c r="C13" s="223"/>
      <c r="D13" s="223"/>
      <c r="E13" s="223"/>
      <c r="F13" s="223"/>
      <c r="G13" s="224"/>
      <c r="H13" s="72"/>
      <c r="I13" s="74"/>
      <c r="J13" s="74"/>
      <c r="K13" s="74"/>
      <c r="L13" s="74"/>
      <c r="M13" s="74"/>
      <c r="N13" s="74"/>
      <c r="O13" s="74"/>
    </row>
    <row r="14" spans="1:15" ht="13.8" thickBot="1" x14ac:dyDescent="0.3">
      <c r="A14" s="212"/>
      <c r="B14" s="225"/>
      <c r="C14" s="226"/>
      <c r="D14" s="226"/>
      <c r="E14" s="226"/>
      <c r="F14" s="226"/>
      <c r="G14" s="22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ht="13.2" customHeight="1" x14ac:dyDescent="0.25">
      <c r="A16" s="211" t="s">
        <v>42</v>
      </c>
      <c r="B16" s="219" t="s">
        <v>133</v>
      </c>
      <c r="C16" s="220"/>
      <c r="D16" s="220"/>
      <c r="E16" s="220"/>
      <c r="F16" s="220"/>
      <c r="G16" s="221"/>
      <c r="H16" s="74"/>
      <c r="I16" s="74"/>
      <c r="J16" s="74"/>
      <c r="K16" s="74"/>
      <c r="L16" s="74"/>
      <c r="M16" s="74"/>
      <c r="N16" s="74"/>
      <c r="O16" s="74"/>
    </row>
    <row r="17" spans="1:16" ht="13.2" customHeight="1" x14ac:dyDescent="0.25">
      <c r="A17" s="212"/>
      <c r="B17" s="222"/>
      <c r="C17" s="223"/>
      <c r="D17" s="223"/>
      <c r="E17" s="223"/>
      <c r="F17" s="223"/>
      <c r="G17" s="224"/>
      <c r="H17" s="74"/>
      <c r="I17" s="74"/>
      <c r="J17" s="74"/>
      <c r="K17" s="74"/>
      <c r="L17" s="74"/>
      <c r="M17" s="74"/>
      <c r="N17" s="74"/>
      <c r="O17" s="74"/>
    </row>
    <row r="18" spans="1:16" x14ac:dyDescent="0.25">
      <c r="A18" s="212"/>
      <c r="B18" s="222"/>
      <c r="C18" s="223"/>
      <c r="D18" s="223"/>
      <c r="E18" s="223"/>
      <c r="F18" s="223"/>
      <c r="G18" s="224"/>
      <c r="H18" s="72"/>
      <c r="I18" s="74"/>
      <c r="J18" s="74"/>
      <c r="K18" s="74"/>
      <c r="L18" s="74"/>
      <c r="M18" s="74"/>
      <c r="N18" s="74"/>
      <c r="O18" s="74"/>
    </row>
    <row r="19" spans="1:16" ht="13.8" thickBot="1" x14ac:dyDescent="0.3">
      <c r="A19" s="212"/>
      <c r="B19" s="225"/>
      <c r="C19" s="226"/>
      <c r="D19" s="226"/>
      <c r="E19" s="226"/>
      <c r="F19" s="226"/>
      <c r="G19" s="22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204" t="s">
        <v>46</v>
      </c>
      <c r="B21" s="205"/>
      <c r="C21" s="205"/>
      <c r="D21" s="205"/>
      <c r="E21" s="205"/>
      <c r="F21" s="205"/>
      <c r="G21" s="206"/>
      <c r="H21" s="204" t="s">
        <v>47</v>
      </c>
      <c r="I21" s="205"/>
      <c r="J21" s="205"/>
      <c r="K21" s="206"/>
      <c r="L21" s="204" t="s">
        <v>58</v>
      </c>
      <c r="M21" s="205"/>
      <c r="N21" s="205"/>
      <c r="O21" s="206"/>
      <c r="P21" s="96" t="s">
        <v>45</v>
      </c>
    </row>
    <row r="22" spans="1:16" ht="50.25" customHeight="1" x14ac:dyDescent="0.25">
      <c r="A22" s="97" t="s">
        <v>48</v>
      </c>
      <c r="B22" s="213" t="s">
        <v>291</v>
      </c>
      <c r="C22" s="214"/>
      <c r="D22" s="214"/>
      <c r="E22" s="214"/>
      <c r="F22" s="214"/>
      <c r="G22" s="215"/>
      <c r="H22" s="207" t="s">
        <v>292</v>
      </c>
      <c r="I22" s="208"/>
      <c r="J22" s="208"/>
      <c r="K22" s="209"/>
      <c r="L22" s="207" t="s">
        <v>292</v>
      </c>
      <c r="M22" s="208"/>
      <c r="N22" s="208"/>
      <c r="O22" s="209"/>
      <c r="P22" s="91" t="s">
        <v>206</v>
      </c>
    </row>
    <row r="23" spans="1:16" ht="50.25" customHeight="1" x14ac:dyDescent="0.25">
      <c r="A23" s="97" t="s">
        <v>49</v>
      </c>
      <c r="B23" s="213" t="s">
        <v>294</v>
      </c>
      <c r="C23" s="214"/>
      <c r="D23" s="214"/>
      <c r="E23" s="214"/>
      <c r="F23" s="214"/>
      <c r="G23" s="215"/>
      <c r="H23" s="207" t="s">
        <v>295</v>
      </c>
      <c r="I23" s="208"/>
      <c r="J23" s="208"/>
      <c r="K23" s="209"/>
      <c r="L23" s="207" t="s">
        <v>296</v>
      </c>
      <c r="M23" s="208"/>
      <c r="N23" s="208"/>
      <c r="O23" s="209"/>
      <c r="P23" s="91" t="s">
        <v>207</v>
      </c>
    </row>
    <row r="24" spans="1:16" ht="41.7" customHeight="1" x14ac:dyDescent="0.25">
      <c r="A24" s="97" t="s">
        <v>50</v>
      </c>
      <c r="B24" s="213" t="s">
        <v>298</v>
      </c>
      <c r="C24" s="214"/>
      <c r="D24" s="214"/>
      <c r="E24" s="214"/>
      <c r="F24" s="214"/>
      <c r="G24" s="215"/>
      <c r="H24" s="207" t="s">
        <v>292</v>
      </c>
      <c r="I24" s="208"/>
      <c r="J24" s="208"/>
      <c r="K24" s="209"/>
      <c r="L24" s="207" t="s">
        <v>292</v>
      </c>
      <c r="M24" s="208"/>
      <c r="N24" s="208"/>
      <c r="O24" s="209"/>
      <c r="P24" s="91" t="s">
        <v>206</v>
      </c>
    </row>
    <row r="25" spans="1:16" ht="39.450000000000003" customHeight="1" x14ac:dyDescent="0.25">
      <c r="A25" s="97" t="s">
        <v>51</v>
      </c>
      <c r="B25" s="213" t="s">
        <v>294</v>
      </c>
      <c r="C25" s="214"/>
      <c r="D25" s="214"/>
      <c r="E25" s="214"/>
      <c r="F25" s="214"/>
      <c r="G25" s="215"/>
      <c r="H25" s="207" t="s">
        <v>295</v>
      </c>
      <c r="I25" s="208"/>
      <c r="J25" s="208"/>
      <c r="K25" s="209"/>
      <c r="L25" s="207" t="s">
        <v>296</v>
      </c>
      <c r="M25" s="208"/>
      <c r="N25" s="208"/>
      <c r="O25" s="209"/>
      <c r="P25" s="91" t="s">
        <v>207</v>
      </c>
    </row>
    <row r="26" spans="1:16" ht="50.25" customHeight="1" x14ac:dyDescent="0.25">
      <c r="A26" s="97" t="s">
        <v>48</v>
      </c>
      <c r="B26" s="213" t="s">
        <v>300</v>
      </c>
      <c r="C26" s="214"/>
      <c r="D26" s="214"/>
      <c r="E26" s="214"/>
      <c r="F26" s="214"/>
      <c r="G26" s="215"/>
      <c r="H26" s="207" t="s">
        <v>292</v>
      </c>
      <c r="I26" s="208"/>
      <c r="J26" s="208"/>
      <c r="K26" s="209"/>
      <c r="L26" s="207" t="s">
        <v>292</v>
      </c>
      <c r="M26" s="208"/>
      <c r="N26" s="208"/>
      <c r="O26" s="209"/>
      <c r="P26" s="91" t="s">
        <v>206</v>
      </c>
    </row>
    <row r="27" spans="1:16" ht="39" customHeight="1" x14ac:dyDescent="0.25">
      <c r="A27" s="97" t="s">
        <v>52</v>
      </c>
      <c r="B27" s="213" t="s">
        <v>294</v>
      </c>
      <c r="C27" s="214"/>
      <c r="D27" s="214"/>
      <c r="E27" s="214"/>
      <c r="F27" s="214"/>
      <c r="G27" s="215"/>
      <c r="H27" s="207" t="s">
        <v>295</v>
      </c>
      <c r="I27" s="208"/>
      <c r="J27" s="208"/>
      <c r="K27" s="209"/>
      <c r="L27" s="207" t="s">
        <v>296</v>
      </c>
      <c r="M27" s="208"/>
      <c r="N27" s="208"/>
      <c r="O27" s="209"/>
      <c r="P27" s="91" t="s">
        <v>207</v>
      </c>
    </row>
    <row r="28" spans="1:16" ht="51.75" customHeight="1" x14ac:dyDescent="0.25">
      <c r="A28" s="97" t="s">
        <v>53</v>
      </c>
      <c r="B28" s="213" t="s">
        <v>301</v>
      </c>
      <c r="C28" s="214"/>
      <c r="D28" s="214"/>
      <c r="E28" s="214"/>
      <c r="F28" s="214"/>
      <c r="G28" s="215"/>
      <c r="H28" s="207" t="s">
        <v>292</v>
      </c>
      <c r="I28" s="208"/>
      <c r="J28" s="208"/>
      <c r="K28" s="209"/>
      <c r="L28" s="207" t="s">
        <v>292</v>
      </c>
      <c r="M28" s="208"/>
      <c r="N28" s="208"/>
      <c r="O28" s="209"/>
      <c r="P28" s="91" t="s">
        <v>206</v>
      </c>
    </row>
    <row r="29" spans="1:16" ht="42" customHeight="1" x14ac:dyDescent="0.25">
      <c r="A29" s="97" t="s">
        <v>54</v>
      </c>
      <c r="B29" s="213" t="s">
        <v>294</v>
      </c>
      <c r="C29" s="214"/>
      <c r="D29" s="214"/>
      <c r="E29" s="214"/>
      <c r="F29" s="214"/>
      <c r="G29" s="215"/>
      <c r="H29" s="207" t="s">
        <v>295</v>
      </c>
      <c r="I29" s="208"/>
      <c r="J29" s="208"/>
      <c r="K29" s="209"/>
      <c r="L29" s="207" t="s">
        <v>296</v>
      </c>
      <c r="M29" s="208"/>
      <c r="N29" s="208"/>
      <c r="O29" s="209"/>
      <c r="P29" s="91" t="s">
        <v>207</v>
      </c>
    </row>
    <row r="30" spans="1:16" ht="26.25" customHeight="1" x14ac:dyDescent="0.25">
      <c r="A30" s="97" t="s">
        <v>55</v>
      </c>
      <c r="B30" s="235"/>
      <c r="C30" s="236"/>
      <c r="D30" s="236"/>
      <c r="E30" s="236"/>
      <c r="F30" s="236"/>
      <c r="G30" s="237"/>
      <c r="H30" s="216"/>
      <c r="I30" s="217"/>
      <c r="J30" s="217"/>
      <c r="K30" s="218"/>
      <c r="L30" s="207"/>
      <c r="M30" s="208"/>
      <c r="N30" s="208"/>
      <c r="O30" s="209"/>
      <c r="P30" s="91"/>
    </row>
    <row r="31" spans="1:16" ht="24" customHeight="1" x14ac:dyDescent="0.25">
      <c r="A31" s="97" t="s">
        <v>56</v>
      </c>
      <c r="B31" s="235"/>
      <c r="C31" s="236"/>
      <c r="D31" s="236"/>
      <c r="E31" s="236"/>
      <c r="F31" s="236"/>
      <c r="G31" s="237"/>
      <c r="H31" s="216"/>
      <c r="I31" s="217"/>
      <c r="J31" s="217"/>
      <c r="K31" s="218"/>
      <c r="L31" s="207"/>
      <c r="M31" s="208"/>
      <c r="N31" s="208"/>
      <c r="O31" s="209"/>
      <c r="P31" s="91"/>
    </row>
    <row r="32" spans="1:16" ht="42.75" customHeight="1" x14ac:dyDescent="0.25">
      <c r="A32" s="97" t="s">
        <v>181</v>
      </c>
      <c r="B32" s="235"/>
      <c r="C32" s="236"/>
      <c r="D32" s="236"/>
      <c r="E32" s="236"/>
      <c r="F32" s="236"/>
      <c r="G32" s="237"/>
      <c r="H32" s="216"/>
      <c r="I32" s="217"/>
      <c r="J32" s="217"/>
      <c r="K32" s="218"/>
      <c r="L32" s="207"/>
      <c r="M32" s="208"/>
      <c r="N32" s="208"/>
      <c r="O32" s="209"/>
      <c r="P32" s="91"/>
    </row>
    <row r="33" spans="1:16" ht="26.25" customHeight="1" x14ac:dyDescent="0.25">
      <c r="A33" s="97" t="s">
        <v>182</v>
      </c>
      <c r="B33" s="235"/>
      <c r="C33" s="236"/>
      <c r="D33" s="236"/>
      <c r="E33" s="236"/>
      <c r="F33" s="236"/>
      <c r="G33" s="237"/>
      <c r="H33" s="216"/>
      <c r="I33" s="217"/>
      <c r="J33" s="217"/>
      <c r="K33" s="218"/>
      <c r="L33" s="207"/>
      <c r="M33" s="208"/>
      <c r="N33" s="208"/>
      <c r="O33" s="209"/>
      <c r="P33" s="91"/>
    </row>
    <row r="34" spans="1:16" ht="28.5" customHeight="1" x14ac:dyDescent="0.25">
      <c r="A34" s="97" t="s">
        <v>183</v>
      </c>
      <c r="B34" s="235"/>
      <c r="C34" s="236"/>
      <c r="D34" s="236"/>
      <c r="E34" s="236"/>
      <c r="F34" s="236"/>
      <c r="G34" s="237"/>
      <c r="H34" s="216"/>
      <c r="I34" s="217"/>
      <c r="J34" s="217"/>
      <c r="K34" s="218"/>
      <c r="L34" s="207"/>
      <c r="M34" s="208"/>
      <c r="N34" s="208"/>
      <c r="O34" s="209"/>
      <c r="P34" s="91"/>
    </row>
    <row r="35" spans="1:16" ht="40.5" customHeight="1" x14ac:dyDescent="0.25">
      <c r="A35" s="97" t="s">
        <v>184</v>
      </c>
      <c r="B35" s="235"/>
      <c r="C35" s="236"/>
      <c r="D35" s="236"/>
      <c r="E35" s="236"/>
      <c r="F35" s="236"/>
      <c r="G35" s="237"/>
      <c r="H35" s="216"/>
      <c r="I35" s="217"/>
      <c r="J35" s="217"/>
      <c r="K35" s="218"/>
      <c r="L35" s="207"/>
      <c r="M35" s="208"/>
      <c r="N35" s="208"/>
      <c r="O35" s="209"/>
      <c r="P35" s="91"/>
    </row>
    <row r="36" spans="1:16" ht="27" customHeight="1" x14ac:dyDescent="0.25">
      <c r="A36" s="97" t="s">
        <v>194</v>
      </c>
      <c r="B36" s="235"/>
      <c r="C36" s="236"/>
      <c r="D36" s="236"/>
      <c r="E36" s="236"/>
      <c r="F36" s="236"/>
      <c r="G36" s="237"/>
      <c r="H36" s="216"/>
      <c r="I36" s="217"/>
      <c r="J36" s="217"/>
      <c r="K36" s="218"/>
      <c r="L36" s="207"/>
      <c r="M36" s="208"/>
      <c r="N36" s="208"/>
      <c r="O36" s="209"/>
      <c r="P36" s="91"/>
    </row>
    <row r="37" spans="1:16" ht="26.25" customHeight="1" x14ac:dyDescent="0.25">
      <c r="A37" s="97" t="s">
        <v>195</v>
      </c>
      <c r="B37" s="235"/>
      <c r="C37" s="236"/>
      <c r="D37" s="236"/>
      <c r="E37" s="236"/>
      <c r="F37" s="236"/>
      <c r="G37" s="237"/>
      <c r="H37" s="216"/>
      <c r="I37" s="217"/>
      <c r="J37" s="217"/>
      <c r="K37" s="218"/>
      <c r="L37" s="207"/>
      <c r="M37" s="208"/>
      <c r="N37" s="208"/>
      <c r="O37" s="209"/>
      <c r="P37" s="91"/>
    </row>
    <row r="38" spans="1:16" ht="43.5" customHeight="1" x14ac:dyDescent="0.25">
      <c r="A38" s="97" t="s">
        <v>245</v>
      </c>
      <c r="B38" s="235"/>
      <c r="C38" s="236"/>
      <c r="D38" s="236"/>
      <c r="E38" s="236"/>
      <c r="F38" s="236"/>
      <c r="G38" s="237"/>
      <c r="H38" s="216"/>
      <c r="I38" s="217"/>
      <c r="J38" s="217"/>
      <c r="K38" s="218"/>
      <c r="L38" s="207"/>
      <c r="M38" s="208"/>
      <c r="N38" s="208"/>
      <c r="O38" s="209"/>
      <c r="P38" s="91"/>
    </row>
  </sheetData>
  <mergeCells count="61">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s>
  <conditionalFormatting sqref="B9:B10">
    <cfRule type="cellIs" dxfId="59" priority="39" operator="equal">
      <formula>"Nok"</formula>
    </cfRule>
    <cfRule type="cellIs" dxfId="58" priority="40" operator="equal">
      <formula>"Ok"</formula>
    </cfRule>
  </conditionalFormatting>
  <conditionalFormatting sqref="P22">
    <cfRule type="cellIs" dxfId="57" priority="37" operator="equal">
      <formula>"Nok"</formula>
    </cfRule>
    <cfRule type="cellIs" dxfId="56" priority="38" operator="equal">
      <formula>"Ok"</formula>
    </cfRule>
  </conditionalFormatting>
  <conditionalFormatting sqref="P30:P33">
    <cfRule type="cellIs" dxfId="55" priority="35" operator="equal">
      <formula>"Nok"</formula>
    </cfRule>
    <cfRule type="cellIs" dxfId="54" priority="36" operator="equal">
      <formula>"Ok"</formula>
    </cfRule>
  </conditionalFormatting>
  <conditionalFormatting sqref="P35">
    <cfRule type="cellIs" dxfId="53" priority="25" operator="equal">
      <formula>"Nok"</formula>
    </cfRule>
    <cfRule type="cellIs" dxfId="52" priority="26" operator="equal">
      <formula>"Ok"</formula>
    </cfRule>
  </conditionalFormatting>
  <conditionalFormatting sqref="P34">
    <cfRule type="cellIs" dxfId="51" priority="23" operator="equal">
      <formula>"Nok"</formula>
    </cfRule>
    <cfRule type="cellIs" dxfId="50" priority="24" operator="equal">
      <formula>"Ok"</formula>
    </cfRule>
  </conditionalFormatting>
  <conditionalFormatting sqref="P36">
    <cfRule type="cellIs" dxfId="49" priority="21" operator="equal">
      <formula>"Nok"</formula>
    </cfRule>
    <cfRule type="cellIs" dxfId="48" priority="22" operator="equal">
      <formula>"Ok"</formula>
    </cfRule>
  </conditionalFormatting>
  <conditionalFormatting sqref="P37">
    <cfRule type="cellIs" dxfId="47" priority="19" operator="equal">
      <formula>"Nok"</formula>
    </cfRule>
    <cfRule type="cellIs" dxfId="46" priority="20" operator="equal">
      <formula>"Ok"</formula>
    </cfRule>
  </conditionalFormatting>
  <conditionalFormatting sqref="P38">
    <cfRule type="cellIs" dxfId="45" priority="17" operator="equal">
      <formula>"Nok"</formula>
    </cfRule>
    <cfRule type="cellIs" dxfId="44" priority="18" operator="equal">
      <formula>"Ok"</formula>
    </cfRule>
  </conditionalFormatting>
  <conditionalFormatting sqref="P23">
    <cfRule type="cellIs" dxfId="43" priority="15" operator="equal">
      <formula>"Nok"</formula>
    </cfRule>
    <cfRule type="cellIs" dxfId="42" priority="16" operator="equal">
      <formula>"Ok"</formula>
    </cfRule>
  </conditionalFormatting>
  <conditionalFormatting sqref="P24">
    <cfRule type="cellIs" dxfId="41" priority="11" operator="equal">
      <formula>"Nok"</formula>
    </cfRule>
    <cfRule type="cellIs" dxfId="40" priority="12" operator="equal">
      <formula>"Ok"</formula>
    </cfRule>
  </conditionalFormatting>
  <conditionalFormatting sqref="P25">
    <cfRule type="cellIs" dxfId="39" priority="9" operator="equal">
      <formula>"Nok"</formula>
    </cfRule>
    <cfRule type="cellIs" dxfId="38" priority="10" operator="equal">
      <formula>"Ok"</formula>
    </cfRule>
  </conditionalFormatting>
  <conditionalFormatting sqref="P26">
    <cfRule type="cellIs" dxfId="37" priority="7" operator="equal">
      <formula>"Nok"</formula>
    </cfRule>
    <cfRule type="cellIs" dxfId="36" priority="8" operator="equal">
      <formula>"Ok"</formula>
    </cfRule>
  </conditionalFormatting>
  <conditionalFormatting sqref="P27">
    <cfRule type="cellIs" dxfId="35" priority="5" operator="equal">
      <formula>"Nok"</formula>
    </cfRule>
    <cfRule type="cellIs" dxfId="34" priority="6" operator="equal">
      <formula>"Ok"</formula>
    </cfRule>
  </conditionalFormatting>
  <conditionalFormatting sqref="P28">
    <cfRule type="cellIs" dxfId="33" priority="3" operator="equal">
      <formula>"Nok"</formula>
    </cfRule>
    <cfRule type="cellIs" dxfId="32" priority="4" operator="equal">
      <formula>"Ok"</formula>
    </cfRule>
  </conditionalFormatting>
  <conditionalFormatting sqref="P29">
    <cfRule type="cellIs" dxfId="31" priority="1" operator="equal">
      <formula>"Nok"</formula>
    </cfRule>
    <cfRule type="cellIs" dxfId="30" priority="2" operator="equal">
      <formula>"Ok"</formula>
    </cfRule>
  </conditionalFormatting>
  <dataValidations count="3">
    <dataValidation type="list" allowBlank="1" showInputMessage="1" showErrorMessage="1" sqref="B5" xr:uid="{8FED5D4C-327A-49C5-872F-05B89094A9BA}">
      <formula1>"Nominal, Robustness, Endurance, Qualification"</formula1>
    </dataValidation>
    <dataValidation type="list" allowBlank="1" showInputMessage="1" showErrorMessage="1" sqref="B9" xr:uid="{7B4A50C9-A083-4741-8F88-639411A9C332}">
      <formula1>"Ok, Nok, Not run, NA"</formula1>
    </dataValidation>
    <dataValidation type="list" allowBlank="1" showInputMessage="1" showErrorMessage="1" sqref="P22:P38" xr:uid="{39925144-31D9-4ADA-A246-0FB4E33FA8D3}">
      <formula1>"Ok, Nok, Not run, ,"</formula1>
    </dataValidation>
  </dataValidations>
  <pageMargins left="0.7" right="0.7" top="0.75" bottom="0.75" header="0.3" footer="0.3"/>
  <pageSetup paperSize="9" orientation="portrait" r:id="rId1"/>
  <headerFooter>
    <oddFooter>&amp;LNA ver 1.1&amp;R&amp;P</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C37C0-A397-4F8A-B80A-5D8359FFD282}">
  <sheetPr codeName="Sheet17"/>
  <dimension ref="A1:P38"/>
  <sheetViews>
    <sheetView workbookViewId="0">
      <selection activeCell="H24" sqref="H24:K24"/>
    </sheetView>
  </sheetViews>
  <sheetFormatPr defaultColWidth="9.33203125" defaultRowHeight="13.2" x14ac:dyDescent="0.25"/>
  <cols>
    <col min="1" max="1" width="20.33203125" style="93" customWidth="1"/>
    <col min="2" max="2" width="18.44140625" style="89" customWidth="1"/>
    <col min="3" max="6" width="9.33203125" style="89"/>
    <col min="7" max="7" width="12" style="89" customWidth="1"/>
    <col min="8" max="15" width="9.5546875" style="89" customWidth="1"/>
    <col min="16" max="16384" width="9.33203125" style="89"/>
  </cols>
  <sheetData>
    <row r="1" spans="1:15" ht="13.8" thickBot="1" x14ac:dyDescent="0.3">
      <c r="A1" s="94" t="s">
        <v>39</v>
      </c>
      <c r="B1" s="198" t="s">
        <v>304</v>
      </c>
      <c r="C1" s="238"/>
      <c r="D1" s="238"/>
      <c r="E1" s="238"/>
      <c r="F1" s="238"/>
      <c r="G1" s="239"/>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95" t="s">
        <v>44</v>
      </c>
      <c r="B3" s="232" t="s">
        <v>307</v>
      </c>
      <c r="C3" s="233"/>
      <c r="D3" s="233"/>
      <c r="E3" s="233"/>
      <c r="F3" s="233"/>
      <c r="G3" s="234"/>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94" t="s">
        <v>108</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94" t="s">
        <v>40</v>
      </c>
      <c r="B7" s="201" t="s">
        <v>305</v>
      </c>
      <c r="C7" s="202"/>
      <c r="D7" s="202"/>
      <c r="E7" s="202"/>
      <c r="F7" s="202"/>
      <c r="G7" s="20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94" t="s">
        <v>41</v>
      </c>
      <c r="B9" s="99" t="s">
        <v>207</v>
      </c>
      <c r="C9" s="73"/>
      <c r="D9" s="74"/>
      <c r="E9" s="74"/>
      <c r="F9" s="74"/>
      <c r="G9" s="74"/>
      <c r="H9" s="74"/>
      <c r="I9" s="74"/>
      <c r="J9" s="74"/>
      <c r="K9" s="74"/>
      <c r="L9" s="74"/>
      <c r="M9" s="74"/>
      <c r="N9" s="74"/>
      <c r="O9" s="74"/>
    </row>
    <row r="10" spans="1:15" ht="13.8" thickBot="1" x14ac:dyDescent="0.3">
      <c r="A10" s="76"/>
      <c r="B10" s="90"/>
      <c r="C10" s="73"/>
      <c r="D10" s="74"/>
      <c r="E10" s="74"/>
      <c r="F10" s="74"/>
      <c r="G10" s="74"/>
      <c r="H10" s="74"/>
      <c r="I10" s="74"/>
      <c r="J10" s="74"/>
      <c r="K10" s="74"/>
      <c r="L10" s="74"/>
      <c r="M10" s="74"/>
      <c r="N10" s="74"/>
      <c r="O10" s="74"/>
    </row>
    <row r="11" spans="1:15" ht="12" customHeight="1" x14ac:dyDescent="0.25">
      <c r="A11" s="211" t="s">
        <v>110</v>
      </c>
      <c r="B11" s="219" t="s">
        <v>131</v>
      </c>
      <c r="C11" s="220"/>
      <c r="D11" s="220"/>
      <c r="E11" s="220"/>
      <c r="F11" s="220"/>
      <c r="G11" s="221"/>
      <c r="H11" s="74"/>
      <c r="I11" s="74"/>
      <c r="J11" s="74"/>
      <c r="K11" s="74"/>
      <c r="L11" s="74"/>
      <c r="M11" s="74"/>
      <c r="N11" s="74"/>
      <c r="O11" s="74"/>
    </row>
    <row r="12" spans="1:15" x14ac:dyDescent="0.25">
      <c r="A12" s="212"/>
      <c r="B12" s="222"/>
      <c r="C12" s="223"/>
      <c r="D12" s="223"/>
      <c r="E12" s="223"/>
      <c r="F12" s="223"/>
      <c r="G12" s="224"/>
      <c r="H12" s="74"/>
      <c r="I12" s="74"/>
      <c r="J12" s="74"/>
      <c r="K12" s="74"/>
      <c r="L12" s="74"/>
      <c r="M12" s="74"/>
      <c r="N12" s="74"/>
      <c r="O12" s="74"/>
    </row>
    <row r="13" spans="1:15" x14ac:dyDescent="0.25">
      <c r="A13" s="212"/>
      <c r="B13" s="222"/>
      <c r="C13" s="223"/>
      <c r="D13" s="223"/>
      <c r="E13" s="223"/>
      <c r="F13" s="223"/>
      <c r="G13" s="224"/>
      <c r="H13" s="72"/>
      <c r="I13" s="74"/>
      <c r="J13" s="74"/>
      <c r="K13" s="74"/>
      <c r="L13" s="74"/>
      <c r="M13" s="74"/>
      <c r="N13" s="74"/>
      <c r="O13" s="74"/>
    </row>
    <row r="14" spans="1:15" ht="13.8" thickBot="1" x14ac:dyDescent="0.3">
      <c r="A14" s="212"/>
      <c r="B14" s="225"/>
      <c r="C14" s="226"/>
      <c r="D14" s="226"/>
      <c r="E14" s="226"/>
      <c r="F14" s="226"/>
      <c r="G14" s="22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ht="13.2" customHeight="1" x14ac:dyDescent="0.25">
      <c r="A16" s="211" t="s">
        <v>42</v>
      </c>
      <c r="B16" s="219" t="s">
        <v>133</v>
      </c>
      <c r="C16" s="220"/>
      <c r="D16" s="220"/>
      <c r="E16" s="220"/>
      <c r="F16" s="220"/>
      <c r="G16" s="221"/>
      <c r="H16" s="74"/>
      <c r="I16" s="74"/>
      <c r="J16" s="74"/>
      <c r="K16" s="74"/>
      <c r="L16" s="74"/>
      <c r="M16" s="74"/>
      <c r="N16" s="74"/>
      <c r="O16" s="74"/>
    </row>
    <row r="17" spans="1:16" ht="13.2" customHeight="1" x14ac:dyDescent="0.25">
      <c r="A17" s="212"/>
      <c r="B17" s="222"/>
      <c r="C17" s="223"/>
      <c r="D17" s="223"/>
      <c r="E17" s="223"/>
      <c r="F17" s="223"/>
      <c r="G17" s="224"/>
      <c r="H17" s="74"/>
      <c r="I17" s="74"/>
      <c r="J17" s="74"/>
      <c r="K17" s="74"/>
      <c r="L17" s="74"/>
      <c r="M17" s="74"/>
      <c r="N17" s="74"/>
      <c r="O17" s="74"/>
    </row>
    <row r="18" spans="1:16" x14ac:dyDescent="0.25">
      <c r="A18" s="212"/>
      <c r="B18" s="222"/>
      <c r="C18" s="223"/>
      <c r="D18" s="223"/>
      <c r="E18" s="223"/>
      <c r="F18" s="223"/>
      <c r="G18" s="224"/>
      <c r="H18" s="72"/>
      <c r="I18" s="74"/>
      <c r="J18" s="74"/>
      <c r="K18" s="74"/>
      <c r="L18" s="74"/>
      <c r="M18" s="74"/>
      <c r="N18" s="74"/>
      <c r="O18" s="74"/>
    </row>
    <row r="19" spans="1:16" ht="13.8" thickBot="1" x14ac:dyDescent="0.3">
      <c r="A19" s="212"/>
      <c r="B19" s="225"/>
      <c r="C19" s="226"/>
      <c r="D19" s="226"/>
      <c r="E19" s="226"/>
      <c r="F19" s="226"/>
      <c r="G19" s="22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204" t="s">
        <v>46</v>
      </c>
      <c r="B21" s="205"/>
      <c r="C21" s="205"/>
      <c r="D21" s="205"/>
      <c r="E21" s="205"/>
      <c r="F21" s="205"/>
      <c r="G21" s="206"/>
      <c r="H21" s="204" t="s">
        <v>47</v>
      </c>
      <c r="I21" s="205"/>
      <c r="J21" s="205"/>
      <c r="K21" s="206"/>
      <c r="L21" s="204" t="s">
        <v>58</v>
      </c>
      <c r="M21" s="205"/>
      <c r="N21" s="205"/>
      <c r="O21" s="206"/>
      <c r="P21" s="96" t="s">
        <v>45</v>
      </c>
    </row>
    <row r="22" spans="1:16" ht="50.25" customHeight="1" x14ac:dyDescent="0.25">
      <c r="A22" s="97" t="s">
        <v>48</v>
      </c>
      <c r="B22" s="213" t="s">
        <v>310</v>
      </c>
      <c r="C22" s="214"/>
      <c r="D22" s="214"/>
      <c r="E22" s="214"/>
      <c r="F22" s="214"/>
      <c r="G22" s="215"/>
      <c r="H22" s="207" t="s">
        <v>308</v>
      </c>
      <c r="I22" s="208"/>
      <c r="J22" s="208"/>
      <c r="K22" s="209"/>
      <c r="L22" s="207" t="s">
        <v>309</v>
      </c>
      <c r="M22" s="208"/>
      <c r="N22" s="208"/>
      <c r="O22" s="209"/>
      <c r="P22" s="91" t="s">
        <v>207</v>
      </c>
    </row>
    <row r="23" spans="1:16" ht="50.25" customHeight="1" x14ac:dyDescent="0.25">
      <c r="A23" s="97" t="s">
        <v>49</v>
      </c>
      <c r="B23" s="213" t="s">
        <v>311</v>
      </c>
      <c r="C23" s="214"/>
      <c r="D23" s="214"/>
      <c r="E23" s="214"/>
      <c r="F23" s="214"/>
      <c r="G23" s="215"/>
      <c r="H23" s="207" t="s">
        <v>315</v>
      </c>
      <c r="I23" s="208"/>
      <c r="J23" s="208"/>
      <c r="K23" s="209"/>
      <c r="L23" s="207" t="s">
        <v>315</v>
      </c>
      <c r="M23" s="208"/>
      <c r="N23" s="208"/>
      <c r="O23" s="209"/>
      <c r="P23" s="91" t="s">
        <v>206</v>
      </c>
    </row>
    <row r="24" spans="1:16" ht="41.7" customHeight="1" x14ac:dyDescent="0.25">
      <c r="A24" s="97" t="s">
        <v>50</v>
      </c>
      <c r="B24" s="213" t="s">
        <v>312</v>
      </c>
      <c r="C24" s="214"/>
      <c r="D24" s="214"/>
      <c r="E24" s="214"/>
      <c r="F24" s="214"/>
      <c r="G24" s="215"/>
      <c r="H24" s="207" t="s">
        <v>313</v>
      </c>
      <c r="I24" s="208"/>
      <c r="J24" s="208"/>
      <c r="K24" s="209"/>
      <c r="L24" s="207" t="s">
        <v>314</v>
      </c>
      <c r="M24" s="208"/>
      <c r="N24" s="208"/>
      <c r="O24" s="209"/>
      <c r="P24" s="91" t="s">
        <v>207</v>
      </c>
    </row>
    <row r="25" spans="1:16" ht="39.450000000000003" customHeight="1" x14ac:dyDescent="0.25">
      <c r="A25" s="97" t="s">
        <v>51</v>
      </c>
      <c r="B25" s="213"/>
      <c r="C25" s="214"/>
      <c r="D25" s="214"/>
      <c r="E25" s="214"/>
      <c r="F25" s="214"/>
      <c r="G25" s="215"/>
      <c r="H25" s="207"/>
      <c r="I25" s="208"/>
      <c r="J25" s="208"/>
      <c r="K25" s="209"/>
      <c r="L25" s="207"/>
      <c r="M25" s="208"/>
      <c r="N25" s="208"/>
      <c r="O25" s="209"/>
      <c r="P25" s="91"/>
    </row>
    <row r="26" spans="1:16" ht="50.25" customHeight="1" x14ac:dyDescent="0.25">
      <c r="A26" s="97" t="s">
        <v>48</v>
      </c>
      <c r="B26" s="213"/>
      <c r="C26" s="214"/>
      <c r="D26" s="214"/>
      <c r="E26" s="214"/>
      <c r="F26" s="214"/>
      <c r="G26" s="215"/>
      <c r="H26" s="207"/>
      <c r="I26" s="208"/>
      <c r="J26" s="208"/>
      <c r="K26" s="209"/>
      <c r="L26" s="207"/>
      <c r="M26" s="208"/>
      <c r="N26" s="208"/>
      <c r="O26" s="209"/>
      <c r="P26" s="91"/>
    </row>
    <row r="27" spans="1:16" ht="39" customHeight="1" x14ac:dyDescent="0.25">
      <c r="A27" s="97" t="s">
        <v>52</v>
      </c>
      <c r="B27" s="213"/>
      <c r="C27" s="214"/>
      <c r="D27" s="214"/>
      <c r="E27" s="214"/>
      <c r="F27" s="214"/>
      <c r="G27" s="215"/>
      <c r="H27" s="207"/>
      <c r="I27" s="208"/>
      <c r="J27" s="208"/>
      <c r="K27" s="209"/>
      <c r="L27" s="207"/>
      <c r="M27" s="208"/>
      <c r="N27" s="208"/>
      <c r="O27" s="209"/>
      <c r="P27" s="91"/>
    </row>
    <row r="28" spans="1:16" ht="51.75" customHeight="1" x14ac:dyDescent="0.25">
      <c r="A28" s="97" t="s">
        <v>53</v>
      </c>
      <c r="B28" s="213"/>
      <c r="C28" s="214"/>
      <c r="D28" s="214"/>
      <c r="E28" s="214"/>
      <c r="F28" s="214"/>
      <c r="G28" s="215"/>
      <c r="H28" s="207"/>
      <c r="I28" s="208"/>
      <c r="J28" s="208"/>
      <c r="K28" s="209"/>
      <c r="L28" s="207"/>
      <c r="M28" s="208"/>
      <c r="N28" s="208"/>
      <c r="O28" s="209"/>
      <c r="P28" s="91"/>
    </row>
    <row r="29" spans="1:16" ht="42" customHeight="1" x14ac:dyDescent="0.25">
      <c r="A29" s="97" t="s">
        <v>54</v>
      </c>
      <c r="B29" s="213"/>
      <c r="C29" s="214"/>
      <c r="D29" s="214"/>
      <c r="E29" s="214"/>
      <c r="F29" s="214"/>
      <c r="G29" s="215"/>
      <c r="H29" s="207"/>
      <c r="I29" s="208"/>
      <c r="J29" s="208"/>
      <c r="K29" s="209"/>
      <c r="L29" s="207"/>
      <c r="M29" s="208"/>
      <c r="N29" s="208"/>
      <c r="O29" s="209"/>
      <c r="P29" s="91"/>
    </row>
    <row r="30" spans="1:16" ht="26.25" customHeight="1" x14ac:dyDescent="0.25">
      <c r="A30" s="97" t="s">
        <v>55</v>
      </c>
      <c r="B30" s="235"/>
      <c r="C30" s="236"/>
      <c r="D30" s="236"/>
      <c r="E30" s="236"/>
      <c r="F30" s="236"/>
      <c r="G30" s="237"/>
      <c r="H30" s="216"/>
      <c r="I30" s="217"/>
      <c r="J30" s="217"/>
      <c r="K30" s="218"/>
      <c r="L30" s="207"/>
      <c r="M30" s="208"/>
      <c r="N30" s="208"/>
      <c r="O30" s="209"/>
      <c r="P30" s="91"/>
    </row>
    <row r="31" spans="1:16" ht="24" customHeight="1" x14ac:dyDescent="0.25">
      <c r="A31" s="97" t="s">
        <v>56</v>
      </c>
      <c r="B31" s="235"/>
      <c r="C31" s="236"/>
      <c r="D31" s="236"/>
      <c r="E31" s="236"/>
      <c r="F31" s="236"/>
      <c r="G31" s="237"/>
      <c r="H31" s="216"/>
      <c r="I31" s="217"/>
      <c r="J31" s="217"/>
      <c r="K31" s="218"/>
      <c r="L31" s="207"/>
      <c r="M31" s="208"/>
      <c r="N31" s="208"/>
      <c r="O31" s="209"/>
      <c r="P31" s="91"/>
    </row>
    <row r="32" spans="1:16" ht="42.75" customHeight="1" x14ac:dyDescent="0.25">
      <c r="A32" s="97" t="s">
        <v>181</v>
      </c>
      <c r="B32" s="235"/>
      <c r="C32" s="236"/>
      <c r="D32" s="236"/>
      <c r="E32" s="236"/>
      <c r="F32" s="236"/>
      <c r="G32" s="237"/>
      <c r="H32" s="216"/>
      <c r="I32" s="217"/>
      <c r="J32" s="217"/>
      <c r="K32" s="218"/>
      <c r="L32" s="207"/>
      <c r="M32" s="208"/>
      <c r="N32" s="208"/>
      <c r="O32" s="209"/>
      <c r="P32" s="91"/>
    </row>
    <row r="33" spans="1:16" ht="26.25" customHeight="1" x14ac:dyDescent="0.25">
      <c r="A33" s="97" t="s">
        <v>182</v>
      </c>
      <c r="B33" s="235"/>
      <c r="C33" s="236"/>
      <c r="D33" s="236"/>
      <c r="E33" s="236"/>
      <c r="F33" s="236"/>
      <c r="G33" s="237"/>
      <c r="H33" s="216"/>
      <c r="I33" s="217"/>
      <c r="J33" s="217"/>
      <c r="K33" s="218"/>
      <c r="L33" s="207"/>
      <c r="M33" s="208"/>
      <c r="N33" s="208"/>
      <c r="O33" s="209"/>
      <c r="P33" s="91"/>
    </row>
    <row r="34" spans="1:16" ht="28.5" customHeight="1" x14ac:dyDescent="0.25">
      <c r="A34" s="97" t="s">
        <v>183</v>
      </c>
      <c r="B34" s="235"/>
      <c r="C34" s="236"/>
      <c r="D34" s="236"/>
      <c r="E34" s="236"/>
      <c r="F34" s="236"/>
      <c r="G34" s="237"/>
      <c r="H34" s="216"/>
      <c r="I34" s="217"/>
      <c r="J34" s="217"/>
      <c r="K34" s="218"/>
      <c r="L34" s="207"/>
      <c r="M34" s="208"/>
      <c r="N34" s="208"/>
      <c r="O34" s="209"/>
      <c r="P34" s="91"/>
    </row>
    <row r="35" spans="1:16" ht="40.5" customHeight="1" x14ac:dyDescent="0.25">
      <c r="A35" s="97" t="s">
        <v>184</v>
      </c>
      <c r="B35" s="235"/>
      <c r="C35" s="236"/>
      <c r="D35" s="236"/>
      <c r="E35" s="236"/>
      <c r="F35" s="236"/>
      <c r="G35" s="237"/>
      <c r="H35" s="216"/>
      <c r="I35" s="217"/>
      <c r="J35" s="217"/>
      <c r="K35" s="218"/>
      <c r="L35" s="207"/>
      <c r="M35" s="208"/>
      <c r="N35" s="208"/>
      <c r="O35" s="209"/>
      <c r="P35" s="91"/>
    </row>
    <row r="36" spans="1:16" ht="27" customHeight="1" x14ac:dyDescent="0.25">
      <c r="A36" s="97" t="s">
        <v>194</v>
      </c>
      <c r="B36" s="235"/>
      <c r="C36" s="236"/>
      <c r="D36" s="236"/>
      <c r="E36" s="236"/>
      <c r="F36" s="236"/>
      <c r="G36" s="237"/>
      <c r="H36" s="216"/>
      <c r="I36" s="217"/>
      <c r="J36" s="217"/>
      <c r="K36" s="218"/>
      <c r="L36" s="207"/>
      <c r="M36" s="208"/>
      <c r="N36" s="208"/>
      <c r="O36" s="209"/>
      <c r="P36" s="91"/>
    </row>
    <row r="37" spans="1:16" ht="26.25" customHeight="1" x14ac:dyDescent="0.25">
      <c r="A37" s="97" t="s">
        <v>195</v>
      </c>
      <c r="B37" s="235"/>
      <c r="C37" s="236"/>
      <c r="D37" s="236"/>
      <c r="E37" s="236"/>
      <c r="F37" s="236"/>
      <c r="G37" s="237"/>
      <c r="H37" s="216"/>
      <c r="I37" s="217"/>
      <c r="J37" s="217"/>
      <c r="K37" s="218"/>
      <c r="L37" s="207"/>
      <c r="M37" s="208"/>
      <c r="N37" s="208"/>
      <c r="O37" s="209"/>
      <c r="P37" s="91"/>
    </row>
    <row r="38" spans="1:16" ht="43.5" customHeight="1" x14ac:dyDescent="0.25">
      <c r="A38" s="97" t="s">
        <v>245</v>
      </c>
      <c r="B38" s="235"/>
      <c r="C38" s="236"/>
      <c r="D38" s="236"/>
      <c r="E38" s="236"/>
      <c r="F38" s="236"/>
      <c r="G38" s="237"/>
      <c r="H38" s="216"/>
      <c r="I38" s="217"/>
      <c r="J38" s="217"/>
      <c r="K38" s="218"/>
      <c r="L38" s="207"/>
      <c r="M38" s="208"/>
      <c r="N38" s="208"/>
      <c r="O38" s="209"/>
      <c r="P38" s="91"/>
    </row>
  </sheetData>
  <mergeCells count="61">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s>
  <conditionalFormatting sqref="B9:B10">
    <cfRule type="cellIs" dxfId="29" priority="29" operator="equal">
      <formula>"Nok"</formula>
    </cfRule>
    <cfRule type="cellIs" dxfId="28" priority="30" operator="equal">
      <formula>"Ok"</formula>
    </cfRule>
  </conditionalFormatting>
  <conditionalFormatting sqref="P22">
    <cfRule type="cellIs" dxfId="27" priority="27" operator="equal">
      <formula>"Nok"</formula>
    </cfRule>
    <cfRule type="cellIs" dxfId="26" priority="28" operator="equal">
      <formula>"Ok"</formula>
    </cfRule>
  </conditionalFormatting>
  <conditionalFormatting sqref="P30:P33">
    <cfRule type="cellIs" dxfId="25" priority="25" operator="equal">
      <formula>"Nok"</formula>
    </cfRule>
    <cfRule type="cellIs" dxfId="24" priority="26" operator="equal">
      <formula>"Ok"</formula>
    </cfRule>
  </conditionalFormatting>
  <conditionalFormatting sqref="P35">
    <cfRule type="cellIs" dxfId="23" priority="23" operator="equal">
      <formula>"Nok"</formula>
    </cfRule>
    <cfRule type="cellIs" dxfId="22" priority="24" operator="equal">
      <formula>"Ok"</formula>
    </cfRule>
  </conditionalFormatting>
  <conditionalFormatting sqref="P34">
    <cfRule type="cellIs" dxfId="21" priority="21" operator="equal">
      <formula>"Nok"</formula>
    </cfRule>
    <cfRule type="cellIs" dxfId="20" priority="22" operator="equal">
      <formula>"Ok"</formula>
    </cfRule>
  </conditionalFormatting>
  <conditionalFormatting sqref="P36">
    <cfRule type="cellIs" dxfId="19" priority="19" operator="equal">
      <formula>"Nok"</formula>
    </cfRule>
    <cfRule type="cellIs" dxfId="18" priority="20" operator="equal">
      <formula>"Ok"</formula>
    </cfRule>
  </conditionalFormatting>
  <conditionalFormatting sqref="P37">
    <cfRule type="cellIs" dxfId="17" priority="17" operator="equal">
      <formula>"Nok"</formula>
    </cfRule>
    <cfRule type="cellIs" dxfId="16" priority="18" operator="equal">
      <formula>"Ok"</formula>
    </cfRule>
  </conditionalFormatting>
  <conditionalFormatting sqref="P38">
    <cfRule type="cellIs" dxfId="15" priority="15" operator="equal">
      <formula>"Nok"</formula>
    </cfRule>
    <cfRule type="cellIs" dxfId="14" priority="16" operator="equal">
      <formula>"Ok"</formula>
    </cfRule>
  </conditionalFormatting>
  <conditionalFormatting sqref="P23">
    <cfRule type="cellIs" dxfId="13" priority="13" operator="equal">
      <formula>"Nok"</formula>
    </cfRule>
    <cfRule type="cellIs" dxfId="12" priority="14" operator="equal">
      <formula>"Ok"</formula>
    </cfRule>
  </conditionalFormatting>
  <conditionalFormatting sqref="P24">
    <cfRule type="cellIs" dxfId="11" priority="11" operator="equal">
      <formula>"Nok"</formula>
    </cfRule>
    <cfRule type="cellIs" dxfId="10" priority="12" operator="equal">
      <formula>"Ok"</formula>
    </cfRule>
  </conditionalFormatting>
  <conditionalFormatting sqref="P25">
    <cfRule type="cellIs" dxfId="9" priority="9" operator="equal">
      <formula>"Nok"</formula>
    </cfRule>
    <cfRule type="cellIs" dxfId="8" priority="10" operator="equal">
      <formula>"Ok"</formula>
    </cfRule>
  </conditionalFormatting>
  <conditionalFormatting sqref="P26">
    <cfRule type="cellIs" dxfId="7" priority="7" operator="equal">
      <formula>"Nok"</formula>
    </cfRule>
    <cfRule type="cellIs" dxfId="6" priority="8" operator="equal">
      <formula>"Ok"</formula>
    </cfRule>
  </conditionalFormatting>
  <conditionalFormatting sqref="P27">
    <cfRule type="cellIs" dxfId="5" priority="5" operator="equal">
      <formula>"Nok"</formula>
    </cfRule>
    <cfRule type="cellIs" dxfId="4" priority="6" operator="equal">
      <formula>"Ok"</formula>
    </cfRule>
  </conditionalFormatting>
  <conditionalFormatting sqref="P28">
    <cfRule type="cellIs" dxfId="3" priority="3" operator="equal">
      <formula>"Nok"</formula>
    </cfRule>
    <cfRule type="cellIs" dxfId="2" priority="4" operator="equal">
      <formula>"Ok"</formula>
    </cfRule>
  </conditionalFormatting>
  <conditionalFormatting sqref="P29">
    <cfRule type="cellIs" dxfId="1" priority="1" operator="equal">
      <formula>"Nok"</formula>
    </cfRule>
    <cfRule type="cellIs" dxfId="0" priority="2" operator="equal">
      <formula>"Ok"</formula>
    </cfRule>
  </conditionalFormatting>
  <dataValidations count="3">
    <dataValidation type="list" allowBlank="1" showInputMessage="1" showErrorMessage="1" sqref="P22:P38" xr:uid="{4F9D9C76-735D-4AF6-AD0A-C774B9EE706F}">
      <formula1>"Ok, Nok, Not run, ,"</formula1>
    </dataValidation>
    <dataValidation type="list" allowBlank="1" showInputMessage="1" showErrorMessage="1" sqref="B9" xr:uid="{90545C82-E5F1-410B-B9A5-67EC180BB2BA}">
      <formula1>"Ok, Nok, Not run, NA"</formula1>
    </dataValidation>
    <dataValidation type="list" allowBlank="1" showInputMessage="1" showErrorMessage="1" sqref="B5" xr:uid="{E9BDDFE2-91D8-45CF-8F80-68FBB0FFB6CC}">
      <formula1>"Nominal, Robustness, Endurance, Qualification"</formula1>
    </dataValidation>
  </dataValidations>
  <pageMargins left="0.7" right="0.7" top="0.75" bottom="0.75" header="0.3" footer="0.3"/>
  <pageSetup paperSize="9" orientation="portrait" r:id="rId1"/>
  <headerFooter>
    <oddFooter>&amp;LNA ver 1.1&amp;R&amp;P</oddFoot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F6"/>
  <sheetViews>
    <sheetView workbookViewId="0">
      <selection activeCell="F4" sqref="F4"/>
    </sheetView>
  </sheetViews>
  <sheetFormatPr defaultColWidth="9.33203125" defaultRowHeight="14.4" x14ac:dyDescent="0.3"/>
  <cols>
    <col min="1" max="1" width="4.33203125" style="79" customWidth="1"/>
    <col min="2" max="2" width="24.6640625" style="79" customWidth="1"/>
    <col min="3" max="3" width="4.5546875" style="79" customWidth="1"/>
    <col min="4" max="4" width="4.44140625" style="79" customWidth="1"/>
    <col min="5" max="5" width="29.6640625" style="79" bestFit="1" customWidth="1"/>
    <col min="6" max="6" width="11.6640625" style="79" customWidth="1"/>
    <col min="7" max="16384" width="9.33203125" style="79"/>
  </cols>
  <sheetData>
    <row r="2" spans="2:6" x14ac:dyDescent="0.3">
      <c r="B2" s="80" t="s">
        <v>59</v>
      </c>
      <c r="C2" s="80">
        <f ca="1">COUNTIF('Tests Synthesis'!K3:K47, "Ok")</f>
        <v>8</v>
      </c>
      <c r="E2" s="81" t="s">
        <v>60</v>
      </c>
      <c r="F2" s="82">
        <f ca="1">IF(C6=0,0,C2/C6)</f>
        <v>0.66666666666666663</v>
      </c>
    </row>
    <row r="3" spans="2:6" x14ac:dyDescent="0.3">
      <c r="B3" s="80" t="s">
        <v>61</v>
      </c>
      <c r="C3" s="80">
        <f ca="1">COUNTIF('Tests Synthesis'!K3:K47, "Nok")</f>
        <v>4</v>
      </c>
      <c r="E3" s="81" t="s">
        <v>62</v>
      </c>
      <c r="F3" s="82">
        <f ca="1">IF(C6=0,0,C3/C6)</f>
        <v>0.33333333333333331</v>
      </c>
    </row>
    <row r="4" spans="2:6" x14ac:dyDescent="0.3">
      <c r="B4" s="80" t="s">
        <v>63</v>
      </c>
      <c r="C4" s="80">
        <f ca="1">COUNTIF('Tests Synthesis'!K3:K47, "not run")</f>
        <v>0</v>
      </c>
      <c r="E4" s="80" t="s">
        <v>64</v>
      </c>
      <c r="F4" s="82">
        <f ca="1">IF(C6=0,0,C4/C6)</f>
        <v>0</v>
      </c>
    </row>
    <row r="5" spans="2:6" x14ac:dyDescent="0.3">
      <c r="B5" s="80" t="s">
        <v>115</v>
      </c>
      <c r="C5" s="80">
        <f ca="1">COUNTIF('Tests Synthesis'!K4:K48, "NA")</f>
        <v>0</v>
      </c>
      <c r="E5" s="80" t="s">
        <v>116</v>
      </c>
      <c r="F5" s="82">
        <f>IF(C7=0,0,C5/C7)</f>
        <v>0</v>
      </c>
    </row>
    <row r="6" spans="2:6" x14ac:dyDescent="0.3">
      <c r="B6" s="80" t="s">
        <v>65</v>
      </c>
      <c r="C6" s="80">
        <f ca="1">SUM(C2:C4)</f>
        <v>12</v>
      </c>
    </row>
  </sheetData>
  <pageMargins left="0.7" right="0.7" top="0.75" bottom="0.75" header="0.3" footer="0.3"/>
  <pageSetup paperSize="9" orientation="portrait" r:id="rId1"/>
  <headerFooter>
    <oddFooter>&amp;LNA ver 1.1&amp;R&amp;P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12</vt:i4>
      </vt:variant>
    </vt:vector>
  </HeadingPairs>
  <TitlesOfParts>
    <vt:vector size="29" baseType="lpstr">
      <vt:lpstr>FrontPage</vt:lpstr>
      <vt:lpstr>General info</vt:lpstr>
      <vt:lpstr>Guide (help)</vt:lpstr>
      <vt:lpstr>Tests Synthesis</vt:lpstr>
      <vt:lpstr>SW_IT_PMP_0001</vt:lpstr>
      <vt:lpstr>SW_IT_PMP_0002</vt:lpstr>
      <vt:lpstr>SW_IT_PMP_0003</vt:lpstr>
      <vt:lpstr>SW_IT_PMP_0004</vt:lpstr>
      <vt:lpstr>SW_IT_PMP_0005</vt:lpstr>
      <vt:lpstr>SW_IT_PMP_0006</vt:lpstr>
      <vt:lpstr>SW_IT_PMP_0007</vt:lpstr>
      <vt:lpstr>SW_IT_PMP_0008</vt:lpstr>
      <vt:lpstr>SW_IT_PMP_0009</vt:lpstr>
      <vt:lpstr>SW_IT_PMP_0010</vt:lpstr>
      <vt:lpstr>SW_IT_PMP_0011</vt:lpstr>
      <vt:lpstr>SW_IT_PMP_0012</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Kask</dc:creator>
  <cp:lastModifiedBy>Mihai Ianos</cp:lastModifiedBy>
  <cp:lastPrinted>2011-11-28T23:54:39Z</cp:lastPrinted>
  <dcterms:created xsi:type="dcterms:W3CDTF">2008-08-11T11:06:44Z</dcterms:created>
  <dcterms:modified xsi:type="dcterms:W3CDTF">2022-10-27T14:13:35Z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heckin User" linkTarget="PLMDocAuthor">
    <vt:lpwstr>V. Chioveanu</vt:lpwstr>
  </property>
  <property fmtid="{D5CDD505-2E9C-101B-9397-08002B2CF9AE}" pid="15" name="MXCurrent">
    <vt:lpwstr>Preliminary</vt:lpwstr>
  </property>
  <property fmtid="{D5CDD505-2E9C-101B-9397-08002B2CF9AE}" pid="16" name="MXDescription">
    <vt:lpwstr/>
  </property>
  <property fmtid="{D5CDD505-2E9C-101B-9397-08002B2CF9AE}" pid="17" name="MXDesignated User">
    <vt:lpwstr>Unassigned</vt:lpwstr>
  </property>
  <property fmtid="{D5CDD505-2E9C-101B-9397-08002B2CF9AE}" pid="18" name="MXEmail">
    <vt:lpwstr>johannes.kask@autoliv.com</vt:lpwstr>
  </property>
  <property fmtid="{D5CDD505-2E9C-101B-9397-08002B2CF9AE}" pid="19" name="MXFirstName">
    <vt:lpwstr>Johannes</vt:lpwstr>
  </property>
  <property fmtid="{D5CDD505-2E9C-101B-9397-08002B2CF9AE}" pid="20" name="MXIs Version Object">
    <vt:lpwstr>False</vt:lpwstr>
  </property>
  <property fmtid="{D5CDD505-2E9C-101B-9397-08002B2CF9AE}" pid="21" name="MXLanguage">
    <vt:lpwstr>English</vt:lpwstr>
  </property>
  <property fmtid="{D5CDD505-2E9C-101B-9397-08002B2CF9AE}" pid="22" name="MXLastName">
    <vt:lpwstr>Kask</vt:lpwstr>
  </property>
  <property fmtid="{D5CDD505-2E9C-101B-9397-08002B2CF9AE}" pid="23" name="MXLatestVersion">
    <vt:lpwstr>3</vt:lpwstr>
  </property>
  <property fmtid="{D5CDD505-2E9C-101B-9397-08002B2CF9AE}" pid="24" name="MXMiddleName">
    <vt:lpwstr/>
  </property>
  <property fmtid="{D5CDD505-2E9C-101B-9397-08002B2CF9AE}" pid="25" name="MXMove Files To Version">
    <vt:lpwstr>False</vt:lpwstr>
  </property>
  <property fmtid="{D5CDD505-2E9C-101B-9397-08002B2CF9AE}" pid="26" name="MXOriginator">
    <vt:lpwstr>Mats Sundin</vt:lpwstr>
  </property>
  <property fmtid="{D5CDD505-2E9C-101B-9397-08002B2CF9AE}" pid="27" name="MXPolicy" linkTarget="MXPolicy">
    <vt:lpwstr>#REF!</vt:lpwstr>
  </property>
  <property fmtid="{D5CDD505-2E9C-101B-9397-08002B2CF9AE}" pid="28" name="MXPolicy.Localized">
    <vt:lpwstr>NoReview Document</vt:lpwstr>
  </property>
  <property fmtid="{D5CDD505-2E9C-101B-9397-08002B2CF9AE}" pid="29" name="MXRoute_In-Work_date">
    <vt:lpwstr/>
  </property>
  <property fmtid="{D5CDD505-2E9C-101B-9397-08002B2CF9AE}" pid="30" name="MXRoute_In-Work_name">
    <vt:lpwstr/>
  </property>
  <property fmtid="{D5CDD505-2E9C-101B-9397-08002B2CF9AE}" pid="31" name="MXRoute_Released_date">
    <vt:lpwstr/>
  </property>
  <property fmtid="{D5CDD505-2E9C-101B-9397-08002B2CF9AE}" pid="32" name="MXRoute_Released_name">
    <vt:lpwstr/>
  </property>
  <property fmtid="{D5CDD505-2E9C-101B-9397-08002B2CF9AE}" pid="33" name="MXRoute_Superseded_date">
    <vt:lpwstr/>
  </property>
  <property fmtid="{D5CDD505-2E9C-101B-9397-08002B2CF9AE}" pid="34" name="MXRoute_Superseded_name">
    <vt:lpwstr/>
  </property>
  <property fmtid="{D5CDD505-2E9C-101B-9397-08002B2CF9AE}" pid="35" name="MXSignatures_state_Preliminary">
    <vt:lpwstr/>
  </property>
  <property fmtid="{D5CDD505-2E9C-101B-9397-08002B2CF9AE}" pid="36" name="MXSignatures_state_Released">
    <vt:lpwstr/>
  </property>
  <property fmtid="{D5CDD505-2E9C-101B-9397-08002B2CF9AE}" pid="37" name="MXSignatures_state_Superceded">
    <vt:lpwstr/>
  </property>
  <property fmtid="{D5CDD505-2E9C-101B-9397-08002B2CF9AE}" pid="38" name="MXSuspend Versioning">
    <vt:lpwstr>False</vt:lpwstr>
  </property>
  <property fmtid="{D5CDD505-2E9C-101B-9397-08002B2CF9AE}" pid="39" name="MXType">
    <vt:lpwstr>alvProjectManagement</vt:lpwstr>
  </property>
  <property fmtid="{D5CDD505-2E9C-101B-9397-08002B2CF9AE}" pid="40" name="MXType.Localized" linkTarget="MXType.Localized">
    <vt:lpwstr>#REF!</vt:lpwstr>
  </property>
  <property fmtid="{D5CDD505-2E9C-101B-9397-08002B2CF9AE}" pid="41" name="MXDocTemplate_Name">
    <vt:lpwstr>SW04TEM001</vt:lpwstr>
  </property>
</Properties>
</file>