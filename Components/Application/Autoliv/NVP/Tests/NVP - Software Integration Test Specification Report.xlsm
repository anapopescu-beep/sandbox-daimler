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drawings/drawing3.xml" ContentType="application/vnd.openxmlformats-officedocument.drawing+xml"/>
  <Override PartName="/xl/comments17.xml" ContentType="application/vnd.openxmlformats-officedocument.spreadsheetml.comments+xml"/>
  <Override PartName="/xl/comments18.xml" ContentType="application/vnd.openxmlformats-officedocument.spreadsheetml.comments+xml"/>
  <Override PartName="/xl/drawings/drawing4.xml" ContentType="application/vnd.openxmlformats-officedocument.drawing+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drawings/drawing5.xml" ContentType="application/vnd.openxmlformats-officedocument.drawing+xml"/>
  <Override PartName="/xl/comments25.xml" ContentType="application/vnd.openxmlformats-officedocument.spreadsheetml.comments+xml"/>
  <Override PartName="/xl/drawings/drawing6.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_Sandbox\DAI_MMA\View_Development\Components\Application\Autoliv\NVP\Tests\"/>
    </mc:Choice>
  </mc:AlternateContent>
  <xr:revisionPtr revIDLastSave="0" documentId="13_ncr:1_{E356771C-4625-491F-BA59-80B6BA6F12FF}" xr6:coauthVersionLast="47" xr6:coauthVersionMax="47" xr10:uidLastSave="{00000000-0000-0000-0000-000000000000}"/>
  <bookViews>
    <workbookView xWindow="57480" yWindow="-120" windowWidth="29040" windowHeight="15840" tabRatio="574" activeTab="3" xr2:uid="{00000000-000D-0000-FFFF-FFFF00000000}"/>
  </bookViews>
  <sheets>
    <sheet name="FrontPage" sheetId="4" r:id="rId1"/>
    <sheet name="General info" sheetId="11" r:id="rId2"/>
    <sheet name="Guide (help)" sheetId="18" r:id="rId3"/>
    <sheet name="Tests Synthesis" sheetId="13" r:id="rId4"/>
    <sheet name="SW_IT_NVP_001" sheetId="14" r:id="rId5"/>
    <sheet name="SW_IT_NVP_002" sheetId="19" r:id="rId6"/>
    <sheet name="SW_IT_NVP_003" sheetId="20" r:id="rId7"/>
    <sheet name="SW_IT_NVP_004" sheetId="21" r:id="rId8"/>
    <sheet name="SW_IT_NVP_005" sheetId="22" r:id="rId9"/>
    <sheet name="SW_IT_NVP_006" sheetId="23" r:id="rId10"/>
    <sheet name="SW_IT_NVP_007" sheetId="24" r:id="rId11"/>
    <sheet name="SW_IT_NVP_008" sheetId="25" r:id="rId12"/>
    <sheet name="SW_IT_NVP_009" sheetId="26" r:id="rId13"/>
    <sheet name="SW_IT_NVP_010" sheetId="27" r:id="rId14"/>
    <sheet name="SW_IT_NVP_011" sheetId="28" r:id="rId15"/>
    <sheet name="SW_IT_NVP_012" sheetId="29" r:id="rId16"/>
    <sheet name="SW_IT_NVP_013" sheetId="30" r:id="rId17"/>
    <sheet name="SW_IT_NVP_014" sheetId="31" r:id="rId18"/>
    <sheet name="SW_IT_NVP_015" sheetId="32" r:id="rId19"/>
    <sheet name="SW_IT_NVP_016" sheetId="33" r:id="rId20"/>
    <sheet name="SW_IT_NVP_017" sheetId="34" r:id="rId21"/>
    <sheet name="SW_IT_NVP_018" sheetId="35" r:id="rId22"/>
    <sheet name="SW_IT_NVP_019" sheetId="36" r:id="rId23"/>
    <sheet name="SW_IT_NVP_020" sheetId="37" r:id="rId24"/>
    <sheet name="SW_IT_NVP_021" sheetId="38" r:id="rId25"/>
    <sheet name="SW_IT_NVP_022" sheetId="39" r:id="rId26"/>
    <sheet name="Metrics" sheetId="16" r:id="rId27"/>
  </sheets>
  <definedNames>
    <definedName name="FileName">FrontPage!$AD$3</definedName>
    <definedName name="MXActual_state_Released">FrontPage!$AB$5</definedName>
    <definedName name="MXAuthority">FrontPage!$A$5</definedName>
    <definedName name="MXCurrent.Localized">FrontPage!$W$5</definedName>
    <definedName name="MXName">FrontPage!$A$7</definedName>
    <definedName name="MXPolicy" localSheetId="2">FrontPage!#REF!</definedName>
    <definedName name="MXPolicy">FrontPage!#REF!</definedName>
    <definedName name="MXRevision">FrontPage!$AB$7</definedName>
    <definedName name="MXTitle">FrontPage!$E$7</definedName>
    <definedName name="MXType.Localized" localSheetId="2">FrontPage!#REF!</definedName>
    <definedName name="MXType.Localized">FrontPage!#REF!</definedName>
    <definedName name="MXVersion">FrontPage!$AE$7</definedName>
    <definedName name="PLMDocAuthor">FrontPage!$F$10</definedName>
    <definedName name="_xlnm.Print_Titles" localSheetId="1">'General info'!$1:$10</definedName>
    <definedName name="_xlnm.Print_Titles" localSheetId="2">'Guide (help)'!$1:$1</definedName>
    <definedName name="TemplateRef">FrontPage!$W$7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23" i="4" l="1"/>
  <c r="W7" i="4"/>
  <c r="A7" i="4"/>
  <c r="AD3" i="4"/>
  <c r="D21" i="13"/>
  <c r="E15" i="13"/>
  <c r="E21" i="13"/>
  <c r="D13" i="13"/>
  <c r="K13" i="13"/>
  <c r="K24" i="13"/>
  <c r="K11" i="13"/>
  <c r="K23" i="13"/>
  <c r="K14" i="13"/>
  <c r="E24" i="13"/>
  <c r="E22" i="13"/>
  <c r="K22" i="13"/>
  <c r="K21" i="13"/>
  <c r="K19" i="13"/>
  <c r="F24" i="13"/>
  <c r="D18" i="13"/>
  <c r="D20" i="13"/>
  <c r="D16" i="13"/>
  <c r="D14" i="13"/>
  <c r="E23" i="13"/>
  <c r="E18" i="13"/>
  <c r="D11" i="13"/>
  <c r="F11" i="13"/>
  <c r="D22" i="13"/>
  <c r="E16" i="13"/>
  <c r="K12" i="13"/>
  <c r="E20" i="13"/>
  <c r="D23" i="13"/>
  <c r="E17" i="13"/>
  <c r="D15" i="13"/>
  <c r="D12" i="13"/>
  <c r="E11" i="13"/>
  <c r="K20" i="13"/>
  <c r="E14" i="13"/>
  <c r="D24" i="13"/>
  <c r="E13" i="13"/>
  <c r="E19" i="13"/>
  <c r="K16" i="13"/>
  <c r="K15" i="13"/>
  <c r="K17" i="13"/>
  <c r="E12" i="13"/>
  <c r="K18" i="13"/>
  <c r="D17" i="13"/>
  <c r="D19" i="13"/>
  <c r="F5" i="16" l="1"/>
  <c r="K47" i="13"/>
  <c r="F47" i="13"/>
  <c r="E47" i="13"/>
  <c r="K46" i="13"/>
  <c r="F46" i="13"/>
  <c r="E46" i="13"/>
  <c r="D46" i="13"/>
  <c r="K45" i="13"/>
  <c r="F45" i="13"/>
  <c r="E45" i="13"/>
  <c r="D45" i="13"/>
  <c r="K44" i="13"/>
  <c r="F44" i="13"/>
  <c r="E44" i="13"/>
  <c r="D44" i="13"/>
  <c r="K43" i="13"/>
  <c r="F43" i="13"/>
  <c r="E43" i="13"/>
  <c r="D43" i="13"/>
  <c r="K42" i="13"/>
  <c r="F42" i="13"/>
  <c r="E42" i="13"/>
  <c r="D42" i="13"/>
  <c r="K41" i="13"/>
  <c r="F41" i="13"/>
  <c r="E41" i="13"/>
  <c r="D41" i="13"/>
  <c r="K40" i="13"/>
  <c r="F40" i="13"/>
  <c r="E40" i="13"/>
  <c r="D40" i="13"/>
  <c r="K39" i="13"/>
  <c r="F39" i="13"/>
  <c r="E39" i="13"/>
  <c r="D39" i="13"/>
  <c r="K38" i="13"/>
  <c r="F38" i="13"/>
  <c r="E38" i="13"/>
  <c r="D38" i="13"/>
  <c r="K37" i="13"/>
  <c r="F37" i="13"/>
  <c r="E37" i="13"/>
  <c r="D37" i="13"/>
  <c r="K36" i="13"/>
  <c r="F36" i="13"/>
  <c r="E36" i="13"/>
  <c r="D36" i="13"/>
  <c r="K35" i="13"/>
  <c r="F35" i="13"/>
  <c r="E35" i="13"/>
  <c r="D35" i="13"/>
  <c r="K34" i="13"/>
  <c r="F34" i="13"/>
  <c r="E34" i="13"/>
  <c r="D34" i="13"/>
  <c r="K33" i="13"/>
  <c r="F33" i="13"/>
  <c r="E33" i="13"/>
  <c r="D33" i="13"/>
  <c r="K32" i="13"/>
  <c r="F32" i="13"/>
  <c r="E32" i="13"/>
  <c r="D32" i="13"/>
  <c r="K31" i="13"/>
  <c r="F31" i="13"/>
  <c r="E31" i="13"/>
  <c r="D31" i="13"/>
  <c r="K30" i="13"/>
  <c r="F30" i="13"/>
  <c r="E30" i="13"/>
  <c r="D30" i="13"/>
  <c r="K29" i="13"/>
  <c r="F29" i="13"/>
  <c r="E29" i="13"/>
  <c r="D29" i="13"/>
  <c r="K28" i="13"/>
  <c r="F28" i="13"/>
  <c r="E28" i="13"/>
  <c r="D28" i="13"/>
  <c r="K27" i="13"/>
  <c r="F27" i="13"/>
  <c r="E27" i="13"/>
  <c r="D27" i="13"/>
  <c r="K26" i="13"/>
  <c r="F26" i="13"/>
  <c r="E26" i="13"/>
  <c r="D26" i="13"/>
  <c r="K25" i="13"/>
  <c r="F25" i="13"/>
  <c r="E25" i="13"/>
  <c r="D25" i="13"/>
  <c r="AD3" i="11"/>
  <c r="F5" i="13"/>
  <c r="K5" i="13"/>
  <c r="E4" i="13"/>
  <c r="E6" i="13"/>
  <c r="F16" i="13"/>
  <c r="F9" i="13"/>
  <c r="F18" i="13"/>
  <c r="F8" i="13"/>
  <c r="E3" i="13"/>
  <c r="F12" i="13"/>
  <c r="E7" i="13"/>
  <c r="F14" i="13"/>
  <c r="F22" i="13"/>
  <c r="F10" i="13"/>
  <c r="F6" i="13"/>
  <c r="E5" i="13"/>
  <c r="D4" i="13"/>
  <c r="F23" i="13"/>
  <c r="K6" i="13"/>
  <c r="K8" i="13"/>
  <c r="F4" i="13"/>
  <c r="F19" i="13"/>
  <c r="E10" i="13"/>
  <c r="K3" i="13"/>
  <c r="D3" i="13"/>
  <c r="F21" i="13"/>
  <c r="F13" i="13"/>
  <c r="E8" i="13"/>
  <c r="F3" i="13"/>
  <c r="F7" i="13"/>
  <c r="E9" i="13"/>
  <c r="K10" i="13"/>
  <c r="F15" i="13"/>
  <c r="F17" i="13"/>
  <c r="K4" i="13"/>
  <c r="F20" i="13"/>
  <c r="K9" i="13"/>
  <c r="K7" i="13"/>
  <c r="W7" i="11" l="1"/>
  <c r="AE7" i="11"/>
  <c r="A7" i="11"/>
  <c r="W5" i="11"/>
  <c r="A5" i="11"/>
  <c r="E7" i="11"/>
  <c r="AB5" i="11"/>
  <c r="C5" i="16"/>
  <c r="C3" i="16"/>
  <c r="C4" i="16"/>
  <c r="C2" i="16"/>
  <c r="C6" i="16" l="1"/>
  <c r="F4" i="16" s="1"/>
  <c r="F2" i="16" l="1"/>
  <c r="F3"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W7" authorId="0" shapeId="0" xr:uid="{F92A0417-5DBE-46AA-9B41-EF1AA2F7A8BD}">
      <text>
        <r>
          <rPr>
            <sz val="9"/>
            <color indexed="81"/>
            <rFont val="Tahoma"/>
            <family val="2"/>
          </rPr>
          <t>Template from process AEM_PROCESS_1.17.00 Last change : AEM_PROCESS_1.05.00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Francine Chambin</author>
  </authors>
  <commentList>
    <comment ref="B15" authorId="0" shapeId="0" xr:uid="{00000000-0006-0000-0100-000001000000}">
      <text>
        <r>
          <rPr>
            <sz val="8"/>
            <color indexed="81"/>
            <rFont val="Tahoma"/>
            <family val="2"/>
          </rPr>
          <t>Insert name of tabs included in the document</t>
        </r>
        <r>
          <rPr>
            <sz val="8"/>
            <color indexed="81"/>
            <rFont val="Tahoma"/>
            <family val="2"/>
          </rPr>
          <t xml:space="preserve">
</t>
        </r>
      </text>
    </comment>
    <comment ref="G15" authorId="0" shapeId="0" xr:uid="{00000000-0006-0000-0100-000002000000}">
      <text>
        <r>
          <rPr>
            <sz val="8"/>
            <color indexed="81"/>
            <rFont val="Tahoma"/>
            <family val="2"/>
          </rPr>
          <t>Describe each Tab.</t>
        </r>
      </text>
    </comment>
    <comment ref="B24" authorId="0" shapeId="0" xr:uid="{00000000-0006-0000-0100-000003000000}">
      <text>
        <r>
          <rPr>
            <sz val="8"/>
            <color indexed="81"/>
            <rFont val="Tahoma"/>
            <family val="2"/>
          </rPr>
          <t>The document version is given by PTC. Please copy/paste it here.</t>
        </r>
        <r>
          <rPr>
            <sz val="8"/>
            <color indexed="81"/>
            <rFont val="Tahoma"/>
            <family val="2"/>
          </rPr>
          <t xml:space="preserve">
</t>
        </r>
      </text>
    </comment>
    <comment ref="E24" authorId="0" shapeId="0" xr:uid="{00000000-0006-0000-0100-000004000000}">
      <text>
        <r>
          <rPr>
            <sz val="8"/>
            <color indexed="81"/>
            <rFont val="Tahoma"/>
            <family val="2"/>
          </rPr>
          <t>Date when the Revision is released</t>
        </r>
      </text>
    </comment>
    <comment ref="I24" authorId="0" shapeId="0" xr:uid="{00000000-0006-0000-0100-000005000000}">
      <text>
        <r>
          <rPr>
            <sz val="8"/>
            <color indexed="81"/>
            <rFont val="Tahoma"/>
            <family val="2"/>
          </rPr>
          <t>Author of the document. Authors if several.</t>
        </r>
      </text>
    </comment>
    <comment ref="R24" authorId="0" shapeId="0" xr:uid="{00000000-0006-0000-0100-000006000000}">
      <text>
        <r>
          <rPr>
            <sz val="8"/>
            <color indexed="81"/>
            <rFont val="Tahoma"/>
            <family val="2"/>
          </rPr>
          <t>Description or comment on the version. E.g. updated after meeting etc.</t>
        </r>
      </text>
    </comment>
    <comment ref="N35" authorId="1" shapeId="0" xr:uid="{00000000-0006-0000-0100-000007000000}">
      <text>
        <r>
          <rPr>
            <sz val="9"/>
            <color indexed="81"/>
            <rFont val="Tahoma"/>
            <family val="2"/>
          </rPr>
          <t>The referenced documents correspond to the customer or standard documents to be applied for the integration.</t>
        </r>
      </text>
    </comment>
    <comment ref="B36" authorId="0" shapeId="0" xr:uid="{00000000-0006-0000-0100-000008000000}">
      <text>
        <r>
          <rPr>
            <sz val="8"/>
            <color indexed="81"/>
            <rFont val="Tahoma"/>
            <family val="2"/>
          </rPr>
          <t>ID of possible reference documents. Any ID can be used, suggestion is [Int1], [Int2] etc. for internal references and [Ext1], [Ext2] etc. for external references</t>
        </r>
      </text>
    </comment>
    <comment ref="E36" authorId="0" shapeId="0" xr:uid="{00000000-0006-0000-0100-000009000000}">
      <text>
        <r>
          <rPr>
            <sz val="8"/>
            <color indexed="81"/>
            <rFont val="Tahoma"/>
            <family val="2"/>
          </rPr>
          <t>Title of reference documents.</t>
        </r>
      </text>
    </comment>
    <comment ref="Y36" authorId="0" shapeId="0" xr:uid="{00000000-0006-0000-0100-00000A000000}">
      <text>
        <r>
          <rPr>
            <sz val="8"/>
            <color indexed="81"/>
            <rFont val="Tahoma"/>
            <family val="2"/>
          </rPr>
          <t>Reference number, e.g. E123456 and revision of the reference.</t>
        </r>
      </text>
    </comment>
    <comment ref="N41" authorId="1" shapeId="0" xr:uid="{00000000-0006-0000-0100-00000B000000}">
      <text>
        <r>
          <rPr>
            <sz val="9"/>
            <color indexed="81"/>
            <rFont val="Tahoma"/>
            <family val="2"/>
          </rPr>
          <t>The applicable documents are the architecture design document and other internal documents necessary to establish this test specification.</t>
        </r>
      </text>
    </comment>
    <comment ref="B42" authorId="0" shapeId="0" xr:uid="{00000000-0006-0000-0100-00000C000000}">
      <text>
        <r>
          <rPr>
            <sz val="8"/>
            <color indexed="81"/>
            <rFont val="Tahoma"/>
            <family val="2"/>
          </rPr>
          <t>ID of possible reference documents. Any ID can be used, suggestion is [Int1], [Int2] etc. for internal references and [Ext1], [Ext2] etc. for external references</t>
        </r>
      </text>
    </comment>
    <comment ref="E42" authorId="0" shapeId="0" xr:uid="{00000000-0006-0000-0100-00000D000000}">
      <text>
        <r>
          <rPr>
            <sz val="8"/>
            <color indexed="81"/>
            <rFont val="Tahoma"/>
            <family val="2"/>
          </rPr>
          <t>Title of reference documents.</t>
        </r>
      </text>
    </comment>
    <comment ref="Y42" authorId="0" shapeId="0" xr:uid="{00000000-0006-0000-0100-00000E000000}">
      <text>
        <r>
          <rPr>
            <sz val="8"/>
            <color indexed="81"/>
            <rFont val="Tahoma"/>
            <family val="2"/>
          </rPr>
          <t>Reference number, e.g. E123456 and revision of the reference.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Francine Chambin</author>
    <author>Crina Baciu</author>
  </authors>
  <commentList>
    <comment ref="C2" authorId="0" shapeId="0" xr:uid="{00000000-0006-0000-0300-000001000000}">
      <text>
        <r>
          <rPr>
            <b/>
            <sz val="9"/>
            <color indexed="81"/>
            <rFont val="Tahoma"/>
            <family val="2"/>
          </rPr>
          <t xml:space="preserve">To be filled manually.
</t>
        </r>
        <r>
          <rPr>
            <sz val="9"/>
            <color indexed="81"/>
            <rFont val="Tahoma"/>
            <family val="2"/>
          </rPr>
          <t>Write the name of the Test case sheet (SW_IT_xxx).
It is interesting to add an hyperlink to go directly in the test case sheet.</t>
        </r>
      </text>
    </comment>
    <comment ref="D2" authorId="0" shapeId="0" xr:uid="{00000000-0006-0000-0300-000002000000}">
      <text>
        <r>
          <rPr>
            <b/>
            <sz val="9"/>
            <color indexed="81"/>
            <rFont val="Tahoma"/>
            <family val="2"/>
          </rPr>
          <t>Automatically filled (extracted from SW_IT_xxx sheet)</t>
        </r>
        <r>
          <rPr>
            <sz val="8"/>
            <color indexed="81"/>
            <rFont val="Tahoma"/>
            <family val="2"/>
            <charset val="238"/>
          </rPr>
          <t xml:space="preserve">
</t>
        </r>
        <r>
          <rPr>
            <sz val="9"/>
            <color indexed="81"/>
            <rFont val="Tahoma"/>
            <family val="2"/>
          </rPr>
          <t>Depending on the format of the SW Architecture: DOORS ID / key ID / chapter number, etc.</t>
        </r>
      </text>
    </comment>
    <comment ref="E2" authorId="0" shapeId="0" xr:uid="{00000000-0006-0000-0300-000003000000}">
      <text>
        <r>
          <rPr>
            <b/>
            <sz val="9"/>
            <color indexed="81"/>
            <rFont val="Tahoma"/>
            <family val="2"/>
          </rPr>
          <t>Test Classification automatically filled (extracted from SW_IT_xxx sheet)
See General Info</t>
        </r>
      </text>
    </comment>
    <comment ref="F2" authorId="1" shapeId="0" xr:uid="{00000000-0006-0000-0300-000004000000}">
      <text>
        <r>
          <rPr>
            <b/>
            <sz val="9"/>
            <color indexed="81"/>
            <rFont val="Tahoma"/>
            <family val="2"/>
          </rPr>
          <t>Automatically filled
(extracted from SW_IT_xxx sheet)</t>
        </r>
      </text>
    </comment>
    <comment ref="G2" authorId="1" shapeId="0" xr:uid="{00000000-0006-0000-0300-000005000000}">
      <text>
        <r>
          <rPr>
            <b/>
            <sz val="9"/>
            <color indexed="81"/>
            <rFont val="Tahoma"/>
            <family val="2"/>
          </rPr>
          <t xml:space="preserve">To be filled manually. Use the dropdown list. </t>
        </r>
        <r>
          <rPr>
            <sz val="9"/>
            <color indexed="81"/>
            <rFont val="Tahoma"/>
            <family val="2"/>
          </rPr>
          <t xml:space="preserve">
A cross"X" means that this test case has been identified during the impact analysis as necessary for controlling that the changes to the software do not introduce regressions.
</t>
        </r>
      </text>
    </comment>
    <comment ref="H2" authorId="1" shapeId="0" xr:uid="{00000000-0006-0000-0300-000006000000}">
      <text>
        <r>
          <rPr>
            <b/>
            <sz val="9"/>
            <color indexed="81"/>
            <rFont val="Tahoma"/>
            <family val="2"/>
          </rPr>
          <t xml:space="preserve">Priority number : 
To be filled manually. 
</t>
        </r>
        <r>
          <rPr>
            <sz val="9"/>
            <color indexed="81"/>
            <rFont val="Tahoma"/>
            <family val="2"/>
          </rPr>
          <t>Use the dropdown list</t>
        </r>
        <r>
          <rPr>
            <sz val="9"/>
            <color indexed="81"/>
            <rFont val="Tahoma"/>
            <family val="2"/>
          </rPr>
          <t xml:space="preserve">
1 : High priority
2 : Medium priority
3 : Low priority
</t>
        </r>
      </text>
    </comment>
    <comment ref="I2" authorId="1" shapeId="0" xr:uid="{00000000-0006-0000-0300-000007000000}">
      <text>
        <r>
          <rPr>
            <b/>
            <sz val="9"/>
            <color indexed="81"/>
            <rFont val="Tahoma"/>
            <family val="2"/>
          </rPr>
          <t xml:space="preserve">To be filled manually 
</t>
        </r>
        <r>
          <rPr>
            <sz val="9"/>
            <color indexed="81"/>
            <rFont val="Tahoma"/>
            <family val="2"/>
          </rPr>
          <t xml:space="preserve">Write the date of the test execution
</t>
        </r>
      </text>
    </comment>
    <comment ref="J2" authorId="1" shapeId="0" xr:uid="{00000000-0006-0000-0300-000008000000}">
      <text>
        <r>
          <rPr>
            <b/>
            <sz val="9"/>
            <color indexed="81"/>
            <rFont val="Tahoma"/>
            <family val="2"/>
          </rPr>
          <t xml:space="preserve">To be filled manually </t>
        </r>
        <r>
          <rPr>
            <sz val="9"/>
            <color indexed="81"/>
            <rFont val="Tahoma"/>
            <family val="2"/>
          </rPr>
          <t xml:space="preserve">
Write the PTC checkpoint name of SW release or,
PTC version if the integration test is done before a PTC checkpoint.
Nota: Normally the integrator shall always have a PTC checkpoint name in order to keep a trace of what has been tested.</t>
        </r>
      </text>
    </comment>
    <comment ref="K2" authorId="1" shapeId="0" xr:uid="{00000000-0006-0000-0300-000009000000}">
      <text>
        <r>
          <rPr>
            <b/>
            <sz val="9"/>
            <color indexed="81"/>
            <rFont val="Tahoma"/>
            <family val="2"/>
          </rPr>
          <t>Test Status automatically filled (extracted from SW_IT_xxx sheet)</t>
        </r>
        <r>
          <rPr>
            <sz val="9"/>
            <color indexed="81"/>
            <rFont val="Tahoma"/>
            <family val="2"/>
          </rPr>
          <t xml:space="preserve">
Ok :  test is passed
Nok : test is failed
not run : test is not performed
NA :  test is not applicable (an explanation must be given).</t>
        </r>
      </text>
    </comment>
    <comment ref="L2" authorId="1" shapeId="0" xr:uid="{00000000-0006-0000-0300-00000A000000}">
      <text>
        <r>
          <rPr>
            <b/>
            <sz val="9"/>
            <color indexed="81"/>
            <rFont val="Tahoma"/>
            <family val="2"/>
          </rPr>
          <t xml:space="preserve">To be filled manually </t>
        </r>
        <r>
          <rPr>
            <sz val="9"/>
            <color indexed="81"/>
            <rFont val="Tahoma"/>
            <family val="2"/>
          </rPr>
          <t xml:space="preserve">
Write initials of the tester. </t>
        </r>
      </text>
    </comment>
    <comment ref="M2" authorId="2" shapeId="0" xr:uid="{00000000-0006-0000-0300-00000B000000}">
      <text>
        <r>
          <rPr>
            <b/>
            <sz val="9"/>
            <color indexed="81"/>
            <rFont val="Tahoma"/>
            <family val="2"/>
          </rPr>
          <t>CR/WI manually filled</t>
        </r>
        <r>
          <rPr>
            <sz val="9"/>
            <color indexed="81"/>
            <rFont val="Tahoma"/>
            <family val="2"/>
          </rPr>
          <t xml:space="preserve"> with
Change Request / Working Issue  number. </t>
        </r>
        <r>
          <rPr>
            <b/>
            <sz val="9"/>
            <color indexed="81"/>
            <rFont val="Tahoma"/>
            <family val="2"/>
          </rPr>
          <t>Mandatory when "Test Status" is Nok.</t>
        </r>
      </text>
    </comment>
    <comment ref="N2" authorId="2" shapeId="0" xr:uid="{611C1A92-3828-4DBC-9A5D-EA67D6903C4D}">
      <text>
        <r>
          <rPr>
            <b/>
            <sz val="9"/>
            <color indexed="81"/>
            <rFont val="Tahoma"/>
            <family val="2"/>
          </rPr>
          <t>Comment manually filled</t>
        </r>
        <r>
          <rPr>
            <sz val="9"/>
            <color indexed="81"/>
            <rFont val="Tahoma"/>
            <family val="2"/>
          </rPr>
          <t xml:space="preserve"> 
</t>
        </r>
        <r>
          <rPr>
            <b/>
            <sz val="9"/>
            <color indexed="81"/>
            <rFont val="Tahoma"/>
            <family val="2"/>
          </rPr>
          <t>Free text must be added when "Test Status" is NA.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0000000-0006-0000-0400-000001000000}">
      <text>
        <r>
          <rPr>
            <b/>
            <sz val="9"/>
            <color indexed="81"/>
            <rFont val="Tahoma"/>
            <family val="2"/>
          </rPr>
          <t xml:space="preserve">See Guide (help)
</t>
        </r>
        <r>
          <rPr>
            <sz val="9"/>
            <color indexed="81"/>
            <rFont val="Tahoma"/>
            <family val="2"/>
          </rPr>
          <t xml:space="preserve">
</t>
        </r>
      </text>
    </comment>
    <comment ref="A3" authorId="0" shapeId="0" xr:uid="{00000000-0006-0000-0400-000002000000}">
      <text>
        <r>
          <rPr>
            <b/>
            <sz val="9"/>
            <color indexed="81"/>
            <rFont val="Tahoma"/>
            <family val="2"/>
          </rPr>
          <t xml:space="preserve">See Guide (help)
</t>
        </r>
        <r>
          <rPr>
            <sz val="9"/>
            <color indexed="81"/>
            <rFont val="Tahoma"/>
            <family val="2"/>
          </rPr>
          <t xml:space="preserve">
</t>
        </r>
      </text>
    </comment>
    <comment ref="A5" authorId="0" shapeId="0" xr:uid="{00000000-0006-0000-0400-000003000000}">
      <text>
        <r>
          <rPr>
            <sz val="9"/>
            <color indexed="81"/>
            <rFont val="Tahoma"/>
            <family val="2"/>
          </rPr>
          <t>Definition is in the "General info" tab.
Use the dropdown list.</t>
        </r>
      </text>
    </comment>
    <comment ref="A9" authorId="0" shapeId="0" xr:uid="{00000000-0006-0000-0400-000004000000}">
      <text>
        <r>
          <rPr>
            <b/>
            <sz val="9"/>
            <color indexed="81"/>
            <rFont val="Tahoma"/>
            <family val="2"/>
          </rPr>
          <t>See Guide (help)</t>
        </r>
        <r>
          <rPr>
            <sz val="9"/>
            <color indexed="81"/>
            <rFont val="Tahoma"/>
            <family val="2"/>
          </rPr>
          <t xml:space="preserve">
</t>
        </r>
      </text>
    </comment>
    <comment ref="A11" authorId="0" shapeId="0" xr:uid="{00000000-0006-0000-0400-000005000000}">
      <text>
        <r>
          <rPr>
            <b/>
            <sz val="9"/>
            <color indexed="81"/>
            <rFont val="Tahoma"/>
            <family val="2"/>
          </rPr>
          <t xml:space="preserve">Describe the test environment and setup.
</t>
        </r>
        <r>
          <rPr>
            <sz val="9"/>
            <color indexed="81"/>
            <rFont val="Tahoma"/>
            <family val="2"/>
          </rPr>
          <t xml:space="preserve">
</t>
        </r>
      </text>
    </comment>
    <comment ref="A16" authorId="0" shapeId="0" xr:uid="{00000000-0006-0000-0400-000006000000}">
      <text>
        <r>
          <rPr>
            <b/>
            <sz val="9"/>
            <color indexed="81"/>
            <rFont val="Tahoma"/>
            <family val="2"/>
          </rPr>
          <t>Give the initial state before beginning the test.</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8A6F01AF-B37F-4C2F-AEB6-D492C0927FFA}">
      <text>
        <r>
          <rPr>
            <b/>
            <sz val="9"/>
            <color indexed="81"/>
            <rFont val="Tahoma"/>
            <family val="2"/>
          </rPr>
          <t xml:space="preserve">See Guide (help)
</t>
        </r>
        <r>
          <rPr>
            <sz val="9"/>
            <color indexed="81"/>
            <rFont val="Tahoma"/>
            <family val="2"/>
          </rPr>
          <t xml:space="preserve">
</t>
        </r>
      </text>
    </comment>
    <comment ref="A3" authorId="0" shapeId="0" xr:uid="{B85A4E9E-371E-46E9-97C7-B468554B707E}">
      <text>
        <r>
          <rPr>
            <b/>
            <sz val="9"/>
            <color indexed="81"/>
            <rFont val="Tahoma"/>
            <family val="2"/>
          </rPr>
          <t xml:space="preserve">See Guide (help)
</t>
        </r>
        <r>
          <rPr>
            <sz val="9"/>
            <color indexed="81"/>
            <rFont val="Tahoma"/>
            <family val="2"/>
          </rPr>
          <t xml:space="preserve">
</t>
        </r>
      </text>
    </comment>
    <comment ref="A5" authorId="0" shapeId="0" xr:uid="{3230CA01-3350-4D38-9B6D-71FF96630DFF}">
      <text>
        <r>
          <rPr>
            <sz val="9"/>
            <color indexed="81"/>
            <rFont val="Tahoma"/>
            <family val="2"/>
          </rPr>
          <t>Definition is in the "General info" tab.
Use the dropdown list.</t>
        </r>
      </text>
    </comment>
    <comment ref="A9" authorId="0" shapeId="0" xr:uid="{6AD7FD67-6041-4988-8DF3-59669974DC2A}">
      <text>
        <r>
          <rPr>
            <b/>
            <sz val="9"/>
            <color indexed="81"/>
            <rFont val="Tahoma"/>
            <family val="2"/>
          </rPr>
          <t>See Guide (help)</t>
        </r>
        <r>
          <rPr>
            <sz val="9"/>
            <color indexed="81"/>
            <rFont val="Tahoma"/>
            <family val="2"/>
          </rPr>
          <t xml:space="preserve">
</t>
        </r>
      </text>
    </comment>
    <comment ref="A11" authorId="0" shapeId="0" xr:uid="{CE792396-BC08-40A7-8FF2-8970AAB14C0E}">
      <text>
        <r>
          <rPr>
            <b/>
            <sz val="9"/>
            <color indexed="81"/>
            <rFont val="Tahoma"/>
            <family val="2"/>
          </rPr>
          <t xml:space="preserve">Describe the test environment and setup.
</t>
        </r>
        <r>
          <rPr>
            <sz val="9"/>
            <color indexed="81"/>
            <rFont val="Tahoma"/>
            <family val="2"/>
          </rPr>
          <t xml:space="preserve">
</t>
        </r>
      </text>
    </comment>
    <comment ref="A16" authorId="0" shapeId="0" xr:uid="{FE48D899-AA50-44F0-BB21-52FDFDE243D1}">
      <text>
        <r>
          <rPr>
            <b/>
            <sz val="9"/>
            <color indexed="81"/>
            <rFont val="Tahoma"/>
            <family val="2"/>
          </rPr>
          <t>Give the initial state before beginning the test.</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C2C8E79C-4209-4875-9E73-9654FB4CF645}">
      <text>
        <r>
          <rPr>
            <b/>
            <sz val="9"/>
            <color indexed="81"/>
            <rFont val="Tahoma"/>
            <family val="2"/>
          </rPr>
          <t xml:space="preserve">See Guide (help)
</t>
        </r>
        <r>
          <rPr>
            <sz val="9"/>
            <color indexed="81"/>
            <rFont val="Tahoma"/>
            <family val="2"/>
          </rPr>
          <t xml:space="preserve">
</t>
        </r>
      </text>
    </comment>
    <comment ref="A3" authorId="0" shapeId="0" xr:uid="{56A58516-DAF2-4191-AA94-C31234A4D49C}">
      <text>
        <r>
          <rPr>
            <b/>
            <sz val="9"/>
            <color indexed="81"/>
            <rFont val="Tahoma"/>
            <family val="2"/>
          </rPr>
          <t xml:space="preserve">See Guide (help)
</t>
        </r>
        <r>
          <rPr>
            <sz val="9"/>
            <color indexed="81"/>
            <rFont val="Tahoma"/>
            <family val="2"/>
          </rPr>
          <t xml:space="preserve">
</t>
        </r>
      </text>
    </comment>
    <comment ref="A5" authorId="0" shapeId="0" xr:uid="{68D793AF-B627-4E05-B7A4-F7381299B109}">
      <text>
        <r>
          <rPr>
            <sz val="9"/>
            <color indexed="81"/>
            <rFont val="Tahoma"/>
            <family val="2"/>
          </rPr>
          <t>Definition is in the "General info" tab.
Use the dropdown list.</t>
        </r>
      </text>
    </comment>
    <comment ref="A9" authorId="0" shapeId="0" xr:uid="{C2C2326A-BDEE-4508-927E-5BA8286DD7F2}">
      <text>
        <r>
          <rPr>
            <b/>
            <sz val="9"/>
            <color indexed="81"/>
            <rFont val="Tahoma"/>
            <family val="2"/>
          </rPr>
          <t>See Guide (help)</t>
        </r>
        <r>
          <rPr>
            <sz val="9"/>
            <color indexed="81"/>
            <rFont val="Tahoma"/>
            <family val="2"/>
          </rPr>
          <t xml:space="preserve">
</t>
        </r>
      </text>
    </comment>
    <comment ref="A11" authorId="0" shapeId="0" xr:uid="{F3F2D0C8-B2A5-452A-8DF9-61554FBF66DD}">
      <text>
        <r>
          <rPr>
            <b/>
            <sz val="9"/>
            <color indexed="81"/>
            <rFont val="Tahoma"/>
            <family val="2"/>
          </rPr>
          <t xml:space="preserve">Describe the test environment and setup.
</t>
        </r>
        <r>
          <rPr>
            <sz val="9"/>
            <color indexed="81"/>
            <rFont val="Tahoma"/>
            <family val="2"/>
          </rPr>
          <t xml:space="preserve">
</t>
        </r>
      </text>
    </comment>
    <comment ref="A16" authorId="0" shapeId="0" xr:uid="{8B7E08B1-CFE5-493A-8B65-64D99AD40C97}">
      <text>
        <r>
          <rPr>
            <b/>
            <sz val="9"/>
            <color indexed="81"/>
            <rFont val="Tahoma"/>
            <family val="2"/>
          </rPr>
          <t>Give the initial state before beginning the test.</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3EFD248-49B5-4B26-B8A4-BD8F8D8805A6}">
      <text>
        <r>
          <rPr>
            <b/>
            <sz val="9"/>
            <color indexed="81"/>
            <rFont val="Tahoma"/>
            <family val="2"/>
          </rPr>
          <t xml:space="preserve">See Guide (help)
</t>
        </r>
        <r>
          <rPr>
            <sz val="9"/>
            <color indexed="81"/>
            <rFont val="Tahoma"/>
            <family val="2"/>
          </rPr>
          <t xml:space="preserve">
</t>
        </r>
      </text>
    </comment>
    <comment ref="A3" authorId="0" shapeId="0" xr:uid="{A12411C1-2EF8-4B00-BB8C-56D726479493}">
      <text>
        <r>
          <rPr>
            <b/>
            <sz val="9"/>
            <color indexed="81"/>
            <rFont val="Tahoma"/>
            <family val="2"/>
          </rPr>
          <t xml:space="preserve">See Guide (help)
</t>
        </r>
        <r>
          <rPr>
            <sz val="9"/>
            <color indexed="81"/>
            <rFont val="Tahoma"/>
            <family val="2"/>
          </rPr>
          <t xml:space="preserve">
</t>
        </r>
      </text>
    </comment>
    <comment ref="A5" authorId="0" shapeId="0" xr:uid="{39BA6639-B49F-4DFD-8728-48C661D8DD2E}">
      <text>
        <r>
          <rPr>
            <sz val="9"/>
            <color indexed="81"/>
            <rFont val="Tahoma"/>
            <family val="2"/>
          </rPr>
          <t>Definition is in the "General info" tab.
Use the dropdown list.</t>
        </r>
      </text>
    </comment>
    <comment ref="A9" authorId="0" shapeId="0" xr:uid="{98FEB862-4B20-4EEC-BABF-C9822A85BE9C}">
      <text>
        <r>
          <rPr>
            <b/>
            <sz val="9"/>
            <color indexed="81"/>
            <rFont val="Tahoma"/>
            <family val="2"/>
          </rPr>
          <t>See Guide (help)</t>
        </r>
        <r>
          <rPr>
            <sz val="9"/>
            <color indexed="81"/>
            <rFont val="Tahoma"/>
            <family val="2"/>
          </rPr>
          <t xml:space="preserve">
</t>
        </r>
      </text>
    </comment>
    <comment ref="A11" authorId="0" shapeId="0" xr:uid="{A53BD5A4-A457-49A3-8816-9F33A3FEF220}">
      <text>
        <r>
          <rPr>
            <b/>
            <sz val="9"/>
            <color indexed="81"/>
            <rFont val="Tahoma"/>
            <family val="2"/>
          </rPr>
          <t xml:space="preserve">Describe the test environment and setup.
</t>
        </r>
        <r>
          <rPr>
            <sz val="9"/>
            <color indexed="81"/>
            <rFont val="Tahoma"/>
            <family val="2"/>
          </rPr>
          <t xml:space="preserve">
</t>
        </r>
      </text>
    </comment>
    <comment ref="A16" authorId="0" shapeId="0" xr:uid="{7103BFBF-BF1A-4F8A-B0E5-1027D5DA1872}">
      <text>
        <r>
          <rPr>
            <b/>
            <sz val="9"/>
            <color indexed="81"/>
            <rFont val="Tahoma"/>
            <family val="2"/>
          </rPr>
          <t>Give the initial state before beginning the test.</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3A722D5-B38D-46FE-94BC-84AAE6A333FA}">
      <text>
        <r>
          <rPr>
            <b/>
            <sz val="9"/>
            <color indexed="81"/>
            <rFont val="Tahoma"/>
            <family val="2"/>
          </rPr>
          <t xml:space="preserve">See Guide (help)
</t>
        </r>
        <r>
          <rPr>
            <sz val="9"/>
            <color indexed="81"/>
            <rFont val="Tahoma"/>
            <family val="2"/>
          </rPr>
          <t xml:space="preserve">
</t>
        </r>
      </text>
    </comment>
    <comment ref="A3" authorId="0" shapeId="0" xr:uid="{D4AAA522-89C5-43CA-B004-EBC6B6D13B85}">
      <text>
        <r>
          <rPr>
            <b/>
            <sz val="9"/>
            <color indexed="81"/>
            <rFont val="Tahoma"/>
            <family val="2"/>
          </rPr>
          <t xml:space="preserve">See Guide (help)
</t>
        </r>
        <r>
          <rPr>
            <sz val="9"/>
            <color indexed="81"/>
            <rFont val="Tahoma"/>
            <family val="2"/>
          </rPr>
          <t xml:space="preserve">
</t>
        </r>
      </text>
    </comment>
    <comment ref="A5" authorId="0" shapeId="0" xr:uid="{7269BDA1-0B1C-4C94-8287-2EC88C2E2F27}">
      <text>
        <r>
          <rPr>
            <sz val="9"/>
            <color indexed="81"/>
            <rFont val="Tahoma"/>
            <family val="2"/>
          </rPr>
          <t>Definition is in the "General info" tab.
Use the dropdown list.</t>
        </r>
      </text>
    </comment>
    <comment ref="A9" authorId="0" shapeId="0" xr:uid="{2A1640D0-5A61-495B-A5DD-691ECF0FB00C}">
      <text>
        <r>
          <rPr>
            <b/>
            <sz val="9"/>
            <color indexed="81"/>
            <rFont val="Tahoma"/>
            <family val="2"/>
          </rPr>
          <t>See Guide (help)</t>
        </r>
        <r>
          <rPr>
            <sz val="9"/>
            <color indexed="81"/>
            <rFont val="Tahoma"/>
            <family val="2"/>
          </rPr>
          <t xml:space="preserve">
</t>
        </r>
      </text>
    </comment>
    <comment ref="A11" authorId="0" shapeId="0" xr:uid="{CEF04008-EA2A-4AE9-A0D4-7549E09A0105}">
      <text>
        <r>
          <rPr>
            <b/>
            <sz val="9"/>
            <color indexed="81"/>
            <rFont val="Tahoma"/>
            <family val="2"/>
          </rPr>
          <t xml:space="preserve">Describe the test environment and setup.
</t>
        </r>
        <r>
          <rPr>
            <sz val="9"/>
            <color indexed="81"/>
            <rFont val="Tahoma"/>
            <family val="2"/>
          </rPr>
          <t xml:space="preserve">
</t>
        </r>
      </text>
    </comment>
    <comment ref="A16" authorId="0" shapeId="0" xr:uid="{F672289A-9F5A-4D8A-A0E9-01AF45C062F7}">
      <text>
        <r>
          <rPr>
            <b/>
            <sz val="9"/>
            <color indexed="81"/>
            <rFont val="Tahoma"/>
            <family val="2"/>
          </rPr>
          <t>Give the initial state before beginning the test.</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9E732C0-EE43-4EC7-B869-711F470627E7}">
      <text>
        <r>
          <rPr>
            <b/>
            <sz val="9"/>
            <color indexed="81"/>
            <rFont val="Tahoma"/>
            <family val="2"/>
          </rPr>
          <t xml:space="preserve">See Guide (help)
</t>
        </r>
        <r>
          <rPr>
            <sz val="9"/>
            <color indexed="81"/>
            <rFont val="Tahoma"/>
            <family val="2"/>
          </rPr>
          <t xml:space="preserve">
</t>
        </r>
      </text>
    </comment>
    <comment ref="A3" authorId="0" shapeId="0" xr:uid="{E261AEB7-76ED-4922-AC54-A51170267BF7}">
      <text>
        <r>
          <rPr>
            <b/>
            <sz val="9"/>
            <color indexed="81"/>
            <rFont val="Tahoma"/>
            <family val="2"/>
          </rPr>
          <t xml:space="preserve">See Guide (help)
</t>
        </r>
        <r>
          <rPr>
            <sz val="9"/>
            <color indexed="81"/>
            <rFont val="Tahoma"/>
            <family val="2"/>
          </rPr>
          <t xml:space="preserve">
</t>
        </r>
      </text>
    </comment>
    <comment ref="A5" authorId="0" shapeId="0" xr:uid="{1156DF58-5B0B-47CE-B94B-A6A197687768}">
      <text>
        <r>
          <rPr>
            <sz val="9"/>
            <color indexed="81"/>
            <rFont val="Tahoma"/>
            <family val="2"/>
          </rPr>
          <t>Definition is in the "General info" tab.
Use the dropdown list.</t>
        </r>
      </text>
    </comment>
    <comment ref="A9" authorId="0" shapeId="0" xr:uid="{D8AD82EF-D178-4C15-94A1-112D2D6EFA00}">
      <text>
        <r>
          <rPr>
            <b/>
            <sz val="9"/>
            <color indexed="81"/>
            <rFont val="Tahoma"/>
            <family val="2"/>
          </rPr>
          <t>See Guide (help)</t>
        </r>
        <r>
          <rPr>
            <sz val="9"/>
            <color indexed="81"/>
            <rFont val="Tahoma"/>
            <family val="2"/>
          </rPr>
          <t xml:space="preserve">
</t>
        </r>
      </text>
    </comment>
    <comment ref="A11" authorId="0" shapeId="0" xr:uid="{1AF6C7D2-72DF-43AA-8538-AD08B65FECFE}">
      <text>
        <r>
          <rPr>
            <b/>
            <sz val="9"/>
            <color indexed="81"/>
            <rFont val="Tahoma"/>
            <family val="2"/>
          </rPr>
          <t xml:space="preserve">Describe the test environment and setup.
</t>
        </r>
        <r>
          <rPr>
            <sz val="9"/>
            <color indexed="81"/>
            <rFont val="Tahoma"/>
            <family val="2"/>
          </rPr>
          <t xml:space="preserve">
</t>
        </r>
      </text>
    </comment>
    <comment ref="A16" authorId="0" shapeId="0" xr:uid="{02BAFAD1-12D8-4C40-9DB1-DC2D44E18CFF}">
      <text>
        <r>
          <rPr>
            <b/>
            <sz val="9"/>
            <color indexed="81"/>
            <rFont val="Tahoma"/>
            <family val="2"/>
          </rPr>
          <t>Give the initial state before beginning the test.</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A5425326-2F87-4775-8C22-9EC3AD0777A3}">
      <text>
        <r>
          <rPr>
            <b/>
            <sz val="9"/>
            <color indexed="81"/>
            <rFont val="Tahoma"/>
            <family val="2"/>
          </rPr>
          <t xml:space="preserve">See Guide (help)
</t>
        </r>
        <r>
          <rPr>
            <sz val="9"/>
            <color indexed="81"/>
            <rFont val="Tahoma"/>
            <family val="2"/>
          </rPr>
          <t xml:space="preserve">
</t>
        </r>
      </text>
    </comment>
    <comment ref="A3" authorId="0" shapeId="0" xr:uid="{CE48FC21-48B8-4B15-9D76-D786C18FEA1A}">
      <text>
        <r>
          <rPr>
            <b/>
            <sz val="9"/>
            <color indexed="81"/>
            <rFont val="Tahoma"/>
            <family val="2"/>
          </rPr>
          <t xml:space="preserve">See Guide (help)
</t>
        </r>
        <r>
          <rPr>
            <sz val="9"/>
            <color indexed="81"/>
            <rFont val="Tahoma"/>
            <family val="2"/>
          </rPr>
          <t xml:space="preserve">
</t>
        </r>
      </text>
    </comment>
    <comment ref="A5" authorId="0" shapeId="0" xr:uid="{3E1732D6-1308-4809-A3A2-0B0974DF7D99}">
      <text>
        <r>
          <rPr>
            <sz val="9"/>
            <color indexed="81"/>
            <rFont val="Tahoma"/>
            <family val="2"/>
          </rPr>
          <t>Definition is in the "General info" tab.
Use the dropdown list.</t>
        </r>
      </text>
    </comment>
    <comment ref="A9" authorId="0" shapeId="0" xr:uid="{A70668C4-C884-4E34-9A5F-5714C30774A2}">
      <text>
        <r>
          <rPr>
            <b/>
            <sz val="9"/>
            <color indexed="81"/>
            <rFont val="Tahoma"/>
            <family val="2"/>
          </rPr>
          <t>See Guide (help)</t>
        </r>
        <r>
          <rPr>
            <sz val="9"/>
            <color indexed="81"/>
            <rFont val="Tahoma"/>
            <family val="2"/>
          </rPr>
          <t xml:space="preserve">
</t>
        </r>
      </text>
    </comment>
    <comment ref="A11" authorId="0" shapeId="0" xr:uid="{7AFCBB35-2DCE-41E2-A281-A1CA71160683}">
      <text>
        <r>
          <rPr>
            <b/>
            <sz val="9"/>
            <color indexed="81"/>
            <rFont val="Tahoma"/>
            <family val="2"/>
          </rPr>
          <t xml:space="preserve">Describe the test environment and setup.
</t>
        </r>
        <r>
          <rPr>
            <sz val="9"/>
            <color indexed="81"/>
            <rFont val="Tahoma"/>
            <family val="2"/>
          </rPr>
          <t xml:space="preserve">
</t>
        </r>
      </text>
    </comment>
    <comment ref="A16" authorId="0" shapeId="0" xr:uid="{05524678-4DBD-43A1-B55F-9C1118373E32}">
      <text>
        <r>
          <rPr>
            <b/>
            <sz val="9"/>
            <color indexed="81"/>
            <rFont val="Tahoma"/>
            <family val="2"/>
          </rPr>
          <t>Give the initial state before beginning the test.</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5E0C2A5B-4D0C-4345-BA7E-5A47B13B66FF}">
      <text>
        <r>
          <rPr>
            <b/>
            <sz val="9"/>
            <color indexed="81"/>
            <rFont val="Tahoma"/>
            <family val="2"/>
          </rPr>
          <t xml:space="preserve">See Guide (help)
</t>
        </r>
        <r>
          <rPr>
            <sz val="9"/>
            <color indexed="81"/>
            <rFont val="Tahoma"/>
            <family val="2"/>
          </rPr>
          <t xml:space="preserve">
</t>
        </r>
      </text>
    </comment>
    <comment ref="A3" authorId="0" shapeId="0" xr:uid="{17AC06CA-CFA6-4B3F-9038-59CB25D03F5F}">
      <text>
        <r>
          <rPr>
            <b/>
            <sz val="9"/>
            <color indexed="81"/>
            <rFont val="Tahoma"/>
            <family val="2"/>
          </rPr>
          <t xml:space="preserve">See Guide (help)
</t>
        </r>
        <r>
          <rPr>
            <sz val="9"/>
            <color indexed="81"/>
            <rFont val="Tahoma"/>
            <family val="2"/>
          </rPr>
          <t xml:space="preserve">
</t>
        </r>
      </text>
    </comment>
    <comment ref="A5" authorId="0" shapeId="0" xr:uid="{9C009FC5-7482-4C1E-86C9-AF301DE22F92}">
      <text>
        <r>
          <rPr>
            <sz val="9"/>
            <color indexed="81"/>
            <rFont val="Tahoma"/>
            <family val="2"/>
          </rPr>
          <t>Definition is in the "General info" tab.
Use the dropdown list.</t>
        </r>
      </text>
    </comment>
    <comment ref="A9" authorId="0" shapeId="0" xr:uid="{9E9801DF-012A-4456-AA93-EF1392C03420}">
      <text>
        <r>
          <rPr>
            <b/>
            <sz val="9"/>
            <color indexed="81"/>
            <rFont val="Tahoma"/>
            <family val="2"/>
          </rPr>
          <t>See Guide (help)</t>
        </r>
        <r>
          <rPr>
            <sz val="9"/>
            <color indexed="81"/>
            <rFont val="Tahoma"/>
            <family val="2"/>
          </rPr>
          <t xml:space="preserve">
</t>
        </r>
      </text>
    </comment>
    <comment ref="A11" authorId="0" shapeId="0" xr:uid="{86AD893B-46DB-4095-8D77-C415582CB349}">
      <text>
        <r>
          <rPr>
            <b/>
            <sz val="9"/>
            <color indexed="81"/>
            <rFont val="Tahoma"/>
            <family val="2"/>
          </rPr>
          <t xml:space="preserve">Describe the test environment and setup.
</t>
        </r>
        <r>
          <rPr>
            <sz val="9"/>
            <color indexed="81"/>
            <rFont val="Tahoma"/>
            <family val="2"/>
          </rPr>
          <t xml:space="preserve">
</t>
        </r>
      </text>
    </comment>
    <comment ref="A16" authorId="0" shapeId="0" xr:uid="{4F19026F-9D9F-4D8F-9689-2C0A1E95FCE5}">
      <text>
        <r>
          <rPr>
            <b/>
            <sz val="9"/>
            <color indexed="81"/>
            <rFont val="Tahoma"/>
            <family val="2"/>
          </rPr>
          <t>Give the initial state before beginning the test.</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B4F2329D-40E9-4F08-8FED-FDC871C642B4}">
      <text>
        <r>
          <rPr>
            <b/>
            <sz val="9"/>
            <color indexed="81"/>
            <rFont val="Tahoma"/>
            <family val="2"/>
          </rPr>
          <t xml:space="preserve">See Guide (help)
</t>
        </r>
        <r>
          <rPr>
            <sz val="9"/>
            <color indexed="81"/>
            <rFont val="Tahoma"/>
            <family val="2"/>
          </rPr>
          <t xml:space="preserve">
</t>
        </r>
      </text>
    </comment>
    <comment ref="A3" authorId="0" shapeId="0" xr:uid="{06981717-E773-4DAE-B47D-61B384091627}">
      <text>
        <r>
          <rPr>
            <b/>
            <sz val="9"/>
            <color indexed="81"/>
            <rFont val="Tahoma"/>
            <family val="2"/>
          </rPr>
          <t xml:space="preserve">See Guide (help)
</t>
        </r>
        <r>
          <rPr>
            <sz val="9"/>
            <color indexed="81"/>
            <rFont val="Tahoma"/>
            <family val="2"/>
          </rPr>
          <t xml:space="preserve">
</t>
        </r>
      </text>
    </comment>
    <comment ref="A5" authorId="0" shapeId="0" xr:uid="{7744CE57-B249-4340-A7E6-BF97900B7B5A}">
      <text>
        <r>
          <rPr>
            <sz val="9"/>
            <color indexed="81"/>
            <rFont val="Tahoma"/>
            <family val="2"/>
          </rPr>
          <t>Definition is in the "General info" tab.
Use the dropdown list.</t>
        </r>
      </text>
    </comment>
    <comment ref="A9" authorId="0" shapeId="0" xr:uid="{975CFFEB-00A3-4F08-8E83-8C284BD7FF22}">
      <text>
        <r>
          <rPr>
            <b/>
            <sz val="9"/>
            <color indexed="81"/>
            <rFont val="Tahoma"/>
            <family val="2"/>
          </rPr>
          <t>See Guide (help)</t>
        </r>
        <r>
          <rPr>
            <sz val="9"/>
            <color indexed="81"/>
            <rFont val="Tahoma"/>
            <family val="2"/>
          </rPr>
          <t xml:space="preserve">
</t>
        </r>
      </text>
    </comment>
    <comment ref="A11" authorId="0" shapeId="0" xr:uid="{DB1F5489-8B60-4502-AB5D-B576DECB8C8A}">
      <text>
        <r>
          <rPr>
            <b/>
            <sz val="9"/>
            <color indexed="81"/>
            <rFont val="Tahoma"/>
            <family val="2"/>
          </rPr>
          <t xml:space="preserve">Describe the test environment and setup.
</t>
        </r>
        <r>
          <rPr>
            <sz val="9"/>
            <color indexed="81"/>
            <rFont val="Tahoma"/>
            <family val="2"/>
          </rPr>
          <t xml:space="preserve">
</t>
        </r>
      </text>
    </comment>
    <comment ref="A16" authorId="0" shapeId="0" xr:uid="{E6F2C464-2C77-472E-82F8-168604C361B3}">
      <text>
        <r>
          <rPr>
            <b/>
            <sz val="9"/>
            <color indexed="81"/>
            <rFont val="Tahoma"/>
            <family val="2"/>
          </rPr>
          <t>Give the initial state before beginning the test.</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9708FD9-C9B6-4F50-84A9-6FE88222FED5}">
      <text>
        <r>
          <rPr>
            <b/>
            <sz val="9"/>
            <color indexed="81"/>
            <rFont val="Tahoma"/>
            <family val="2"/>
          </rPr>
          <t xml:space="preserve">See Guide (help)
</t>
        </r>
        <r>
          <rPr>
            <sz val="9"/>
            <color indexed="81"/>
            <rFont val="Tahoma"/>
            <family val="2"/>
          </rPr>
          <t xml:space="preserve">
</t>
        </r>
      </text>
    </comment>
    <comment ref="A3" authorId="0" shapeId="0" xr:uid="{95FED7D2-4B79-4F42-8845-5403855C28EC}">
      <text>
        <r>
          <rPr>
            <b/>
            <sz val="9"/>
            <color indexed="81"/>
            <rFont val="Tahoma"/>
            <family val="2"/>
          </rPr>
          <t xml:space="preserve">See Guide (help)
</t>
        </r>
        <r>
          <rPr>
            <sz val="9"/>
            <color indexed="81"/>
            <rFont val="Tahoma"/>
            <family val="2"/>
          </rPr>
          <t xml:space="preserve">
</t>
        </r>
      </text>
    </comment>
    <comment ref="A5" authorId="0" shapeId="0" xr:uid="{08C07F32-20ED-48C3-A817-2F033A2FF94F}">
      <text>
        <r>
          <rPr>
            <sz val="9"/>
            <color indexed="81"/>
            <rFont val="Tahoma"/>
            <family val="2"/>
          </rPr>
          <t>Definition is in the "General info" tab.
Use the dropdown list.</t>
        </r>
      </text>
    </comment>
    <comment ref="A9" authorId="0" shapeId="0" xr:uid="{E33962D2-6CBA-4178-9EE3-D3D95BE8E2AA}">
      <text>
        <r>
          <rPr>
            <b/>
            <sz val="9"/>
            <color indexed="81"/>
            <rFont val="Tahoma"/>
            <family val="2"/>
          </rPr>
          <t>See Guide (help)</t>
        </r>
        <r>
          <rPr>
            <sz val="9"/>
            <color indexed="81"/>
            <rFont val="Tahoma"/>
            <family val="2"/>
          </rPr>
          <t xml:space="preserve">
</t>
        </r>
      </text>
    </comment>
    <comment ref="A11" authorId="0" shapeId="0" xr:uid="{E57FB09B-AB4F-40FC-9BF3-519E68FE79E6}">
      <text>
        <r>
          <rPr>
            <b/>
            <sz val="9"/>
            <color indexed="81"/>
            <rFont val="Tahoma"/>
            <family val="2"/>
          </rPr>
          <t xml:space="preserve">Describe the test environment and setup.
</t>
        </r>
        <r>
          <rPr>
            <sz val="9"/>
            <color indexed="81"/>
            <rFont val="Tahoma"/>
            <family val="2"/>
          </rPr>
          <t xml:space="preserve">
</t>
        </r>
      </text>
    </comment>
    <comment ref="A16" authorId="0" shapeId="0" xr:uid="{3D539B72-3958-464F-86B0-28485D788A9A}">
      <text>
        <r>
          <rPr>
            <b/>
            <sz val="9"/>
            <color indexed="81"/>
            <rFont val="Tahoma"/>
            <family val="2"/>
          </rPr>
          <t>Give the initial state before beginning the test.</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8068B394-B8EC-4867-B5EA-F509EB060FD4}">
      <text>
        <r>
          <rPr>
            <b/>
            <sz val="9"/>
            <color indexed="81"/>
            <rFont val="Tahoma"/>
            <family val="2"/>
          </rPr>
          <t xml:space="preserve">See Guide (help)
</t>
        </r>
        <r>
          <rPr>
            <sz val="9"/>
            <color indexed="81"/>
            <rFont val="Tahoma"/>
            <family val="2"/>
          </rPr>
          <t xml:space="preserve">
</t>
        </r>
      </text>
    </comment>
    <comment ref="A3" authorId="0" shapeId="0" xr:uid="{398B1F15-3D5D-4392-9898-633836A55E4B}">
      <text>
        <r>
          <rPr>
            <b/>
            <sz val="9"/>
            <color indexed="81"/>
            <rFont val="Tahoma"/>
            <family val="2"/>
          </rPr>
          <t xml:space="preserve">See Guide (help)
</t>
        </r>
        <r>
          <rPr>
            <sz val="9"/>
            <color indexed="81"/>
            <rFont val="Tahoma"/>
            <family val="2"/>
          </rPr>
          <t xml:space="preserve">
</t>
        </r>
      </text>
    </comment>
    <comment ref="A5" authorId="0" shapeId="0" xr:uid="{4A2F76BC-6678-4AAA-B892-04781AB0A183}">
      <text>
        <r>
          <rPr>
            <sz val="9"/>
            <color indexed="81"/>
            <rFont val="Tahoma"/>
            <family val="2"/>
          </rPr>
          <t>Definition is in the "General info" tab.
Use the dropdown list.</t>
        </r>
      </text>
    </comment>
    <comment ref="A9" authorId="0" shapeId="0" xr:uid="{C09DC54C-D49F-44BE-975D-832C1C8BA242}">
      <text>
        <r>
          <rPr>
            <b/>
            <sz val="9"/>
            <color indexed="81"/>
            <rFont val="Tahoma"/>
            <family val="2"/>
          </rPr>
          <t>See Guide (help)</t>
        </r>
        <r>
          <rPr>
            <sz val="9"/>
            <color indexed="81"/>
            <rFont val="Tahoma"/>
            <family val="2"/>
          </rPr>
          <t xml:space="preserve">
</t>
        </r>
      </text>
    </comment>
    <comment ref="A11" authorId="0" shapeId="0" xr:uid="{F5706D9C-A36E-4A78-A503-3EF98635B7CC}">
      <text>
        <r>
          <rPr>
            <b/>
            <sz val="9"/>
            <color indexed="81"/>
            <rFont val="Tahoma"/>
            <family val="2"/>
          </rPr>
          <t xml:space="preserve">Describe the test environment and setup.
</t>
        </r>
        <r>
          <rPr>
            <sz val="9"/>
            <color indexed="81"/>
            <rFont val="Tahoma"/>
            <family val="2"/>
          </rPr>
          <t xml:space="preserve">
</t>
        </r>
      </text>
    </comment>
    <comment ref="A16" authorId="0" shapeId="0" xr:uid="{2038FA6E-9A1D-4D5F-B079-6256A94FE850}">
      <text>
        <r>
          <rPr>
            <b/>
            <sz val="9"/>
            <color indexed="81"/>
            <rFont val="Tahoma"/>
            <family val="2"/>
          </rPr>
          <t>Give the initial state before beginning the test.</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A4C28CB2-4281-4C3B-B602-788F0C244BFE}">
      <text>
        <r>
          <rPr>
            <b/>
            <sz val="9"/>
            <color indexed="81"/>
            <rFont val="Tahoma"/>
            <family val="2"/>
          </rPr>
          <t xml:space="preserve">See Guide (help)
</t>
        </r>
        <r>
          <rPr>
            <sz val="9"/>
            <color indexed="81"/>
            <rFont val="Tahoma"/>
            <family val="2"/>
          </rPr>
          <t xml:space="preserve">
</t>
        </r>
      </text>
    </comment>
    <comment ref="A3" authorId="0" shapeId="0" xr:uid="{28EC7A6D-1B55-4C6F-87B8-FE8696509C20}">
      <text>
        <r>
          <rPr>
            <b/>
            <sz val="9"/>
            <color indexed="81"/>
            <rFont val="Tahoma"/>
            <family val="2"/>
          </rPr>
          <t xml:space="preserve">See Guide (help)
</t>
        </r>
        <r>
          <rPr>
            <sz val="9"/>
            <color indexed="81"/>
            <rFont val="Tahoma"/>
            <family val="2"/>
          </rPr>
          <t xml:space="preserve">
</t>
        </r>
      </text>
    </comment>
    <comment ref="A5" authorId="0" shapeId="0" xr:uid="{B4BEEE0C-A3CF-45A4-BAED-A436D8232C86}">
      <text>
        <r>
          <rPr>
            <sz val="9"/>
            <color indexed="81"/>
            <rFont val="Tahoma"/>
            <family val="2"/>
          </rPr>
          <t>Definition is in the "General info" tab.
Use the dropdown list.</t>
        </r>
      </text>
    </comment>
    <comment ref="A9" authorId="0" shapeId="0" xr:uid="{6F7C6806-8DE8-4EB6-8773-D6110163801A}">
      <text>
        <r>
          <rPr>
            <b/>
            <sz val="9"/>
            <color indexed="81"/>
            <rFont val="Tahoma"/>
            <family val="2"/>
          </rPr>
          <t>See Guide (help)</t>
        </r>
        <r>
          <rPr>
            <sz val="9"/>
            <color indexed="81"/>
            <rFont val="Tahoma"/>
            <family val="2"/>
          </rPr>
          <t xml:space="preserve">
</t>
        </r>
      </text>
    </comment>
    <comment ref="A11" authorId="0" shapeId="0" xr:uid="{07C43539-1F51-4128-BD64-C8A7EEFE4E06}">
      <text>
        <r>
          <rPr>
            <b/>
            <sz val="9"/>
            <color indexed="81"/>
            <rFont val="Tahoma"/>
            <family val="2"/>
          </rPr>
          <t xml:space="preserve">Describe the test environment and setup.
</t>
        </r>
        <r>
          <rPr>
            <sz val="9"/>
            <color indexed="81"/>
            <rFont val="Tahoma"/>
            <family val="2"/>
          </rPr>
          <t xml:space="preserve">
</t>
        </r>
      </text>
    </comment>
    <comment ref="A16" authorId="0" shapeId="0" xr:uid="{C80C1A30-6E7E-4C38-AE7D-76A641DA6D7F}">
      <text>
        <r>
          <rPr>
            <b/>
            <sz val="9"/>
            <color indexed="81"/>
            <rFont val="Tahoma"/>
            <family val="2"/>
          </rPr>
          <t>Give the initial state before beginning the test.</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03D2195-6301-4CA6-B549-FD156963F143}">
      <text>
        <r>
          <rPr>
            <b/>
            <sz val="9"/>
            <color indexed="81"/>
            <rFont val="Tahoma"/>
            <family val="2"/>
          </rPr>
          <t xml:space="preserve">See Guide (help)
</t>
        </r>
        <r>
          <rPr>
            <sz val="9"/>
            <color indexed="81"/>
            <rFont val="Tahoma"/>
            <family val="2"/>
          </rPr>
          <t xml:space="preserve">
</t>
        </r>
      </text>
    </comment>
    <comment ref="A3" authorId="0" shapeId="0" xr:uid="{DC7F9461-9202-44D0-9064-6B662280154F}">
      <text>
        <r>
          <rPr>
            <b/>
            <sz val="9"/>
            <color indexed="81"/>
            <rFont val="Tahoma"/>
            <family val="2"/>
          </rPr>
          <t xml:space="preserve">See Guide (help)
</t>
        </r>
        <r>
          <rPr>
            <sz val="9"/>
            <color indexed="81"/>
            <rFont val="Tahoma"/>
            <family val="2"/>
          </rPr>
          <t xml:space="preserve">
</t>
        </r>
      </text>
    </comment>
    <comment ref="A5" authorId="0" shapeId="0" xr:uid="{C3B906A4-0F53-4155-8343-FB4B590E8BF3}">
      <text>
        <r>
          <rPr>
            <sz val="9"/>
            <color indexed="81"/>
            <rFont val="Tahoma"/>
            <family val="2"/>
          </rPr>
          <t>Definition is in the "General info" tab.
Use the dropdown list.</t>
        </r>
      </text>
    </comment>
    <comment ref="A9" authorId="0" shapeId="0" xr:uid="{6F09DAA6-5BEF-4660-BA40-988E11A334C4}">
      <text>
        <r>
          <rPr>
            <b/>
            <sz val="9"/>
            <color indexed="81"/>
            <rFont val="Tahoma"/>
            <family val="2"/>
          </rPr>
          <t>See Guide (help)</t>
        </r>
        <r>
          <rPr>
            <sz val="9"/>
            <color indexed="81"/>
            <rFont val="Tahoma"/>
            <family val="2"/>
          </rPr>
          <t xml:space="preserve">
</t>
        </r>
      </text>
    </comment>
    <comment ref="A11" authorId="0" shapeId="0" xr:uid="{67D74191-697B-403B-B45D-4754D9FB5C2B}">
      <text>
        <r>
          <rPr>
            <b/>
            <sz val="9"/>
            <color indexed="81"/>
            <rFont val="Tahoma"/>
            <family val="2"/>
          </rPr>
          <t xml:space="preserve">Describe the test environment and setup.
</t>
        </r>
        <r>
          <rPr>
            <sz val="9"/>
            <color indexed="81"/>
            <rFont val="Tahoma"/>
            <family val="2"/>
          </rPr>
          <t xml:space="preserve">
</t>
        </r>
      </text>
    </comment>
    <comment ref="A16" authorId="0" shapeId="0" xr:uid="{3B12064D-561A-45F4-B503-C81B20C5A128}">
      <text>
        <r>
          <rPr>
            <b/>
            <sz val="9"/>
            <color indexed="81"/>
            <rFont val="Tahoma"/>
            <family val="2"/>
          </rPr>
          <t>Give the initial state before beginning the test.</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075DD4E-A2A5-4289-B153-8D9340A801A0}">
      <text>
        <r>
          <rPr>
            <b/>
            <sz val="9"/>
            <color indexed="81"/>
            <rFont val="Tahoma"/>
            <family val="2"/>
          </rPr>
          <t xml:space="preserve">See Guide (help)
</t>
        </r>
        <r>
          <rPr>
            <sz val="9"/>
            <color indexed="81"/>
            <rFont val="Tahoma"/>
            <family val="2"/>
          </rPr>
          <t xml:space="preserve">
</t>
        </r>
      </text>
    </comment>
    <comment ref="A3" authorId="0" shapeId="0" xr:uid="{F82E0C4F-ADB2-410E-8D2D-40677F41AE14}">
      <text>
        <r>
          <rPr>
            <b/>
            <sz val="9"/>
            <color indexed="81"/>
            <rFont val="Tahoma"/>
            <family val="2"/>
          </rPr>
          <t xml:space="preserve">See Guide (help)
</t>
        </r>
        <r>
          <rPr>
            <sz val="9"/>
            <color indexed="81"/>
            <rFont val="Tahoma"/>
            <family val="2"/>
          </rPr>
          <t xml:space="preserve">
</t>
        </r>
      </text>
    </comment>
    <comment ref="A5" authorId="0" shapeId="0" xr:uid="{00A62D59-B0C1-4DFF-9FC3-66413E1EFE62}">
      <text>
        <r>
          <rPr>
            <sz val="9"/>
            <color indexed="81"/>
            <rFont val="Tahoma"/>
            <family val="2"/>
          </rPr>
          <t>Definition is in the "General info" tab.
Use the dropdown list.</t>
        </r>
      </text>
    </comment>
    <comment ref="A9" authorId="0" shapeId="0" xr:uid="{18D15D4A-C8E8-4769-B469-C83FFF6118E9}">
      <text>
        <r>
          <rPr>
            <b/>
            <sz val="9"/>
            <color indexed="81"/>
            <rFont val="Tahoma"/>
            <family val="2"/>
          </rPr>
          <t>See Guide (help)</t>
        </r>
        <r>
          <rPr>
            <sz val="9"/>
            <color indexed="81"/>
            <rFont val="Tahoma"/>
            <family val="2"/>
          </rPr>
          <t xml:space="preserve">
</t>
        </r>
      </text>
    </comment>
    <comment ref="A11" authorId="0" shapeId="0" xr:uid="{948CE191-C752-46C7-BEE7-7CB15066B45E}">
      <text>
        <r>
          <rPr>
            <b/>
            <sz val="9"/>
            <color indexed="81"/>
            <rFont val="Tahoma"/>
            <family val="2"/>
          </rPr>
          <t xml:space="preserve">Describe the test environment and setup.
</t>
        </r>
        <r>
          <rPr>
            <sz val="9"/>
            <color indexed="81"/>
            <rFont val="Tahoma"/>
            <family val="2"/>
          </rPr>
          <t xml:space="preserve">
</t>
        </r>
      </text>
    </comment>
    <comment ref="A16" authorId="0" shapeId="0" xr:uid="{5330CFB3-24F8-48BB-9A19-A360362FC9EB}">
      <text>
        <r>
          <rPr>
            <b/>
            <sz val="9"/>
            <color indexed="81"/>
            <rFont val="Tahoma"/>
            <family val="2"/>
          </rPr>
          <t>Give the initial state before beginning the test.</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0BA6E7A1-AEF7-4014-9FEA-1B632CF8B3DB}">
      <text>
        <r>
          <rPr>
            <b/>
            <sz val="9"/>
            <color indexed="81"/>
            <rFont val="Tahoma"/>
            <family val="2"/>
          </rPr>
          <t xml:space="preserve">See Guide (help)
</t>
        </r>
        <r>
          <rPr>
            <sz val="9"/>
            <color indexed="81"/>
            <rFont val="Tahoma"/>
            <family val="2"/>
          </rPr>
          <t xml:space="preserve">
</t>
        </r>
      </text>
    </comment>
    <comment ref="A3" authorId="0" shapeId="0" xr:uid="{EE2A07A2-6D44-4D68-A3A1-5A862684B9FA}">
      <text>
        <r>
          <rPr>
            <b/>
            <sz val="9"/>
            <color indexed="81"/>
            <rFont val="Tahoma"/>
            <family val="2"/>
          </rPr>
          <t xml:space="preserve">See Guide (help)
</t>
        </r>
        <r>
          <rPr>
            <sz val="9"/>
            <color indexed="81"/>
            <rFont val="Tahoma"/>
            <family val="2"/>
          </rPr>
          <t xml:space="preserve">
</t>
        </r>
      </text>
    </comment>
    <comment ref="A5" authorId="0" shapeId="0" xr:uid="{DEC22E6F-D220-47E6-97A1-D00DED4D1012}">
      <text>
        <r>
          <rPr>
            <sz val="9"/>
            <color indexed="81"/>
            <rFont val="Tahoma"/>
            <family val="2"/>
          </rPr>
          <t>Definition is in the "General info" tab.
Use the dropdown list.</t>
        </r>
      </text>
    </comment>
    <comment ref="A9" authorId="0" shapeId="0" xr:uid="{B103F680-50E8-468F-8984-995BA9B92894}">
      <text>
        <r>
          <rPr>
            <b/>
            <sz val="9"/>
            <color indexed="81"/>
            <rFont val="Tahoma"/>
            <family val="2"/>
          </rPr>
          <t>See Guide (help)</t>
        </r>
        <r>
          <rPr>
            <sz val="9"/>
            <color indexed="81"/>
            <rFont val="Tahoma"/>
            <family val="2"/>
          </rPr>
          <t xml:space="preserve">
</t>
        </r>
      </text>
    </comment>
    <comment ref="A11" authorId="0" shapeId="0" xr:uid="{354FB6AC-89CB-46AF-99EC-2AE73CC767F2}">
      <text>
        <r>
          <rPr>
            <b/>
            <sz val="9"/>
            <color indexed="81"/>
            <rFont val="Tahoma"/>
            <family val="2"/>
          </rPr>
          <t xml:space="preserve">Describe the test environment and setup.
</t>
        </r>
        <r>
          <rPr>
            <sz val="9"/>
            <color indexed="81"/>
            <rFont val="Tahoma"/>
            <family val="2"/>
          </rPr>
          <t xml:space="preserve">
</t>
        </r>
      </text>
    </comment>
    <comment ref="A16" authorId="0" shapeId="0" xr:uid="{A66F7E0C-A13F-432A-AF3F-4B2C1956BF9C}">
      <text>
        <r>
          <rPr>
            <b/>
            <sz val="9"/>
            <color indexed="81"/>
            <rFont val="Tahoma"/>
            <family val="2"/>
          </rPr>
          <t>Give the initial state before beginning the test.</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6927D961-CEA7-4701-8FD8-32AA78FAA4D6}">
      <text>
        <r>
          <rPr>
            <b/>
            <sz val="9"/>
            <color indexed="81"/>
            <rFont val="Tahoma"/>
            <family val="2"/>
          </rPr>
          <t xml:space="preserve">See Guide (help)
</t>
        </r>
        <r>
          <rPr>
            <sz val="9"/>
            <color indexed="81"/>
            <rFont val="Tahoma"/>
            <family val="2"/>
          </rPr>
          <t xml:space="preserve">
</t>
        </r>
      </text>
    </comment>
    <comment ref="A3" authorId="0" shapeId="0" xr:uid="{F798F7D0-6425-4F18-9987-BAA6FA7A1DDA}">
      <text>
        <r>
          <rPr>
            <b/>
            <sz val="9"/>
            <color indexed="81"/>
            <rFont val="Tahoma"/>
            <family val="2"/>
          </rPr>
          <t xml:space="preserve">See Guide (help)
</t>
        </r>
        <r>
          <rPr>
            <sz val="9"/>
            <color indexed="81"/>
            <rFont val="Tahoma"/>
            <family val="2"/>
          </rPr>
          <t xml:space="preserve">
</t>
        </r>
      </text>
    </comment>
    <comment ref="A5" authorId="0" shapeId="0" xr:uid="{0EDB5939-DA2E-496F-9018-24E4957667F3}">
      <text>
        <r>
          <rPr>
            <sz val="9"/>
            <color indexed="81"/>
            <rFont val="Tahoma"/>
            <family val="2"/>
          </rPr>
          <t>Definition is in the "General info" tab.
Use the dropdown list.</t>
        </r>
      </text>
    </comment>
    <comment ref="A9" authorId="0" shapeId="0" xr:uid="{01E58E56-CE54-4971-A69B-8FCBA082268D}">
      <text>
        <r>
          <rPr>
            <b/>
            <sz val="9"/>
            <color indexed="81"/>
            <rFont val="Tahoma"/>
            <family val="2"/>
          </rPr>
          <t>See Guide (help)</t>
        </r>
        <r>
          <rPr>
            <sz val="9"/>
            <color indexed="81"/>
            <rFont val="Tahoma"/>
            <family val="2"/>
          </rPr>
          <t xml:space="preserve">
</t>
        </r>
      </text>
    </comment>
    <comment ref="A11" authorId="0" shapeId="0" xr:uid="{A701CAE5-B5D8-4B8E-899D-324D518483C1}">
      <text>
        <r>
          <rPr>
            <b/>
            <sz val="9"/>
            <color indexed="81"/>
            <rFont val="Tahoma"/>
            <family val="2"/>
          </rPr>
          <t xml:space="preserve">Describe the test environment and setup.
</t>
        </r>
        <r>
          <rPr>
            <sz val="9"/>
            <color indexed="81"/>
            <rFont val="Tahoma"/>
            <family val="2"/>
          </rPr>
          <t xml:space="preserve">
</t>
        </r>
      </text>
    </comment>
    <comment ref="A16" authorId="0" shapeId="0" xr:uid="{F78B735E-959C-475F-ACA3-B13B93D641B4}">
      <text>
        <r>
          <rPr>
            <b/>
            <sz val="9"/>
            <color indexed="81"/>
            <rFont val="Tahoma"/>
            <family val="2"/>
          </rPr>
          <t>Give the initial state before beginning the test.</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10B8B3BF-24DA-47AC-B9E7-355646D3645F}">
      <text>
        <r>
          <rPr>
            <b/>
            <sz val="9"/>
            <color indexed="81"/>
            <rFont val="Tahoma"/>
            <family val="2"/>
          </rPr>
          <t xml:space="preserve">See Guide (help)
</t>
        </r>
        <r>
          <rPr>
            <sz val="9"/>
            <color indexed="81"/>
            <rFont val="Tahoma"/>
            <family val="2"/>
          </rPr>
          <t xml:space="preserve">
</t>
        </r>
      </text>
    </comment>
    <comment ref="A3" authorId="0" shapeId="0" xr:uid="{EF67A6F7-C067-46C1-9552-C3B301A5B337}">
      <text>
        <r>
          <rPr>
            <b/>
            <sz val="9"/>
            <color indexed="81"/>
            <rFont val="Tahoma"/>
            <family val="2"/>
          </rPr>
          <t xml:space="preserve">See Guide (help)
</t>
        </r>
        <r>
          <rPr>
            <sz val="9"/>
            <color indexed="81"/>
            <rFont val="Tahoma"/>
            <family val="2"/>
          </rPr>
          <t xml:space="preserve">
</t>
        </r>
      </text>
    </comment>
    <comment ref="A5" authorId="0" shapeId="0" xr:uid="{D73E2B9D-8BC3-4665-BEED-813424299F84}">
      <text>
        <r>
          <rPr>
            <sz val="9"/>
            <color indexed="81"/>
            <rFont val="Tahoma"/>
            <family val="2"/>
          </rPr>
          <t>Definition is in the "General info" tab.
Use the dropdown list.</t>
        </r>
      </text>
    </comment>
    <comment ref="A9" authorId="0" shapeId="0" xr:uid="{F7BFE762-C373-4DA2-85E7-F9B8949F8A1D}">
      <text>
        <r>
          <rPr>
            <b/>
            <sz val="9"/>
            <color indexed="81"/>
            <rFont val="Tahoma"/>
            <family val="2"/>
          </rPr>
          <t>See Guide (help)</t>
        </r>
        <r>
          <rPr>
            <sz val="9"/>
            <color indexed="81"/>
            <rFont val="Tahoma"/>
            <family val="2"/>
          </rPr>
          <t xml:space="preserve">
</t>
        </r>
      </text>
    </comment>
    <comment ref="A11" authorId="0" shapeId="0" xr:uid="{46F8FE07-E9C3-40F6-9A5C-5831DFEF5FBA}">
      <text>
        <r>
          <rPr>
            <b/>
            <sz val="9"/>
            <color indexed="81"/>
            <rFont val="Tahoma"/>
            <family val="2"/>
          </rPr>
          <t xml:space="preserve">Describe the test environment and setup.
</t>
        </r>
        <r>
          <rPr>
            <sz val="9"/>
            <color indexed="81"/>
            <rFont val="Tahoma"/>
            <family val="2"/>
          </rPr>
          <t xml:space="preserve">
</t>
        </r>
      </text>
    </comment>
    <comment ref="A16" authorId="0" shapeId="0" xr:uid="{D2AAC898-1A5E-435C-9925-9DD4A73BC872}">
      <text>
        <r>
          <rPr>
            <b/>
            <sz val="9"/>
            <color indexed="81"/>
            <rFont val="Tahoma"/>
            <family val="2"/>
          </rPr>
          <t>Give the initial state before beginning the test.</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4105BD93-B2B6-417A-9246-8AF832911F8C}">
      <text>
        <r>
          <rPr>
            <b/>
            <sz val="9"/>
            <color indexed="81"/>
            <rFont val="Tahoma"/>
            <family val="2"/>
          </rPr>
          <t xml:space="preserve">See Guide (help)
</t>
        </r>
        <r>
          <rPr>
            <sz val="9"/>
            <color indexed="81"/>
            <rFont val="Tahoma"/>
            <family val="2"/>
          </rPr>
          <t xml:space="preserve">
</t>
        </r>
      </text>
    </comment>
    <comment ref="A3" authorId="0" shapeId="0" xr:uid="{6F34B676-5150-4A95-BDDB-B1F57A55EF5C}">
      <text>
        <r>
          <rPr>
            <b/>
            <sz val="9"/>
            <color indexed="81"/>
            <rFont val="Tahoma"/>
            <family val="2"/>
          </rPr>
          <t xml:space="preserve">See Guide (help)
</t>
        </r>
        <r>
          <rPr>
            <sz val="9"/>
            <color indexed="81"/>
            <rFont val="Tahoma"/>
            <family val="2"/>
          </rPr>
          <t xml:space="preserve">
</t>
        </r>
      </text>
    </comment>
    <comment ref="A5" authorId="0" shapeId="0" xr:uid="{370B3F29-B5F6-42FB-9798-D26FA38CE9C2}">
      <text>
        <r>
          <rPr>
            <sz val="9"/>
            <color indexed="81"/>
            <rFont val="Tahoma"/>
            <family val="2"/>
          </rPr>
          <t>Definition is in the "General info" tab.
Use the dropdown list.</t>
        </r>
      </text>
    </comment>
    <comment ref="A9" authorId="0" shapeId="0" xr:uid="{C5472A80-FDB6-46FA-8463-91B9566D0F71}">
      <text>
        <r>
          <rPr>
            <b/>
            <sz val="9"/>
            <color indexed="81"/>
            <rFont val="Tahoma"/>
            <family val="2"/>
          </rPr>
          <t>See Guide (help)</t>
        </r>
        <r>
          <rPr>
            <sz val="9"/>
            <color indexed="81"/>
            <rFont val="Tahoma"/>
            <family val="2"/>
          </rPr>
          <t xml:space="preserve">
</t>
        </r>
      </text>
    </comment>
    <comment ref="A11" authorId="0" shapeId="0" xr:uid="{1754A375-55C2-43A9-8F05-DAE8AEABEEE9}">
      <text>
        <r>
          <rPr>
            <b/>
            <sz val="9"/>
            <color indexed="81"/>
            <rFont val="Tahoma"/>
            <family val="2"/>
          </rPr>
          <t xml:space="preserve">Describe the test environment and setup.
</t>
        </r>
        <r>
          <rPr>
            <sz val="9"/>
            <color indexed="81"/>
            <rFont val="Tahoma"/>
            <family val="2"/>
          </rPr>
          <t xml:space="preserve">
</t>
        </r>
      </text>
    </comment>
    <comment ref="A16" authorId="0" shapeId="0" xr:uid="{1B76F5F6-79B6-49A8-9FED-AB33BF2D9F99}">
      <text>
        <r>
          <rPr>
            <b/>
            <sz val="9"/>
            <color indexed="81"/>
            <rFont val="Tahoma"/>
            <family val="2"/>
          </rPr>
          <t>Give the initial state before beginning the test.</t>
        </r>
        <r>
          <rPr>
            <sz val="9"/>
            <color indexed="81"/>
            <rFont val="Tahoma"/>
            <family val="2"/>
          </rPr>
          <t xml:space="preserve">
</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DB8C857F-B4B6-4772-BE26-547FB90110D4}">
      <text>
        <r>
          <rPr>
            <b/>
            <sz val="9"/>
            <color indexed="81"/>
            <rFont val="Tahoma"/>
            <family val="2"/>
          </rPr>
          <t xml:space="preserve">See Guide (help)
</t>
        </r>
        <r>
          <rPr>
            <sz val="9"/>
            <color indexed="81"/>
            <rFont val="Tahoma"/>
            <family val="2"/>
          </rPr>
          <t xml:space="preserve">
</t>
        </r>
      </text>
    </comment>
    <comment ref="A3" authorId="0" shapeId="0" xr:uid="{618DE0E7-5017-4A7B-AA45-3A1F81604BB5}">
      <text>
        <r>
          <rPr>
            <b/>
            <sz val="9"/>
            <color indexed="81"/>
            <rFont val="Tahoma"/>
            <family val="2"/>
          </rPr>
          <t xml:space="preserve">See Guide (help)
</t>
        </r>
        <r>
          <rPr>
            <sz val="9"/>
            <color indexed="81"/>
            <rFont val="Tahoma"/>
            <family val="2"/>
          </rPr>
          <t xml:space="preserve">
</t>
        </r>
      </text>
    </comment>
    <comment ref="A5" authorId="0" shapeId="0" xr:uid="{0BF6A26F-B39A-404F-8C8F-5A54D8E1ADBD}">
      <text>
        <r>
          <rPr>
            <sz val="9"/>
            <color indexed="81"/>
            <rFont val="Tahoma"/>
            <family val="2"/>
          </rPr>
          <t>Definition is in the "General info" tab.
Use the dropdown list.</t>
        </r>
      </text>
    </comment>
    <comment ref="A9" authorId="0" shapeId="0" xr:uid="{506C8B5A-3529-46D5-B3CB-5D5B8F88F8FA}">
      <text>
        <r>
          <rPr>
            <b/>
            <sz val="9"/>
            <color indexed="81"/>
            <rFont val="Tahoma"/>
            <family val="2"/>
          </rPr>
          <t>See Guide (help)</t>
        </r>
        <r>
          <rPr>
            <sz val="9"/>
            <color indexed="81"/>
            <rFont val="Tahoma"/>
            <family val="2"/>
          </rPr>
          <t xml:space="preserve">
</t>
        </r>
      </text>
    </comment>
    <comment ref="A11" authorId="0" shapeId="0" xr:uid="{9F33749E-645F-4B4F-9108-097914C5D13B}">
      <text>
        <r>
          <rPr>
            <b/>
            <sz val="9"/>
            <color indexed="81"/>
            <rFont val="Tahoma"/>
            <family val="2"/>
          </rPr>
          <t xml:space="preserve">Describe the test environment and setup.
</t>
        </r>
        <r>
          <rPr>
            <sz val="9"/>
            <color indexed="81"/>
            <rFont val="Tahoma"/>
            <family val="2"/>
          </rPr>
          <t xml:space="preserve">
</t>
        </r>
      </text>
    </comment>
    <comment ref="A16" authorId="0" shapeId="0" xr:uid="{7FC01F3C-A4AE-4381-9836-B300C4377D69}">
      <text>
        <r>
          <rPr>
            <b/>
            <sz val="9"/>
            <color indexed="81"/>
            <rFont val="Tahoma"/>
            <family val="2"/>
          </rPr>
          <t>Give the initial state before beginning the test.</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754DE4D8-4FC9-46E9-AB34-4CC69653A86D}">
      <text>
        <r>
          <rPr>
            <b/>
            <sz val="9"/>
            <color indexed="81"/>
            <rFont val="Tahoma"/>
            <family val="2"/>
          </rPr>
          <t xml:space="preserve">See Guide (help)
</t>
        </r>
        <r>
          <rPr>
            <sz val="9"/>
            <color indexed="81"/>
            <rFont val="Tahoma"/>
            <family val="2"/>
          </rPr>
          <t xml:space="preserve">
</t>
        </r>
      </text>
    </comment>
    <comment ref="A3" authorId="0" shapeId="0" xr:uid="{A51350EC-598B-4D59-91EF-5D3303134761}">
      <text>
        <r>
          <rPr>
            <b/>
            <sz val="9"/>
            <color indexed="81"/>
            <rFont val="Tahoma"/>
            <family val="2"/>
          </rPr>
          <t xml:space="preserve">See Guide (help)
</t>
        </r>
        <r>
          <rPr>
            <sz val="9"/>
            <color indexed="81"/>
            <rFont val="Tahoma"/>
            <family val="2"/>
          </rPr>
          <t xml:space="preserve">
</t>
        </r>
      </text>
    </comment>
    <comment ref="A5" authorId="0" shapeId="0" xr:uid="{DDCDB3BD-9FD6-4A06-BAA9-E44670E374FD}">
      <text>
        <r>
          <rPr>
            <sz val="9"/>
            <color indexed="81"/>
            <rFont val="Tahoma"/>
            <family val="2"/>
          </rPr>
          <t>Definition is in the "General info" tab.
Use the dropdown list.</t>
        </r>
      </text>
    </comment>
    <comment ref="A9" authorId="0" shapeId="0" xr:uid="{AA9C8BB4-4B8A-4D56-B6DA-1A1B410D9C16}">
      <text>
        <r>
          <rPr>
            <b/>
            <sz val="9"/>
            <color indexed="81"/>
            <rFont val="Tahoma"/>
            <family val="2"/>
          </rPr>
          <t>See Guide (help)</t>
        </r>
        <r>
          <rPr>
            <sz val="9"/>
            <color indexed="81"/>
            <rFont val="Tahoma"/>
            <family val="2"/>
          </rPr>
          <t xml:space="preserve">
</t>
        </r>
      </text>
    </comment>
    <comment ref="A11" authorId="0" shapeId="0" xr:uid="{4C9BB656-1A1D-4632-8D59-F03884492E00}">
      <text>
        <r>
          <rPr>
            <b/>
            <sz val="9"/>
            <color indexed="81"/>
            <rFont val="Tahoma"/>
            <family val="2"/>
          </rPr>
          <t xml:space="preserve">Describe the test environment and setup.
</t>
        </r>
        <r>
          <rPr>
            <sz val="9"/>
            <color indexed="81"/>
            <rFont val="Tahoma"/>
            <family val="2"/>
          </rPr>
          <t xml:space="preserve">
</t>
        </r>
      </text>
    </comment>
    <comment ref="A16" authorId="0" shapeId="0" xr:uid="{6B68D9F2-5E8F-4D62-9522-D199D07878A0}">
      <text>
        <r>
          <rPr>
            <b/>
            <sz val="9"/>
            <color indexed="81"/>
            <rFont val="Tahoma"/>
            <family val="2"/>
          </rPr>
          <t>Give the initial state before beginning the test.</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E41A1779-8520-45D1-8F3E-63B02C09AF68}">
      <text>
        <r>
          <rPr>
            <b/>
            <sz val="9"/>
            <color indexed="81"/>
            <rFont val="Tahoma"/>
            <family val="2"/>
          </rPr>
          <t xml:space="preserve">See Guide (help)
</t>
        </r>
        <r>
          <rPr>
            <sz val="9"/>
            <color indexed="81"/>
            <rFont val="Tahoma"/>
            <family val="2"/>
          </rPr>
          <t xml:space="preserve">
</t>
        </r>
      </text>
    </comment>
    <comment ref="A3" authorId="0" shapeId="0" xr:uid="{C1651801-AE7A-49EB-AC4A-D2A9352F0A11}">
      <text>
        <r>
          <rPr>
            <b/>
            <sz val="9"/>
            <color indexed="81"/>
            <rFont val="Tahoma"/>
            <family val="2"/>
          </rPr>
          <t xml:space="preserve">See Guide (help)
</t>
        </r>
        <r>
          <rPr>
            <sz val="9"/>
            <color indexed="81"/>
            <rFont val="Tahoma"/>
            <family val="2"/>
          </rPr>
          <t xml:space="preserve">
</t>
        </r>
      </text>
    </comment>
    <comment ref="A5" authorId="0" shapeId="0" xr:uid="{ECFE6854-7ACE-4535-9958-14D1EE8736A4}">
      <text>
        <r>
          <rPr>
            <sz val="9"/>
            <color indexed="81"/>
            <rFont val="Tahoma"/>
            <family val="2"/>
          </rPr>
          <t>Definition is in the "General info" tab.
Use the dropdown list.</t>
        </r>
      </text>
    </comment>
    <comment ref="A9" authorId="0" shapeId="0" xr:uid="{47AA1759-1DB6-415B-A59A-4313E18943F5}">
      <text>
        <r>
          <rPr>
            <b/>
            <sz val="9"/>
            <color indexed="81"/>
            <rFont val="Tahoma"/>
            <family val="2"/>
          </rPr>
          <t>See Guide (help)</t>
        </r>
        <r>
          <rPr>
            <sz val="9"/>
            <color indexed="81"/>
            <rFont val="Tahoma"/>
            <family val="2"/>
          </rPr>
          <t xml:space="preserve">
</t>
        </r>
      </text>
    </comment>
    <comment ref="A11" authorId="0" shapeId="0" xr:uid="{C766B4E8-58D8-4C09-AF3D-1BED041E8ECD}">
      <text>
        <r>
          <rPr>
            <b/>
            <sz val="9"/>
            <color indexed="81"/>
            <rFont val="Tahoma"/>
            <family val="2"/>
          </rPr>
          <t xml:space="preserve">Describe the test environment and setup.
</t>
        </r>
        <r>
          <rPr>
            <sz val="9"/>
            <color indexed="81"/>
            <rFont val="Tahoma"/>
            <family val="2"/>
          </rPr>
          <t xml:space="preserve">
</t>
        </r>
      </text>
    </comment>
    <comment ref="A16" authorId="0" shapeId="0" xr:uid="{A1677221-62DF-4715-89BA-4043BF8880A0}">
      <text>
        <r>
          <rPr>
            <b/>
            <sz val="9"/>
            <color indexed="81"/>
            <rFont val="Tahoma"/>
            <family val="2"/>
          </rPr>
          <t>Give the initial state before beginning the test.</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Francine Chambin</author>
  </authors>
  <commentList>
    <comment ref="A1" authorId="0" shapeId="0" xr:uid="{9B4CB6C6-81F4-490F-9B13-0AA6135D587C}">
      <text>
        <r>
          <rPr>
            <b/>
            <sz val="9"/>
            <color indexed="81"/>
            <rFont val="Tahoma"/>
            <family val="2"/>
          </rPr>
          <t xml:space="preserve">See Guide (help)
</t>
        </r>
        <r>
          <rPr>
            <sz val="9"/>
            <color indexed="81"/>
            <rFont val="Tahoma"/>
            <family val="2"/>
          </rPr>
          <t xml:space="preserve">
</t>
        </r>
      </text>
    </comment>
    <comment ref="A3" authorId="0" shapeId="0" xr:uid="{35AE1DD1-1EDB-4CB8-AAB7-82B2BFA2273C}">
      <text>
        <r>
          <rPr>
            <b/>
            <sz val="9"/>
            <color indexed="81"/>
            <rFont val="Tahoma"/>
            <family val="2"/>
          </rPr>
          <t xml:space="preserve">See Guide (help)
</t>
        </r>
        <r>
          <rPr>
            <sz val="9"/>
            <color indexed="81"/>
            <rFont val="Tahoma"/>
            <family val="2"/>
          </rPr>
          <t xml:space="preserve">
</t>
        </r>
      </text>
    </comment>
    <comment ref="A5" authorId="0" shapeId="0" xr:uid="{7DB587AF-EE4D-4C03-A397-9408A6B22B36}">
      <text>
        <r>
          <rPr>
            <sz val="9"/>
            <color indexed="81"/>
            <rFont val="Tahoma"/>
            <family val="2"/>
          </rPr>
          <t>Definition is in the "General info" tab.
Use the dropdown list.</t>
        </r>
      </text>
    </comment>
    <comment ref="A9" authorId="0" shapeId="0" xr:uid="{58FBB1EC-65B3-4029-A5EF-AF9BAC2C0781}">
      <text>
        <r>
          <rPr>
            <b/>
            <sz val="9"/>
            <color indexed="81"/>
            <rFont val="Tahoma"/>
            <family val="2"/>
          </rPr>
          <t>See Guide (help)</t>
        </r>
        <r>
          <rPr>
            <sz val="9"/>
            <color indexed="81"/>
            <rFont val="Tahoma"/>
            <family val="2"/>
          </rPr>
          <t xml:space="preserve">
</t>
        </r>
      </text>
    </comment>
    <comment ref="A11" authorId="0" shapeId="0" xr:uid="{4F9F3CC1-30B7-4E25-AA3B-FF39A04B8EF7}">
      <text>
        <r>
          <rPr>
            <b/>
            <sz val="9"/>
            <color indexed="81"/>
            <rFont val="Tahoma"/>
            <family val="2"/>
          </rPr>
          <t xml:space="preserve">Describe the test environment and setup.
</t>
        </r>
        <r>
          <rPr>
            <sz val="9"/>
            <color indexed="81"/>
            <rFont val="Tahoma"/>
            <family val="2"/>
          </rPr>
          <t xml:space="preserve">
</t>
        </r>
      </text>
    </comment>
    <comment ref="A16" authorId="0" shapeId="0" xr:uid="{F00E20FF-7D5D-4ECF-96AF-28DD7EC3DF17}">
      <text>
        <r>
          <rPr>
            <b/>
            <sz val="9"/>
            <color indexed="81"/>
            <rFont val="Tahoma"/>
            <family val="2"/>
          </rPr>
          <t>Give the initial state before beginning the test.</t>
        </r>
        <r>
          <rPr>
            <sz val="9"/>
            <color indexed="81"/>
            <rFont val="Tahoma"/>
            <family val="2"/>
          </rPr>
          <t xml:space="preserve">
</t>
        </r>
      </text>
    </comment>
  </commentList>
</comments>
</file>

<file path=xl/sharedStrings.xml><?xml version="1.0" encoding="utf-8"?>
<sst xmlns="http://schemas.openxmlformats.org/spreadsheetml/2006/main" count="1361" uniqueCount="350">
  <si>
    <t>Project Number &amp; Name</t>
  </si>
  <si>
    <t>Document state</t>
  </si>
  <si>
    <t>Document id</t>
  </si>
  <si>
    <t>Document title</t>
  </si>
  <si>
    <t>Version</t>
  </si>
  <si>
    <t>Description/comment</t>
  </si>
  <si>
    <t>Tab</t>
  </si>
  <si>
    <t>ID</t>
  </si>
  <si>
    <t>Title</t>
  </si>
  <si>
    <t>Reference &amp; revision</t>
  </si>
  <si>
    <t>Tab Name</t>
  </si>
  <si>
    <t>Date</t>
  </si>
  <si>
    <t>Author(s)</t>
  </si>
  <si>
    <t>Description/Comment</t>
  </si>
  <si>
    <t>TAB - General Information</t>
  </si>
  <si>
    <t>Template</t>
  </si>
  <si>
    <t>1. General Information</t>
  </si>
  <si>
    <t>1.1. Table of content</t>
  </si>
  <si>
    <t>1.3. Purpose and Scope</t>
  </si>
  <si>
    <t>1.4. References</t>
  </si>
  <si>
    <t>Date of release</t>
  </si>
  <si>
    <t>Author</t>
  </si>
  <si>
    <t>Review</t>
  </si>
  <si>
    <t>Approval</t>
  </si>
  <si>
    <t>Distribution</t>
  </si>
  <si>
    <t>Executive summary</t>
  </si>
  <si>
    <t>* Template history is found in the CM tool used for templates</t>
  </si>
  <si>
    <t>1.2. Revision History *</t>
  </si>
  <si>
    <t>1.4.1. Referenced documents</t>
  </si>
  <si>
    <t>1.4.2. Applicable documents</t>
  </si>
  <si>
    <t>Terminology</t>
  </si>
  <si>
    <t>1.5. Terminology and definitions</t>
  </si>
  <si>
    <t>2. Guide (help)</t>
  </si>
  <si>
    <t>Title:</t>
  </si>
  <si>
    <t>FrontPage</t>
  </si>
  <si>
    <t>General info</t>
  </si>
  <si>
    <t>The front page contains information about the document.
Note : the blue cells are automatically filled by PLM and/or formula</t>
  </si>
  <si>
    <t>No.</t>
  </si>
  <si>
    <t>Test case ID</t>
  </si>
  <si>
    <t>Test case title</t>
  </si>
  <si>
    <t>SW Integration tester</t>
  </si>
  <si>
    <t>Test case title:</t>
  </si>
  <si>
    <t>Purpose of test:</t>
  </si>
  <si>
    <t>Test Status:</t>
  </si>
  <si>
    <t>Precondition:</t>
  </si>
  <si>
    <t>SW_IT_xxx</t>
  </si>
  <si>
    <t>Reference to design element ID:</t>
  </si>
  <si>
    <t>Result</t>
  </si>
  <si>
    <t>Test Case Description</t>
  </si>
  <si>
    <t>Expected result</t>
  </si>
  <si>
    <t>Step 1</t>
  </si>
  <si>
    <t>Step 2</t>
  </si>
  <si>
    <t>Step 3</t>
  </si>
  <si>
    <t>Step 4</t>
  </si>
  <si>
    <t>Step 5</t>
  </si>
  <si>
    <t>Step 6</t>
  </si>
  <si>
    <t>Step 7</t>
  </si>
  <si>
    <t>Step 8</t>
  </si>
  <si>
    <t>Step 9</t>
  </si>
  <si>
    <t>Test Status</t>
  </si>
  <si>
    <t>Actual result</t>
  </si>
  <si>
    <t>no. of tests passed</t>
  </si>
  <si>
    <t>percentage of tests passed</t>
  </si>
  <si>
    <t>no. of test failed</t>
  </si>
  <si>
    <t>percentage of tests failed</t>
  </si>
  <si>
    <t>no. of tests not run</t>
  </si>
  <si>
    <t>percentage  tests not run</t>
  </si>
  <si>
    <t xml:space="preserve">no. of Tests </t>
  </si>
  <si>
    <t>Reference to design element ID</t>
  </si>
  <si>
    <t>PTC label</t>
  </si>
  <si>
    <t>Priority</t>
  </si>
  <si>
    <t>Issue number 
(PTC IM)</t>
  </si>
  <si>
    <t>Nominal test</t>
  </si>
  <si>
    <t>(extracted from SW00OTH001_Dictionary_Acronyms_Roles.xls)
A nominal test consists of applying entry values sequences to the software that should cause all the behaviors expected in the design documents.</t>
  </si>
  <si>
    <t>Robustness Test</t>
  </si>
  <si>
    <t>Endurance Test</t>
  </si>
  <si>
    <t>Qualification Test</t>
  </si>
  <si>
    <t>(extracted from SW00OTH001_Dictionary_Acronyms_Roles.xls)
A qualification test aims at precisely checking (and reporting) a behaviour or a metric (for instance to measure a timing or a memory consumption).</t>
  </si>
  <si>
    <t>(extracted from SW00OTH001_Dictionary_Acronyms_Roles.xls)
An endurance test is done in order to check the repetiveness and the repeatability of the results.</t>
  </si>
  <si>
    <t>(extracted from SW00OTH001_Dictionary_Acronyms_Roles.xls)
A robustness test consist to inject faults and limits values to the software in order to check that the behaviour is coherent to the designs documents.</t>
  </si>
  <si>
    <t>Put here all information which can help the user to use and understand how to use this file:</t>
  </si>
  <si>
    <t xml:space="preserve">If the “Status” is OK , nothing to do in the following columns. </t>
  </si>
  <si>
    <t>If the “Status” is NOK, there are 2 possibilities:</t>
  </si>
  <si>
    <t xml:space="preserve">   a) Correction of the dysfunction, fill the column “To be Fixed” with “YES”.</t>
  </si>
  <si>
    <t xml:space="preserve">   b) No correction of the dysfunction, fill the columns “To be Fixed” with “NO” and “CR/WI number” with the number of the Change Request or Working Issue </t>
  </si>
  <si>
    <t xml:space="preserve">   (mandatory if “To be Fixed” is NO)</t>
  </si>
  <si>
    <t>5) Correction part</t>
  </si>
  <si>
    <t>If the “Status” is OK, nothing to do in the following columns.</t>
  </si>
  <si>
    <t>If the “Status” is NOK and, “To be Fixed” is “NO”, nothing to do in the following columns.</t>
  </si>
  <si>
    <t>If the “Status” is NOK and,  “To be Fixed” is “YES”, fill the columns:</t>
  </si>
  <si>
    <t xml:space="preserve">   “MKS label” with a new MKS checkpoint name,</t>
  </si>
  <si>
    <t xml:space="preserve">   “Who” with the initials of the person who performs the test.</t>
  </si>
  <si>
    <t xml:space="preserve">   “Done” with a “X” when the test is successful</t>
  </si>
  <si>
    <t xml:space="preserve">6) “Final Status” is automatically filled thanks to a macro. </t>
  </si>
  <si>
    <t xml:space="preserve">   If “Status” is OK then “Final Status” is Test OK. </t>
  </si>
  <si>
    <t xml:space="preserve">   If “Status” is NOK and “To be Fixed” is “NO”, then “Final Status” is Test NOK </t>
  </si>
  <si>
    <t xml:space="preserve">   If “Status” is NOK and “To be Fixed” is “YES” and “Done” with “X”, then “Final Status” is Fixed</t>
  </si>
  <si>
    <t>AAUT TAB</t>
  </si>
  <si>
    <t>Change the name "AAUT" of the tab by the Unit name</t>
  </si>
  <si>
    <t>Test Title : give the Test title in order to do the link with the AAU design document.</t>
  </si>
  <si>
    <t xml:space="preserve">Test Case ID : this cell </t>
  </si>
  <si>
    <t>Purpose : give the test gloal</t>
  </si>
  <si>
    <t>Requirement : Link with design requirement or the SW requirement</t>
  </si>
  <si>
    <t>Classification: Give the test type such as Nominal test, or Robustness test, or Endurance test</t>
  </si>
  <si>
    <t xml:space="preserve">Setup: Describe the test environment </t>
  </si>
  <si>
    <t>Test Preconditions : Give the intial test set up</t>
  </si>
  <si>
    <t xml:space="preserve">Add Files or Add Informations : if you want to add any comments or files  </t>
  </si>
  <si>
    <t xml:space="preserve">Test Case Description : Describe each step  of the test cas in the table </t>
  </si>
  <si>
    <t>If you want a new test case click on create a new test case  button.</t>
  </si>
  <si>
    <t>Test Classification</t>
  </si>
  <si>
    <t>Test Classification:</t>
  </si>
  <si>
    <t>(see the "Guide (help)" tab)</t>
  </si>
  <si>
    <t>Environment/setup:</t>
  </si>
  <si>
    <t>The integration tests are classified into 4 types: nominal, robustness, endurance and qualification tests.</t>
  </si>
  <si>
    <t>Guide (help)</t>
  </si>
  <si>
    <t>Tests Synthesis</t>
  </si>
  <si>
    <t>Metrics</t>
  </si>
  <si>
    <t>no. of tests not applicable</t>
  </si>
  <si>
    <t>percentage  tests not applicable</t>
  </si>
  <si>
    <t>This sheet contains history, reference, purpose, scope, definition and guide</t>
  </si>
  <si>
    <t>This sheet gives some metrics regarding the number of tests failed, passed, not run....</t>
  </si>
  <si>
    <t>This sheet gives a synthesis of all Software Integration tests cases and results.</t>
  </si>
  <si>
    <t>This sheet gives the frame of a Software Integration tests cases.</t>
  </si>
  <si>
    <r>
      <rPr>
        <b/>
        <u/>
        <sz val="10"/>
        <rFont val="Arial"/>
        <family val="2"/>
      </rPr>
      <t>1) Creation Software Integration Test Specification</t>
    </r>
    <r>
      <rPr>
        <sz val="10"/>
        <rFont val="Arial"/>
        <family val="2"/>
      </rPr>
      <t xml:space="preserve">
Use this template and rename it as Software Integration Test Specification.
</t>
    </r>
    <r>
      <rPr>
        <b/>
        <u/>
        <sz val="10"/>
        <rFont val="Arial"/>
        <family val="2"/>
      </rPr>
      <t>2) Creation Software Integration Test Report</t>
    </r>
    <r>
      <rPr>
        <sz val="10"/>
        <rFont val="Arial"/>
        <family val="2"/>
      </rPr>
      <t xml:space="preserve">
Once you are ready to perform all the tests described in the Specification, duplicate the Software Integration Test </t>
    </r>
    <r>
      <rPr>
        <u/>
        <sz val="10"/>
        <rFont val="Arial"/>
        <family val="2"/>
      </rPr>
      <t>Specification</t>
    </r>
    <r>
      <rPr>
        <sz val="10"/>
        <rFont val="Arial"/>
        <family val="2"/>
      </rPr>
      <t xml:space="preserve"> and rename it Software Integration Test </t>
    </r>
    <r>
      <rPr>
        <u/>
        <sz val="10"/>
        <rFont val="Arial"/>
        <family val="2"/>
      </rPr>
      <t>Report</t>
    </r>
    <r>
      <rPr>
        <sz val="10"/>
        <rFont val="Arial"/>
        <family val="2"/>
      </rPr>
      <t xml:space="preserve">. You fill the report with your results (that means you must fill the actual result and result in front of the steps of Test Description and then the Test Status. Please, use the dropdown list.)
</t>
    </r>
    <r>
      <rPr>
        <b/>
        <u/>
        <sz val="10"/>
        <rFont val="Arial"/>
        <family val="2"/>
      </rPr>
      <t>3) Creation of the SW integration test cases:</t>
    </r>
    <r>
      <rPr>
        <sz val="10"/>
        <rFont val="Arial"/>
        <family val="2"/>
      </rPr>
      <t xml:space="preserve">
    . Duplicate the sheet "SW_IT_xxx"
    . Rename xxx of the sheet name"SW_IT_xxx" with a number (then you have Test Case ID)
    . Fill the content of the sheet:
           - Test case title: (free text)
           - Reference to design element ID: (free text depending on the format of the SW Architecture.
           The recommendation for reference would be to have a format like SW_ARCH_ddddd with d=digit) 
           - Test Classification: select thanks to the dropdown list the type (see General info sheet)
           - Purpose of test: (free text)
           - Test Status: once all results in front of the steps in the Test Description are filled and
           thanks to the dropdown list select the status 
                        Ok :  test is passed (all results in Test Description are Ok)
                        Nok : test is failed (at least one of the results in Test Description is Nok)
                        not run : test is not performed
                        NA :  test is not applicable (An explanation must be given in Comment column of Tests 
                                Synthesis sheet. This case is possible only if a test case is written but the functionality
                                is not planned to be tested.) 
           - Environment/setup:  (free text) Describe the test environment
           - Precondition : (free text) Give the initial state before beginning the test.
           - Test Case Description : Describe each step of the test case in the table.
    . Duplicate the sheet "SW_IT_xxx" and fill the content as many times as needed by test case.
</t>
    </r>
    <r>
      <rPr>
        <b/>
        <u/>
        <sz val="10"/>
        <rFont val="Arial"/>
        <family val="2"/>
      </rPr>
      <t xml:space="preserve">4) Update Tests Synthesis sheet: 
</t>
    </r>
    <r>
      <rPr>
        <sz val="10"/>
        <rFont val="Arial"/>
        <family val="2"/>
      </rPr>
      <t xml:space="preserve">    . In “Test Case Id column” , write the test id given by Test case excel sheet name (SW_IT_xxx).
    ==&gt; All cells in white are Automatically fulfilled (extracted from SW_IT_xxx sheet).
    . All cells in light orange shall be Manually filled (see guide included in the comment)
</t>
    </r>
  </si>
  <si>
    <t xml:space="preserve">The purpose of this document is established thanks to the Software Architecture design document and defined all Software Integration test cases necessary to control if the SW release XX is correctly implemented as planned in the Software Integration Test Plan. All Software Integration tests specification and report will be stored.
</t>
  </si>
  <si>
    <t>This sheet helps to fill the differents fields and sheets of the template.</t>
  </si>
  <si>
    <t>Nominal</t>
  </si>
  <si>
    <t>Check if default values are loaded if nothing was written into NVM</t>
  </si>
  <si>
    <t>Ok</t>
  </si>
  <si>
    <t>Mass erase</t>
  </si>
  <si>
    <t>Memory cleared</t>
  </si>
  <si>
    <t>Download the software</t>
  </si>
  <si>
    <t>Memory is filled by the content of the flashing files</t>
  </si>
  <si>
    <t>Download the default values binary file</t>
  </si>
  <si>
    <t>Default values area is filled by the content of the default values binary file</t>
  </si>
  <si>
    <t>Default value 0x9C is loaded into the variable</t>
  </si>
  <si>
    <t>Check NVP_BLOCK_ID_ECU_LOCATION_RamBlockData.NVP_u8ECULocation after startup</t>
  </si>
  <si>
    <t>Check if previously written data is used instead of default values</t>
  </si>
  <si>
    <t>Write command NVM_WriteBlock returns no error</t>
  </si>
  <si>
    <t>Write 0xAA into NVP_BLOCK_ID_ECU_LOCATION block</t>
  </si>
  <si>
    <t>0xAA is loaded into the RAM variable</t>
  </si>
  <si>
    <t xml:space="preserve">Shutdown the ecu and wake it up again </t>
  </si>
  <si>
    <t>Communication is reestablished after this cycle</t>
  </si>
  <si>
    <t>Check NVP_BLOCK_ID_ECU_LOCATION_RamBlockData.NVP_u8ECULocation</t>
  </si>
  <si>
    <t>SW_IT_NVP_001</t>
  </si>
  <si>
    <t>Roberto Cristoi</t>
  </si>
  <si>
    <t>SW_IT_NVP_002</t>
  </si>
  <si>
    <t>CRISTOI ROBERTO ALEXANDRU</t>
  </si>
  <si>
    <t>Applied from SW 22_04_00, Release R01.0</t>
  </si>
  <si>
    <t>ECU communication active
ECU connected to debugger
ECU in run mode</t>
  </si>
  <si>
    <t xml:space="preserve">WinIdea + IC5000
Canoe + CANcase VN1160
</t>
  </si>
  <si>
    <t>WinIdea + IC5000
Canoe + CANcase VN1160</t>
  </si>
  <si>
    <t>ARCH_SW_NVP_0000</t>
  </si>
  <si>
    <t>ARCH_SW_NVP_0002</t>
  </si>
  <si>
    <t>Default values check for NVP_BLOCK_ID_HB_CALIBRATION block</t>
  </si>
  <si>
    <t>Values { 50; 137; 310; 1023; 1023 } are loaded into block's related ram variable.</t>
  </si>
  <si>
    <t xml:space="preserve">Check with the debugger if NVP_BLOCK_ID_HB_CALIBRATION_RamBlockData.NVP_au16CalibADCRel = { 50; 137; 310; 1023; 1023 } </t>
  </si>
  <si>
    <t xml:space="preserve">Check with the debugger if NVP_BLOCK_ID_HB_CALIBRATION_RamBlockData.NVP_au16CalibADCTens = { 51; 123; 264; 650; 1023} </t>
  </si>
  <si>
    <t>Check with the debugger if NVP_BLOCK_ID_HB_CALIBRATION_RamBlockData.NVP_au16CurrentProbeRel = { 0; 1110; 2072; 7169; 7169 }</t>
  </si>
  <si>
    <t>Values  { 51; 123; 264; 650; 1023} are loaded into block's related ram variable.</t>
  </si>
  <si>
    <t>Values { 0; 1110; 2072; 7169; 7169 } are loaded into block's related ram variable.</t>
  </si>
  <si>
    <t>Values { 0; 839; 1964; 5198; 8344}  are loaded into block's related ram variable.</t>
  </si>
  <si>
    <t xml:space="preserve">Check with the debugger if NVP_BLOCK_ID_HB_CALIBRATION_RamBlockData.NVP_au16CurrentProbeTens = { 0; 839; 1964; 5198; 8344} </t>
  </si>
  <si>
    <t>Check if default values are loaded if nothing was written into NVM.</t>
  </si>
  <si>
    <t>Check if previous written data is used instead of default values.</t>
  </si>
  <si>
    <t>Written data usage check for NVP_BLOCK_ID_HB_CALIBRATION block</t>
  </si>
  <si>
    <t xml:space="preserve">Step 4 </t>
  </si>
  <si>
    <t xml:space="preserve">Check with the debugger if NVP_BLOCK_ID_HB_CALIBRATION_RamBlockData.NVP_au16CalibADCRel ={ 0xAA, 0xBB, 0xCC, 0xDD, 0xEE} </t>
  </si>
  <si>
    <t xml:space="preserve">Check with the debugger if NVP_BLOCK_ID_HB_CALIBRATION_RamBlockData.NVP_au16CalibADCTens = { 0xAA, 0xBB, 0xCC, 0xDD, 0xEE} </t>
  </si>
  <si>
    <t xml:space="preserve">Check with the debugger if NVP_BLOCK_ID_HB_CALIBRATION_RamBlockData.NVP_au16CurrentProbeRel ={ 0xAA, 0xBB, 0xCC, 0xDD, 0xEE} </t>
  </si>
  <si>
    <t xml:space="preserve">Check with the debugger if NVP_BLOCK_ID_HB_CALIBRATION_RamBlockData.NVP_au16CurrentProbeTens = { 0xAA, 0xBB, 0xCC, 0xDD, 0xEE} </t>
  </si>
  <si>
    <t>Values { 0xAA, 0xBB, 0xCC, 0xDD, 0xEE}  are loaded into block's related ram variable.</t>
  </si>
  <si>
    <t>Default values check for NVP_BLOCK_ID_EXECUTION_COUNTERS block</t>
  </si>
  <si>
    <t>ARCH_SW_NVP_0004</t>
  </si>
  <si>
    <t xml:space="preserve">Check with the debugger if NVP_BLOCK_ID_EXECUTION_COUNTERS_RamBlockData.NVP_au32ExecutedCycleCounters = { 0x00; 0x00; 0x00; 0x00; 0x01 } </t>
  </si>
  <si>
    <t>Values { 0x00; 0x00; 0x00; 0x00; 0x01 } are loaded into block's related ram variable.</t>
  </si>
  <si>
    <t>Written data usage check for NVP_BLOCK_ID_EXECUTION_COUNTERS block</t>
  </si>
  <si>
    <t xml:space="preserve">Check with the debugger if NVP_BLOCK_ID_EXECUTION_COUNTERS_RamBlockData.NVP_au32ExecutedCycleCounters = { 0xAA, 0xBB, 0xCC, 0xDD, 0xEE } </t>
  </si>
  <si>
    <t>ARCH_SW_NVP_0005</t>
  </si>
  <si>
    <t>Default values check for NVP_BLOCK_ID_TESTS_PARAM block</t>
  </si>
  <si>
    <t>Check with the debugger if NVP_BLOCK_ID_TESTS_PARAM_RamBlockData.NVP_u32CheckMotorOrderMediumMaxDuration = 120000</t>
  </si>
  <si>
    <t>Value 120000 is loaded into block's related ram variable.</t>
  </si>
  <si>
    <t>Check with the debugger if NVP_BLOCK_ID_TESTS_PARAM_RamBlockData.NVP_u32MotorCurrentMediumMaxDuration = 120000</t>
  </si>
  <si>
    <t>Check with the debugger if NVP_BLOCK_ID_TESTS_PARAM_RamBlockData.NVP_u32SWThermalProtectionValidationThrs = 160000</t>
  </si>
  <si>
    <t>Value 160000 is loaded into block's related ram variable.</t>
  </si>
  <si>
    <t>Check with the debugger if NVP_BLOCK_ID_TESTS_PARAM_RamBlockData.NVP_u32SWThermalProtectionDeskillingThrs = 32000</t>
  </si>
  <si>
    <t>Value 32000 is loaded into block's related ram variable.</t>
  </si>
  <si>
    <t>Step 10</t>
  </si>
  <si>
    <t>Step 11</t>
  </si>
  <si>
    <t>Step 12</t>
  </si>
  <si>
    <t>Step 13</t>
  </si>
  <si>
    <t>Step 14</t>
  </si>
  <si>
    <t>Step 15</t>
  </si>
  <si>
    <t>Step 16</t>
  </si>
  <si>
    <t>Step 17</t>
  </si>
  <si>
    <t>Step 18</t>
  </si>
  <si>
    <t>Check with the debugger if NVP_BLOCK_ID_TESTS_PARAM_RamBlockData.NVP_u16MotorCurrentHighResetTime = 300</t>
  </si>
  <si>
    <t>Value 300 is loaded into block's related ram variable.</t>
  </si>
  <si>
    <t>Check with the debugger if NVP_BLOCK_ID_TESTS_PARAM_RamBlockData.NVP_u16MotorCurrentMediumResetTime = 1000</t>
  </si>
  <si>
    <t>Value 1000 is loaded into block's related ram variable.</t>
  </si>
  <si>
    <t>Value 2000 is loaded into block's related ram variable.</t>
  </si>
  <si>
    <t>Value 1200 is loaded into block's related ram variable.</t>
  </si>
  <si>
    <t>Check with the debugger if NVP_BLOCK_ID_TESTS_PARAM_RamBlockData.NVP_u16CheckMotorOrderHighMaxDuration = 2000</t>
  </si>
  <si>
    <t>Check with the debugger if NVP_BLOCK_ID_TESTS_PARAM_RamBlockData.NVP_u16MotorCurrentHighMaxDuration = 1200</t>
  </si>
  <si>
    <t>Check with the debugger if NVP_BLOCK_ID_TESTS_PARAM_RamBlockData.NVP_u16CheckMotorOrderHighResetTime = 100</t>
  </si>
  <si>
    <t>Value 100 is loaded into block's related ram variable.</t>
  </si>
  <si>
    <t>Check with the debugger if NVP_BLOCK_ID_TESTS_PARAM_RamBlockData.NVP_u16CheckMotorOrderMediumResetTime = 100</t>
  </si>
  <si>
    <t>Check with the debugger if NVP_BLOCK_ID_TESTS_PARAM_RamBlockData.NVP_u16CheckMotorOrderResetTime = 60000</t>
  </si>
  <si>
    <t>Value 60000 is loaded into block's related ram variable.</t>
  </si>
  <si>
    <t>Check with the debugger if NVP_BLOCK_ID_TESTS_PARAM_RamBlockData.NVP_u16MotorCurrentResetTime = 60000</t>
  </si>
  <si>
    <t>Check with the debugger if NVP_BLOCK_ID_TESTS_PARAM_RamBlockData.NVP_u8MotorCurrentHighThrs = 25</t>
  </si>
  <si>
    <t>Value 25 is loaded into block's related ram variable.</t>
  </si>
  <si>
    <t>Check with the debugger if NVP_BLOCK_ID_TESTS_PARAM_RamBlockData.NVP_u8MotorCurrentMediumThrs = 10</t>
  </si>
  <si>
    <t>Value 10 is loaded into block's related ram variable.</t>
  </si>
  <si>
    <t>Check with the debugger if NVP_BLOCK_ID_TESTS_PARAM_RamBlockData.NVP_u8CheckMotorOrderHighThrs = 80</t>
  </si>
  <si>
    <t>Value 80 is loaded into block's related ram variable.</t>
  </si>
  <si>
    <t>Step 19</t>
  </si>
  <si>
    <t>Check with the debugger if NVP_BLOCK_ID_TESTS_PARAM_RamBlockData.NVP_u8checkMotorOrderMediumThrs = 20</t>
  </si>
  <si>
    <t>Value 20 is loaded into block's related ram variable.</t>
  </si>
  <si>
    <t>Written data usage check for NVP_BLOCK_ID_TESTS_PARAM block</t>
  </si>
  <si>
    <t>Value 0xAA is loaded into block's related ram variable.</t>
  </si>
  <si>
    <t>Step 20</t>
  </si>
  <si>
    <t>Step 21</t>
  </si>
  <si>
    <t>Check with the debugger if NVP_BLOCK_ID_TESTS_PARAM_RamBlockData.NVP_u32MotorCurrentMediumMaxDuration = 0xAA</t>
  </si>
  <si>
    <t>Check with the debugger if NVP_BLOCK_ID_TESTS_PARAM_RamBlockData.NVP_u32CheckMotorOrderMediumMaxDuration = 0xAA</t>
  </si>
  <si>
    <t>Check with the debugger if NVP_BLOCK_ID_TESTS_PARAM_RamBlockData.NVP_u32SWThermalProtectionValidationThrs = 0xAA</t>
  </si>
  <si>
    <t>Check with the debugger if NVP_BLOCK_ID_TESTS_PARAM_RamBlockData.NVP_u32SWThermalProtectionDeskillingThrs = 0xAA</t>
  </si>
  <si>
    <t>Check with the debugger if NVP_BLOCK_ID_TESTS_PARAM_RamBlockData.NVP_u16MotorCurrentHighResetTime = 0xAA</t>
  </si>
  <si>
    <t>Check with the debugger if NVP_BLOCK_ID_TESTS_PARAM_RamBlockData.NVP_u16MotorCurrentMediumResetTime = 0xAA</t>
  </si>
  <si>
    <t>Check with the debugger if NVP_BLOCK_ID_TESTS_PARAM_RamBlockData.NVP_u16CheckMotorOrderHighMaxDuration = 0xAA</t>
  </si>
  <si>
    <t>Check with the debugger if NVP_BLOCK_ID_TESTS_PARAM_RamBlockData.NVP_u16MotorCurrentHighMaxDuration = 0xAA</t>
  </si>
  <si>
    <t>Check with the debugger if NVP_BLOCK_ID_TESTS_PARAM_RamBlockData.NVP_u16CheckMotorOrderHighResetTime = 0xAA</t>
  </si>
  <si>
    <t>Check with the debugger if NVP_BLOCK_ID_TESTS_PARAM_RamBlockData.NVP_u16CheckMotorOrderMediumResetTime = 0xAA</t>
  </si>
  <si>
    <t>Check with the debugger if NVP_BLOCK_ID_TESTS_PARAM_RamBlockData.NVP_u16CheckMotorOrderResetTime = 0xAA</t>
  </si>
  <si>
    <t>Check with the debugger if NVP_BLOCK_ID_TESTS_PARAM_RamBlockData.NVP_u16MotorCurrentResetTime = 0xAA</t>
  </si>
  <si>
    <t>Check with the debugger if NVP_BLOCK_ID_TESTS_PARAM_RamBlockData.NVP_u8MotorCurrentHighThrs = 0xAA</t>
  </si>
  <si>
    <t>Check with the debugger if NVP_BLOCK_ID_TESTS_PARAM_RamBlockData.NVP_u8MotorCurrentMediumThrs = 0xAA</t>
  </si>
  <si>
    <t>Check with the debugger if NVP_BLOCK_ID_TESTS_PARAM_RamBlockData.NVP_u8CheckMotorOrderHighThrs = 0xAA</t>
  </si>
  <si>
    <t>Check with the debugger if NVP_BLOCK_ID_TESTS_PARAM_RamBlockData.NVP_u8checkMotorOrderMediumThrs = 0xAA</t>
  </si>
  <si>
    <t>SW_IT_NVP_003</t>
  </si>
  <si>
    <t>SW_IT_NVP_004</t>
  </si>
  <si>
    <t>SW_IT_NVP_005</t>
  </si>
  <si>
    <t>SW_IT_NVP_006</t>
  </si>
  <si>
    <t>SW_IT_NVP_007</t>
  </si>
  <si>
    <t>SW_IT_NVP_008</t>
  </si>
  <si>
    <t>Default values check for NVP_BLOCK_ID_ECU_LOCATION block</t>
  </si>
  <si>
    <t>Written data usage check for NVP_BLOCK_ID_ECU_LOCATION block</t>
  </si>
  <si>
    <t>ECU communication active
ECU connected to debugger
ECU in run mode
Authentication with Production/Development Enhanced user role
Development Session (10 7E) started</t>
  </si>
  <si>
    <t>Write { 0xAA, 0xBB, 0xCC, 0xDD, 0xEE} into NVP_BLOCK_ID_EXECUTION_COUNTERS_RamBlockData.NVP_au32ExecutedCycleCounters
Manual code has to be added in order to write the NVM block: add 'NvM_WriteBlock((NvM_BlockIdType)42, NVP_BLOCK_ID_EXECUTION_COUNTERS_RamBlockData);' in DIA_runDidFD2A_StepsLibraryWrite() function and execute DID FD2A afterwards.</t>
  </si>
  <si>
    <t>Write { 0xAA, 0xBB, 0xCC, 0xDD, 0xEE} into NVP_BLOCK_ID_HB_CALIBRATION_RamBlockData.NVP_au16CalibADCRel, NVP_BLOCK_ID_HB_CALIBRATION_RamBlockData.NVP_au16CalibADCTens,NVP_BLOCK_ID_HB_CALIBRATION_RamBlockData.NVP_au16CurrentProbeRel and NVP_BLOCK_ID_HB_CALIBRATION_RamBlockData.NVP_au16CurrentProbeTens.
Manual code has to be added in order to write the NVM block: add 'NvM_WriteBlock((NvM_BlockIdType)40, &amp;NVP_BLOCK_ID_HB_CALIBRATION_RamBlockData);' in DIA_runDidFD2A_StepsLibraryWrite() function and execute DID FD2A afterwards.</t>
  </si>
  <si>
    <t>Write { 0xAA, 0xAA, 0xAA, 0xAA, 0xAA, 0xAA, 0xAA, 0xAA, 0xAA, 0xAA, 0xAA, 0xAA, 0xAA, 0xAA, 0xAA, 0xAA} into NVP_BLOCK_ID_TESTS_PARAM_RamBlockData
Manual code has to be added in order to write the NVM block: add 'NvM_WriteBlock((NvM_BlockIdType)43, NVP_BLOCK_ID_TESTS_PARAM_RamBlockData);' in DIA_runDidFD2A_StepsLibraryWrite() function and execute DID FD2A afterwards.</t>
  </si>
  <si>
    <t>254888 DAIMLER MER W174W178 EL SB ECU</t>
  </si>
  <si>
    <t>Initial revision</t>
  </si>
  <si>
    <t>17.01.2022</t>
  </si>
  <si>
    <t>NVP - Software Integration Test Specification Report.xls</t>
  </si>
  <si>
    <t xml:space="preserve">See Project Master Document for the roles and Project Members List for the name of people </t>
  </si>
  <si>
    <t>NVP configuration tool</t>
  </si>
  <si>
    <t>Check the NVP configuration tool</t>
  </si>
  <si>
    <t>Check if NVP configuration tool allows specifying the EEPROM file version.</t>
  </si>
  <si>
    <t>The NVP configuration tool shall allow spechifying the EEPROM file version.</t>
  </si>
  <si>
    <t>The NVP configuration tool allows spechifying the EEPROM file version: E2P Identification 505</t>
  </si>
  <si>
    <t xml:space="preserve"> </t>
  </si>
  <si>
    <t>Check if NVP configuration tool allows managing the EEPROM memory clustering.</t>
  </si>
  <si>
    <t>The NVP configuration tool shall allow managing the EEPROM file version.</t>
  </si>
  <si>
    <t>The NVP configuration tool allows managing the EEPROM file version. See column J-SOFTWARE
ALIAS in RAM</t>
  </si>
  <si>
    <t>Check if NVP configuration tool allows specifying witch blocks must be programmed</t>
  </si>
  <si>
    <t>The NVP configuration tool shall allow specifying witch blocks must be programmed</t>
  </si>
  <si>
    <t>The NVP configuration tool allows specifying witch blocks must be programmed. (NVM_BLOCK_NvMBlock_ConfigID, )</t>
  </si>
  <si>
    <t>SW_IT_NVP_009</t>
  </si>
  <si>
    <t>08.04.2022</t>
  </si>
  <si>
    <t>Mirela Obada</t>
  </si>
  <si>
    <t>1.5</t>
  </si>
  <si>
    <t>07.04.2022</t>
  </si>
  <si>
    <t xml:space="preserve">1.6 </t>
  </si>
  <si>
    <t>Add test SW_IT_NVP_009</t>
  </si>
  <si>
    <t>Initial revision, add tests.</t>
  </si>
  <si>
    <t>ARCH_SW_NVP_0008, ARCH_SW_NVP_0009,ARCH_SW_NVP_00010</t>
  </si>
  <si>
    <t>ARCH_SW_NVP_0001</t>
  </si>
  <si>
    <t>Default values check for NVP_BLOCK_ID_BELT_ASSEMBLY_MANUF_DATE_AND_SN block</t>
  </si>
  <si>
    <t xml:space="preserve">Check with the debugger if NVP_BLOCK_ID_BELT_ASSEMBLY_MANUF_DATE_AND_SN_RamBlockData.NVP_au8AssemblySerialNumber = { 0xFF; 0xFF;0xFF;0xFF;0xFF;0xFF;0xFF;0xFF;0xFF;0xFF;0xFF;0xFF;0xFF;0xFF;0xFF;0xFF;0xFF;0xFF;0xFF;0xFF;0xFF;0xFF;0xFF;0xFF;0xFF;0xFF;0xFF;0xFF; } </t>
  </si>
  <si>
    <t>Values { 0xFF; 0xFF;0xFF;0xFF;0xFF;0xFF;0xFF;0xFF;0xFF;0xFF;0xFF;0xFF;0xFF;0xFF;0xFF;0xFF;0xFF;0xFF;0xFF;0xFF;0xFF;0xFF;0xFF;0xFF;0xFF;0xFF;0xFF;0xFF; }  are loaded into block's related ram variable.</t>
  </si>
  <si>
    <t>Written data usage check for NVP_BLOCK_ID_BELT_ASSEMBLY_MANUF_DATE_AND_SN block</t>
  </si>
  <si>
    <t>Positive response from the ECU</t>
  </si>
  <si>
    <t>ARCH_SW_NVP_0003</t>
  </si>
  <si>
    <t>Default values check for NVP_BLOCK_ID_AEE_TRACEABILITY  block</t>
  </si>
  <si>
    <t>Check with the debugger if NVP_BLOCK_ID_AEE_TRACEABILITY_RamBlockData.NVP_au8AeeTraceabilityNumber = { 0xFF;0xFF;0xFF;0xFF;0xFF;0xFF;0xFF;0xFF;0xFF;0xFF;0xFF;0xFF}</t>
  </si>
  <si>
    <t>Values { 0xFF;0xFF;0xFF;0xFF;0xFF;0xFF;0xFF;0xFF;0xFF;0xFF;0xFF;0xFF} are loaded into block's related ram variable.</t>
  </si>
  <si>
    <t>Values { 0xFF;0xFF;0xFF;0xFF;0xFF;0xFF;0xFF;0xFF;0xFF;0xFF;0xFF;0xFF}  are loaded into block's related ram variable.</t>
  </si>
  <si>
    <t>Written data usage check for NVP_BLOCK_ID_AEE_TRACEABILITY block</t>
  </si>
  <si>
    <t>Execute DID FD03 with the following data: { 0x30;  0x30; 0x30; 0x30; 0x30; 0x30; 0x30; 0x30; 0x30; 0x30; 0x30; 0x30}</t>
  </si>
  <si>
    <t>Values { 0x30;  0x30; 0x30; 0x30; 0x30; 0x30; 0x30; 0x30; 0x30; 0x30; 0x30; 0x30}  are loaded into block's related ram variable.</t>
  </si>
  <si>
    <t>Check with the debugger if NVP_BLOCK_ID_AEE_TRACEABILITY_RamBlockData.NVP_au8AeeTraceabilityNumber  =  { 0x30;  0x30; 0x30; 0x30; 0x30; 0x30; 0x30; 0x30; 0x30; 0x30; 0x30; 0x30}</t>
  </si>
  <si>
    <t>ARCH_SW_NVP_0006</t>
  </si>
  <si>
    <t xml:space="preserve">Check with the debugger if NVP_BLOCK_ID_CYCLE_0_RamBlockData.NVP_au8BeltProfilesDefinitions = </t>
  </si>
  <si>
    <t>Values are loaded into block's related ram variable.</t>
  </si>
  <si>
    <t>Default values check for NVP_BLOCK_ID_CYCLE_0 - 31  block</t>
  </si>
  <si>
    <t>Written data usage check for NVP_BLOCK_ID_CYCLE_0 - 31 block</t>
  </si>
  <si>
    <t>Execute DID FD10 with 384 bytes(size of the block) of 0xAA;</t>
  </si>
  <si>
    <t>Check with the debugger if  NVP_BLOCK_ID_CYCLE_0_RamBlockData.NVP_au8BeltProfilesDefinitions contains only 0xAA</t>
  </si>
  <si>
    <t>384 bytes of 0xAA are loaded into block's related ram variable.</t>
  </si>
  <si>
    <t>ARCH_SW_NVP_0007</t>
  </si>
  <si>
    <t>Default values check for NVP_BLOCK_ID_STEP_0 - 120  block</t>
  </si>
  <si>
    <t xml:space="preserve">Check with the debugger if NVP_BLOCK_ID_STEP_0_RamBlockData.NVP_au8StepsDefinitions = </t>
  </si>
  <si>
    <t>Written data usage check for NVP_BLOCK_ID_STEP_0 - 120 block</t>
  </si>
  <si>
    <t>Execute DID FD2A with 960 bytes(size of the block) of 0xAA;</t>
  </si>
  <si>
    <t>Check with the debugger if  NVP_BLOCK_ID_STEP_0_RamBlockData.NVP_au8StepsDefinitions contains only 0xAA</t>
  </si>
  <si>
    <t>960 bytes of 0xAA are loaded into block's related ram variable.</t>
  </si>
  <si>
    <t>ARCH_SW_NVP_0011</t>
  </si>
  <si>
    <t>Default values check for NVP_BLOCK_ID_WARM_RESET  block</t>
  </si>
  <si>
    <t>Check with the debugger if NVP_BLOCK_ID_WARM_RESET_RamBlockData = { 0xFFFFFFFF;0xFFFFFFFF}</t>
  </si>
  <si>
    <t>Values { 0xFFFFFFFF;0xFFFFFFFF} are loaded into block's related ram variable.</t>
  </si>
  <si>
    <t>Written data usage check for NVP_BLOCK_ID_WARM_RESET block</t>
  </si>
  <si>
    <t>ARCH_SW_NVP_0012</t>
  </si>
  <si>
    <t>Default values check for NVP_BLOCK_ID_MEASUREMENT_FRAME_CONFIG block</t>
  </si>
  <si>
    <t>Check with the debugger if NVP_BLOCK_ID_MEASUREMENT_FRAME_CONFIG_RamBlockData = { 0x00, 0x00, 0x00, 0x00}</t>
  </si>
  <si>
    <t>Values { 0x00, 0x00, 0x00, 0x00} are loaded into block's related ram variable.</t>
  </si>
  <si>
    <t>Written data usage check for NVP_BLOCK_ID_MEASUREMENT_FRAME_CONFIG block</t>
  </si>
  <si>
    <t>SW_IT_NVP_010</t>
  </si>
  <si>
    <t>SW_IT_NVP_011</t>
  </si>
  <si>
    <t>SW_IT_NVP_012</t>
  </si>
  <si>
    <t>SW_IT_NVP_013</t>
  </si>
  <si>
    <t>SW_IT_NVP_014</t>
  </si>
  <si>
    <t>SW_IT_NVP_015</t>
  </si>
  <si>
    <t>SW_IT_NVP_016</t>
  </si>
  <si>
    <t>SW_IT_NVP_017</t>
  </si>
  <si>
    <t>SW_IT_NVP_018</t>
  </si>
  <si>
    <t>SW_IT_NVP_019</t>
  </si>
  <si>
    <t>SW_IT_NVP_020</t>
  </si>
  <si>
    <t>SW_IT_NVP_021</t>
  </si>
  <si>
    <t>Positive response from the ECU; Meas8_RBTM_FL_ST3 starts being sent</t>
  </si>
  <si>
    <t>Execute DID 0340 with the following data: { 0x50 0x50 0x50 0x50 0x50 0x50 0x50 0x50 0x50 0x50 0x50 0x50 0x50 0x50 0x50 0x50 0x50 0x50 0x50 0x50 0x50 0x50 0x50 0x50 0x50 0x50 0x50 0x50}</t>
  </si>
  <si>
    <t>Check with the debugger if NVP_BLOCK_ID_BELT_ASSEMBLY_MANUF_DATE_AND_SN_RamBlockData.NVP_au8AssemblySerialNumber =   { 0x50 0x50 0x50 0x50 0x50 0x50 0x50 0x50 0x50 0x50 0x50 0x50 0x50 0x50 0x50 0x50 0x50 0x50 0x50 0x50 0x50 0x50 0x50 0x50 0x50 0x50 0x50 0x50}</t>
  </si>
  <si>
    <t>The values  { 0x50 0x50 0x50 0x50 0x50 0x50 0x50 0x50 0x50 0x50 0x50 0x50 0x50 0x50 0x50 0x50 0x50 0x50 0x50 0x50 0x50 0x50 0x50 0x50 0x50 0x50 0x50 0x50}  are loaded into block's related ram variable.</t>
  </si>
  <si>
    <t>Execute DID FEFF with the following data (50U,0xBBCCDD)</t>
  </si>
  <si>
    <t>Check with the debugger if  NVP_BLOCK_ID_MEASUREMENT_FRAME_CONFIG_RamBlockData = { 0x0A,0xBB,0xCC,0xDD }</t>
  </si>
  <si>
    <t>The values { 0x0A,0xBB,0xCC,0xDD } are loaded into block's related ram variable.</t>
  </si>
  <si>
    <t>Write commands returns no error, communication works fine.</t>
  </si>
  <si>
    <t>Write { 0xAAAAAAAA;0xBBBBBBBB } in NVP_BLOCK_ID_WARM_RESET_RamBlockData.(change the values with the debugger)
Manual code has to be added in order to write the NVM block: add 'NvM_WriteBlock((NvM_BlockIdType)70, NVP_BLOCK_ID_WARM_RESET_RamBlockData);' in DIA_runDidFD2A_StepsLibraryWrite() function and execute DID FD2A afterwards.</t>
  </si>
  <si>
    <t>Check with the debugger if  NVP_BLOCK_ID_WARM_RESET_RamBlockData ={ 0xAAAAAAAA;0xBBBBBBBB }</t>
  </si>
  <si>
    <t>The values{ 0xAAAAAAAA;0xBBBBBBBB } are loaded into block's related ram variable.</t>
  </si>
  <si>
    <t>ARCH_SW_NVP_0010</t>
  </si>
  <si>
    <t>Default values check for CALIB_BLOCK_ID_BFS_PRIO_PARAM block</t>
  </si>
  <si>
    <t xml:space="preserve">Check with the debugger if CALIB_BLOCK_ID_BFS_PRIO_PARAM_RomBlockData = </t>
  </si>
  <si>
    <t>The following values are loaded into block's related ram variable.</t>
  </si>
  <si>
    <t>SW_IT_NVP_022</t>
  </si>
  <si>
    <t>DAI_SBE_PP4G_MMA_R0205_P21_DEV</t>
  </si>
  <si>
    <t>23.06.2022</t>
  </si>
  <si>
    <r>
      <t xml:space="preserve">Comment
</t>
    </r>
    <r>
      <rPr>
        <i/>
        <sz val="11"/>
        <rFont val="Calibri"/>
        <family val="2"/>
      </rPr>
      <t>(aplicable only if test not executed)</t>
    </r>
  </si>
  <si>
    <t>Test for Regression</t>
  </si>
  <si>
    <t>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</si>
</sst>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45" x14ac:knownFonts="1">
    <font>
      <sz val="10"/>
      <name val="Arial"/>
    </font>
    <font>
      <sz val="10"/>
      <name val="Arial"/>
      <family val="2"/>
    </font>
    <font>
      <b/>
      <sz val="10"/>
      <name val="Arial"/>
      <family val="2"/>
    </font>
    <font>
      <sz val="8"/>
      <name val="Arial"/>
      <family val="2"/>
    </font>
    <font>
      <sz val="10"/>
      <name val="Arial"/>
      <family val="2"/>
    </font>
    <font>
      <sz val="10"/>
      <color indexed="12"/>
      <name val="Arial"/>
      <family val="2"/>
    </font>
    <font>
      <i/>
      <sz val="8"/>
      <name val="Arial"/>
      <family val="2"/>
    </font>
    <font>
      <b/>
      <i/>
      <sz val="14"/>
      <name val="Arial"/>
      <family val="2"/>
    </font>
    <font>
      <b/>
      <sz val="10"/>
      <color indexed="9"/>
      <name val="Arial"/>
      <family val="2"/>
    </font>
    <font>
      <i/>
      <sz val="10"/>
      <name val="Arial"/>
      <family val="2"/>
    </font>
    <font>
      <b/>
      <i/>
      <sz val="20"/>
      <name val="Arial"/>
      <family val="2"/>
    </font>
    <font>
      <b/>
      <i/>
      <sz val="10"/>
      <name val="Arial"/>
      <family val="2"/>
    </font>
    <font>
      <b/>
      <i/>
      <sz val="16"/>
      <name val="Arial"/>
      <family val="2"/>
    </font>
    <font>
      <sz val="8"/>
      <color indexed="81"/>
      <name val="Tahoma"/>
      <family val="2"/>
    </font>
    <font>
      <sz val="11"/>
      <color indexed="12"/>
      <name val="Times New Roman"/>
      <family val="1"/>
    </font>
    <font>
      <i/>
      <sz val="14"/>
      <name val="Arial"/>
      <family val="2"/>
    </font>
    <font>
      <i/>
      <sz val="8"/>
      <name val="Times New Roman"/>
      <family val="1"/>
    </font>
    <font>
      <sz val="8"/>
      <color indexed="81"/>
      <name val="Tahoma"/>
      <family val="2"/>
      <charset val="238"/>
    </font>
    <font>
      <sz val="9"/>
      <color indexed="81"/>
      <name val="Tahoma"/>
      <family val="2"/>
    </font>
    <font>
      <b/>
      <sz val="9"/>
      <color indexed="81"/>
      <name val="Tahoma"/>
      <family val="2"/>
    </font>
    <font>
      <sz val="10"/>
      <name val="Arial"/>
      <family val="2"/>
      <charset val="238"/>
    </font>
    <font>
      <u/>
      <sz val="10"/>
      <name val="Arial"/>
      <family val="2"/>
    </font>
    <font>
      <b/>
      <u/>
      <sz val="10"/>
      <name val="Arial"/>
      <family val="2"/>
    </font>
    <font>
      <u/>
      <sz val="10"/>
      <color theme="10"/>
      <name val="Arial"/>
      <family val="2"/>
    </font>
    <font>
      <i/>
      <sz val="8"/>
      <color rgb="FF0070C0"/>
      <name val="Arial"/>
      <family val="2"/>
    </font>
    <font>
      <b/>
      <sz val="20"/>
      <color rgb="FF000080"/>
      <name val="Arial"/>
      <family val="2"/>
    </font>
    <font>
      <sz val="10"/>
      <color rgb="FFC00000"/>
      <name val="Arial"/>
      <family val="2"/>
    </font>
    <font>
      <b/>
      <sz val="10"/>
      <color rgb="FFC00000"/>
      <name val="Arial"/>
      <family val="2"/>
    </font>
    <font>
      <i/>
      <sz val="8"/>
      <color rgb="FF000080"/>
      <name val="Arial"/>
      <family val="2"/>
    </font>
    <font>
      <sz val="11"/>
      <name val="Calibri"/>
      <family val="2"/>
      <charset val="238"/>
      <scheme val="minor"/>
    </font>
    <font>
      <sz val="11"/>
      <color theme="1"/>
      <name val="Calibri"/>
      <family val="2"/>
      <charset val="238"/>
      <scheme val="minor"/>
    </font>
    <font>
      <i/>
      <sz val="11"/>
      <color theme="1"/>
      <name val="Calibri"/>
      <family val="2"/>
      <charset val="238"/>
      <scheme val="minor"/>
    </font>
    <font>
      <i/>
      <sz val="10"/>
      <color theme="1"/>
      <name val="Arial"/>
      <family val="2"/>
    </font>
    <font>
      <sz val="11"/>
      <color rgb="FF000000"/>
      <name val="Calibri"/>
      <family val="2"/>
    </font>
    <font>
      <i/>
      <sz val="11"/>
      <name val="Calibri"/>
      <family val="2"/>
      <charset val="238"/>
      <scheme val="minor"/>
    </font>
    <font>
      <b/>
      <i/>
      <u/>
      <sz val="10"/>
      <color theme="10"/>
      <name val="Arial"/>
      <family val="2"/>
    </font>
    <font>
      <i/>
      <sz val="10"/>
      <color theme="3" tint="-0.499984740745262"/>
      <name val="Arial"/>
      <family val="2"/>
    </font>
    <font>
      <i/>
      <sz val="11"/>
      <color theme="1"/>
      <name val="Calibri"/>
      <family val="2"/>
      <scheme val="minor"/>
    </font>
    <font>
      <b/>
      <sz val="10"/>
      <color theme="0"/>
      <name val="Arial"/>
      <family val="2"/>
    </font>
    <font>
      <b/>
      <i/>
      <sz val="10"/>
      <color rgb="FF000080"/>
      <name val="Arial"/>
      <family val="2"/>
    </font>
    <font>
      <b/>
      <sz val="8"/>
      <color theme="0"/>
      <name val="Arial"/>
      <family val="2"/>
    </font>
    <font>
      <sz val="10"/>
      <color rgb="FF000080"/>
      <name val="Arial"/>
      <family val="2"/>
    </font>
    <font>
      <sz val="8"/>
      <name val="Arial"/>
      <family val="2"/>
    </font>
    <font>
      <sz val="11"/>
      <name val="Calibri"/>
      <family val="2"/>
      <charset val="238"/>
    </font>
    <font>
      <i/>
      <sz val="11"/>
      <name val="Calibri"/>
      <family val="2"/>
    </font>
  </fonts>
  <fills count="11">
    <fill>
      <patternFill patternType="none"/>
    </fill>
    <fill>
      <patternFill patternType="gray125"/>
    </fill>
    <fill>
      <patternFill patternType="solid">
        <fgColor indexed="18"/>
        <bgColor indexed="64"/>
      </patternFill>
    </fill>
    <fill>
      <patternFill patternType="solid">
        <fgColor indexed="65"/>
        <bgColor indexed="10"/>
      </patternFill>
    </fill>
    <fill>
      <patternFill patternType="solid">
        <fgColor theme="3"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rgb="FF000080"/>
        <bgColor indexed="64"/>
      </patternFill>
    </fill>
    <fill>
      <patternFill patternType="solid">
        <fgColor theme="4" tint="0.59999389629810485"/>
        <bgColor indexed="64"/>
      </patternFill>
    </fill>
    <fill>
      <patternFill patternType="solid">
        <fgColor theme="0" tint="-0.499984740745262"/>
        <bgColor indexed="64"/>
      </patternFill>
    </fill>
    <fill>
      <patternFill patternType="solid">
        <fgColor rgb="FFC5D9F1"/>
        <bgColor rgb="FF000000"/>
      </patternFill>
    </fill>
  </fills>
  <borders count="45">
    <border>
      <left/>
      <right/>
      <top/>
      <bottom/>
      <diagonal/>
    </border>
    <border>
      <left/>
      <right/>
      <top/>
      <bottom style="thin">
        <color indexed="64"/>
      </bottom>
      <diagonal/>
    </border>
    <border>
      <left style="thin">
        <color indexed="64"/>
      </left>
      <right/>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bottom style="thin">
        <color rgb="FF000080"/>
      </bottom>
      <diagonal/>
    </border>
  </borders>
  <cellStyleXfs count="3">
    <xf numFmtId="0" fontId="0" fillId="0" borderId="0"/>
    <xf numFmtId="0" fontId="23" fillId="0" borderId="0" applyNumberFormat="0" applyFill="0" applyBorder="0" applyAlignment="0" applyProtection="0"/>
    <xf numFmtId="0" fontId="1" fillId="0" borderId="0"/>
  </cellStyleXfs>
  <cellXfs count="237">
    <xf numFmtId="0" fontId="0" fillId="0" borderId="0" xfId="0"/>
    <xf numFmtId="0" fontId="0" fillId="0" borderId="0" xfId="0" applyAlignment="1" applyProtection="1">
      <alignment vertical="center"/>
    </xf>
    <xf numFmtId="0" fontId="5" fillId="0" borderId="0" xfId="0" applyFont="1" applyFill="1" applyAlignment="1" applyProtection="1">
      <alignment vertical="center" wrapText="1"/>
    </xf>
    <xf numFmtId="164" fontId="5" fillId="0" borderId="0" xfId="0" applyNumberFormat="1" applyFont="1" applyFill="1" applyBorder="1" applyAlignment="1" applyProtection="1">
      <alignment horizontal="center" vertical="center" wrapText="1"/>
    </xf>
    <xf numFmtId="20" fontId="5" fillId="0" borderId="0" xfId="0" applyNumberFormat="1" applyFont="1" applyFill="1" applyBorder="1" applyAlignment="1" applyProtection="1">
      <alignment vertical="center" wrapText="1"/>
    </xf>
    <xf numFmtId="0" fontId="5" fillId="0" borderId="0" xfId="0" applyFont="1" applyFill="1" applyBorder="1" applyAlignment="1" applyProtection="1">
      <alignment horizontal="left" vertical="center" wrapText="1"/>
    </xf>
    <xf numFmtId="0" fontId="1" fillId="0" borderId="0" xfId="0" applyFont="1" applyFill="1" applyAlignment="1" applyProtection="1">
      <alignment vertical="center"/>
    </xf>
    <xf numFmtId="0" fontId="0" fillId="0" borderId="0" xfId="0" applyBorder="1" applyAlignment="1" applyProtection="1">
      <alignment vertical="center"/>
    </xf>
    <xf numFmtId="0" fontId="1" fillId="0" borderId="0" xfId="0" applyFont="1" applyFill="1" applyBorder="1" applyAlignment="1" applyProtection="1">
      <alignment vertical="center"/>
    </xf>
    <xf numFmtId="0" fontId="24" fillId="0" borderId="0" xfId="0" applyFont="1" applyFill="1" applyBorder="1" applyAlignment="1" applyProtection="1">
      <alignment horizontal="right" vertical="center"/>
    </xf>
    <xf numFmtId="0" fontId="6" fillId="0" borderId="0" xfId="0" applyFont="1" applyBorder="1" applyAlignment="1" applyProtection="1">
      <alignment horizontal="left" vertical="center" wrapText="1"/>
    </xf>
    <xf numFmtId="0" fontId="4" fillId="0" borderId="0" xfId="0" applyFont="1" applyFill="1" applyBorder="1" applyAlignment="1" applyProtection="1">
      <alignment vertical="center" shrinkToFit="1"/>
    </xf>
    <xf numFmtId="0" fontId="4" fillId="0" borderId="0" xfId="0" applyFont="1" applyBorder="1" applyAlignment="1" applyProtection="1">
      <alignment vertical="center" shrinkToFit="1"/>
    </xf>
    <xf numFmtId="0" fontId="4" fillId="0" borderId="0" xfId="0" applyFont="1" applyFill="1" applyAlignment="1" applyProtection="1">
      <alignment vertical="center" shrinkToFit="1"/>
    </xf>
    <xf numFmtId="0" fontId="4" fillId="0" borderId="0" xfId="0" applyFont="1" applyAlignment="1" applyProtection="1">
      <alignment vertical="center" shrinkToFit="1"/>
    </xf>
    <xf numFmtId="0" fontId="1" fillId="0" borderId="0" xfId="0" applyFont="1" applyFill="1" applyAlignment="1" applyProtection="1">
      <alignment vertical="center"/>
      <protection locked="0"/>
    </xf>
    <xf numFmtId="0" fontId="0" fillId="0" borderId="0" xfId="0" applyAlignment="1" applyProtection="1">
      <alignment vertical="center"/>
      <protection locked="0"/>
    </xf>
    <xf numFmtId="0" fontId="4" fillId="0" borderId="0" xfId="0" applyFont="1" applyFill="1" applyAlignment="1" applyProtection="1">
      <alignment vertical="center"/>
      <protection locked="0"/>
    </xf>
    <xf numFmtId="0" fontId="4" fillId="0" borderId="0" xfId="0" applyFont="1" applyAlignment="1" applyProtection="1">
      <alignment vertical="center"/>
      <protection locked="0"/>
    </xf>
    <xf numFmtId="0" fontId="25" fillId="0" borderId="44" xfId="0" applyFont="1" applyBorder="1" applyAlignment="1" applyProtection="1">
      <alignment vertical="center"/>
      <protection locked="0"/>
    </xf>
    <xf numFmtId="0" fontId="0" fillId="0" borderId="44" xfId="0" applyBorder="1" applyAlignment="1" applyProtection="1">
      <alignment vertical="center"/>
      <protection locked="0"/>
    </xf>
    <xf numFmtId="0" fontId="12" fillId="0" borderId="0" xfId="0" applyFont="1" applyAlignment="1" applyProtection="1">
      <alignment horizontal="left" vertical="center"/>
      <protection locked="0"/>
    </xf>
    <xf numFmtId="0" fontId="7" fillId="0" borderId="0" xfId="0" applyFont="1" applyAlignment="1" applyProtection="1">
      <alignment horizontal="left" vertical="center"/>
      <protection locked="0"/>
    </xf>
    <xf numFmtId="0" fontId="4" fillId="0" borderId="0" xfId="0" applyFont="1" applyAlignment="1" applyProtection="1">
      <alignment horizontal="left" vertical="center"/>
      <protection locked="0"/>
    </xf>
    <xf numFmtId="0" fontId="9" fillId="0" borderId="0" xfId="0" applyFont="1" applyAlignment="1" applyProtection="1">
      <alignment vertical="center"/>
      <protection locked="0"/>
    </xf>
    <xf numFmtId="0" fontId="2" fillId="0" borderId="0" xfId="0" applyFont="1" applyAlignment="1" applyProtection="1">
      <alignment vertical="center"/>
      <protection locked="0"/>
    </xf>
    <xf numFmtId="49" fontId="16" fillId="0" borderId="0" xfId="0" applyNumberFormat="1" applyFont="1" applyFill="1" applyBorder="1" applyAlignment="1" applyProtection="1">
      <alignment horizontal="left" vertical="center"/>
      <protection locked="0"/>
    </xf>
    <xf numFmtId="49" fontId="4" fillId="0" borderId="0" xfId="0" applyNumberFormat="1" applyFont="1" applyFill="1" applyBorder="1" applyAlignment="1">
      <alignment horizontal="center" vertical="center" wrapText="1"/>
    </xf>
    <xf numFmtId="49" fontId="4" fillId="0" borderId="0" xfId="0" applyNumberFormat="1" applyFont="1" applyFill="1" applyBorder="1" applyAlignment="1" applyProtection="1">
      <alignment horizontal="left" vertical="center" wrapText="1"/>
      <protection locked="0"/>
    </xf>
    <xf numFmtId="49" fontId="4" fillId="0" borderId="0" xfId="0" applyNumberFormat="1" applyFont="1" applyFill="1" applyBorder="1" applyAlignment="1">
      <alignment horizontal="left" vertical="center" wrapText="1"/>
    </xf>
    <xf numFmtId="49" fontId="14" fillId="0" borderId="0" xfId="0" applyNumberFormat="1" applyFont="1" applyFill="1" applyAlignment="1" applyProtection="1">
      <alignment vertical="center" wrapText="1"/>
      <protection locked="0"/>
    </xf>
    <xf numFmtId="14" fontId="0" fillId="0" borderId="0" xfId="0" applyNumberFormat="1" applyAlignment="1" applyProtection="1">
      <alignment vertical="center"/>
      <protection locked="0"/>
    </xf>
    <xf numFmtId="0" fontId="15" fillId="0" borderId="0" xfId="0" applyFont="1" applyAlignment="1" applyProtection="1">
      <alignment horizontal="left" vertical="center"/>
      <protection locked="0"/>
    </xf>
    <xf numFmtId="0" fontId="0" fillId="0" borderId="0" xfId="0" applyBorder="1" applyAlignment="1">
      <alignment horizontal="left" vertical="center" wrapText="1"/>
    </xf>
    <xf numFmtId="0" fontId="25" fillId="0" borderId="1" xfId="0" applyFont="1" applyBorder="1" applyAlignment="1" applyProtection="1">
      <alignment vertical="center"/>
      <protection locked="0"/>
    </xf>
    <xf numFmtId="49" fontId="4" fillId="0" borderId="1" xfId="0" applyNumberFormat="1" applyFont="1" applyFill="1" applyBorder="1" applyAlignment="1" applyProtection="1">
      <alignment horizontal="left" vertical="center" wrapText="1"/>
      <protection locked="0"/>
    </xf>
    <xf numFmtId="0" fontId="0" fillId="0" borderId="1" xfId="0" applyBorder="1" applyAlignment="1">
      <alignment horizontal="left" vertical="center" wrapText="1"/>
    </xf>
    <xf numFmtId="0" fontId="25" fillId="0" borderId="0" xfId="0" applyFont="1" applyBorder="1" applyAlignment="1" applyProtection="1">
      <alignment vertical="center"/>
      <protection locked="0"/>
    </xf>
    <xf numFmtId="49" fontId="4" fillId="0" borderId="0" xfId="0" applyNumberFormat="1" applyFont="1" applyFill="1" applyBorder="1" applyAlignment="1" applyProtection="1">
      <alignment horizontal="left" vertical="center"/>
      <protection locked="0"/>
    </xf>
    <xf numFmtId="0" fontId="0" fillId="0" borderId="0" xfId="0" applyBorder="1" applyAlignment="1">
      <alignment horizontal="left" vertical="center"/>
    </xf>
    <xf numFmtId="0" fontId="0" fillId="0" borderId="0" xfId="0" applyFill="1" applyBorder="1" applyAlignment="1" applyProtection="1">
      <alignment vertical="center"/>
      <protection locked="0"/>
    </xf>
    <xf numFmtId="0" fontId="0" fillId="0" borderId="0" xfId="0" applyFill="1" applyBorder="1" applyAlignment="1" applyProtection="1">
      <alignment horizontal="left" vertical="center"/>
      <protection locked="0"/>
    </xf>
    <xf numFmtId="49" fontId="4" fillId="0" borderId="0" xfId="0" applyNumberFormat="1" applyFont="1" applyFill="1" applyBorder="1" applyAlignment="1">
      <alignment vertical="center"/>
    </xf>
    <xf numFmtId="0" fontId="0" fillId="0" borderId="0" xfId="0" applyBorder="1" applyAlignment="1" applyProtection="1">
      <alignment vertical="center"/>
      <protection locked="0"/>
    </xf>
    <xf numFmtId="0" fontId="0" fillId="0" borderId="0" xfId="0" applyAlignment="1" applyProtection="1">
      <alignment vertical="center" shrinkToFit="1"/>
      <protection locked="0"/>
    </xf>
    <xf numFmtId="0" fontId="29" fillId="4" borderId="4" xfId="0" applyFont="1" applyFill="1" applyBorder="1" applyAlignment="1">
      <alignment horizontal="center" vertical="center" wrapText="1"/>
    </xf>
    <xf numFmtId="0" fontId="29" fillId="4" borderId="5" xfId="0" applyFont="1" applyFill="1" applyBorder="1" applyAlignment="1">
      <alignment horizontal="center" vertical="center" wrapText="1"/>
    </xf>
    <xf numFmtId="0" fontId="30" fillId="4" borderId="5" xfId="0" applyFont="1" applyFill="1" applyBorder="1" applyAlignment="1">
      <alignment horizontal="center" vertical="center" wrapText="1"/>
    </xf>
    <xf numFmtId="0" fontId="29" fillId="4" borderId="6" xfId="0" applyFont="1" applyFill="1" applyBorder="1" applyAlignment="1">
      <alignment horizontal="center" vertical="center" wrapText="1"/>
    </xf>
    <xf numFmtId="0" fontId="29" fillId="0" borderId="8" xfId="0" applyFont="1" applyBorder="1" applyAlignment="1">
      <alignment vertical="top"/>
    </xf>
    <xf numFmtId="0" fontId="29" fillId="0" borderId="9" xfId="0" applyFont="1" applyBorder="1" applyAlignment="1">
      <alignment vertical="top"/>
    </xf>
    <xf numFmtId="0" fontId="29" fillId="0" borderId="10" xfId="0" applyFont="1" applyBorder="1" applyAlignment="1">
      <alignment vertical="top"/>
    </xf>
    <xf numFmtId="0" fontId="31" fillId="0" borderId="11" xfId="0" applyFont="1" applyBorder="1" applyAlignment="1">
      <alignment vertical="top"/>
    </xf>
    <xf numFmtId="14" fontId="31" fillId="0" borderId="11" xfId="0" applyNumberFormat="1" applyFont="1" applyBorder="1" applyAlignment="1">
      <alignment horizontal="center" vertical="center" wrapText="1"/>
    </xf>
    <xf numFmtId="0" fontId="31" fillId="0" borderId="11" xfId="0" applyFont="1" applyBorder="1" applyAlignment="1">
      <alignment horizontal="center" vertical="center" wrapText="1"/>
    </xf>
    <xf numFmtId="0" fontId="31" fillId="0" borderId="12" xfId="0" applyFont="1" applyBorder="1" applyAlignment="1">
      <alignment vertical="top" wrapText="1"/>
    </xf>
    <xf numFmtId="0" fontId="29" fillId="0" borderId="13" xfId="0" applyFont="1" applyBorder="1" applyAlignment="1">
      <alignment vertical="top"/>
    </xf>
    <xf numFmtId="0" fontId="29" fillId="0" borderId="14" xfId="0" applyFont="1" applyBorder="1" applyAlignment="1">
      <alignment vertical="top"/>
    </xf>
    <xf numFmtId="0" fontId="1" fillId="5" borderId="0" xfId="0" applyFont="1" applyFill="1" applyBorder="1" applyAlignment="1">
      <alignment wrapText="1"/>
    </xf>
    <xf numFmtId="0" fontId="1" fillId="5" borderId="0" xfId="0" applyFont="1" applyFill="1" applyBorder="1"/>
    <xf numFmtId="0" fontId="1" fillId="5" borderId="0" xfId="0" applyFont="1" applyFill="1"/>
    <xf numFmtId="0" fontId="1" fillId="5" borderId="0" xfId="0" applyFont="1" applyFill="1" applyBorder="1" applyAlignment="1">
      <alignment horizontal="center"/>
    </xf>
    <xf numFmtId="0" fontId="1" fillId="5" borderId="2" xfId="0" applyFont="1" applyFill="1" applyBorder="1" applyAlignment="1">
      <alignment wrapText="1"/>
    </xf>
    <xf numFmtId="0" fontId="32" fillId="5" borderId="7" xfId="0" applyFont="1" applyFill="1" applyBorder="1" applyAlignment="1">
      <alignment vertical="top"/>
    </xf>
    <xf numFmtId="0" fontId="32" fillId="5" borderId="0" xfId="0" applyFont="1" applyFill="1" applyBorder="1" applyAlignment="1">
      <alignment vertical="top" wrapText="1"/>
    </xf>
    <xf numFmtId="0" fontId="33" fillId="0" borderId="0" xfId="0" applyFont="1" applyFill="1" applyBorder="1"/>
    <xf numFmtId="0" fontId="33" fillId="0" borderId="10" xfId="0" applyFont="1" applyFill="1" applyBorder="1"/>
    <xf numFmtId="0" fontId="20" fillId="0" borderId="10" xfId="0" applyFont="1" applyFill="1" applyBorder="1"/>
    <xf numFmtId="10" fontId="33" fillId="0" borderId="10" xfId="0" applyNumberFormat="1" applyFont="1" applyFill="1" applyBorder="1"/>
    <xf numFmtId="0" fontId="29" fillId="0" borderId="15" xfId="0" applyFont="1" applyBorder="1" applyAlignment="1">
      <alignment vertical="top"/>
    </xf>
    <xf numFmtId="0" fontId="34" fillId="0" borderId="8" xfId="0" applyFont="1" applyBorder="1" applyAlignment="1">
      <alignment vertical="top"/>
    </xf>
    <xf numFmtId="0" fontId="9" fillId="0" borderId="0" xfId="0" applyFont="1"/>
    <xf numFmtId="0" fontId="31" fillId="6" borderId="11" xfId="0" applyFont="1" applyFill="1" applyBorder="1" applyAlignment="1">
      <alignment horizontal="center" vertical="center"/>
    </xf>
    <xf numFmtId="0" fontId="31" fillId="6" borderId="11" xfId="0" applyFont="1" applyFill="1" applyBorder="1" applyAlignment="1">
      <alignment vertical="top"/>
    </xf>
    <xf numFmtId="14" fontId="31" fillId="6" borderId="11" xfId="0" applyNumberFormat="1" applyFont="1" applyFill="1" applyBorder="1" applyAlignment="1">
      <alignment horizontal="center" vertical="center" wrapText="1"/>
    </xf>
    <xf numFmtId="0" fontId="34" fillId="6" borderId="15" xfId="0" applyFont="1" applyFill="1" applyBorder="1" applyAlignment="1">
      <alignment vertical="top"/>
    </xf>
    <xf numFmtId="0" fontId="31" fillId="6" borderId="12" xfId="0" applyFont="1" applyFill="1" applyBorder="1" applyAlignment="1">
      <alignment vertical="top" wrapText="1"/>
    </xf>
    <xf numFmtId="0" fontId="35" fillId="6" borderId="11" xfId="1" applyFont="1" applyFill="1" applyBorder="1" applyAlignment="1">
      <alignment vertical="top"/>
    </xf>
    <xf numFmtId="49" fontId="1" fillId="0" borderId="0" xfId="0" applyNumberFormat="1" applyFont="1" applyFill="1" applyBorder="1" applyAlignment="1" applyProtection="1">
      <alignment horizontal="left" vertical="center"/>
      <protection locked="0"/>
    </xf>
    <xf numFmtId="0" fontId="34" fillId="6" borderId="16" xfId="0" applyFont="1" applyFill="1" applyBorder="1" applyAlignment="1">
      <alignment vertical="top"/>
    </xf>
    <xf numFmtId="0" fontId="29" fillId="0" borderId="16" xfId="0" applyFont="1" applyBorder="1" applyAlignment="1">
      <alignment vertical="top"/>
    </xf>
    <xf numFmtId="0" fontId="36" fillId="0" borderId="17" xfId="0" applyFont="1" applyBorder="1" applyAlignment="1">
      <alignment horizontal="center" vertical="center"/>
    </xf>
    <xf numFmtId="0" fontId="36" fillId="0" borderId="10" xfId="0" applyFont="1" applyBorder="1" applyAlignment="1">
      <alignment horizontal="center" vertical="center"/>
    </xf>
    <xf numFmtId="0" fontId="37" fillId="0" borderId="11" xfId="0" applyFont="1" applyFill="1" applyBorder="1" applyAlignment="1">
      <alignment vertical="top"/>
    </xf>
    <xf numFmtId="0" fontId="31" fillId="0" borderId="11" xfId="0" applyFont="1" applyFill="1" applyBorder="1" applyAlignment="1">
      <alignment vertical="top"/>
    </xf>
    <xf numFmtId="0" fontId="0" fillId="5" borderId="0" xfId="0" applyFill="1"/>
    <xf numFmtId="0" fontId="36" fillId="5" borderId="0" xfId="0" applyFont="1" applyFill="1" applyBorder="1" applyAlignment="1">
      <alignment horizontal="center" vertical="center"/>
    </xf>
    <xf numFmtId="0" fontId="36" fillId="5" borderId="18" xfId="0" applyFont="1" applyFill="1" applyBorder="1" applyAlignment="1">
      <alignment horizontal="center" vertical="center"/>
    </xf>
    <xf numFmtId="0" fontId="36" fillId="5" borderId="19" xfId="0" applyFont="1" applyFill="1" applyBorder="1" applyAlignment="1">
      <alignment horizontal="center" vertical="center"/>
    </xf>
    <xf numFmtId="0" fontId="0" fillId="5" borderId="0" xfId="0" applyFill="1" applyAlignment="1">
      <alignment wrapText="1"/>
    </xf>
    <xf numFmtId="0" fontId="38" fillId="7" borderId="4" xfId="0" applyFont="1" applyFill="1" applyBorder="1" applyAlignment="1">
      <alignment wrapText="1"/>
    </xf>
    <xf numFmtId="0" fontId="38" fillId="7" borderId="20" xfId="0" applyFont="1" applyFill="1" applyBorder="1" applyAlignment="1">
      <alignment vertical="center" wrapText="1"/>
    </xf>
    <xf numFmtId="0" fontId="38" fillId="7" borderId="21" xfId="0" applyFont="1" applyFill="1" applyBorder="1" applyAlignment="1">
      <alignment horizontal="center" wrapText="1"/>
    </xf>
    <xf numFmtId="0" fontId="1" fillId="8" borderId="9" xfId="2" applyFont="1" applyFill="1" applyBorder="1" applyAlignment="1">
      <alignment wrapText="1"/>
    </xf>
    <xf numFmtId="0" fontId="1" fillId="8" borderId="13" xfId="2" applyFont="1" applyFill="1" applyBorder="1" applyAlignment="1">
      <alignment wrapText="1"/>
    </xf>
    <xf numFmtId="0" fontId="36" fillId="5" borderId="7" xfId="0" applyFont="1" applyFill="1" applyBorder="1" applyAlignment="1">
      <alignment horizontal="left" vertical="center"/>
    </xf>
    <xf numFmtId="0" fontId="0" fillId="0" borderId="0" xfId="0" applyAlignment="1">
      <alignment vertical="center"/>
    </xf>
    <xf numFmtId="0" fontId="5" fillId="0" borderId="0" xfId="0" applyFont="1" applyAlignment="1">
      <alignment vertical="center" wrapText="1"/>
    </xf>
    <xf numFmtId="164" fontId="5" fillId="0" borderId="0" xfId="0" applyNumberFormat="1" applyFont="1" applyAlignment="1">
      <alignment horizontal="center" vertical="center" wrapText="1"/>
    </xf>
    <xf numFmtId="20" fontId="5" fillId="0" borderId="0" xfId="0" applyNumberFormat="1" applyFont="1" applyAlignment="1">
      <alignment vertical="center" wrapText="1"/>
    </xf>
    <xf numFmtId="0" fontId="5" fillId="0" borderId="0" xfId="0" applyFont="1" applyAlignment="1">
      <alignment horizontal="left" vertical="center" wrapText="1"/>
    </xf>
    <xf numFmtId="0" fontId="1" fillId="0" borderId="0" xfId="0" applyFont="1" applyAlignment="1">
      <alignment vertical="center"/>
    </xf>
    <xf numFmtId="0" fontId="28" fillId="0" borderId="0" xfId="0" quotePrefix="1" applyFont="1" applyAlignment="1">
      <alignment horizontal="right" vertical="center"/>
    </xf>
    <xf numFmtId="0" fontId="6" fillId="0" borderId="0" xfId="0" applyFont="1" applyAlignment="1">
      <alignment horizontal="left" vertical="center" wrapText="1"/>
    </xf>
    <xf numFmtId="0" fontId="1" fillId="0" borderId="0" xfId="0" applyFont="1" applyAlignment="1">
      <alignment vertical="center" shrinkToFit="1"/>
    </xf>
    <xf numFmtId="0" fontId="11" fillId="0" borderId="0" xfId="0" applyFont="1" applyAlignment="1">
      <alignment horizontal="left" vertical="center" shrinkToFit="1"/>
    </xf>
    <xf numFmtId="0" fontId="2" fillId="0" borderId="0" xfId="0" applyFont="1" applyAlignment="1">
      <alignment horizontal="left" vertical="center" shrinkToFit="1"/>
    </xf>
    <xf numFmtId="0" fontId="1" fillId="0" borderId="0" xfId="0" applyFont="1" applyAlignment="1" applyProtection="1">
      <alignment vertical="center"/>
      <protection locked="0"/>
    </xf>
    <xf numFmtId="0" fontId="1" fillId="0" borderId="0" xfId="0" applyFont="1" applyAlignment="1" applyProtection="1">
      <alignment vertical="center" shrinkToFit="1"/>
      <protection locked="0"/>
    </xf>
    <xf numFmtId="0" fontId="26" fillId="0" borderId="2" xfId="0" applyFont="1" applyBorder="1" applyAlignment="1" applyProtection="1">
      <alignment horizontal="left" vertical="center" wrapText="1" shrinkToFit="1"/>
      <protection locked="0"/>
    </xf>
    <xf numFmtId="0" fontId="27" fillId="0" borderId="0" xfId="0" applyFont="1" applyAlignment="1" applyProtection="1">
      <alignment horizontal="left" vertical="center" shrinkToFit="1"/>
      <protection locked="0"/>
    </xf>
    <xf numFmtId="0" fontId="26" fillId="0" borderId="0" xfId="0" applyFont="1" applyAlignment="1" applyProtection="1">
      <alignment horizontal="left" vertical="center" wrapText="1" shrinkToFit="1"/>
      <protection locked="0"/>
    </xf>
    <xf numFmtId="0" fontId="27" fillId="0" borderId="3" xfId="0" applyFont="1" applyBorder="1" applyAlignment="1" applyProtection="1">
      <alignment horizontal="left" vertical="center" shrinkToFit="1"/>
      <protection locked="0"/>
    </xf>
    <xf numFmtId="0" fontId="10" fillId="0" borderId="0" xfId="0" applyFont="1" applyAlignment="1" applyProtection="1">
      <alignment horizontal="center" vertical="center"/>
      <protection locked="0"/>
    </xf>
    <xf numFmtId="0" fontId="1" fillId="5" borderId="0" xfId="0" applyFont="1" applyFill="1" applyAlignment="1">
      <alignment wrapText="1"/>
    </xf>
    <xf numFmtId="0" fontId="1" fillId="5" borderId="0" xfId="0" applyFont="1" applyFill="1" applyAlignment="1">
      <alignment horizontal="center"/>
    </xf>
    <xf numFmtId="0" fontId="36" fillId="5" borderId="0" xfId="0" applyFont="1" applyFill="1" applyAlignment="1">
      <alignment horizontal="center" vertical="center"/>
    </xf>
    <xf numFmtId="0" fontId="32" fillId="5" borderId="0" xfId="0" applyFont="1" applyFill="1" applyAlignment="1">
      <alignment vertical="top" wrapText="1"/>
    </xf>
    <xf numFmtId="0" fontId="1" fillId="8" borderId="9" xfId="2" applyFill="1" applyBorder="1" applyAlignment="1">
      <alignment wrapText="1"/>
    </xf>
    <xf numFmtId="0" fontId="1" fillId="8" borderId="13" xfId="2" applyFill="1" applyBorder="1" applyAlignment="1">
      <alignment wrapText="1"/>
    </xf>
    <xf numFmtId="0" fontId="37" fillId="0" borderId="11" xfId="0" applyFont="1" applyBorder="1" applyAlignment="1">
      <alignment vertical="top" wrapText="1"/>
    </xf>
    <xf numFmtId="0" fontId="43" fillId="10" borderId="7" xfId="0" applyFont="1" applyFill="1" applyBorder="1" applyAlignment="1">
      <alignment horizontal="center" vertical="center" wrapText="1"/>
    </xf>
    <xf numFmtId="0" fontId="39" fillId="0" borderId="15" xfId="0" applyFont="1" applyBorder="1" applyAlignment="1">
      <alignment horizontal="left" vertical="center" shrinkToFit="1"/>
    </xf>
    <xf numFmtId="0" fontId="39" fillId="0" borderId="1" xfId="0" applyFont="1" applyBorder="1" applyAlignment="1">
      <alignment horizontal="left" vertical="center" shrinkToFit="1"/>
    </xf>
    <xf numFmtId="0" fontId="39" fillId="0" borderId="22" xfId="0" applyFont="1" applyBorder="1" applyAlignment="1">
      <alignment horizontal="left" vertical="center" shrinkToFit="1"/>
    </xf>
    <xf numFmtId="0" fontId="40" fillId="9" borderId="23" xfId="0" applyFont="1" applyFill="1" applyBorder="1" applyAlignment="1" applyProtection="1">
      <alignment horizontal="center" vertical="center" shrinkToFit="1"/>
      <protection locked="0"/>
    </xf>
    <xf numFmtId="0" fontId="40" fillId="9" borderId="24" xfId="0" applyFont="1" applyFill="1" applyBorder="1" applyAlignment="1" applyProtection="1">
      <alignment horizontal="center" vertical="center" shrinkToFit="1"/>
      <protection locked="0"/>
    </xf>
    <xf numFmtId="0" fontId="40" fillId="9" borderId="25" xfId="0" applyFont="1" applyFill="1" applyBorder="1" applyAlignment="1" applyProtection="1">
      <alignment horizontal="center" vertical="center" shrinkToFit="1"/>
      <protection locked="0"/>
    </xf>
    <xf numFmtId="0" fontId="6" fillId="0" borderId="23" xfId="0" applyFont="1" applyBorder="1" applyAlignment="1">
      <alignment horizontal="left" vertical="center" shrinkToFit="1"/>
    </xf>
    <xf numFmtId="0" fontId="6" fillId="0" borderId="24" xfId="0" applyFont="1" applyBorder="1" applyAlignment="1">
      <alignment horizontal="left" vertical="center" shrinkToFit="1"/>
    </xf>
    <xf numFmtId="0" fontId="6" fillId="0" borderId="25" xfId="0" applyFont="1" applyBorder="1" applyAlignment="1">
      <alignment horizontal="left" vertical="center" shrinkToFit="1"/>
    </xf>
    <xf numFmtId="0" fontId="1" fillId="0" borderId="15" xfId="0" applyFont="1" applyBorder="1" applyAlignment="1" applyProtection="1">
      <alignment horizontal="right" vertical="top" wrapText="1" shrinkToFit="1"/>
      <protection locked="0"/>
    </xf>
    <xf numFmtId="0" fontId="1" fillId="0" borderId="1" xfId="0" applyFont="1" applyBorder="1" applyAlignment="1" applyProtection="1">
      <alignment horizontal="right" vertical="top" wrapText="1" shrinkToFit="1"/>
      <protection locked="0"/>
    </xf>
    <xf numFmtId="0" fontId="40" fillId="9" borderId="2" xfId="0" applyFont="1" applyFill="1" applyBorder="1" applyAlignment="1" applyProtection="1">
      <alignment horizontal="center" vertical="center" shrinkToFit="1"/>
      <protection locked="0"/>
    </xf>
    <xf numFmtId="0" fontId="40" fillId="9" borderId="0" xfId="0" applyFont="1" applyFill="1" applyAlignment="1" applyProtection="1">
      <alignment horizontal="center" vertical="center" shrinkToFit="1"/>
      <protection locked="0"/>
    </xf>
    <xf numFmtId="0" fontId="40" fillId="9" borderId="3" xfId="0" applyFont="1" applyFill="1" applyBorder="1" applyAlignment="1" applyProtection="1">
      <alignment horizontal="center" vertical="center" shrinkToFit="1"/>
      <protection locked="0"/>
    </xf>
    <xf numFmtId="0" fontId="1" fillId="0" borderId="1" xfId="0" applyFont="1" applyBorder="1" applyAlignment="1" applyProtection="1">
      <alignment horizontal="left" vertical="top" wrapText="1" shrinkToFit="1"/>
      <protection locked="0"/>
    </xf>
    <xf numFmtId="0" fontId="2" fillId="0" borderId="1" xfId="0" applyFont="1" applyBorder="1" applyAlignment="1" applyProtection="1">
      <alignment horizontal="left" vertical="top" shrinkToFit="1"/>
      <protection locked="0"/>
    </xf>
    <xf numFmtId="0" fontId="2" fillId="0" borderId="22" xfId="0" applyFont="1" applyBorder="1" applyAlignment="1" applyProtection="1">
      <alignment horizontal="left" vertical="top" shrinkToFit="1"/>
      <protection locked="0"/>
    </xf>
    <xf numFmtId="0" fontId="6" fillId="0" borderId="23" xfId="0" applyFont="1" applyBorder="1" applyAlignment="1">
      <alignment horizontal="left" vertical="center" wrapText="1"/>
    </xf>
    <xf numFmtId="0" fontId="6" fillId="0" borderId="24" xfId="0" applyFont="1" applyBorder="1" applyAlignment="1">
      <alignment horizontal="left" vertical="center" wrapText="1"/>
    </xf>
    <xf numFmtId="0" fontId="6" fillId="0" borderId="25" xfId="0" applyFont="1" applyBorder="1" applyAlignment="1">
      <alignment horizontal="left" vertical="center" wrapText="1"/>
    </xf>
    <xf numFmtId="0" fontId="10" fillId="0" borderId="0" xfId="0" applyFont="1" applyAlignment="1" applyProtection="1">
      <alignment horizontal="center" vertical="center" wrapText="1"/>
      <protection locked="0"/>
    </xf>
    <xf numFmtId="0" fontId="0" fillId="0" borderId="0" xfId="0" applyAlignment="1">
      <alignment vertical="center" wrapText="1"/>
    </xf>
    <xf numFmtId="0" fontId="1" fillId="0" borderId="23" xfId="0" applyFont="1" applyBorder="1" applyAlignment="1" applyProtection="1">
      <alignment horizontal="left" vertical="top"/>
      <protection locked="0"/>
    </xf>
    <xf numFmtId="0" fontId="1" fillId="0" borderId="24" xfId="0" applyFont="1" applyBorder="1" applyAlignment="1" applyProtection="1">
      <alignment horizontal="left" vertical="top"/>
      <protection locked="0"/>
    </xf>
    <xf numFmtId="0" fontId="1" fillId="0" borderId="25" xfId="0" applyFont="1" applyBorder="1" applyAlignment="1" applyProtection="1">
      <alignment horizontal="left" vertical="top"/>
      <protection locked="0"/>
    </xf>
    <xf numFmtId="0" fontId="40" fillId="9" borderId="24" xfId="0" applyFont="1" applyFill="1" applyBorder="1" applyAlignment="1" applyProtection="1">
      <alignment horizontal="center" vertical="center" wrapText="1"/>
      <protection locked="0"/>
    </xf>
    <xf numFmtId="0" fontId="40" fillId="9" borderId="0" xfId="0" applyFont="1" applyFill="1" applyAlignment="1" applyProtection="1">
      <alignment horizontal="center" vertical="center" wrapText="1"/>
      <protection locked="0"/>
    </xf>
    <xf numFmtId="0" fontId="1" fillId="0" borderId="15" xfId="0" applyFont="1" applyBorder="1" applyAlignment="1" applyProtection="1">
      <alignment horizontal="left" vertical="top"/>
      <protection locked="0"/>
    </xf>
    <xf numFmtId="0" fontId="1" fillId="0" borderId="1" xfId="0" applyFont="1" applyBorder="1" applyAlignment="1" applyProtection="1">
      <alignment horizontal="left" vertical="top"/>
      <protection locked="0"/>
    </xf>
    <xf numFmtId="0" fontId="1" fillId="0" borderId="22" xfId="0" applyFont="1" applyBorder="1" applyAlignment="1" applyProtection="1">
      <alignment horizontal="left" vertical="top"/>
      <protection locked="0"/>
    </xf>
    <xf numFmtId="0" fontId="41" fillId="0" borderId="1" xfId="0" applyFont="1" applyBorder="1" applyAlignment="1" applyProtection="1">
      <alignment horizontal="left" vertical="top" wrapText="1" shrinkToFit="1"/>
      <protection locked="0"/>
    </xf>
    <xf numFmtId="0" fontId="41" fillId="0" borderId="22" xfId="0" applyFont="1" applyBorder="1" applyAlignment="1" applyProtection="1">
      <alignment horizontal="left" vertical="top" wrapText="1" shrinkToFit="1"/>
      <protection locked="0"/>
    </xf>
    <xf numFmtId="0" fontId="39" fillId="3" borderId="15" xfId="0" applyFont="1" applyFill="1" applyBorder="1" applyAlignment="1" applyProtection="1">
      <alignment horizontal="left" vertical="center" shrinkToFit="1"/>
    </xf>
    <xf numFmtId="0" fontId="39" fillId="3" borderId="1" xfId="0" applyFont="1" applyFill="1" applyBorder="1" applyAlignment="1" applyProtection="1">
      <alignment horizontal="left" vertical="center" shrinkToFit="1"/>
    </xf>
    <xf numFmtId="0" fontId="39" fillId="3" borderId="22" xfId="0" applyFont="1" applyFill="1" applyBorder="1" applyAlignment="1" applyProtection="1">
      <alignment horizontal="left" vertical="center" shrinkToFit="1"/>
    </xf>
    <xf numFmtId="0" fontId="6" fillId="0" borderId="23" xfId="0" applyFont="1" applyBorder="1" applyAlignment="1" applyProtection="1">
      <alignment horizontal="left" vertical="center" shrinkToFit="1"/>
    </xf>
    <xf numFmtId="0" fontId="6" fillId="0" borderId="24" xfId="0" applyFont="1" applyBorder="1" applyAlignment="1" applyProtection="1">
      <alignment horizontal="left" vertical="center" shrinkToFit="1"/>
    </xf>
    <xf numFmtId="0" fontId="6" fillId="0" borderId="25" xfId="0" applyFont="1" applyBorder="1" applyAlignment="1" applyProtection="1">
      <alignment horizontal="left" vertical="center" shrinkToFit="1"/>
    </xf>
    <xf numFmtId="0" fontId="39" fillId="0" borderId="15" xfId="0" applyFont="1" applyBorder="1" applyAlignment="1" applyProtection="1">
      <alignment horizontal="left" vertical="center" shrinkToFit="1"/>
    </xf>
    <xf numFmtId="0" fontId="39" fillId="0" borderId="1" xfId="0" applyFont="1" applyBorder="1" applyAlignment="1" applyProtection="1">
      <alignment horizontal="left" vertical="center" shrinkToFit="1"/>
    </xf>
    <xf numFmtId="0" fontId="39" fillId="0" borderId="22" xfId="0" applyFont="1" applyBorder="1" applyAlignment="1" applyProtection="1">
      <alignment horizontal="left" vertical="center" shrinkToFit="1"/>
    </xf>
    <xf numFmtId="0" fontId="6" fillId="3" borderId="23" xfId="0" applyFont="1" applyFill="1" applyBorder="1" applyAlignment="1" applyProtection="1">
      <alignment horizontal="left" vertical="center" wrapText="1"/>
    </xf>
    <xf numFmtId="0" fontId="6" fillId="3" borderId="24" xfId="0" applyFont="1" applyFill="1" applyBorder="1" applyAlignment="1" applyProtection="1">
      <alignment horizontal="left" vertical="center" wrapText="1"/>
    </xf>
    <xf numFmtId="0" fontId="6" fillId="3" borderId="25" xfId="0" applyFont="1" applyFill="1" applyBorder="1" applyAlignment="1" applyProtection="1">
      <alignment horizontal="left" vertical="center" wrapText="1"/>
    </xf>
    <xf numFmtId="0" fontId="6" fillId="3" borderId="23" xfId="0" applyFont="1" applyFill="1" applyBorder="1" applyAlignment="1" applyProtection="1">
      <alignment horizontal="left" vertical="center" shrinkToFit="1"/>
    </xf>
    <xf numFmtId="0" fontId="6" fillId="3" borderId="24" xfId="0" applyFont="1" applyFill="1" applyBorder="1" applyAlignment="1" applyProtection="1">
      <alignment horizontal="left" vertical="center" shrinkToFit="1"/>
    </xf>
    <xf numFmtId="0" fontId="6" fillId="3" borderId="25" xfId="0" applyFont="1" applyFill="1" applyBorder="1" applyAlignment="1" applyProtection="1">
      <alignment horizontal="left" vertical="center" shrinkToFit="1"/>
    </xf>
    <xf numFmtId="49" fontId="1" fillId="0" borderId="26" xfId="0" applyNumberFormat="1" applyFont="1" applyFill="1" applyBorder="1" applyAlignment="1" applyProtection="1">
      <alignment horizontal="left" vertical="center" wrapText="1"/>
      <protection locked="0"/>
    </xf>
    <xf numFmtId="49" fontId="4" fillId="0" borderId="27" xfId="0" applyNumberFormat="1" applyFont="1" applyFill="1" applyBorder="1" applyAlignment="1" applyProtection="1">
      <alignment horizontal="left" vertical="center" wrapText="1"/>
      <protection locked="0"/>
    </xf>
    <xf numFmtId="49" fontId="4" fillId="0" borderId="16" xfId="0" applyNumberFormat="1" applyFont="1" applyFill="1" applyBorder="1" applyAlignment="1" applyProtection="1">
      <alignment horizontal="left" vertical="center" wrapText="1"/>
      <protection locked="0"/>
    </xf>
    <xf numFmtId="0" fontId="38" fillId="7" borderId="10" xfId="0" applyFont="1" applyFill="1" applyBorder="1" applyAlignment="1">
      <alignment horizontal="center" vertical="center" wrapText="1"/>
    </xf>
    <xf numFmtId="0" fontId="0" fillId="0" borderId="26" xfId="0" applyBorder="1" applyAlignment="1">
      <alignment horizontal="left" vertical="center" wrapText="1"/>
    </xf>
    <xf numFmtId="0" fontId="0" fillId="0" borderId="27" xfId="0" applyBorder="1" applyAlignment="1">
      <alignment horizontal="left" vertical="center" wrapText="1"/>
    </xf>
    <xf numFmtId="0" fontId="0" fillId="0" borderId="16" xfId="0" applyBorder="1" applyAlignment="1">
      <alignment horizontal="left" vertical="center" wrapText="1"/>
    </xf>
    <xf numFmtId="0" fontId="1" fillId="0" borderId="26" xfId="0" applyFont="1" applyBorder="1" applyAlignment="1">
      <alignment horizontal="left" vertical="center" wrapText="1"/>
    </xf>
    <xf numFmtId="0" fontId="8" fillId="2" borderId="10" xfId="0" applyFont="1" applyFill="1" applyBorder="1" applyAlignment="1" applyProtection="1">
      <alignment horizontal="center" vertical="center" wrapText="1"/>
      <protection locked="0"/>
    </xf>
    <xf numFmtId="49" fontId="4" fillId="0" borderId="10" xfId="0" applyNumberFormat="1" applyFont="1" applyFill="1" applyBorder="1" applyAlignment="1" applyProtection="1">
      <alignment horizontal="left" vertical="center" wrapText="1"/>
      <protection locked="0"/>
    </xf>
    <xf numFmtId="0" fontId="0" fillId="0" borderId="10" xfId="0" applyBorder="1" applyAlignment="1">
      <alignment horizontal="left" vertical="center" wrapText="1"/>
    </xf>
    <xf numFmtId="49" fontId="4" fillId="0" borderId="10" xfId="0" applyNumberFormat="1" applyFont="1" applyFill="1" applyBorder="1" applyAlignment="1" applyProtection="1">
      <alignment vertical="center" wrapText="1"/>
      <protection locked="0"/>
    </xf>
    <xf numFmtId="0" fontId="0" fillId="0" borderId="10" xfId="0" applyBorder="1" applyAlignment="1">
      <alignment horizontal="center" vertical="center" wrapText="1"/>
    </xf>
    <xf numFmtId="49" fontId="4" fillId="0" borderId="10" xfId="0" applyNumberFormat="1" applyFont="1" applyFill="1" applyBorder="1" applyAlignment="1" applyProtection="1">
      <alignment horizontal="center" vertical="center" wrapText="1"/>
      <protection locked="0"/>
    </xf>
    <xf numFmtId="49" fontId="4" fillId="0" borderId="10" xfId="0" applyNumberFormat="1" applyFont="1" applyFill="1" applyBorder="1" applyAlignment="1">
      <alignment horizontal="center" vertical="center" wrapText="1"/>
    </xf>
    <xf numFmtId="49" fontId="1" fillId="0" borderId="10" xfId="0" applyNumberFormat="1" applyFont="1" applyFill="1" applyBorder="1" applyAlignment="1" applyProtection="1">
      <alignment horizontal="left" vertical="center" wrapText="1"/>
      <protection locked="0"/>
    </xf>
    <xf numFmtId="49" fontId="4" fillId="0" borderId="10" xfId="0" applyNumberFormat="1" applyFont="1" applyFill="1" applyBorder="1" applyAlignment="1">
      <alignment horizontal="left" vertical="center" wrapText="1"/>
    </xf>
    <xf numFmtId="49" fontId="1" fillId="0" borderId="10" xfId="0" applyNumberFormat="1" applyFont="1" applyBorder="1" applyAlignment="1" applyProtection="1">
      <alignment horizontal="left" vertical="center" wrapText="1"/>
      <protection locked="0"/>
    </xf>
    <xf numFmtId="49" fontId="5" fillId="0" borderId="0" xfId="0" applyNumberFormat="1" applyFont="1" applyFill="1" applyAlignment="1" applyProtection="1">
      <alignment horizontal="left" vertical="top" wrapText="1"/>
      <protection locked="0"/>
    </xf>
    <xf numFmtId="49" fontId="1" fillId="0" borderId="10" xfId="0" applyNumberFormat="1" applyFont="1" applyFill="1" applyBorder="1" applyAlignment="1" applyProtection="1">
      <alignment horizontal="center" vertical="center" wrapText="1"/>
      <protection locked="0"/>
    </xf>
    <xf numFmtId="0" fontId="11" fillId="3" borderId="15" xfId="0" applyFont="1" applyFill="1" applyBorder="1" applyAlignment="1" applyProtection="1">
      <alignment horizontal="left" vertical="center" shrinkToFit="1"/>
    </xf>
    <xf numFmtId="0" fontId="11" fillId="3" borderId="1" xfId="0" applyFont="1" applyFill="1" applyBorder="1" applyAlignment="1" applyProtection="1">
      <alignment horizontal="left" vertical="center" shrinkToFit="1"/>
    </xf>
    <xf numFmtId="0" fontId="11" fillId="3" borderId="22" xfId="0" applyFont="1" applyFill="1" applyBorder="1" applyAlignment="1" applyProtection="1">
      <alignment horizontal="left" vertical="center" shrinkToFit="1"/>
    </xf>
    <xf numFmtId="0" fontId="6" fillId="0" borderId="23" xfId="0" applyFont="1" applyFill="1" applyBorder="1" applyAlignment="1" applyProtection="1">
      <alignment horizontal="left" vertical="center" shrinkToFit="1"/>
    </xf>
    <xf numFmtId="0" fontId="6" fillId="0" borderId="24" xfId="0" applyFont="1" applyFill="1" applyBorder="1" applyAlignment="1" applyProtection="1">
      <alignment horizontal="left" vertical="center" shrinkToFit="1"/>
    </xf>
    <xf numFmtId="0" fontId="6" fillId="0" borderId="25" xfId="0" applyFont="1" applyFill="1" applyBorder="1" applyAlignment="1" applyProtection="1">
      <alignment horizontal="left" vertical="center" shrinkToFit="1"/>
    </xf>
    <xf numFmtId="0" fontId="0" fillId="2" borderId="10" xfId="0"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left" vertical="top" wrapText="1"/>
      <protection locked="0"/>
    </xf>
    <xf numFmtId="0" fontId="9" fillId="5" borderId="6" xfId="0" applyFont="1" applyFill="1" applyBorder="1" applyAlignment="1">
      <alignment horizontal="left"/>
    </xf>
    <xf numFmtId="0" fontId="1" fillId="5" borderId="28" xfId="0" applyFont="1" applyFill="1" applyBorder="1" applyAlignment="1">
      <alignment horizontal="left"/>
    </xf>
    <xf numFmtId="0" fontId="1" fillId="5" borderId="29" xfId="0" applyFont="1" applyFill="1" applyBorder="1" applyAlignment="1">
      <alignment horizontal="left"/>
    </xf>
    <xf numFmtId="0" fontId="1" fillId="5" borderId="6" xfId="0" applyFont="1" applyFill="1" applyBorder="1" applyAlignment="1">
      <alignment horizontal="left" vertical="top"/>
    </xf>
    <xf numFmtId="0" fontId="1" fillId="5" borderId="28" xfId="0" applyFont="1" applyFill="1" applyBorder="1" applyAlignment="1">
      <alignment horizontal="left" vertical="top"/>
    </xf>
    <xf numFmtId="0" fontId="1" fillId="5" borderId="29" xfId="0" applyFont="1" applyFill="1" applyBorder="1" applyAlignment="1">
      <alignment horizontal="left" vertical="top"/>
    </xf>
    <xf numFmtId="0" fontId="38" fillId="7" borderId="30" xfId="0" applyFont="1" applyFill="1" applyBorder="1" applyAlignment="1">
      <alignment horizontal="center" wrapText="1"/>
    </xf>
    <xf numFmtId="0" fontId="38" fillId="7" borderId="31" xfId="0" applyFont="1" applyFill="1" applyBorder="1" applyAlignment="1">
      <alignment horizontal="center" wrapText="1"/>
    </xf>
    <xf numFmtId="0" fontId="38" fillId="7" borderId="32" xfId="0" applyFont="1" applyFill="1" applyBorder="1" applyAlignment="1">
      <alignment horizontal="center" wrapText="1"/>
    </xf>
    <xf numFmtId="0" fontId="1" fillId="5" borderId="10" xfId="2" applyFont="1" applyFill="1" applyBorder="1" applyAlignment="1">
      <alignment horizontal="left" vertical="top" wrapText="1" shrinkToFit="1"/>
    </xf>
    <xf numFmtId="0" fontId="38" fillId="7" borderId="35" xfId="0" applyFont="1" applyFill="1" applyBorder="1" applyAlignment="1">
      <alignment horizontal="left" vertical="center" wrapText="1"/>
    </xf>
    <xf numFmtId="0" fontId="38" fillId="7" borderId="37" xfId="0" applyFont="1" applyFill="1" applyBorder="1" applyAlignment="1">
      <alignment horizontal="left" vertical="center" wrapText="1"/>
    </xf>
    <xf numFmtId="0" fontId="1" fillId="5" borderId="26" xfId="2" applyFont="1" applyFill="1" applyBorder="1" applyAlignment="1">
      <alignment horizontal="left" vertical="top" wrapText="1" shrinkToFit="1"/>
    </xf>
    <xf numFmtId="0" fontId="1" fillId="5" borderId="27" xfId="2" applyFont="1" applyFill="1" applyBorder="1" applyAlignment="1">
      <alignment horizontal="left" vertical="top" wrapText="1" shrinkToFit="1"/>
    </xf>
    <xf numFmtId="0" fontId="1" fillId="5" borderId="16" xfId="2" applyFont="1" applyFill="1" applyBorder="1" applyAlignment="1">
      <alignment horizontal="left" vertical="top" wrapText="1" shrinkToFit="1"/>
    </xf>
    <xf numFmtId="0" fontId="1" fillId="5" borderId="26" xfId="2" applyFont="1" applyFill="1" applyBorder="1" applyAlignment="1">
      <alignment horizontal="left" vertical="top" wrapText="1"/>
    </xf>
    <xf numFmtId="0" fontId="1" fillId="5" borderId="27" xfId="2" applyFont="1" applyFill="1" applyBorder="1" applyAlignment="1">
      <alignment horizontal="left" vertical="top" wrapText="1"/>
    </xf>
    <xf numFmtId="0" fontId="1" fillId="5" borderId="16" xfId="2" applyFont="1" applyFill="1" applyBorder="1" applyAlignment="1">
      <alignment horizontal="left" vertical="top" wrapText="1"/>
    </xf>
    <xf numFmtId="0" fontId="1" fillId="5" borderId="33" xfId="0" applyFont="1" applyFill="1" applyBorder="1" applyAlignment="1">
      <alignment horizontal="left" vertical="top" wrapText="1" shrinkToFit="1"/>
    </xf>
    <xf numFmtId="0" fontId="1" fillId="5" borderId="34" xfId="0" applyFont="1" applyFill="1" applyBorder="1" applyAlignment="1">
      <alignment horizontal="left" vertical="top" wrapText="1" shrinkToFit="1"/>
    </xf>
    <xf numFmtId="0" fontId="1" fillId="5" borderId="35" xfId="0" applyFont="1" applyFill="1" applyBorder="1" applyAlignment="1">
      <alignment horizontal="left" vertical="top" wrapText="1" shrinkToFit="1"/>
    </xf>
    <xf numFmtId="0" fontId="1" fillId="5" borderId="36" xfId="0" applyFont="1" applyFill="1" applyBorder="1" applyAlignment="1">
      <alignment horizontal="left" vertical="top" wrapText="1" shrinkToFit="1"/>
    </xf>
    <xf numFmtId="0" fontId="1" fillId="5" borderId="0" xfId="0" applyFont="1" applyFill="1" applyBorder="1" applyAlignment="1">
      <alignment horizontal="left" vertical="top" wrapText="1" shrinkToFit="1"/>
    </xf>
    <xf numFmtId="0" fontId="1" fillId="5" borderId="37" xfId="0" applyFont="1" applyFill="1" applyBorder="1" applyAlignment="1">
      <alignment horizontal="left" vertical="top" wrapText="1" shrinkToFit="1"/>
    </xf>
    <xf numFmtId="0" fontId="1" fillId="5" borderId="38" xfId="0" applyFont="1" applyFill="1" applyBorder="1" applyAlignment="1">
      <alignment horizontal="left" vertical="top" wrapText="1" shrinkToFit="1"/>
    </xf>
    <xf numFmtId="0" fontId="1" fillId="5" borderId="39" xfId="0" applyFont="1" applyFill="1" applyBorder="1" applyAlignment="1">
      <alignment horizontal="left" vertical="top" wrapText="1" shrinkToFit="1"/>
    </xf>
    <xf numFmtId="0" fontId="1" fillId="5" borderId="40" xfId="0" applyFont="1" applyFill="1" applyBorder="1" applyAlignment="1">
      <alignment horizontal="left" vertical="top" wrapText="1" shrinkToFit="1"/>
    </xf>
    <xf numFmtId="0" fontId="1" fillId="5" borderId="14" xfId="2" applyFont="1" applyFill="1" applyBorder="1" applyAlignment="1">
      <alignment horizontal="left" vertical="top" wrapText="1" shrinkToFit="1"/>
    </xf>
    <xf numFmtId="0" fontId="1" fillId="5" borderId="41" xfId="2" applyFont="1" applyFill="1" applyBorder="1" applyAlignment="1">
      <alignment horizontal="left" vertical="top" wrapText="1" shrinkToFit="1"/>
    </xf>
    <xf numFmtId="0" fontId="1" fillId="5" borderId="42" xfId="2" applyFont="1" applyFill="1" applyBorder="1" applyAlignment="1">
      <alignment horizontal="left" vertical="top" wrapText="1" shrinkToFit="1"/>
    </xf>
    <xf numFmtId="0" fontId="1" fillId="5" borderId="43" xfId="2" applyFont="1" applyFill="1" applyBorder="1" applyAlignment="1">
      <alignment horizontal="left" vertical="top" wrapText="1" shrinkToFit="1"/>
    </xf>
    <xf numFmtId="0" fontId="1" fillId="5" borderId="26" xfId="2" applyFill="1" applyBorder="1" applyAlignment="1">
      <alignment horizontal="left" vertical="top" wrapText="1" shrinkToFit="1"/>
    </xf>
    <xf numFmtId="0" fontId="1" fillId="5" borderId="27" xfId="2" applyFill="1" applyBorder="1" applyAlignment="1">
      <alignment horizontal="left" vertical="top" wrapText="1" shrinkToFit="1"/>
    </xf>
    <xf numFmtId="0" fontId="1" fillId="5" borderId="16" xfId="2" applyFill="1" applyBorder="1" applyAlignment="1">
      <alignment horizontal="left" vertical="top" wrapText="1" shrinkToFit="1"/>
    </xf>
    <xf numFmtId="0" fontId="1" fillId="5" borderId="10" xfId="2" applyFill="1" applyBorder="1" applyAlignment="1">
      <alignment horizontal="left" vertical="top" wrapText="1" shrinkToFit="1"/>
    </xf>
    <xf numFmtId="0" fontId="1" fillId="5" borderId="41" xfId="2" applyFill="1" applyBorder="1" applyAlignment="1">
      <alignment horizontal="left" vertical="top" wrapText="1" shrinkToFit="1"/>
    </xf>
    <xf numFmtId="0" fontId="1" fillId="5" borderId="42" xfId="2" applyFill="1" applyBorder="1" applyAlignment="1">
      <alignment horizontal="left" vertical="top" wrapText="1" shrinkToFit="1"/>
    </xf>
    <xf numFmtId="0" fontId="1" fillId="5" borderId="43" xfId="2" applyFill="1" applyBorder="1" applyAlignment="1">
      <alignment horizontal="left" vertical="top" wrapText="1" shrinkToFit="1"/>
    </xf>
    <xf numFmtId="0" fontId="1" fillId="5" borderId="14" xfId="2" applyFill="1" applyBorder="1" applyAlignment="1">
      <alignment horizontal="left" vertical="top" wrapText="1" shrinkToFit="1"/>
    </xf>
    <xf numFmtId="0" fontId="1" fillId="5" borderId="0" xfId="0" applyFont="1" applyFill="1" applyAlignment="1">
      <alignment horizontal="left" vertical="top" wrapText="1" shrinkToFit="1"/>
    </xf>
  </cellXfs>
  <cellStyles count="3">
    <cellStyle name="Hyperlink" xfId="1" builtinId="8"/>
    <cellStyle name="Normal" xfId="0" builtinId="0"/>
    <cellStyle name="Normal 2" xfId="2" xr:uid="{00000000-0005-0000-0000-000002000000}"/>
  </cellStyles>
  <dxfs count="176">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theme="6"/>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ill>
        <patternFill>
          <bgColor rgb="FF92D050"/>
        </patternFill>
      </fill>
    </dxf>
    <dxf>
      <fill>
        <patternFill>
          <bgColor rgb="FFFF0000"/>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SW integration test progress</a:t>
            </a:r>
          </a:p>
        </c:rich>
      </c:tx>
      <c:overlay val="0"/>
    </c:title>
    <c:autoTitleDeleted val="0"/>
    <c:plotArea>
      <c:layout/>
      <c:pieChart>
        <c:varyColors val="1"/>
        <c:ser>
          <c:idx val="0"/>
          <c:order val="0"/>
          <c:dPt>
            <c:idx val="0"/>
            <c:bubble3D val="0"/>
            <c:spPr>
              <a:solidFill>
                <a:schemeClr val="accent3"/>
              </a:solidFill>
            </c:spPr>
            <c:extLst>
              <c:ext xmlns:c16="http://schemas.microsoft.com/office/drawing/2014/chart" uri="{C3380CC4-5D6E-409C-BE32-E72D297353CC}">
                <c16:uniqueId val="{00000000-5374-434A-AFE8-DF808D2D2BD5}"/>
              </c:ext>
            </c:extLst>
          </c:dPt>
          <c:dPt>
            <c:idx val="1"/>
            <c:bubble3D val="0"/>
            <c:extLst>
              <c:ext xmlns:c16="http://schemas.microsoft.com/office/drawing/2014/chart" uri="{C3380CC4-5D6E-409C-BE32-E72D297353CC}">
                <c16:uniqueId val="{00000001-5374-434A-AFE8-DF808D2D2BD5}"/>
              </c:ext>
            </c:extLst>
          </c:dPt>
          <c:dPt>
            <c:idx val="2"/>
            <c:bubble3D val="0"/>
            <c:spPr>
              <a:solidFill>
                <a:schemeClr val="bg1">
                  <a:lumMod val="75000"/>
                </a:schemeClr>
              </a:solidFill>
            </c:spPr>
            <c:extLst>
              <c:ext xmlns:c16="http://schemas.microsoft.com/office/drawing/2014/chart" uri="{C3380CC4-5D6E-409C-BE32-E72D297353CC}">
                <c16:uniqueId val="{00000002-5374-434A-AFE8-DF808D2D2BD5}"/>
              </c:ext>
            </c:extLst>
          </c:dPt>
          <c:dPt>
            <c:idx val="3"/>
            <c:bubble3D val="0"/>
            <c:extLst>
              <c:ext xmlns:c16="http://schemas.microsoft.com/office/drawing/2014/chart" uri="{C3380CC4-5D6E-409C-BE32-E72D297353CC}">
                <c16:uniqueId val="{00000003-5374-434A-AFE8-DF808D2D2BD5}"/>
              </c:ext>
            </c:extLst>
          </c:dPt>
          <c:dLbls>
            <c:spPr>
              <a:noFill/>
              <a:ln>
                <a:noFill/>
              </a:ln>
              <a:effectLst/>
            </c:spPr>
            <c:txPr>
              <a:bodyPr wrap="square" lIns="38100" tIns="19050" rIns="38100" bIns="19050" anchor="ctr">
                <a:spAutoFit/>
              </a:bodyPr>
              <a:lstStyle/>
              <a:p>
                <a:pPr>
                  <a:defRPr sz="1000" b="0" i="0" u="none" strike="noStrike" baseline="0">
                    <a:solidFill>
                      <a:srgbClr val="000000"/>
                    </a:solidFill>
                    <a:latin typeface="Calibri"/>
                    <a:ea typeface="Calibri"/>
                    <a:cs typeface="Calibri"/>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Metrics!$E$2:$E$5</c:f>
              <c:strCache>
                <c:ptCount val="4"/>
                <c:pt idx="0">
                  <c:v>percentage of tests passed</c:v>
                </c:pt>
                <c:pt idx="1">
                  <c:v>percentage of tests failed</c:v>
                </c:pt>
                <c:pt idx="2">
                  <c:v>percentage  tests not run</c:v>
                </c:pt>
                <c:pt idx="3">
                  <c:v>percentage  tests not applicable</c:v>
                </c:pt>
              </c:strCache>
            </c:strRef>
          </c:cat>
          <c:val>
            <c:numRef>
              <c:f>Metrics!$F$2:$F$5</c:f>
              <c:numCache>
                <c:formatCode>0.00%</c:formatCode>
                <c:ptCount val="4"/>
                <c:pt idx="0">
                  <c:v>1</c:v>
                </c:pt>
                <c:pt idx="1">
                  <c:v>0</c:v>
                </c:pt>
                <c:pt idx="2">
                  <c:v>0</c:v>
                </c:pt>
                <c:pt idx="3">
                  <c:v>0</c:v>
                </c:pt>
              </c:numCache>
            </c:numRef>
          </c:val>
          <c:extLst>
            <c:ext xmlns:c16="http://schemas.microsoft.com/office/drawing/2014/chart" uri="{C3380CC4-5D6E-409C-BE32-E72D297353CC}">
              <c16:uniqueId val="{00000004-5374-434A-AFE8-DF808D2D2BD5}"/>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txPr>
        <a:bodyPr/>
        <a:lstStyle/>
        <a:p>
          <a:pPr>
            <a:defRPr sz="92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237" name="Picture 12">
          <a:extLst>
            <a:ext uri="{FF2B5EF4-FFF2-40B4-BE49-F238E27FC236}">
              <a16:creationId xmlns:a16="http://schemas.microsoft.com/office/drawing/2014/main" id="{EC3B1DB7-EFD0-4450-A4A6-37F30917EA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238" name="Picture 13">
          <a:extLst>
            <a:ext uri="{FF2B5EF4-FFF2-40B4-BE49-F238E27FC236}">
              <a16:creationId xmlns:a16="http://schemas.microsoft.com/office/drawing/2014/main" id="{C873E46E-CC37-47C9-B846-1DF96BCE93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0</xdr:colOff>
      <xdr:row>0</xdr:row>
      <xdr:rowOff>0</xdr:rowOff>
    </xdr:from>
    <xdr:to>
      <xdr:col>7</xdr:col>
      <xdr:colOff>123825</xdr:colOff>
      <xdr:row>2</xdr:row>
      <xdr:rowOff>142875</xdr:rowOff>
    </xdr:to>
    <xdr:pic>
      <xdr:nvPicPr>
        <xdr:cNvPr id="4" name="Picture 12">
          <a:extLst>
            <a:ext uri="{FF2B5EF4-FFF2-40B4-BE49-F238E27FC236}">
              <a16:creationId xmlns:a16="http://schemas.microsoft.com/office/drawing/2014/main" id="{76481443-1958-447C-B3E8-F00C1AB412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525905" cy="48387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5" name="Picture 13">
          <a:extLst>
            <a:ext uri="{FF2B5EF4-FFF2-40B4-BE49-F238E27FC236}">
              <a16:creationId xmlns:a16="http://schemas.microsoft.com/office/drawing/2014/main" id="{88C766D3-51E0-4DFE-ACAF-7D8EC0D7B6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027420" y="0"/>
          <a:ext cx="541020" cy="47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123825</xdr:colOff>
      <xdr:row>2</xdr:row>
      <xdr:rowOff>142875</xdr:rowOff>
    </xdr:to>
    <xdr:pic>
      <xdr:nvPicPr>
        <xdr:cNvPr id="15595" name="Picture 1">
          <a:extLst>
            <a:ext uri="{FF2B5EF4-FFF2-40B4-BE49-F238E27FC236}">
              <a16:creationId xmlns:a16="http://schemas.microsoft.com/office/drawing/2014/main" id="{B18CBB95-9994-499B-BF63-42E7193B7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57325" cy="466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30</xdr:col>
      <xdr:colOff>28575</xdr:colOff>
      <xdr:row>0</xdr:row>
      <xdr:rowOff>0</xdr:rowOff>
    </xdr:from>
    <xdr:to>
      <xdr:col>32</xdr:col>
      <xdr:colOff>171450</xdr:colOff>
      <xdr:row>2</xdr:row>
      <xdr:rowOff>133350</xdr:rowOff>
    </xdr:to>
    <xdr:pic>
      <xdr:nvPicPr>
        <xdr:cNvPr id="15596" name="Picture 2">
          <a:extLst>
            <a:ext uri="{FF2B5EF4-FFF2-40B4-BE49-F238E27FC236}">
              <a16:creationId xmlns:a16="http://schemas.microsoft.com/office/drawing/2014/main" id="{773197C6-D8B1-4205-A2F6-3F6FDCBCECF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43575" y="0"/>
          <a:ext cx="523875" cy="4572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57150</xdr:colOff>
      <xdr:row>24</xdr:row>
      <xdr:rowOff>409575</xdr:rowOff>
    </xdr:from>
    <xdr:to>
      <xdr:col>6</xdr:col>
      <xdr:colOff>1191295</xdr:colOff>
      <xdr:row>24</xdr:row>
      <xdr:rowOff>4105791</xdr:rowOff>
    </xdr:to>
    <xdr:pic>
      <xdr:nvPicPr>
        <xdr:cNvPr id="3" name="Picture 2">
          <a:extLst>
            <a:ext uri="{FF2B5EF4-FFF2-40B4-BE49-F238E27FC236}">
              <a16:creationId xmlns:a16="http://schemas.microsoft.com/office/drawing/2014/main" id="{E9056429-8D2A-4B98-944B-64ED803A391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00175" y="4591050"/>
          <a:ext cx="4801270" cy="3696216"/>
        </a:xfrm>
        <a:prstGeom prst="rect">
          <a:avLst/>
        </a:prstGeom>
      </xdr:spPr>
    </xdr:pic>
    <xdr:clientData/>
  </xdr:twoCellAnchor>
  <xdr:twoCellAnchor editAs="oneCell">
    <xdr:from>
      <xdr:col>7</xdr:col>
      <xdr:colOff>38100</xdr:colOff>
      <xdr:row>24</xdr:row>
      <xdr:rowOff>361950</xdr:rowOff>
    </xdr:from>
    <xdr:to>
      <xdr:col>10</xdr:col>
      <xdr:colOff>2503504</xdr:colOff>
      <xdr:row>24</xdr:row>
      <xdr:rowOff>3733800</xdr:rowOff>
    </xdr:to>
    <xdr:pic>
      <xdr:nvPicPr>
        <xdr:cNvPr id="6" name="Picture 5">
          <a:extLst>
            <a:ext uri="{FF2B5EF4-FFF2-40B4-BE49-F238E27FC236}">
              <a16:creationId xmlns:a16="http://schemas.microsoft.com/office/drawing/2014/main" id="{75DCCC3F-73B6-4838-BA34-F2F45E5DBC9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19900" y="4543425"/>
          <a:ext cx="4379929" cy="3371850"/>
        </a:xfrm>
        <a:prstGeom prst="rect">
          <a:avLst/>
        </a:prstGeom>
      </xdr:spPr>
    </xdr:pic>
    <xdr:clientData/>
  </xdr:twoCellAnchor>
  <xdr:twoCellAnchor editAs="oneCell">
    <xdr:from>
      <xdr:col>11</xdr:col>
      <xdr:colOff>47625</xdr:colOff>
      <xdr:row>24</xdr:row>
      <xdr:rowOff>323850</xdr:rowOff>
    </xdr:from>
    <xdr:to>
      <xdr:col>14</xdr:col>
      <xdr:colOff>2714625</xdr:colOff>
      <xdr:row>24</xdr:row>
      <xdr:rowOff>3850897</xdr:rowOff>
    </xdr:to>
    <xdr:pic>
      <xdr:nvPicPr>
        <xdr:cNvPr id="7" name="Picture 6">
          <a:extLst>
            <a:ext uri="{FF2B5EF4-FFF2-40B4-BE49-F238E27FC236}">
              <a16:creationId xmlns:a16="http://schemas.microsoft.com/office/drawing/2014/main" id="{B551E485-98C4-4A0E-AED8-F2287366E34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268075" y="4505325"/>
          <a:ext cx="4581525" cy="352704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38100</xdr:colOff>
      <xdr:row>24</xdr:row>
      <xdr:rowOff>361950</xdr:rowOff>
    </xdr:from>
    <xdr:to>
      <xdr:col>5</xdr:col>
      <xdr:colOff>400050</xdr:colOff>
      <xdr:row>24</xdr:row>
      <xdr:rowOff>5075414</xdr:rowOff>
    </xdr:to>
    <xdr:pic>
      <xdr:nvPicPr>
        <xdr:cNvPr id="6" name="Picture 5">
          <a:extLst>
            <a:ext uri="{FF2B5EF4-FFF2-40B4-BE49-F238E27FC236}">
              <a16:creationId xmlns:a16="http://schemas.microsoft.com/office/drawing/2014/main" id="{9B0CFFF4-017A-46EC-ACBE-1B6C2A3714D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81125" y="4543425"/>
          <a:ext cx="3419475" cy="4713464"/>
        </a:xfrm>
        <a:prstGeom prst="rect">
          <a:avLst/>
        </a:prstGeom>
      </xdr:spPr>
    </xdr:pic>
    <xdr:clientData/>
  </xdr:twoCellAnchor>
  <xdr:twoCellAnchor editAs="oneCell">
    <xdr:from>
      <xdr:col>7</xdr:col>
      <xdr:colOff>104775</xdr:colOff>
      <xdr:row>24</xdr:row>
      <xdr:rowOff>342900</xdr:rowOff>
    </xdr:from>
    <xdr:to>
      <xdr:col>10</xdr:col>
      <xdr:colOff>1609725</xdr:colOff>
      <xdr:row>24</xdr:row>
      <xdr:rowOff>5056364</xdr:rowOff>
    </xdr:to>
    <xdr:pic>
      <xdr:nvPicPr>
        <xdr:cNvPr id="7" name="Picture 6">
          <a:extLst>
            <a:ext uri="{FF2B5EF4-FFF2-40B4-BE49-F238E27FC236}">
              <a16:creationId xmlns:a16="http://schemas.microsoft.com/office/drawing/2014/main" id="{4AD0DBFC-EB26-4F07-9DFA-FFFB6757229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86575" y="4524375"/>
          <a:ext cx="3419475" cy="4713464"/>
        </a:xfrm>
        <a:prstGeom prst="rect">
          <a:avLst/>
        </a:prstGeom>
      </xdr:spPr>
    </xdr:pic>
    <xdr:clientData/>
  </xdr:twoCellAnchor>
  <xdr:twoCellAnchor editAs="oneCell">
    <xdr:from>
      <xdr:col>11</xdr:col>
      <xdr:colOff>142875</xdr:colOff>
      <xdr:row>24</xdr:row>
      <xdr:rowOff>304800</xdr:rowOff>
    </xdr:from>
    <xdr:to>
      <xdr:col>14</xdr:col>
      <xdr:colOff>1647825</xdr:colOff>
      <xdr:row>24</xdr:row>
      <xdr:rowOff>5018264</xdr:rowOff>
    </xdr:to>
    <xdr:pic>
      <xdr:nvPicPr>
        <xdr:cNvPr id="8" name="Picture 7">
          <a:extLst>
            <a:ext uri="{FF2B5EF4-FFF2-40B4-BE49-F238E27FC236}">
              <a16:creationId xmlns:a16="http://schemas.microsoft.com/office/drawing/2014/main" id="{7AF38C4A-031C-4F3A-B990-EF00EBC168F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363325" y="4486275"/>
          <a:ext cx="3419475" cy="471346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66675</xdr:colOff>
      <xdr:row>24</xdr:row>
      <xdr:rowOff>209550</xdr:rowOff>
    </xdr:from>
    <xdr:to>
      <xdr:col>6</xdr:col>
      <xdr:colOff>1229399</xdr:colOff>
      <xdr:row>24</xdr:row>
      <xdr:rowOff>695393</xdr:rowOff>
    </xdr:to>
    <xdr:pic>
      <xdr:nvPicPr>
        <xdr:cNvPr id="3" name="Picture 2">
          <a:extLst>
            <a:ext uri="{FF2B5EF4-FFF2-40B4-BE49-F238E27FC236}">
              <a16:creationId xmlns:a16="http://schemas.microsoft.com/office/drawing/2014/main" id="{84EC9597-A7A6-4F8A-A95C-BB05EE6C9D3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09700" y="4391025"/>
          <a:ext cx="4829849" cy="485843"/>
        </a:xfrm>
        <a:prstGeom prst="rect">
          <a:avLst/>
        </a:prstGeom>
      </xdr:spPr>
    </xdr:pic>
    <xdr:clientData/>
  </xdr:twoCellAnchor>
  <xdr:twoCellAnchor editAs="oneCell">
    <xdr:from>
      <xdr:col>7</xdr:col>
      <xdr:colOff>47625</xdr:colOff>
      <xdr:row>24</xdr:row>
      <xdr:rowOff>190500</xdr:rowOff>
    </xdr:from>
    <xdr:to>
      <xdr:col>10</xdr:col>
      <xdr:colOff>2390775</xdr:colOff>
      <xdr:row>24</xdr:row>
      <xdr:rowOff>676343</xdr:rowOff>
    </xdr:to>
    <xdr:pic>
      <xdr:nvPicPr>
        <xdr:cNvPr id="4" name="Picture 3">
          <a:extLst>
            <a:ext uri="{FF2B5EF4-FFF2-40B4-BE49-F238E27FC236}">
              <a16:creationId xmlns:a16="http://schemas.microsoft.com/office/drawing/2014/main" id="{2E5A8E3E-E6AB-4181-9F5E-E88FBFFAA4F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29425" y="4371975"/>
          <a:ext cx="4257675" cy="485843"/>
        </a:xfrm>
        <a:prstGeom prst="rect">
          <a:avLst/>
        </a:prstGeom>
      </xdr:spPr>
    </xdr:pic>
    <xdr:clientData/>
  </xdr:twoCellAnchor>
  <xdr:oneCellAnchor>
    <xdr:from>
      <xdr:col>11</xdr:col>
      <xdr:colOff>47625</xdr:colOff>
      <xdr:row>24</xdr:row>
      <xdr:rowOff>190500</xdr:rowOff>
    </xdr:from>
    <xdr:ext cx="4257675" cy="485843"/>
    <xdr:pic>
      <xdr:nvPicPr>
        <xdr:cNvPr id="5" name="Picture 4">
          <a:extLst>
            <a:ext uri="{FF2B5EF4-FFF2-40B4-BE49-F238E27FC236}">
              <a16:creationId xmlns:a16="http://schemas.microsoft.com/office/drawing/2014/main" id="{98BDF8F4-7008-4BE9-972C-4B9BBB09C169}"/>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29425" y="4371975"/>
          <a:ext cx="4257675" cy="485843"/>
        </a:xfrm>
        <a:prstGeom prst="rect">
          <a:avLst/>
        </a:prstGeom>
      </xdr:spPr>
    </xdr:pic>
    <xdr:clientData/>
  </xdr:oneCellAnchor>
  <xdr:oneCellAnchor>
    <xdr:from>
      <xdr:col>11</xdr:col>
      <xdr:colOff>47625</xdr:colOff>
      <xdr:row>24</xdr:row>
      <xdr:rowOff>190500</xdr:rowOff>
    </xdr:from>
    <xdr:ext cx="4257675" cy="485843"/>
    <xdr:pic>
      <xdr:nvPicPr>
        <xdr:cNvPr id="7" name="Picture 6">
          <a:extLst>
            <a:ext uri="{FF2B5EF4-FFF2-40B4-BE49-F238E27FC236}">
              <a16:creationId xmlns:a16="http://schemas.microsoft.com/office/drawing/2014/main" id="{8974EF15-3F03-4760-9F72-A6EE6657C8A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829425" y="4371975"/>
          <a:ext cx="4257675" cy="485843"/>
        </a:xfrm>
        <a:prstGeom prst="rect">
          <a:avLst/>
        </a:prstGeom>
      </xdr:spPr>
    </xdr:pic>
    <xdr:clientData/>
  </xdr:oneCellAnchor>
</xdr:wsDr>
</file>

<file path=xl/drawings/drawing6.xml><?xml version="1.0" encoding="utf-8"?>
<xdr:wsDr xmlns:xdr="http://schemas.openxmlformats.org/drawingml/2006/spreadsheetDrawing" xmlns:a="http://schemas.openxmlformats.org/drawingml/2006/main">
  <xdr:twoCellAnchor>
    <xdr:from>
      <xdr:col>1</xdr:col>
      <xdr:colOff>0</xdr:colOff>
      <xdr:row>7</xdr:row>
      <xdr:rowOff>0</xdr:rowOff>
    </xdr:from>
    <xdr:to>
      <xdr:col>6</xdr:col>
      <xdr:colOff>561975</xdr:colOff>
      <xdr:row>23</xdr:row>
      <xdr:rowOff>152400</xdr:rowOff>
    </xdr:to>
    <xdr:graphicFrame macro="">
      <xdr:nvGraphicFramePr>
        <xdr:cNvPr id="21575" name="Chart 1">
          <a:extLst>
            <a:ext uri="{FF2B5EF4-FFF2-40B4-BE49-F238E27FC236}">
              <a16:creationId xmlns:a16="http://schemas.microsoft.com/office/drawing/2014/main" id="{3B8DEE3C-F3F6-4252-8DA4-4575A22FEB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18.bin"/><Relationship Id="rId4" Type="http://schemas.openxmlformats.org/officeDocument/2006/relationships/comments" Target="../comments17.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4.xml"/><Relationship Id="rId1" Type="http://schemas.openxmlformats.org/officeDocument/2006/relationships/printerSettings" Target="../printerSettings/printerSettings20.bin"/><Relationship Id="rId4" Type="http://schemas.openxmlformats.org/officeDocument/2006/relationships/comments" Target="../comments19.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5.xml"/><Relationship Id="rId1" Type="http://schemas.openxmlformats.org/officeDocument/2006/relationships/printerSettings" Target="../printerSettings/printerSettings26.bin"/><Relationship Id="rId4" Type="http://schemas.openxmlformats.org/officeDocument/2006/relationships/comments" Target="../comments2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9" tint="0.59999389629810485"/>
  </sheetPr>
  <dimension ref="A1:BH26"/>
  <sheetViews>
    <sheetView showGridLines="0" topLeftCell="A4" zoomScaleNormal="100" workbookViewId="0">
      <selection activeCell="A23" sqref="A23:AG23"/>
    </sheetView>
  </sheetViews>
  <sheetFormatPr defaultColWidth="0" defaultRowHeight="13.2" customHeight="1" zeroHeight="1" x14ac:dyDescent="0.25"/>
  <cols>
    <col min="1" max="33" width="2.88671875" style="16" customWidth="1"/>
    <col min="34" max="34" width="1.33203125" style="16" customWidth="1"/>
    <col min="35" max="60" width="3.33203125" style="16" hidden="1" customWidth="1"/>
    <col min="61" max="16384" width="0" style="16" hidden="1"/>
  </cols>
  <sheetData>
    <row r="1" spans="1:37" s="96" customFormat="1" x14ac:dyDescent="0.25">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x14ac:dyDescent="0.25">
      <c r="C2" s="101"/>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row>
    <row r="3" spans="1:37" s="96" customFormat="1" x14ac:dyDescent="0.25">
      <c r="C3" s="101"/>
      <c r="D3" s="101"/>
      <c r="E3" s="101"/>
      <c r="F3" s="101"/>
      <c r="G3" s="101"/>
      <c r="H3" s="101"/>
      <c r="I3" s="101"/>
      <c r="J3" s="101"/>
      <c r="K3" s="101"/>
      <c r="L3" s="101"/>
      <c r="M3" s="101"/>
      <c r="N3" s="101"/>
      <c r="O3" s="101"/>
      <c r="P3" s="101"/>
      <c r="Q3" s="101"/>
      <c r="R3" s="101"/>
      <c r="S3" s="101"/>
      <c r="T3" s="101"/>
      <c r="U3" s="101"/>
      <c r="V3" s="101"/>
      <c r="W3" s="101"/>
      <c r="X3" s="101"/>
      <c r="Y3" s="101"/>
      <c r="Z3" s="101"/>
      <c r="AA3" s="101"/>
      <c r="AB3" s="101"/>
      <c r="AC3" s="101"/>
      <c r="AD3" s="102" t="str">
        <f ca="1">MID(CELL("filename"),FIND("[",CELL("filename"))+1,FIND("]",CELL("filename"))-FIND("[",CELL("filename"))-1)</f>
        <v>NVP - Software Integration Test Specification Report.xlsm</v>
      </c>
      <c r="AE3" s="101"/>
      <c r="AF3" s="101"/>
      <c r="AG3" s="101"/>
      <c r="AH3" s="101"/>
      <c r="AI3" s="101"/>
      <c r="AJ3" s="101"/>
      <c r="AK3" s="101"/>
    </row>
    <row r="4" spans="1:37" s="96" customFormat="1" ht="11.1" customHeight="1" x14ac:dyDescent="0.25">
      <c r="A4" s="128" t="s">
        <v>0</v>
      </c>
      <c r="B4" s="129"/>
      <c r="C4" s="129"/>
      <c r="D4" s="129"/>
      <c r="E4" s="129"/>
      <c r="F4" s="129"/>
      <c r="G4" s="129"/>
      <c r="H4" s="129"/>
      <c r="I4" s="129"/>
      <c r="J4" s="129"/>
      <c r="K4" s="129"/>
      <c r="L4" s="129"/>
      <c r="M4" s="129"/>
      <c r="N4" s="129"/>
      <c r="O4" s="129"/>
      <c r="P4" s="129"/>
      <c r="Q4" s="129"/>
      <c r="R4" s="129"/>
      <c r="S4" s="129"/>
      <c r="T4" s="129"/>
      <c r="U4" s="129"/>
      <c r="V4" s="130"/>
      <c r="W4" s="139" t="s">
        <v>1</v>
      </c>
      <c r="X4" s="140"/>
      <c r="Y4" s="140"/>
      <c r="Z4" s="140"/>
      <c r="AA4" s="141"/>
      <c r="AB4" s="128" t="s">
        <v>20</v>
      </c>
      <c r="AC4" s="129"/>
      <c r="AD4" s="129"/>
      <c r="AE4" s="129"/>
      <c r="AF4" s="129"/>
      <c r="AG4" s="130"/>
      <c r="AH4" s="103"/>
      <c r="AI4" s="103"/>
      <c r="AJ4" s="103"/>
      <c r="AK4" s="101"/>
    </row>
    <row r="5" spans="1:37" s="104" customFormat="1" ht="12.75" customHeight="1" x14ac:dyDescent="0.25">
      <c r="A5" s="122" t="s">
        <v>251</v>
      </c>
      <c r="B5" s="123"/>
      <c r="C5" s="123"/>
      <c r="D5" s="123"/>
      <c r="E5" s="123"/>
      <c r="F5" s="123"/>
      <c r="G5" s="123"/>
      <c r="H5" s="123"/>
      <c r="I5" s="123"/>
      <c r="J5" s="123"/>
      <c r="K5" s="123"/>
      <c r="L5" s="123"/>
      <c r="M5" s="123"/>
      <c r="N5" s="123"/>
      <c r="O5" s="123"/>
      <c r="P5" s="123"/>
      <c r="Q5" s="123"/>
      <c r="R5" s="123"/>
      <c r="S5" s="123"/>
      <c r="T5" s="123"/>
      <c r="U5" s="123"/>
      <c r="V5" s="124"/>
      <c r="W5" s="122" t="s">
        <v>252</v>
      </c>
      <c r="X5" s="123"/>
      <c r="Y5" s="123"/>
      <c r="Z5" s="123"/>
      <c r="AA5" s="124"/>
      <c r="AB5" s="122" t="s">
        <v>253</v>
      </c>
      <c r="AC5" s="123"/>
      <c r="AD5" s="123"/>
      <c r="AE5" s="123"/>
      <c r="AF5" s="123"/>
      <c r="AG5" s="124"/>
    </row>
    <row r="6" spans="1:37" s="101" customFormat="1" ht="11.1" customHeight="1" x14ac:dyDescent="0.25">
      <c r="A6" s="139" t="s">
        <v>2</v>
      </c>
      <c r="B6" s="140"/>
      <c r="C6" s="140"/>
      <c r="D6" s="141"/>
      <c r="E6" s="139" t="s">
        <v>3</v>
      </c>
      <c r="F6" s="140"/>
      <c r="G6" s="140"/>
      <c r="H6" s="140"/>
      <c r="I6" s="140"/>
      <c r="J6" s="140"/>
      <c r="K6" s="140"/>
      <c r="L6" s="140"/>
      <c r="M6" s="140"/>
      <c r="N6" s="140"/>
      <c r="O6" s="140"/>
      <c r="P6" s="140"/>
      <c r="Q6" s="140"/>
      <c r="R6" s="140"/>
      <c r="S6" s="140"/>
      <c r="T6" s="140"/>
      <c r="U6" s="140"/>
      <c r="V6" s="141"/>
      <c r="W6" s="128" t="s">
        <v>15</v>
      </c>
      <c r="X6" s="129"/>
      <c r="Y6" s="129"/>
      <c r="Z6" s="129"/>
      <c r="AA6" s="130"/>
      <c r="AB6" s="139"/>
      <c r="AC6" s="140"/>
      <c r="AD6" s="141"/>
      <c r="AE6" s="139" t="s">
        <v>4</v>
      </c>
      <c r="AF6" s="140"/>
      <c r="AG6" s="141"/>
    </row>
    <row r="7" spans="1:37" s="104" customFormat="1" ht="12.75" customHeight="1" x14ac:dyDescent="0.25">
      <c r="A7" s="122" t="str">
        <f ca="1" xml:space="preserve"> IFERROR(IF(alvDocProperty("MXName")="","TBD",alvDocProperty("MXName")),"TBD")</f>
        <v>TBD</v>
      </c>
      <c r="B7" s="123"/>
      <c r="C7" s="123"/>
      <c r="D7" s="124"/>
      <c r="E7" s="122" t="s">
        <v>254</v>
      </c>
      <c r="F7" s="123"/>
      <c r="G7" s="123"/>
      <c r="H7" s="123"/>
      <c r="I7" s="123"/>
      <c r="J7" s="123"/>
      <c r="K7" s="123"/>
      <c r="L7" s="123"/>
      <c r="M7" s="123"/>
      <c r="N7" s="123"/>
      <c r="O7" s="123"/>
      <c r="P7" s="123"/>
      <c r="Q7" s="123"/>
      <c r="R7" s="123"/>
      <c r="S7" s="123"/>
      <c r="T7" s="123"/>
      <c r="U7" s="123"/>
      <c r="V7" s="124"/>
      <c r="W7" s="122" t="str">
        <f ca="1" xml:space="preserve"> IFERROR(IF(alvDocProperty("MXDocTemplate_Name")="","SW04TEM001",alvDocProperty("MXDocTemplate_Name")),"SW04TEM001")</f>
        <v>SW04TEM001</v>
      </c>
      <c r="X7" s="123"/>
      <c r="Y7" s="123"/>
      <c r="Z7" s="123"/>
      <c r="AA7" s="124"/>
      <c r="AB7" s="122"/>
      <c r="AC7" s="123"/>
      <c r="AD7" s="124"/>
      <c r="AE7" s="122">
        <v>1</v>
      </c>
      <c r="AF7" s="123"/>
      <c r="AG7" s="124"/>
    </row>
    <row r="8" spans="1:37" s="104" customFormat="1" x14ac:dyDescent="0.25">
      <c r="A8" s="105"/>
      <c r="B8" s="105"/>
      <c r="C8" s="105"/>
      <c r="D8" s="105"/>
      <c r="E8" s="105"/>
      <c r="F8" s="105"/>
      <c r="G8" s="105"/>
      <c r="H8" s="105"/>
      <c r="I8" s="105"/>
      <c r="J8" s="105"/>
      <c r="K8" s="105"/>
      <c r="L8" s="105"/>
      <c r="M8" s="105"/>
      <c r="N8" s="105"/>
      <c r="O8" s="105"/>
      <c r="P8" s="105"/>
      <c r="Q8" s="105"/>
      <c r="R8" s="105"/>
      <c r="S8" s="105"/>
      <c r="T8" s="105"/>
      <c r="U8" s="105"/>
      <c r="V8" s="105"/>
      <c r="W8" s="106"/>
      <c r="X8" s="106"/>
      <c r="Y8" s="106"/>
      <c r="Z8" s="106"/>
      <c r="AA8" s="106"/>
      <c r="AB8" s="105"/>
      <c r="AC8" s="105"/>
      <c r="AD8" s="105"/>
      <c r="AE8" s="105"/>
      <c r="AF8" s="105"/>
      <c r="AG8" s="105"/>
    </row>
    <row r="9" spans="1:37" ht="11.1" customHeight="1" x14ac:dyDescent="0.25">
      <c r="A9" s="133" t="s">
        <v>21</v>
      </c>
      <c r="B9" s="134"/>
      <c r="C9" s="134"/>
      <c r="D9" s="134"/>
      <c r="E9" s="134"/>
      <c r="F9" s="134"/>
      <c r="G9" s="134"/>
      <c r="H9" s="134"/>
      <c r="I9" s="134"/>
      <c r="J9" s="134"/>
      <c r="K9" s="135"/>
      <c r="L9" s="133" t="s">
        <v>22</v>
      </c>
      <c r="M9" s="134"/>
      <c r="N9" s="134"/>
      <c r="O9" s="134"/>
      <c r="P9" s="134"/>
      <c r="Q9" s="134"/>
      <c r="R9" s="134"/>
      <c r="S9" s="134"/>
      <c r="T9" s="134"/>
      <c r="U9" s="134"/>
      <c r="V9" s="135"/>
      <c r="W9" s="133" t="s">
        <v>23</v>
      </c>
      <c r="X9" s="134"/>
      <c r="Y9" s="134"/>
      <c r="Z9" s="134"/>
      <c r="AA9" s="134"/>
      <c r="AB9" s="134"/>
      <c r="AC9" s="134"/>
      <c r="AD9" s="134"/>
      <c r="AE9" s="134"/>
      <c r="AF9" s="134"/>
      <c r="AG9" s="135"/>
      <c r="AH9" s="107"/>
      <c r="AI9" s="107"/>
    </row>
    <row r="10" spans="1:37" s="108" customFormat="1" ht="28.5" customHeight="1" x14ac:dyDescent="0.25">
      <c r="A10" s="131" t="s">
        <v>33</v>
      </c>
      <c r="B10" s="132"/>
      <c r="C10" s="132"/>
      <c r="D10" s="132"/>
      <c r="E10" s="132"/>
      <c r="F10" s="152" t="s">
        <v>147</v>
      </c>
      <c r="G10" s="152"/>
      <c r="H10" s="152"/>
      <c r="I10" s="152"/>
      <c r="J10" s="152"/>
      <c r="K10" s="153"/>
      <c r="L10" s="136" t="s">
        <v>255</v>
      </c>
      <c r="M10" s="137"/>
      <c r="N10" s="137"/>
      <c r="O10" s="137"/>
      <c r="P10" s="137"/>
      <c r="Q10" s="137"/>
      <c r="R10" s="137"/>
      <c r="S10" s="137"/>
      <c r="T10" s="137"/>
      <c r="U10" s="137"/>
      <c r="V10" s="138"/>
      <c r="W10" s="136" t="s">
        <v>255</v>
      </c>
      <c r="X10" s="137"/>
      <c r="Y10" s="137"/>
      <c r="Z10" s="137"/>
      <c r="AA10" s="137"/>
      <c r="AB10" s="137"/>
      <c r="AC10" s="137"/>
      <c r="AD10" s="137"/>
      <c r="AE10" s="137"/>
      <c r="AF10" s="137"/>
      <c r="AG10" s="138"/>
    </row>
    <row r="11" spans="1:37" s="44" customFormat="1" ht="4.5" customHeight="1" x14ac:dyDescent="0.25">
      <c r="A11" s="109"/>
      <c r="B11" s="110"/>
      <c r="C11" s="110"/>
      <c r="D11" s="110"/>
      <c r="E11" s="110"/>
      <c r="F11" s="110"/>
      <c r="G11" s="110"/>
      <c r="H11" s="110"/>
      <c r="I11" s="110"/>
      <c r="J11" s="110"/>
      <c r="K11" s="110"/>
      <c r="L11" s="111"/>
      <c r="M11" s="110"/>
      <c r="N11" s="110"/>
      <c r="O11" s="110"/>
      <c r="P11" s="110"/>
      <c r="Q11" s="110"/>
      <c r="R11" s="110"/>
      <c r="S11" s="110"/>
      <c r="T11" s="110"/>
      <c r="U11" s="110"/>
      <c r="V11" s="110"/>
      <c r="W11" s="111"/>
      <c r="X11" s="110"/>
      <c r="Y11" s="110"/>
      <c r="Z11" s="110"/>
      <c r="AA11" s="110"/>
      <c r="AB11" s="110"/>
      <c r="AC11" s="110"/>
      <c r="AD11" s="110"/>
      <c r="AE11" s="110"/>
      <c r="AF11" s="110"/>
      <c r="AG11" s="112"/>
      <c r="AH11" s="108"/>
      <c r="AI11" s="108"/>
    </row>
    <row r="12" spans="1:37" ht="11.1" customHeight="1" x14ac:dyDescent="0.25">
      <c r="A12" s="125" t="s">
        <v>24</v>
      </c>
      <c r="B12" s="126"/>
      <c r="C12" s="126"/>
      <c r="D12" s="126"/>
      <c r="E12" s="126"/>
      <c r="F12" s="126"/>
      <c r="G12" s="126"/>
      <c r="H12" s="126"/>
      <c r="I12" s="126"/>
      <c r="J12" s="126"/>
      <c r="K12" s="126"/>
      <c r="L12" s="126"/>
      <c r="M12" s="126"/>
      <c r="N12" s="126"/>
      <c r="O12" s="126"/>
      <c r="P12" s="126"/>
      <c r="Q12" s="126"/>
      <c r="R12" s="126"/>
      <c r="S12" s="126"/>
      <c r="T12" s="126"/>
      <c r="U12" s="126"/>
      <c r="V12" s="126"/>
      <c r="W12" s="126"/>
      <c r="X12" s="126"/>
      <c r="Y12" s="126"/>
      <c r="Z12" s="126"/>
      <c r="AA12" s="126"/>
      <c r="AB12" s="126"/>
      <c r="AC12" s="126"/>
      <c r="AD12" s="126"/>
      <c r="AE12" s="126"/>
      <c r="AF12" s="126"/>
      <c r="AG12" s="127"/>
      <c r="AH12" s="107"/>
      <c r="AI12" s="107"/>
      <c r="AJ12" s="107"/>
      <c r="AK12" s="107"/>
    </row>
    <row r="13" spans="1:37" s="108" customFormat="1" ht="28.5" customHeight="1" x14ac:dyDescent="0.25">
      <c r="A13" s="136" t="s">
        <v>255</v>
      </c>
      <c r="B13" s="137"/>
      <c r="C13" s="137"/>
      <c r="D13" s="137"/>
      <c r="E13" s="137"/>
      <c r="F13" s="137"/>
      <c r="G13" s="137"/>
      <c r="H13" s="137"/>
      <c r="I13" s="137"/>
      <c r="J13" s="137"/>
      <c r="K13" s="138"/>
      <c r="L13" s="136" t="s">
        <v>255</v>
      </c>
      <c r="M13" s="137"/>
      <c r="N13" s="137"/>
      <c r="O13" s="137"/>
      <c r="P13" s="137"/>
      <c r="Q13" s="137"/>
      <c r="R13" s="137"/>
      <c r="S13" s="137"/>
      <c r="T13" s="137"/>
      <c r="U13" s="137"/>
      <c r="V13" s="138"/>
      <c r="W13" s="136" t="s">
        <v>255</v>
      </c>
      <c r="X13" s="137"/>
      <c r="Y13" s="137"/>
      <c r="Z13" s="137"/>
      <c r="AA13" s="137"/>
      <c r="AB13" s="137"/>
      <c r="AC13" s="137"/>
      <c r="AD13" s="137"/>
      <c r="AE13" s="137"/>
      <c r="AF13" s="137"/>
      <c r="AG13" s="138"/>
    </row>
    <row r="14" spans="1:37" s="44" customFormat="1" ht="4.5" customHeight="1" x14ac:dyDescent="0.25">
      <c r="A14" s="111"/>
      <c r="B14" s="110"/>
      <c r="C14" s="110"/>
      <c r="D14" s="110"/>
      <c r="E14" s="110"/>
      <c r="F14" s="110"/>
      <c r="G14" s="110"/>
      <c r="H14" s="110"/>
      <c r="I14" s="110"/>
      <c r="J14" s="110"/>
      <c r="K14" s="110"/>
      <c r="L14" s="111"/>
      <c r="M14" s="110"/>
      <c r="N14" s="110"/>
      <c r="O14" s="110"/>
      <c r="P14" s="110"/>
      <c r="Q14" s="110"/>
      <c r="R14" s="110"/>
      <c r="S14" s="110"/>
      <c r="T14" s="110"/>
      <c r="U14" s="110"/>
      <c r="V14" s="110"/>
      <c r="W14" s="111"/>
      <c r="X14" s="110"/>
      <c r="Y14" s="110"/>
      <c r="Z14" s="110"/>
      <c r="AA14" s="110"/>
      <c r="AB14" s="110"/>
      <c r="AC14" s="110"/>
      <c r="AD14" s="110"/>
      <c r="AE14" s="110"/>
      <c r="AF14" s="110"/>
      <c r="AG14" s="110"/>
      <c r="AH14" s="108"/>
      <c r="AI14" s="108"/>
    </row>
    <row r="15" spans="1:37" s="107" customFormat="1" ht="37.5" customHeight="1" x14ac:dyDescent="0.25">
      <c r="A15" s="147" t="s">
        <v>25</v>
      </c>
      <c r="B15" s="147"/>
      <c r="C15" s="147"/>
      <c r="D15" s="147"/>
      <c r="E15" s="144" t="s">
        <v>148</v>
      </c>
      <c r="F15" s="145"/>
      <c r="G15" s="145"/>
      <c r="H15" s="145"/>
      <c r="I15" s="145"/>
      <c r="J15" s="145"/>
      <c r="K15" s="145"/>
      <c r="L15" s="145"/>
      <c r="M15" s="145"/>
      <c r="N15" s="145"/>
      <c r="O15" s="145"/>
      <c r="P15" s="145"/>
      <c r="Q15" s="145"/>
      <c r="R15" s="145"/>
      <c r="S15" s="145"/>
      <c r="T15" s="145"/>
      <c r="U15" s="145"/>
      <c r="V15" s="145"/>
      <c r="W15" s="145"/>
      <c r="X15" s="145"/>
      <c r="Y15" s="145"/>
      <c r="Z15" s="145"/>
      <c r="AA15" s="145"/>
      <c r="AB15" s="145"/>
      <c r="AC15" s="145"/>
      <c r="AD15" s="145"/>
      <c r="AE15" s="145"/>
      <c r="AF15" s="145"/>
      <c r="AG15" s="146"/>
    </row>
    <row r="16" spans="1:37" s="107" customFormat="1" ht="37.5" customHeight="1" x14ac:dyDescent="0.25">
      <c r="A16" s="148"/>
      <c r="B16" s="148"/>
      <c r="C16" s="148"/>
      <c r="D16" s="148"/>
      <c r="E16" s="149"/>
      <c r="F16" s="150"/>
      <c r="G16" s="150"/>
      <c r="H16" s="150"/>
      <c r="I16" s="150"/>
      <c r="J16" s="150"/>
      <c r="K16" s="150"/>
      <c r="L16" s="150"/>
      <c r="M16" s="150"/>
      <c r="N16" s="150"/>
      <c r="O16" s="150"/>
      <c r="P16" s="150"/>
      <c r="Q16" s="150"/>
      <c r="R16" s="150"/>
      <c r="S16" s="150"/>
      <c r="T16" s="150"/>
      <c r="U16" s="150"/>
      <c r="V16" s="150"/>
      <c r="W16" s="150"/>
      <c r="X16" s="150"/>
      <c r="Y16" s="150"/>
      <c r="Z16" s="150"/>
      <c r="AA16" s="150"/>
      <c r="AB16" s="150"/>
      <c r="AC16" s="150"/>
      <c r="AD16" s="150"/>
      <c r="AE16" s="150"/>
      <c r="AF16" s="150"/>
      <c r="AG16" s="151"/>
    </row>
    <row r="17" spans="1:33" s="107" customFormat="1" x14ac:dyDescent="0.25"/>
    <row r="18" spans="1:33" s="107" customFormat="1" x14ac:dyDescent="0.25"/>
    <row r="19" spans="1:33" s="107" customFormat="1" x14ac:dyDescent="0.25"/>
    <row r="20" spans="1:33" s="107" customFormat="1" x14ac:dyDescent="0.25"/>
    <row r="21" spans="1:33" s="107" customFormat="1" ht="15.75" customHeight="1" x14ac:dyDescent="0.25">
      <c r="Q21" s="113"/>
    </row>
    <row r="22" spans="1:33" s="107" customFormat="1" ht="12" customHeight="1" x14ac:dyDescent="0.25">
      <c r="Q22" s="113"/>
    </row>
    <row r="23" spans="1:33" s="107" customFormat="1" ht="60" customHeight="1" x14ac:dyDescent="0.25">
      <c r="A23" s="142" t="str">
        <f>MXTitle</f>
        <v>NVP - Software Integration Test Specification Report.xls</v>
      </c>
      <c r="B23" s="143"/>
      <c r="C23" s="143"/>
      <c r="D23" s="143"/>
      <c r="E23" s="143"/>
      <c r="F23" s="143"/>
      <c r="G23" s="143"/>
      <c r="H23" s="143"/>
      <c r="I23" s="143"/>
      <c r="J23" s="143"/>
      <c r="K23" s="143"/>
      <c r="L23" s="143"/>
      <c r="M23" s="143"/>
      <c r="N23" s="143"/>
      <c r="O23" s="143"/>
      <c r="P23" s="143"/>
      <c r="Q23" s="143"/>
      <c r="R23" s="143"/>
      <c r="S23" s="143"/>
      <c r="T23" s="143"/>
      <c r="U23" s="143"/>
      <c r="V23" s="143"/>
      <c r="W23" s="143"/>
      <c r="X23" s="143"/>
      <c r="Y23" s="143"/>
      <c r="Z23" s="143"/>
      <c r="AA23" s="143"/>
      <c r="AB23" s="143"/>
      <c r="AC23" s="143"/>
      <c r="AD23" s="143"/>
      <c r="AE23" s="143"/>
      <c r="AF23" s="143"/>
      <c r="AG23" s="143"/>
    </row>
    <row r="24" spans="1:33" s="107" customFormat="1" ht="24.6" x14ac:dyDescent="0.25">
      <c r="Q24" s="113"/>
    </row>
    <row r="25" spans="1:33" s="107" customFormat="1" x14ac:dyDescent="0.25"/>
    <row r="26" spans="1:33" x14ac:dyDescent="0.25"/>
  </sheetData>
  <sheetProtection formatCells="0" formatRows="0" insertColumns="0" insertRows="0" insertHyperlinks="0" deleteRows="0" selectLockedCells="1" sort="0" autoFilter="0" pivotTables="0"/>
  <dataConsolidate/>
  <mergeCells count="31">
    <mergeCell ref="AB6:AD6"/>
    <mergeCell ref="AE6:AG6"/>
    <mergeCell ref="W7:AA7"/>
    <mergeCell ref="L13:V13"/>
    <mergeCell ref="A23:AG23"/>
    <mergeCell ref="A13:K13"/>
    <mergeCell ref="AB7:AD7"/>
    <mergeCell ref="A9:K9"/>
    <mergeCell ref="W13:AG13"/>
    <mergeCell ref="E15:AG15"/>
    <mergeCell ref="E7:V7"/>
    <mergeCell ref="A15:D16"/>
    <mergeCell ref="E16:AG16"/>
    <mergeCell ref="W10:AG10"/>
    <mergeCell ref="F10:K10"/>
    <mergeCell ref="A5:V5"/>
    <mergeCell ref="A7:D7"/>
    <mergeCell ref="A12:AG12"/>
    <mergeCell ref="A4:V4"/>
    <mergeCell ref="A10:E10"/>
    <mergeCell ref="L9:V9"/>
    <mergeCell ref="W9:AG9"/>
    <mergeCell ref="L10:V10"/>
    <mergeCell ref="AE7:AG7"/>
    <mergeCell ref="A6:D6"/>
    <mergeCell ref="AB4:AG4"/>
    <mergeCell ref="AB5:AG5"/>
    <mergeCell ref="W4:AA4"/>
    <mergeCell ref="W5:AA5"/>
    <mergeCell ref="W6:AA6"/>
    <mergeCell ref="E6:V6"/>
  </mergeCells>
  <phoneticPr fontId="3" type="noConversion"/>
  <conditionalFormatting sqref="W5:AA5">
    <cfRule type="cellIs" dxfId="175" priority="1" operator="equal">
      <formula>"In-Work"</formula>
    </cfRule>
    <cfRule type="cellIs" dxfId="174" priority="2" stopIfTrue="1" operator="equal">
      <formula>"draft"</formula>
    </cfRule>
    <cfRule type="cellIs" dxfId="173" priority="3" operator="equal">
      <formula>"In-Work"</formula>
    </cfRule>
    <cfRule type="cellIs" dxfId="172" priority="4" stopIfTrue="1" operator="equal">
      <formula>"draft"</formula>
    </cfRule>
    <cfRule type="cellIs" dxfId="171" priority="5" operator="equal">
      <formula>"In-Work"</formula>
    </cfRule>
    <cfRule type="cellIs" dxfId="170" priority="6" stopIfTrue="1" operator="equal">
      <formula>"draft"</formula>
    </cfRule>
    <cfRule type="cellIs" dxfId="169" priority="7" operator="equal">
      <formula>"In-Work"</formula>
    </cfRule>
    <cfRule type="cellIs" dxfId="168" priority="8" stopIfTrue="1" operator="equal">
      <formula>"draft"</formula>
    </cfRule>
    <cfRule type="cellIs" dxfId="167" priority="9" operator="equal">
      <formula>"In-Work"</formula>
    </cfRule>
    <cfRule type="cellIs" dxfId="166" priority="10" stopIfTrue="1" operator="equal">
      <formula>"draft"</formula>
    </cfRule>
    <cfRule type="cellIs" dxfId="165" priority="11" operator="equal">
      <formula>"In-Work"</formula>
    </cfRule>
    <cfRule type="cellIs" dxfId="164" priority="12" stopIfTrue="1" operator="equal">
      <formula>"draft"</formula>
    </cfRule>
    <cfRule type="cellIs" dxfId="163" priority="13" operator="equal">
      <formula>"In-Work"</formula>
    </cfRule>
    <cfRule type="cellIs" dxfId="162" priority="14" stopIfTrue="1" operator="equal">
      <formula>"draft"</formula>
    </cfRule>
    <cfRule type="cellIs" dxfId="161" priority="15" operator="equal">
      <formula>"In-Work"</formula>
    </cfRule>
    <cfRule type="cellIs" dxfId="160" priority="16" stopIfTrue="1" operator="equal">
      <formula>"draft"</formula>
    </cfRule>
    <cfRule type="cellIs" dxfId="159" priority="17" operator="equal">
      <formula>"In-Work"</formula>
    </cfRule>
    <cfRule type="cellIs" dxfId="158" priority="18" stopIfTrue="1" operator="equal">
      <formula>"draft"</formula>
    </cfRule>
    <cfRule type="cellIs" dxfId="157" priority="19" operator="equal">
      <formula>"In-Work"</formula>
    </cfRule>
    <cfRule type="cellIs" dxfId="156" priority="20" stopIfTrue="1" operator="equal">
      <formula>"draft"</formula>
    </cfRule>
    <cfRule type="cellIs" dxfId="155" priority="21" operator="equal">
      <formula>"In-Work"</formula>
    </cfRule>
    <cfRule type="cellIs" dxfId="154" priority="22" stopIfTrue="1" operator="equal">
      <formula>"draft"</formula>
    </cfRule>
    <cfRule type="cellIs" dxfId="153" priority="23" operator="equal">
      <formula>"In-Work"</formula>
    </cfRule>
    <cfRule type="cellIs" dxfId="152" priority="24" stopIfTrue="1" operator="equal">
      <formula>"draft"</formula>
    </cfRule>
    <cfRule type="cellIs" dxfId="151" priority="25" operator="equal">
      <formula>"In-Work"</formula>
    </cfRule>
    <cfRule type="cellIs" dxfId="150" priority="26" stopIfTrue="1" operator="equal">
      <formula>"draft"</formula>
    </cfRule>
    <cfRule type="cellIs" dxfId="149" priority="27" operator="equal">
      <formula>"In-Work"</formula>
    </cfRule>
    <cfRule type="cellIs" dxfId="148" priority="28" stopIfTrue="1" operator="equal">
      <formula>"draft"</formula>
    </cfRule>
    <cfRule type="cellIs" dxfId="147" priority="29" operator="equal">
      <formula>"In-Work"</formula>
    </cfRule>
    <cfRule type="cellIs" dxfId="146" priority="30" stopIfTrue="1" operator="equal">
      <formula>"draft"</formula>
    </cfRule>
    <cfRule type="cellIs" dxfId="145" priority="31" operator="equal">
      <formula>"In-Work"</formula>
    </cfRule>
    <cfRule type="cellIs" dxfId="144" priority="32" stopIfTrue="1" operator="equal">
      <formula>"draft"</formula>
    </cfRule>
    <cfRule type="cellIs" dxfId="143" priority="33" operator="equal">
      <formula>"In-Work"</formula>
    </cfRule>
    <cfRule type="cellIs" dxfId="142" priority="34" stopIfTrue="1" operator="equal">
      <formula>"draft"</formula>
    </cfRule>
    <cfRule type="cellIs" dxfId="141" priority="35" operator="equal">
      <formula>"In-Work"</formula>
    </cfRule>
    <cfRule type="cellIs" dxfId="140" priority="36" stopIfTrue="1" operator="equal">
      <formula>"draft"</formula>
    </cfRule>
  </conditionalFormatting>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1&amp;R&amp;P</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59999389629810485"/>
  </sheetPr>
  <dimension ref="A1:BH173"/>
  <sheetViews>
    <sheetView showGridLines="0" topLeftCell="A10" zoomScaleNormal="100" workbookViewId="0">
      <selection activeCell="Y14" sqref="Y14"/>
    </sheetView>
  </sheetViews>
  <sheetFormatPr defaultColWidth="0" defaultRowHeight="13.2" zeroHeight="1" x14ac:dyDescent="0.25"/>
  <cols>
    <col min="1" max="33" width="2.88671875" style="16" customWidth="1"/>
    <col min="34" max="34" width="1.33203125" style="16" customWidth="1"/>
    <col min="35" max="60" width="3.33203125" style="16" hidden="1" customWidth="1"/>
    <col min="61" max="16384" width="0" style="16" hidden="1"/>
  </cols>
  <sheetData>
    <row r="1" spans="1:37" s="1" customFormat="1" x14ac:dyDescent="0.25">
      <c r="C1" s="2"/>
      <c r="D1" s="2"/>
      <c r="E1" s="2"/>
      <c r="F1" s="2"/>
      <c r="G1" s="3"/>
      <c r="H1" s="4"/>
      <c r="I1" s="4"/>
      <c r="J1" s="4"/>
      <c r="K1" s="4"/>
      <c r="L1" s="4"/>
      <c r="M1" s="4"/>
      <c r="N1" s="4"/>
      <c r="O1" s="4"/>
      <c r="P1" s="5"/>
      <c r="Q1" s="5"/>
      <c r="R1" s="5"/>
      <c r="S1" s="5"/>
      <c r="T1" s="5"/>
      <c r="U1" s="5"/>
      <c r="V1" s="5"/>
      <c r="W1" s="5"/>
      <c r="X1" s="5"/>
      <c r="Y1" s="5"/>
      <c r="Z1" s="5"/>
      <c r="AA1" s="5"/>
      <c r="AB1" s="5"/>
      <c r="AC1" s="5"/>
      <c r="AD1" s="5"/>
      <c r="AE1" s="5"/>
      <c r="AF1" s="5"/>
      <c r="AG1" s="5"/>
      <c r="AH1" s="5"/>
      <c r="AI1" s="5"/>
      <c r="AJ1" s="5"/>
      <c r="AK1" s="5"/>
    </row>
    <row r="2" spans="1:37" s="1" customFormat="1" x14ac:dyDescent="0.25">
      <c r="C2" s="6"/>
      <c r="D2" s="6"/>
      <c r="E2" s="6"/>
      <c r="F2" s="6"/>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row>
    <row r="3" spans="1:37" s="7" customFormat="1" x14ac:dyDescent="0.25">
      <c r="C3" s="8"/>
      <c r="D3" s="8"/>
      <c r="E3" s="8"/>
      <c r="F3" s="8"/>
      <c r="G3" s="8"/>
      <c r="H3" s="8"/>
      <c r="I3" s="8"/>
      <c r="J3" s="8"/>
      <c r="K3" s="8"/>
      <c r="L3" s="8"/>
      <c r="M3" s="8"/>
      <c r="N3" s="8"/>
      <c r="O3" s="8"/>
      <c r="P3" s="8"/>
      <c r="Q3" s="8"/>
      <c r="R3" s="8"/>
      <c r="S3" s="8"/>
      <c r="T3" s="8"/>
      <c r="U3" s="8"/>
      <c r="V3" s="8"/>
      <c r="W3" s="8"/>
      <c r="X3" s="8"/>
      <c r="Y3" s="8"/>
      <c r="Z3" s="8"/>
      <c r="AA3" s="8"/>
      <c r="AB3" s="8"/>
      <c r="AC3" s="8"/>
      <c r="AD3" s="9" t="str">
        <f ca="1">FileName</f>
        <v>NVP - Software Integration Test Specification Report.xlsm</v>
      </c>
      <c r="AE3" s="8"/>
      <c r="AF3" s="8"/>
      <c r="AG3" s="8"/>
      <c r="AH3" s="8"/>
      <c r="AI3" s="8"/>
      <c r="AJ3" s="8"/>
      <c r="AK3" s="8"/>
    </row>
    <row r="4" spans="1:37" s="7" customFormat="1" ht="11.1" customHeight="1" x14ac:dyDescent="0.25">
      <c r="A4" s="157" t="s">
        <v>0</v>
      </c>
      <c r="B4" s="158"/>
      <c r="C4" s="158"/>
      <c r="D4" s="158"/>
      <c r="E4" s="158"/>
      <c r="F4" s="158"/>
      <c r="G4" s="158"/>
      <c r="H4" s="158"/>
      <c r="I4" s="158"/>
      <c r="J4" s="158"/>
      <c r="K4" s="158"/>
      <c r="L4" s="158"/>
      <c r="M4" s="158"/>
      <c r="N4" s="158"/>
      <c r="O4" s="158"/>
      <c r="P4" s="158"/>
      <c r="Q4" s="158"/>
      <c r="R4" s="158"/>
      <c r="S4" s="158"/>
      <c r="T4" s="158"/>
      <c r="U4" s="158"/>
      <c r="V4" s="159"/>
      <c r="W4" s="163" t="s">
        <v>1</v>
      </c>
      <c r="X4" s="164"/>
      <c r="Y4" s="164"/>
      <c r="Z4" s="164"/>
      <c r="AA4" s="165"/>
      <c r="AB4" s="192" t="s">
        <v>20</v>
      </c>
      <c r="AC4" s="193"/>
      <c r="AD4" s="193"/>
      <c r="AE4" s="193"/>
      <c r="AF4" s="193"/>
      <c r="AG4" s="194"/>
      <c r="AH4" s="10"/>
      <c r="AI4" s="10"/>
      <c r="AJ4" s="10"/>
      <c r="AK4" s="8"/>
    </row>
    <row r="5" spans="1:37" s="12" customFormat="1" x14ac:dyDescent="0.25">
      <c r="A5" s="160" t="str">
        <f>MXAuthority</f>
        <v>254888 DAIMLER MER W174W178 EL SB ECU</v>
      </c>
      <c r="B5" s="161"/>
      <c r="C5" s="161"/>
      <c r="D5" s="161"/>
      <c r="E5" s="161"/>
      <c r="F5" s="161"/>
      <c r="G5" s="161"/>
      <c r="H5" s="161"/>
      <c r="I5" s="161"/>
      <c r="J5" s="161"/>
      <c r="K5" s="161"/>
      <c r="L5" s="161"/>
      <c r="M5" s="161"/>
      <c r="N5" s="161"/>
      <c r="O5" s="161"/>
      <c r="P5" s="161"/>
      <c r="Q5" s="161"/>
      <c r="R5" s="161"/>
      <c r="S5" s="161"/>
      <c r="T5" s="161"/>
      <c r="U5" s="161"/>
      <c r="V5" s="162"/>
      <c r="W5" s="154" t="str">
        <f>MXCurrent.Localized</f>
        <v>Initial revision</v>
      </c>
      <c r="X5" s="155"/>
      <c r="Y5" s="155"/>
      <c r="Z5" s="155"/>
      <c r="AA5" s="156"/>
      <c r="AB5" s="160" t="str">
        <f>MXActual_state_Released</f>
        <v>17.01.2022</v>
      </c>
      <c r="AC5" s="161"/>
      <c r="AD5" s="161"/>
      <c r="AE5" s="161"/>
      <c r="AF5" s="161"/>
      <c r="AG5" s="162"/>
      <c r="AH5" s="11"/>
      <c r="AI5" s="11"/>
      <c r="AJ5" s="11"/>
      <c r="AK5" s="11"/>
    </row>
    <row r="6" spans="1:37" s="1" customFormat="1" ht="11.1" customHeight="1" x14ac:dyDescent="0.25">
      <c r="A6" s="166" t="s">
        <v>2</v>
      </c>
      <c r="B6" s="167"/>
      <c r="C6" s="167"/>
      <c r="D6" s="168"/>
      <c r="E6" s="166" t="s">
        <v>3</v>
      </c>
      <c r="F6" s="167"/>
      <c r="G6" s="167"/>
      <c r="H6" s="167"/>
      <c r="I6" s="167"/>
      <c r="J6" s="167"/>
      <c r="K6" s="167"/>
      <c r="L6" s="167"/>
      <c r="M6" s="167"/>
      <c r="N6" s="167"/>
      <c r="O6" s="167"/>
      <c r="P6" s="167"/>
      <c r="Q6" s="167"/>
      <c r="R6" s="167"/>
      <c r="S6" s="167"/>
      <c r="T6" s="167"/>
      <c r="U6" s="167"/>
      <c r="V6" s="168"/>
      <c r="W6" s="157" t="s">
        <v>15</v>
      </c>
      <c r="X6" s="158"/>
      <c r="Y6" s="158"/>
      <c r="Z6" s="158"/>
      <c r="AA6" s="159"/>
      <c r="AB6" s="163"/>
      <c r="AC6" s="164"/>
      <c r="AD6" s="165"/>
      <c r="AE6" s="163" t="s">
        <v>4</v>
      </c>
      <c r="AF6" s="164"/>
      <c r="AG6" s="165"/>
      <c r="AH6" s="6"/>
      <c r="AI6" s="6"/>
      <c r="AJ6" s="6"/>
      <c r="AK6" s="6"/>
    </row>
    <row r="7" spans="1:37" s="14" customFormat="1" x14ac:dyDescent="0.25">
      <c r="A7" s="154" t="str">
        <f ca="1">MXName</f>
        <v>TBD</v>
      </c>
      <c r="B7" s="155"/>
      <c r="C7" s="155"/>
      <c r="D7" s="156"/>
      <c r="E7" s="154" t="str">
        <f>MXTitle</f>
        <v>NVP - Software Integration Test Specification Report.xls</v>
      </c>
      <c r="F7" s="155"/>
      <c r="G7" s="155"/>
      <c r="H7" s="155"/>
      <c r="I7" s="155"/>
      <c r="J7" s="155"/>
      <c r="K7" s="155"/>
      <c r="L7" s="155"/>
      <c r="M7" s="155"/>
      <c r="N7" s="155"/>
      <c r="O7" s="155"/>
      <c r="P7" s="155"/>
      <c r="Q7" s="155"/>
      <c r="R7" s="155"/>
      <c r="S7" s="155"/>
      <c r="T7" s="155"/>
      <c r="U7" s="155"/>
      <c r="V7" s="156"/>
      <c r="W7" s="154" t="str">
        <f ca="1">TemplateRef</f>
        <v>SW04TEM001</v>
      </c>
      <c r="X7" s="155"/>
      <c r="Y7" s="155"/>
      <c r="Z7" s="155"/>
      <c r="AA7" s="156"/>
      <c r="AB7" s="154"/>
      <c r="AC7" s="155"/>
      <c r="AD7" s="156"/>
      <c r="AE7" s="154">
        <f>MXVersion</f>
        <v>1</v>
      </c>
      <c r="AF7" s="155"/>
      <c r="AG7" s="156"/>
      <c r="AH7" s="13"/>
      <c r="AI7" s="13"/>
      <c r="AJ7" s="13"/>
      <c r="AK7" s="13"/>
    </row>
    <row r="8" spans="1:37" ht="11.1" customHeight="1" x14ac:dyDescent="0.25">
      <c r="A8" s="166" t="s">
        <v>10</v>
      </c>
      <c r="B8" s="167"/>
      <c r="C8" s="167"/>
      <c r="D8" s="167"/>
      <c r="E8" s="167"/>
      <c r="F8" s="167"/>
      <c r="G8" s="167"/>
      <c r="H8" s="167"/>
      <c r="I8" s="167"/>
      <c r="J8" s="167"/>
      <c r="K8" s="167"/>
      <c r="L8" s="167"/>
      <c r="M8" s="167"/>
      <c r="N8" s="167"/>
      <c r="O8" s="167"/>
      <c r="P8" s="167"/>
      <c r="Q8" s="167"/>
      <c r="R8" s="167"/>
      <c r="S8" s="167"/>
      <c r="T8" s="167"/>
      <c r="U8" s="167"/>
      <c r="V8" s="167"/>
      <c r="W8" s="167"/>
      <c r="X8" s="167"/>
      <c r="Y8" s="167"/>
      <c r="Z8" s="167"/>
      <c r="AA8" s="167"/>
      <c r="AB8" s="167"/>
      <c r="AC8" s="167"/>
      <c r="AD8" s="167"/>
      <c r="AE8" s="167"/>
      <c r="AF8" s="167"/>
      <c r="AG8" s="168"/>
      <c r="AH8" s="15"/>
      <c r="AI8" s="15"/>
      <c r="AJ8" s="15"/>
      <c r="AK8" s="15"/>
    </row>
    <row r="9" spans="1:37" s="18" customFormat="1" x14ac:dyDescent="0.25">
      <c r="A9" s="189" t="s">
        <v>14</v>
      </c>
      <c r="B9" s="190"/>
      <c r="C9" s="190"/>
      <c r="D9" s="190"/>
      <c r="E9" s="190"/>
      <c r="F9" s="190"/>
      <c r="G9" s="190"/>
      <c r="H9" s="190"/>
      <c r="I9" s="190"/>
      <c r="J9" s="190"/>
      <c r="K9" s="190"/>
      <c r="L9" s="190"/>
      <c r="M9" s="190"/>
      <c r="N9" s="190"/>
      <c r="O9" s="190"/>
      <c r="P9" s="190"/>
      <c r="Q9" s="190"/>
      <c r="R9" s="190"/>
      <c r="S9" s="190"/>
      <c r="T9" s="190"/>
      <c r="U9" s="190"/>
      <c r="V9" s="190"/>
      <c r="W9" s="190"/>
      <c r="X9" s="190"/>
      <c r="Y9" s="190"/>
      <c r="Z9" s="190"/>
      <c r="AA9" s="190"/>
      <c r="AB9" s="190"/>
      <c r="AC9" s="190"/>
      <c r="AD9" s="190"/>
      <c r="AE9" s="190"/>
      <c r="AF9" s="190"/>
      <c r="AG9" s="191"/>
      <c r="AH9" s="17"/>
      <c r="AI9" s="17"/>
      <c r="AJ9" s="17"/>
    </row>
    <row r="10" spans="1:37" x14ac:dyDescent="0.25"/>
    <row r="11" spans="1:37" x14ac:dyDescent="0.25"/>
    <row r="12" spans="1:37" ht="24.6" x14ac:dyDescent="0.25">
      <c r="B12" s="19" t="s">
        <v>16</v>
      </c>
      <c r="C12" s="20"/>
      <c r="D12" s="20"/>
      <c r="E12" s="20"/>
      <c r="F12" s="20"/>
      <c r="G12" s="20"/>
      <c r="H12" s="20"/>
      <c r="I12" s="20"/>
      <c r="J12" s="20"/>
      <c r="K12" s="20"/>
      <c r="L12" s="20"/>
      <c r="M12" s="20"/>
      <c r="N12" s="20"/>
      <c r="O12" s="20"/>
      <c r="P12" s="20"/>
      <c r="Q12" s="20"/>
      <c r="R12" s="20"/>
      <c r="S12" s="20"/>
      <c r="T12" s="20"/>
      <c r="U12" s="20"/>
      <c r="V12" s="20"/>
      <c r="W12" s="20"/>
      <c r="X12" s="20"/>
      <c r="Y12" s="20"/>
      <c r="Z12" s="20"/>
      <c r="AA12" s="20"/>
      <c r="AB12" s="20"/>
      <c r="AC12" s="20"/>
      <c r="AD12" s="20"/>
      <c r="AE12" s="20"/>
      <c r="AF12" s="20"/>
    </row>
    <row r="13" spans="1:37" x14ac:dyDescent="0.25"/>
    <row r="14" spans="1:37" ht="20.399999999999999" x14ac:dyDescent="0.25">
      <c r="B14" s="21" t="s">
        <v>17</v>
      </c>
      <c r="C14" s="22"/>
    </row>
    <row r="15" spans="1:37" x14ac:dyDescent="0.25">
      <c r="B15" s="177" t="s">
        <v>6</v>
      </c>
      <c r="C15" s="195"/>
      <c r="D15" s="195"/>
      <c r="E15" s="195"/>
      <c r="F15" s="195"/>
      <c r="G15" s="177" t="s">
        <v>5</v>
      </c>
      <c r="H15" s="177"/>
      <c r="I15" s="177"/>
      <c r="J15" s="177"/>
      <c r="K15" s="177"/>
      <c r="L15" s="177"/>
      <c r="M15" s="177"/>
      <c r="N15" s="177"/>
      <c r="O15" s="177"/>
      <c r="P15" s="177"/>
      <c r="Q15" s="177"/>
      <c r="R15" s="177"/>
      <c r="S15" s="177"/>
      <c r="T15" s="177"/>
      <c r="U15" s="177"/>
      <c r="V15" s="177"/>
      <c r="W15" s="177"/>
      <c r="X15" s="177"/>
      <c r="Y15" s="177"/>
      <c r="Z15" s="177"/>
      <c r="AA15" s="177"/>
      <c r="AB15" s="177"/>
      <c r="AC15" s="177"/>
      <c r="AD15" s="177"/>
      <c r="AE15" s="177"/>
      <c r="AF15" s="177"/>
    </row>
    <row r="16" spans="1:37" ht="24" customHeight="1" x14ac:dyDescent="0.25">
      <c r="B16" s="182" t="s">
        <v>34</v>
      </c>
      <c r="C16" s="182"/>
      <c r="D16" s="182"/>
      <c r="E16" s="182"/>
      <c r="F16" s="182"/>
      <c r="G16" s="178" t="s">
        <v>36</v>
      </c>
      <c r="H16" s="178"/>
      <c r="I16" s="178"/>
      <c r="J16" s="178"/>
      <c r="K16" s="178"/>
      <c r="L16" s="178"/>
      <c r="M16" s="178"/>
      <c r="N16" s="178"/>
      <c r="O16" s="178"/>
      <c r="P16" s="178"/>
      <c r="Q16" s="178"/>
      <c r="R16" s="178"/>
      <c r="S16" s="178"/>
      <c r="T16" s="178"/>
      <c r="U16" s="178"/>
      <c r="V16" s="178"/>
      <c r="W16" s="178"/>
      <c r="X16" s="178"/>
      <c r="Y16" s="178"/>
      <c r="Z16" s="178"/>
      <c r="AA16" s="178"/>
      <c r="AB16" s="178"/>
      <c r="AC16" s="178"/>
      <c r="AD16" s="178"/>
      <c r="AE16" s="178"/>
      <c r="AF16" s="178"/>
    </row>
    <row r="17" spans="1:45" ht="24" customHeight="1" x14ac:dyDescent="0.25">
      <c r="B17" s="182" t="s">
        <v>35</v>
      </c>
      <c r="C17" s="182"/>
      <c r="D17" s="182"/>
      <c r="E17" s="182"/>
      <c r="F17" s="182"/>
      <c r="G17" s="184" t="s">
        <v>119</v>
      </c>
      <c r="H17" s="178"/>
      <c r="I17" s="178"/>
      <c r="J17" s="178"/>
      <c r="K17" s="178"/>
      <c r="L17" s="178"/>
      <c r="M17" s="178"/>
      <c r="N17" s="178"/>
      <c r="O17" s="178"/>
      <c r="P17" s="178"/>
      <c r="Q17" s="178"/>
      <c r="R17" s="178"/>
      <c r="S17" s="178"/>
      <c r="T17" s="178"/>
      <c r="U17" s="178"/>
      <c r="V17" s="178"/>
      <c r="W17" s="178"/>
      <c r="X17" s="178"/>
      <c r="Y17" s="178"/>
      <c r="Z17" s="178"/>
      <c r="AA17" s="178"/>
      <c r="AB17" s="178"/>
      <c r="AC17" s="178"/>
      <c r="AD17" s="178"/>
      <c r="AE17" s="178"/>
      <c r="AF17" s="178"/>
    </row>
    <row r="18" spans="1:45" ht="24" customHeight="1" x14ac:dyDescent="0.25">
      <c r="B18" s="188" t="s">
        <v>114</v>
      </c>
      <c r="C18" s="182"/>
      <c r="D18" s="182"/>
      <c r="E18" s="182"/>
      <c r="F18" s="182"/>
      <c r="G18" s="184" t="s">
        <v>125</v>
      </c>
      <c r="H18" s="178"/>
      <c r="I18" s="178"/>
      <c r="J18" s="178"/>
      <c r="K18" s="178"/>
      <c r="L18" s="178"/>
      <c r="M18" s="178"/>
      <c r="N18" s="178"/>
      <c r="O18" s="178"/>
      <c r="P18" s="178"/>
      <c r="Q18" s="178"/>
      <c r="R18" s="178"/>
      <c r="S18" s="178"/>
      <c r="T18" s="178"/>
      <c r="U18" s="178"/>
      <c r="V18" s="178"/>
      <c r="W18" s="178"/>
      <c r="X18" s="178"/>
      <c r="Y18" s="178"/>
      <c r="Z18" s="178"/>
      <c r="AA18" s="178"/>
      <c r="AB18" s="178"/>
      <c r="AC18" s="178"/>
      <c r="AD18" s="178"/>
      <c r="AE18" s="178"/>
      <c r="AF18" s="178"/>
    </row>
    <row r="19" spans="1:45" ht="24" customHeight="1" x14ac:dyDescent="0.25">
      <c r="B19" s="188" t="s">
        <v>115</v>
      </c>
      <c r="C19" s="182"/>
      <c r="D19" s="182"/>
      <c r="E19" s="182"/>
      <c r="F19" s="182"/>
      <c r="G19" s="184" t="s">
        <v>121</v>
      </c>
      <c r="H19" s="178"/>
      <c r="I19" s="178"/>
      <c r="J19" s="178"/>
      <c r="K19" s="178"/>
      <c r="L19" s="178"/>
      <c r="M19" s="178"/>
      <c r="N19" s="178"/>
      <c r="O19" s="178"/>
      <c r="P19" s="178"/>
      <c r="Q19" s="178"/>
      <c r="R19" s="178"/>
      <c r="S19" s="178"/>
      <c r="T19" s="178"/>
      <c r="U19" s="178"/>
      <c r="V19" s="178"/>
      <c r="W19" s="178"/>
      <c r="X19" s="178"/>
      <c r="Y19" s="178"/>
      <c r="Z19" s="178"/>
      <c r="AA19" s="178"/>
      <c r="AB19" s="178"/>
      <c r="AC19" s="178"/>
      <c r="AD19" s="178"/>
      <c r="AE19" s="178"/>
      <c r="AF19" s="178"/>
      <c r="AS19" s="23"/>
    </row>
    <row r="20" spans="1:45" ht="24" customHeight="1" x14ac:dyDescent="0.25">
      <c r="B20" s="188" t="s">
        <v>45</v>
      </c>
      <c r="C20" s="182"/>
      <c r="D20" s="182"/>
      <c r="E20" s="182"/>
      <c r="F20" s="182"/>
      <c r="G20" s="184" t="s">
        <v>122</v>
      </c>
      <c r="H20" s="178"/>
      <c r="I20" s="178"/>
      <c r="J20" s="178"/>
      <c r="K20" s="178"/>
      <c r="L20" s="178"/>
      <c r="M20" s="178"/>
      <c r="N20" s="178"/>
      <c r="O20" s="178"/>
      <c r="P20" s="178"/>
      <c r="Q20" s="178"/>
      <c r="R20" s="178"/>
      <c r="S20" s="178"/>
      <c r="T20" s="178"/>
      <c r="U20" s="178"/>
      <c r="V20" s="178"/>
      <c r="W20" s="178"/>
      <c r="X20" s="178"/>
      <c r="Y20" s="178"/>
      <c r="Z20" s="178"/>
      <c r="AA20" s="178"/>
      <c r="AB20" s="178"/>
      <c r="AC20" s="178"/>
      <c r="AD20" s="178"/>
      <c r="AE20" s="178"/>
      <c r="AF20" s="178"/>
      <c r="AS20" s="23"/>
    </row>
    <row r="21" spans="1:45" ht="24" customHeight="1" x14ac:dyDescent="0.25">
      <c r="B21" s="188" t="s">
        <v>116</v>
      </c>
      <c r="C21" s="182"/>
      <c r="D21" s="182"/>
      <c r="E21" s="182"/>
      <c r="F21" s="182"/>
      <c r="G21" s="184" t="s">
        <v>120</v>
      </c>
      <c r="H21" s="178"/>
      <c r="I21" s="178"/>
      <c r="J21" s="178"/>
      <c r="K21" s="178"/>
      <c r="L21" s="178"/>
      <c r="M21" s="178"/>
      <c r="N21" s="178"/>
      <c r="O21" s="178"/>
      <c r="P21" s="178"/>
      <c r="Q21" s="178"/>
      <c r="R21" s="178"/>
      <c r="S21" s="178"/>
      <c r="T21" s="178"/>
      <c r="U21" s="178"/>
      <c r="V21" s="178"/>
      <c r="W21" s="178"/>
      <c r="X21" s="178"/>
      <c r="Y21" s="178"/>
      <c r="Z21" s="178"/>
      <c r="AA21" s="178"/>
      <c r="AB21" s="178"/>
      <c r="AC21" s="178"/>
      <c r="AD21" s="178"/>
      <c r="AE21" s="178"/>
      <c r="AF21" s="178"/>
      <c r="AS21" s="23"/>
    </row>
    <row r="22" spans="1:45" x14ac:dyDescent="0.25">
      <c r="C22" s="24"/>
      <c r="I22" s="25"/>
    </row>
    <row r="23" spans="1:45" ht="20.399999999999999" x14ac:dyDescent="0.25">
      <c r="A23" s="21"/>
      <c r="B23" s="21" t="s">
        <v>27</v>
      </c>
      <c r="C23" s="24"/>
      <c r="I23" s="25"/>
    </row>
    <row r="24" spans="1:45" x14ac:dyDescent="0.25">
      <c r="B24" s="177" t="s">
        <v>4</v>
      </c>
      <c r="C24" s="181"/>
      <c r="D24" s="181"/>
      <c r="E24" s="177" t="s">
        <v>11</v>
      </c>
      <c r="F24" s="177"/>
      <c r="G24" s="177"/>
      <c r="H24" s="177"/>
      <c r="I24" s="177" t="s">
        <v>12</v>
      </c>
      <c r="J24" s="181"/>
      <c r="K24" s="181"/>
      <c r="L24" s="181"/>
      <c r="M24" s="181"/>
      <c r="N24" s="181"/>
      <c r="O24" s="181"/>
      <c r="P24" s="181"/>
      <c r="Q24" s="181"/>
      <c r="R24" s="177" t="s">
        <v>13</v>
      </c>
      <c r="S24" s="177"/>
      <c r="T24" s="177"/>
      <c r="U24" s="177"/>
      <c r="V24" s="177"/>
      <c r="W24" s="177"/>
      <c r="X24" s="177"/>
      <c r="Y24" s="177"/>
      <c r="Z24" s="177"/>
      <c r="AA24" s="177"/>
      <c r="AB24" s="177"/>
      <c r="AC24" s="177"/>
      <c r="AD24" s="177"/>
      <c r="AE24" s="177"/>
      <c r="AF24" s="177"/>
    </row>
    <row r="25" spans="1:45" x14ac:dyDescent="0.25">
      <c r="B25" s="188" t="s">
        <v>271</v>
      </c>
      <c r="C25" s="183"/>
      <c r="D25" s="183"/>
      <c r="E25" s="184" t="s">
        <v>272</v>
      </c>
      <c r="F25" s="178"/>
      <c r="G25" s="178"/>
      <c r="H25" s="178"/>
      <c r="I25" s="184" t="s">
        <v>145</v>
      </c>
      <c r="J25" s="185"/>
      <c r="K25" s="185"/>
      <c r="L25" s="185"/>
      <c r="M25" s="185"/>
      <c r="N25" s="185"/>
      <c r="O25" s="185"/>
      <c r="P25" s="185"/>
      <c r="Q25" s="185"/>
      <c r="R25" s="186" t="s">
        <v>275</v>
      </c>
      <c r="S25" s="186"/>
      <c r="T25" s="186"/>
      <c r="U25" s="186"/>
      <c r="V25" s="186"/>
      <c r="W25" s="186"/>
      <c r="X25" s="186"/>
      <c r="Y25" s="186"/>
      <c r="Z25" s="186"/>
      <c r="AA25" s="186"/>
      <c r="AB25" s="186"/>
      <c r="AC25" s="186"/>
      <c r="AD25" s="186"/>
      <c r="AE25" s="186"/>
      <c r="AF25" s="186"/>
    </row>
    <row r="26" spans="1:45" x14ac:dyDescent="0.25">
      <c r="B26" s="188" t="s">
        <v>273</v>
      </c>
      <c r="C26" s="183"/>
      <c r="D26" s="183"/>
      <c r="E26" s="184" t="s">
        <v>269</v>
      </c>
      <c r="F26" s="178"/>
      <c r="G26" s="178"/>
      <c r="H26" s="178"/>
      <c r="I26" s="184" t="s">
        <v>270</v>
      </c>
      <c r="J26" s="185"/>
      <c r="K26" s="185"/>
      <c r="L26" s="185"/>
      <c r="M26" s="185"/>
      <c r="N26" s="185"/>
      <c r="O26" s="185"/>
      <c r="P26" s="185"/>
      <c r="Q26" s="185"/>
      <c r="R26" s="184" t="s">
        <v>274</v>
      </c>
      <c r="S26" s="178"/>
      <c r="T26" s="178"/>
      <c r="U26" s="178"/>
      <c r="V26" s="178"/>
      <c r="W26" s="178"/>
      <c r="X26" s="178"/>
      <c r="Y26" s="178"/>
      <c r="Z26" s="178"/>
      <c r="AA26" s="178"/>
      <c r="AB26" s="178"/>
      <c r="AC26" s="178"/>
      <c r="AD26" s="178"/>
      <c r="AE26" s="178"/>
      <c r="AF26" s="178"/>
    </row>
    <row r="27" spans="1:45" x14ac:dyDescent="0.25">
      <c r="B27" s="182"/>
      <c r="C27" s="183"/>
      <c r="D27" s="183"/>
      <c r="E27" s="178"/>
      <c r="F27" s="178"/>
      <c r="G27" s="178"/>
      <c r="H27" s="178"/>
      <c r="I27" s="178"/>
      <c r="J27" s="185"/>
      <c r="K27" s="185"/>
      <c r="L27" s="185"/>
      <c r="M27" s="185"/>
      <c r="N27" s="185"/>
      <c r="O27" s="185"/>
      <c r="P27" s="185"/>
      <c r="Q27" s="185"/>
      <c r="R27" s="178"/>
      <c r="S27" s="178"/>
      <c r="T27" s="178"/>
      <c r="U27" s="178"/>
      <c r="V27" s="178"/>
      <c r="W27" s="178"/>
      <c r="X27" s="178"/>
      <c r="Y27" s="178"/>
      <c r="Z27" s="178"/>
      <c r="AA27" s="178"/>
      <c r="AB27" s="178"/>
      <c r="AC27" s="178"/>
      <c r="AD27" s="178"/>
      <c r="AE27" s="178"/>
      <c r="AF27" s="178"/>
    </row>
    <row r="28" spans="1:45" x14ac:dyDescent="0.25">
      <c r="B28" s="182"/>
      <c r="C28" s="183"/>
      <c r="D28" s="183"/>
      <c r="E28" s="178"/>
      <c r="F28" s="178"/>
      <c r="G28" s="178"/>
      <c r="H28" s="178"/>
      <c r="I28" s="178"/>
      <c r="J28" s="185"/>
      <c r="K28" s="185"/>
      <c r="L28" s="185"/>
      <c r="M28" s="185"/>
      <c r="N28" s="185"/>
      <c r="O28" s="185"/>
      <c r="P28" s="185"/>
      <c r="Q28" s="185"/>
      <c r="R28" s="178"/>
      <c r="S28" s="178"/>
      <c r="T28" s="178"/>
      <c r="U28" s="178"/>
      <c r="V28" s="178"/>
      <c r="W28" s="178"/>
      <c r="X28" s="178"/>
      <c r="Y28" s="178"/>
      <c r="Z28" s="178"/>
      <c r="AA28" s="178"/>
      <c r="AB28" s="178"/>
      <c r="AC28" s="178"/>
      <c r="AD28" s="178"/>
      <c r="AE28" s="178"/>
      <c r="AF28" s="178"/>
    </row>
    <row r="29" spans="1:45" x14ac:dyDescent="0.25">
      <c r="B29" s="26" t="s">
        <v>26</v>
      </c>
      <c r="C29" s="27"/>
      <c r="D29" s="27"/>
      <c r="E29" s="28"/>
      <c r="F29" s="28"/>
      <c r="G29" s="28"/>
      <c r="H29" s="28"/>
      <c r="I29" s="28"/>
      <c r="J29" s="29"/>
      <c r="K29" s="29"/>
      <c r="L29" s="29"/>
      <c r="M29" s="29"/>
      <c r="N29" s="29"/>
      <c r="O29" s="29"/>
      <c r="P29" s="29"/>
      <c r="Q29" s="29"/>
      <c r="R29" s="28"/>
      <c r="S29" s="28"/>
      <c r="T29" s="28"/>
      <c r="U29" s="28"/>
      <c r="V29" s="28"/>
      <c r="W29" s="28"/>
      <c r="X29" s="28"/>
      <c r="Y29" s="28"/>
      <c r="Z29" s="28"/>
      <c r="AA29" s="28"/>
      <c r="AB29" s="28"/>
      <c r="AC29" s="28"/>
      <c r="AD29" s="28"/>
      <c r="AE29" s="28"/>
      <c r="AF29" s="28"/>
    </row>
    <row r="30" spans="1:45" x14ac:dyDescent="0.25">
      <c r="C30" s="24"/>
      <c r="I30" s="25"/>
    </row>
    <row r="31" spans="1:45" ht="20.399999999999999" x14ac:dyDescent="0.25">
      <c r="B31" s="21" t="s">
        <v>18</v>
      </c>
      <c r="I31" s="25"/>
    </row>
    <row r="32" spans="1:45" ht="66.75" customHeight="1" x14ac:dyDescent="0.25">
      <c r="B32" s="187" t="s">
        <v>124</v>
      </c>
      <c r="C32" s="187"/>
      <c r="D32" s="187"/>
      <c r="E32" s="187"/>
      <c r="F32" s="187"/>
      <c r="G32" s="187"/>
      <c r="H32" s="187"/>
      <c r="I32" s="187"/>
      <c r="J32" s="187"/>
      <c r="K32" s="187"/>
      <c r="L32" s="187"/>
      <c r="M32" s="187"/>
      <c r="N32" s="187"/>
      <c r="O32" s="187"/>
      <c r="P32" s="187"/>
      <c r="Q32" s="187"/>
      <c r="R32" s="187"/>
      <c r="S32" s="187"/>
      <c r="T32" s="187"/>
      <c r="U32" s="187"/>
      <c r="V32" s="187"/>
      <c r="W32" s="187"/>
      <c r="X32" s="187"/>
      <c r="Y32" s="187"/>
      <c r="Z32" s="187"/>
      <c r="AA32" s="187"/>
      <c r="AB32" s="187"/>
      <c r="AC32" s="187"/>
      <c r="AD32" s="187"/>
      <c r="AE32" s="187"/>
      <c r="AF32" s="187"/>
      <c r="AG32" s="30"/>
    </row>
    <row r="33" spans="2:32" x14ac:dyDescent="0.25">
      <c r="J33" s="31"/>
    </row>
    <row r="34" spans="2:32" ht="20.399999999999999" x14ac:dyDescent="0.25">
      <c r="B34" s="21" t="s">
        <v>19</v>
      </c>
      <c r="C34" s="22"/>
      <c r="I34" s="25"/>
    </row>
    <row r="35" spans="2:32" ht="24.75" customHeight="1" x14ac:dyDescent="0.25">
      <c r="B35" s="32" t="s">
        <v>28</v>
      </c>
      <c r="C35" s="22"/>
      <c r="I35" s="25"/>
    </row>
    <row r="36" spans="2:32" ht="12.75" customHeight="1" x14ac:dyDescent="0.25">
      <c r="B36" s="177" t="s">
        <v>7</v>
      </c>
      <c r="C36" s="177"/>
      <c r="D36" s="177"/>
      <c r="E36" s="177" t="s">
        <v>8</v>
      </c>
      <c r="F36" s="181"/>
      <c r="G36" s="181"/>
      <c r="H36" s="181"/>
      <c r="I36" s="181"/>
      <c r="J36" s="181"/>
      <c r="K36" s="181"/>
      <c r="L36" s="181"/>
      <c r="M36" s="181"/>
      <c r="N36" s="181"/>
      <c r="O36" s="181"/>
      <c r="P36" s="181"/>
      <c r="Q36" s="181"/>
      <c r="R36" s="181"/>
      <c r="S36" s="181"/>
      <c r="T36" s="181"/>
      <c r="U36" s="181"/>
      <c r="V36" s="181"/>
      <c r="W36" s="181"/>
      <c r="X36" s="181"/>
      <c r="Y36" s="177" t="s">
        <v>9</v>
      </c>
      <c r="Z36" s="177"/>
      <c r="AA36" s="177"/>
      <c r="AB36" s="177"/>
      <c r="AC36" s="177"/>
      <c r="AD36" s="177"/>
      <c r="AE36" s="177"/>
      <c r="AF36" s="177"/>
    </row>
    <row r="37" spans="2:32" x14ac:dyDescent="0.25">
      <c r="B37" s="180"/>
      <c r="C37" s="180"/>
      <c r="D37" s="180"/>
      <c r="E37" s="178"/>
      <c r="F37" s="179"/>
      <c r="G37" s="179"/>
      <c r="H37" s="179"/>
      <c r="I37" s="179"/>
      <c r="J37" s="179"/>
      <c r="K37" s="179"/>
      <c r="L37" s="179"/>
      <c r="M37" s="179"/>
      <c r="N37" s="179"/>
      <c r="O37" s="179"/>
      <c r="P37" s="179"/>
      <c r="Q37" s="179"/>
      <c r="R37" s="179"/>
      <c r="S37" s="179"/>
      <c r="T37" s="179"/>
      <c r="U37" s="179"/>
      <c r="V37" s="179"/>
      <c r="W37" s="179"/>
      <c r="X37" s="179"/>
      <c r="Y37" s="178"/>
      <c r="Z37" s="179"/>
      <c r="AA37" s="179"/>
      <c r="AB37" s="179"/>
      <c r="AC37" s="179"/>
      <c r="AD37" s="179"/>
      <c r="AE37" s="179"/>
      <c r="AF37" s="179"/>
    </row>
    <row r="38" spans="2:32" x14ac:dyDescent="0.25">
      <c r="B38" s="180"/>
      <c r="C38" s="180"/>
      <c r="D38" s="180"/>
      <c r="E38" s="178"/>
      <c r="F38" s="179"/>
      <c r="G38" s="179"/>
      <c r="H38" s="179"/>
      <c r="I38" s="179"/>
      <c r="J38" s="179"/>
      <c r="K38" s="179"/>
      <c r="L38" s="179"/>
      <c r="M38" s="179"/>
      <c r="N38" s="179"/>
      <c r="O38" s="179"/>
      <c r="P38" s="179"/>
      <c r="Q38" s="179"/>
      <c r="R38" s="179"/>
      <c r="S38" s="179"/>
      <c r="T38" s="179"/>
      <c r="U38" s="179"/>
      <c r="V38" s="179"/>
      <c r="W38" s="179"/>
      <c r="X38" s="179"/>
      <c r="Y38" s="178"/>
      <c r="Z38" s="179"/>
      <c r="AA38" s="179"/>
      <c r="AB38" s="179"/>
      <c r="AC38" s="179"/>
      <c r="AD38" s="179"/>
      <c r="AE38" s="179"/>
      <c r="AF38" s="179"/>
    </row>
    <row r="39" spans="2:32" x14ac:dyDescent="0.25">
      <c r="B39" s="180"/>
      <c r="C39" s="180"/>
      <c r="D39" s="180"/>
      <c r="E39" s="178"/>
      <c r="F39" s="179"/>
      <c r="G39" s="179"/>
      <c r="H39" s="179"/>
      <c r="I39" s="179"/>
      <c r="J39" s="179"/>
      <c r="K39" s="179"/>
      <c r="L39" s="179"/>
      <c r="M39" s="179"/>
      <c r="N39" s="179"/>
      <c r="O39" s="179"/>
      <c r="P39" s="179"/>
      <c r="Q39" s="179"/>
      <c r="R39" s="179"/>
      <c r="S39" s="179"/>
      <c r="T39" s="179"/>
      <c r="U39" s="179"/>
      <c r="V39" s="179"/>
      <c r="W39" s="179"/>
      <c r="X39" s="179"/>
      <c r="Y39" s="178"/>
      <c r="Z39" s="179"/>
      <c r="AA39" s="179"/>
      <c r="AB39" s="179"/>
      <c r="AC39" s="179"/>
      <c r="AD39" s="179"/>
      <c r="AE39" s="179"/>
      <c r="AF39" s="179"/>
    </row>
    <row r="40" spans="2:32" x14ac:dyDescent="0.25">
      <c r="B40" s="180"/>
      <c r="C40" s="180"/>
      <c r="D40" s="180"/>
      <c r="E40" s="178"/>
      <c r="F40" s="179"/>
      <c r="G40" s="179"/>
      <c r="H40" s="179"/>
      <c r="I40" s="179"/>
      <c r="J40" s="179"/>
      <c r="K40" s="179"/>
      <c r="L40" s="179"/>
      <c r="M40" s="179"/>
      <c r="N40" s="179"/>
      <c r="O40" s="179"/>
      <c r="P40" s="179"/>
      <c r="Q40" s="179"/>
      <c r="R40" s="179"/>
      <c r="S40" s="179"/>
      <c r="T40" s="179"/>
      <c r="U40" s="179"/>
      <c r="V40" s="179"/>
      <c r="W40" s="179"/>
      <c r="X40" s="179"/>
      <c r="Y40" s="178"/>
      <c r="Z40" s="179"/>
      <c r="AA40" s="179"/>
      <c r="AB40" s="179"/>
      <c r="AC40" s="179"/>
      <c r="AD40" s="179"/>
      <c r="AE40" s="179"/>
      <c r="AF40" s="179"/>
    </row>
    <row r="41" spans="2:32" ht="24.75" customHeight="1" x14ac:dyDescent="0.25">
      <c r="B41" s="32" t="s">
        <v>29</v>
      </c>
      <c r="C41" s="22"/>
      <c r="I41" s="25"/>
    </row>
    <row r="42" spans="2:32" ht="12.75" customHeight="1" x14ac:dyDescent="0.25">
      <c r="B42" s="177" t="s">
        <v>7</v>
      </c>
      <c r="C42" s="177"/>
      <c r="D42" s="177"/>
      <c r="E42" s="177" t="s">
        <v>8</v>
      </c>
      <c r="F42" s="181"/>
      <c r="G42" s="181"/>
      <c r="H42" s="181"/>
      <c r="I42" s="181"/>
      <c r="J42" s="181"/>
      <c r="K42" s="181"/>
      <c r="L42" s="181"/>
      <c r="M42" s="181"/>
      <c r="N42" s="181"/>
      <c r="O42" s="181"/>
      <c r="P42" s="181"/>
      <c r="Q42" s="181"/>
      <c r="R42" s="181"/>
      <c r="S42" s="181"/>
      <c r="T42" s="181"/>
      <c r="U42" s="181"/>
      <c r="V42" s="181"/>
      <c r="W42" s="181"/>
      <c r="X42" s="181"/>
      <c r="Y42" s="177" t="s">
        <v>9</v>
      </c>
      <c r="Z42" s="177"/>
      <c r="AA42" s="177"/>
      <c r="AB42" s="177"/>
      <c r="AC42" s="177"/>
      <c r="AD42" s="177"/>
      <c r="AE42" s="177"/>
      <c r="AF42" s="177"/>
    </row>
    <row r="43" spans="2:32" x14ac:dyDescent="0.25">
      <c r="B43" s="180"/>
      <c r="C43" s="180"/>
      <c r="D43" s="180"/>
      <c r="E43" s="178"/>
      <c r="F43" s="179"/>
      <c r="G43" s="179"/>
      <c r="H43" s="179"/>
      <c r="I43" s="179"/>
      <c r="J43" s="179"/>
      <c r="K43" s="179"/>
      <c r="L43" s="179"/>
      <c r="M43" s="179"/>
      <c r="N43" s="179"/>
      <c r="O43" s="179"/>
      <c r="P43" s="179"/>
      <c r="Q43" s="179"/>
      <c r="R43" s="179"/>
      <c r="S43" s="179"/>
      <c r="T43" s="179"/>
      <c r="U43" s="179"/>
      <c r="V43" s="179"/>
      <c r="W43" s="179"/>
      <c r="X43" s="179"/>
      <c r="Y43" s="178"/>
      <c r="Z43" s="179"/>
      <c r="AA43" s="179"/>
      <c r="AB43" s="179"/>
      <c r="AC43" s="179"/>
      <c r="AD43" s="179"/>
      <c r="AE43" s="179"/>
      <c r="AF43" s="179"/>
    </row>
    <row r="44" spans="2:32" x14ac:dyDescent="0.25">
      <c r="B44" s="180"/>
      <c r="C44" s="180"/>
      <c r="D44" s="180"/>
      <c r="E44" s="178"/>
      <c r="F44" s="179"/>
      <c r="G44" s="179"/>
      <c r="H44" s="179"/>
      <c r="I44" s="179"/>
      <c r="J44" s="179"/>
      <c r="K44" s="179"/>
      <c r="L44" s="179"/>
      <c r="M44" s="179"/>
      <c r="N44" s="179"/>
      <c r="O44" s="179"/>
      <c r="P44" s="179"/>
      <c r="Q44" s="179"/>
      <c r="R44" s="179"/>
      <c r="S44" s="179"/>
      <c r="T44" s="179"/>
      <c r="U44" s="179"/>
      <c r="V44" s="179"/>
      <c r="W44" s="179"/>
      <c r="X44" s="179"/>
      <c r="Y44" s="178"/>
      <c r="Z44" s="179"/>
      <c r="AA44" s="179"/>
      <c r="AB44" s="179"/>
      <c r="AC44" s="179"/>
      <c r="AD44" s="179"/>
      <c r="AE44" s="179"/>
      <c r="AF44" s="179"/>
    </row>
    <row r="45" spans="2:32" x14ac:dyDescent="0.25">
      <c r="B45" s="180"/>
      <c r="C45" s="180"/>
      <c r="D45" s="180"/>
      <c r="E45" s="178"/>
      <c r="F45" s="179"/>
      <c r="G45" s="179"/>
      <c r="H45" s="179"/>
      <c r="I45" s="179"/>
      <c r="J45" s="179"/>
      <c r="K45" s="179"/>
      <c r="L45" s="179"/>
      <c r="M45" s="179"/>
      <c r="N45" s="179"/>
      <c r="O45" s="179"/>
      <c r="P45" s="179"/>
      <c r="Q45" s="179"/>
      <c r="R45" s="179"/>
      <c r="S45" s="179"/>
      <c r="T45" s="179"/>
      <c r="U45" s="179"/>
      <c r="V45" s="179"/>
      <c r="W45" s="179"/>
      <c r="X45" s="179"/>
      <c r="Y45" s="178"/>
      <c r="Z45" s="179"/>
      <c r="AA45" s="179"/>
      <c r="AB45" s="179"/>
      <c r="AC45" s="179"/>
      <c r="AD45" s="179"/>
      <c r="AE45" s="179"/>
      <c r="AF45" s="179"/>
    </row>
    <row r="46" spans="2:32" x14ac:dyDescent="0.25">
      <c r="B46" s="180"/>
      <c r="C46" s="180"/>
      <c r="D46" s="180"/>
      <c r="E46" s="178"/>
      <c r="F46" s="179"/>
      <c r="G46" s="179"/>
      <c r="H46" s="179"/>
      <c r="I46" s="179"/>
      <c r="J46" s="179"/>
      <c r="K46" s="179"/>
      <c r="L46" s="179"/>
      <c r="M46" s="179"/>
      <c r="N46" s="179"/>
      <c r="O46" s="179"/>
      <c r="P46" s="179"/>
      <c r="Q46" s="179"/>
      <c r="R46" s="179"/>
      <c r="S46" s="179"/>
      <c r="T46" s="179"/>
      <c r="U46" s="179"/>
      <c r="V46" s="179"/>
      <c r="W46" s="179"/>
      <c r="X46" s="179"/>
      <c r="Y46" s="178"/>
      <c r="Z46" s="179"/>
      <c r="AA46" s="179"/>
      <c r="AB46" s="179"/>
      <c r="AC46" s="179"/>
      <c r="AD46" s="179"/>
      <c r="AE46" s="179"/>
      <c r="AF46" s="179"/>
    </row>
    <row r="47" spans="2:32" x14ac:dyDescent="0.25">
      <c r="C47" s="24"/>
      <c r="I47" s="25"/>
    </row>
    <row r="48" spans="2:32" ht="20.399999999999999" x14ac:dyDescent="0.25">
      <c r="B48" s="21" t="s">
        <v>31</v>
      </c>
      <c r="C48" s="22"/>
      <c r="I48" s="25"/>
    </row>
    <row r="49" spans="2:32" ht="12.75" customHeight="1" x14ac:dyDescent="0.25">
      <c r="B49" s="177" t="s">
        <v>30</v>
      </c>
      <c r="C49" s="177"/>
      <c r="D49" s="177"/>
      <c r="E49" s="177"/>
      <c r="F49" s="177"/>
      <c r="G49" s="177"/>
      <c r="H49" s="172"/>
      <c r="I49" s="172"/>
      <c r="J49" s="172"/>
      <c r="K49" s="172"/>
      <c r="L49" s="172"/>
      <c r="M49" s="172"/>
      <c r="N49" s="172"/>
      <c r="O49" s="172"/>
      <c r="P49" s="172"/>
      <c r="Q49" s="172"/>
      <c r="R49" s="172"/>
      <c r="S49" s="172"/>
      <c r="T49" s="172"/>
      <c r="U49" s="172"/>
      <c r="V49" s="172"/>
      <c r="W49" s="172"/>
      <c r="X49" s="172"/>
      <c r="Y49" s="172"/>
      <c r="Z49" s="172"/>
      <c r="AA49" s="172"/>
      <c r="AB49" s="172"/>
      <c r="AC49" s="172"/>
      <c r="AD49" s="172"/>
      <c r="AE49" s="172"/>
      <c r="AF49" s="172"/>
    </row>
    <row r="50" spans="2:32" ht="33.75" customHeight="1" x14ac:dyDescent="0.25">
      <c r="B50" s="169" t="s">
        <v>109</v>
      </c>
      <c r="C50" s="170"/>
      <c r="D50" s="170"/>
      <c r="E50" s="170"/>
      <c r="F50" s="170"/>
      <c r="G50" s="171"/>
      <c r="H50" s="176" t="s">
        <v>113</v>
      </c>
      <c r="I50" s="174"/>
      <c r="J50" s="174"/>
      <c r="K50" s="174"/>
      <c r="L50" s="174"/>
      <c r="M50" s="174"/>
      <c r="N50" s="174"/>
      <c r="O50" s="174"/>
      <c r="P50" s="174"/>
      <c r="Q50" s="174"/>
      <c r="R50" s="174"/>
      <c r="S50" s="174"/>
      <c r="T50" s="174"/>
      <c r="U50" s="174"/>
      <c r="V50" s="174"/>
      <c r="W50" s="174"/>
      <c r="X50" s="174"/>
      <c r="Y50" s="174"/>
      <c r="Z50" s="174"/>
      <c r="AA50" s="174"/>
      <c r="AB50" s="174"/>
      <c r="AC50" s="174"/>
      <c r="AD50" s="174"/>
      <c r="AE50" s="174"/>
      <c r="AF50" s="175"/>
    </row>
    <row r="51" spans="2:32" ht="36.75" customHeight="1" x14ac:dyDescent="0.25">
      <c r="B51" s="169" t="s">
        <v>72</v>
      </c>
      <c r="C51" s="170"/>
      <c r="D51" s="170"/>
      <c r="E51" s="170"/>
      <c r="F51" s="170"/>
      <c r="G51" s="171"/>
      <c r="H51" s="173" t="s">
        <v>73</v>
      </c>
      <c r="I51" s="174"/>
      <c r="J51" s="174"/>
      <c r="K51" s="174"/>
      <c r="L51" s="174"/>
      <c r="M51" s="174"/>
      <c r="N51" s="174"/>
      <c r="O51" s="174"/>
      <c r="P51" s="174"/>
      <c r="Q51" s="174"/>
      <c r="R51" s="174"/>
      <c r="S51" s="174"/>
      <c r="T51" s="174"/>
      <c r="U51" s="174"/>
      <c r="V51" s="174"/>
      <c r="W51" s="174"/>
      <c r="X51" s="174"/>
      <c r="Y51" s="174"/>
      <c r="Z51" s="174"/>
      <c r="AA51" s="174"/>
      <c r="AB51" s="174"/>
      <c r="AC51" s="174"/>
      <c r="AD51" s="174"/>
      <c r="AE51" s="174"/>
      <c r="AF51" s="175"/>
    </row>
    <row r="52" spans="2:32" ht="45.75" customHeight="1" x14ac:dyDescent="0.25">
      <c r="B52" s="169" t="s">
        <v>74</v>
      </c>
      <c r="C52" s="170"/>
      <c r="D52" s="170"/>
      <c r="E52" s="170"/>
      <c r="F52" s="170"/>
      <c r="G52" s="171"/>
      <c r="H52" s="173" t="s">
        <v>79</v>
      </c>
      <c r="I52" s="174"/>
      <c r="J52" s="174"/>
      <c r="K52" s="174"/>
      <c r="L52" s="174"/>
      <c r="M52" s="174"/>
      <c r="N52" s="174"/>
      <c r="O52" s="174"/>
      <c r="P52" s="174"/>
      <c r="Q52" s="174"/>
      <c r="R52" s="174"/>
      <c r="S52" s="174"/>
      <c r="T52" s="174"/>
      <c r="U52" s="174"/>
      <c r="V52" s="174"/>
      <c r="W52" s="174"/>
      <c r="X52" s="174"/>
      <c r="Y52" s="174"/>
      <c r="Z52" s="174"/>
      <c r="AA52" s="174"/>
      <c r="AB52" s="174"/>
      <c r="AC52" s="174"/>
      <c r="AD52" s="174"/>
      <c r="AE52" s="174"/>
      <c r="AF52" s="175"/>
    </row>
    <row r="53" spans="2:32" ht="45.75" customHeight="1" x14ac:dyDescent="0.25">
      <c r="B53" s="169" t="s">
        <v>75</v>
      </c>
      <c r="C53" s="170"/>
      <c r="D53" s="170"/>
      <c r="E53" s="170"/>
      <c r="F53" s="170"/>
      <c r="G53" s="171"/>
      <c r="H53" s="173" t="s">
        <v>78</v>
      </c>
      <c r="I53" s="174"/>
      <c r="J53" s="174"/>
      <c r="K53" s="174"/>
      <c r="L53" s="174"/>
      <c r="M53" s="174"/>
      <c r="N53" s="174"/>
      <c r="O53" s="174"/>
      <c r="P53" s="174"/>
      <c r="Q53" s="174"/>
      <c r="R53" s="174"/>
      <c r="S53" s="174"/>
      <c r="T53" s="174"/>
      <c r="U53" s="174"/>
      <c r="V53" s="174"/>
      <c r="W53" s="174"/>
      <c r="X53" s="174"/>
      <c r="Y53" s="174"/>
      <c r="Z53" s="174"/>
      <c r="AA53" s="174"/>
      <c r="AB53" s="174"/>
      <c r="AC53" s="174"/>
      <c r="AD53" s="174"/>
      <c r="AE53" s="174"/>
      <c r="AF53" s="175"/>
    </row>
    <row r="54" spans="2:32" ht="37.5" customHeight="1" x14ac:dyDescent="0.25">
      <c r="B54" s="169" t="s">
        <v>76</v>
      </c>
      <c r="C54" s="170"/>
      <c r="D54" s="170"/>
      <c r="E54" s="170"/>
      <c r="F54" s="170"/>
      <c r="G54" s="171"/>
      <c r="H54" s="173" t="s">
        <v>77</v>
      </c>
      <c r="I54" s="174"/>
      <c r="J54" s="174"/>
      <c r="K54" s="174"/>
      <c r="L54" s="174"/>
      <c r="M54" s="174"/>
      <c r="N54" s="174"/>
      <c r="O54" s="174"/>
      <c r="P54" s="174"/>
      <c r="Q54" s="174"/>
      <c r="R54" s="174"/>
      <c r="S54" s="174"/>
      <c r="T54" s="174"/>
      <c r="U54" s="174"/>
      <c r="V54" s="174"/>
      <c r="W54" s="174"/>
      <c r="X54" s="174"/>
      <c r="Y54" s="174"/>
      <c r="Z54" s="174"/>
      <c r="AA54" s="174"/>
      <c r="AB54" s="174"/>
      <c r="AC54" s="174"/>
      <c r="AD54" s="174"/>
      <c r="AE54" s="174"/>
      <c r="AF54" s="175"/>
    </row>
    <row r="55" spans="2:32" x14ac:dyDescent="0.25">
      <c r="B55" s="28"/>
      <c r="C55" s="28"/>
      <c r="D55" s="28"/>
      <c r="E55" s="28"/>
      <c r="F55" s="28"/>
      <c r="G55" s="28"/>
      <c r="H55" s="33"/>
      <c r="I55" s="33"/>
      <c r="J55" s="33"/>
      <c r="K55" s="33"/>
      <c r="L55" s="33"/>
      <c r="M55" s="33"/>
      <c r="N55" s="33"/>
      <c r="O55" s="33"/>
      <c r="P55" s="33"/>
      <c r="Q55" s="33"/>
      <c r="R55" s="33"/>
      <c r="S55" s="33"/>
      <c r="T55" s="33"/>
      <c r="U55" s="33"/>
      <c r="V55" s="33"/>
      <c r="W55" s="33"/>
      <c r="X55" s="33"/>
      <c r="Y55" s="33"/>
      <c r="Z55" s="33"/>
      <c r="AA55" s="33"/>
      <c r="AB55" s="33"/>
      <c r="AC55" s="33"/>
      <c r="AD55" s="33"/>
      <c r="AE55" s="33"/>
      <c r="AF55" s="33"/>
    </row>
    <row r="56" spans="2:32" x14ac:dyDescent="0.25">
      <c r="B56" s="28"/>
      <c r="C56" s="28"/>
      <c r="D56" s="28"/>
      <c r="E56" s="28"/>
      <c r="F56" s="28"/>
      <c r="G56" s="28"/>
      <c r="H56" s="33"/>
      <c r="I56" s="33"/>
      <c r="J56" s="33"/>
      <c r="K56" s="33"/>
      <c r="L56" s="33"/>
      <c r="M56" s="33"/>
      <c r="N56" s="33"/>
      <c r="O56" s="33"/>
      <c r="P56" s="33"/>
      <c r="Q56" s="33"/>
      <c r="R56" s="33"/>
      <c r="S56" s="33"/>
      <c r="T56" s="33"/>
      <c r="U56" s="33"/>
      <c r="V56" s="33"/>
      <c r="W56" s="33"/>
      <c r="X56" s="33"/>
      <c r="Y56" s="33"/>
      <c r="Z56" s="33"/>
      <c r="AA56" s="33"/>
      <c r="AB56" s="33"/>
      <c r="AC56" s="33"/>
      <c r="AD56" s="33"/>
      <c r="AE56" s="33"/>
      <c r="AF56" s="33"/>
    </row>
    <row r="57" spans="2:32" ht="24.6" x14ac:dyDescent="0.25">
      <c r="B57" s="34" t="s">
        <v>32</v>
      </c>
      <c r="C57" s="35"/>
      <c r="D57" s="35"/>
      <c r="E57" s="35"/>
      <c r="F57" s="35"/>
      <c r="G57" s="35"/>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row>
    <row r="58" spans="2:32" ht="15.75" customHeight="1" x14ac:dyDescent="0.25">
      <c r="B58" s="37"/>
      <c r="C58" s="28"/>
      <c r="D58" s="28"/>
      <c r="E58" s="28"/>
      <c r="F58" s="28"/>
      <c r="G58" s="28"/>
      <c r="H58" s="33"/>
      <c r="I58" s="33"/>
      <c r="J58" s="33"/>
      <c r="K58" s="33"/>
      <c r="L58" s="33"/>
      <c r="M58" s="33"/>
      <c r="N58" s="33"/>
      <c r="O58" s="33"/>
      <c r="P58" s="33"/>
      <c r="Q58" s="33"/>
      <c r="R58" s="33"/>
      <c r="S58" s="33"/>
      <c r="T58" s="33"/>
      <c r="U58" s="33"/>
      <c r="V58" s="33"/>
      <c r="W58" s="33"/>
      <c r="X58" s="33"/>
      <c r="Y58" s="33"/>
      <c r="Z58" s="33"/>
      <c r="AA58" s="33"/>
      <c r="AB58" s="33"/>
      <c r="AC58" s="33"/>
      <c r="AD58" s="33"/>
      <c r="AE58" s="33"/>
      <c r="AF58" s="33"/>
    </row>
    <row r="59" spans="2:32" x14ac:dyDescent="0.25">
      <c r="B59" s="78" t="s">
        <v>80</v>
      </c>
      <c r="C59" s="38"/>
      <c r="D59" s="38"/>
      <c r="E59" s="38"/>
      <c r="F59" s="38"/>
      <c r="G59" s="38"/>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row>
    <row r="60" spans="2:32" x14ac:dyDescent="0.25">
      <c r="B60" s="78" t="s">
        <v>111</v>
      </c>
      <c r="C60" s="38"/>
      <c r="D60" s="38"/>
      <c r="E60" s="38"/>
      <c r="F60" s="38"/>
      <c r="G60" s="38"/>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row>
    <row r="61" spans="2:32" x14ac:dyDescent="0.25">
      <c r="B61" s="38"/>
      <c r="C61" s="38"/>
      <c r="D61" s="38"/>
      <c r="E61" s="38"/>
      <c r="F61" s="38"/>
      <c r="G61" s="38"/>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row>
    <row r="62" spans="2:32" x14ac:dyDescent="0.25">
      <c r="B62" s="38"/>
      <c r="C62" s="38"/>
      <c r="D62" s="38"/>
      <c r="E62" s="38"/>
      <c r="F62" s="38"/>
      <c r="G62" s="38"/>
      <c r="H62" s="39"/>
      <c r="I62" s="39"/>
      <c r="J62" s="39"/>
      <c r="K62" s="39"/>
      <c r="L62" s="39"/>
      <c r="M62" s="39"/>
      <c r="N62" s="39"/>
      <c r="O62" s="39"/>
      <c r="P62" s="39"/>
      <c r="Q62" s="39"/>
      <c r="R62" s="39"/>
      <c r="S62" s="39"/>
      <c r="T62" s="39"/>
      <c r="U62" s="39"/>
      <c r="V62" s="39"/>
      <c r="W62" s="39"/>
      <c r="X62" s="39"/>
      <c r="Y62" s="39"/>
      <c r="Z62" s="39"/>
      <c r="AA62" s="39"/>
      <c r="AB62" s="39"/>
      <c r="AC62" s="39"/>
      <c r="AD62" s="39"/>
      <c r="AE62" s="39"/>
      <c r="AF62" s="39"/>
    </row>
    <row r="63" spans="2:32" x14ac:dyDescent="0.25">
      <c r="B63" s="38"/>
      <c r="C63" s="38"/>
      <c r="D63" s="38"/>
      <c r="E63" s="38"/>
      <c r="F63" s="38"/>
      <c r="G63" s="38"/>
      <c r="H63" s="39"/>
      <c r="I63" s="39"/>
      <c r="J63" s="39"/>
      <c r="K63" s="39"/>
      <c r="L63" s="39"/>
      <c r="M63" s="39"/>
      <c r="N63" s="39"/>
      <c r="O63" s="39"/>
      <c r="P63" s="39"/>
      <c r="Q63" s="39"/>
      <c r="R63" s="39"/>
      <c r="S63" s="39"/>
      <c r="T63" s="39"/>
      <c r="U63" s="39"/>
      <c r="V63" s="39"/>
      <c r="W63" s="39"/>
      <c r="X63" s="39"/>
      <c r="Y63" s="39"/>
      <c r="Z63" s="39"/>
      <c r="AA63" s="39"/>
      <c r="AB63" s="39"/>
      <c r="AC63" s="39"/>
      <c r="AD63" s="39"/>
      <c r="AE63" s="39"/>
      <c r="AF63" s="39"/>
    </row>
    <row r="64" spans="2:32" x14ac:dyDescent="0.25">
      <c r="B64" s="38"/>
      <c r="C64" s="38"/>
      <c r="D64" s="38"/>
      <c r="E64" s="38"/>
      <c r="F64" s="38"/>
      <c r="G64" s="38"/>
      <c r="H64" s="39"/>
      <c r="I64" s="39"/>
      <c r="J64" s="39"/>
      <c r="K64" s="39"/>
      <c r="L64" s="39"/>
      <c r="M64" s="39"/>
      <c r="N64" s="39"/>
      <c r="O64" s="39"/>
      <c r="P64" s="39"/>
      <c r="Q64" s="39"/>
      <c r="R64" s="39"/>
      <c r="S64" s="39"/>
      <c r="T64" s="39"/>
      <c r="U64" s="39"/>
      <c r="V64" s="39"/>
      <c r="W64" s="39"/>
      <c r="X64" s="39"/>
      <c r="Y64" s="39"/>
      <c r="Z64" s="39"/>
      <c r="AA64" s="39"/>
      <c r="AB64" s="39"/>
      <c r="AC64" s="39"/>
      <c r="AD64" s="39"/>
      <c r="AE64" s="39"/>
      <c r="AF64" s="39"/>
    </row>
    <row r="65" spans="2:34" x14ac:dyDescent="0.25">
      <c r="B65" s="38"/>
      <c r="C65" s="38"/>
      <c r="D65" s="38"/>
      <c r="E65" s="38"/>
      <c r="F65" s="38"/>
      <c r="G65" s="38"/>
      <c r="H65" s="39"/>
      <c r="I65" s="39"/>
      <c r="J65" s="39"/>
      <c r="K65" s="39"/>
      <c r="L65" s="39"/>
      <c r="M65" s="39"/>
      <c r="N65" s="39"/>
      <c r="O65" s="39"/>
      <c r="P65" s="39"/>
      <c r="Q65" s="39"/>
      <c r="R65" s="39"/>
      <c r="S65" s="39"/>
      <c r="T65" s="39"/>
      <c r="U65" s="39"/>
      <c r="V65" s="39"/>
      <c r="W65" s="39"/>
      <c r="X65" s="39"/>
      <c r="Y65" s="39"/>
      <c r="Z65" s="39"/>
      <c r="AA65" s="39"/>
      <c r="AB65" s="39"/>
      <c r="AC65" s="39"/>
      <c r="AD65" s="39"/>
      <c r="AE65" s="39"/>
      <c r="AF65" s="39"/>
    </row>
    <row r="66" spans="2:34" x14ac:dyDescent="0.25">
      <c r="B66" s="38"/>
      <c r="C66" s="38"/>
      <c r="D66" s="38"/>
      <c r="E66" s="38"/>
      <c r="F66" s="38"/>
      <c r="G66" s="38"/>
      <c r="H66" s="39"/>
      <c r="I66" s="39"/>
      <c r="J66" s="39"/>
      <c r="K66" s="39"/>
      <c r="L66" s="39"/>
      <c r="M66" s="39"/>
      <c r="N66" s="39"/>
      <c r="O66" s="39"/>
      <c r="P66" s="39"/>
      <c r="Q66" s="39"/>
      <c r="R66" s="39"/>
      <c r="S66" s="39"/>
      <c r="T66" s="39"/>
      <c r="U66" s="39"/>
      <c r="V66" s="39"/>
      <c r="W66" s="39"/>
      <c r="X66" s="39"/>
      <c r="Y66" s="39"/>
      <c r="Z66" s="39"/>
      <c r="AA66" s="39"/>
      <c r="AB66" s="39"/>
      <c r="AC66" s="39"/>
      <c r="AD66" s="39"/>
      <c r="AE66" s="39"/>
      <c r="AF66" s="39"/>
    </row>
    <row r="67" spans="2:34" x14ac:dyDescent="0.25">
      <c r="B67" s="38"/>
      <c r="C67" s="38"/>
      <c r="D67" s="38"/>
      <c r="E67" s="38"/>
      <c r="F67" s="38"/>
      <c r="G67" s="38"/>
      <c r="H67" s="39"/>
      <c r="I67" s="39"/>
      <c r="J67" s="39"/>
      <c r="K67" s="39"/>
      <c r="L67" s="39"/>
      <c r="M67" s="39"/>
      <c r="N67" s="39"/>
      <c r="O67" s="39"/>
      <c r="P67" s="39"/>
      <c r="Q67" s="39"/>
      <c r="R67" s="39"/>
      <c r="S67" s="39"/>
      <c r="T67" s="39"/>
      <c r="U67" s="39"/>
      <c r="V67" s="39"/>
      <c r="W67" s="39"/>
      <c r="X67" s="39"/>
      <c r="Y67" s="39"/>
      <c r="Z67" s="39"/>
      <c r="AA67" s="39"/>
      <c r="AB67" s="39"/>
      <c r="AC67" s="39"/>
      <c r="AD67" s="39"/>
      <c r="AE67" s="39"/>
      <c r="AF67" s="39"/>
    </row>
    <row r="68" spans="2:34" x14ac:dyDescent="0.25">
      <c r="B68" s="38"/>
      <c r="C68" s="38"/>
      <c r="D68" s="38"/>
      <c r="E68" s="38"/>
      <c r="F68" s="38"/>
      <c r="G68" s="38"/>
      <c r="H68" s="39"/>
      <c r="I68" s="39"/>
      <c r="J68" s="39"/>
      <c r="K68" s="39"/>
      <c r="L68" s="39"/>
      <c r="M68" s="39"/>
      <c r="N68" s="39"/>
      <c r="O68" s="39"/>
      <c r="P68" s="39"/>
      <c r="Q68" s="39"/>
      <c r="R68" s="39"/>
      <c r="S68" s="39"/>
      <c r="T68" s="39"/>
      <c r="U68" s="39"/>
      <c r="V68" s="39"/>
      <c r="W68" s="39"/>
      <c r="X68" s="39"/>
      <c r="Y68" s="39"/>
      <c r="Z68" s="39"/>
      <c r="AA68" s="39"/>
      <c r="AB68" s="39"/>
      <c r="AC68" s="39"/>
      <c r="AD68" s="39"/>
      <c r="AE68" s="39"/>
      <c r="AF68" s="39"/>
    </row>
    <row r="69" spans="2:34" x14ac:dyDescent="0.25">
      <c r="B69" s="38"/>
      <c r="C69" s="38"/>
      <c r="D69" s="38"/>
      <c r="E69" s="38"/>
      <c r="F69" s="38"/>
      <c r="G69" s="38"/>
      <c r="H69" s="39"/>
      <c r="I69" s="39"/>
      <c r="J69" s="39"/>
      <c r="K69" s="39"/>
      <c r="L69" s="39"/>
      <c r="M69" s="39"/>
      <c r="N69" s="39"/>
      <c r="O69" s="39"/>
      <c r="P69" s="39"/>
      <c r="Q69" s="39"/>
      <c r="R69" s="39"/>
      <c r="S69" s="39"/>
      <c r="T69" s="39"/>
      <c r="U69" s="39"/>
      <c r="V69" s="39"/>
      <c r="W69" s="39"/>
      <c r="X69" s="39"/>
      <c r="Y69" s="39"/>
      <c r="Z69" s="39"/>
      <c r="AA69" s="39"/>
      <c r="AB69" s="39"/>
      <c r="AC69" s="39"/>
      <c r="AD69" s="39"/>
      <c r="AE69" s="39"/>
      <c r="AF69" s="39"/>
    </row>
    <row r="70" spans="2:34" x14ac:dyDescent="0.25">
      <c r="B70" s="38"/>
      <c r="C70" s="38"/>
      <c r="D70" s="38"/>
      <c r="E70" s="38"/>
      <c r="F70" s="38"/>
      <c r="G70" s="38"/>
      <c r="H70" s="39"/>
      <c r="I70" s="39"/>
      <c r="J70" s="39"/>
      <c r="K70" s="39"/>
      <c r="L70" s="39"/>
      <c r="M70" s="39"/>
      <c r="N70" s="39"/>
      <c r="O70" s="39"/>
      <c r="P70" s="39"/>
      <c r="Q70" s="39"/>
      <c r="R70" s="39"/>
      <c r="S70" s="39"/>
      <c r="T70" s="39"/>
      <c r="U70" s="39"/>
      <c r="V70" s="39"/>
      <c r="W70" s="39"/>
      <c r="X70" s="39"/>
      <c r="Y70" s="39"/>
      <c r="Z70" s="39"/>
      <c r="AA70" s="39"/>
      <c r="AB70" s="39"/>
      <c r="AC70" s="39"/>
      <c r="AD70" s="39"/>
      <c r="AE70" s="39"/>
      <c r="AF70" s="39"/>
    </row>
    <row r="71" spans="2:34" x14ac:dyDescent="0.25">
      <c r="B71" s="38"/>
      <c r="C71" s="38"/>
      <c r="D71" s="38"/>
      <c r="E71" s="38"/>
      <c r="F71" s="38"/>
      <c r="G71" s="38"/>
      <c r="H71" s="39"/>
      <c r="I71" s="39"/>
      <c r="J71" s="39"/>
      <c r="K71" s="39"/>
      <c r="L71" s="39"/>
      <c r="M71" s="39"/>
      <c r="N71" s="39"/>
      <c r="O71" s="39"/>
      <c r="P71" s="39"/>
      <c r="Q71" s="39"/>
      <c r="R71" s="39"/>
      <c r="S71" s="39"/>
      <c r="T71" s="39"/>
      <c r="U71" s="39"/>
      <c r="V71" s="39"/>
      <c r="W71" s="39"/>
      <c r="X71" s="39"/>
      <c r="Y71" s="39"/>
      <c r="Z71" s="39"/>
      <c r="AA71" s="39"/>
      <c r="AB71" s="39"/>
      <c r="AC71" s="39"/>
      <c r="AD71" s="39"/>
      <c r="AE71" s="39"/>
      <c r="AF71" s="39"/>
    </row>
    <row r="72" spans="2:34" ht="12" customHeight="1" x14ac:dyDescent="0.25"/>
    <row r="73" spans="2:34" ht="12.75" hidden="1" customHeight="1" x14ac:dyDescent="0.25">
      <c r="B73" s="16" t="s">
        <v>81</v>
      </c>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row>
    <row r="74" spans="2:34" ht="12.75" hidden="1" customHeight="1" x14ac:dyDescent="0.25">
      <c r="B74" s="16" t="s">
        <v>82</v>
      </c>
      <c r="F74" s="40"/>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0"/>
    </row>
    <row r="75" spans="2:34" ht="12.75" hidden="1" customHeight="1" x14ac:dyDescent="0.25">
      <c r="B75" s="16" t="s">
        <v>83</v>
      </c>
      <c r="F75" s="40"/>
      <c r="G75" s="38"/>
      <c r="H75" s="38"/>
      <c r="I75" s="38"/>
      <c r="J75" s="38"/>
      <c r="K75" s="38"/>
      <c r="L75" s="38"/>
      <c r="M75" s="38"/>
      <c r="N75" s="38"/>
      <c r="O75" s="38"/>
      <c r="P75" s="38"/>
      <c r="Q75" s="38"/>
      <c r="R75" s="38"/>
      <c r="S75" s="38"/>
      <c r="T75" s="38"/>
      <c r="U75" s="38"/>
      <c r="V75" s="38"/>
      <c r="W75" s="38"/>
      <c r="X75" s="38"/>
      <c r="Y75" s="38"/>
      <c r="Z75" s="38"/>
      <c r="AA75" s="38"/>
      <c r="AB75" s="38"/>
      <c r="AC75" s="38"/>
      <c r="AD75" s="38"/>
      <c r="AE75" s="38"/>
      <c r="AF75" s="38"/>
      <c r="AG75" s="38"/>
      <c r="AH75" s="40"/>
    </row>
    <row r="76" spans="2:34" ht="12.75" hidden="1" customHeight="1" x14ac:dyDescent="0.25">
      <c r="B76" s="16" t="s">
        <v>84</v>
      </c>
      <c r="F76" s="40"/>
      <c r="G76" s="38"/>
      <c r="H76" s="38"/>
      <c r="I76" s="38"/>
      <c r="J76" s="38"/>
      <c r="K76" s="38"/>
      <c r="L76" s="38"/>
      <c r="M76" s="38"/>
      <c r="N76" s="38"/>
      <c r="O76" s="38"/>
      <c r="P76" s="38"/>
      <c r="Q76" s="38"/>
      <c r="R76" s="38"/>
      <c r="S76" s="38"/>
      <c r="T76" s="38"/>
      <c r="U76" s="38"/>
      <c r="V76" s="38"/>
      <c r="W76" s="38"/>
      <c r="X76" s="38"/>
      <c r="Y76" s="38"/>
      <c r="Z76" s="38"/>
      <c r="AA76" s="38"/>
      <c r="AB76" s="38"/>
      <c r="AC76" s="38"/>
      <c r="AD76" s="38"/>
      <c r="AE76" s="38"/>
      <c r="AF76" s="38"/>
      <c r="AG76" s="38"/>
      <c r="AH76" s="40"/>
    </row>
    <row r="77" spans="2:34" ht="12.75" hidden="1" customHeight="1" x14ac:dyDescent="0.25">
      <c r="B77" s="16" t="s">
        <v>85</v>
      </c>
      <c r="F77" s="42"/>
      <c r="G77" s="42"/>
      <c r="H77" s="42"/>
      <c r="I77" s="42"/>
      <c r="J77" s="40"/>
      <c r="K77" s="40"/>
      <c r="L77" s="40"/>
      <c r="M77" s="40"/>
      <c r="N77" s="40"/>
      <c r="O77" s="40"/>
      <c r="P77" s="40"/>
      <c r="Q77" s="40"/>
      <c r="R77" s="40"/>
      <c r="S77" s="42"/>
      <c r="T77" s="42"/>
      <c r="U77" s="42"/>
      <c r="V77" s="42"/>
      <c r="W77" s="42"/>
      <c r="X77" s="42"/>
      <c r="Y77" s="42"/>
      <c r="Z77" s="42"/>
      <c r="AA77" s="42"/>
      <c r="AB77" s="42"/>
      <c r="AC77" s="42"/>
      <c r="AD77" s="42"/>
      <c r="AE77" s="42"/>
      <c r="AF77" s="42"/>
      <c r="AG77" s="42"/>
      <c r="AH77" s="40"/>
    </row>
    <row r="78" spans="2:34" ht="12.75" hidden="1" customHeight="1" x14ac:dyDescent="0.25">
      <c r="B78" s="16" t="s">
        <v>86</v>
      </c>
      <c r="F78" s="42"/>
      <c r="G78" s="42"/>
      <c r="H78" s="42"/>
      <c r="I78" s="42"/>
      <c r="J78" s="40"/>
      <c r="K78" s="40"/>
      <c r="L78" s="40"/>
      <c r="M78" s="40"/>
      <c r="N78" s="40"/>
      <c r="O78" s="40"/>
      <c r="P78" s="40"/>
      <c r="Q78" s="40"/>
      <c r="R78" s="40"/>
      <c r="S78" s="42"/>
      <c r="T78" s="42"/>
      <c r="U78" s="42"/>
      <c r="V78" s="42"/>
      <c r="W78" s="42"/>
      <c r="X78" s="42"/>
      <c r="Y78" s="42"/>
      <c r="Z78" s="42"/>
      <c r="AA78" s="42"/>
      <c r="AB78" s="42"/>
      <c r="AC78" s="42"/>
      <c r="AD78" s="42"/>
      <c r="AE78" s="42"/>
      <c r="AF78" s="42"/>
      <c r="AG78" s="42"/>
      <c r="AH78" s="40"/>
    </row>
    <row r="79" spans="2:34" ht="12.75" hidden="1" customHeight="1" x14ac:dyDescent="0.25">
      <c r="B79" s="16" t="s">
        <v>87</v>
      </c>
      <c r="F79" s="43"/>
      <c r="G79" s="43"/>
      <c r="H79" s="43"/>
      <c r="I79" s="43"/>
      <c r="J79" s="43"/>
      <c r="K79" s="43"/>
      <c r="R79" s="43"/>
      <c r="S79" s="42"/>
      <c r="T79" s="42"/>
      <c r="U79" s="42"/>
      <c r="V79" s="42"/>
      <c r="W79" s="42"/>
      <c r="X79" s="42"/>
      <c r="Y79" s="42"/>
      <c r="Z79" s="42"/>
      <c r="AA79" s="42"/>
      <c r="AB79" s="42"/>
      <c r="AC79" s="42"/>
      <c r="AD79" s="42"/>
      <c r="AE79" s="42"/>
      <c r="AF79" s="42"/>
      <c r="AG79" s="42"/>
      <c r="AH79" s="43"/>
    </row>
    <row r="80" spans="2:34" ht="12.75" hidden="1" customHeight="1" x14ac:dyDescent="0.25">
      <c r="B80" s="16" t="s">
        <v>88</v>
      </c>
      <c r="R80" s="43"/>
      <c r="S80" s="43"/>
      <c r="T80" s="43"/>
      <c r="U80" s="43"/>
      <c r="V80" s="43"/>
      <c r="W80" s="43"/>
      <c r="X80" s="43"/>
      <c r="Y80" s="43"/>
      <c r="Z80" s="43"/>
      <c r="AA80" s="43"/>
      <c r="AB80" s="43"/>
      <c r="AC80" s="43"/>
      <c r="AD80" s="43"/>
      <c r="AE80" s="43"/>
      <c r="AF80" s="43"/>
      <c r="AG80" s="43"/>
      <c r="AH80" s="43"/>
    </row>
    <row r="81" spans="2:34" ht="12.75" hidden="1" customHeight="1" x14ac:dyDescent="0.25">
      <c r="B81" s="16" t="s">
        <v>89</v>
      </c>
      <c r="R81" s="43"/>
      <c r="S81" s="43"/>
      <c r="T81" s="43"/>
      <c r="U81" s="43"/>
      <c r="V81" s="43"/>
      <c r="W81" s="43"/>
      <c r="X81" s="43"/>
      <c r="Y81" s="43"/>
      <c r="Z81" s="43"/>
      <c r="AA81" s="43"/>
      <c r="AB81" s="43"/>
      <c r="AC81" s="43"/>
      <c r="AD81" s="43"/>
      <c r="AE81" s="43"/>
      <c r="AF81" s="43"/>
      <c r="AG81" s="43"/>
      <c r="AH81" s="43"/>
    </row>
    <row r="82" spans="2:34" ht="12.75" hidden="1" customHeight="1" x14ac:dyDescent="0.25">
      <c r="B82" s="16" t="s">
        <v>90</v>
      </c>
    </row>
    <row r="83" spans="2:34" ht="12.75" hidden="1" customHeight="1" x14ac:dyDescent="0.25">
      <c r="B83" s="16" t="s">
        <v>91</v>
      </c>
    </row>
    <row r="84" spans="2:34" ht="12.75" hidden="1" customHeight="1" x14ac:dyDescent="0.25">
      <c r="B84" s="16" t="s">
        <v>92</v>
      </c>
    </row>
    <row r="85" spans="2:34" ht="12.75" hidden="1" customHeight="1" x14ac:dyDescent="0.25">
      <c r="B85" s="16" t="s">
        <v>93</v>
      </c>
    </row>
    <row r="86" spans="2:34" ht="12.75" hidden="1" customHeight="1" x14ac:dyDescent="0.25">
      <c r="B86" s="16" t="s">
        <v>94</v>
      </c>
    </row>
    <row r="87" spans="2:34" ht="12.75" hidden="1" customHeight="1" x14ac:dyDescent="0.25">
      <c r="B87" s="16" t="s">
        <v>95</v>
      </c>
    </row>
    <row r="88" spans="2:34" ht="12.75" hidden="1" customHeight="1" x14ac:dyDescent="0.25">
      <c r="B88" s="16" t="s">
        <v>96</v>
      </c>
    </row>
    <row r="89" spans="2:34" ht="12.75" hidden="1" customHeight="1" x14ac:dyDescent="0.25">
      <c r="B89" s="16" t="s">
        <v>97</v>
      </c>
    </row>
    <row r="90" spans="2:34" ht="12.75" hidden="1" customHeight="1" x14ac:dyDescent="0.25">
      <c r="B90" s="16" t="s">
        <v>98</v>
      </c>
    </row>
    <row r="91" spans="2:34" ht="12.75" hidden="1" customHeight="1" x14ac:dyDescent="0.25">
      <c r="B91" s="16" t="s">
        <v>99</v>
      </c>
    </row>
    <row r="92" spans="2:34" ht="12.75" hidden="1" customHeight="1" x14ac:dyDescent="0.25">
      <c r="B92" s="16" t="s">
        <v>100</v>
      </c>
    </row>
    <row r="93" spans="2:34" ht="12.75" hidden="1" customHeight="1" x14ac:dyDescent="0.25">
      <c r="B93" s="16" t="s">
        <v>101</v>
      </c>
    </row>
    <row r="94" spans="2:34" ht="12.75" hidden="1" customHeight="1" x14ac:dyDescent="0.25">
      <c r="B94" s="16" t="s">
        <v>102</v>
      </c>
    </row>
    <row r="95" spans="2:34" ht="12.75" hidden="1" customHeight="1" x14ac:dyDescent="0.25">
      <c r="B95" s="16" t="s">
        <v>103</v>
      </c>
    </row>
    <row r="96" spans="2:34" ht="12.75" hidden="1" customHeight="1" x14ac:dyDescent="0.25">
      <c r="B96" s="16" t="s">
        <v>104</v>
      </c>
    </row>
    <row r="97" spans="2:2" ht="12.75" hidden="1" customHeight="1" x14ac:dyDescent="0.25">
      <c r="B97" s="16" t="s">
        <v>105</v>
      </c>
    </row>
    <row r="98" spans="2:2" ht="12.75" hidden="1" customHeight="1" x14ac:dyDescent="0.25">
      <c r="B98" s="16" t="s">
        <v>106</v>
      </c>
    </row>
    <row r="99" spans="2:2" ht="12.75" hidden="1" customHeight="1" x14ac:dyDescent="0.25">
      <c r="B99" s="16" t="s">
        <v>107</v>
      </c>
    </row>
    <row r="100" spans="2:2" ht="12.75" hidden="1" customHeight="1" x14ac:dyDescent="0.25">
      <c r="B100" s="16" t="s">
        <v>108</v>
      </c>
    </row>
    <row r="171" x14ac:dyDescent="0.25"/>
    <row r="172" x14ac:dyDescent="0.25"/>
    <row r="173" x14ac:dyDescent="0.25"/>
  </sheetData>
  <sheetProtection formatCells="0" formatRows="0" insertColumns="0" insertRows="0" insertHyperlinks="0" deleteRows="0" selectLockedCells="1" sort="0" autoFilter="0" pivotTables="0"/>
  <mergeCells count="95">
    <mergeCell ref="E42:X42"/>
    <mergeCell ref="E43:X43"/>
    <mergeCell ref="AB4:AG4"/>
    <mergeCell ref="AB5:AG5"/>
    <mergeCell ref="AE6:AG6"/>
    <mergeCell ref="AE7:AG7"/>
    <mergeCell ref="A8:AG8"/>
    <mergeCell ref="AB6:AD6"/>
    <mergeCell ref="AB7:AD7"/>
    <mergeCell ref="E6:V6"/>
    <mergeCell ref="B15:F15"/>
    <mergeCell ref="B24:D24"/>
    <mergeCell ref="B18:F18"/>
    <mergeCell ref="G18:AF18"/>
    <mergeCell ref="W7:AA7"/>
    <mergeCell ref="G15:AF15"/>
    <mergeCell ref="G16:AF16"/>
    <mergeCell ref="G21:AF21"/>
    <mergeCell ref="B21:F21"/>
    <mergeCell ref="G17:AF17"/>
    <mergeCell ref="A9:AG9"/>
    <mergeCell ref="B17:F17"/>
    <mergeCell ref="B16:F16"/>
    <mergeCell ref="B20:F20"/>
    <mergeCell ref="G20:AF20"/>
    <mergeCell ref="B19:F19"/>
    <mergeCell ref="G19:AF19"/>
    <mergeCell ref="I28:Q28"/>
    <mergeCell ref="B26:D26"/>
    <mergeCell ref="I26:Q26"/>
    <mergeCell ref="B40:D40"/>
    <mergeCell ref="E40:X40"/>
    <mergeCell ref="I25:Q25"/>
    <mergeCell ref="B37:D37"/>
    <mergeCell ref="I24:Q24"/>
    <mergeCell ref="R24:AF24"/>
    <mergeCell ref="E27:H27"/>
    <mergeCell ref="I27:Q27"/>
    <mergeCell ref="R27:AF27"/>
    <mergeCell ref="R25:AF25"/>
    <mergeCell ref="R26:AF26"/>
    <mergeCell ref="B32:AF32"/>
    <mergeCell ref="E24:H24"/>
    <mergeCell ref="E25:H25"/>
    <mergeCell ref="E26:H26"/>
    <mergeCell ref="E28:H28"/>
    <mergeCell ref="B27:D27"/>
    <mergeCell ref="B25:D25"/>
    <mergeCell ref="Y42:AF42"/>
    <mergeCell ref="R28:AF28"/>
    <mergeCell ref="Y36:AF36"/>
    <mergeCell ref="B36:D36"/>
    <mergeCell ref="E36:X36"/>
    <mergeCell ref="E39:X39"/>
    <mergeCell ref="E38:X38"/>
    <mergeCell ref="E37:X37"/>
    <mergeCell ref="B38:D38"/>
    <mergeCell ref="Y37:AF37"/>
    <mergeCell ref="Y38:AF38"/>
    <mergeCell ref="Y40:AF40"/>
    <mergeCell ref="B42:D42"/>
    <mergeCell ref="Y39:AF39"/>
    <mergeCell ref="B39:D39"/>
    <mergeCell ref="B28:D28"/>
    <mergeCell ref="Y45:AF45"/>
    <mergeCell ref="Y46:AF46"/>
    <mergeCell ref="B44:D44"/>
    <mergeCell ref="B46:D46"/>
    <mergeCell ref="B43:D43"/>
    <mergeCell ref="B45:D45"/>
    <mergeCell ref="Y44:AF44"/>
    <mergeCell ref="E44:X44"/>
    <mergeCell ref="E46:X46"/>
    <mergeCell ref="Y43:AF43"/>
    <mergeCell ref="E45:X45"/>
    <mergeCell ref="B54:G54"/>
    <mergeCell ref="H49:AF49"/>
    <mergeCell ref="H54:AF54"/>
    <mergeCell ref="B52:G52"/>
    <mergeCell ref="H52:AF52"/>
    <mergeCell ref="B51:G51"/>
    <mergeCell ref="H51:AF51"/>
    <mergeCell ref="H53:AF53"/>
    <mergeCell ref="B53:G53"/>
    <mergeCell ref="B50:G50"/>
    <mergeCell ref="H50:AF50"/>
    <mergeCell ref="B49:G49"/>
    <mergeCell ref="E7:V7"/>
    <mergeCell ref="A4:V4"/>
    <mergeCell ref="A5:V5"/>
    <mergeCell ref="W4:AA4"/>
    <mergeCell ref="W5:AA5"/>
    <mergeCell ref="A6:D6"/>
    <mergeCell ref="A7:D7"/>
    <mergeCell ref="W6:AA6"/>
  </mergeCells>
  <phoneticPr fontId="3" type="noConversion"/>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1&amp;R&amp;P</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9" tint="0.59999389629810485"/>
  </sheetPr>
  <dimension ref="B1:BH171"/>
  <sheetViews>
    <sheetView showGridLines="0" zoomScaleNormal="100" workbookViewId="0">
      <selection activeCell="B1" sqref="B1:AG37"/>
    </sheetView>
  </sheetViews>
  <sheetFormatPr defaultColWidth="0" defaultRowHeight="12.75" customHeight="1" zeroHeight="1" x14ac:dyDescent="0.25"/>
  <cols>
    <col min="1" max="33" width="2.88671875" style="16" customWidth="1"/>
    <col min="34" max="34" width="1.33203125" style="16" customWidth="1"/>
    <col min="35" max="60" width="3.33203125" style="16" hidden="1" customWidth="1"/>
    <col min="61" max="16384" width="0" style="16" hidden="1"/>
  </cols>
  <sheetData>
    <row r="1" spans="2:34" ht="13.2" x14ac:dyDescent="0.25">
      <c r="B1" s="196" t="s">
        <v>123</v>
      </c>
      <c r="C1" s="196"/>
      <c r="D1" s="196"/>
      <c r="E1" s="196"/>
      <c r="F1" s="196"/>
      <c r="G1" s="196"/>
      <c r="H1" s="196"/>
      <c r="I1" s="196"/>
      <c r="J1" s="196"/>
      <c r="K1" s="196"/>
      <c r="L1" s="196"/>
      <c r="M1" s="196"/>
      <c r="N1" s="196"/>
      <c r="O1" s="196"/>
      <c r="P1" s="196"/>
      <c r="Q1" s="196"/>
      <c r="R1" s="196"/>
      <c r="S1" s="196"/>
      <c r="T1" s="196"/>
      <c r="U1" s="196"/>
      <c r="V1" s="196"/>
      <c r="W1" s="196"/>
      <c r="X1" s="196"/>
      <c r="Y1" s="196"/>
      <c r="Z1" s="196"/>
      <c r="AA1" s="196"/>
      <c r="AB1" s="196"/>
      <c r="AC1" s="196"/>
      <c r="AD1" s="196"/>
      <c r="AE1" s="196"/>
      <c r="AF1" s="196"/>
      <c r="AG1" s="196"/>
    </row>
    <row r="2" spans="2:34" ht="20.25" customHeight="1" x14ac:dyDescent="0.25">
      <c r="B2" s="196"/>
      <c r="C2" s="196"/>
      <c r="D2" s="196"/>
      <c r="E2" s="196"/>
      <c r="F2" s="196"/>
      <c r="G2" s="196"/>
      <c r="H2" s="196"/>
      <c r="I2" s="196"/>
      <c r="J2" s="196"/>
      <c r="K2" s="196"/>
      <c r="L2" s="196"/>
      <c r="M2" s="196"/>
      <c r="N2" s="196"/>
      <c r="O2" s="196"/>
      <c r="P2" s="196"/>
      <c r="Q2" s="196"/>
      <c r="R2" s="196"/>
      <c r="S2" s="196"/>
      <c r="T2" s="196"/>
      <c r="U2" s="196"/>
      <c r="V2" s="196"/>
      <c r="W2" s="196"/>
      <c r="X2" s="196"/>
      <c r="Y2" s="196"/>
      <c r="Z2" s="196"/>
      <c r="AA2" s="196"/>
      <c r="AB2" s="196"/>
      <c r="AC2" s="196"/>
      <c r="AD2" s="196"/>
      <c r="AE2" s="196"/>
      <c r="AF2" s="196"/>
      <c r="AG2" s="196"/>
    </row>
    <row r="3" spans="2:34" ht="13.2" x14ac:dyDescent="0.25">
      <c r="B3" s="196"/>
      <c r="C3" s="196"/>
      <c r="D3" s="196"/>
      <c r="E3" s="196"/>
      <c r="F3" s="196"/>
      <c r="G3" s="196"/>
      <c r="H3" s="196"/>
      <c r="I3" s="196"/>
      <c r="J3" s="196"/>
      <c r="K3" s="196"/>
      <c r="L3" s="196"/>
      <c r="M3" s="196"/>
      <c r="N3" s="196"/>
      <c r="O3" s="196"/>
      <c r="P3" s="196"/>
      <c r="Q3" s="196"/>
      <c r="R3" s="196"/>
      <c r="S3" s="196"/>
      <c r="T3" s="196"/>
      <c r="U3" s="196"/>
      <c r="V3" s="196"/>
      <c r="W3" s="196"/>
      <c r="X3" s="196"/>
      <c r="Y3" s="196"/>
      <c r="Z3" s="196"/>
      <c r="AA3" s="196"/>
      <c r="AB3" s="196"/>
      <c r="AC3" s="196"/>
      <c r="AD3" s="196"/>
      <c r="AE3" s="196"/>
      <c r="AF3" s="196"/>
      <c r="AG3" s="196"/>
    </row>
    <row r="4" spans="2:34" ht="13.2" x14ac:dyDescent="0.25">
      <c r="B4" s="196"/>
      <c r="C4" s="196"/>
      <c r="D4" s="196"/>
      <c r="E4" s="196"/>
      <c r="F4" s="196"/>
      <c r="G4" s="196"/>
      <c r="H4" s="196"/>
      <c r="I4" s="196"/>
      <c r="J4" s="196"/>
      <c r="K4" s="196"/>
      <c r="L4" s="196"/>
      <c r="M4" s="196"/>
      <c r="N4" s="196"/>
      <c r="O4" s="196"/>
      <c r="P4" s="196"/>
      <c r="Q4" s="196"/>
      <c r="R4" s="196"/>
      <c r="S4" s="196"/>
      <c r="T4" s="196"/>
      <c r="U4" s="196"/>
      <c r="V4" s="196"/>
      <c r="W4" s="196"/>
      <c r="X4" s="196"/>
      <c r="Y4" s="196"/>
      <c r="Z4" s="196"/>
      <c r="AA4" s="196"/>
      <c r="AB4" s="196"/>
      <c r="AC4" s="196"/>
      <c r="AD4" s="196"/>
      <c r="AE4" s="196"/>
      <c r="AF4" s="196"/>
      <c r="AG4" s="196"/>
    </row>
    <row r="5" spans="2:34" ht="13.2" x14ac:dyDescent="0.25">
      <c r="B5" s="196"/>
      <c r="C5" s="196"/>
      <c r="D5" s="196"/>
      <c r="E5" s="196"/>
      <c r="F5" s="196"/>
      <c r="G5" s="196"/>
      <c r="H5" s="196"/>
      <c r="I5" s="196"/>
      <c r="J5" s="196"/>
      <c r="K5" s="196"/>
      <c r="L5" s="196"/>
      <c r="M5" s="196"/>
      <c r="N5" s="196"/>
      <c r="O5" s="196"/>
      <c r="P5" s="196"/>
      <c r="Q5" s="196"/>
      <c r="R5" s="196"/>
      <c r="S5" s="196"/>
      <c r="T5" s="196"/>
      <c r="U5" s="196"/>
      <c r="V5" s="196"/>
      <c r="W5" s="196"/>
      <c r="X5" s="196"/>
      <c r="Y5" s="196"/>
      <c r="Z5" s="196"/>
      <c r="AA5" s="196"/>
      <c r="AB5" s="196"/>
      <c r="AC5" s="196"/>
      <c r="AD5" s="196"/>
      <c r="AE5" s="196"/>
      <c r="AF5" s="196"/>
      <c r="AG5" s="196"/>
    </row>
    <row r="6" spans="2:34" ht="13.2" x14ac:dyDescent="0.25">
      <c r="B6" s="196"/>
      <c r="C6" s="196"/>
      <c r="D6" s="196"/>
      <c r="E6" s="196"/>
      <c r="F6" s="196"/>
      <c r="G6" s="196"/>
      <c r="H6" s="196"/>
      <c r="I6" s="196"/>
      <c r="J6" s="196"/>
      <c r="K6" s="196"/>
      <c r="L6" s="196"/>
      <c r="M6" s="196"/>
      <c r="N6" s="196"/>
      <c r="O6" s="196"/>
      <c r="P6" s="196"/>
      <c r="Q6" s="196"/>
      <c r="R6" s="196"/>
      <c r="S6" s="196"/>
      <c r="T6" s="196"/>
      <c r="U6" s="196"/>
      <c r="V6" s="196"/>
      <c r="W6" s="196"/>
      <c r="X6" s="196"/>
      <c r="Y6" s="196"/>
      <c r="Z6" s="196"/>
      <c r="AA6" s="196"/>
      <c r="AB6" s="196"/>
      <c r="AC6" s="196"/>
      <c r="AD6" s="196"/>
      <c r="AE6" s="196"/>
      <c r="AF6" s="196"/>
      <c r="AG6" s="196"/>
    </row>
    <row r="7" spans="2:34" ht="13.2" x14ac:dyDescent="0.25">
      <c r="B7" s="196"/>
      <c r="C7" s="196"/>
      <c r="D7" s="196"/>
      <c r="E7" s="196"/>
      <c r="F7" s="196"/>
      <c r="G7" s="196"/>
      <c r="H7" s="196"/>
      <c r="I7" s="196"/>
      <c r="J7" s="196"/>
      <c r="K7" s="196"/>
      <c r="L7" s="196"/>
      <c r="M7" s="196"/>
      <c r="N7" s="196"/>
      <c r="O7" s="196"/>
      <c r="P7" s="196"/>
      <c r="Q7" s="196"/>
      <c r="R7" s="196"/>
      <c r="S7" s="196"/>
      <c r="T7" s="196"/>
      <c r="U7" s="196"/>
      <c r="V7" s="196"/>
      <c r="W7" s="196"/>
      <c r="X7" s="196"/>
      <c r="Y7" s="196"/>
      <c r="Z7" s="196"/>
      <c r="AA7" s="196"/>
      <c r="AB7" s="196"/>
      <c r="AC7" s="196"/>
      <c r="AD7" s="196"/>
      <c r="AE7" s="196"/>
      <c r="AF7" s="196"/>
      <c r="AG7" s="196"/>
    </row>
    <row r="8" spans="2:34" ht="13.2" x14ac:dyDescent="0.25">
      <c r="B8" s="196"/>
      <c r="C8" s="196"/>
      <c r="D8" s="196"/>
      <c r="E8" s="196"/>
      <c r="F8" s="196"/>
      <c r="G8" s="196"/>
      <c r="H8" s="196"/>
      <c r="I8" s="196"/>
      <c r="J8" s="196"/>
      <c r="K8" s="196"/>
      <c r="L8" s="196"/>
      <c r="M8" s="196"/>
      <c r="N8" s="196"/>
      <c r="O8" s="196"/>
      <c r="P8" s="196"/>
      <c r="Q8" s="196"/>
      <c r="R8" s="196"/>
      <c r="S8" s="196"/>
      <c r="T8" s="196"/>
      <c r="U8" s="196"/>
      <c r="V8" s="196"/>
      <c r="W8" s="196"/>
      <c r="X8" s="196"/>
      <c r="Y8" s="196"/>
      <c r="Z8" s="196"/>
      <c r="AA8" s="196"/>
      <c r="AB8" s="196"/>
      <c r="AC8" s="196"/>
      <c r="AD8" s="196"/>
      <c r="AE8" s="196"/>
      <c r="AF8" s="196"/>
      <c r="AG8" s="196"/>
    </row>
    <row r="9" spans="2:34" ht="13.2" x14ac:dyDescent="0.25">
      <c r="B9" s="196"/>
      <c r="C9" s="196"/>
      <c r="D9" s="196"/>
      <c r="E9" s="196"/>
      <c r="F9" s="196"/>
      <c r="G9" s="196"/>
      <c r="H9" s="196"/>
      <c r="I9" s="196"/>
      <c r="J9" s="196"/>
      <c r="K9" s="196"/>
      <c r="L9" s="196"/>
      <c r="M9" s="196"/>
      <c r="N9" s="196"/>
      <c r="O9" s="196"/>
      <c r="P9" s="196"/>
      <c r="Q9" s="196"/>
      <c r="R9" s="196"/>
      <c r="S9" s="196"/>
      <c r="T9" s="196"/>
      <c r="U9" s="196"/>
      <c r="V9" s="196"/>
      <c r="W9" s="196"/>
      <c r="X9" s="196"/>
      <c r="Y9" s="196"/>
      <c r="Z9" s="196"/>
      <c r="AA9" s="196"/>
      <c r="AB9" s="196"/>
      <c r="AC9" s="196"/>
      <c r="AD9" s="196"/>
      <c r="AE9" s="196"/>
      <c r="AF9" s="196"/>
      <c r="AG9" s="196"/>
    </row>
    <row r="10" spans="2:34" ht="13.2" x14ac:dyDescent="0.25">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c r="AF10" s="196"/>
      <c r="AG10" s="196"/>
    </row>
    <row r="11" spans="2:34" ht="13.2" x14ac:dyDescent="0.25">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row>
    <row r="12" spans="2:34" ht="13.2" x14ac:dyDescent="0.25">
      <c r="B12" s="196"/>
      <c r="C12" s="196"/>
      <c r="D12" s="196"/>
      <c r="E12" s="196"/>
      <c r="F12" s="196"/>
      <c r="G12" s="196"/>
      <c r="H12" s="196"/>
      <c r="I12" s="196"/>
      <c r="J12" s="196"/>
      <c r="K12" s="196"/>
      <c r="L12" s="196"/>
      <c r="M12" s="196"/>
      <c r="N12" s="196"/>
      <c r="O12" s="196"/>
      <c r="P12" s="196"/>
      <c r="Q12" s="196"/>
      <c r="R12" s="196"/>
      <c r="S12" s="196"/>
      <c r="T12" s="196"/>
      <c r="U12" s="196"/>
      <c r="V12" s="196"/>
      <c r="W12" s="196"/>
      <c r="X12" s="196"/>
      <c r="Y12" s="196"/>
      <c r="Z12" s="196"/>
      <c r="AA12" s="196"/>
      <c r="AB12" s="196"/>
      <c r="AC12" s="196"/>
      <c r="AD12" s="196"/>
      <c r="AE12" s="196"/>
      <c r="AF12" s="196"/>
      <c r="AG12" s="196"/>
    </row>
    <row r="13" spans="2:34" ht="13.2" x14ac:dyDescent="0.25">
      <c r="B13" s="196"/>
      <c r="C13" s="196"/>
      <c r="D13" s="196"/>
      <c r="E13" s="196"/>
      <c r="F13" s="196"/>
      <c r="G13" s="196"/>
      <c r="H13" s="196"/>
      <c r="I13" s="196"/>
      <c r="J13" s="196"/>
      <c r="K13" s="196"/>
      <c r="L13" s="196"/>
      <c r="M13" s="196"/>
      <c r="N13" s="196"/>
      <c r="O13" s="196"/>
      <c r="P13" s="196"/>
      <c r="Q13" s="196"/>
      <c r="R13" s="196"/>
      <c r="S13" s="196"/>
      <c r="T13" s="196"/>
      <c r="U13" s="196"/>
      <c r="V13" s="196"/>
      <c r="W13" s="196"/>
      <c r="X13" s="196"/>
      <c r="Y13" s="196"/>
      <c r="Z13" s="196"/>
      <c r="AA13" s="196"/>
      <c r="AB13" s="196"/>
      <c r="AC13" s="196"/>
      <c r="AD13" s="196"/>
      <c r="AE13" s="196"/>
      <c r="AF13" s="196"/>
      <c r="AG13" s="196"/>
    </row>
    <row r="14" spans="2:34" ht="13.2" x14ac:dyDescent="0.25">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c r="AF14" s="196"/>
      <c r="AG14" s="196"/>
      <c r="AH14" s="40"/>
    </row>
    <row r="15" spans="2:34" ht="13.2" x14ac:dyDescent="0.25">
      <c r="B15" s="196"/>
      <c r="C15" s="196"/>
      <c r="D15" s="196"/>
      <c r="E15" s="196"/>
      <c r="F15" s="196"/>
      <c r="G15" s="196"/>
      <c r="H15" s="196"/>
      <c r="I15" s="196"/>
      <c r="J15" s="196"/>
      <c r="K15" s="196"/>
      <c r="L15" s="196"/>
      <c r="M15" s="196"/>
      <c r="N15" s="196"/>
      <c r="O15" s="196"/>
      <c r="P15" s="196"/>
      <c r="Q15" s="196"/>
      <c r="R15" s="196"/>
      <c r="S15" s="196"/>
      <c r="T15" s="196"/>
      <c r="U15" s="196"/>
      <c r="V15" s="196"/>
      <c r="W15" s="196"/>
      <c r="X15" s="196"/>
      <c r="Y15" s="196"/>
      <c r="Z15" s="196"/>
      <c r="AA15" s="196"/>
      <c r="AB15" s="196"/>
      <c r="AC15" s="196"/>
      <c r="AD15" s="196"/>
      <c r="AE15" s="196"/>
      <c r="AF15" s="196"/>
      <c r="AG15" s="196"/>
      <c r="AH15" s="40"/>
    </row>
    <row r="16" spans="2:34" ht="13.2" x14ac:dyDescent="0.25">
      <c r="B16" s="196"/>
      <c r="C16" s="196"/>
      <c r="D16" s="196"/>
      <c r="E16" s="196"/>
      <c r="F16" s="196"/>
      <c r="G16" s="196"/>
      <c r="H16" s="196"/>
      <c r="I16" s="196"/>
      <c r="J16" s="196"/>
      <c r="K16" s="196"/>
      <c r="L16" s="196"/>
      <c r="M16" s="196"/>
      <c r="N16" s="196"/>
      <c r="O16" s="196"/>
      <c r="P16" s="196"/>
      <c r="Q16" s="196"/>
      <c r="R16" s="196"/>
      <c r="S16" s="196"/>
      <c r="T16" s="196"/>
      <c r="U16" s="196"/>
      <c r="V16" s="196"/>
      <c r="W16" s="196"/>
      <c r="X16" s="196"/>
      <c r="Y16" s="196"/>
      <c r="Z16" s="196"/>
      <c r="AA16" s="196"/>
      <c r="AB16" s="196"/>
      <c r="AC16" s="196"/>
      <c r="AD16" s="196"/>
      <c r="AE16" s="196"/>
      <c r="AF16" s="196"/>
      <c r="AG16" s="196"/>
      <c r="AH16" s="40"/>
    </row>
    <row r="17" spans="2:34" ht="13.2" x14ac:dyDescent="0.25">
      <c r="B17" s="196"/>
      <c r="C17" s="196"/>
      <c r="D17" s="196"/>
      <c r="E17" s="196"/>
      <c r="F17" s="196"/>
      <c r="G17" s="196"/>
      <c r="H17" s="196"/>
      <c r="I17" s="196"/>
      <c r="J17" s="196"/>
      <c r="K17" s="196"/>
      <c r="L17" s="196"/>
      <c r="M17" s="196"/>
      <c r="N17" s="196"/>
      <c r="O17" s="196"/>
      <c r="P17" s="196"/>
      <c r="Q17" s="196"/>
      <c r="R17" s="196"/>
      <c r="S17" s="196"/>
      <c r="T17" s="196"/>
      <c r="U17" s="196"/>
      <c r="V17" s="196"/>
      <c r="W17" s="196"/>
      <c r="X17" s="196"/>
      <c r="Y17" s="196"/>
      <c r="Z17" s="196"/>
      <c r="AA17" s="196"/>
      <c r="AB17" s="196"/>
      <c r="AC17" s="196"/>
      <c r="AD17" s="196"/>
      <c r="AE17" s="196"/>
      <c r="AF17" s="196"/>
      <c r="AG17" s="196"/>
      <c r="AH17" s="40"/>
    </row>
    <row r="18" spans="2:34" ht="13.2" x14ac:dyDescent="0.25">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c r="AF18" s="196"/>
      <c r="AG18" s="196"/>
      <c r="AH18" s="40"/>
    </row>
    <row r="19" spans="2:34" ht="13.2" x14ac:dyDescent="0.25">
      <c r="B19" s="196"/>
      <c r="C19" s="196"/>
      <c r="D19" s="196"/>
      <c r="E19" s="196"/>
      <c r="F19" s="196"/>
      <c r="G19" s="196"/>
      <c r="H19" s="196"/>
      <c r="I19" s="196"/>
      <c r="J19" s="196"/>
      <c r="K19" s="196"/>
      <c r="L19" s="196"/>
      <c r="M19" s="196"/>
      <c r="N19" s="196"/>
      <c r="O19" s="196"/>
      <c r="P19" s="196"/>
      <c r="Q19" s="196"/>
      <c r="R19" s="196"/>
      <c r="S19" s="196"/>
      <c r="T19" s="196"/>
      <c r="U19" s="196"/>
      <c r="V19" s="196"/>
      <c r="W19" s="196"/>
      <c r="X19" s="196"/>
      <c r="Y19" s="196"/>
      <c r="Z19" s="196"/>
      <c r="AA19" s="196"/>
      <c r="AB19" s="196"/>
      <c r="AC19" s="196"/>
      <c r="AD19" s="196"/>
      <c r="AE19" s="196"/>
      <c r="AF19" s="196"/>
      <c r="AG19" s="196"/>
      <c r="AH19" s="40"/>
    </row>
    <row r="20" spans="2:34" ht="13.2" x14ac:dyDescent="0.25">
      <c r="B20" s="196"/>
      <c r="C20" s="196"/>
      <c r="D20" s="196"/>
      <c r="E20" s="196"/>
      <c r="F20" s="196"/>
      <c r="G20" s="196"/>
      <c r="H20" s="196"/>
      <c r="I20" s="196"/>
      <c r="J20" s="196"/>
      <c r="K20" s="196"/>
      <c r="L20" s="196"/>
      <c r="M20" s="196"/>
      <c r="N20" s="196"/>
      <c r="O20" s="196"/>
      <c r="P20" s="196"/>
      <c r="Q20" s="196"/>
      <c r="R20" s="196"/>
      <c r="S20" s="196"/>
      <c r="T20" s="196"/>
      <c r="U20" s="196"/>
      <c r="V20" s="196"/>
      <c r="W20" s="196"/>
      <c r="X20" s="196"/>
      <c r="Y20" s="196"/>
      <c r="Z20" s="196"/>
      <c r="AA20" s="196"/>
      <c r="AB20" s="196"/>
      <c r="AC20" s="196"/>
      <c r="AD20" s="196"/>
      <c r="AE20" s="196"/>
      <c r="AF20" s="196"/>
      <c r="AG20" s="196"/>
      <c r="AH20" s="43"/>
    </row>
    <row r="21" spans="2:34" ht="13.2" x14ac:dyDescent="0.25">
      <c r="B21" s="196"/>
      <c r="C21" s="196"/>
      <c r="D21" s="196"/>
      <c r="E21" s="196"/>
      <c r="F21" s="196"/>
      <c r="G21" s="196"/>
      <c r="H21" s="196"/>
      <c r="I21" s="196"/>
      <c r="J21" s="196"/>
      <c r="K21" s="196"/>
      <c r="L21" s="196"/>
      <c r="M21" s="196"/>
      <c r="N21" s="196"/>
      <c r="O21" s="196"/>
      <c r="P21" s="196"/>
      <c r="Q21" s="196"/>
      <c r="R21" s="196"/>
      <c r="S21" s="196"/>
      <c r="T21" s="196"/>
      <c r="U21" s="196"/>
      <c r="V21" s="196"/>
      <c r="W21" s="196"/>
      <c r="X21" s="196"/>
      <c r="Y21" s="196"/>
      <c r="Z21" s="196"/>
      <c r="AA21" s="196"/>
      <c r="AB21" s="196"/>
      <c r="AC21" s="196"/>
      <c r="AD21" s="196"/>
      <c r="AE21" s="196"/>
      <c r="AF21" s="196"/>
      <c r="AG21" s="196"/>
      <c r="AH21" s="43"/>
    </row>
    <row r="22" spans="2:34" ht="13.2" x14ac:dyDescent="0.25">
      <c r="B22" s="196"/>
      <c r="C22" s="196"/>
      <c r="D22" s="196"/>
      <c r="E22" s="196"/>
      <c r="F22" s="196"/>
      <c r="G22" s="196"/>
      <c r="H22" s="196"/>
      <c r="I22" s="196"/>
      <c r="J22" s="196"/>
      <c r="K22" s="196"/>
      <c r="L22" s="196"/>
      <c r="M22" s="196"/>
      <c r="N22" s="196"/>
      <c r="O22" s="196"/>
      <c r="P22" s="196"/>
      <c r="Q22" s="196"/>
      <c r="R22" s="196"/>
      <c r="S22" s="196"/>
      <c r="T22" s="196"/>
      <c r="U22" s="196"/>
      <c r="V22" s="196"/>
      <c r="W22" s="196"/>
      <c r="X22" s="196"/>
      <c r="Y22" s="196"/>
      <c r="Z22" s="196"/>
      <c r="AA22" s="196"/>
      <c r="AB22" s="196"/>
      <c r="AC22" s="196"/>
      <c r="AD22" s="196"/>
      <c r="AE22" s="196"/>
      <c r="AF22" s="196"/>
      <c r="AG22" s="196"/>
      <c r="AH22" s="43"/>
    </row>
    <row r="23" spans="2:34" ht="13.2" x14ac:dyDescent="0.25">
      <c r="B23" s="196"/>
      <c r="C23" s="196"/>
      <c r="D23" s="196"/>
      <c r="E23" s="196"/>
      <c r="F23" s="196"/>
      <c r="G23" s="196"/>
      <c r="H23" s="196"/>
      <c r="I23" s="196"/>
      <c r="J23" s="196"/>
      <c r="K23" s="196"/>
      <c r="L23" s="196"/>
      <c r="M23" s="196"/>
      <c r="N23" s="196"/>
      <c r="O23" s="196"/>
      <c r="P23" s="196"/>
      <c r="Q23" s="196"/>
      <c r="R23" s="196"/>
      <c r="S23" s="196"/>
      <c r="T23" s="196"/>
      <c r="U23" s="196"/>
      <c r="V23" s="196"/>
      <c r="W23" s="196"/>
      <c r="X23" s="196"/>
      <c r="Y23" s="196"/>
      <c r="Z23" s="196"/>
      <c r="AA23" s="196"/>
      <c r="AB23" s="196"/>
      <c r="AC23" s="196"/>
      <c r="AD23" s="196"/>
      <c r="AE23" s="196"/>
      <c r="AF23" s="196"/>
      <c r="AG23" s="196"/>
    </row>
    <row r="24" spans="2:34" ht="13.2" x14ac:dyDescent="0.25">
      <c r="B24" s="196"/>
      <c r="C24" s="196"/>
      <c r="D24" s="196"/>
      <c r="E24" s="196"/>
      <c r="F24" s="196"/>
      <c r="G24" s="196"/>
      <c r="H24" s="196"/>
      <c r="I24" s="196"/>
      <c r="J24" s="196"/>
      <c r="K24" s="196"/>
      <c r="L24" s="196"/>
      <c r="M24" s="196"/>
      <c r="N24" s="196"/>
      <c r="O24" s="196"/>
      <c r="P24" s="196"/>
      <c r="Q24" s="196"/>
      <c r="R24" s="196"/>
      <c r="S24" s="196"/>
      <c r="T24" s="196"/>
      <c r="U24" s="196"/>
      <c r="V24" s="196"/>
      <c r="W24" s="196"/>
      <c r="X24" s="196"/>
      <c r="Y24" s="196"/>
      <c r="Z24" s="196"/>
      <c r="AA24" s="196"/>
      <c r="AB24" s="196"/>
      <c r="AC24" s="196"/>
      <c r="AD24" s="196"/>
      <c r="AE24" s="196"/>
      <c r="AF24" s="196"/>
      <c r="AG24" s="196"/>
    </row>
    <row r="25" spans="2:34" ht="13.2" x14ac:dyDescent="0.25">
      <c r="B25" s="196"/>
      <c r="C25" s="196"/>
      <c r="D25" s="196"/>
      <c r="E25" s="196"/>
      <c r="F25" s="196"/>
      <c r="G25" s="196"/>
      <c r="H25" s="196"/>
      <c r="I25" s="196"/>
      <c r="J25" s="196"/>
      <c r="K25" s="196"/>
      <c r="L25" s="196"/>
      <c r="M25" s="196"/>
      <c r="N25" s="196"/>
      <c r="O25" s="196"/>
      <c r="P25" s="196"/>
      <c r="Q25" s="196"/>
      <c r="R25" s="196"/>
      <c r="S25" s="196"/>
      <c r="T25" s="196"/>
      <c r="U25" s="196"/>
      <c r="V25" s="196"/>
      <c r="W25" s="196"/>
      <c r="X25" s="196"/>
      <c r="Y25" s="196"/>
      <c r="Z25" s="196"/>
      <c r="AA25" s="196"/>
      <c r="AB25" s="196"/>
      <c r="AC25" s="196"/>
      <c r="AD25" s="196"/>
      <c r="AE25" s="196"/>
      <c r="AF25" s="196"/>
      <c r="AG25" s="196"/>
    </row>
    <row r="26" spans="2:34" ht="13.2" x14ac:dyDescent="0.25">
      <c r="B26" s="196"/>
      <c r="C26" s="196"/>
      <c r="D26" s="196"/>
      <c r="E26" s="196"/>
      <c r="F26" s="196"/>
      <c r="G26" s="196"/>
      <c r="H26" s="196"/>
      <c r="I26" s="196"/>
      <c r="J26" s="196"/>
      <c r="K26" s="196"/>
      <c r="L26" s="196"/>
      <c r="M26" s="196"/>
      <c r="N26" s="196"/>
      <c r="O26" s="196"/>
      <c r="P26" s="196"/>
      <c r="Q26" s="196"/>
      <c r="R26" s="196"/>
      <c r="S26" s="196"/>
      <c r="T26" s="196"/>
      <c r="U26" s="196"/>
      <c r="V26" s="196"/>
      <c r="W26" s="196"/>
      <c r="X26" s="196"/>
      <c r="Y26" s="196"/>
      <c r="Z26" s="196"/>
      <c r="AA26" s="196"/>
      <c r="AB26" s="196"/>
      <c r="AC26" s="196"/>
      <c r="AD26" s="196"/>
      <c r="AE26" s="196"/>
      <c r="AF26" s="196"/>
      <c r="AG26" s="196"/>
    </row>
    <row r="27" spans="2:34" ht="13.2" x14ac:dyDescent="0.25">
      <c r="B27" s="196"/>
      <c r="C27" s="196"/>
      <c r="D27" s="196"/>
      <c r="E27" s="196"/>
      <c r="F27" s="196"/>
      <c r="G27" s="196"/>
      <c r="H27" s="196"/>
      <c r="I27" s="196"/>
      <c r="J27" s="196"/>
      <c r="K27" s="196"/>
      <c r="L27" s="196"/>
      <c r="M27" s="196"/>
      <c r="N27" s="196"/>
      <c r="O27" s="196"/>
      <c r="P27" s="196"/>
      <c r="Q27" s="196"/>
      <c r="R27" s="196"/>
      <c r="S27" s="196"/>
      <c r="T27" s="196"/>
      <c r="U27" s="196"/>
      <c r="V27" s="196"/>
      <c r="W27" s="196"/>
      <c r="X27" s="196"/>
      <c r="Y27" s="196"/>
      <c r="Z27" s="196"/>
      <c r="AA27" s="196"/>
      <c r="AB27" s="196"/>
      <c r="AC27" s="196"/>
      <c r="AD27" s="196"/>
      <c r="AE27" s="196"/>
      <c r="AF27" s="196"/>
      <c r="AG27" s="196"/>
    </row>
    <row r="28" spans="2:34" ht="13.2" x14ac:dyDescent="0.25">
      <c r="B28" s="196"/>
      <c r="C28" s="196"/>
      <c r="D28" s="196"/>
      <c r="E28" s="196"/>
      <c r="F28" s="196"/>
      <c r="G28" s="196"/>
      <c r="H28" s="196"/>
      <c r="I28" s="196"/>
      <c r="J28" s="196"/>
      <c r="K28" s="196"/>
      <c r="L28" s="196"/>
      <c r="M28" s="196"/>
      <c r="N28" s="196"/>
      <c r="O28" s="196"/>
      <c r="P28" s="196"/>
      <c r="Q28" s="196"/>
      <c r="R28" s="196"/>
      <c r="S28" s="196"/>
      <c r="T28" s="196"/>
      <c r="U28" s="196"/>
      <c r="V28" s="196"/>
      <c r="W28" s="196"/>
      <c r="X28" s="196"/>
      <c r="Y28" s="196"/>
      <c r="Z28" s="196"/>
      <c r="AA28" s="196"/>
      <c r="AB28" s="196"/>
      <c r="AC28" s="196"/>
      <c r="AD28" s="196"/>
      <c r="AE28" s="196"/>
      <c r="AF28" s="196"/>
      <c r="AG28" s="196"/>
    </row>
    <row r="29" spans="2:34" ht="13.2" x14ac:dyDescent="0.25">
      <c r="B29" s="196"/>
      <c r="C29" s="196"/>
      <c r="D29" s="196"/>
      <c r="E29" s="196"/>
      <c r="F29" s="196"/>
      <c r="G29" s="196"/>
      <c r="H29" s="196"/>
      <c r="I29" s="196"/>
      <c r="J29" s="196"/>
      <c r="K29" s="196"/>
      <c r="L29" s="196"/>
      <c r="M29" s="196"/>
      <c r="N29" s="196"/>
      <c r="O29" s="196"/>
      <c r="P29" s="196"/>
      <c r="Q29" s="196"/>
      <c r="R29" s="196"/>
      <c r="S29" s="196"/>
      <c r="T29" s="196"/>
      <c r="U29" s="196"/>
      <c r="V29" s="196"/>
      <c r="W29" s="196"/>
      <c r="X29" s="196"/>
      <c r="Y29" s="196"/>
      <c r="Z29" s="196"/>
      <c r="AA29" s="196"/>
      <c r="AB29" s="196"/>
      <c r="AC29" s="196"/>
      <c r="AD29" s="196"/>
      <c r="AE29" s="196"/>
      <c r="AF29" s="196"/>
      <c r="AG29" s="196"/>
    </row>
    <row r="30" spans="2:34" ht="13.2" x14ac:dyDescent="0.25">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c r="AF30" s="196"/>
      <c r="AG30" s="196"/>
    </row>
    <row r="31" spans="2:34" ht="13.2" x14ac:dyDescent="0.25">
      <c r="B31" s="196"/>
      <c r="C31" s="196"/>
      <c r="D31" s="196"/>
      <c r="E31" s="196"/>
      <c r="F31" s="196"/>
      <c r="G31" s="196"/>
      <c r="H31" s="196"/>
      <c r="I31" s="196"/>
      <c r="J31" s="196"/>
      <c r="K31" s="196"/>
      <c r="L31" s="196"/>
      <c r="M31" s="196"/>
      <c r="N31" s="196"/>
      <c r="O31" s="196"/>
      <c r="P31" s="196"/>
      <c r="Q31" s="196"/>
      <c r="R31" s="196"/>
      <c r="S31" s="196"/>
      <c r="T31" s="196"/>
      <c r="U31" s="196"/>
      <c r="V31" s="196"/>
      <c r="W31" s="196"/>
      <c r="X31" s="196"/>
      <c r="Y31" s="196"/>
      <c r="Z31" s="196"/>
      <c r="AA31" s="196"/>
      <c r="AB31" s="196"/>
      <c r="AC31" s="196"/>
      <c r="AD31" s="196"/>
      <c r="AE31" s="196"/>
      <c r="AF31" s="196"/>
      <c r="AG31" s="196"/>
    </row>
    <row r="32" spans="2:34" ht="13.2" x14ac:dyDescent="0.25">
      <c r="B32" s="196"/>
      <c r="C32" s="196"/>
      <c r="D32" s="196"/>
      <c r="E32" s="196"/>
      <c r="F32" s="196"/>
      <c r="G32" s="196"/>
      <c r="H32" s="196"/>
      <c r="I32" s="196"/>
      <c r="J32" s="196"/>
      <c r="K32" s="196"/>
      <c r="L32" s="196"/>
      <c r="M32" s="196"/>
      <c r="N32" s="196"/>
      <c r="O32" s="196"/>
      <c r="P32" s="196"/>
      <c r="Q32" s="196"/>
      <c r="R32" s="196"/>
      <c r="S32" s="196"/>
      <c r="T32" s="196"/>
      <c r="U32" s="196"/>
      <c r="V32" s="196"/>
      <c r="W32" s="196"/>
      <c r="X32" s="196"/>
      <c r="Y32" s="196"/>
      <c r="Z32" s="196"/>
      <c r="AA32" s="196"/>
      <c r="AB32" s="196"/>
      <c r="AC32" s="196"/>
      <c r="AD32" s="196"/>
      <c r="AE32" s="196"/>
      <c r="AF32" s="196"/>
      <c r="AG32" s="196"/>
    </row>
    <row r="33" spans="2:33" ht="13.2" x14ac:dyDescent="0.25">
      <c r="B33" s="196"/>
      <c r="C33" s="196"/>
      <c r="D33" s="196"/>
      <c r="E33" s="196"/>
      <c r="F33" s="196"/>
      <c r="G33" s="196"/>
      <c r="H33" s="196"/>
      <c r="I33" s="196"/>
      <c r="J33" s="196"/>
      <c r="K33" s="196"/>
      <c r="L33" s="196"/>
      <c r="M33" s="196"/>
      <c r="N33" s="196"/>
      <c r="O33" s="196"/>
      <c r="P33" s="196"/>
      <c r="Q33" s="196"/>
      <c r="R33" s="196"/>
      <c r="S33" s="196"/>
      <c r="T33" s="196"/>
      <c r="U33" s="196"/>
      <c r="V33" s="196"/>
      <c r="W33" s="196"/>
      <c r="X33" s="196"/>
      <c r="Y33" s="196"/>
      <c r="Z33" s="196"/>
      <c r="AA33" s="196"/>
      <c r="AB33" s="196"/>
      <c r="AC33" s="196"/>
      <c r="AD33" s="196"/>
      <c r="AE33" s="196"/>
      <c r="AF33" s="196"/>
      <c r="AG33" s="196"/>
    </row>
    <row r="34" spans="2:33" ht="13.2" x14ac:dyDescent="0.25">
      <c r="B34" s="196"/>
      <c r="C34" s="196"/>
      <c r="D34" s="196"/>
      <c r="E34" s="196"/>
      <c r="F34" s="196"/>
      <c r="G34" s="196"/>
      <c r="H34" s="196"/>
      <c r="I34" s="196"/>
      <c r="J34" s="196"/>
      <c r="K34" s="196"/>
      <c r="L34" s="196"/>
      <c r="M34" s="196"/>
      <c r="N34" s="196"/>
      <c r="O34" s="196"/>
      <c r="P34" s="196"/>
      <c r="Q34" s="196"/>
      <c r="R34" s="196"/>
      <c r="S34" s="196"/>
      <c r="T34" s="196"/>
      <c r="U34" s="196"/>
      <c r="V34" s="196"/>
      <c r="W34" s="196"/>
      <c r="X34" s="196"/>
      <c r="Y34" s="196"/>
      <c r="Z34" s="196"/>
      <c r="AA34" s="196"/>
      <c r="AB34" s="196"/>
      <c r="AC34" s="196"/>
      <c r="AD34" s="196"/>
      <c r="AE34" s="196"/>
      <c r="AF34" s="196"/>
      <c r="AG34" s="196"/>
    </row>
    <row r="35" spans="2:33" ht="12.75" customHeight="1" x14ac:dyDescent="0.25">
      <c r="B35" s="196"/>
      <c r="C35" s="196"/>
      <c r="D35" s="196"/>
      <c r="E35" s="196"/>
      <c r="F35" s="196"/>
      <c r="G35" s="196"/>
      <c r="H35" s="196"/>
      <c r="I35" s="196"/>
      <c r="J35" s="196"/>
      <c r="K35" s="196"/>
      <c r="L35" s="196"/>
      <c r="M35" s="196"/>
      <c r="N35" s="196"/>
      <c r="O35" s="196"/>
      <c r="P35" s="196"/>
      <c r="Q35" s="196"/>
      <c r="R35" s="196"/>
      <c r="S35" s="196"/>
      <c r="T35" s="196"/>
      <c r="U35" s="196"/>
      <c r="V35" s="196"/>
      <c r="W35" s="196"/>
      <c r="X35" s="196"/>
      <c r="Y35" s="196"/>
      <c r="Z35" s="196"/>
      <c r="AA35" s="196"/>
      <c r="AB35" s="196"/>
      <c r="AC35" s="196"/>
      <c r="AD35" s="196"/>
      <c r="AE35" s="196"/>
      <c r="AF35" s="196"/>
      <c r="AG35" s="196"/>
    </row>
    <row r="36" spans="2:33" ht="12.75" customHeight="1" x14ac:dyDescent="0.25">
      <c r="B36" s="196"/>
      <c r="C36" s="196"/>
      <c r="D36" s="196"/>
      <c r="E36" s="196"/>
      <c r="F36" s="196"/>
      <c r="G36" s="196"/>
      <c r="H36" s="196"/>
      <c r="I36" s="196"/>
      <c r="J36" s="196"/>
      <c r="K36" s="196"/>
      <c r="L36" s="196"/>
      <c r="M36" s="196"/>
      <c r="N36" s="196"/>
      <c r="O36" s="196"/>
      <c r="P36" s="196"/>
      <c r="Q36" s="196"/>
      <c r="R36" s="196"/>
      <c r="S36" s="196"/>
      <c r="T36" s="196"/>
      <c r="U36" s="196"/>
      <c r="V36" s="196"/>
      <c r="W36" s="196"/>
      <c r="X36" s="196"/>
      <c r="Y36" s="196"/>
      <c r="Z36" s="196"/>
      <c r="AA36" s="196"/>
      <c r="AB36" s="196"/>
      <c r="AC36" s="196"/>
      <c r="AD36" s="196"/>
      <c r="AE36" s="196"/>
      <c r="AF36" s="196"/>
      <c r="AG36" s="196"/>
    </row>
    <row r="37" spans="2:33" ht="12.75" customHeight="1" x14ac:dyDescent="0.25">
      <c r="B37" s="196"/>
      <c r="C37" s="196"/>
      <c r="D37" s="196"/>
      <c r="E37" s="196"/>
      <c r="F37" s="196"/>
      <c r="G37" s="196"/>
      <c r="H37" s="196"/>
      <c r="I37" s="196"/>
      <c r="J37" s="196"/>
      <c r="K37" s="196"/>
      <c r="L37" s="196"/>
      <c r="M37" s="196"/>
      <c r="N37" s="196"/>
      <c r="O37" s="196"/>
      <c r="P37" s="196"/>
      <c r="Q37" s="196"/>
      <c r="R37" s="196"/>
      <c r="S37" s="196"/>
      <c r="T37" s="196"/>
      <c r="U37" s="196"/>
      <c r="V37" s="196"/>
      <c r="W37" s="196"/>
      <c r="X37" s="196"/>
      <c r="Y37" s="196"/>
      <c r="Z37" s="196"/>
      <c r="AA37" s="196"/>
      <c r="AB37" s="196"/>
      <c r="AC37" s="196"/>
      <c r="AD37" s="196"/>
      <c r="AE37" s="196"/>
      <c r="AF37" s="196"/>
      <c r="AG37" s="196"/>
    </row>
    <row r="38" spans="2:33" ht="12.75" customHeight="1" x14ac:dyDescent="0.25"/>
    <row r="39" spans="2:33" ht="12.75" customHeight="1" x14ac:dyDescent="0.25"/>
    <row r="40" spans="2:33" ht="12.75" customHeight="1" x14ac:dyDescent="0.25"/>
    <row r="41" spans="2:33" ht="12.75" customHeight="1" x14ac:dyDescent="0.25"/>
    <row r="42" spans="2:33" ht="12.75" customHeight="1" x14ac:dyDescent="0.25"/>
    <row r="43" spans="2:33" ht="12.75" customHeight="1" x14ac:dyDescent="0.25"/>
    <row r="44" spans="2:33" ht="12.75" customHeight="1" x14ac:dyDescent="0.25"/>
    <row r="45" spans="2:33" ht="12.75" customHeight="1" x14ac:dyDescent="0.25"/>
    <row r="46" spans="2:33" ht="12.75" customHeight="1" x14ac:dyDescent="0.25"/>
    <row r="47" spans="2:33" ht="12.75" customHeight="1" x14ac:dyDescent="0.25"/>
    <row r="48" spans="2:33" ht="12.75" customHeight="1" x14ac:dyDescent="0.25"/>
    <row r="49" ht="12.75" customHeight="1" x14ac:dyDescent="0.25"/>
    <row r="50" ht="12.75" customHeight="1" x14ac:dyDescent="0.25"/>
    <row r="51" ht="12.75" customHeight="1" x14ac:dyDescent="0.25"/>
    <row r="52" ht="12.75" customHeight="1" x14ac:dyDescent="0.25"/>
    <row r="53" ht="12.75" customHeight="1" x14ac:dyDescent="0.25"/>
    <row r="54" ht="12.75" customHeight="1" x14ac:dyDescent="0.25"/>
    <row r="55" ht="12.75" customHeight="1" x14ac:dyDescent="0.25"/>
    <row r="56" ht="12.75" customHeight="1" x14ac:dyDescent="0.25"/>
    <row r="57" ht="12.75" customHeight="1" x14ac:dyDescent="0.25"/>
    <row r="58" ht="12.75" customHeight="1" x14ac:dyDescent="0.25"/>
    <row r="59" ht="12.75" customHeight="1" x14ac:dyDescent="0.25"/>
    <row r="60" ht="12.75" customHeight="1" x14ac:dyDescent="0.25"/>
    <row r="61" ht="12.75" customHeight="1" x14ac:dyDescent="0.25"/>
    <row r="62" ht="12.75" customHeight="1" x14ac:dyDescent="0.25"/>
    <row r="63" ht="12.75" customHeight="1" x14ac:dyDescent="0.25"/>
    <row r="6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5" ht="12.75" customHeight="1" x14ac:dyDescent="0.25"/>
    <row r="76" ht="12.75" customHeight="1" x14ac:dyDescent="0.25"/>
    <row r="77"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row r="88" ht="12.75" customHeight="1" x14ac:dyDescent="0.25"/>
    <row r="89" ht="12.75" customHeight="1" x14ac:dyDescent="0.25"/>
    <row r="90" ht="12.75" customHeight="1" x14ac:dyDescent="0.25"/>
    <row r="91" ht="12.75" customHeight="1" x14ac:dyDescent="0.25"/>
    <row r="92" ht="12.75" customHeight="1" x14ac:dyDescent="0.25"/>
    <row r="93" ht="12.75" customHeight="1" x14ac:dyDescent="0.25"/>
    <row r="94" ht="12.75" customHeight="1" x14ac:dyDescent="0.25"/>
    <row r="95" ht="12.75" customHeight="1" x14ac:dyDescent="0.25"/>
    <row r="96" ht="12.75" customHeight="1" x14ac:dyDescent="0.25"/>
    <row r="97" ht="12.75" customHeight="1" x14ac:dyDescent="0.25"/>
    <row r="98" ht="12.75" customHeight="1" x14ac:dyDescent="0.25"/>
    <row r="99" ht="12.75" customHeight="1" x14ac:dyDescent="0.25"/>
    <row r="100" ht="12.75" customHeight="1" x14ac:dyDescent="0.25"/>
    <row r="101" ht="12.75" customHeight="1" x14ac:dyDescent="0.25"/>
    <row r="102" ht="12.75" customHeight="1" x14ac:dyDescent="0.25"/>
    <row r="103" ht="12.75" customHeight="1" x14ac:dyDescent="0.25"/>
    <row r="104" ht="12.75" customHeight="1" x14ac:dyDescent="0.25"/>
    <row r="105" ht="12.75" customHeight="1" x14ac:dyDescent="0.25"/>
    <row r="106" ht="12.75" customHeight="1" x14ac:dyDescent="0.25"/>
    <row r="107" ht="12.75" customHeight="1" x14ac:dyDescent="0.25"/>
    <row r="108" ht="12.75" customHeight="1" x14ac:dyDescent="0.25"/>
    <row r="109" ht="12.75" customHeight="1" x14ac:dyDescent="0.25"/>
    <row r="110" ht="12.75" customHeight="1" x14ac:dyDescent="0.25"/>
    <row r="111" ht="12.75" customHeight="1" x14ac:dyDescent="0.25"/>
    <row r="112" ht="12.75" customHeight="1" x14ac:dyDescent="0.25"/>
    <row r="113" ht="12.75" customHeight="1" x14ac:dyDescent="0.25"/>
    <row r="114" ht="12.75" customHeight="1" x14ac:dyDescent="0.25"/>
    <row r="115" ht="12.75" customHeight="1" x14ac:dyDescent="0.25"/>
    <row r="116" ht="12.75" customHeight="1" x14ac:dyDescent="0.25"/>
    <row r="117" ht="12.75" customHeight="1" x14ac:dyDescent="0.25"/>
    <row r="118" ht="12.75" customHeight="1" x14ac:dyDescent="0.25"/>
    <row r="119" ht="12.75" customHeight="1" x14ac:dyDescent="0.25"/>
    <row r="120" ht="12.75" customHeight="1" x14ac:dyDescent="0.25"/>
    <row r="121" ht="12.75" customHeight="1" x14ac:dyDescent="0.25"/>
    <row r="122" ht="12.75" customHeight="1" x14ac:dyDescent="0.25"/>
    <row r="123" ht="12.75" customHeight="1" x14ac:dyDescent="0.25"/>
    <row r="124" ht="12.75" customHeight="1" x14ac:dyDescent="0.25"/>
    <row r="125" ht="12.75" customHeight="1" x14ac:dyDescent="0.25"/>
    <row r="126" ht="12.75" customHeight="1" x14ac:dyDescent="0.25"/>
    <row r="127" ht="12.75" customHeight="1" x14ac:dyDescent="0.25"/>
    <row r="128" ht="12.75" customHeight="1" x14ac:dyDescent="0.25"/>
    <row r="129" ht="12.75" customHeight="1" x14ac:dyDescent="0.25"/>
    <row r="130" ht="12.75" customHeight="1" x14ac:dyDescent="0.25"/>
    <row r="131" ht="12.75" customHeight="1" x14ac:dyDescent="0.25"/>
    <row r="132" ht="12.75" customHeight="1" x14ac:dyDescent="0.25"/>
    <row r="133" ht="12.75" customHeight="1" x14ac:dyDescent="0.25"/>
    <row r="134" ht="12.75" customHeight="1" x14ac:dyDescent="0.25"/>
    <row r="135" ht="12.75" customHeight="1" x14ac:dyDescent="0.25"/>
    <row r="136" ht="12.75" customHeight="1" x14ac:dyDescent="0.25"/>
    <row r="137" ht="12.75" customHeight="1" x14ac:dyDescent="0.25"/>
    <row r="138" ht="12.75" customHeight="1" x14ac:dyDescent="0.25"/>
    <row r="139" ht="12.75" customHeight="1" x14ac:dyDescent="0.25"/>
    <row r="140" ht="12.75" customHeight="1" x14ac:dyDescent="0.25"/>
    <row r="141" ht="12.75" customHeight="1" x14ac:dyDescent="0.25"/>
    <row r="142" ht="12.75" customHeight="1" x14ac:dyDescent="0.25"/>
    <row r="143" ht="12.75" customHeight="1" x14ac:dyDescent="0.25"/>
    <row r="144" ht="12.75" customHeight="1" x14ac:dyDescent="0.25"/>
    <row r="145" ht="12.75" customHeight="1" x14ac:dyDescent="0.25"/>
    <row r="146" ht="12.75" customHeight="1" x14ac:dyDescent="0.25"/>
    <row r="147" ht="12.75" customHeight="1" x14ac:dyDescent="0.25"/>
    <row r="148" ht="12.75" customHeight="1" x14ac:dyDescent="0.25"/>
    <row r="149" ht="12.75" customHeight="1" x14ac:dyDescent="0.25"/>
    <row r="150" ht="12.75" customHeight="1" x14ac:dyDescent="0.25"/>
    <row r="151" ht="12.75" customHeight="1" x14ac:dyDescent="0.25"/>
    <row r="152" ht="12.75" customHeight="1" x14ac:dyDescent="0.25"/>
    <row r="153" ht="12.75" customHeight="1" x14ac:dyDescent="0.25"/>
    <row r="154" ht="12.75" customHeight="1" x14ac:dyDescent="0.25"/>
    <row r="155" ht="12.75" customHeight="1" x14ac:dyDescent="0.25"/>
    <row r="156" ht="12.75" customHeight="1" x14ac:dyDescent="0.25"/>
    <row r="157" ht="12.75" customHeight="1" x14ac:dyDescent="0.25"/>
    <row r="158" ht="12.75" customHeight="1" x14ac:dyDescent="0.25"/>
    <row r="159" ht="12.75" customHeight="1" x14ac:dyDescent="0.25"/>
    <row r="160" ht="12.75" customHeight="1" x14ac:dyDescent="0.25"/>
    <row r="161" ht="12.75" customHeight="1" x14ac:dyDescent="0.25"/>
    <row r="162" ht="12.75" customHeight="1" x14ac:dyDescent="0.25"/>
    <row r="163" ht="12.75" customHeight="1" x14ac:dyDescent="0.25"/>
    <row r="164" ht="12.75" customHeight="1" x14ac:dyDescent="0.25"/>
    <row r="165" ht="12.75" customHeight="1" x14ac:dyDescent="0.25"/>
    <row r="166" ht="12.75" customHeight="1" x14ac:dyDescent="0.25"/>
    <row r="167" ht="12.75" customHeight="1" x14ac:dyDescent="0.25"/>
    <row r="168" ht="12.75" customHeight="1" x14ac:dyDescent="0.25"/>
    <row r="169" ht="12.75" customHeight="1" x14ac:dyDescent="0.25"/>
    <row r="170" ht="12.75" customHeight="1" x14ac:dyDescent="0.25"/>
    <row r="171" ht="12.75" customHeight="1" x14ac:dyDescent="0.25"/>
  </sheetData>
  <sheetProtection formatCells="0" formatRows="0" insertColumns="0" insertRows="0" insertHyperlinks="0" deleteRows="0" selectLockedCells="1" sort="0" autoFilter="0" pivotTables="0"/>
  <mergeCells count="1">
    <mergeCell ref="B1:AG37"/>
  </mergeCell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1&amp;R&amp;P</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N47"/>
  <sheetViews>
    <sheetView tabSelected="1" topLeftCell="D2" zoomScale="92" zoomScaleNormal="100" workbookViewId="0">
      <selection activeCell="G8" sqref="G8"/>
    </sheetView>
  </sheetViews>
  <sheetFormatPr defaultRowHeight="13.2" x14ac:dyDescent="0.25"/>
  <cols>
    <col min="1" max="1" width="2.5546875" customWidth="1"/>
    <col min="2" max="2" width="5.33203125" customWidth="1"/>
    <col min="3" max="3" width="26.6640625" customWidth="1"/>
    <col min="4" max="4" width="24.33203125" customWidth="1"/>
    <col min="5" max="5" width="14" customWidth="1"/>
    <col min="6" max="6" width="82.33203125" customWidth="1"/>
    <col min="7" max="7" width="11.6640625" customWidth="1"/>
    <col min="8" max="8" width="7.5546875" bestFit="1" customWidth="1"/>
    <col min="9" max="9" width="13.88671875" customWidth="1"/>
    <col min="10" max="10" width="41.5546875" customWidth="1"/>
    <col min="12" max="12" width="14" customWidth="1"/>
    <col min="13" max="13" width="11.44140625" customWidth="1"/>
    <col min="14" max="14" width="18.33203125" customWidth="1"/>
  </cols>
  <sheetData>
    <row r="1" spans="2:14" ht="13.8" thickBot="1" x14ac:dyDescent="0.3"/>
    <row r="2" spans="2:14" ht="43.8" thickBot="1" x14ac:dyDescent="0.3">
      <c r="B2" s="45" t="s">
        <v>37</v>
      </c>
      <c r="C2" s="46" t="s">
        <v>38</v>
      </c>
      <c r="D2" s="47" t="s">
        <v>68</v>
      </c>
      <c r="E2" s="47" t="s">
        <v>109</v>
      </c>
      <c r="F2" s="47" t="s">
        <v>39</v>
      </c>
      <c r="G2" s="47" t="s">
        <v>348</v>
      </c>
      <c r="H2" s="47" t="s">
        <v>70</v>
      </c>
      <c r="I2" s="46" t="s">
        <v>11</v>
      </c>
      <c r="J2" s="46" t="s">
        <v>69</v>
      </c>
      <c r="K2" s="46" t="s">
        <v>59</v>
      </c>
      <c r="L2" s="48" t="s">
        <v>40</v>
      </c>
      <c r="M2" s="48" t="s">
        <v>71</v>
      </c>
      <c r="N2" s="121" t="s">
        <v>347</v>
      </c>
    </row>
    <row r="3" spans="2:14" s="71" customFormat="1" ht="15" thickBot="1" x14ac:dyDescent="0.3">
      <c r="B3" s="70">
        <v>1</v>
      </c>
      <c r="C3" s="77" t="s">
        <v>144</v>
      </c>
      <c r="D3" s="83" t="str">
        <f ca="1">IF(C3&lt;&gt;"",INDIRECT(C3&amp;"!B3"),"")</f>
        <v>ARCH_SW_NVP_0000</v>
      </c>
      <c r="E3" s="84" t="str">
        <f ca="1">IF(C3&lt;&gt;"",INDIRECT(C3&amp;"!B5"),"")</f>
        <v>Nominal</v>
      </c>
      <c r="F3" s="84" t="str">
        <f ca="1">IF(C3&lt;&gt;"",INDIRECT(C3&amp;"!B1"),"")</f>
        <v>Default values check for NVP_BLOCK_ID_ECU_LOCATION block</v>
      </c>
      <c r="G3" s="72"/>
      <c r="H3" s="73">
        <v>3</v>
      </c>
      <c r="I3" s="74" t="s">
        <v>346</v>
      </c>
      <c r="J3" t="s">
        <v>345</v>
      </c>
      <c r="K3" s="81" t="str">
        <f ca="1">IF(C3&lt;&gt;"",INDIRECT(C3&amp;"!B9"),"")</f>
        <v>Ok</v>
      </c>
      <c r="L3" s="79" t="s">
        <v>145</v>
      </c>
      <c r="M3" s="75"/>
      <c r="N3" s="76"/>
    </row>
    <row r="4" spans="2:14" ht="15" thickBot="1" x14ac:dyDescent="0.3">
      <c r="B4" s="50">
        <v>2</v>
      </c>
      <c r="C4" s="77" t="s">
        <v>146</v>
      </c>
      <c r="D4" s="83" t="str">
        <f ca="1">IF(C4&lt;&gt;"",INDIRECT(C4&amp;"!B3"),"")</f>
        <v>ARCH_SW_NVP_0000</v>
      </c>
      <c r="E4" s="84" t="str">
        <f ca="1">IF(C4&lt;&gt;"",INDIRECT(C4&amp;"!B5"),"")</f>
        <v>Nominal</v>
      </c>
      <c r="F4" s="84" t="str">
        <f ca="1">IF(C4&lt;&gt;"",INDIRECT(C4&amp;"!B1"),"")</f>
        <v>Written data usage check for NVP_BLOCK_ID_ECU_LOCATION block</v>
      </c>
      <c r="G4" s="72" t="s">
        <v>349</v>
      </c>
      <c r="H4" s="73">
        <v>3</v>
      </c>
      <c r="I4" s="74" t="s">
        <v>346</v>
      </c>
      <c r="J4" t="s">
        <v>345</v>
      </c>
      <c r="K4" s="81" t="str">
        <f ca="1">IF(C4&lt;&gt;"",INDIRECT(C4&amp;"!B9"),"")</f>
        <v>Ok</v>
      </c>
      <c r="L4" s="79" t="s">
        <v>145</v>
      </c>
      <c r="M4" s="75"/>
      <c r="N4" s="76"/>
    </row>
    <row r="5" spans="2:14" ht="25.5" customHeight="1" thickBot="1" x14ac:dyDescent="0.3">
      <c r="B5" s="50">
        <v>3</v>
      </c>
      <c r="C5" s="77" t="s">
        <v>239</v>
      </c>
      <c r="D5" s="52" t="s">
        <v>153</v>
      </c>
      <c r="E5" s="84" t="str">
        <f t="shared" ref="E5:E10" ca="1" si="0">IF(C5&lt;&gt;"",INDIRECT(C5&amp;"!B5"),"")</f>
        <v>Nominal</v>
      </c>
      <c r="F5" s="84" t="str">
        <f t="shared" ref="F5:F11" ca="1" si="1">IF(C5&lt;&gt;"",INDIRECT(C5&amp;"!B1"),"")</f>
        <v>Default values check for NVP_BLOCK_ID_HB_CALIBRATION block</v>
      </c>
      <c r="G5" s="72"/>
      <c r="H5" s="73">
        <v>3</v>
      </c>
      <c r="I5" s="74" t="s">
        <v>346</v>
      </c>
      <c r="J5" t="s">
        <v>345</v>
      </c>
      <c r="K5" s="81" t="str">
        <f t="shared" ref="K5:K24" ca="1" si="2">IF(C5&lt;&gt;"",INDIRECT(C5&amp;"!B9"),"")</f>
        <v>Ok</v>
      </c>
      <c r="L5" s="79" t="s">
        <v>145</v>
      </c>
      <c r="M5" s="75"/>
      <c r="N5" s="76"/>
    </row>
    <row r="6" spans="2:14" ht="15" thickBot="1" x14ac:dyDescent="0.3">
      <c r="B6" s="50">
        <v>4</v>
      </c>
      <c r="C6" s="77" t="s">
        <v>240</v>
      </c>
      <c r="D6" s="52" t="s">
        <v>153</v>
      </c>
      <c r="E6" s="84" t="str">
        <f t="shared" ca="1" si="0"/>
        <v>Nominal</v>
      </c>
      <c r="F6" s="84" t="str">
        <f t="shared" ca="1" si="1"/>
        <v>Written data usage check for NVP_BLOCK_ID_HB_CALIBRATION block</v>
      </c>
      <c r="G6" s="72"/>
      <c r="H6" s="73">
        <v>3</v>
      </c>
      <c r="I6" s="74" t="s">
        <v>346</v>
      </c>
      <c r="J6" t="s">
        <v>345</v>
      </c>
      <c r="K6" s="81" t="str">
        <f t="shared" ca="1" si="2"/>
        <v>Ok</v>
      </c>
      <c r="L6" s="79" t="s">
        <v>145</v>
      </c>
      <c r="M6" s="75"/>
      <c r="N6" s="76"/>
    </row>
    <row r="7" spans="2:14" ht="15" thickBot="1" x14ac:dyDescent="0.3">
      <c r="B7" s="50">
        <v>5</v>
      </c>
      <c r="C7" s="77" t="s">
        <v>241</v>
      </c>
      <c r="D7" s="52" t="s">
        <v>173</v>
      </c>
      <c r="E7" s="84" t="str">
        <f t="shared" ca="1" si="0"/>
        <v>Nominal</v>
      </c>
      <c r="F7" s="84" t="str">
        <f t="shared" ca="1" si="1"/>
        <v>Default values check for NVP_BLOCK_ID_EXECUTION_COUNTERS block</v>
      </c>
      <c r="G7" s="72"/>
      <c r="H7" s="73">
        <v>3</v>
      </c>
      <c r="I7" s="74" t="s">
        <v>346</v>
      </c>
      <c r="J7" t="s">
        <v>345</v>
      </c>
      <c r="K7" s="81" t="str">
        <f t="shared" ca="1" si="2"/>
        <v>Ok</v>
      </c>
      <c r="L7" s="79" t="s">
        <v>145</v>
      </c>
      <c r="M7" s="75"/>
      <c r="N7" s="76"/>
    </row>
    <row r="8" spans="2:14" ht="15" thickBot="1" x14ac:dyDescent="0.3">
      <c r="B8" s="50">
        <v>6</v>
      </c>
      <c r="C8" s="77" t="s">
        <v>242</v>
      </c>
      <c r="D8" s="52" t="s">
        <v>173</v>
      </c>
      <c r="E8" s="84" t="str">
        <f t="shared" ca="1" si="0"/>
        <v>Nominal</v>
      </c>
      <c r="F8" s="84" t="str">
        <f t="shared" ca="1" si="1"/>
        <v>Written data usage check for NVP_BLOCK_ID_EXECUTION_COUNTERS block</v>
      </c>
      <c r="G8" s="72" t="s">
        <v>349</v>
      </c>
      <c r="H8" s="73">
        <v>3</v>
      </c>
      <c r="I8" s="74" t="s">
        <v>346</v>
      </c>
      <c r="J8" t="s">
        <v>345</v>
      </c>
      <c r="K8" s="81" t="str">
        <f t="shared" ca="1" si="2"/>
        <v>Ok</v>
      </c>
      <c r="L8" s="79" t="s">
        <v>145</v>
      </c>
      <c r="M8" s="75"/>
      <c r="N8" s="76"/>
    </row>
    <row r="9" spans="2:14" ht="15" thickBot="1" x14ac:dyDescent="0.3">
      <c r="B9" s="50">
        <v>7</v>
      </c>
      <c r="C9" s="77" t="s">
        <v>243</v>
      </c>
      <c r="D9" s="52" t="s">
        <v>178</v>
      </c>
      <c r="E9" s="84" t="str">
        <f t="shared" ca="1" si="0"/>
        <v>Nominal</v>
      </c>
      <c r="F9" s="84" t="str">
        <f t="shared" ca="1" si="1"/>
        <v>Default values check for NVP_BLOCK_ID_TESTS_PARAM block</v>
      </c>
      <c r="G9" s="72"/>
      <c r="H9" s="73">
        <v>3</v>
      </c>
      <c r="I9" s="74" t="s">
        <v>346</v>
      </c>
      <c r="J9" t="s">
        <v>345</v>
      </c>
      <c r="K9" s="81" t="str">
        <f t="shared" ca="1" si="2"/>
        <v>Ok</v>
      </c>
      <c r="L9" s="79" t="s">
        <v>145</v>
      </c>
      <c r="M9" s="75"/>
      <c r="N9" s="76"/>
    </row>
    <row r="10" spans="2:14" ht="15" thickBot="1" x14ac:dyDescent="0.3">
      <c r="B10" s="50">
        <v>8</v>
      </c>
      <c r="C10" s="77" t="s">
        <v>244</v>
      </c>
      <c r="D10" s="52" t="s">
        <v>178</v>
      </c>
      <c r="E10" s="84" t="str">
        <f t="shared" ca="1" si="0"/>
        <v>Nominal</v>
      </c>
      <c r="F10" s="84" t="str">
        <f t="shared" ca="1" si="1"/>
        <v>Written data usage check for NVP_BLOCK_ID_TESTS_PARAM block</v>
      </c>
      <c r="G10" s="72"/>
      <c r="H10" s="73">
        <v>3</v>
      </c>
      <c r="I10" s="74" t="s">
        <v>346</v>
      </c>
      <c r="J10" t="s">
        <v>345</v>
      </c>
      <c r="K10" s="81" t="str">
        <f t="shared" ca="1" si="2"/>
        <v>Ok</v>
      </c>
      <c r="L10" s="79" t="s">
        <v>145</v>
      </c>
      <c r="M10" s="75"/>
      <c r="N10" s="76"/>
    </row>
    <row r="11" spans="2:14" ht="43.8" thickBot="1" x14ac:dyDescent="0.3">
      <c r="B11" s="50">
        <v>9</v>
      </c>
      <c r="C11" s="77" t="s">
        <v>268</v>
      </c>
      <c r="D11" s="120" t="str">
        <f t="shared" ref="D11:D24" ca="1" si="3">IF(C11&lt;&gt;"",INDIRECT(C11&amp;"!B3"),"")</f>
        <v>ARCH_SW_NVP_0008, ARCH_SW_NVP_0009,ARCH_SW_NVP_00010</v>
      </c>
      <c r="E11" s="52" t="str">
        <f ca="1">IF(C11&lt;&gt;"",INDIRECT(C11&amp;"!B5"),"")</f>
        <v>Nominal</v>
      </c>
      <c r="F11" s="52" t="str">
        <f t="shared" ca="1" si="1"/>
        <v>NVP configuration tool</v>
      </c>
      <c r="G11" s="72"/>
      <c r="H11" s="73">
        <v>3</v>
      </c>
      <c r="I11" s="74" t="s">
        <v>346</v>
      </c>
      <c r="J11" t="s">
        <v>345</v>
      </c>
      <c r="K11" s="81" t="str">
        <f t="shared" ca="1" si="2"/>
        <v>Ok</v>
      </c>
      <c r="L11" s="75" t="s">
        <v>270</v>
      </c>
      <c r="M11" s="75"/>
      <c r="N11" s="76"/>
    </row>
    <row r="12" spans="2:14" ht="15" thickBot="1" x14ac:dyDescent="0.3">
      <c r="B12" s="49">
        <v>10</v>
      </c>
      <c r="C12" s="77" t="s">
        <v>317</v>
      </c>
      <c r="D12" s="83" t="str">
        <f t="shared" ca="1" si="3"/>
        <v>ARCH_SW_NVP_0001</v>
      </c>
      <c r="E12" s="52" t="str">
        <f t="shared" ref="E12:E24" ca="1" si="4">IF(C12&lt;&gt;"",INDIRECT(C12&amp;"!B5"),"")</f>
        <v>Nominal</v>
      </c>
      <c r="F12" s="52" t="str">
        <f t="shared" ref="F12:F47" ca="1" si="5">IF(C12&lt;&gt;"",INDIRECT(C12&amp;"!B1"),"")</f>
        <v>Default values check for NVP_BLOCK_ID_BELT_ASSEMBLY_MANUF_DATE_AND_SN block</v>
      </c>
      <c r="G12" s="72"/>
      <c r="H12" s="73">
        <v>3</v>
      </c>
      <c r="I12" s="74" t="s">
        <v>346</v>
      </c>
      <c r="J12" t="s">
        <v>345</v>
      </c>
      <c r="K12" s="81" t="str">
        <f t="shared" ca="1" si="2"/>
        <v>Ok</v>
      </c>
      <c r="L12" s="79" t="s">
        <v>145</v>
      </c>
      <c r="M12" s="75"/>
      <c r="N12" s="76"/>
    </row>
    <row r="13" spans="2:14" ht="15" thickBot="1" x14ac:dyDescent="0.3">
      <c r="B13" s="50">
        <v>11</v>
      </c>
      <c r="C13" s="77" t="s">
        <v>318</v>
      </c>
      <c r="D13" s="83" t="str">
        <f t="shared" ca="1" si="3"/>
        <v>ARCH_SW_NVP_0001</v>
      </c>
      <c r="E13" s="52" t="str">
        <f t="shared" ca="1" si="4"/>
        <v>Nominal</v>
      </c>
      <c r="F13" s="52" t="str">
        <f t="shared" ca="1" si="5"/>
        <v>Written data usage check for NVP_BLOCK_ID_BELT_ASSEMBLY_MANUF_DATE_AND_SN block</v>
      </c>
      <c r="G13" s="72"/>
      <c r="H13" s="73">
        <v>3</v>
      </c>
      <c r="I13" s="74" t="s">
        <v>346</v>
      </c>
      <c r="J13" t="s">
        <v>345</v>
      </c>
      <c r="K13" s="81" t="str">
        <f t="shared" ca="1" si="2"/>
        <v>Ok</v>
      </c>
      <c r="L13" s="79" t="s">
        <v>145</v>
      </c>
      <c r="M13" s="75"/>
      <c r="N13" s="76"/>
    </row>
    <row r="14" spans="2:14" ht="15" thickBot="1" x14ac:dyDescent="0.3">
      <c r="B14" s="50">
        <v>12</v>
      </c>
      <c r="C14" s="77" t="s">
        <v>319</v>
      </c>
      <c r="D14" s="83" t="str">
        <f t="shared" ca="1" si="3"/>
        <v>ARCH_SW_NVP_0003</v>
      </c>
      <c r="E14" s="52" t="str">
        <f t="shared" ca="1" si="4"/>
        <v>Nominal</v>
      </c>
      <c r="F14" s="52" t="str">
        <f t="shared" ca="1" si="5"/>
        <v>Default values check for NVP_BLOCK_ID_AEE_TRACEABILITY  block</v>
      </c>
      <c r="G14" s="72"/>
      <c r="H14" s="73">
        <v>3</v>
      </c>
      <c r="I14" s="74" t="s">
        <v>346</v>
      </c>
      <c r="J14" t="s">
        <v>345</v>
      </c>
      <c r="K14" s="81" t="str">
        <f t="shared" ca="1" si="2"/>
        <v>Ok</v>
      </c>
      <c r="L14" s="79" t="s">
        <v>145</v>
      </c>
      <c r="M14" s="75"/>
      <c r="N14" s="76"/>
    </row>
    <row r="15" spans="2:14" ht="15" thickBot="1" x14ac:dyDescent="0.3">
      <c r="B15" s="50">
        <v>13</v>
      </c>
      <c r="C15" s="77" t="s">
        <v>320</v>
      </c>
      <c r="D15" s="83" t="str">
        <f t="shared" ca="1" si="3"/>
        <v>ARCH_SW_NVP_0003</v>
      </c>
      <c r="E15" s="52" t="str">
        <f t="shared" ca="1" si="4"/>
        <v>Nominal</v>
      </c>
      <c r="F15" s="52" t="str">
        <f t="shared" ca="1" si="5"/>
        <v>Written data usage check for NVP_BLOCK_ID_AEE_TRACEABILITY block</v>
      </c>
      <c r="G15" s="72"/>
      <c r="H15" s="73">
        <v>3</v>
      </c>
      <c r="I15" s="74" t="s">
        <v>346</v>
      </c>
      <c r="J15" t="s">
        <v>345</v>
      </c>
      <c r="K15" s="81" t="str">
        <f t="shared" ca="1" si="2"/>
        <v>Ok</v>
      </c>
      <c r="L15" s="79" t="s">
        <v>145</v>
      </c>
      <c r="M15" s="75"/>
      <c r="N15" s="76"/>
    </row>
    <row r="16" spans="2:14" ht="15" thickBot="1" x14ac:dyDescent="0.3">
      <c r="B16" s="50">
        <v>14</v>
      </c>
      <c r="C16" s="77" t="s">
        <v>321</v>
      </c>
      <c r="D16" s="83" t="str">
        <f t="shared" ca="1" si="3"/>
        <v>ARCH_SW_NVP_0006</v>
      </c>
      <c r="E16" s="52" t="str">
        <f t="shared" ca="1" si="4"/>
        <v>Nominal</v>
      </c>
      <c r="F16" s="52" t="str">
        <f t="shared" ca="1" si="5"/>
        <v>Default values check for NVP_BLOCK_ID_CYCLE_0 - 31  block</v>
      </c>
      <c r="G16" s="72"/>
      <c r="H16" s="73">
        <v>3</v>
      </c>
      <c r="I16" s="74" t="s">
        <v>346</v>
      </c>
      <c r="J16" t="s">
        <v>345</v>
      </c>
      <c r="K16" s="81" t="str">
        <f t="shared" ca="1" si="2"/>
        <v>Ok</v>
      </c>
      <c r="L16" s="79" t="s">
        <v>145</v>
      </c>
      <c r="M16" s="75"/>
      <c r="N16" s="76"/>
    </row>
    <row r="17" spans="2:14" ht="15" thickBot="1" x14ac:dyDescent="0.3">
      <c r="B17" s="50">
        <v>15</v>
      </c>
      <c r="C17" s="77" t="s">
        <v>322</v>
      </c>
      <c r="D17" s="83" t="str">
        <f t="shared" ca="1" si="3"/>
        <v>ARCH_SW_NVP_0006</v>
      </c>
      <c r="E17" s="52" t="str">
        <f t="shared" ca="1" si="4"/>
        <v>Nominal</v>
      </c>
      <c r="F17" s="52" t="str">
        <f t="shared" ca="1" si="5"/>
        <v>Written data usage check for NVP_BLOCK_ID_CYCLE_0 - 31 block</v>
      </c>
      <c r="G17" s="72"/>
      <c r="H17" s="73">
        <v>3</v>
      </c>
      <c r="I17" s="74" t="s">
        <v>346</v>
      </c>
      <c r="J17" t="s">
        <v>345</v>
      </c>
      <c r="K17" s="81" t="str">
        <f t="shared" ca="1" si="2"/>
        <v>Ok</v>
      </c>
      <c r="L17" s="79" t="s">
        <v>145</v>
      </c>
      <c r="M17" s="75"/>
      <c r="N17" s="76"/>
    </row>
    <row r="18" spans="2:14" ht="15" thickBot="1" x14ac:dyDescent="0.3">
      <c r="B18" s="50">
        <v>16</v>
      </c>
      <c r="C18" s="77" t="s">
        <v>323</v>
      </c>
      <c r="D18" s="83" t="str">
        <f t="shared" ca="1" si="3"/>
        <v>ARCH_SW_NVP_0007</v>
      </c>
      <c r="E18" s="52" t="str">
        <f t="shared" ca="1" si="4"/>
        <v>Nominal</v>
      </c>
      <c r="F18" s="52" t="str">
        <f t="shared" ca="1" si="5"/>
        <v>Default values check for NVP_BLOCK_ID_STEP_0 - 120  block</v>
      </c>
      <c r="G18" s="72"/>
      <c r="H18" s="73">
        <v>3</v>
      </c>
      <c r="I18" s="74" t="s">
        <v>346</v>
      </c>
      <c r="J18" t="s">
        <v>345</v>
      </c>
      <c r="K18" s="81" t="str">
        <f t="shared" ca="1" si="2"/>
        <v>Ok</v>
      </c>
      <c r="L18" s="79" t="s">
        <v>145</v>
      </c>
      <c r="M18" s="75"/>
      <c r="N18" s="76"/>
    </row>
    <row r="19" spans="2:14" ht="15" thickBot="1" x14ac:dyDescent="0.3">
      <c r="B19" s="50">
        <v>17</v>
      </c>
      <c r="C19" s="77" t="s">
        <v>324</v>
      </c>
      <c r="D19" s="83" t="str">
        <f t="shared" ca="1" si="3"/>
        <v>ARCH_SW_NVP_0007</v>
      </c>
      <c r="E19" s="52" t="str">
        <f t="shared" ca="1" si="4"/>
        <v>Nominal</v>
      </c>
      <c r="F19" s="52" t="str">
        <f t="shared" ca="1" si="5"/>
        <v>Written data usage check for NVP_BLOCK_ID_STEP_0 - 120 block</v>
      </c>
      <c r="G19" s="72"/>
      <c r="H19" s="73">
        <v>3</v>
      </c>
      <c r="I19" s="74" t="s">
        <v>346</v>
      </c>
      <c r="J19" t="s">
        <v>345</v>
      </c>
      <c r="K19" s="81" t="str">
        <f t="shared" ca="1" si="2"/>
        <v>Ok</v>
      </c>
      <c r="L19" s="79" t="s">
        <v>145</v>
      </c>
      <c r="M19" s="75"/>
      <c r="N19" s="76"/>
    </row>
    <row r="20" spans="2:14" ht="15" thickBot="1" x14ac:dyDescent="0.3">
      <c r="B20" s="50">
        <v>18</v>
      </c>
      <c r="C20" s="77" t="s">
        <v>325</v>
      </c>
      <c r="D20" s="83" t="str">
        <f t="shared" ca="1" si="3"/>
        <v>ARCH_SW_NVP_0011</v>
      </c>
      <c r="E20" s="52" t="str">
        <f t="shared" ca="1" si="4"/>
        <v>Nominal</v>
      </c>
      <c r="F20" s="52" t="str">
        <f t="shared" ca="1" si="5"/>
        <v>Default values check for NVP_BLOCK_ID_WARM_RESET  block</v>
      </c>
      <c r="G20" s="72"/>
      <c r="H20" s="73">
        <v>3</v>
      </c>
      <c r="I20" s="74" t="s">
        <v>346</v>
      </c>
      <c r="J20" t="s">
        <v>345</v>
      </c>
      <c r="K20" s="81" t="str">
        <f t="shared" ca="1" si="2"/>
        <v>Ok</v>
      </c>
      <c r="L20" s="79" t="s">
        <v>145</v>
      </c>
      <c r="M20" s="75"/>
      <c r="N20" s="76"/>
    </row>
    <row r="21" spans="2:14" ht="15" thickBot="1" x14ac:dyDescent="0.3">
      <c r="B21" s="49">
        <v>19</v>
      </c>
      <c r="C21" s="77" t="s">
        <v>326</v>
      </c>
      <c r="D21" s="83" t="str">
        <f t="shared" ca="1" si="3"/>
        <v>ARCH_SW_NVP_0011</v>
      </c>
      <c r="E21" s="52" t="str">
        <f t="shared" ca="1" si="4"/>
        <v>Nominal</v>
      </c>
      <c r="F21" s="52" t="str">
        <f t="shared" ca="1" si="5"/>
        <v>Written data usage check for NVP_BLOCK_ID_WARM_RESET block</v>
      </c>
      <c r="G21" s="72"/>
      <c r="H21" s="73">
        <v>3</v>
      </c>
      <c r="I21" s="74" t="s">
        <v>346</v>
      </c>
      <c r="J21" t="s">
        <v>345</v>
      </c>
      <c r="K21" s="81" t="str">
        <f t="shared" ca="1" si="2"/>
        <v>Ok</v>
      </c>
      <c r="L21" s="79" t="s">
        <v>145</v>
      </c>
      <c r="M21" s="75"/>
      <c r="N21" s="76"/>
    </row>
    <row r="22" spans="2:14" ht="15" thickBot="1" x14ac:dyDescent="0.3">
      <c r="B22" s="50">
        <v>20</v>
      </c>
      <c r="C22" s="77" t="s">
        <v>327</v>
      </c>
      <c r="D22" s="83" t="str">
        <f t="shared" ca="1" si="3"/>
        <v>ARCH_SW_NVP_0012</v>
      </c>
      <c r="E22" s="52" t="str">
        <f t="shared" ca="1" si="4"/>
        <v>Nominal</v>
      </c>
      <c r="F22" s="52" t="str">
        <f t="shared" ca="1" si="5"/>
        <v>Default values check for NVP_BLOCK_ID_MEASUREMENT_FRAME_CONFIG block</v>
      </c>
      <c r="G22" s="72"/>
      <c r="H22" s="73">
        <v>3</v>
      </c>
      <c r="I22" s="74" t="s">
        <v>346</v>
      </c>
      <c r="J22" t="s">
        <v>345</v>
      </c>
      <c r="K22" s="81" t="str">
        <f t="shared" ca="1" si="2"/>
        <v>Ok</v>
      </c>
      <c r="L22" s="79" t="s">
        <v>145</v>
      </c>
      <c r="M22" s="75"/>
      <c r="N22" s="76"/>
    </row>
    <row r="23" spans="2:14" ht="15" thickBot="1" x14ac:dyDescent="0.3">
      <c r="B23" s="50">
        <v>21</v>
      </c>
      <c r="C23" s="77" t="s">
        <v>328</v>
      </c>
      <c r="D23" s="83" t="str">
        <f t="shared" ca="1" si="3"/>
        <v>ARCH_SW_NVP_0012</v>
      </c>
      <c r="E23" s="52" t="str">
        <f t="shared" ca="1" si="4"/>
        <v>Nominal</v>
      </c>
      <c r="F23" s="52" t="str">
        <f t="shared" ca="1" si="5"/>
        <v>Written data usage check for NVP_BLOCK_ID_MEASUREMENT_FRAME_CONFIG block</v>
      </c>
      <c r="G23" s="72"/>
      <c r="H23" s="73">
        <v>3</v>
      </c>
      <c r="I23" s="74" t="s">
        <v>346</v>
      </c>
      <c r="J23" t="s">
        <v>345</v>
      </c>
      <c r="K23" s="81" t="str">
        <f t="shared" ca="1" si="2"/>
        <v>Ok</v>
      </c>
      <c r="L23" s="79" t="s">
        <v>145</v>
      </c>
      <c r="M23" s="75"/>
      <c r="N23" s="76"/>
    </row>
    <row r="24" spans="2:14" ht="14.4" x14ac:dyDescent="0.25">
      <c r="B24" s="50">
        <v>22</v>
      </c>
      <c r="C24" s="77" t="s">
        <v>344</v>
      </c>
      <c r="D24" s="83" t="str">
        <f t="shared" ca="1" si="3"/>
        <v>ARCH_SW_NVP_0010</v>
      </c>
      <c r="E24" s="52" t="str">
        <f t="shared" ca="1" si="4"/>
        <v>Nominal</v>
      </c>
      <c r="F24" s="52" t="str">
        <f ca="1">IF(C24&lt;&gt;"",INDIRECT(C24&amp;"!B1"),"")</f>
        <v>Default values check for CALIB_BLOCK_ID_BFS_PRIO_PARAM block</v>
      </c>
      <c r="G24" s="72"/>
      <c r="H24" s="73">
        <v>3</v>
      </c>
      <c r="I24" s="74" t="s">
        <v>346</v>
      </c>
      <c r="J24" t="s">
        <v>345</v>
      </c>
      <c r="K24" s="81" t="str">
        <f t="shared" ca="1" si="2"/>
        <v>Ok</v>
      </c>
      <c r="L24" s="79" t="s">
        <v>145</v>
      </c>
      <c r="M24" s="75"/>
      <c r="N24" s="76"/>
    </row>
    <row r="25" spans="2:14" ht="14.4" x14ac:dyDescent="0.25">
      <c r="B25" s="50">
        <v>23</v>
      </c>
      <c r="C25" s="51"/>
      <c r="D25" s="52" t="str">
        <f t="shared" ref="D25:D46" ca="1" si="6">IF(C25&lt;&gt;"",INDIRECT(C25&amp;"!B5"),"")</f>
        <v/>
      </c>
      <c r="E25" s="52" t="str">
        <f t="shared" ref="E25:E47" ca="1" si="7">IF(C25&lt;&gt;"",INDIRECT(C25&amp;"!B7"),"")</f>
        <v/>
      </c>
      <c r="F25" s="52" t="str">
        <f t="shared" ca="1" si="5"/>
        <v/>
      </c>
      <c r="G25" s="52"/>
      <c r="H25" s="52"/>
      <c r="I25" s="53"/>
      <c r="J25" s="54"/>
      <c r="K25" s="82" t="str">
        <f t="shared" ref="K25:K47" ca="1" si="8">IF(C25&lt;&gt;"",INDIRECT(C25&amp;"!B11"),"")</f>
        <v/>
      </c>
      <c r="L25" s="80"/>
      <c r="M25" s="69"/>
      <c r="N25" s="55"/>
    </row>
    <row r="26" spans="2:14" ht="14.4" x14ac:dyDescent="0.25">
      <c r="B26" s="50">
        <v>24</v>
      </c>
      <c r="C26" s="51"/>
      <c r="D26" s="52" t="str">
        <f t="shared" ca="1" si="6"/>
        <v/>
      </c>
      <c r="E26" s="52" t="str">
        <f t="shared" ca="1" si="7"/>
        <v/>
      </c>
      <c r="F26" s="52" t="str">
        <f t="shared" ca="1" si="5"/>
        <v/>
      </c>
      <c r="G26" s="52"/>
      <c r="H26" s="52"/>
      <c r="I26" s="53"/>
      <c r="J26" s="54"/>
      <c r="K26" s="82" t="str">
        <f t="shared" ca="1" si="8"/>
        <v/>
      </c>
      <c r="L26" s="80"/>
      <c r="M26" s="69"/>
      <c r="N26" s="55"/>
    </row>
    <row r="27" spans="2:14" ht="14.4" x14ac:dyDescent="0.25">
      <c r="B27" s="50">
        <v>25</v>
      </c>
      <c r="C27" s="51"/>
      <c r="D27" s="52" t="str">
        <f t="shared" ca="1" si="6"/>
        <v/>
      </c>
      <c r="E27" s="52" t="str">
        <f t="shared" ca="1" si="7"/>
        <v/>
      </c>
      <c r="F27" s="52" t="str">
        <f t="shared" ca="1" si="5"/>
        <v/>
      </c>
      <c r="G27" s="52"/>
      <c r="H27" s="52"/>
      <c r="I27" s="53"/>
      <c r="J27" s="54"/>
      <c r="K27" s="82" t="str">
        <f t="shared" ca="1" si="8"/>
        <v/>
      </c>
      <c r="L27" s="80"/>
      <c r="M27" s="69"/>
      <c r="N27" s="55"/>
    </row>
    <row r="28" spans="2:14" ht="14.4" x14ac:dyDescent="0.25">
      <c r="B28" s="50">
        <v>26</v>
      </c>
      <c r="C28" s="51"/>
      <c r="D28" s="52" t="str">
        <f t="shared" ca="1" si="6"/>
        <v/>
      </c>
      <c r="E28" s="52" t="str">
        <f t="shared" ca="1" si="7"/>
        <v/>
      </c>
      <c r="F28" s="52" t="str">
        <f t="shared" ca="1" si="5"/>
        <v/>
      </c>
      <c r="G28" s="52"/>
      <c r="H28" s="52"/>
      <c r="I28" s="53"/>
      <c r="J28" s="54"/>
      <c r="K28" s="82" t="str">
        <f t="shared" ca="1" si="8"/>
        <v/>
      </c>
      <c r="L28" s="80"/>
      <c r="M28" s="69"/>
      <c r="N28" s="55"/>
    </row>
    <row r="29" spans="2:14" ht="14.4" x14ac:dyDescent="0.25">
      <c r="B29" s="50">
        <v>27</v>
      </c>
      <c r="C29" s="51"/>
      <c r="D29" s="52" t="str">
        <f t="shared" ca="1" si="6"/>
        <v/>
      </c>
      <c r="E29" s="52" t="str">
        <f t="shared" ca="1" si="7"/>
        <v/>
      </c>
      <c r="F29" s="52" t="str">
        <f t="shared" ca="1" si="5"/>
        <v/>
      </c>
      <c r="G29" s="52"/>
      <c r="H29" s="52"/>
      <c r="I29" s="53"/>
      <c r="J29" s="54"/>
      <c r="K29" s="82" t="str">
        <f t="shared" ca="1" si="8"/>
        <v/>
      </c>
      <c r="L29" s="80"/>
      <c r="M29" s="69"/>
      <c r="N29" s="55"/>
    </row>
    <row r="30" spans="2:14" ht="14.4" x14ac:dyDescent="0.25">
      <c r="B30" s="49">
        <v>28</v>
      </c>
      <c r="C30" s="51"/>
      <c r="D30" s="52" t="str">
        <f t="shared" ca="1" si="6"/>
        <v/>
      </c>
      <c r="E30" s="52" t="str">
        <f t="shared" ca="1" si="7"/>
        <v/>
      </c>
      <c r="F30" s="52" t="str">
        <f t="shared" ca="1" si="5"/>
        <v/>
      </c>
      <c r="G30" s="52"/>
      <c r="H30" s="52"/>
      <c r="I30" s="53"/>
      <c r="J30" s="54"/>
      <c r="K30" s="82" t="str">
        <f t="shared" ca="1" si="8"/>
        <v/>
      </c>
      <c r="L30" s="80"/>
      <c r="M30" s="69"/>
      <c r="N30" s="55"/>
    </row>
    <row r="31" spans="2:14" ht="14.4" x14ac:dyDescent="0.25">
      <c r="B31" s="50">
        <v>29</v>
      </c>
      <c r="C31" s="51"/>
      <c r="D31" s="52" t="str">
        <f t="shared" ca="1" si="6"/>
        <v/>
      </c>
      <c r="E31" s="52" t="str">
        <f t="shared" ca="1" si="7"/>
        <v/>
      </c>
      <c r="F31" s="52" t="str">
        <f t="shared" ca="1" si="5"/>
        <v/>
      </c>
      <c r="G31" s="52"/>
      <c r="H31" s="52"/>
      <c r="I31" s="53"/>
      <c r="J31" s="54"/>
      <c r="K31" s="82" t="str">
        <f t="shared" ca="1" si="8"/>
        <v/>
      </c>
      <c r="L31" s="80"/>
      <c r="M31" s="69"/>
      <c r="N31" s="55"/>
    </row>
    <row r="32" spans="2:14" ht="14.4" x14ac:dyDescent="0.25">
      <c r="B32" s="50">
        <v>30</v>
      </c>
      <c r="C32" s="51"/>
      <c r="D32" s="52" t="str">
        <f t="shared" ca="1" si="6"/>
        <v/>
      </c>
      <c r="E32" s="52" t="str">
        <f t="shared" ca="1" si="7"/>
        <v/>
      </c>
      <c r="F32" s="52" t="str">
        <f t="shared" ca="1" si="5"/>
        <v/>
      </c>
      <c r="G32" s="52"/>
      <c r="H32" s="52"/>
      <c r="I32" s="53"/>
      <c r="J32" s="54"/>
      <c r="K32" s="82" t="str">
        <f t="shared" ca="1" si="8"/>
        <v/>
      </c>
      <c r="L32" s="80"/>
      <c r="M32" s="69"/>
      <c r="N32" s="55"/>
    </row>
    <row r="33" spans="2:14" ht="14.4" x14ac:dyDescent="0.25">
      <c r="B33" s="50">
        <v>31</v>
      </c>
      <c r="C33" s="51"/>
      <c r="D33" s="52" t="str">
        <f t="shared" ca="1" si="6"/>
        <v/>
      </c>
      <c r="E33" s="52" t="str">
        <f t="shared" ca="1" si="7"/>
        <v/>
      </c>
      <c r="F33" s="52" t="str">
        <f t="shared" ca="1" si="5"/>
        <v/>
      </c>
      <c r="G33" s="52"/>
      <c r="H33" s="52"/>
      <c r="I33" s="53"/>
      <c r="J33" s="54"/>
      <c r="K33" s="82" t="str">
        <f t="shared" ca="1" si="8"/>
        <v/>
      </c>
      <c r="L33" s="80"/>
      <c r="M33" s="69"/>
      <c r="N33" s="55"/>
    </row>
    <row r="34" spans="2:14" ht="14.4" x14ac:dyDescent="0.25">
      <c r="B34" s="50">
        <v>32</v>
      </c>
      <c r="C34" s="51"/>
      <c r="D34" s="52" t="str">
        <f t="shared" ca="1" si="6"/>
        <v/>
      </c>
      <c r="E34" s="52" t="str">
        <f t="shared" ca="1" si="7"/>
        <v/>
      </c>
      <c r="F34" s="52" t="str">
        <f t="shared" ca="1" si="5"/>
        <v/>
      </c>
      <c r="G34" s="52"/>
      <c r="H34" s="52"/>
      <c r="I34" s="53"/>
      <c r="J34" s="54"/>
      <c r="K34" s="82" t="str">
        <f t="shared" ca="1" si="8"/>
        <v/>
      </c>
      <c r="L34" s="80"/>
      <c r="M34" s="69"/>
      <c r="N34" s="55"/>
    </row>
    <row r="35" spans="2:14" ht="14.4" x14ac:dyDescent="0.25">
      <c r="B35" s="50">
        <v>33</v>
      </c>
      <c r="C35" s="51"/>
      <c r="D35" s="52" t="str">
        <f t="shared" ca="1" si="6"/>
        <v/>
      </c>
      <c r="E35" s="52" t="str">
        <f t="shared" ca="1" si="7"/>
        <v/>
      </c>
      <c r="F35" s="52" t="str">
        <f t="shared" ca="1" si="5"/>
        <v/>
      </c>
      <c r="G35" s="52"/>
      <c r="H35" s="52"/>
      <c r="I35" s="53"/>
      <c r="J35" s="54"/>
      <c r="K35" s="82" t="str">
        <f t="shared" ca="1" si="8"/>
        <v/>
      </c>
      <c r="L35" s="80"/>
      <c r="M35" s="69"/>
      <c r="N35" s="55"/>
    </row>
    <row r="36" spans="2:14" ht="14.4" x14ac:dyDescent="0.25">
      <c r="B36" s="50">
        <v>34</v>
      </c>
      <c r="C36" s="51"/>
      <c r="D36" s="52" t="str">
        <f t="shared" ca="1" si="6"/>
        <v/>
      </c>
      <c r="E36" s="52" t="str">
        <f t="shared" ca="1" si="7"/>
        <v/>
      </c>
      <c r="F36" s="52" t="str">
        <f t="shared" ca="1" si="5"/>
        <v/>
      </c>
      <c r="G36" s="52"/>
      <c r="H36" s="52"/>
      <c r="I36" s="53"/>
      <c r="J36" s="54"/>
      <c r="K36" s="82" t="str">
        <f t="shared" ca="1" si="8"/>
        <v/>
      </c>
      <c r="L36" s="80"/>
      <c r="M36" s="69"/>
      <c r="N36" s="55"/>
    </row>
    <row r="37" spans="2:14" ht="14.4" x14ac:dyDescent="0.25">
      <c r="B37" s="50">
        <v>35</v>
      </c>
      <c r="C37" s="51"/>
      <c r="D37" s="52" t="str">
        <f t="shared" ca="1" si="6"/>
        <v/>
      </c>
      <c r="E37" s="52" t="str">
        <f t="shared" ca="1" si="7"/>
        <v/>
      </c>
      <c r="F37" s="52" t="str">
        <f t="shared" ca="1" si="5"/>
        <v/>
      </c>
      <c r="G37" s="52"/>
      <c r="H37" s="52"/>
      <c r="I37" s="53"/>
      <c r="J37" s="54"/>
      <c r="K37" s="82" t="str">
        <f t="shared" ca="1" si="8"/>
        <v/>
      </c>
      <c r="L37" s="80"/>
      <c r="M37" s="69"/>
      <c r="N37" s="55"/>
    </row>
    <row r="38" spans="2:14" ht="14.4" x14ac:dyDescent="0.25">
      <c r="B38" s="50">
        <v>36</v>
      </c>
      <c r="C38" s="51"/>
      <c r="D38" s="52" t="str">
        <f t="shared" ca="1" si="6"/>
        <v/>
      </c>
      <c r="E38" s="52" t="str">
        <f t="shared" ca="1" si="7"/>
        <v/>
      </c>
      <c r="F38" s="52" t="str">
        <f t="shared" ca="1" si="5"/>
        <v/>
      </c>
      <c r="G38" s="52"/>
      <c r="H38" s="52"/>
      <c r="I38" s="53"/>
      <c r="J38" s="54"/>
      <c r="K38" s="82" t="str">
        <f t="shared" ca="1" si="8"/>
        <v/>
      </c>
      <c r="L38" s="80"/>
      <c r="M38" s="69"/>
      <c r="N38" s="55"/>
    </row>
    <row r="39" spans="2:14" ht="14.4" x14ac:dyDescent="0.25">
      <c r="B39" s="49">
        <v>37</v>
      </c>
      <c r="C39" s="51"/>
      <c r="D39" s="52" t="str">
        <f t="shared" ca="1" si="6"/>
        <v/>
      </c>
      <c r="E39" s="52" t="str">
        <f t="shared" ca="1" si="7"/>
        <v/>
      </c>
      <c r="F39" s="52" t="str">
        <f t="shared" ca="1" si="5"/>
        <v/>
      </c>
      <c r="G39" s="52"/>
      <c r="H39" s="52"/>
      <c r="I39" s="53"/>
      <c r="J39" s="54"/>
      <c r="K39" s="82" t="str">
        <f t="shared" ca="1" si="8"/>
        <v/>
      </c>
      <c r="L39" s="80"/>
      <c r="M39" s="69"/>
      <c r="N39" s="55"/>
    </row>
    <row r="40" spans="2:14" ht="14.4" x14ac:dyDescent="0.25">
      <c r="B40" s="50">
        <v>38</v>
      </c>
      <c r="C40" s="51"/>
      <c r="D40" s="52" t="str">
        <f t="shared" ca="1" si="6"/>
        <v/>
      </c>
      <c r="E40" s="52" t="str">
        <f t="shared" ca="1" si="7"/>
        <v/>
      </c>
      <c r="F40" s="52" t="str">
        <f t="shared" ca="1" si="5"/>
        <v/>
      </c>
      <c r="G40" s="52"/>
      <c r="H40" s="52"/>
      <c r="I40" s="53"/>
      <c r="J40" s="54"/>
      <c r="K40" s="82" t="str">
        <f t="shared" ca="1" si="8"/>
        <v/>
      </c>
      <c r="L40" s="80"/>
      <c r="M40" s="69"/>
      <c r="N40" s="55"/>
    </row>
    <row r="41" spans="2:14" ht="14.4" x14ac:dyDescent="0.25">
      <c r="B41" s="50">
        <v>39</v>
      </c>
      <c r="C41" s="51"/>
      <c r="D41" s="52" t="str">
        <f t="shared" ca="1" si="6"/>
        <v/>
      </c>
      <c r="E41" s="52" t="str">
        <f t="shared" ca="1" si="7"/>
        <v/>
      </c>
      <c r="F41" s="52" t="str">
        <f t="shared" ca="1" si="5"/>
        <v/>
      </c>
      <c r="G41" s="52"/>
      <c r="H41" s="52"/>
      <c r="I41" s="53"/>
      <c r="J41" s="54"/>
      <c r="K41" s="82" t="str">
        <f t="shared" ca="1" si="8"/>
        <v/>
      </c>
      <c r="L41" s="80"/>
      <c r="M41" s="69"/>
      <c r="N41" s="55"/>
    </row>
    <row r="42" spans="2:14" ht="14.4" x14ac:dyDescent="0.25">
      <c r="B42" s="50">
        <v>40</v>
      </c>
      <c r="C42" s="51"/>
      <c r="D42" s="52" t="str">
        <f t="shared" ca="1" si="6"/>
        <v/>
      </c>
      <c r="E42" s="52" t="str">
        <f t="shared" ca="1" si="7"/>
        <v/>
      </c>
      <c r="F42" s="52" t="str">
        <f t="shared" ca="1" si="5"/>
        <v/>
      </c>
      <c r="G42" s="52"/>
      <c r="H42" s="52"/>
      <c r="I42" s="53"/>
      <c r="J42" s="54"/>
      <c r="K42" s="82" t="str">
        <f t="shared" ca="1" si="8"/>
        <v/>
      </c>
      <c r="L42" s="80"/>
      <c r="M42" s="69"/>
      <c r="N42" s="55"/>
    </row>
    <row r="43" spans="2:14" ht="14.4" x14ac:dyDescent="0.25">
      <c r="B43" s="50">
        <v>41</v>
      </c>
      <c r="C43" s="51"/>
      <c r="D43" s="52" t="str">
        <f t="shared" ca="1" si="6"/>
        <v/>
      </c>
      <c r="E43" s="52" t="str">
        <f t="shared" ca="1" si="7"/>
        <v/>
      </c>
      <c r="F43" s="52" t="str">
        <f t="shared" ca="1" si="5"/>
        <v/>
      </c>
      <c r="G43" s="52"/>
      <c r="H43" s="52"/>
      <c r="I43" s="53"/>
      <c r="J43" s="54"/>
      <c r="K43" s="82" t="str">
        <f t="shared" ca="1" si="8"/>
        <v/>
      </c>
      <c r="L43" s="80"/>
      <c r="M43" s="69"/>
      <c r="N43" s="55"/>
    </row>
    <row r="44" spans="2:14" ht="14.4" x14ac:dyDescent="0.25">
      <c r="B44" s="50">
        <v>42</v>
      </c>
      <c r="C44" s="51"/>
      <c r="D44" s="52" t="str">
        <f t="shared" ca="1" si="6"/>
        <v/>
      </c>
      <c r="E44" s="52" t="str">
        <f t="shared" ca="1" si="7"/>
        <v/>
      </c>
      <c r="F44" s="52" t="str">
        <f t="shared" ca="1" si="5"/>
        <v/>
      </c>
      <c r="G44" s="52"/>
      <c r="H44" s="52"/>
      <c r="I44" s="53"/>
      <c r="J44" s="54"/>
      <c r="K44" s="82" t="str">
        <f t="shared" ca="1" si="8"/>
        <v/>
      </c>
      <c r="L44" s="80"/>
      <c r="M44" s="69"/>
      <c r="N44" s="55"/>
    </row>
    <row r="45" spans="2:14" ht="14.4" x14ac:dyDescent="0.25">
      <c r="B45" s="50">
        <v>43</v>
      </c>
      <c r="C45" s="51"/>
      <c r="D45" s="52" t="str">
        <f t="shared" ca="1" si="6"/>
        <v/>
      </c>
      <c r="E45" s="52" t="str">
        <f t="shared" ca="1" si="7"/>
        <v/>
      </c>
      <c r="F45" s="52" t="str">
        <f t="shared" ca="1" si="5"/>
        <v/>
      </c>
      <c r="G45" s="52"/>
      <c r="H45" s="52"/>
      <c r="I45" s="53"/>
      <c r="J45" s="54"/>
      <c r="K45" s="82" t="str">
        <f t="shared" ca="1" si="8"/>
        <v/>
      </c>
      <c r="L45" s="80"/>
      <c r="M45" s="69"/>
      <c r="N45" s="55"/>
    </row>
    <row r="46" spans="2:14" ht="14.4" x14ac:dyDescent="0.25">
      <c r="B46" s="50">
        <v>44</v>
      </c>
      <c r="C46" s="51"/>
      <c r="D46" s="52" t="str">
        <f t="shared" ca="1" si="6"/>
        <v/>
      </c>
      <c r="E46" s="52" t="str">
        <f t="shared" ca="1" si="7"/>
        <v/>
      </c>
      <c r="F46" s="52" t="str">
        <f t="shared" ca="1" si="5"/>
        <v/>
      </c>
      <c r="G46" s="52"/>
      <c r="H46" s="52"/>
      <c r="I46" s="53"/>
      <c r="J46" s="54"/>
      <c r="K46" s="82" t="str">
        <f t="shared" ca="1" si="8"/>
        <v/>
      </c>
      <c r="L46" s="80"/>
      <c r="M46" s="69"/>
      <c r="N46" s="55"/>
    </row>
    <row r="47" spans="2:14" ht="15" thickBot="1" x14ac:dyDescent="0.3">
      <c r="B47" s="56">
        <v>45</v>
      </c>
      <c r="C47" s="57"/>
      <c r="D47" s="52"/>
      <c r="E47" s="52" t="str">
        <f t="shared" ca="1" si="7"/>
        <v/>
      </c>
      <c r="F47" s="52" t="str">
        <f t="shared" ca="1" si="5"/>
        <v/>
      </c>
      <c r="G47" s="52"/>
      <c r="H47" s="52"/>
      <c r="I47" s="53"/>
      <c r="J47" s="54"/>
      <c r="K47" s="82" t="str">
        <f t="shared" ca="1" si="8"/>
        <v/>
      </c>
      <c r="L47" s="80"/>
      <c r="M47" s="69"/>
      <c r="N47" s="55"/>
    </row>
  </sheetData>
  <phoneticPr fontId="42" type="noConversion"/>
  <conditionalFormatting sqref="K3 K25:K47">
    <cfRule type="cellIs" dxfId="139" priority="7" operator="equal">
      <formula>"Nok"</formula>
    </cfRule>
    <cfRule type="cellIs" dxfId="138" priority="8" operator="equal">
      <formula>"Ok"</formula>
    </cfRule>
  </conditionalFormatting>
  <conditionalFormatting sqref="K4:K10">
    <cfRule type="cellIs" dxfId="137" priority="5" operator="equal">
      <formula>"Nok"</formula>
    </cfRule>
    <cfRule type="cellIs" dxfId="136" priority="6" operator="equal">
      <formula>"Ok"</formula>
    </cfRule>
  </conditionalFormatting>
  <conditionalFormatting sqref="K11:K23">
    <cfRule type="cellIs" dxfId="135" priority="3" operator="equal">
      <formula>"Nok"</formula>
    </cfRule>
    <cfRule type="cellIs" dxfId="134" priority="4" operator="equal">
      <formula>"Ok"</formula>
    </cfRule>
  </conditionalFormatting>
  <conditionalFormatting sqref="K24">
    <cfRule type="cellIs" dxfId="133" priority="1" operator="equal">
      <formula>"Nok"</formula>
    </cfRule>
    <cfRule type="cellIs" dxfId="132" priority="2" operator="equal">
      <formula>"Ok"</formula>
    </cfRule>
  </conditionalFormatting>
  <dataValidations count="3">
    <dataValidation type="list" allowBlank="1" showInputMessage="1" showErrorMessage="1" sqref="E25:E47" xr:uid="{00000000-0002-0000-0300-000000000000}">
      <formula1>"Nominal, Robustness, Endurance, Qualification, Other"</formula1>
    </dataValidation>
    <dataValidation type="list" allowBlank="1" showInputMessage="1" showErrorMessage="1" sqref="G3:G24" xr:uid="{00000000-0002-0000-0300-000001000000}">
      <formula1>",X,"</formula1>
    </dataValidation>
    <dataValidation type="list" allowBlank="1" showInputMessage="1" showErrorMessage="1" sqref="H3:H24" xr:uid="{00000000-0002-0000-0300-000002000000}">
      <formula1>"1,2,3,"</formula1>
    </dataValidation>
  </dataValidations>
  <hyperlinks>
    <hyperlink ref="C3" location="SW_IT_xxx!A1" display="SW_IT_xxx" xr:uid="{00000000-0004-0000-0300-000000000000}"/>
    <hyperlink ref="C4" location="SW_IT_xxx!A1" display="SW_IT_xxx" xr:uid="{60B3028B-C376-41F8-AD13-28A45AFD806C}"/>
    <hyperlink ref="C5:C10" location="SW_IT_xxx!A1" display="SW_IT_xxx" xr:uid="{A35CC5D3-4DE9-451A-9EF1-E64695C73B01}"/>
    <hyperlink ref="C11" location="SW_IT_xxx!A1" display="SW_IT_xxx" xr:uid="{C2411D09-FFED-48DF-9A75-71A08302FA81}"/>
    <hyperlink ref="C12:C20" location="SW_IT_xxx!A1" display="SW_IT_xxx" xr:uid="{08528F29-3954-40D5-821E-42F15F056EB4}"/>
    <hyperlink ref="C21:C23" location="SW_IT_xxx!A1" display="SW_IT_xxx" xr:uid="{05D72AE8-21C2-4F7D-8E81-332E888D1661}"/>
    <hyperlink ref="C24" location="SW_IT_xxx!A1" display="SW_IT_xxx" xr:uid="{38180FDC-82A3-4F1E-9630-8EEF19CB877A}"/>
  </hyperlink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Reserved&amp;LTBD ver 1&amp;R&amp;P</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P32"/>
  <sheetViews>
    <sheetView workbookViewId="0">
      <selection activeCell="B1" sqref="B1:G1"/>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245</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152</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127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150</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x14ac:dyDescent="0.25">
      <c r="A25" s="93" t="s">
        <v>53</v>
      </c>
      <c r="B25" s="209" t="s">
        <v>136</v>
      </c>
      <c r="C25" s="210"/>
      <c r="D25" s="210"/>
      <c r="E25" s="210"/>
      <c r="F25" s="210"/>
      <c r="G25" s="211"/>
      <c r="H25" s="206" t="s">
        <v>135</v>
      </c>
      <c r="I25" s="206"/>
      <c r="J25" s="206"/>
      <c r="K25" s="206"/>
      <c r="L25" s="206" t="s">
        <v>135</v>
      </c>
      <c r="M25" s="206"/>
      <c r="N25" s="206"/>
      <c r="O25" s="206"/>
      <c r="P25" s="87" t="s">
        <v>128</v>
      </c>
    </row>
    <row r="26" spans="1:16" x14ac:dyDescent="0.25">
      <c r="A26" s="93" t="s">
        <v>54</v>
      </c>
      <c r="B26" s="209"/>
      <c r="C26" s="210"/>
      <c r="D26" s="210"/>
      <c r="E26" s="210"/>
      <c r="F26" s="210"/>
      <c r="G26" s="211"/>
      <c r="H26" s="206"/>
      <c r="I26" s="206"/>
      <c r="J26" s="206"/>
      <c r="K26" s="206"/>
      <c r="L26" s="206"/>
      <c r="M26" s="206"/>
      <c r="N26" s="206"/>
      <c r="O26" s="206"/>
      <c r="P26" s="87"/>
    </row>
    <row r="27" spans="1:16" x14ac:dyDescent="0.25">
      <c r="A27" s="93" t="s">
        <v>55</v>
      </c>
      <c r="B27" s="209"/>
      <c r="C27" s="210"/>
      <c r="D27" s="210"/>
      <c r="E27" s="210"/>
      <c r="F27" s="210"/>
      <c r="G27" s="211"/>
      <c r="H27" s="206"/>
      <c r="I27" s="206"/>
      <c r="J27" s="206"/>
      <c r="K27" s="206"/>
      <c r="L27" s="206"/>
      <c r="M27" s="206"/>
      <c r="N27" s="206"/>
      <c r="O27" s="206"/>
      <c r="P27" s="87"/>
    </row>
    <row r="28" spans="1:16" x14ac:dyDescent="0.25">
      <c r="A28" s="93" t="s">
        <v>56</v>
      </c>
      <c r="B28" s="209"/>
      <c r="C28" s="210"/>
      <c r="D28" s="210"/>
      <c r="E28" s="210"/>
      <c r="F28" s="210"/>
      <c r="G28" s="211"/>
      <c r="H28" s="206"/>
      <c r="I28" s="206"/>
      <c r="J28" s="206"/>
      <c r="K28" s="206"/>
      <c r="L28" s="206"/>
      <c r="M28" s="206"/>
      <c r="N28" s="206"/>
      <c r="O28" s="206"/>
      <c r="P28" s="87"/>
    </row>
    <row r="29" spans="1:16" x14ac:dyDescent="0.25">
      <c r="A29" s="93" t="s">
        <v>57</v>
      </c>
      <c r="B29" s="209"/>
      <c r="C29" s="210"/>
      <c r="D29" s="210"/>
      <c r="E29" s="210"/>
      <c r="F29" s="210"/>
      <c r="G29" s="211"/>
      <c r="H29" s="206"/>
      <c r="I29" s="206"/>
      <c r="J29" s="206"/>
      <c r="K29" s="206"/>
      <c r="L29" s="206"/>
      <c r="M29" s="206"/>
      <c r="N29" s="206"/>
      <c r="O29" s="206"/>
      <c r="P29" s="87"/>
    </row>
    <row r="30" spans="1:16" ht="13.8" thickBot="1" x14ac:dyDescent="0.3">
      <c r="A30" s="94" t="s">
        <v>58</v>
      </c>
      <c r="B30" s="225"/>
      <c r="C30" s="226"/>
      <c r="D30" s="226"/>
      <c r="E30" s="226"/>
      <c r="F30" s="226"/>
      <c r="G30" s="227"/>
      <c r="H30" s="224"/>
      <c r="I30" s="224"/>
      <c r="J30" s="224"/>
      <c r="K30" s="224"/>
      <c r="L30" s="224"/>
      <c r="M30" s="224"/>
      <c r="N30" s="224"/>
      <c r="O30" s="224"/>
      <c r="P30" s="88"/>
    </row>
    <row r="31" spans="1:16" x14ac:dyDescent="0.25">
      <c r="B31" s="89"/>
      <c r="C31" s="89"/>
      <c r="D31" s="89"/>
      <c r="E31" s="89"/>
      <c r="F31" s="89"/>
      <c r="G31" s="89"/>
      <c r="H31" s="89"/>
    </row>
    <row r="32" spans="1:16" x14ac:dyDescent="0.25">
      <c r="B32" s="89"/>
      <c r="C32" s="89"/>
      <c r="D32" s="89"/>
      <c r="E32" s="89"/>
      <c r="F32" s="89"/>
      <c r="G32" s="89"/>
      <c r="H32" s="89"/>
    </row>
  </sheetData>
  <mergeCells count="37">
    <mergeCell ref="L30:O30"/>
    <mergeCell ref="L25:O25"/>
    <mergeCell ref="B29:G29"/>
    <mergeCell ref="B30:G30"/>
    <mergeCell ref="H25:K25"/>
    <mergeCell ref="H30:K30"/>
    <mergeCell ref="L27:O27"/>
    <mergeCell ref="L28:O28"/>
    <mergeCell ref="L29:O29"/>
    <mergeCell ref="H26:K26"/>
    <mergeCell ref="H27:K27"/>
    <mergeCell ref="A11:A14"/>
    <mergeCell ref="A16:A19"/>
    <mergeCell ref="B28:G28"/>
    <mergeCell ref="H28:K28"/>
    <mergeCell ref="H29:K29"/>
    <mergeCell ref="A21:G21"/>
    <mergeCell ref="B22:G22"/>
    <mergeCell ref="B23:G23"/>
    <mergeCell ref="B24:G24"/>
    <mergeCell ref="B27:G27"/>
    <mergeCell ref="H24:K24"/>
    <mergeCell ref="H23:K23"/>
    <mergeCell ref="B11:G14"/>
    <mergeCell ref="B16:G19"/>
    <mergeCell ref="B25:G25"/>
    <mergeCell ref="B26:G26"/>
    <mergeCell ref="L21:O21"/>
    <mergeCell ref="L22:O22"/>
    <mergeCell ref="L23:O23"/>
    <mergeCell ref="L24:O24"/>
    <mergeCell ref="L26:O26"/>
    <mergeCell ref="B1:G1"/>
    <mergeCell ref="B3:G3"/>
    <mergeCell ref="B7:G7"/>
    <mergeCell ref="H21:K21"/>
    <mergeCell ref="H22:K22"/>
  </mergeCells>
  <conditionalFormatting sqref="B9:B10">
    <cfRule type="cellIs" dxfId="131" priority="3" operator="equal">
      <formula>"Nok"</formula>
    </cfRule>
    <cfRule type="cellIs" dxfId="130" priority="4" operator="equal">
      <formula>"Ok"</formula>
    </cfRule>
  </conditionalFormatting>
  <conditionalFormatting sqref="P22:P30">
    <cfRule type="cellIs" dxfId="129" priority="1" operator="equal">
      <formula>"Nok"</formula>
    </cfRule>
    <cfRule type="cellIs" dxfId="128" priority="2" operator="equal">
      <formula>"Ok"</formula>
    </cfRule>
  </conditionalFormatting>
  <dataValidations count="3">
    <dataValidation type="list" allowBlank="1" showInputMessage="1" showErrorMessage="1" sqref="B5" xr:uid="{00000000-0002-0000-0400-000000000000}">
      <formula1>"Nominal, Robustness, Endurance, Qualification"</formula1>
    </dataValidation>
    <dataValidation type="list" allowBlank="1" showInputMessage="1" showErrorMessage="1" sqref="B9" xr:uid="{00000000-0002-0000-0400-000001000000}">
      <formula1>"Ok, Nok, Not run, NA"</formula1>
    </dataValidation>
    <dataValidation type="list" allowBlank="1" showInputMessage="1" showErrorMessage="1" sqref="P22:P30" xr:uid="{00000000-0002-0000-0400-000002000000}">
      <formula1>"Ok, Nok, Not run, ,"</formula1>
    </dataValidation>
  </dataValidations>
  <pageMargins left="0.7" right="0.7" top="0.75" bottom="0.75" header="0.3" footer="0.3"/>
  <pageSetup paperSize="9" orientation="portrait" r:id="rId1"/>
  <headerFooter>
    <oddFooter>&amp;LTBD ver 1&amp;R&amp;P</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B597E-70D8-471A-A95D-C3A7C71DA369}">
  <sheetPr codeName="Sheet7"/>
  <dimension ref="A1:P32"/>
  <sheetViews>
    <sheetView workbookViewId="0">
      <selection activeCell="B1" sqref="B1:G1"/>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246</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152</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137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x14ac:dyDescent="0.25">
      <c r="A25" s="93" t="s">
        <v>53</v>
      </c>
      <c r="B25" s="85" t="s">
        <v>139</v>
      </c>
      <c r="H25" s="85" t="s">
        <v>138</v>
      </c>
      <c r="L25" s="85" t="s">
        <v>138</v>
      </c>
      <c r="P25" s="87" t="s">
        <v>128</v>
      </c>
    </row>
    <row r="26" spans="1:16" x14ac:dyDescent="0.25">
      <c r="A26" s="93" t="s">
        <v>54</v>
      </c>
      <c r="B26" s="209" t="s">
        <v>141</v>
      </c>
      <c r="C26" s="210"/>
      <c r="D26" s="210"/>
      <c r="E26" s="210"/>
      <c r="F26" s="210"/>
      <c r="G26" s="211"/>
      <c r="H26" s="206" t="s">
        <v>142</v>
      </c>
      <c r="I26" s="206"/>
      <c r="J26" s="206"/>
      <c r="K26" s="206"/>
      <c r="L26" s="206" t="s">
        <v>142</v>
      </c>
      <c r="M26" s="206"/>
      <c r="N26" s="206"/>
      <c r="O26" s="206"/>
      <c r="P26" s="87" t="s">
        <v>128</v>
      </c>
    </row>
    <row r="27" spans="1:16" x14ac:dyDescent="0.25">
      <c r="A27" s="93" t="s">
        <v>55</v>
      </c>
      <c r="B27" s="209" t="s">
        <v>143</v>
      </c>
      <c r="C27" s="210"/>
      <c r="D27" s="210"/>
      <c r="E27" s="210"/>
      <c r="F27" s="210"/>
      <c r="G27" s="211"/>
      <c r="H27" s="209" t="s">
        <v>140</v>
      </c>
      <c r="I27" s="210"/>
      <c r="J27" s="210"/>
      <c r="K27" s="211"/>
      <c r="L27" s="209" t="s">
        <v>140</v>
      </c>
      <c r="M27" s="210"/>
      <c r="N27" s="210"/>
      <c r="O27" s="211"/>
      <c r="P27" s="87" t="s">
        <v>128</v>
      </c>
    </row>
    <row r="28" spans="1:16" x14ac:dyDescent="0.25">
      <c r="A28" s="93" t="s">
        <v>56</v>
      </c>
      <c r="B28" s="209"/>
      <c r="C28" s="210"/>
      <c r="D28" s="210"/>
      <c r="E28" s="210"/>
      <c r="F28" s="210"/>
      <c r="G28" s="211"/>
      <c r="H28" s="209"/>
      <c r="I28" s="210"/>
      <c r="J28" s="210"/>
      <c r="K28" s="211"/>
      <c r="L28" s="209"/>
      <c r="M28" s="210"/>
      <c r="N28" s="210"/>
      <c r="O28" s="211"/>
      <c r="P28" s="87"/>
    </row>
    <row r="29" spans="1:16" x14ac:dyDescent="0.25">
      <c r="A29" s="93" t="s">
        <v>57</v>
      </c>
      <c r="B29" s="209"/>
      <c r="C29" s="210"/>
      <c r="D29" s="210"/>
      <c r="E29" s="210"/>
      <c r="F29" s="210"/>
      <c r="G29" s="211"/>
      <c r="H29" s="206"/>
      <c r="I29" s="206"/>
      <c r="J29" s="206"/>
      <c r="K29" s="206"/>
      <c r="L29" s="206"/>
      <c r="M29" s="206"/>
      <c r="N29" s="206"/>
      <c r="O29" s="206"/>
      <c r="P29" s="87"/>
    </row>
    <row r="30" spans="1:16" ht="13.8" thickBot="1" x14ac:dyDescent="0.3">
      <c r="A30" s="94" t="s">
        <v>58</v>
      </c>
      <c r="B30" s="225"/>
      <c r="C30" s="226"/>
      <c r="D30" s="226"/>
      <c r="E30" s="226"/>
      <c r="F30" s="226"/>
      <c r="G30" s="227"/>
      <c r="H30" s="224"/>
      <c r="I30" s="224"/>
      <c r="J30" s="224"/>
      <c r="K30" s="224"/>
      <c r="L30" s="224"/>
      <c r="M30" s="224"/>
      <c r="N30" s="224"/>
      <c r="O30" s="224"/>
      <c r="P30" s="88"/>
    </row>
    <row r="31" spans="1:16" x14ac:dyDescent="0.25">
      <c r="B31" s="89"/>
      <c r="C31" s="89"/>
      <c r="D31" s="89"/>
      <c r="E31" s="89"/>
      <c r="F31" s="89"/>
      <c r="G31" s="89"/>
      <c r="H31" s="89"/>
    </row>
    <row r="32" spans="1:16" x14ac:dyDescent="0.25">
      <c r="B32" s="89"/>
      <c r="C32" s="89"/>
      <c r="D32" s="89"/>
      <c r="E32" s="89"/>
      <c r="F32" s="89"/>
      <c r="G32" s="89"/>
      <c r="H32" s="89"/>
    </row>
  </sheetData>
  <mergeCells count="34">
    <mergeCell ref="B29:G29"/>
    <mergeCell ref="H29:K29"/>
    <mergeCell ref="L29:O29"/>
    <mergeCell ref="B30:G30"/>
    <mergeCell ref="H30:K30"/>
    <mergeCell ref="L30:O30"/>
    <mergeCell ref="B27:G27"/>
    <mergeCell ref="H27:K27"/>
    <mergeCell ref="L27:O27"/>
    <mergeCell ref="B28:G28"/>
    <mergeCell ref="H28:K28"/>
    <mergeCell ref="L28:O28"/>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27" priority="3" operator="equal">
      <formula>"Nok"</formula>
    </cfRule>
    <cfRule type="cellIs" dxfId="126" priority="4" operator="equal">
      <formula>"Ok"</formula>
    </cfRule>
  </conditionalFormatting>
  <conditionalFormatting sqref="P22:P30">
    <cfRule type="cellIs" dxfId="125" priority="1" operator="equal">
      <formula>"Nok"</formula>
    </cfRule>
    <cfRule type="cellIs" dxfId="124" priority="2" operator="equal">
      <formula>"Ok"</formula>
    </cfRule>
  </conditionalFormatting>
  <dataValidations count="3">
    <dataValidation type="list" allowBlank="1" showInputMessage="1" showErrorMessage="1" sqref="P22:P30" xr:uid="{392D1EF7-F285-43D1-8B1C-FC7B77A40501}">
      <formula1>"Ok, Nok, Not run, ,"</formula1>
    </dataValidation>
    <dataValidation type="list" allowBlank="1" showInputMessage="1" showErrorMessage="1" sqref="B9" xr:uid="{A6236D12-3C80-4129-B5F9-42EA7F9682E6}">
      <formula1>"Ok, Nok, Not run, NA"</formula1>
    </dataValidation>
    <dataValidation type="list" allowBlank="1" showInputMessage="1" showErrorMessage="1" sqref="B5" xr:uid="{8B138916-0903-4317-A445-B7BEF61EE341}">
      <formula1>"Nominal, Robustness, Endurance, Qualification"</formula1>
    </dataValidation>
  </dataValidations>
  <pageMargins left="0.7" right="0.7" top="0.75" bottom="0.75" header="0.3" footer="0.3"/>
  <pageSetup paperSize="9" orientation="portrait" r:id="rId1"/>
  <headerFooter>
    <oddFooter>&amp;LTBD ver 1&amp;R&amp;P</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583710-37C1-422B-9A58-F25F2DFDAD73}">
  <dimension ref="A1:P30"/>
  <sheetViews>
    <sheetView workbookViewId="0">
      <selection activeCell="B25" sqref="B25:G25"/>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154</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153</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163</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32.25" customHeight="1" x14ac:dyDescent="0.25">
      <c r="A25" s="93" t="s">
        <v>53</v>
      </c>
      <c r="B25" s="209" t="s">
        <v>156</v>
      </c>
      <c r="C25" s="210"/>
      <c r="D25" s="210"/>
      <c r="E25" s="210"/>
      <c r="F25" s="210"/>
      <c r="G25" s="211"/>
      <c r="H25" s="206" t="s">
        <v>155</v>
      </c>
      <c r="I25" s="206"/>
      <c r="J25" s="206"/>
      <c r="K25" s="206"/>
      <c r="L25" s="206" t="s">
        <v>155</v>
      </c>
      <c r="M25" s="206"/>
      <c r="N25" s="206"/>
      <c r="O25" s="206"/>
      <c r="P25" s="87" t="s">
        <v>128</v>
      </c>
    </row>
    <row r="26" spans="1:16" ht="36" customHeight="1" x14ac:dyDescent="0.25">
      <c r="A26" s="93" t="s">
        <v>54</v>
      </c>
      <c r="B26" s="209" t="s">
        <v>157</v>
      </c>
      <c r="C26" s="210"/>
      <c r="D26" s="210"/>
      <c r="E26" s="210"/>
      <c r="F26" s="210"/>
      <c r="G26" s="211"/>
      <c r="H26" s="206" t="s">
        <v>159</v>
      </c>
      <c r="I26" s="206"/>
      <c r="J26" s="206"/>
      <c r="K26" s="206"/>
      <c r="L26" s="206" t="s">
        <v>159</v>
      </c>
      <c r="M26" s="206"/>
      <c r="N26" s="206"/>
      <c r="O26" s="206"/>
      <c r="P26" s="87" t="s">
        <v>128</v>
      </c>
    </row>
    <row r="27" spans="1:16" ht="34.5" customHeight="1" x14ac:dyDescent="0.25">
      <c r="A27" s="93" t="s">
        <v>55</v>
      </c>
      <c r="B27" s="209" t="s">
        <v>158</v>
      </c>
      <c r="C27" s="210"/>
      <c r="D27" s="210"/>
      <c r="E27" s="210"/>
      <c r="F27" s="210"/>
      <c r="G27" s="211"/>
      <c r="H27" s="206" t="s">
        <v>160</v>
      </c>
      <c r="I27" s="206"/>
      <c r="J27" s="206"/>
      <c r="K27" s="206"/>
      <c r="L27" s="206" t="s">
        <v>160</v>
      </c>
      <c r="M27" s="206"/>
      <c r="N27" s="206"/>
      <c r="O27" s="206"/>
      <c r="P27" s="87" t="s">
        <v>128</v>
      </c>
    </row>
    <row r="28" spans="1:16" ht="24.75" customHeight="1" x14ac:dyDescent="0.25">
      <c r="A28" s="93" t="s">
        <v>56</v>
      </c>
      <c r="B28" s="209" t="s">
        <v>162</v>
      </c>
      <c r="C28" s="210"/>
      <c r="D28" s="210"/>
      <c r="E28" s="210"/>
      <c r="F28" s="210"/>
      <c r="G28" s="211"/>
      <c r="H28" s="206" t="s">
        <v>161</v>
      </c>
      <c r="I28" s="206"/>
      <c r="J28" s="206"/>
      <c r="K28" s="206"/>
      <c r="L28" s="206" t="s">
        <v>161</v>
      </c>
      <c r="M28" s="206"/>
      <c r="N28" s="206"/>
      <c r="O28" s="206"/>
      <c r="P28" s="87" t="s">
        <v>128</v>
      </c>
    </row>
    <row r="29" spans="1:16" x14ac:dyDescent="0.25">
      <c r="B29" s="89"/>
      <c r="C29" s="89"/>
      <c r="D29" s="89"/>
      <c r="E29" s="89"/>
      <c r="F29" s="89"/>
      <c r="G29" s="89"/>
      <c r="H29" s="89"/>
    </row>
    <row r="30" spans="1:16" x14ac:dyDescent="0.25">
      <c r="B30" s="89"/>
      <c r="C30" s="89"/>
      <c r="D30" s="89"/>
      <c r="E30" s="89"/>
      <c r="F30" s="89"/>
      <c r="G30" s="89"/>
      <c r="H30" s="89"/>
    </row>
  </sheetData>
  <mergeCells count="31">
    <mergeCell ref="B25:G25"/>
    <mergeCell ref="H25:K25"/>
    <mergeCell ref="L25:O25"/>
    <mergeCell ref="B28:G28"/>
    <mergeCell ref="H28:K28"/>
    <mergeCell ref="L28:O28"/>
    <mergeCell ref="B26:G26"/>
    <mergeCell ref="H26:K26"/>
    <mergeCell ref="L26:O26"/>
    <mergeCell ref="B27:G27"/>
    <mergeCell ref="H27:K27"/>
    <mergeCell ref="L27:O27"/>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23" priority="5" operator="equal">
      <formula>"Nok"</formula>
    </cfRule>
    <cfRule type="cellIs" dxfId="122" priority="6" operator="equal">
      <formula>"Ok"</formula>
    </cfRule>
  </conditionalFormatting>
  <conditionalFormatting sqref="P22:P28">
    <cfRule type="cellIs" dxfId="121" priority="1" operator="equal">
      <formula>"Nok"</formula>
    </cfRule>
    <cfRule type="cellIs" dxfId="120" priority="2" operator="equal">
      <formula>"Ok"</formula>
    </cfRule>
  </conditionalFormatting>
  <dataValidations count="3">
    <dataValidation type="list" allowBlank="1" showInputMessage="1" showErrorMessage="1" sqref="B5" xr:uid="{B0E47E24-9375-46B8-9262-81A4EDEA3F03}">
      <formula1>"Nominal, Robustness, Endurance, Qualification"</formula1>
    </dataValidation>
    <dataValidation type="list" allowBlank="1" showInputMessage="1" showErrorMessage="1" sqref="B9" xr:uid="{9B36B765-9425-4F50-AD18-D179381DA50E}">
      <formula1>"Ok, Nok, Not run, NA"</formula1>
    </dataValidation>
    <dataValidation type="list" allowBlank="1" showInputMessage="1" showErrorMessage="1" sqref="P22:P28" xr:uid="{F30710CA-706B-40BF-B451-BD959ED9E2F1}">
      <formula1>"Ok, Nok, Not run, ,"</formula1>
    </dataValidation>
  </dataValidations>
  <pageMargins left="0.7" right="0.7" top="0.75" bottom="0.75" header="0.3" footer="0.3"/>
  <pageSetup orientation="portrait" r:id="rId1"/>
  <headerFooter>
    <oddFooter>&amp;LTBD ver 1&amp;R&amp;P</oddFoot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50A12-D84C-45C6-A385-5B9026AAF448}">
  <dimension ref="A1:P32"/>
  <sheetViews>
    <sheetView topLeftCell="A10" workbookViewId="0">
      <selection activeCell="B25" sqref="B25:G25"/>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165</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153</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164</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247</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25.5" customHeight="1"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120" customHeight="1" x14ac:dyDescent="0.25">
      <c r="A25" s="93" t="s">
        <v>166</v>
      </c>
      <c r="B25" s="212" t="s">
        <v>249</v>
      </c>
      <c r="C25" s="213"/>
      <c r="D25" s="213"/>
      <c r="E25" s="213"/>
      <c r="F25" s="213"/>
      <c r="G25" s="214"/>
      <c r="H25" s="209" t="s">
        <v>138</v>
      </c>
      <c r="I25" s="210"/>
      <c r="J25" s="210"/>
      <c r="K25" s="211"/>
      <c r="L25" s="209" t="s">
        <v>138</v>
      </c>
      <c r="M25" s="210"/>
      <c r="N25" s="210"/>
      <c r="O25" s="211"/>
      <c r="P25" s="87" t="s">
        <v>128</v>
      </c>
    </row>
    <row r="26" spans="1:16" ht="70.5" customHeight="1" x14ac:dyDescent="0.25">
      <c r="A26" s="93" t="s">
        <v>54</v>
      </c>
      <c r="B26" s="212" t="s">
        <v>141</v>
      </c>
      <c r="C26" s="213"/>
      <c r="D26" s="213"/>
      <c r="E26" s="213"/>
      <c r="F26" s="213"/>
      <c r="G26" s="214"/>
      <c r="H26" s="209" t="s">
        <v>142</v>
      </c>
      <c r="I26" s="210"/>
      <c r="J26" s="210"/>
      <c r="K26" s="211"/>
      <c r="L26" s="209" t="s">
        <v>142</v>
      </c>
      <c r="M26" s="210"/>
      <c r="N26" s="210"/>
      <c r="O26" s="211"/>
      <c r="P26" s="87" t="s">
        <v>128</v>
      </c>
    </row>
    <row r="27" spans="1:16" ht="32.25" customHeight="1" x14ac:dyDescent="0.25">
      <c r="A27" s="93" t="s">
        <v>55</v>
      </c>
      <c r="B27" s="209" t="s">
        <v>167</v>
      </c>
      <c r="C27" s="210"/>
      <c r="D27" s="210"/>
      <c r="E27" s="210"/>
      <c r="F27" s="210"/>
      <c r="G27" s="211"/>
      <c r="H27" s="206" t="s">
        <v>171</v>
      </c>
      <c r="I27" s="206"/>
      <c r="J27" s="206"/>
      <c r="K27" s="206"/>
      <c r="L27" s="206" t="s">
        <v>171</v>
      </c>
      <c r="M27" s="206"/>
      <c r="N27" s="206"/>
      <c r="O27" s="206"/>
      <c r="P27" s="87" t="s">
        <v>128</v>
      </c>
    </row>
    <row r="28" spans="1:16" ht="36" customHeight="1" x14ac:dyDescent="0.25">
      <c r="A28" s="93" t="s">
        <v>56</v>
      </c>
      <c r="B28" s="209" t="s">
        <v>168</v>
      </c>
      <c r="C28" s="210"/>
      <c r="D28" s="210"/>
      <c r="E28" s="210"/>
      <c r="F28" s="210"/>
      <c r="G28" s="211"/>
      <c r="H28" s="206" t="s">
        <v>171</v>
      </c>
      <c r="I28" s="206"/>
      <c r="J28" s="206"/>
      <c r="K28" s="206"/>
      <c r="L28" s="206" t="s">
        <v>171</v>
      </c>
      <c r="M28" s="206"/>
      <c r="N28" s="206"/>
      <c r="O28" s="206"/>
      <c r="P28" s="87" t="s">
        <v>128</v>
      </c>
    </row>
    <row r="29" spans="1:16" ht="34.5" customHeight="1" x14ac:dyDescent="0.25">
      <c r="A29" s="93" t="s">
        <v>57</v>
      </c>
      <c r="B29" s="209" t="s">
        <v>169</v>
      </c>
      <c r="C29" s="210"/>
      <c r="D29" s="210"/>
      <c r="E29" s="210"/>
      <c r="F29" s="210"/>
      <c r="G29" s="211"/>
      <c r="H29" s="206" t="s">
        <v>171</v>
      </c>
      <c r="I29" s="206"/>
      <c r="J29" s="206"/>
      <c r="K29" s="206"/>
      <c r="L29" s="206" t="s">
        <v>171</v>
      </c>
      <c r="M29" s="206"/>
      <c r="N29" s="206"/>
      <c r="O29" s="206"/>
      <c r="P29" s="87" t="s">
        <v>128</v>
      </c>
    </row>
    <row r="30" spans="1:16" ht="24.75" customHeight="1" x14ac:dyDescent="0.25">
      <c r="A30" s="93" t="s">
        <v>58</v>
      </c>
      <c r="B30" s="209" t="s">
        <v>170</v>
      </c>
      <c r="C30" s="210"/>
      <c r="D30" s="210"/>
      <c r="E30" s="210"/>
      <c r="F30" s="210"/>
      <c r="G30" s="211"/>
      <c r="H30" s="206" t="s">
        <v>171</v>
      </c>
      <c r="I30" s="206"/>
      <c r="J30" s="206"/>
      <c r="K30" s="206"/>
      <c r="L30" s="206" t="s">
        <v>171</v>
      </c>
      <c r="M30" s="206"/>
      <c r="N30" s="206"/>
      <c r="O30" s="206"/>
      <c r="P30" s="87" t="s">
        <v>128</v>
      </c>
    </row>
    <row r="31" spans="1:16" ht="12.75" customHeight="1" x14ac:dyDescent="0.25">
      <c r="B31" s="89"/>
      <c r="C31" s="89"/>
      <c r="D31" s="89"/>
      <c r="E31" s="89"/>
      <c r="F31" s="89"/>
      <c r="G31" s="89"/>
      <c r="H31" s="89"/>
    </row>
    <row r="32" spans="1:16" x14ac:dyDescent="0.25">
      <c r="B32" s="89"/>
      <c r="C32" s="89"/>
      <c r="D32" s="89"/>
      <c r="E32" s="89"/>
      <c r="F32" s="89"/>
      <c r="G32" s="89"/>
      <c r="H32" s="89"/>
    </row>
  </sheetData>
  <mergeCells count="37">
    <mergeCell ref="B25:G25"/>
    <mergeCell ref="H25:K25"/>
    <mergeCell ref="L25:O25"/>
    <mergeCell ref="B26:G26"/>
    <mergeCell ref="H26:K26"/>
    <mergeCell ref="L26:O26"/>
    <mergeCell ref="B29:G29"/>
    <mergeCell ref="H29:K29"/>
    <mergeCell ref="L29:O29"/>
    <mergeCell ref="B30:G30"/>
    <mergeCell ref="H30:K30"/>
    <mergeCell ref="L30:O30"/>
    <mergeCell ref="B27:G27"/>
    <mergeCell ref="H27:K27"/>
    <mergeCell ref="L27:O27"/>
    <mergeCell ref="B28:G28"/>
    <mergeCell ref="H28:K28"/>
    <mergeCell ref="L28:O28"/>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19" priority="3" operator="equal">
      <formula>"Nok"</formula>
    </cfRule>
    <cfRule type="cellIs" dxfId="118" priority="4" operator="equal">
      <formula>"Ok"</formula>
    </cfRule>
  </conditionalFormatting>
  <conditionalFormatting sqref="P22:P30">
    <cfRule type="cellIs" dxfId="117" priority="1" operator="equal">
      <formula>"Nok"</formula>
    </cfRule>
    <cfRule type="cellIs" dxfId="116" priority="2" operator="equal">
      <formula>"Ok"</formula>
    </cfRule>
  </conditionalFormatting>
  <dataValidations count="3">
    <dataValidation type="list" allowBlank="1" showInputMessage="1" showErrorMessage="1" sqref="P22:P30" xr:uid="{2339BCDC-3DE9-4F9C-B1B8-E801177171D0}">
      <formula1>"Ok, Nok, Not run, ,"</formula1>
    </dataValidation>
    <dataValidation type="list" allowBlank="1" showInputMessage="1" showErrorMessage="1" sqref="B9" xr:uid="{49F82D72-3771-461B-AF9B-0397CA6E3375}">
      <formula1>"Ok, Nok, Not run, NA"</formula1>
    </dataValidation>
    <dataValidation type="list" allowBlank="1" showInputMessage="1" showErrorMessage="1" sqref="B5" xr:uid="{A7DC6DED-9E85-4E45-80E7-26F773AECFCA}">
      <formula1>"Nominal, Robustness, Endurance, Qualification"</formula1>
    </dataValidation>
  </dataValidations>
  <pageMargins left="0.7" right="0.7" top="0.75" bottom="0.75" header="0.3" footer="0.3"/>
  <pageSetup orientation="portrait" r:id="rId1"/>
  <headerFooter>
    <oddFooter>&amp;LTBD ver 1&amp;R&amp;P</oddFooter>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9FE96F-FA93-4CD4-8BE8-E5A03C48B3C1}">
  <dimension ref="A1:P27"/>
  <sheetViews>
    <sheetView workbookViewId="0">
      <selection activeCell="D29" sqref="A1:XFD1048576"/>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172</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173</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127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150</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63" customHeight="1" x14ac:dyDescent="0.25">
      <c r="A25" s="93" t="s">
        <v>53</v>
      </c>
      <c r="B25" s="209" t="s">
        <v>174</v>
      </c>
      <c r="C25" s="210"/>
      <c r="D25" s="210"/>
      <c r="E25" s="210"/>
      <c r="F25" s="210"/>
      <c r="G25" s="211"/>
      <c r="H25" s="206" t="s">
        <v>175</v>
      </c>
      <c r="I25" s="206"/>
      <c r="J25" s="206"/>
      <c r="K25" s="206"/>
      <c r="L25" s="206" t="s">
        <v>175</v>
      </c>
      <c r="M25" s="206"/>
      <c r="N25" s="206"/>
      <c r="O25" s="206"/>
      <c r="P25" s="87" t="s">
        <v>128</v>
      </c>
    </row>
    <row r="26" spans="1:16" x14ac:dyDescent="0.25">
      <c r="B26" s="89"/>
      <c r="C26" s="89"/>
      <c r="D26" s="89"/>
      <c r="E26" s="89"/>
      <c r="F26" s="89"/>
      <c r="G26" s="89"/>
      <c r="H26" s="89"/>
    </row>
    <row r="27" spans="1:16" x14ac:dyDescent="0.25">
      <c r="B27" s="89"/>
      <c r="C27" s="89"/>
      <c r="D27" s="89"/>
      <c r="E27" s="89"/>
      <c r="F27" s="89"/>
      <c r="G27" s="89"/>
      <c r="H27" s="89"/>
    </row>
  </sheetData>
  <mergeCells count="22">
    <mergeCell ref="B25:G25"/>
    <mergeCell ref="H25:K25"/>
    <mergeCell ref="L25:O25"/>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15" priority="3" operator="equal">
      <formula>"Nok"</formula>
    </cfRule>
    <cfRule type="cellIs" dxfId="114" priority="4" operator="equal">
      <formula>"Ok"</formula>
    </cfRule>
  </conditionalFormatting>
  <conditionalFormatting sqref="P22:P25">
    <cfRule type="cellIs" dxfId="113" priority="1" operator="equal">
      <formula>"Nok"</formula>
    </cfRule>
    <cfRule type="cellIs" dxfId="112" priority="2" operator="equal">
      <formula>"Ok"</formula>
    </cfRule>
  </conditionalFormatting>
  <dataValidations count="3">
    <dataValidation type="list" allowBlank="1" showInputMessage="1" showErrorMessage="1" sqref="P22:P25" xr:uid="{24215BDC-460F-4F06-8020-A742314E3ABB}">
      <formula1>"Ok, Nok, Not run, ,"</formula1>
    </dataValidation>
    <dataValidation type="list" allowBlank="1" showInputMessage="1" showErrorMessage="1" sqref="B9" xr:uid="{3C7AD1E6-06ED-4C7A-BF70-0C1F8706D164}">
      <formula1>"Ok, Nok, Not run, NA"</formula1>
    </dataValidation>
    <dataValidation type="list" allowBlank="1" showInputMessage="1" showErrorMessage="1" sqref="B5" xr:uid="{8EA28BF9-741E-438A-8469-0C0019AC185F}">
      <formula1>"Nominal, Robustness, Endurance, Qualification"</formula1>
    </dataValidation>
  </dataValidations>
  <pageMargins left="0.7" right="0.7" top="0.75" bottom="0.75" header="0.3" footer="0.3"/>
  <pageSetup orientation="portrait" r:id="rId1"/>
  <headerFooter>
    <oddFooter>&amp;LTBD ver 1&amp;R&amp;P</oddFooter>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4AA65-122F-4415-89D9-9BCC4D2EA3DE}">
  <dimension ref="A1:P29"/>
  <sheetViews>
    <sheetView workbookViewId="0">
      <selection activeCell="H25" sqref="H25:K25"/>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176</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173</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164</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247</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28.5" customHeight="1"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89.25" customHeight="1" x14ac:dyDescent="0.25">
      <c r="A25" s="93" t="s">
        <v>166</v>
      </c>
      <c r="B25" s="212" t="s">
        <v>248</v>
      </c>
      <c r="C25" s="213"/>
      <c r="D25" s="213"/>
      <c r="E25" s="213"/>
      <c r="F25" s="213"/>
      <c r="G25" s="214"/>
      <c r="H25" s="209" t="s">
        <v>138</v>
      </c>
      <c r="I25" s="210"/>
      <c r="J25" s="210"/>
      <c r="K25" s="211"/>
      <c r="L25" s="209" t="s">
        <v>138</v>
      </c>
      <c r="M25" s="210"/>
      <c r="N25" s="210"/>
      <c r="O25" s="211"/>
      <c r="P25" s="87" t="s">
        <v>128</v>
      </c>
    </row>
    <row r="26" spans="1:16" ht="70.5" customHeight="1" x14ac:dyDescent="0.25">
      <c r="A26" s="93" t="s">
        <v>54</v>
      </c>
      <c r="B26" s="212" t="s">
        <v>141</v>
      </c>
      <c r="C26" s="213"/>
      <c r="D26" s="213"/>
      <c r="E26" s="213"/>
      <c r="F26" s="213"/>
      <c r="G26" s="214"/>
      <c r="H26" s="209" t="s">
        <v>142</v>
      </c>
      <c r="I26" s="210"/>
      <c r="J26" s="210"/>
      <c r="K26" s="211"/>
      <c r="L26" s="209" t="s">
        <v>142</v>
      </c>
      <c r="M26" s="210"/>
      <c r="N26" s="210"/>
      <c r="O26" s="211"/>
      <c r="P26" s="87" t="s">
        <v>128</v>
      </c>
    </row>
    <row r="27" spans="1:16" ht="42" customHeight="1" x14ac:dyDescent="0.25">
      <c r="A27" s="93" t="s">
        <v>55</v>
      </c>
      <c r="B27" s="209" t="s">
        <v>177</v>
      </c>
      <c r="C27" s="210"/>
      <c r="D27" s="210"/>
      <c r="E27" s="210"/>
      <c r="F27" s="210"/>
      <c r="G27" s="211"/>
      <c r="H27" s="206" t="s">
        <v>171</v>
      </c>
      <c r="I27" s="206"/>
      <c r="J27" s="206"/>
      <c r="K27" s="206"/>
      <c r="L27" s="206" t="s">
        <v>171</v>
      </c>
      <c r="M27" s="206"/>
      <c r="N27" s="206"/>
      <c r="O27" s="206"/>
      <c r="P27" s="87" t="s">
        <v>128</v>
      </c>
    </row>
    <row r="28" spans="1:16" ht="12.75" customHeight="1" x14ac:dyDescent="0.25">
      <c r="B28" s="89"/>
      <c r="C28" s="89"/>
      <c r="D28" s="89"/>
      <c r="E28" s="89"/>
      <c r="F28" s="89"/>
      <c r="G28" s="89"/>
      <c r="H28" s="89"/>
    </row>
    <row r="29" spans="1:16" x14ac:dyDescent="0.25">
      <c r="B29" s="89"/>
      <c r="C29" s="89"/>
      <c r="D29" s="89"/>
      <c r="E29" s="89"/>
      <c r="F29" s="89"/>
      <c r="G29" s="89"/>
      <c r="H29" s="89"/>
    </row>
  </sheetData>
  <mergeCells count="28">
    <mergeCell ref="B27:G27"/>
    <mergeCell ref="H27:K27"/>
    <mergeCell ref="L27:O27"/>
    <mergeCell ref="B25:G25"/>
    <mergeCell ref="H25:K25"/>
    <mergeCell ref="L25:O25"/>
    <mergeCell ref="B26:G26"/>
    <mergeCell ref="H26:K26"/>
    <mergeCell ref="L26:O26"/>
    <mergeCell ref="B23:G23"/>
    <mergeCell ref="H23:K23"/>
    <mergeCell ref="L23:O23"/>
    <mergeCell ref="H21:K21"/>
    <mergeCell ref="B24:G24"/>
    <mergeCell ref="H24:K24"/>
    <mergeCell ref="L24:O24"/>
    <mergeCell ref="A16:A19"/>
    <mergeCell ref="B16:G19"/>
    <mergeCell ref="A21:G21"/>
    <mergeCell ref="L21:O21"/>
    <mergeCell ref="B22:G22"/>
    <mergeCell ref="H22:K22"/>
    <mergeCell ref="L22:O22"/>
    <mergeCell ref="B7:G7"/>
    <mergeCell ref="B3:G3"/>
    <mergeCell ref="B1:G1"/>
    <mergeCell ref="A11:A14"/>
    <mergeCell ref="B11:G14"/>
  </mergeCells>
  <conditionalFormatting sqref="P22:P27">
    <cfRule type="cellIs" dxfId="111" priority="1" operator="equal">
      <formula>"Nok"</formula>
    </cfRule>
    <cfRule type="cellIs" dxfId="110" priority="2" operator="equal">
      <formula>"Ok"</formula>
    </cfRule>
  </conditionalFormatting>
  <conditionalFormatting sqref="B9:B10">
    <cfRule type="cellIs" dxfId="109" priority="3" operator="equal">
      <formula>"Nok"</formula>
    </cfRule>
    <cfRule type="cellIs" dxfId="108" priority="4" operator="equal">
      <formula>"Ok"</formula>
    </cfRule>
  </conditionalFormatting>
  <dataValidations count="3">
    <dataValidation type="list" allowBlank="1" showInputMessage="1" showErrorMessage="1" sqref="P22:P27" xr:uid="{CCE74091-F5CE-4F4B-A7CB-1CF83F3E18E6}">
      <formula1>"Ok, Nok, Not run, ,"</formula1>
    </dataValidation>
    <dataValidation type="list" allowBlank="1" showInputMessage="1" showErrorMessage="1" sqref="B5" xr:uid="{2F847019-7188-4A94-9E89-CF7C4F503D95}">
      <formula1>"Nominal, Robustness, Endurance, Qualification"</formula1>
    </dataValidation>
    <dataValidation type="list" allowBlank="1" showInputMessage="1" showErrorMessage="1" sqref="B9" xr:uid="{03E97DE3-2120-44BA-B407-05CD594266C1}">
      <formula1>"Ok, Nok, Not run, NA"</formula1>
    </dataValidation>
  </dataValidations>
  <pageMargins left="0.7" right="0.7" top="0.75" bottom="0.75" header="0.3" footer="0.3"/>
  <pageSetup orientation="portrait" r:id="rId1"/>
  <headerFooter>
    <oddFooter>&amp;LTBD ver 1&amp;R&amp;P</oddFooter>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0FFFF8-F748-42C1-BC1A-E685E3D5AB2F}">
  <dimension ref="A1:P40"/>
  <sheetViews>
    <sheetView topLeftCell="A13" workbookViewId="0">
      <selection activeCell="B38" sqref="B38:G38"/>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179</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178</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163</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63" customHeight="1" x14ac:dyDescent="0.25">
      <c r="A25" s="93" t="s">
        <v>53</v>
      </c>
      <c r="B25" s="209" t="s">
        <v>180</v>
      </c>
      <c r="C25" s="210"/>
      <c r="D25" s="210"/>
      <c r="E25" s="210"/>
      <c r="F25" s="210"/>
      <c r="G25" s="211"/>
      <c r="H25" s="206" t="s">
        <v>181</v>
      </c>
      <c r="I25" s="206"/>
      <c r="J25" s="206"/>
      <c r="K25" s="206"/>
      <c r="L25" s="206" t="s">
        <v>181</v>
      </c>
      <c r="M25" s="206"/>
      <c r="N25" s="206"/>
      <c r="O25" s="206"/>
      <c r="P25" s="87" t="s">
        <v>128</v>
      </c>
    </row>
    <row r="26" spans="1:16" ht="36" customHeight="1" x14ac:dyDescent="0.25">
      <c r="A26" s="93" t="s">
        <v>54</v>
      </c>
      <c r="B26" s="209" t="s">
        <v>182</v>
      </c>
      <c r="C26" s="210"/>
      <c r="D26" s="210"/>
      <c r="E26" s="210"/>
      <c r="F26" s="210"/>
      <c r="G26" s="211"/>
      <c r="H26" s="206" t="s">
        <v>181</v>
      </c>
      <c r="I26" s="206"/>
      <c r="J26" s="206"/>
      <c r="K26" s="206"/>
      <c r="L26" s="206" t="s">
        <v>181</v>
      </c>
      <c r="M26" s="206"/>
      <c r="N26" s="206"/>
      <c r="O26" s="206"/>
      <c r="P26" s="87" t="s">
        <v>128</v>
      </c>
    </row>
    <row r="27" spans="1:16" ht="34.5" customHeight="1" x14ac:dyDescent="0.25">
      <c r="A27" s="93" t="s">
        <v>55</v>
      </c>
      <c r="B27" s="209" t="s">
        <v>183</v>
      </c>
      <c r="C27" s="210"/>
      <c r="D27" s="210"/>
      <c r="E27" s="210"/>
      <c r="F27" s="210"/>
      <c r="G27" s="211"/>
      <c r="H27" s="206" t="s">
        <v>184</v>
      </c>
      <c r="I27" s="206"/>
      <c r="J27" s="206"/>
      <c r="K27" s="206"/>
      <c r="L27" s="206" t="s">
        <v>184</v>
      </c>
      <c r="M27" s="206"/>
      <c r="N27" s="206"/>
      <c r="O27" s="206"/>
      <c r="P27" s="87" t="s">
        <v>128</v>
      </c>
    </row>
    <row r="28" spans="1:16" ht="34.5" customHeight="1" x14ac:dyDescent="0.25">
      <c r="A28" s="93" t="s">
        <v>56</v>
      </c>
      <c r="B28" s="209" t="s">
        <v>185</v>
      </c>
      <c r="C28" s="210"/>
      <c r="D28" s="210"/>
      <c r="E28" s="210"/>
      <c r="F28" s="210"/>
      <c r="G28" s="211"/>
      <c r="H28" s="206" t="s">
        <v>186</v>
      </c>
      <c r="I28" s="206"/>
      <c r="J28" s="206"/>
      <c r="K28" s="206"/>
      <c r="L28" s="206" t="s">
        <v>186</v>
      </c>
      <c r="M28" s="206"/>
      <c r="N28" s="206"/>
      <c r="O28" s="206"/>
      <c r="P28" s="87" t="s">
        <v>128</v>
      </c>
    </row>
    <row r="29" spans="1:16" ht="24.75" customHeight="1" x14ac:dyDescent="0.25">
      <c r="A29" s="93" t="s">
        <v>57</v>
      </c>
      <c r="B29" s="209" t="s">
        <v>196</v>
      </c>
      <c r="C29" s="210"/>
      <c r="D29" s="210"/>
      <c r="E29" s="210"/>
      <c r="F29" s="210"/>
      <c r="G29" s="211"/>
      <c r="H29" s="206" t="s">
        <v>197</v>
      </c>
      <c r="I29" s="206"/>
      <c r="J29" s="206"/>
      <c r="K29" s="206"/>
      <c r="L29" s="206" t="s">
        <v>197</v>
      </c>
      <c r="M29" s="206"/>
      <c r="N29" s="206"/>
      <c r="O29" s="206"/>
      <c r="P29" s="87" t="s">
        <v>128</v>
      </c>
    </row>
    <row r="30" spans="1:16" ht="42.75" customHeight="1" x14ac:dyDescent="0.25">
      <c r="A30" s="93" t="s">
        <v>58</v>
      </c>
      <c r="B30" s="209" t="s">
        <v>198</v>
      </c>
      <c r="C30" s="210"/>
      <c r="D30" s="210"/>
      <c r="E30" s="210"/>
      <c r="F30" s="210"/>
      <c r="G30" s="211"/>
      <c r="H30" s="206" t="s">
        <v>199</v>
      </c>
      <c r="I30" s="206"/>
      <c r="J30" s="206"/>
      <c r="K30" s="206"/>
      <c r="L30" s="206" t="s">
        <v>199</v>
      </c>
      <c r="M30" s="206"/>
      <c r="N30" s="206"/>
      <c r="O30" s="206"/>
      <c r="P30" s="87" t="s">
        <v>128</v>
      </c>
    </row>
    <row r="31" spans="1:16" ht="29.25" customHeight="1" x14ac:dyDescent="0.25">
      <c r="A31" s="93" t="s">
        <v>187</v>
      </c>
      <c r="B31" s="209" t="s">
        <v>202</v>
      </c>
      <c r="C31" s="210"/>
      <c r="D31" s="210"/>
      <c r="E31" s="210"/>
      <c r="F31" s="210"/>
      <c r="G31" s="211"/>
      <c r="H31" s="206" t="s">
        <v>200</v>
      </c>
      <c r="I31" s="206"/>
      <c r="J31" s="206"/>
      <c r="K31" s="206"/>
      <c r="L31" s="206" t="s">
        <v>200</v>
      </c>
      <c r="M31" s="206"/>
      <c r="N31" s="206"/>
      <c r="O31" s="206"/>
      <c r="P31" s="87" t="s">
        <v>128</v>
      </c>
    </row>
    <row r="32" spans="1:16" ht="35.25" customHeight="1" x14ac:dyDescent="0.25">
      <c r="A32" s="93" t="s">
        <v>188</v>
      </c>
      <c r="B32" s="209" t="s">
        <v>203</v>
      </c>
      <c r="C32" s="210"/>
      <c r="D32" s="210"/>
      <c r="E32" s="210"/>
      <c r="F32" s="210"/>
      <c r="G32" s="211"/>
      <c r="H32" s="206" t="s">
        <v>201</v>
      </c>
      <c r="I32" s="206"/>
      <c r="J32" s="206"/>
      <c r="K32" s="206"/>
      <c r="L32" s="206" t="s">
        <v>201</v>
      </c>
      <c r="M32" s="206"/>
      <c r="N32" s="206"/>
      <c r="O32" s="206"/>
      <c r="P32" s="87" t="s">
        <v>128</v>
      </c>
    </row>
    <row r="33" spans="1:16" ht="30.75" customHeight="1" x14ac:dyDescent="0.25">
      <c r="A33" s="93" t="s">
        <v>189</v>
      </c>
      <c r="B33" s="209" t="s">
        <v>204</v>
      </c>
      <c r="C33" s="210"/>
      <c r="D33" s="210"/>
      <c r="E33" s="210"/>
      <c r="F33" s="210"/>
      <c r="G33" s="211"/>
      <c r="H33" s="206" t="s">
        <v>205</v>
      </c>
      <c r="I33" s="206"/>
      <c r="J33" s="206"/>
      <c r="K33" s="206"/>
      <c r="L33" s="206" t="s">
        <v>205</v>
      </c>
      <c r="M33" s="206"/>
      <c r="N33" s="206"/>
      <c r="O33" s="206"/>
      <c r="P33" s="87" t="s">
        <v>128</v>
      </c>
    </row>
    <row r="34" spans="1:16" ht="30" customHeight="1" x14ac:dyDescent="0.25">
      <c r="A34" s="93" t="s">
        <v>190</v>
      </c>
      <c r="B34" s="209" t="s">
        <v>206</v>
      </c>
      <c r="C34" s="210"/>
      <c r="D34" s="210"/>
      <c r="E34" s="210"/>
      <c r="F34" s="210"/>
      <c r="G34" s="211"/>
      <c r="H34" s="206" t="s">
        <v>205</v>
      </c>
      <c r="I34" s="206"/>
      <c r="J34" s="206"/>
      <c r="K34" s="206"/>
      <c r="L34" s="206" t="s">
        <v>205</v>
      </c>
      <c r="M34" s="206"/>
      <c r="N34" s="206"/>
      <c r="O34" s="206"/>
      <c r="P34" s="87" t="s">
        <v>128</v>
      </c>
    </row>
    <row r="35" spans="1:16" ht="35.25" customHeight="1" x14ac:dyDescent="0.25">
      <c r="A35" s="93" t="s">
        <v>191</v>
      </c>
      <c r="B35" s="209" t="s">
        <v>207</v>
      </c>
      <c r="C35" s="210"/>
      <c r="D35" s="210"/>
      <c r="E35" s="210"/>
      <c r="F35" s="210"/>
      <c r="G35" s="211"/>
      <c r="H35" s="206" t="s">
        <v>208</v>
      </c>
      <c r="I35" s="206"/>
      <c r="J35" s="206"/>
      <c r="K35" s="206"/>
      <c r="L35" s="206" t="s">
        <v>208</v>
      </c>
      <c r="M35" s="206"/>
      <c r="N35" s="206"/>
      <c r="O35" s="206"/>
      <c r="P35" s="87" t="s">
        <v>128</v>
      </c>
    </row>
    <row r="36" spans="1:16" ht="33" customHeight="1" x14ac:dyDescent="0.25">
      <c r="A36" s="93" t="s">
        <v>192</v>
      </c>
      <c r="B36" s="209" t="s">
        <v>209</v>
      </c>
      <c r="C36" s="210"/>
      <c r="D36" s="210"/>
      <c r="E36" s="210"/>
      <c r="F36" s="210"/>
      <c r="G36" s="211"/>
      <c r="H36" s="206" t="s">
        <v>208</v>
      </c>
      <c r="I36" s="206"/>
      <c r="J36" s="206"/>
      <c r="K36" s="206"/>
      <c r="L36" s="206" t="s">
        <v>208</v>
      </c>
      <c r="M36" s="206"/>
      <c r="N36" s="206"/>
      <c r="O36" s="206"/>
      <c r="P36" s="87" t="s">
        <v>128</v>
      </c>
    </row>
    <row r="37" spans="1:16" ht="28.5" customHeight="1" x14ac:dyDescent="0.25">
      <c r="A37" s="93" t="s">
        <v>193</v>
      </c>
      <c r="B37" s="209" t="s">
        <v>210</v>
      </c>
      <c r="C37" s="210"/>
      <c r="D37" s="210"/>
      <c r="E37" s="210"/>
      <c r="F37" s="210"/>
      <c r="G37" s="211"/>
      <c r="H37" s="206" t="s">
        <v>211</v>
      </c>
      <c r="I37" s="206"/>
      <c r="J37" s="206"/>
      <c r="K37" s="206"/>
      <c r="L37" s="206" t="s">
        <v>211</v>
      </c>
      <c r="M37" s="206"/>
      <c r="N37" s="206"/>
      <c r="O37" s="206"/>
      <c r="P37" s="87" t="s">
        <v>128</v>
      </c>
    </row>
    <row r="38" spans="1:16" ht="29.25" customHeight="1" x14ac:dyDescent="0.25">
      <c r="A38" s="93" t="s">
        <v>194</v>
      </c>
      <c r="B38" s="209" t="s">
        <v>212</v>
      </c>
      <c r="C38" s="210"/>
      <c r="D38" s="210"/>
      <c r="E38" s="210"/>
      <c r="F38" s="210"/>
      <c r="G38" s="211"/>
      <c r="H38" s="206" t="s">
        <v>213</v>
      </c>
      <c r="I38" s="206"/>
      <c r="J38" s="206"/>
      <c r="K38" s="206"/>
      <c r="L38" s="206" t="s">
        <v>213</v>
      </c>
      <c r="M38" s="206"/>
      <c r="N38" s="206"/>
      <c r="O38" s="206"/>
      <c r="P38" s="87" t="s">
        <v>128</v>
      </c>
    </row>
    <row r="39" spans="1:16" ht="36" customHeight="1" x14ac:dyDescent="0.25">
      <c r="A39" s="93" t="s">
        <v>195</v>
      </c>
      <c r="B39" s="209" t="s">
        <v>214</v>
      </c>
      <c r="C39" s="210"/>
      <c r="D39" s="210"/>
      <c r="E39" s="210"/>
      <c r="F39" s="210"/>
      <c r="G39" s="211"/>
      <c r="H39" s="206" t="s">
        <v>215</v>
      </c>
      <c r="I39" s="206"/>
      <c r="J39" s="206"/>
      <c r="K39" s="206"/>
      <c r="L39" s="206" t="s">
        <v>215</v>
      </c>
      <c r="M39" s="206"/>
      <c r="N39" s="206"/>
      <c r="O39" s="206"/>
      <c r="P39" s="87" t="s">
        <v>128</v>
      </c>
    </row>
    <row r="40" spans="1:16" ht="12.75" customHeight="1" x14ac:dyDescent="0.25">
      <c r="A40" s="93" t="s">
        <v>216</v>
      </c>
      <c r="B40" s="209" t="s">
        <v>217</v>
      </c>
      <c r="C40" s="210"/>
      <c r="D40" s="210"/>
      <c r="E40" s="210"/>
      <c r="F40" s="210"/>
      <c r="G40" s="211"/>
      <c r="H40" s="206" t="s">
        <v>218</v>
      </c>
      <c r="I40" s="206"/>
      <c r="J40" s="206"/>
      <c r="K40" s="206"/>
      <c r="L40" s="206" t="s">
        <v>218</v>
      </c>
      <c r="M40" s="206"/>
      <c r="N40" s="206"/>
      <c r="O40" s="206"/>
      <c r="P40" s="87" t="s">
        <v>128</v>
      </c>
    </row>
  </sheetData>
  <mergeCells count="67">
    <mergeCell ref="B39:G39"/>
    <mergeCell ref="H39:K39"/>
    <mergeCell ref="L39:O39"/>
    <mergeCell ref="B40:G40"/>
    <mergeCell ref="H40:K40"/>
    <mergeCell ref="L40:O40"/>
    <mergeCell ref="B37:G37"/>
    <mergeCell ref="H37:K37"/>
    <mergeCell ref="L37:O37"/>
    <mergeCell ref="B38:G38"/>
    <mergeCell ref="H38:K38"/>
    <mergeCell ref="L38:O38"/>
    <mergeCell ref="B35:G35"/>
    <mergeCell ref="H35:K35"/>
    <mergeCell ref="L35:O35"/>
    <mergeCell ref="B36:G36"/>
    <mergeCell ref="H36:K36"/>
    <mergeCell ref="L36:O36"/>
    <mergeCell ref="B33:G33"/>
    <mergeCell ref="H33:K33"/>
    <mergeCell ref="L33:O33"/>
    <mergeCell ref="B34:G34"/>
    <mergeCell ref="H34:K34"/>
    <mergeCell ref="L34:O34"/>
    <mergeCell ref="B31:G31"/>
    <mergeCell ref="H31:K31"/>
    <mergeCell ref="L31:O31"/>
    <mergeCell ref="B32:G32"/>
    <mergeCell ref="H32:K32"/>
    <mergeCell ref="L32:O32"/>
    <mergeCell ref="L29:O29"/>
    <mergeCell ref="B30:G30"/>
    <mergeCell ref="H30:K30"/>
    <mergeCell ref="L30:O30"/>
    <mergeCell ref="B27:G27"/>
    <mergeCell ref="H27:K27"/>
    <mergeCell ref="L27:O27"/>
    <mergeCell ref="B29:G29"/>
    <mergeCell ref="H29:K29"/>
    <mergeCell ref="B28:G28"/>
    <mergeCell ref="H28:K28"/>
    <mergeCell ref="L28:O28"/>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phoneticPr fontId="42" type="noConversion"/>
  <conditionalFormatting sqref="B9:B10">
    <cfRule type="cellIs" dxfId="107" priority="27" operator="equal">
      <formula>"Nok"</formula>
    </cfRule>
    <cfRule type="cellIs" dxfId="106" priority="28" operator="equal">
      <formula>"Ok"</formula>
    </cfRule>
  </conditionalFormatting>
  <conditionalFormatting sqref="P22:P29">
    <cfRule type="cellIs" dxfId="105" priority="25" operator="equal">
      <formula>"Nok"</formula>
    </cfRule>
    <cfRule type="cellIs" dxfId="104" priority="26" operator="equal">
      <formula>"Ok"</formula>
    </cfRule>
  </conditionalFormatting>
  <conditionalFormatting sqref="P30">
    <cfRule type="cellIs" dxfId="103" priority="21" operator="equal">
      <formula>"Nok"</formula>
    </cfRule>
    <cfRule type="cellIs" dxfId="102" priority="22" operator="equal">
      <formula>"Ok"</formula>
    </cfRule>
  </conditionalFormatting>
  <conditionalFormatting sqref="P31">
    <cfRule type="cellIs" dxfId="101" priority="19" operator="equal">
      <formula>"Nok"</formula>
    </cfRule>
    <cfRule type="cellIs" dxfId="100" priority="20" operator="equal">
      <formula>"Ok"</formula>
    </cfRule>
  </conditionalFormatting>
  <conditionalFormatting sqref="P32">
    <cfRule type="cellIs" dxfId="99" priority="17" operator="equal">
      <formula>"Nok"</formula>
    </cfRule>
    <cfRule type="cellIs" dxfId="98" priority="18" operator="equal">
      <formula>"Ok"</formula>
    </cfRule>
  </conditionalFormatting>
  <conditionalFormatting sqref="P33">
    <cfRule type="cellIs" dxfId="97" priority="15" operator="equal">
      <formula>"Nok"</formula>
    </cfRule>
    <cfRule type="cellIs" dxfId="96" priority="16" operator="equal">
      <formula>"Ok"</formula>
    </cfRule>
  </conditionalFormatting>
  <conditionalFormatting sqref="P34">
    <cfRule type="cellIs" dxfId="95" priority="13" operator="equal">
      <formula>"Nok"</formula>
    </cfRule>
    <cfRule type="cellIs" dxfId="94" priority="14" operator="equal">
      <formula>"Ok"</formula>
    </cfRule>
  </conditionalFormatting>
  <conditionalFormatting sqref="P35">
    <cfRule type="cellIs" dxfId="93" priority="11" operator="equal">
      <formula>"Nok"</formula>
    </cfRule>
    <cfRule type="cellIs" dxfId="92" priority="12" operator="equal">
      <formula>"Ok"</formula>
    </cfRule>
  </conditionalFormatting>
  <conditionalFormatting sqref="P36">
    <cfRule type="cellIs" dxfId="91" priority="9" operator="equal">
      <formula>"Nok"</formula>
    </cfRule>
    <cfRule type="cellIs" dxfId="90" priority="10" operator="equal">
      <formula>"Ok"</formula>
    </cfRule>
  </conditionalFormatting>
  <conditionalFormatting sqref="P37">
    <cfRule type="cellIs" dxfId="89" priority="7" operator="equal">
      <formula>"Nok"</formula>
    </cfRule>
    <cfRule type="cellIs" dxfId="88" priority="8" operator="equal">
      <formula>"Ok"</formula>
    </cfRule>
  </conditionalFormatting>
  <conditionalFormatting sqref="P38">
    <cfRule type="cellIs" dxfId="87" priority="5" operator="equal">
      <formula>"Nok"</formula>
    </cfRule>
    <cfRule type="cellIs" dxfId="86" priority="6" operator="equal">
      <formula>"Ok"</formula>
    </cfRule>
  </conditionalFormatting>
  <conditionalFormatting sqref="P39">
    <cfRule type="cellIs" dxfId="85" priority="3" operator="equal">
      <formula>"Nok"</formula>
    </cfRule>
    <cfRule type="cellIs" dxfId="84" priority="4" operator="equal">
      <formula>"Ok"</formula>
    </cfRule>
  </conditionalFormatting>
  <conditionalFormatting sqref="P40">
    <cfRule type="cellIs" dxfId="83" priority="1" operator="equal">
      <formula>"Nok"</formula>
    </cfRule>
    <cfRule type="cellIs" dxfId="82" priority="2" operator="equal">
      <formula>"Ok"</formula>
    </cfRule>
  </conditionalFormatting>
  <dataValidations count="3">
    <dataValidation type="list" allowBlank="1" showInputMessage="1" showErrorMessage="1" sqref="B5" xr:uid="{F98D9377-A1FD-4077-AA28-A72958E15851}">
      <formula1>"Nominal, Robustness, Endurance, Qualification"</formula1>
    </dataValidation>
    <dataValidation type="list" allowBlank="1" showInputMessage="1" showErrorMessage="1" sqref="B9" xr:uid="{706103C7-1363-4A03-919E-937F683AB80F}">
      <formula1>"Ok, Nok, Not run, NA"</formula1>
    </dataValidation>
    <dataValidation type="list" allowBlank="1" showInputMessage="1" showErrorMessage="1" sqref="P22:P40" xr:uid="{B3E2DD73-C433-4BFF-993D-DB56124ACB8E}">
      <formula1>"Ok, Nok, Not run, ,"</formula1>
    </dataValidation>
  </dataValidations>
  <pageMargins left="0.7" right="0.7" top="0.75" bottom="0.75" header="0.3" footer="0.3"/>
  <pageSetup orientation="portrait" r:id="rId1"/>
  <headerFooter>
    <oddFooter>&amp;LTBD ver 1&amp;R&amp;P</oddFooter>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216C01-648B-43F1-AB95-62479229AFBD}">
  <dimension ref="A1:P42"/>
  <sheetViews>
    <sheetView workbookViewId="0">
      <selection activeCell="B25" sqref="B25:G25"/>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219</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178</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164</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247</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27.75" customHeight="1"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93.75" customHeight="1" x14ac:dyDescent="0.25">
      <c r="A25" s="93" t="s">
        <v>53</v>
      </c>
      <c r="B25" s="212" t="s">
        <v>250</v>
      </c>
      <c r="C25" s="213"/>
      <c r="D25" s="213"/>
      <c r="E25" s="213"/>
      <c r="F25" s="213"/>
      <c r="G25" s="214"/>
      <c r="H25" s="209" t="s">
        <v>138</v>
      </c>
      <c r="I25" s="210"/>
      <c r="J25" s="210"/>
      <c r="K25" s="211"/>
      <c r="L25" s="209" t="s">
        <v>138</v>
      </c>
      <c r="M25" s="210"/>
      <c r="N25" s="210"/>
      <c r="O25" s="211"/>
      <c r="P25" s="87" t="s">
        <v>128</v>
      </c>
    </row>
    <row r="26" spans="1:16" ht="38.25" customHeight="1" x14ac:dyDescent="0.25">
      <c r="A26" s="93" t="s">
        <v>54</v>
      </c>
      <c r="B26" s="212" t="s">
        <v>141</v>
      </c>
      <c r="C26" s="213"/>
      <c r="D26" s="213"/>
      <c r="E26" s="213"/>
      <c r="F26" s="213"/>
      <c r="G26" s="214"/>
      <c r="H26" s="209" t="s">
        <v>142</v>
      </c>
      <c r="I26" s="210"/>
      <c r="J26" s="210"/>
      <c r="K26" s="211"/>
      <c r="L26" s="209" t="s">
        <v>142</v>
      </c>
      <c r="M26" s="210"/>
      <c r="N26" s="210"/>
      <c r="O26" s="211"/>
      <c r="P26" s="87" t="s">
        <v>128</v>
      </c>
    </row>
    <row r="27" spans="1:16" ht="63" customHeight="1" x14ac:dyDescent="0.25">
      <c r="A27" s="93" t="s">
        <v>55</v>
      </c>
      <c r="B27" s="209" t="s">
        <v>224</v>
      </c>
      <c r="C27" s="210"/>
      <c r="D27" s="210"/>
      <c r="E27" s="210"/>
      <c r="F27" s="210"/>
      <c r="G27" s="211"/>
      <c r="H27" s="206" t="s">
        <v>220</v>
      </c>
      <c r="I27" s="206"/>
      <c r="J27" s="206"/>
      <c r="K27" s="206"/>
      <c r="L27" s="206" t="s">
        <v>220</v>
      </c>
      <c r="M27" s="206"/>
      <c r="N27" s="206"/>
      <c r="O27" s="206"/>
      <c r="P27" s="87" t="s">
        <v>128</v>
      </c>
    </row>
    <row r="28" spans="1:16" ht="36" customHeight="1" x14ac:dyDescent="0.25">
      <c r="A28" s="93" t="s">
        <v>56</v>
      </c>
      <c r="B28" s="209" t="s">
        <v>223</v>
      </c>
      <c r="C28" s="210"/>
      <c r="D28" s="210"/>
      <c r="E28" s="210"/>
      <c r="F28" s="210"/>
      <c r="G28" s="211"/>
      <c r="H28" s="206" t="s">
        <v>220</v>
      </c>
      <c r="I28" s="206"/>
      <c r="J28" s="206"/>
      <c r="K28" s="206"/>
      <c r="L28" s="206" t="s">
        <v>220</v>
      </c>
      <c r="M28" s="206"/>
      <c r="N28" s="206"/>
      <c r="O28" s="206"/>
      <c r="P28" s="87" t="s">
        <v>128</v>
      </c>
    </row>
    <row r="29" spans="1:16" ht="34.5" customHeight="1" x14ac:dyDescent="0.25">
      <c r="A29" s="93" t="s">
        <v>57</v>
      </c>
      <c r="B29" s="209" t="s">
        <v>225</v>
      </c>
      <c r="C29" s="210"/>
      <c r="D29" s="210"/>
      <c r="E29" s="210"/>
      <c r="F29" s="210"/>
      <c r="G29" s="211"/>
      <c r="H29" s="206" t="s">
        <v>220</v>
      </c>
      <c r="I29" s="206"/>
      <c r="J29" s="206"/>
      <c r="K29" s="206"/>
      <c r="L29" s="206" t="s">
        <v>220</v>
      </c>
      <c r="M29" s="206"/>
      <c r="N29" s="206"/>
      <c r="O29" s="206"/>
      <c r="P29" s="87" t="s">
        <v>128</v>
      </c>
    </row>
    <row r="30" spans="1:16" ht="34.5" customHeight="1" x14ac:dyDescent="0.25">
      <c r="A30" s="93" t="s">
        <v>58</v>
      </c>
      <c r="B30" s="209" t="s">
        <v>226</v>
      </c>
      <c r="C30" s="210"/>
      <c r="D30" s="210"/>
      <c r="E30" s="210"/>
      <c r="F30" s="210"/>
      <c r="G30" s="211"/>
      <c r="H30" s="206" t="s">
        <v>220</v>
      </c>
      <c r="I30" s="206"/>
      <c r="J30" s="206"/>
      <c r="K30" s="206"/>
      <c r="L30" s="206" t="s">
        <v>220</v>
      </c>
      <c r="M30" s="206"/>
      <c r="N30" s="206"/>
      <c r="O30" s="206"/>
      <c r="P30" s="87" t="s">
        <v>128</v>
      </c>
    </row>
    <row r="31" spans="1:16" ht="24.75" customHeight="1" x14ac:dyDescent="0.25">
      <c r="A31" s="93" t="s">
        <v>187</v>
      </c>
      <c r="B31" s="209" t="s">
        <v>227</v>
      </c>
      <c r="C31" s="210"/>
      <c r="D31" s="210"/>
      <c r="E31" s="210"/>
      <c r="F31" s="210"/>
      <c r="G31" s="211"/>
      <c r="H31" s="206" t="s">
        <v>220</v>
      </c>
      <c r="I31" s="206"/>
      <c r="J31" s="206"/>
      <c r="K31" s="206"/>
      <c r="L31" s="206" t="s">
        <v>220</v>
      </c>
      <c r="M31" s="206"/>
      <c r="N31" s="206"/>
      <c r="O31" s="206"/>
      <c r="P31" s="87" t="s">
        <v>128</v>
      </c>
    </row>
    <row r="32" spans="1:16" ht="42.75" customHeight="1" x14ac:dyDescent="0.25">
      <c r="A32" s="93" t="s">
        <v>188</v>
      </c>
      <c r="B32" s="209" t="s">
        <v>228</v>
      </c>
      <c r="C32" s="210"/>
      <c r="D32" s="210"/>
      <c r="E32" s="210"/>
      <c r="F32" s="210"/>
      <c r="G32" s="211"/>
      <c r="H32" s="206" t="s">
        <v>220</v>
      </c>
      <c r="I32" s="206"/>
      <c r="J32" s="206"/>
      <c r="K32" s="206"/>
      <c r="L32" s="206" t="s">
        <v>220</v>
      </c>
      <c r="M32" s="206"/>
      <c r="N32" s="206"/>
      <c r="O32" s="206"/>
      <c r="P32" s="87" t="s">
        <v>128</v>
      </c>
    </row>
    <row r="33" spans="1:16" ht="29.25" customHeight="1" x14ac:dyDescent="0.25">
      <c r="A33" s="93" t="s">
        <v>189</v>
      </c>
      <c r="B33" s="209" t="s">
        <v>229</v>
      </c>
      <c r="C33" s="210"/>
      <c r="D33" s="210"/>
      <c r="E33" s="210"/>
      <c r="F33" s="210"/>
      <c r="G33" s="211"/>
      <c r="H33" s="206" t="s">
        <v>220</v>
      </c>
      <c r="I33" s="206"/>
      <c r="J33" s="206"/>
      <c r="K33" s="206"/>
      <c r="L33" s="206" t="s">
        <v>220</v>
      </c>
      <c r="M33" s="206"/>
      <c r="N33" s="206"/>
      <c r="O33" s="206"/>
      <c r="P33" s="87" t="s">
        <v>128</v>
      </c>
    </row>
    <row r="34" spans="1:16" ht="35.25" customHeight="1" x14ac:dyDescent="0.25">
      <c r="A34" s="93" t="s">
        <v>190</v>
      </c>
      <c r="B34" s="209" t="s">
        <v>230</v>
      </c>
      <c r="C34" s="210"/>
      <c r="D34" s="210"/>
      <c r="E34" s="210"/>
      <c r="F34" s="210"/>
      <c r="G34" s="211"/>
      <c r="H34" s="206" t="s">
        <v>220</v>
      </c>
      <c r="I34" s="206"/>
      <c r="J34" s="206"/>
      <c r="K34" s="206"/>
      <c r="L34" s="206" t="s">
        <v>220</v>
      </c>
      <c r="M34" s="206"/>
      <c r="N34" s="206"/>
      <c r="O34" s="206"/>
      <c r="P34" s="87" t="s">
        <v>128</v>
      </c>
    </row>
    <row r="35" spans="1:16" ht="30.75" customHeight="1" x14ac:dyDescent="0.25">
      <c r="A35" s="93" t="s">
        <v>191</v>
      </c>
      <c r="B35" s="209" t="s">
        <v>231</v>
      </c>
      <c r="C35" s="210"/>
      <c r="D35" s="210"/>
      <c r="E35" s="210"/>
      <c r="F35" s="210"/>
      <c r="G35" s="211"/>
      <c r="H35" s="206" t="s">
        <v>220</v>
      </c>
      <c r="I35" s="206"/>
      <c r="J35" s="206"/>
      <c r="K35" s="206"/>
      <c r="L35" s="206" t="s">
        <v>220</v>
      </c>
      <c r="M35" s="206"/>
      <c r="N35" s="206"/>
      <c r="O35" s="206"/>
      <c r="P35" s="87" t="s">
        <v>128</v>
      </c>
    </row>
    <row r="36" spans="1:16" ht="30" customHeight="1" x14ac:dyDescent="0.25">
      <c r="A36" s="93" t="s">
        <v>192</v>
      </c>
      <c r="B36" s="209" t="s">
        <v>232</v>
      </c>
      <c r="C36" s="210"/>
      <c r="D36" s="210"/>
      <c r="E36" s="210"/>
      <c r="F36" s="210"/>
      <c r="G36" s="211"/>
      <c r="H36" s="206" t="s">
        <v>220</v>
      </c>
      <c r="I36" s="206"/>
      <c r="J36" s="206"/>
      <c r="K36" s="206"/>
      <c r="L36" s="206" t="s">
        <v>220</v>
      </c>
      <c r="M36" s="206"/>
      <c r="N36" s="206"/>
      <c r="O36" s="206"/>
      <c r="P36" s="87" t="s">
        <v>128</v>
      </c>
    </row>
    <row r="37" spans="1:16" ht="35.25" customHeight="1" x14ac:dyDescent="0.25">
      <c r="A37" s="93" t="s">
        <v>193</v>
      </c>
      <c r="B37" s="209" t="s">
        <v>233</v>
      </c>
      <c r="C37" s="210"/>
      <c r="D37" s="210"/>
      <c r="E37" s="210"/>
      <c r="F37" s="210"/>
      <c r="G37" s="211"/>
      <c r="H37" s="206" t="s">
        <v>220</v>
      </c>
      <c r="I37" s="206"/>
      <c r="J37" s="206"/>
      <c r="K37" s="206"/>
      <c r="L37" s="206" t="s">
        <v>220</v>
      </c>
      <c r="M37" s="206"/>
      <c r="N37" s="206"/>
      <c r="O37" s="206"/>
      <c r="P37" s="87" t="s">
        <v>128</v>
      </c>
    </row>
    <row r="38" spans="1:16" ht="33" customHeight="1" x14ac:dyDescent="0.25">
      <c r="A38" s="93" t="s">
        <v>194</v>
      </c>
      <c r="B38" s="209" t="s">
        <v>234</v>
      </c>
      <c r="C38" s="210"/>
      <c r="D38" s="210"/>
      <c r="E38" s="210"/>
      <c r="F38" s="210"/>
      <c r="G38" s="211"/>
      <c r="H38" s="206" t="s">
        <v>220</v>
      </c>
      <c r="I38" s="206"/>
      <c r="J38" s="206"/>
      <c r="K38" s="206"/>
      <c r="L38" s="206" t="s">
        <v>220</v>
      </c>
      <c r="M38" s="206"/>
      <c r="N38" s="206"/>
      <c r="O38" s="206"/>
      <c r="P38" s="87" t="s">
        <v>128</v>
      </c>
    </row>
    <row r="39" spans="1:16" ht="28.5" customHeight="1" x14ac:dyDescent="0.25">
      <c r="A39" s="93" t="s">
        <v>195</v>
      </c>
      <c r="B39" s="209" t="s">
        <v>235</v>
      </c>
      <c r="C39" s="210"/>
      <c r="D39" s="210"/>
      <c r="E39" s="210"/>
      <c r="F39" s="210"/>
      <c r="G39" s="211"/>
      <c r="H39" s="206" t="s">
        <v>220</v>
      </c>
      <c r="I39" s="206"/>
      <c r="J39" s="206"/>
      <c r="K39" s="206"/>
      <c r="L39" s="206" t="s">
        <v>220</v>
      </c>
      <c r="M39" s="206"/>
      <c r="N39" s="206"/>
      <c r="O39" s="206"/>
      <c r="P39" s="87" t="s">
        <v>128</v>
      </c>
    </row>
    <row r="40" spans="1:16" ht="29.25" customHeight="1" x14ac:dyDescent="0.25">
      <c r="A40" s="93" t="s">
        <v>216</v>
      </c>
      <c r="B40" s="209" t="s">
        <v>236</v>
      </c>
      <c r="C40" s="210"/>
      <c r="D40" s="210"/>
      <c r="E40" s="210"/>
      <c r="F40" s="210"/>
      <c r="G40" s="211"/>
      <c r="H40" s="206" t="s">
        <v>220</v>
      </c>
      <c r="I40" s="206"/>
      <c r="J40" s="206"/>
      <c r="K40" s="206"/>
      <c r="L40" s="206" t="s">
        <v>220</v>
      </c>
      <c r="M40" s="206"/>
      <c r="N40" s="206"/>
      <c r="O40" s="206"/>
      <c r="P40" s="87" t="s">
        <v>128</v>
      </c>
    </row>
    <row r="41" spans="1:16" ht="36" customHeight="1" x14ac:dyDescent="0.25">
      <c r="A41" s="93" t="s">
        <v>221</v>
      </c>
      <c r="B41" s="209" t="s">
        <v>237</v>
      </c>
      <c r="C41" s="210"/>
      <c r="D41" s="210"/>
      <c r="E41" s="210"/>
      <c r="F41" s="210"/>
      <c r="G41" s="211"/>
      <c r="H41" s="206" t="s">
        <v>220</v>
      </c>
      <c r="I41" s="206"/>
      <c r="J41" s="206"/>
      <c r="K41" s="206"/>
      <c r="L41" s="206" t="s">
        <v>220</v>
      </c>
      <c r="M41" s="206"/>
      <c r="N41" s="206"/>
      <c r="O41" s="206"/>
      <c r="P41" s="87" t="s">
        <v>128</v>
      </c>
    </row>
    <row r="42" spans="1:16" ht="12.75" customHeight="1" x14ac:dyDescent="0.25">
      <c r="A42" s="93" t="s">
        <v>222</v>
      </c>
      <c r="B42" s="209" t="s">
        <v>238</v>
      </c>
      <c r="C42" s="210"/>
      <c r="D42" s="210"/>
      <c r="E42" s="210"/>
      <c r="F42" s="210"/>
      <c r="G42" s="211"/>
      <c r="H42" s="206" t="s">
        <v>220</v>
      </c>
      <c r="I42" s="206"/>
      <c r="J42" s="206"/>
      <c r="K42" s="206"/>
      <c r="L42" s="206" t="s">
        <v>220</v>
      </c>
      <c r="M42" s="206"/>
      <c r="N42" s="206"/>
      <c r="O42" s="206"/>
      <c r="P42" s="87" t="s">
        <v>128</v>
      </c>
    </row>
  </sheetData>
  <mergeCells count="73">
    <mergeCell ref="B42:G42"/>
    <mergeCell ref="H42:K42"/>
    <mergeCell ref="L42:O42"/>
    <mergeCell ref="B40:G40"/>
    <mergeCell ref="H40:K40"/>
    <mergeCell ref="L40:O40"/>
    <mergeCell ref="B41:G41"/>
    <mergeCell ref="H41:K41"/>
    <mergeCell ref="L41:O41"/>
    <mergeCell ref="B38:G38"/>
    <mergeCell ref="H38:K38"/>
    <mergeCell ref="L38:O38"/>
    <mergeCell ref="B39:G39"/>
    <mergeCell ref="H39:K39"/>
    <mergeCell ref="L39:O39"/>
    <mergeCell ref="B36:G36"/>
    <mergeCell ref="H36:K36"/>
    <mergeCell ref="L36:O36"/>
    <mergeCell ref="B37:G37"/>
    <mergeCell ref="H37:K37"/>
    <mergeCell ref="L37:O37"/>
    <mergeCell ref="B34:G34"/>
    <mergeCell ref="H34:K34"/>
    <mergeCell ref="L34:O34"/>
    <mergeCell ref="B35:G35"/>
    <mergeCell ref="H35:K35"/>
    <mergeCell ref="L35:O35"/>
    <mergeCell ref="B32:G32"/>
    <mergeCell ref="H32:K32"/>
    <mergeCell ref="L32:O32"/>
    <mergeCell ref="B33:G33"/>
    <mergeCell ref="H33:K33"/>
    <mergeCell ref="L33:O33"/>
    <mergeCell ref="B30:G30"/>
    <mergeCell ref="H30:K30"/>
    <mergeCell ref="L30:O30"/>
    <mergeCell ref="B31:G31"/>
    <mergeCell ref="H31:K31"/>
    <mergeCell ref="L31:O31"/>
    <mergeCell ref="B28:G28"/>
    <mergeCell ref="H28:K28"/>
    <mergeCell ref="L28:O28"/>
    <mergeCell ref="B29:G29"/>
    <mergeCell ref="H29:K29"/>
    <mergeCell ref="L29:O29"/>
    <mergeCell ref="L24:O24"/>
    <mergeCell ref="B27:G27"/>
    <mergeCell ref="H27:K27"/>
    <mergeCell ref="L27:O27"/>
    <mergeCell ref="L26:O26"/>
    <mergeCell ref="H26:K26"/>
    <mergeCell ref="B26:G26"/>
    <mergeCell ref="B1:G1"/>
    <mergeCell ref="B3:G3"/>
    <mergeCell ref="B7:G7"/>
    <mergeCell ref="A11:A14"/>
    <mergeCell ref="B11:G14"/>
    <mergeCell ref="A16:A19"/>
    <mergeCell ref="B16:G19"/>
    <mergeCell ref="H25:K25"/>
    <mergeCell ref="L25:O25"/>
    <mergeCell ref="B25:G25"/>
    <mergeCell ref="A21:G21"/>
    <mergeCell ref="H21:K21"/>
    <mergeCell ref="L21:O21"/>
    <mergeCell ref="B22:G22"/>
    <mergeCell ref="H22:K22"/>
    <mergeCell ref="L22:O22"/>
    <mergeCell ref="B23:G23"/>
    <mergeCell ref="H23:K23"/>
    <mergeCell ref="L23:O23"/>
    <mergeCell ref="B24:G24"/>
    <mergeCell ref="H24:K24"/>
  </mergeCells>
  <phoneticPr fontId="42" type="noConversion"/>
  <conditionalFormatting sqref="B9:B10">
    <cfRule type="cellIs" dxfId="81" priority="25" operator="equal">
      <formula>"Nok"</formula>
    </cfRule>
    <cfRule type="cellIs" dxfId="80" priority="26" operator="equal">
      <formula>"Ok"</formula>
    </cfRule>
  </conditionalFormatting>
  <conditionalFormatting sqref="P22:P31">
    <cfRule type="cellIs" dxfId="79" priority="23" operator="equal">
      <formula>"Nok"</formula>
    </cfRule>
    <cfRule type="cellIs" dxfId="78" priority="24" operator="equal">
      <formula>"Ok"</formula>
    </cfRule>
  </conditionalFormatting>
  <conditionalFormatting sqref="P32">
    <cfRule type="cellIs" dxfId="77" priority="21" operator="equal">
      <formula>"Nok"</formula>
    </cfRule>
    <cfRule type="cellIs" dxfId="76" priority="22" operator="equal">
      <formula>"Ok"</formula>
    </cfRule>
  </conditionalFormatting>
  <conditionalFormatting sqref="P33">
    <cfRule type="cellIs" dxfId="75" priority="19" operator="equal">
      <formula>"Nok"</formula>
    </cfRule>
    <cfRule type="cellIs" dxfId="74" priority="20" operator="equal">
      <formula>"Ok"</formula>
    </cfRule>
  </conditionalFormatting>
  <conditionalFormatting sqref="P34">
    <cfRule type="cellIs" dxfId="73" priority="17" operator="equal">
      <formula>"Nok"</formula>
    </cfRule>
    <cfRule type="cellIs" dxfId="72" priority="18" operator="equal">
      <formula>"Ok"</formula>
    </cfRule>
  </conditionalFormatting>
  <conditionalFormatting sqref="P35">
    <cfRule type="cellIs" dxfId="71" priority="15" operator="equal">
      <formula>"Nok"</formula>
    </cfRule>
    <cfRule type="cellIs" dxfId="70" priority="16" operator="equal">
      <formula>"Ok"</formula>
    </cfRule>
  </conditionalFormatting>
  <conditionalFormatting sqref="P36">
    <cfRule type="cellIs" dxfId="69" priority="13" operator="equal">
      <formula>"Nok"</formula>
    </cfRule>
    <cfRule type="cellIs" dxfId="68" priority="14" operator="equal">
      <formula>"Ok"</formula>
    </cfRule>
  </conditionalFormatting>
  <conditionalFormatting sqref="P37">
    <cfRule type="cellIs" dxfId="67" priority="11" operator="equal">
      <formula>"Nok"</formula>
    </cfRule>
    <cfRule type="cellIs" dxfId="66" priority="12" operator="equal">
      <formula>"Ok"</formula>
    </cfRule>
  </conditionalFormatting>
  <conditionalFormatting sqref="P38">
    <cfRule type="cellIs" dxfId="65" priority="9" operator="equal">
      <formula>"Nok"</formula>
    </cfRule>
    <cfRule type="cellIs" dxfId="64" priority="10" operator="equal">
      <formula>"Ok"</formula>
    </cfRule>
  </conditionalFormatting>
  <conditionalFormatting sqref="P39">
    <cfRule type="cellIs" dxfId="63" priority="7" operator="equal">
      <formula>"Nok"</formula>
    </cfRule>
    <cfRule type="cellIs" dxfId="62" priority="8" operator="equal">
      <formula>"Ok"</formula>
    </cfRule>
  </conditionalFormatting>
  <conditionalFormatting sqref="P40">
    <cfRule type="cellIs" dxfId="61" priority="5" operator="equal">
      <formula>"Nok"</formula>
    </cfRule>
    <cfRule type="cellIs" dxfId="60" priority="6" operator="equal">
      <formula>"Ok"</formula>
    </cfRule>
  </conditionalFormatting>
  <conditionalFormatting sqref="P41">
    <cfRule type="cellIs" dxfId="59" priority="3" operator="equal">
      <formula>"Nok"</formula>
    </cfRule>
    <cfRule type="cellIs" dxfId="58" priority="4" operator="equal">
      <formula>"Ok"</formula>
    </cfRule>
  </conditionalFormatting>
  <conditionalFormatting sqref="P42">
    <cfRule type="cellIs" dxfId="57" priority="1" operator="equal">
      <formula>"Nok"</formula>
    </cfRule>
    <cfRule type="cellIs" dxfId="56" priority="2" operator="equal">
      <formula>"Ok"</formula>
    </cfRule>
  </conditionalFormatting>
  <dataValidations count="3">
    <dataValidation type="list" allowBlank="1" showInputMessage="1" showErrorMessage="1" sqref="P22:P42" xr:uid="{9025DE51-3986-48C7-89B9-59C4F1B4A982}">
      <formula1>"Ok, Nok, Not run, ,"</formula1>
    </dataValidation>
    <dataValidation type="list" allowBlank="1" showInputMessage="1" showErrorMessage="1" sqref="B9" xr:uid="{2ED1BB67-FABF-4424-9E40-6C3AB1EECD98}">
      <formula1>"Ok, Nok, Not run, NA"</formula1>
    </dataValidation>
    <dataValidation type="list" allowBlank="1" showInputMessage="1" showErrorMessage="1" sqref="B5" xr:uid="{79EEA856-FFFE-4892-9B40-F46ADBC81376}">
      <formula1>"Nominal, Robustness, Endurance, Qualification"</formula1>
    </dataValidation>
  </dataValidations>
  <pageMargins left="0.7" right="0.7" top="0.75" bottom="0.75" header="0.3" footer="0.3"/>
  <pageSetup orientation="portrait" r:id="rId1"/>
  <headerFooter>
    <oddFooter>&amp;LTBD ver 1&amp;R&amp;P</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D4725D-229F-4332-B479-5A4D4C111094}">
  <dimension ref="A1:P32"/>
  <sheetViews>
    <sheetView workbookViewId="0">
      <selection activeCell="B3" sqref="B3:G3"/>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256</v>
      </c>
      <c r="C1" s="198"/>
      <c r="D1" s="198"/>
      <c r="E1" s="198"/>
      <c r="F1" s="198"/>
      <c r="G1" s="199"/>
      <c r="H1" s="60"/>
      <c r="I1" s="60"/>
      <c r="J1" s="60"/>
      <c r="K1" s="60"/>
      <c r="L1" s="60"/>
      <c r="M1" s="60"/>
      <c r="N1" s="60"/>
      <c r="O1" s="60"/>
    </row>
    <row r="2" spans="1:15" ht="13.8" thickBot="1" x14ac:dyDescent="0.3">
      <c r="A2" s="114"/>
      <c r="B2" s="60"/>
      <c r="C2" s="60"/>
      <c r="D2" s="60"/>
      <c r="E2" s="60"/>
      <c r="F2" s="60"/>
      <c r="G2" s="60"/>
      <c r="H2" s="60"/>
      <c r="I2" s="60"/>
      <c r="J2" s="60"/>
      <c r="K2" s="60"/>
      <c r="L2" s="60"/>
      <c r="M2" s="60"/>
      <c r="N2" s="60"/>
      <c r="O2" s="60"/>
    </row>
    <row r="3" spans="1:15" ht="27" thickBot="1" x14ac:dyDescent="0.3">
      <c r="A3" s="91" t="s">
        <v>46</v>
      </c>
      <c r="B3" s="200" t="s">
        <v>276</v>
      </c>
      <c r="C3" s="201"/>
      <c r="D3" s="201"/>
      <c r="E3" s="201"/>
      <c r="F3" s="201"/>
      <c r="G3" s="202"/>
      <c r="H3" s="60"/>
      <c r="I3" s="60"/>
      <c r="J3" s="60"/>
      <c r="K3" s="60"/>
      <c r="L3" s="60"/>
      <c r="M3" s="60"/>
      <c r="N3" s="60"/>
      <c r="O3" s="60"/>
    </row>
    <row r="4" spans="1:15" ht="13.8" thickBot="1" x14ac:dyDescent="0.3">
      <c r="A4" s="114"/>
      <c r="B4" s="60"/>
      <c r="C4" s="60"/>
      <c r="D4" s="60"/>
      <c r="E4" s="60"/>
      <c r="F4" s="60"/>
      <c r="G4" s="60"/>
      <c r="H4" s="60"/>
      <c r="I4" s="60"/>
      <c r="J4" s="60"/>
      <c r="K4" s="60"/>
      <c r="L4" s="60"/>
      <c r="M4" s="60"/>
      <c r="N4" s="60"/>
      <c r="O4" s="60"/>
    </row>
    <row r="5" spans="1:15" ht="13.8" thickBot="1" x14ac:dyDescent="0.3">
      <c r="A5" s="90" t="s">
        <v>110</v>
      </c>
      <c r="B5" s="63" t="s">
        <v>126</v>
      </c>
      <c r="C5" s="60"/>
      <c r="D5" s="60"/>
      <c r="E5" s="60"/>
      <c r="F5" s="60"/>
      <c r="G5" s="60"/>
      <c r="H5" s="60"/>
      <c r="I5" s="60"/>
      <c r="J5" s="60"/>
      <c r="K5" s="60"/>
      <c r="L5" s="60"/>
      <c r="M5" s="60"/>
      <c r="N5" s="60"/>
      <c r="O5" s="60"/>
    </row>
    <row r="6" spans="1:15" ht="13.8" thickBot="1" x14ac:dyDescent="0.3">
      <c r="A6" s="114"/>
      <c r="B6" s="60"/>
      <c r="C6" s="60"/>
      <c r="D6" s="60"/>
      <c r="E6" s="60"/>
      <c r="F6" s="60"/>
      <c r="G6" s="60"/>
      <c r="H6" s="60"/>
      <c r="I6" s="60"/>
      <c r="J6" s="60"/>
      <c r="K6" s="60"/>
      <c r="L6" s="60"/>
      <c r="M6" s="60"/>
      <c r="N6" s="60"/>
      <c r="O6" s="60"/>
    </row>
    <row r="7" spans="1:15" ht="13.8" thickBot="1" x14ac:dyDescent="0.3">
      <c r="A7" s="90" t="s">
        <v>42</v>
      </c>
      <c r="B7" s="200" t="s">
        <v>257</v>
      </c>
      <c r="C7" s="201"/>
      <c r="D7" s="201"/>
      <c r="E7" s="201"/>
      <c r="F7" s="201"/>
      <c r="G7" s="202"/>
      <c r="H7" s="60"/>
      <c r="I7" s="60"/>
      <c r="J7" s="60"/>
      <c r="K7" s="60"/>
      <c r="L7" s="60"/>
      <c r="M7" s="60"/>
      <c r="N7" s="60"/>
      <c r="O7" s="60"/>
    </row>
    <row r="8" spans="1:15" ht="13.8" thickBot="1" x14ac:dyDescent="0.3">
      <c r="A8" s="62"/>
      <c r="B8" s="115"/>
      <c r="C8" s="115"/>
      <c r="D8" s="115"/>
      <c r="E8" s="115"/>
      <c r="F8" s="115"/>
      <c r="G8" s="115"/>
      <c r="H8" s="60"/>
      <c r="I8" s="60"/>
      <c r="J8" s="60"/>
      <c r="K8" s="60"/>
      <c r="L8" s="60"/>
      <c r="M8" s="60"/>
      <c r="N8" s="60"/>
      <c r="O8" s="60"/>
    </row>
    <row r="9" spans="1:15" ht="13.8" thickBot="1" x14ac:dyDescent="0.3">
      <c r="A9" s="90" t="s">
        <v>43</v>
      </c>
      <c r="B9" s="95" t="s">
        <v>128</v>
      </c>
      <c r="C9" s="60"/>
      <c r="D9" s="60"/>
      <c r="E9" s="60"/>
      <c r="F9" s="60"/>
      <c r="G9" s="60"/>
      <c r="H9" s="60"/>
      <c r="I9" s="60"/>
      <c r="J9" s="60"/>
      <c r="K9" s="60"/>
      <c r="L9" s="60"/>
      <c r="M9" s="60"/>
      <c r="N9" s="60"/>
      <c r="O9" s="60"/>
    </row>
    <row r="10" spans="1:15" ht="13.8" thickBot="1" x14ac:dyDescent="0.3">
      <c r="A10" s="62"/>
      <c r="B10" s="116"/>
      <c r="C10" s="60"/>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36"/>
      <c r="D12" s="236"/>
      <c r="E12" s="236"/>
      <c r="F12" s="236"/>
      <c r="G12" s="220"/>
      <c r="H12" s="60"/>
      <c r="I12" s="60"/>
      <c r="J12" s="60"/>
      <c r="K12" s="60"/>
      <c r="L12" s="60"/>
      <c r="M12" s="60"/>
      <c r="N12" s="60"/>
      <c r="O12" s="60"/>
    </row>
    <row r="13" spans="1:15" x14ac:dyDescent="0.25">
      <c r="A13" s="208"/>
      <c r="B13" s="218"/>
      <c r="C13" s="236"/>
      <c r="D13" s="236"/>
      <c r="E13" s="236"/>
      <c r="F13" s="236"/>
      <c r="G13" s="220"/>
      <c r="H13" s="114"/>
      <c r="I13" s="60"/>
      <c r="J13" s="60"/>
      <c r="K13" s="60"/>
      <c r="L13" s="60"/>
      <c r="M13" s="60"/>
      <c r="N13" s="60"/>
      <c r="O13" s="60"/>
    </row>
    <row r="14" spans="1:15" ht="13.8" thickBot="1" x14ac:dyDescent="0.3">
      <c r="A14" s="208"/>
      <c r="B14" s="221"/>
      <c r="C14" s="222"/>
      <c r="D14" s="222"/>
      <c r="E14" s="222"/>
      <c r="F14" s="222"/>
      <c r="G14" s="223"/>
      <c r="H14" s="117"/>
      <c r="I14" s="60"/>
      <c r="J14" s="60"/>
      <c r="K14" s="60"/>
      <c r="L14" s="60"/>
      <c r="M14" s="60"/>
      <c r="N14" s="60"/>
      <c r="O14" s="60"/>
    </row>
    <row r="15" spans="1:15" ht="13.8" thickBot="1" x14ac:dyDescent="0.3">
      <c r="A15" s="114"/>
      <c r="B15" s="114"/>
      <c r="C15" s="114"/>
      <c r="D15" s="114"/>
      <c r="E15" s="114"/>
      <c r="F15" s="114"/>
      <c r="G15" s="114"/>
      <c r="H15" s="117"/>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36"/>
      <c r="D17" s="236"/>
      <c r="E17" s="236"/>
      <c r="F17" s="236"/>
      <c r="G17" s="220"/>
      <c r="H17" s="60"/>
      <c r="I17" s="60"/>
      <c r="J17" s="60"/>
      <c r="K17" s="60"/>
      <c r="L17" s="60"/>
      <c r="M17" s="60"/>
      <c r="N17" s="60"/>
      <c r="O17" s="60"/>
    </row>
    <row r="18" spans="1:16" x14ac:dyDescent="0.25">
      <c r="A18" s="208"/>
      <c r="B18" s="218"/>
      <c r="C18" s="236"/>
      <c r="D18" s="236"/>
      <c r="E18" s="236"/>
      <c r="F18" s="236"/>
      <c r="G18" s="220"/>
      <c r="H18" s="114"/>
      <c r="I18" s="60"/>
      <c r="J18" s="60"/>
      <c r="K18" s="60"/>
      <c r="L18" s="60"/>
      <c r="M18" s="60"/>
      <c r="N18" s="60"/>
      <c r="O18" s="60"/>
    </row>
    <row r="19" spans="1:16" ht="13.8" thickBot="1" x14ac:dyDescent="0.3">
      <c r="A19" s="208"/>
      <c r="B19" s="221"/>
      <c r="C19" s="222"/>
      <c r="D19" s="222"/>
      <c r="E19" s="222"/>
      <c r="F19" s="222"/>
      <c r="G19" s="223"/>
      <c r="H19" s="117"/>
      <c r="I19" s="60"/>
      <c r="J19" s="60"/>
      <c r="K19" s="60"/>
      <c r="L19" s="60"/>
      <c r="M19" s="60"/>
      <c r="N19" s="60"/>
      <c r="O19" s="60"/>
    </row>
    <row r="20" spans="1:16" ht="13.8" thickBot="1" x14ac:dyDescent="0.3">
      <c r="A20" s="114"/>
      <c r="B20" s="114"/>
      <c r="C20" s="114"/>
      <c r="D20" s="114"/>
      <c r="E20" s="114"/>
      <c r="F20" s="114"/>
      <c r="G20" s="114"/>
      <c r="H20" s="117"/>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118" t="s">
        <v>50</v>
      </c>
      <c r="B22" s="228" t="s">
        <v>258</v>
      </c>
      <c r="C22" s="229"/>
      <c r="D22" s="229"/>
      <c r="E22" s="229"/>
      <c r="F22" s="229"/>
      <c r="G22" s="230"/>
      <c r="H22" s="231" t="s">
        <v>259</v>
      </c>
      <c r="I22" s="231"/>
      <c r="J22" s="231"/>
      <c r="K22" s="231"/>
      <c r="L22" s="231" t="s">
        <v>260</v>
      </c>
      <c r="M22" s="231"/>
      <c r="N22" s="231"/>
      <c r="O22" s="231"/>
      <c r="P22" s="87" t="s">
        <v>128</v>
      </c>
    </row>
    <row r="23" spans="1:16" x14ac:dyDescent="0.25">
      <c r="A23" s="118" t="s">
        <v>261</v>
      </c>
      <c r="B23" s="228" t="s">
        <v>262</v>
      </c>
      <c r="C23" s="229"/>
      <c r="D23" s="229"/>
      <c r="E23" s="229"/>
      <c r="F23" s="229"/>
      <c r="G23" s="230"/>
      <c r="H23" s="231" t="s">
        <v>263</v>
      </c>
      <c r="I23" s="231"/>
      <c r="J23" s="231"/>
      <c r="K23" s="231"/>
      <c r="L23" s="231" t="s">
        <v>264</v>
      </c>
      <c r="M23" s="231"/>
      <c r="N23" s="231"/>
      <c r="O23" s="231"/>
      <c r="P23" s="87" t="s">
        <v>128</v>
      </c>
    </row>
    <row r="24" spans="1:16" ht="13.5" customHeight="1" x14ac:dyDescent="0.25">
      <c r="A24" s="118" t="s">
        <v>52</v>
      </c>
      <c r="B24" s="228" t="s">
        <v>265</v>
      </c>
      <c r="C24" s="229"/>
      <c r="D24" s="229"/>
      <c r="E24" s="229"/>
      <c r="F24" s="229"/>
      <c r="G24" s="230"/>
      <c r="H24" s="231" t="s">
        <v>266</v>
      </c>
      <c r="I24" s="231"/>
      <c r="J24" s="231"/>
      <c r="K24" s="231"/>
      <c r="L24" s="231" t="s">
        <v>267</v>
      </c>
      <c r="M24" s="231"/>
      <c r="N24" s="231"/>
      <c r="O24" s="231"/>
      <c r="P24" s="87" t="s">
        <v>128</v>
      </c>
    </row>
    <row r="25" spans="1:16" x14ac:dyDescent="0.25">
      <c r="A25" s="118" t="s">
        <v>53</v>
      </c>
      <c r="P25" s="87"/>
    </row>
    <row r="26" spans="1:16" x14ac:dyDescent="0.25">
      <c r="A26" s="118" t="s">
        <v>54</v>
      </c>
      <c r="B26" s="228"/>
      <c r="C26" s="229"/>
      <c r="D26" s="229"/>
      <c r="E26" s="229"/>
      <c r="F26" s="229"/>
      <c r="G26" s="230"/>
      <c r="H26" s="231"/>
      <c r="I26" s="231"/>
      <c r="J26" s="231"/>
      <c r="K26" s="231"/>
      <c r="L26" s="231"/>
      <c r="M26" s="231"/>
      <c r="N26" s="231"/>
      <c r="O26" s="231"/>
      <c r="P26" s="87"/>
    </row>
    <row r="27" spans="1:16" x14ac:dyDescent="0.25">
      <c r="A27" s="118" t="s">
        <v>55</v>
      </c>
      <c r="B27" s="228"/>
      <c r="C27" s="229"/>
      <c r="D27" s="229"/>
      <c r="E27" s="229"/>
      <c r="F27" s="229"/>
      <c r="G27" s="230"/>
      <c r="H27" s="228"/>
      <c r="I27" s="229"/>
      <c r="J27" s="229"/>
      <c r="K27" s="230"/>
      <c r="L27" s="228"/>
      <c r="M27" s="229"/>
      <c r="N27" s="229"/>
      <c r="O27" s="230"/>
      <c r="P27" s="87"/>
    </row>
    <row r="28" spans="1:16" x14ac:dyDescent="0.25">
      <c r="A28" s="118" t="s">
        <v>56</v>
      </c>
      <c r="B28" s="228"/>
      <c r="C28" s="229"/>
      <c r="D28" s="229"/>
      <c r="E28" s="229"/>
      <c r="F28" s="229"/>
      <c r="G28" s="230"/>
      <c r="H28" s="228"/>
      <c r="I28" s="229"/>
      <c r="J28" s="229"/>
      <c r="K28" s="230"/>
      <c r="L28" s="228"/>
      <c r="M28" s="229"/>
      <c r="N28" s="229"/>
      <c r="O28" s="230"/>
      <c r="P28" s="87"/>
    </row>
    <row r="29" spans="1:16" x14ac:dyDescent="0.25">
      <c r="A29" s="118" t="s">
        <v>57</v>
      </c>
      <c r="B29" s="228"/>
      <c r="C29" s="229"/>
      <c r="D29" s="229"/>
      <c r="E29" s="229"/>
      <c r="F29" s="229"/>
      <c r="G29" s="230"/>
      <c r="H29" s="231"/>
      <c r="I29" s="231"/>
      <c r="J29" s="231"/>
      <c r="K29" s="231"/>
      <c r="L29" s="231"/>
      <c r="M29" s="231"/>
      <c r="N29" s="231"/>
      <c r="O29" s="231"/>
      <c r="P29" s="87"/>
    </row>
    <row r="30" spans="1:16" ht="13.8" thickBot="1" x14ac:dyDescent="0.3">
      <c r="A30" s="119" t="s">
        <v>58</v>
      </c>
      <c r="B30" s="232"/>
      <c r="C30" s="233"/>
      <c r="D30" s="233"/>
      <c r="E30" s="233"/>
      <c r="F30" s="233"/>
      <c r="G30" s="234"/>
      <c r="H30" s="235"/>
      <c r="I30" s="235"/>
      <c r="J30" s="235"/>
      <c r="K30" s="235"/>
      <c r="L30" s="235"/>
      <c r="M30" s="235"/>
      <c r="N30" s="235"/>
      <c r="O30" s="235"/>
      <c r="P30" s="88"/>
    </row>
    <row r="31" spans="1:16" x14ac:dyDescent="0.25">
      <c r="B31" s="89"/>
      <c r="C31" s="89"/>
      <c r="D31" s="89"/>
      <c r="E31" s="89"/>
      <c r="F31" s="89"/>
      <c r="G31" s="89"/>
      <c r="H31" s="89"/>
    </row>
    <row r="32" spans="1:16" x14ac:dyDescent="0.25">
      <c r="B32" s="89"/>
      <c r="C32" s="89"/>
      <c r="D32" s="89"/>
      <c r="E32" s="89"/>
      <c r="F32" s="89"/>
      <c r="G32" s="89"/>
      <c r="H32" s="89"/>
    </row>
  </sheetData>
  <mergeCells count="34">
    <mergeCell ref="A16:A19"/>
    <mergeCell ref="B16:G19"/>
    <mergeCell ref="B1:G1"/>
    <mergeCell ref="B3:G3"/>
    <mergeCell ref="B7:G7"/>
    <mergeCell ref="A11:A14"/>
    <mergeCell ref="B11:G14"/>
    <mergeCell ref="A21:G21"/>
    <mergeCell ref="H21:K21"/>
    <mergeCell ref="L21:O21"/>
    <mergeCell ref="B22:G22"/>
    <mergeCell ref="H22:K22"/>
    <mergeCell ref="L22:O22"/>
    <mergeCell ref="B26:G26"/>
    <mergeCell ref="H26:K26"/>
    <mergeCell ref="L26:O26"/>
    <mergeCell ref="B23:G23"/>
    <mergeCell ref="H23:K23"/>
    <mergeCell ref="L23:O23"/>
    <mergeCell ref="B24:G24"/>
    <mergeCell ref="H24:K24"/>
    <mergeCell ref="L24:O24"/>
    <mergeCell ref="B27:G27"/>
    <mergeCell ref="H27:K27"/>
    <mergeCell ref="L27:O27"/>
    <mergeCell ref="B28:G28"/>
    <mergeCell ref="H28:K28"/>
    <mergeCell ref="L28:O28"/>
    <mergeCell ref="B29:G29"/>
    <mergeCell ref="H29:K29"/>
    <mergeCell ref="L29:O29"/>
    <mergeCell ref="B30:G30"/>
    <mergeCell ref="H30:K30"/>
    <mergeCell ref="L30:O30"/>
  </mergeCells>
  <conditionalFormatting sqref="B9:B10">
    <cfRule type="cellIs" dxfId="55" priority="3" operator="equal">
      <formula>"Nok"</formula>
    </cfRule>
    <cfRule type="cellIs" dxfId="54" priority="4" operator="equal">
      <formula>"Ok"</formula>
    </cfRule>
  </conditionalFormatting>
  <conditionalFormatting sqref="P22:P30">
    <cfRule type="cellIs" dxfId="53" priority="1" operator="equal">
      <formula>"Nok"</formula>
    </cfRule>
    <cfRule type="cellIs" dxfId="52" priority="2" operator="equal">
      <formula>"Ok"</formula>
    </cfRule>
  </conditionalFormatting>
  <dataValidations count="3">
    <dataValidation type="list" allowBlank="1" showInputMessage="1" showErrorMessage="1" sqref="B5" xr:uid="{19EC073F-855B-41C7-B472-6AD64A30E8B4}">
      <formula1>"Nominal, Robustness, Endurance, Qualification"</formula1>
    </dataValidation>
    <dataValidation type="list" allowBlank="1" showInputMessage="1" showErrorMessage="1" sqref="B9" xr:uid="{F69CF02F-36C8-4CE2-BD4D-39638D16BDAF}">
      <formula1>"Ok, Nok, Not run, NA"</formula1>
    </dataValidation>
    <dataValidation type="list" allowBlank="1" showInputMessage="1" showErrorMessage="1" sqref="P22:P30" xr:uid="{06F32DD2-6044-4187-A647-A3A121F6F9C7}">
      <formula1>"Ok, Nok, Not run, ,"</formula1>
    </dataValidation>
  </dataValidations>
  <pageMargins left="0.7" right="0.7" top="0.75" bottom="0.75" header="0.3" footer="0.3"/>
  <pageSetup orientation="portrait" r:id="rId1"/>
  <headerFooter>
    <oddFooter>&amp;LTBD ver 1&amp;R&amp;P</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36A38D-2343-4138-935A-425F57B755E9}">
  <dimension ref="A1:P27"/>
  <sheetViews>
    <sheetView workbookViewId="0">
      <selection activeCell="B25" sqref="B25:G25"/>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278</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277</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127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150</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63" customHeight="1" x14ac:dyDescent="0.25">
      <c r="A25" s="93" t="s">
        <v>53</v>
      </c>
      <c r="B25" s="209" t="s">
        <v>279</v>
      </c>
      <c r="C25" s="210"/>
      <c r="D25" s="210"/>
      <c r="E25" s="210"/>
      <c r="F25" s="210"/>
      <c r="G25" s="211"/>
      <c r="H25" s="206" t="s">
        <v>280</v>
      </c>
      <c r="I25" s="206"/>
      <c r="J25" s="206"/>
      <c r="K25" s="206"/>
      <c r="L25" s="206" t="s">
        <v>280</v>
      </c>
      <c r="M25" s="206"/>
      <c r="N25" s="206"/>
      <c r="O25" s="206"/>
      <c r="P25" s="87" t="s">
        <v>128</v>
      </c>
    </row>
    <row r="26" spans="1:16" x14ac:dyDescent="0.25">
      <c r="B26" s="89"/>
      <c r="C26" s="89"/>
      <c r="D26" s="89"/>
      <c r="E26" s="89"/>
      <c r="F26" s="89"/>
      <c r="G26" s="89"/>
      <c r="H26" s="89"/>
    </row>
    <row r="27" spans="1:16" x14ac:dyDescent="0.25">
      <c r="B27" s="89"/>
      <c r="C27" s="89"/>
      <c r="D27" s="89"/>
      <c r="E27" s="89"/>
      <c r="F27" s="89"/>
      <c r="G27" s="89"/>
      <c r="H27" s="89"/>
    </row>
  </sheetData>
  <mergeCells count="22">
    <mergeCell ref="A16:A19"/>
    <mergeCell ref="B16:G19"/>
    <mergeCell ref="B1:G1"/>
    <mergeCell ref="B3:G3"/>
    <mergeCell ref="B7:G7"/>
    <mergeCell ref="A11:A14"/>
    <mergeCell ref="B11:G14"/>
    <mergeCell ref="A21:G21"/>
    <mergeCell ref="H21:K21"/>
    <mergeCell ref="L21:O21"/>
    <mergeCell ref="B22:G22"/>
    <mergeCell ref="H22:K22"/>
    <mergeCell ref="L22:O22"/>
    <mergeCell ref="B25:G25"/>
    <mergeCell ref="H25:K25"/>
    <mergeCell ref="L25:O25"/>
    <mergeCell ref="B23:G23"/>
    <mergeCell ref="H23:K23"/>
    <mergeCell ref="L23:O23"/>
    <mergeCell ref="B24:G24"/>
    <mergeCell ref="H24:K24"/>
    <mergeCell ref="L24:O24"/>
  </mergeCells>
  <conditionalFormatting sqref="B9:B10">
    <cfRule type="cellIs" dxfId="51" priority="3" operator="equal">
      <formula>"Nok"</formula>
    </cfRule>
    <cfRule type="cellIs" dxfId="50" priority="4" operator="equal">
      <formula>"Ok"</formula>
    </cfRule>
  </conditionalFormatting>
  <conditionalFormatting sqref="P22:P25">
    <cfRule type="cellIs" dxfId="49" priority="1" operator="equal">
      <formula>"Nok"</formula>
    </cfRule>
    <cfRule type="cellIs" dxfId="48" priority="2" operator="equal">
      <formula>"Ok"</formula>
    </cfRule>
  </conditionalFormatting>
  <dataValidations count="3">
    <dataValidation type="list" allowBlank="1" showInputMessage="1" showErrorMessage="1" sqref="B5" xr:uid="{200264F0-4292-4E18-B992-0355F0FB64AB}">
      <formula1>"Nominal, Robustness, Endurance, Qualification"</formula1>
    </dataValidation>
    <dataValidation type="list" allowBlank="1" showInputMessage="1" showErrorMessage="1" sqref="B9" xr:uid="{AAADD6CE-07FE-4A1E-903E-B12DFEC42912}">
      <formula1>"Ok, Nok, Not run, NA"</formula1>
    </dataValidation>
    <dataValidation type="list" allowBlank="1" showInputMessage="1" showErrorMessage="1" sqref="P22:P25" xr:uid="{0BA83CA3-5C14-47C6-B557-7F394B3B033D}">
      <formula1>"Ok, Nok, Not run, ,"</formula1>
    </dataValidation>
  </dataValidations>
  <pageMargins left="0.7" right="0.7" top="0.75" bottom="0.75" header="0.3" footer="0.3"/>
  <pageSetup orientation="portrait" r:id="rId1"/>
  <headerFooter>
    <oddFooter>&amp;LTBD ver 1&amp;R&amp;P</oddFooter>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43C7E-34C3-42E7-BE5C-F2789513B85D}">
  <dimension ref="A1:P29"/>
  <sheetViews>
    <sheetView topLeftCell="A3" workbookViewId="0">
      <selection activeCell="L27" sqref="L27:O27"/>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281</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277</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164</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247</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28.5" customHeight="1"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89.25" customHeight="1" x14ac:dyDescent="0.25">
      <c r="A25" s="93" t="s">
        <v>166</v>
      </c>
      <c r="B25" s="212" t="s">
        <v>330</v>
      </c>
      <c r="C25" s="213"/>
      <c r="D25" s="213"/>
      <c r="E25" s="213"/>
      <c r="F25" s="213"/>
      <c r="G25" s="214"/>
      <c r="H25" s="209" t="s">
        <v>282</v>
      </c>
      <c r="I25" s="210"/>
      <c r="J25" s="210"/>
      <c r="K25" s="211"/>
      <c r="L25" s="209" t="s">
        <v>282</v>
      </c>
      <c r="M25" s="210"/>
      <c r="N25" s="210"/>
      <c r="O25" s="211"/>
      <c r="P25" s="87" t="s">
        <v>128</v>
      </c>
    </row>
    <row r="26" spans="1:16" ht="70.5" customHeight="1" x14ac:dyDescent="0.25">
      <c r="A26" s="93" t="s">
        <v>54</v>
      </c>
      <c r="B26" s="212" t="s">
        <v>141</v>
      </c>
      <c r="C26" s="213"/>
      <c r="D26" s="213"/>
      <c r="E26" s="213"/>
      <c r="F26" s="213"/>
      <c r="G26" s="214"/>
      <c r="H26" s="209" t="s">
        <v>142</v>
      </c>
      <c r="I26" s="210"/>
      <c r="J26" s="210"/>
      <c r="K26" s="211"/>
      <c r="L26" s="209" t="s">
        <v>142</v>
      </c>
      <c r="M26" s="210"/>
      <c r="N26" s="210"/>
      <c r="O26" s="211"/>
      <c r="P26" s="87" t="s">
        <v>128</v>
      </c>
    </row>
    <row r="27" spans="1:16" ht="72" customHeight="1" x14ac:dyDescent="0.25">
      <c r="A27" s="93" t="s">
        <v>55</v>
      </c>
      <c r="B27" s="209" t="s">
        <v>331</v>
      </c>
      <c r="C27" s="210"/>
      <c r="D27" s="210"/>
      <c r="E27" s="210"/>
      <c r="F27" s="210"/>
      <c r="G27" s="211"/>
      <c r="H27" s="206" t="s">
        <v>332</v>
      </c>
      <c r="I27" s="206"/>
      <c r="J27" s="206"/>
      <c r="K27" s="206"/>
      <c r="L27" s="206" t="s">
        <v>332</v>
      </c>
      <c r="M27" s="206"/>
      <c r="N27" s="206"/>
      <c r="O27" s="206"/>
      <c r="P27" s="87" t="s">
        <v>128</v>
      </c>
    </row>
    <row r="28" spans="1:16" ht="12.75" customHeight="1" x14ac:dyDescent="0.25">
      <c r="B28" s="89"/>
      <c r="C28" s="89"/>
      <c r="D28" s="89"/>
      <c r="E28" s="89"/>
      <c r="F28" s="89"/>
      <c r="G28" s="89"/>
      <c r="H28" s="89"/>
    </row>
    <row r="29" spans="1:16" x14ac:dyDescent="0.25">
      <c r="B29" s="89"/>
      <c r="C29" s="89"/>
      <c r="D29" s="89"/>
      <c r="E29" s="89"/>
      <c r="F29" s="89"/>
      <c r="G29" s="89"/>
      <c r="H29" s="89"/>
    </row>
  </sheetData>
  <mergeCells count="28">
    <mergeCell ref="L22:O22"/>
    <mergeCell ref="B7:G7"/>
    <mergeCell ref="B1:G1"/>
    <mergeCell ref="A16:A19"/>
    <mergeCell ref="B16:G19"/>
    <mergeCell ref="A21:G21"/>
    <mergeCell ref="H21:K21"/>
    <mergeCell ref="L21:O21"/>
    <mergeCell ref="A11:A14"/>
    <mergeCell ref="B11:G14"/>
    <mergeCell ref="B3:G3"/>
    <mergeCell ref="B22:G22"/>
    <mergeCell ref="H22:K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P22:P27">
    <cfRule type="cellIs" dxfId="47" priority="1" operator="equal">
      <formula>"Nok"</formula>
    </cfRule>
    <cfRule type="cellIs" dxfId="46" priority="2" operator="equal">
      <formula>"Ok"</formula>
    </cfRule>
  </conditionalFormatting>
  <conditionalFormatting sqref="B9:B10">
    <cfRule type="cellIs" dxfId="45" priority="3" operator="equal">
      <formula>"Nok"</formula>
    </cfRule>
    <cfRule type="cellIs" dxfId="44" priority="4" operator="equal">
      <formula>"Ok"</formula>
    </cfRule>
  </conditionalFormatting>
  <dataValidations count="3">
    <dataValidation type="list" allowBlank="1" showInputMessage="1" showErrorMessage="1" sqref="P22:P27" xr:uid="{065B3A77-7397-4241-925B-D2280A68256A}">
      <formula1>"Ok, Nok, Not run, ,"</formula1>
    </dataValidation>
    <dataValidation type="list" allowBlank="1" showInputMessage="1" showErrorMessage="1" sqref="B9" xr:uid="{54C6FCE0-3195-42F6-B54D-FA36FA41DA7B}">
      <formula1>"Ok, Nok, Not run, NA"</formula1>
    </dataValidation>
    <dataValidation type="list" allowBlank="1" showInputMessage="1" showErrorMessage="1" sqref="B5" xr:uid="{26D2DE39-BD09-44E5-9ACD-EB7B196A0A55}">
      <formula1>"Nominal, Robustness, Endurance, Qualification"</formula1>
    </dataValidation>
  </dataValidations>
  <pageMargins left="0.7" right="0.7" top="0.75" bottom="0.75" header="0.3" footer="0.3"/>
  <pageSetup orientation="portrait" r:id="rId1"/>
  <headerFooter>
    <oddFooter>&amp;LTBD ver 1&amp;R&amp;P</oddFooter>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8FFF2-7A56-4181-BE9E-D300A8CF4F27}">
  <dimension ref="A1:P27"/>
  <sheetViews>
    <sheetView workbookViewId="0">
      <selection activeCell="B25" sqref="B25:G25"/>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284</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283</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127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150</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63" customHeight="1" x14ac:dyDescent="0.25">
      <c r="A25" s="93" t="s">
        <v>53</v>
      </c>
      <c r="B25" s="209" t="s">
        <v>285</v>
      </c>
      <c r="C25" s="210"/>
      <c r="D25" s="210"/>
      <c r="E25" s="210"/>
      <c r="F25" s="210"/>
      <c r="G25" s="211"/>
      <c r="H25" s="206" t="s">
        <v>286</v>
      </c>
      <c r="I25" s="206"/>
      <c r="J25" s="206"/>
      <c r="K25" s="206"/>
      <c r="L25" s="206" t="s">
        <v>287</v>
      </c>
      <c r="M25" s="206"/>
      <c r="N25" s="206"/>
      <c r="O25" s="206"/>
      <c r="P25" s="87" t="s">
        <v>128</v>
      </c>
    </row>
    <row r="26" spans="1:16" x14ac:dyDescent="0.25">
      <c r="B26" s="89"/>
      <c r="C26" s="89"/>
      <c r="D26" s="89"/>
      <c r="E26" s="89"/>
      <c r="F26" s="89"/>
      <c r="G26" s="89"/>
      <c r="H26" s="89"/>
    </row>
    <row r="27" spans="1:16" x14ac:dyDescent="0.25">
      <c r="B27" s="89"/>
      <c r="C27" s="89"/>
      <c r="D27" s="89"/>
      <c r="E27" s="89"/>
      <c r="F27" s="89"/>
      <c r="G27" s="89"/>
      <c r="H27" s="89"/>
    </row>
  </sheetData>
  <mergeCells count="22">
    <mergeCell ref="A16:A19"/>
    <mergeCell ref="B16:G19"/>
    <mergeCell ref="B1:G1"/>
    <mergeCell ref="B3:G3"/>
    <mergeCell ref="B7:G7"/>
    <mergeCell ref="A11:A14"/>
    <mergeCell ref="B11:G14"/>
    <mergeCell ref="A21:G21"/>
    <mergeCell ref="H21:K21"/>
    <mergeCell ref="L21:O21"/>
    <mergeCell ref="B22:G22"/>
    <mergeCell ref="H22:K22"/>
    <mergeCell ref="L22:O22"/>
    <mergeCell ref="B25:G25"/>
    <mergeCell ref="H25:K25"/>
    <mergeCell ref="L25:O25"/>
    <mergeCell ref="B23:G23"/>
    <mergeCell ref="H23:K23"/>
    <mergeCell ref="L23:O23"/>
    <mergeCell ref="B24:G24"/>
    <mergeCell ref="H24:K24"/>
    <mergeCell ref="L24:O24"/>
  </mergeCells>
  <conditionalFormatting sqref="B9:B10">
    <cfRule type="cellIs" dxfId="43" priority="3" operator="equal">
      <formula>"Nok"</formula>
    </cfRule>
    <cfRule type="cellIs" dxfId="42" priority="4" operator="equal">
      <formula>"Ok"</formula>
    </cfRule>
  </conditionalFormatting>
  <conditionalFormatting sqref="P22:P25">
    <cfRule type="cellIs" dxfId="41" priority="1" operator="equal">
      <formula>"Nok"</formula>
    </cfRule>
    <cfRule type="cellIs" dxfId="40" priority="2" operator="equal">
      <formula>"Ok"</formula>
    </cfRule>
  </conditionalFormatting>
  <dataValidations count="3">
    <dataValidation type="list" allowBlank="1" showInputMessage="1" showErrorMessage="1" sqref="P22:P25" xr:uid="{1FE465AC-DAF2-4C9D-9359-35090A48017A}">
      <formula1>"Ok, Nok, Not run, ,"</formula1>
    </dataValidation>
    <dataValidation type="list" allowBlank="1" showInputMessage="1" showErrorMessage="1" sqref="B9" xr:uid="{29E74004-057C-4EA4-8ACD-5EC086D440A0}">
      <formula1>"Ok, Nok, Not run, NA"</formula1>
    </dataValidation>
    <dataValidation type="list" allowBlank="1" showInputMessage="1" showErrorMessage="1" sqref="B5" xr:uid="{0D8AE1C3-2847-404B-A7FB-C26470CF0576}">
      <formula1>"Nominal, Robustness, Endurance, Qualification"</formula1>
    </dataValidation>
  </dataValidations>
  <pageMargins left="0.7" right="0.7" top="0.75" bottom="0.75" header="0.3" footer="0.3"/>
  <pageSetup orientation="portrait" r:id="rId1"/>
  <headerFooter>
    <oddFooter>&amp;LTBD ver 1&amp;R&amp;P</oddFooter>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B6F10-CDF7-46FA-B235-61FA173B23CA}">
  <dimension ref="A1:P29"/>
  <sheetViews>
    <sheetView workbookViewId="0">
      <selection activeCell="B25" sqref="B25:G25"/>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288</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283</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164</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247</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28.5" customHeight="1"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89.25" customHeight="1" x14ac:dyDescent="0.25">
      <c r="A25" s="93" t="s">
        <v>166</v>
      </c>
      <c r="B25" s="212" t="s">
        <v>289</v>
      </c>
      <c r="C25" s="213"/>
      <c r="D25" s="213"/>
      <c r="E25" s="213"/>
      <c r="F25" s="213"/>
      <c r="G25" s="214"/>
      <c r="H25" s="209" t="s">
        <v>282</v>
      </c>
      <c r="I25" s="210"/>
      <c r="J25" s="210"/>
      <c r="K25" s="211"/>
      <c r="L25" s="209" t="s">
        <v>282</v>
      </c>
      <c r="M25" s="210"/>
      <c r="N25" s="210"/>
      <c r="O25" s="211"/>
      <c r="P25" s="87" t="s">
        <v>128</v>
      </c>
    </row>
    <row r="26" spans="1:16" ht="70.5" customHeight="1" x14ac:dyDescent="0.25">
      <c r="A26" s="93" t="s">
        <v>54</v>
      </c>
      <c r="B26" s="212" t="s">
        <v>141</v>
      </c>
      <c r="C26" s="213"/>
      <c r="D26" s="213"/>
      <c r="E26" s="213"/>
      <c r="F26" s="213"/>
      <c r="G26" s="214"/>
      <c r="H26" s="209" t="s">
        <v>142</v>
      </c>
      <c r="I26" s="210"/>
      <c r="J26" s="210"/>
      <c r="K26" s="211"/>
      <c r="L26" s="209" t="s">
        <v>142</v>
      </c>
      <c r="M26" s="210"/>
      <c r="N26" s="210"/>
      <c r="O26" s="211"/>
      <c r="P26" s="87" t="s">
        <v>128</v>
      </c>
    </row>
    <row r="27" spans="1:16" ht="72" customHeight="1" x14ac:dyDescent="0.25">
      <c r="A27" s="93" t="s">
        <v>55</v>
      </c>
      <c r="B27" s="209" t="s">
        <v>291</v>
      </c>
      <c r="C27" s="210"/>
      <c r="D27" s="210"/>
      <c r="E27" s="210"/>
      <c r="F27" s="210"/>
      <c r="G27" s="211"/>
      <c r="H27" s="206" t="s">
        <v>290</v>
      </c>
      <c r="I27" s="206"/>
      <c r="J27" s="206"/>
      <c r="K27" s="206"/>
      <c r="L27" s="206" t="s">
        <v>290</v>
      </c>
      <c r="M27" s="206"/>
      <c r="N27" s="206"/>
      <c r="O27" s="206"/>
      <c r="P27" s="87" t="s">
        <v>128</v>
      </c>
    </row>
    <row r="28" spans="1:16" ht="12.75" customHeight="1" x14ac:dyDescent="0.25">
      <c r="B28" s="89"/>
      <c r="C28" s="89"/>
      <c r="D28" s="89"/>
      <c r="E28" s="89"/>
      <c r="F28" s="89"/>
      <c r="G28" s="89"/>
      <c r="H28" s="89"/>
    </row>
    <row r="29" spans="1:16" x14ac:dyDescent="0.25">
      <c r="B29" s="89"/>
      <c r="C29" s="89"/>
      <c r="D29" s="89"/>
      <c r="E29" s="89"/>
      <c r="F29" s="89"/>
      <c r="G29" s="89"/>
      <c r="H29" s="89"/>
    </row>
  </sheetData>
  <mergeCells count="28">
    <mergeCell ref="L22:O22"/>
    <mergeCell ref="B7:G7"/>
    <mergeCell ref="B1:G1"/>
    <mergeCell ref="A16:A19"/>
    <mergeCell ref="B16:G19"/>
    <mergeCell ref="A21:G21"/>
    <mergeCell ref="H21:K21"/>
    <mergeCell ref="L21:O21"/>
    <mergeCell ref="A11:A14"/>
    <mergeCell ref="B11:G14"/>
    <mergeCell ref="B3:G3"/>
    <mergeCell ref="B22:G22"/>
    <mergeCell ref="H22:K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P22:P27">
    <cfRule type="cellIs" dxfId="39" priority="1" operator="equal">
      <formula>"Nok"</formula>
    </cfRule>
    <cfRule type="cellIs" dxfId="38" priority="2" operator="equal">
      <formula>"Ok"</formula>
    </cfRule>
  </conditionalFormatting>
  <conditionalFormatting sqref="B9:B10">
    <cfRule type="cellIs" dxfId="37" priority="3" operator="equal">
      <formula>"Nok"</formula>
    </cfRule>
    <cfRule type="cellIs" dxfId="36" priority="4" operator="equal">
      <formula>"Ok"</formula>
    </cfRule>
  </conditionalFormatting>
  <dataValidations count="3">
    <dataValidation type="list" allowBlank="1" showInputMessage="1" showErrorMessage="1" sqref="P22:P27" xr:uid="{7926D3B7-5BFA-4732-ACE4-4393881E060A}">
      <formula1>"Ok, Nok, Not run, ,"</formula1>
    </dataValidation>
    <dataValidation type="list" allowBlank="1" showInputMessage="1" showErrorMessage="1" sqref="B5" xr:uid="{3CC51E0C-A16A-4645-A491-1D08E8AF975F}">
      <formula1>"Nominal, Robustness, Endurance, Qualification"</formula1>
    </dataValidation>
    <dataValidation type="list" allowBlank="1" showInputMessage="1" showErrorMessage="1" sqref="B9" xr:uid="{4857B575-F9CC-4F53-B3C6-1A4D45C17842}">
      <formula1>"Ok, Nok, Not run, NA"</formula1>
    </dataValidation>
  </dataValidations>
  <pageMargins left="0.7" right="0.7" top="0.75" bottom="0.75" header="0.3" footer="0.3"/>
  <pageSetup orientation="portrait" r:id="rId1"/>
  <headerFooter>
    <oddFooter>&amp;LTBD ver 1&amp;R&amp;P</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A43755-ADCE-4E1C-836A-29698E9FDAE4}">
  <dimension ref="A1:P27"/>
  <sheetViews>
    <sheetView topLeftCell="A10" workbookViewId="0">
      <selection activeCell="B23" sqref="B23:G23"/>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295</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292</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127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150</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373.5" customHeight="1" x14ac:dyDescent="0.25">
      <c r="A25" s="93" t="s">
        <v>53</v>
      </c>
      <c r="B25" s="209" t="s">
        <v>293</v>
      </c>
      <c r="C25" s="210"/>
      <c r="D25" s="210"/>
      <c r="E25" s="210"/>
      <c r="F25" s="210"/>
      <c r="G25" s="211"/>
      <c r="H25" s="206" t="s">
        <v>294</v>
      </c>
      <c r="I25" s="206"/>
      <c r="J25" s="206"/>
      <c r="K25" s="206"/>
      <c r="L25" s="206" t="s">
        <v>294</v>
      </c>
      <c r="M25" s="206"/>
      <c r="N25" s="206"/>
      <c r="O25" s="206"/>
      <c r="P25" s="87" t="s">
        <v>128</v>
      </c>
    </row>
    <row r="26" spans="1:16" x14ac:dyDescent="0.25">
      <c r="B26" s="89"/>
      <c r="C26" s="89"/>
      <c r="D26" s="89"/>
      <c r="E26" s="89"/>
      <c r="F26" s="89"/>
      <c r="G26" s="89"/>
      <c r="H26" s="89"/>
    </row>
    <row r="27" spans="1:16" x14ac:dyDescent="0.25">
      <c r="B27" s="89"/>
      <c r="C27" s="89"/>
      <c r="D27" s="89"/>
      <c r="E27" s="89"/>
      <c r="F27" s="89"/>
      <c r="G27" s="89"/>
      <c r="H27" s="89"/>
    </row>
  </sheetData>
  <mergeCells count="22">
    <mergeCell ref="A16:A19"/>
    <mergeCell ref="B16:G19"/>
    <mergeCell ref="B1:G1"/>
    <mergeCell ref="B3:G3"/>
    <mergeCell ref="B7:G7"/>
    <mergeCell ref="A11:A14"/>
    <mergeCell ref="B11:G14"/>
    <mergeCell ref="A21:G21"/>
    <mergeCell ref="H21:K21"/>
    <mergeCell ref="L21:O21"/>
    <mergeCell ref="B22:G22"/>
    <mergeCell ref="H22:K22"/>
    <mergeCell ref="L22:O22"/>
    <mergeCell ref="B25:G25"/>
    <mergeCell ref="H25:K25"/>
    <mergeCell ref="L25:O25"/>
    <mergeCell ref="B23:G23"/>
    <mergeCell ref="H23:K23"/>
    <mergeCell ref="L23:O23"/>
    <mergeCell ref="B24:G24"/>
    <mergeCell ref="H24:K24"/>
    <mergeCell ref="L24:O24"/>
  </mergeCells>
  <conditionalFormatting sqref="B9:B10">
    <cfRule type="cellIs" dxfId="35" priority="3" operator="equal">
      <formula>"Nok"</formula>
    </cfRule>
    <cfRule type="cellIs" dxfId="34" priority="4" operator="equal">
      <formula>"Ok"</formula>
    </cfRule>
  </conditionalFormatting>
  <conditionalFormatting sqref="P22:P25">
    <cfRule type="cellIs" dxfId="33" priority="1" operator="equal">
      <formula>"Nok"</formula>
    </cfRule>
    <cfRule type="cellIs" dxfId="32" priority="2" operator="equal">
      <formula>"Ok"</formula>
    </cfRule>
  </conditionalFormatting>
  <dataValidations count="3">
    <dataValidation type="list" allowBlank="1" showInputMessage="1" showErrorMessage="1" sqref="B5" xr:uid="{94D55C44-44BD-4492-93CA-B73070CB0C45}">
      <formula1>"Nominal, Robustness, Endurance, Qualification"</formula1>
    </dataValidation>
    <dataValidation type="list" allowBlank="1" showInputMessage="1" showErrorMessage="1" sqref="B9" xr:uid="{AA665024-1087-44FB-A7B7-BC443C841D85}">
      <formula1>"Ok, Nok, Not run, NA"</formula1>
    </dataValidation>
    <dataValidation type="list" allowBlank="1" showInputMessage="1" showErrorMessage="1" sqref="P22:P25" xr:uid="{9D0E48E1-B5A5-470E-8235-9AB3025C2689}">
      <formula1>"Ok, Nok, Not run, ,"</formula1>
    </dataValidation>
  </dataValidations>
  <pageMargins left="0.7" right="0.7" top="0.75" bottom="0.75" header="0.3" footer="0.3"/>
  <pageSetup orientation="portrait" r:id="rId1"/>
  <headerFooter>
    <oddFooter>&amp;LTBD ver 1&amp;R&amp;P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C1B837-8E75-45BB-B506-6E1A42878970}">
  <dimension ref="A1:P29"/>
  <sheetViews>
    <sheetView topLeftCell="A2" workbookViewId="0">
      <selection activeCell="B27" sqref="B27:G27"/>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296</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292</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164</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247</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28.5" customHeight="1"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89.25" customHeight="1" x14ac:dyDescent="0.25">
      <c r="A25" s="93" t="s">
        <v>166</v>
      </c>
      <c r="B25" s="212" t="s">
        <v>297</v>
      </c>
      <c r="C25" s="213"/>
      <c r="D25" s="213"/>
      <c r="E25" s="213"/>
      <c r="F25" s="213"/>
      <c r="G25" s="214"/>
      <c r="H25" s="209" t="s">
        <v>282</v>
      </c>
      <c r="I25" s="210"/>
      <c r="J25" s="210"/>
      <c r="K25" s="211"/>
      <c r="L25" s="209" t="s">
        <v>282</v>
      </c>
      <c r="M25" s="210"/>
      <c r="N25" s="210"/>
      <c r="O25" s="211"/>
      <c r="P25" s="87" t="s">
        <v>128</v>
      </c>
    </row>
    <row r="26" spans="1:16" ht="70.5" customHeight="1" x14ac:dyDescent="0.25">
      <c r="A26" s="93" t="s">
        <v>54</v>
      </c>
      <c r="B26" s="212" t="s">
        <v>141</v>
      </c>
      <c r="C26" s="213"/>
      <c r="D26" s="213"/>
      <c r="E26" s="213"/>
      <c r="F26" s="213"/>
      <c r="G26" s="214"/>
      <c r="H26" s="209" t="s">
        <v>142</v>
      </c>
      <c r="I26" s="210"/>
      <c r="J26" s="210"/>
      <c r="K26" s="211"/>
      <c r="L26" s="209" t="s">
        <v>142</v>
      </c>
      <c r="M26" s="210"/>
      <c r="N26" s="210"/>
      <c r="O26" s="211"/>
      <c r="P26" s="87" t="s">
        <v>128</v>
      </c>
    </row>
    <row r="27" spans="1:16" ht="72" customHeight="1" x14ac:dyDescent="0.25">
      <c r="A27" s="93" t="s">
        <v>55</v>
      </c>
      <c r="B27" s="209" t="s">
        <v>298</v>
      </c>
      <c r="C27" s="210"/>
      <c r="D27" s="210"/>
      <c r="E27" s="210"/>
      <c r="F27" s="210"/>
      <c r="G27" s="211"/>
      <c r="H27" s="206" t="s">
        <v>299</v>
      </c>
      <c r="I27" s="206"/>
      <c r="J27" s="206"/>
      <c r="K27" s="206"/>
      <c r="L27" s="206" t="s">
        <v>299</v>
      </c>
      <c r="M27" s="206"/>
      <c r="N27" s="206"/>
      <c r="O27" s="206"/>
      <c r="P27" s="87" t="s">
        <v>128</v>
      </c>
    </row>
    <row r="28" spans="1:16" ht="12.75" customHeight="1" x14ac:dyDescent="0.25">
      <c r="B28" s="89"/>
      <c r="C28" s="89"/>
      <c r="D28" s="89"/>
      <c r="E28" s="89"/>
      <c r="F28" s="89"/>
      <c r="G28" s="89"/>
      <c r="H28" s="89"/>
    </row>
    <row r="29" spans="1:16" x14ac:dyDescent="0.25">
      <c r="B29" s="89"/>
      <c r="C29" s="89"/>
      <c r="D29" s="89"/>
      <c r="E29" s="89"/>
      <c r="F29" s="89"/>
      <c r="G29" s="89"/>
      <c r="H29" s="8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P22:P27">
    <cfRule type="cellIs" dxfId="31" priority="1" operator="equal">
      <formula>"Nok"</formula>
    </cfRule>
    <cfRule type="cellIs" dxfId="30" priority="2" operator="equal">
      <formula>"Ok"</formula>
    </cfRule>
  </conditionalFormatting>
  <conditionalFormatting sqref="B9:B10">
    <cfRule type="cellIs" dxfId="29" priority="3" operator="equal">
      <formula>"Nok"</formula>
    </cfRule>
    <cfRule type="cellIs" dxfId="28" priority="4" operator="equal">
      <formula>"Ok"</formula>
    </cfRule>
  </conditionalFormatting>
  <dataValidations count="3">
    <dataValidation type="list" allowBlank="1" showInputMessage="1" showErrorMessage="1" sqref="B9" xr:uid="{D7C27FB0-1855-4DB4-94C9-E0FD1FBF67B4}">
      <formula1>"Ok, Nok, Not run, NA"</formula1>
    </dataValidation>
    <dataValidation type="list" allowBlank="1" showInputMessage="1" showErrorMessage="1" sqref="B5" xr:uid="{1C76EF73-4688-4904-98BA-B2E29FF12A93}">
      <formula1>"Nominal, Robustness, Endurance, Qualification"</formula1>
    </dataValidation>
    <dataValidation type="list" allowBlank="1" showInputMessage="1" showErrorMessage="1" sqref="P22:P27" xr:uid="{985807D1-874E-44C5-B5B9-8C438DDB6FBC}">
      <formula1>"Ok, Nok, Not run, ,"</formula1>
    </dataValidation>
  </dataValidations>
  <pageMargins left="0.7" right="0.7" top="0.75" bottom="0.75" header="0.3" footer="0.3"/>
  <pageSetup orientation="portrait" r:id="rId1"/>
  <headerFooter>
    <oddFooter>&amp;LTBD ver 1&amp;R&amp;P</oddFooter>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5E3CE-F161-4EF1-BB4E-5B49E8243232}">
  <dimension ref="A1:P27"/>
  <sheetViews>
    <sheetView workbookViewId="0">
      <selection activeCell="I17" sqref="I17"/>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301</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300</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127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150</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409.5" customHeight="1" x14ac:dyDescent="0.25">
      <c r="A25" s="93" t="s">
        <v>53</v>
      </c>
      <c r="B25" s="209" t="s">
        <v>302</v>
      </c>
      <c r="C25" s="210"/>
      <c r="D25" s="210"/>
      <c r="E25" s="210"/>
      <c r="F25" s="210"/>
      <c r="G25" s="211"/>
      <c r="H25" s="206" t="s">
        <v>294</v>
      </c>
      <c r="I25" s="206"/>
      <c r="J25" s="206"/>
      <c r="K25" s="206"/>
      <c r="L25" s="206" t="s">
        <v>294</v>
      </c>
      <c r="M25" s="206"/>
      <c r="N25" s="206"/>
      <c r="O25" s="206"/>
      <c r="P25" s="87" t="s">
        <v>128</v>
      </c>
    </row>
    <row r="26" spans="1:16" x14ac:dyDescent="0.25">
      <c r="B26" s="89"/>
      <c r="C26" s="89"/>
      <c r="D26" s="89"/>
      <c r="E26" s="89"/>
      <c r="F26" s="89"/>
      <c r="G26" s="89"/>
      <c r="H26" s="89"/>
    </row>
    <row r="27" spans="1:16" x14ac:dyDescent="0.25">
      <c r="B27" s="89"/>
      <c r="C27" s="89"/>
      <c r="D27" s="89"/>
      <c r="E27" s="89"/>
      <c r="F27" s="89"/>
      <c r="G27" s="89"/>
      <c r="H27" s="89"/>
    </row>
  </sheetData>
  <mergeCells count="22">
    <mergeCell ref="A16:A19"/>
    <mergeCell ref="B16:G19"/>
    <mergeCell ref="B1:G1"/>
    <mergeCell ref="B3:G3"/>
    <mergeCell ref="B7:G7"/>
    <mergeCell ref="A11:A14"/>
    <mergeCell ref="B11:G14"/>
    <mergeCell ref="A21:G21"/>
    <mergeCell ref="H21:K21"/>
    <mergeCell ref="L21:O21"/>
    <mergeCell ref="B22:G22"/>
    <mergeCell ref="H22:K22"/>
    <mergeCell ref="L22:O22"/>
    <mergeCell ref="B25:G25"/>
    <mergeCell ref="H25:K25"/>
    <mergeCell ref="L25:O25"/>
    <mergeCell ref="B23:G23"/>
    <mergeCell ref="H23:K23"/>
    <mergeCell ref="L23:O23"/>
    <mergeCell ref="B24:G24"/>
    <mergeCell ref="H24:K24"/>
    <mergeCell ref="L24:O24"/>
  </mergeCells>
  <conditionalFormatting sqref="B9:B10">
    <cfRule type="cellIs" dxfId="27" priority="3" operator="equal">
      <formula>"Nok"</formula>
    </cfRule>
    <cfRule type="cellIs" dxfId="26" priority="4" operator="equal">
      <formula>"Ok"</formula>
    </cfRule>
  </conditionalFormatting>
  <conditionalFormatting sqref="P22:P25">
    <cfRule type="cellIs" dxfId="25" priority="1" operator="equal">
      <formula>"Nok"</formula>
    </cfRule>
    <cfRule type="cellIs" dxfId="24" priority="2" operator="equal">
      <formula>"Ok"</formula>
    </cfRule>
  </conditionalFormatting>
  <dataValidations count="3">
    <dataValidation type="list" allowBlank="1" showInputMessage="1" showErrorMessage="1" sqref="P22:P25" xr:uid="{655C5B4D-F62E-411B-BAFF-B92C2D4D9258}">
      <formula1>"Ok, Nok, Not run, ,"</formula1>
    </dataValidation>
    <dataValidation type="list" allowBlank="1" showInputMessage="1" showErrorMessage="1" sqref="B9" xr:uid="{E9A30585-1505-4EBE-AED0-16BFAE4C9473}">
      <formula1>"Ok, Nok, Not run, NA"</formula1>
    </dataValidation>
    <dataValidation type="list" allowBlank="1" showInputMessage="1" showErrorMessage="1" sqref="B5" xr:uid="{B893BB66-29EC-4E4A-B03C-CB8EA6556E2D}">
      <formula1>"Nominal, Robustness, Endurance, Qualification"</formula1>
    </dataValidation>
  </dataValidations>
  <pageMargins left="0.7" right="0.7" top="0.75" bottom="0.75" header="0.3" footer="0.3"/>
  <pageSetup orientation="portrait" r:id="rId1"/>
  <headerFooter>
    <oddFooter>&amp;LTBD ver 1&amp;R&amp;P</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4D9117-B77E-4BE7-B050-B181931DDD1A}">
  <dimension ref="A1:P29"/>
  <sheetViews>
    <sheetView workbookViewId="0">
      <selection activeCell="H25" sqref="H25:K25"/>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303</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300</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164</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247</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28.5" customHeight="1"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89.25" customHeight="1" x14ac:dyDescent="0.25">
      <c r="A25" s="93" t="s">
        <v>166</v>
      </c>
      <c r="B25" s="212" t="s">
        <v>304</v>
      </c>
      <c r="C25" s="213"/>
      <c r="D25" s="213"/>
      <c r="E25" s="213"/>
      <c r="F25" s="213"/>
      <c r="G25" s="214"/>
      <c r="H25" s="209" t="s">
        <v>282</v>
      </c>
      <c r="I25" s="210"/>
      <c r="J25" s="210"/>
      <c r="K25" s="211"/>
      <c r="L25" s="209" t="s">
        <v>282</v>
      </c>
      <c r="M25" s="210"/>
      <c r="N25" s="210"/>
      <c r="O25" s="211"/>
      <c r="P25" s="87" t="s">
        <v>128</v>
      </c>
    </row>
    <row r="26" spans="1:16" ht="70.5" customHeight="1" x14ac:dyDescent="0.25">
      <c r="A26" s="93" t="s">
        <v>54</v>
      </c>
      <c r="B26" s="212" t="s">
        <v>141</v>
      </c>
      <c r="C26" s="213"/>
      <c r="D26" s="213"/>
      <c r="E26" s="213"/>
      <c r="F26" s="213"/>
      <c r="G26" s="214"/>
      <c r="H26" s="209" t="s">
        <v>142</v>
      </c>
      <c r="I26" s="210"/>
      <c r="J26" s="210"/>
      <c r="K26" s="211"/>
      <c r="L26" s="209" t="s">
        <v>142</v>
      </c>
      <c r="M26" s="210"/>
      <c r="N26" s="210"/>
      <c r="O26" s="211"/>
      <c r="P26" s="87" t="s">
        <v>128</v>
      </c>
    </row>
    <row r="27" spans="1:16" ht="72" customHeight="1" x14ac:dyDescent="0.25">
      <c r="A27" s="93" t="s">
        <v>55</v>
      </c>
      <c r="B27" s="209" t="s">
        <v>305</v>
      </c>
      <c r="C27" s="210"/>
      <c r="D27" s="210"/>
      <c r="E27" s="210"/>
      <c r="F27" s="210"/>
      <c r="G27" s="211"/>
      <c r="H27" s="206" t="s">
        <v>306</v>
      </c>
      <c r="I27" s="206"/>
      <c r="J27" s="206"/>
      <c r="K27" s="206"/>
      <c r="L27" s="206" t="s">
        <v>306</v>
      </c>
      <c r="M27" s="206"/>
      <c r="N27" s="206"/>
      <c r="O27" s="206"/>
      <c r="P27" s="87" t="s">
        <v>128</v>
      </c>
    </row>
    <row r="28" spans="1:16" ht="12.75" customHeight="1" x14ac:dyDescent="0.25">
      <c r="B28" s="89"/>
      <c r="C28" s="89"/>
      <c r="D28" s="89"/>
      <c r="E28" s="89"/>
      <c r="F28" s="89"/>
      <c r="G28" s="89"/>
      <c r="H28" s="89"/>
    </row>
    <row r="29" spans="1:16" x14ac:dyDescent="0.25">
      <c r="B29" s="89"/>
      <c r="C29" s="89"/>
      <c r="D29" s="89"/>
      <c r="E29" s="89"/>
      <c r="F29" s="89"/>
      <c r="G29" s="89"/>
      <c r="H29" s="89"/>
    </row>
  </sheetData>
  <mergeCells count="28">
    <mergeCell ref="A16:A19"/>
    <mergeCell ref="B16:G19"/>
    <mergeCell ref="B1:G1"/>
    <mergeCell ref="B3:G3"/>
    <mergeCell ref="B7:G7"/>
    <mergeCell ref="A11:A14"/>
    <mergeCell ref="B11:G14"/>
    <mergeCell ref="A21:G21"/>
    <mergeCell ref="H21:K21"/>
    <mergeCell ref="L21:O21"/>
    <mergeCell ref="B22:G22"/>
    <mergeCell ref="H22:K22"/>
    <mergeCell ref="L22:O22"/>
    <mergeCell ref="B23:G23"/>
    <mergeCell ref="H23:K23"/>
    <mergeCell ref="L23:O23"/>
    <mergeCell ref="B24:G24"/>
    <mergeCell ref="H24:K24"/>
    <mergeCell ref="L24:O24"/>
    <mergeCell ref="B27:G27"/>
    <mergeCell ref="H27:K27"/>
    <mergeCell ref="L27:O27"/>
    <mergeCell ref="B25:G25"/>
    <mergeCell ref="H25:K25"/>
    <mergeCell ref="L25:O25"/>
    <mergeCell ref="B26:G26"/>
    <mergeCell ref="H26:K26"/>
    <mergeCell ref="L26:O26"/>
  </mergeCells>
  <conditionalFormatting sqref="P22:P27">
    <cfRule type="cellIs" dxfId="23" priority="1" operator="equal">
      <formula>"Nok"</formula>
    </cfRule>
    <cfRule type="cellIs" dxfId="22" priority="2" operator="equal">
      <formula>"Ok"</formula>
    </cfRule>
  </conditionalFormatting>
  <conditionalFormatting sqref="B9:B10">
    <cfRule type="cellIs" dxfId="21" priority="3" operator="equal">
      <formula>"Nok"</formula>
    </cfRule>
    <cfRule type="cellIs" dxfId="20" priority="4" operator="equal">
      <formula>"Ok"</formula>
    </cfRule>
  </conditionalFormatting>
  <dataValidations count="3">
    <dataValidation type="list" allowBlank="1" showInputMessage="1" showErrorMessage="1" sqref="P22:P27" xr:uid="{516B3C93-B191-4EC4-A4CB-D0EED77EF7F7}">
      <formula1>"Ok, Nok, Not run, ,"</formula1>
    </dataValidation>
    <dataValidation type="list" allowBlank="1" showInputMessage="1" showErrorMessage="1" sqref="B5" xr:uid="{6E0D59D4-0AA7-4E3B-B07C-FAD12DC7D91D}">
      <formula1>"Nominal, Robustness, Endurance, Qualification"</formula1>
    </dataValidation>
    <dataValidation type="list" allowBlank="1" showInputMessage="1" showErrorMessage="1" sqref="B9" xr:uid="{EF85084F-B3B8-4689-880E-EA565E9A171E}">
      <formula1>"Ok, Nok, Not run, NA"</formula1>
    </dataValidation>
  </dataValidations>
  <pageMargins left="0.7" right="0.7" top="0.75" bottom="0.75" header="0.3" footer="0.3"/>
  <pageSetup orientation="portrait" r:id="rId1"/>
  <headerFooter>
    <oddFooter>&amp;LTBD ver 1&amp;R&amp;P</oddFooter>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2EB58-D63F-4FCA-B1E1-44FFE2855865}">
  <dimension ref="A1:P27"/>
  <sheetViews>
    <sheetView workbookViewId="0">
      <selection activeCell="B25" sqref="B25:G25"/>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308</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307</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127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150</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63" customHeight="1" x14ac:dyDescent="0.25">
      <c r="A25" s="93" t="s">
        <v>53</v>
      </c>
      <c r="B25" s="209" t="s">
        <v>309</v>
      </c>
      <c r="C25" s="210"/>
      <c r="D25" s="210"/>
      <c r="E25" s="210"/>
      <c r="F25" s="210"/>
      <c r="G25" s="211"/>
      <c r="H25" s="206" t="s">
        <v>310</v>
      </c>
      <c r="I25" s="206"/>
      <c r="J25" s="206"/>
      <c r="K25" s="206"/>
      <c r="L25" s="206" t="s">
        <v>310</v>
      </c>
      <c r="M25" s="206"/>
      <c r="N25" s="206"/>
      <c r="O25" s="206"/>
      <c r="P25" s="87" t="s">
        <v>128</v>
      </c>
    </row>
    <row r="26" spans="1:16" x14ac:dyDescent="0.25">
      <c r="B26" s="89"/>
      <c r="C26" s="89"/>
      <c r="D26" s="89"/>
      <c r="E26" s="89"/>
      <c r="F26" s="89"/>
      <c r="G26" s="89"/>
      <c r="H26" s="89"/>
    </row>
    <row r="27" spans="1:16" x14ac:dyDescent="0.25">
      <c r="B27" s="89"/>
      <c r="C27" s="89"/>
      <c r="D27" s="89"/>
      <c r="E27" s="89"/>
      <c r="F27" s="89"/>
      <c r="G27" s="89"/>
      <c r="H27" s="89"/>
    </row>
  </sheetData>
  <mergeCells count="22">
    <mergeCell ref="B25:G25"/>
    <mergeCell ref="H25:K25"/>
    <mergeCell ref="L25:O25"/>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9" priority="3" operator="equal">
      <formula>"Nok"</formula>
    </cfRule>
    <cfRule type="cellIs" dxfId="18" priority="4" operator="equal">
      <formula>"Ok"</formula>
    </cfRule>
  </conditionalFormatting>
  <conditionalFormatting sqref="P22:P25">
    <cfRule type="cellIs" dxfId="17" priority="1" operator="equal">
      <formula>"Nok"</formula>
    </cfRule>
    <cfRule type="cellIs" dxfId="16" priority="2" operator="equal">
      <formula>"Ok"</formula>
    </cfRule>
  </conditionalFormatting>
  <dataValidations count="3">
    <dataValidation type="list" allowBlank="1" showInputMessage="1" showErrorMessage="1" sqref="B5" xr:uid="{92E27575-5EED-4886-BA89-E8BC0F3D752C}">
      <formula1>"Nominal, Robustness, Endurance, Qualification"</formula1>
    </dataValidation>
    <dataValidation type="list" allowBlank="1" showInputMessage="1" showErrorMessage="1" sqref="B9" xr:uid="{BDAA22E6-E3FE-47D2-AD98-4ABBC702868E}">
      <formula1>"Ok, Nok, Not run, NA"</formula1>
    </dataValidation>
    <dataValidation type="list" allowBlank="1" showInputMessage="1" showErrorMessage="1" sqref="P22:P25" xr:uid="{02A0A183-4529-4214-B9BC-C5DAEF0FAC6A}">
      <formula1>"Ok, Nok, Not run, ,"</formula1>
    </dataValidation>
  </dataValidations>
  <pageMargins left="0.7" right="0.7" top="0.75" bottom="0.75" header="0.3" footer="0.3"/>
  <pageSetup orientation="portrait" r:id="rId1"/>
  <headerFooter>
    <oddFooter>&amp;LTBD ver 1&amp;R&amp;P</oddFooter>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8CBAB-5C1B-4BB1-A171-953B0421E667}">
  <dimension ref="A1:P29"/>
  <sheetViews>
    <sheetView workbookViewId="0">
      <selection activeCell="L27" sqref="L27:O27"/>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311</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307</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164</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247</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28.5" customHeight="1"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89.25" customHeight="1" x14ac:dyDescent="0.25">
      <c r="A25" s="93" t="s">
        <v>166</v>
      </c>
      <c r="B25" s="212" t="s">
        <v>337</v>
      </c>
      <c r="C25" s="213"/>
      <c r="D25" s="213"/>
      <c r="E25" s="213"/>
      <c r="F25" s="213"/>
      <c r="G25" s="214"/>
      <c r="H25" s="209" t="s">
        <v>336</v>
      </c>
      <c r="I25" s="210"/>
      <c r="J25" s="210"/>
      <c r="K25" s="211"/>
      <c r="L25" s="209" t="s">
        <v>336</v>
      </c>
      <c r="M25" s="210"/>
      <c r="N25" s="210"/>
      <c r="O25" s="211"/>
      <c r="P25" s="87" t="s">
        <v>128</v>
      </c>
    </row>
    <row r="26" spans="1:16" ht="70.5" customHeight="1" x14ac:dyDescent="0.25">
      <c r="A26" s="93" t="s">
        <v>54</v>
      </c>
      <c r="B26" s="212" t="s">
        <v>141</v>
      </c>
      <c r="C26" s="213"/>
      <c r="D26" s="213"/>
      <c r="E26" s="213"/>
      <c r="F26" s="213"/>
      <c r="G26" s="214"/>
      <c r="H26" s="209" t="s">
        <v>142</v>
      </c>
      <c r="I26" s="210"/>
      <c r="J26" s="210"/>
      <c r="K26" s="211"/>
      <c r="L26" s="209" t="s">
        <v>142</v>
      </c>
      <c r="M26" s="210"/>
      <c r="N26" s="210"/>
      <c r="O26" s="211"/>
      <c r="P26" s="87" t="s">
        <v>128</v>
      </c>
    </row>
    <row r="27" spans="1:16" ht="72" customHeight="1" x14ac:dyDescent="0.25">
      <c r="A27" s="93" t="s">
        <v>55</v>
      </c>
      <c r="B27" s="209" t="s">
        <v>338</v>
      </c>
      <c r="C27" s="210"/>
      <c r="D27" s="210"/>
      <c r="E27" s="210"/>
      <c r="F27" s="210"/>
      <c r="G27" s="211"/>
      <c r="H27" s="206" t="s">
        <v>339</v>
      </c>
      <c r="I27" s="206"/>
      <c r="J27" s="206"/>
      <c r="K27" s="206"/>
      <c r="L27" s="206" t="s">
        <v>339</v>
      </c>
      <c r="M27" s="206"/>
      <c r="N27" s="206"/>
      <c r="O27" s="206"/>
      <c r="P27" s="87" t="s">
        <v>128</v>
      </c>
    </row>
    <row r="28" spans="1:16" ht="12.75" customHeight="1" x14ac:dyDescent="0.25">
      <c r="B28" s="89"/>
      <c r="C28" s="89"/>
      <c r="D28" s="89"/>
      <c r="E28" s="89"/>
      <c r="F28" s="89"/>
      <c r="G28" s="89"/>
      <c r="H28" s="89"/>
    </row>
    <row r="29" spans="1:16" x14ac:dyDescent="0.25">
      <c r="B29" s="89"/>
      <c r="C29" s="89"/>
      <c r="D29" s="89"/>
      <c r="E29" s="89"/>
      <c r="F29" s="89"/>
      <c r="G29" s="89"/>
      <c r="H29" s="89"/>
    </row>
  </sheetData>
  <mergeCells count="28">
    <mergeCell ref="B27:G27"/>
    <mergeCell ref="H27:K27"/>
    <mergeCell ref="L27:O27"/>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P22:P27">
    <cfRule type="cellIs" dxfId="15" priority="1" operator="equal">
      <formula>"Nok"</formula>
    </cfRule>
    <cfRule type="cellIs" dxfId="14" priority="2" operator="equal">
      <formula>"Ok"</formula>
    </cfRule>
  </conditionalFormatting>
  <conditionalFormatting sqref="B9:B10">
    <cfRule type="cellIs" dxfId="13" priority="3" operator="equal">
      <formula>"Nok"</formula>
    </cfRule>
    <cfRule type="cellIs" dxfId="12" priority="4" operator="equal">
      <formula>"Ok"</formula>
    </cfRule>
  </conditionalFormatting>
  <dataValidations count="3">
    <dataValidation type="list" allowBlank="1" showInputMessage="1" showErrorMessage="1" sqref="P22:P27" xr:uid="{9BE92EFD-9BC4-47B6-9D24-C505DCC66A85}">
      <formula1>"Ok, Nok, Not run, ,"</formula1>
    </dataValidation>
    <dataValidation type="list" allowBlank="1" showInputMessage="1" showErrorMessage="1" sqref="B5" xr:uid="{844C0C09-8B16-47F4-A039-8EAFE19B7D82}">
      <formula1>"Nominal, Robustness, Endurance, Qualification"</formula1>
    </dataValidation>
    <dataValidation type="list" allowBlank="1" showInputMessage="1" showErrorMessage="1" sqref="B9" xr:uid="{9CF082AD-F010-4093-B09D-20E21EFDF72A}">
      <formula1>"Ok, Nok, Not run, NA"</formula1>
    </dataValidation>
  </dataValidations>
  <pageMargins left="0.7" right="0.7" top="0.75" bottom="0.75" header="0.3" footer="0.3"/>
  <pageSetup orientation="portrait" r:id="rId1"/>
  <headerFooter>
    <oddFooter>&amp;LTBD ver 1&amp;R&amp;P</oddFooter>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377347-539D-4CA3-9B04-9629E062CAAC}">
  <dimension ref="A1:P27"/>
  <sheetViews>
    <sheetView workbookViewId="0">
      <selection activeCell="G27" sqref="A1:XFD1048576"/>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313</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312</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127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150</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63" customHeight="1" x14ac:dyDescent="0.25">
      <c r="A25" s="93" t="s">
        <v>53</v>
      </c>
      <c r="B25" s="209" t="s">
        <v>314</v>
      </c>
      <c r="C25" s="210"/>
      <c r="D25" s="210"/>
      <c r="E25" s="210"/>
      <c r="F25" s="210"/>
      <c r="G25" s="211"/>
      <c r="H25" s="206" t="s">
        <v>315</v>
      </c>
      <c r="I25" s="206"/>
      <c r="J25" s="206"/>
      <c r="K25" s="206"/>
      <c r="L25" s="206" t="s">
        <v>315</v>
      </c>
      <c r="M25" s="206"/>
      <c r="N25" s="206"/>
      <c r="O25" s="206"/>
      <c r="P25" s="87" t="s">
        <v>128</v>
      </c>
    </row>
    <row r="26" spans="1:16" x14ac:dyDescent="0.25">
      <c r="B26" s="89"/>
      <c r="C26" s="89"/>
      <c r="D26" s="89"/>
      <c r="E26" s="89"/>
      <c r="F26" s="89"/>
      <c r="G26" s="89"/>
      <c r="H26" s="89"/>
    </row>
    <row r="27" spans="1:16" x14ac:dyDescent="0.25">
      <c r="B27" s="89"/>
      <c r="C27" s="89"/>
      <c r="D27" s="89"/>
      <c r="E27" s="89"/>
      <c r="F27" s="89"/>
      <c r="G27" s="89"/>
      <c r="H27" s="89"/>
    </row>
  </sheetData>
  <mergeCells count="22">
    <mergeCell ref="B25:G25"/>
    <mergeCell ref="H25:K25"/>
    <mergeCell ref="L25:O25"/>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11" priority="3" operator="equal">
      <formula>"Nok"</formula>
    </cfRule>
    <cfRule type="cellIs" dxfId="10" priority="4" operator="equal">
      <formula>"Ok"</formula>
    </cfRule>
  </conditionalFormatting>
  <conditionalFormatting sqref="P22:P25">
    <cfRule type="cellIs" dxfId="9" priority="1" operator="equal">
      <formula>"Nok"</formula>
    </cfRule>
    <cfRule type="cellIs" dxfId="8" priority="2" operator="equal">
      <formula>"Ok"</formula>
    </cfRule>
  </conditionalFormatting>
  <dataValidations count="3">
    <dataValidation type="list" allowBlank="1" showInputMessage="1" showErrorMessage="1" sqref="P22:P25" xr:uid="{A27B2A57-D6AF-425B-AB6C-2253D139B006}">
      <formula1>"Ok, Nok, Not run, ,"</formula1>
    </dataValidation>
    <dataValidation type="list" allowBlank="1" showInputMessage="1" showErrorMessage="1" sqref="B9" xr:uid="{1EC2EE8A-D4C8-4024-B421-C7B87F7D61D8}">
      <formula1>"Ok, Nok, Not run, NA"</formula1>
    </dataValidation>
    <dataValidation type="list" allowBlank="1" showInputMessage="1" showErrorMessage="1" sqref="B5" xr:uid="{BBD2474B-E478-47C9-A203-DE6535160B54}">
      <formula1>"Nominal, Robustness, Endurance, Qualification"</formula1>
    </dataValidation>
  </dataValidations>
  <pageMargins left="0.7" right="0.7" top="0.75" bottom="0.75" header="0.3" footer="0.3"/>
  <pageSetup orientation="portrait" r:id="rId1"/>
  <headerFooter>
    <oddFooter>&amp;LTBD ver 1&amp;R&amp;P</oddFooter>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EC8DF-5753-49BD-90BB-4FAEC7B9C2E2}">
  <dimension ref="A1:P29"/>
  <sheetViews>
    <sheetView workbookViewId="0">
      <selection activeCell="H25" sqref="H25:K25"/>
    </sheetView>
  </sheetViews>
  <sheetFormatPr defaultColWidth="9.109375" defaultRowHeight="13.2" x14ac:dyDescent="0.25"/>
  <cols>
    <col min="1" max="1" width="20.109375" style="89" customWidth="1"/>
    <col min="2" max="2" width="18.44140625" style="85" customWidth="1"/>
    <col min="3" max="6" width="9.109375" style="85"/>
    <col min="7" max="7" width="46.4414062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316</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312</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164</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151</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247</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28.5" customHeight="1"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ht="12.75" customHeight="1"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ht="12.75" customHeight="1"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89.25" customHeight="1" x14ac:dyDescent="0.25">
      <c r="A25" s="93" t="s">
        <v>166</v>
      </c>
      <c r="B25" s="212" t="s">
        <v>333</v>
      </c>
      <c r="C25" s="213"/>
      <c r="D25" s="213"/>
      <c r="E25" s="213"/>
      <c r="F25" s="213"/>
      <c r="G25" s="214"/>
      <c r="H25" s="209" t="s">
        <v>329</v>
      </c>
      <c r="I25" s="210"/>
      <c r="J25" s="210"/>
      <c r="K25" s="211"/>
      <c r="L25" s="209" t="s">
        <v>329</v>
      </c>
      <c r="M25" s="210"/>
      <c r="N25" s="210"/>
      <c r="O25" s="211"/>
      <c r="P25" s="87" t="s">
        <v>128</v>
      </c>
    </row>
    <row r="26" spans="1:16" ht="70.5" customHeight="1" x14ac:dyDescent="0.25">
      <c r="A26" s="93" t="s">
        <v>54</v>
      </c>
      <c r="B26" s="212" t="s">
        <v>141</v>
      </c>
      <c r="C26" s="213"/>
      <c r="D26" s="213"/>
      <c r="E26" s="213"/>
      <c r="F26" s="213"/>
      <c r="G26" s="214"/>
      <c r="H26" s="209" t="s">
        <v>142</v>
      </c>
      <c r="I26" s="210"/>
      <c r="J26" s="210"/>
      <c r="K26" s="211"/>
      <c r="L26" s="209" t="s">
        <v>142</v>
      </c>
      <c r="M26" s="210"/>
      <c r="N26" s="210"/>
      <c r="O26" s="211"/>
      <c r="P26" s="87" t="s">
        <v>128</v>
      </c>
    </row>
    <row r="27" spans="1:16" ht="72" customHeight="1" x14ac:dyDescent="0.25">
      <c r="A27" s="93" t="s">
        <v>55</v>
      </c>
      <c r="B27" s="209" t="s">
        <v>334</v>
      </c>
      <c r="C27" s="210"/>
      <c r="D27" s="210"/>
      <c r="E27" s="210"/>
      <c r="F27" s="210"/>
      <c r="G27" s="211"/>
      <c r="H27" s="206" t="s">
        <v>335</v>
      </c>
      <c r="I27" s="206"/>
      <c r="J27" s="206"/>
      <c r="K27" s="206"/>
      <c r="L27" s="206" t="s">
        <v>335</v>
      </c>
      <c r="M27" s="206"/>
      <c r="N27" s="206"/>
      <c r="O27" s="206"/>
      <c r="P27" s="87" t="s">
        <v>128</v>
      </c>
    </row>
    <row r="28" spans="1:16" ht="12.75" customHeight="1" x14ac:dyDescent="0.25">
      <c r="B28" s="89"/>
      <c r="C28" s="89"/>
      <c r="D28" s="89"/>
      <c r="E28" s="89"/>
      <c r="F28" s="89"/>
      <c r="G28" s="89"/>
      <c r="H28" s="89"/>
    </row>
    <row r="29" spans="1:16" x14ac:dyDescent="0.25">
      <c r="B29" s="89"/>
      <c r="C29" s="89"/>
      <c r="D29" s="89"/>
      <c r="E29" s="89"/>
      <c r="F29" s="89"/>
      <c r="G29" s="89"/>
      <c r="H29" s="89"/>
    </row>
  </sheetData>
  <mergeCells count="28">
    <mergeCell ref="B27:G27"/>
    <mergeCell ref="H27:K27"/>
    <mergeCell ref="L27:O27"/>
    <mergeCell ref="B25:G25"/>
    <mergeCell ref="H25:K25"/>
    <mergeCell ref="L25:O25"/>
    <mergeCell ref="B26:G26"/>
    <mergeCell ref="H26:K26"/>
    <mergeCell ref="L26:O26"/>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P22:P27">
    <cfRule type="cellIs" dxfId="7" priority="1" operator="equal">
      <formula>"Nok"</formula>
    </cfRule>
    <cfRule type="cellIs" dxfId="6" priority="2" operator="equal">
      <formula>"Ok"</formula>
    </cfRule>
  </conditionalFormatting>
  <conditionalFormatting sqref="B9:B10">
    <cfRule type="cellIs" dxfId="5" priority="3" operator="equal">
      <formula>"Nok"</formula>
    </cfRule>
    <cfRule type="cellIs" dxfId="4" priority="4" operator="equal">
      <formula>"Ok"</formula>
    </cfRule>
  </conditionalFormatting>
  <dataValidations count="3">
    <dataValidation type="list" allowBlank="1" showInputMessage="1" showErrorMessage="1" sqref="B9" xr:uid="{C9B18D87-59AD-4721-85F9-4923D7FB8E8F}">
      <formula1>"Ok, Nok, Not run, NA"</formula1>
    </dataValidation>
    <dataValidation type="list" allowBlank="1" showInputMessage="1" showErrorMessage="1" sqref="B5" xr:uid="{993EE084-57C4-477F-834A-31351CFCB5B4}">
      <formula1>"Nominal, Robustness, Endurance, Qualification"</formula1>
    </dataValidation>
    <dataValidation type="list" allowBlank="1" showInputMessage="1" showErrorMessage="1" sqref="P22:P27" xr:uid="{9EF3A013-3E60-463E-A3B3-7084716E6394}">
      <formula1>"Ok, Nok, Not run, ,"</formula1>
    </dataValidation>
  </dataValidations>
  <pageMargins left="0.7" right="0.7" top="0.75" bottom="0.75" header="0.3" footer="0.3"/>
  <pageSetup orientation="portrait" r:id="rId1"/>
  <headerFooter>
    <oddFooter>&amp;LTBD ver 1&amp;R&amp;P</oddFooter>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B05E5-F37D-44EB-910D-0D3A10DC25CF}">
  <dimension ref="A1:P27"/>
  <sheetViews>
    <sheetView workbookViewId="0">
      <selection activeCell="L25" sqref="L25:O25"/>
    </sheetView>
  </sheetViews>
  <sheetFormatPr defaultColWidth="9.109375" defaultRowHeight="13.2" x14ac:dyDescent="0.25"/>
  <cols>
    <col min="1" max="1" width="20.109375" style="89" customWidth="1"/>
    <col min="2" max="2" width="18.44140625" style="85" customWidth="1"/>
    <col min="3" max="6" width="9.109375" style="85"/>
    <col min="7" max="7" width="26.5546875" style="85" customWidth="1"/>
    <col min="8" max="10" width="9.5546875" style="85" customWidth="1"/>
    <col min="11" max="11" width="37.88671875" style="85" customWidth="1"/>
    <col min="12" max="14" width="9.5546875" style="85" customWidth="1"/>
    <col min="15" max="15" width="41.88671875" style="85" customWidth="1"/>
    <col min="16" max="16384" width="9.109375" style="85"/>
  </cols>
  <sheetData>
    <row r="1" spans="1:15" ht="13.8" thickBot="1" x14ac:dyDescent="0.3">
      <c r="A1" s="90" t="s">
        <v>41</v>
      </c>
      <c r="B1" s="197" t="s">
        <v>341</v>
      </c>
      <c r="C1" s="198"/>
      <c r="D1" s="198"/>
      <c r="E1" s="198"/>
      <c r="F1" s="198"/>
      <c r="G1" s="199"/>
      <c r="H1" s="60"/>
      <c r="I1" s="60"/>
      <c r="J1" s="60"/>
      <c r="K1" s="60"/>
      <c r="L1" s="60"/>
      <c r="M1" s="60"/>
      <c r="N1" s="60"/>
      <c r="O1" s="60"/>
    </row>
    <row r="2" spans="1:15" ht="13.8" thickBot="1" x14ac:dyDescent="0.3">
      <c r="A2" s="58"/>
      <c r="B2" s="59"/>
      <c r="C2" s="59"/>
      <c r="D2" s="60"/>
      <c r="E2" s="60"/>
      <c r="F2" s="60"/>
      <c r="G2" s="60"/>
      <c r="H2" s="60"/>
      <c r="I2" s="60"/>
      <c r="J2" s="60"/>
      <c r="K2" s="60"/>
      <c r="L2" s="60"/>
      <c r="M2" s="60"/>
      <c r="N2" s="60"/>
      <c r="O2" s="60"/>
    </row>
    <row r="3" spans="1:15" ht="27" thickBot="1" x14ac:dyDescent="0.3">
      <c r="A3" s="91" t="s">
        <v>46</v>
      </c>
      <c r="B3" s="200" t="s">
        <v>340</v>
      </c>
      <c r="C3" s="201"/>
      <c r="D3" s="201"/>
      <c r="E3" s="201"/>
      <c r="F3" s="201"/>
      <c r="G3" s="202"/>
      <c r="H3" s="60"/>
      <c r="I3" s="60"/>
      <c r="J3" s="60"/>
      <c r="K3" s="60"/>
      <c r="L3" s="60"/>
      <c r="M3" s="60"/>
      <c r="N3" s="60"/>
      <c r="O3" s="60"/>
    </row>
    <row r="4" spans="1:15" ht="13.8" thickBot="1" x14ac:dyDescent="0.3">
      <c r="A4" s="58"/>
      <c r="B4" s="59"/>
      <c r="C4" s="59"/>
      <c r="D4" s="60"/>
      <c r="E4" s="60"/>
      <c r="F4" s="60"/>
      <c r="G4" s="60"/>
      <c r="H4" s="60"/>
      <c r="I4" s="60"/>
      <c r="J4" s="60"/>
      <c r="K4" s="60"/>
      <c r="L4" s="60"/>
      <c r="M4" s="60"/>
      <c r="N4" s="60"/>
      <c r="O4" s="60"/>
    </row>
    <row r="5" spans="1:15" ht="13.8" thickBot="1" x14ac:dyDescent="0.3">
      <c r="A5" s="90" t="s">
        <v>110</v>
      </c>
      <c r="B5" s="63" t="s">
        <v>126</v>
      </c>
      <c r="C5" s="59"/>
      <c r="D5" s="60"/>
      <c r="E5" s="60"/>
      <c r="F5" s="60"/>
      <c r="G5" s="60"/>
      <c r="H5" s="60"/>
      <c r="I5" s="60"/>
      <c r="J5" s="60"/>
      <c r="K5" s="60"/>
      <c r="L5" s="60"/>
      <c r="M5" s="60"/>
      <c r="N5" s="60"/>
      <c r="O5" s="60"/>
    </row>
    <row r="6" spans="1:15" ht="13.8" thickBot="1" x14ac:dyDescent="0.3">
      <c r="A6" s="58"/>
      <c r="B6" s="59"/>
      <c r="C6" s="59"/>
      <c r="D6" s="60"/>
      <c r="E6" s="60"/>
      <c r="F6" s="60"/>
      <c r="G6" s="60"/>
      <c r="H6" s="60"/>
      <c r="I6" s="60"/>
      <c r="J6" s="60"/>
      <c r="K6" s="60"/>
      <c r="L6" s="60"/>
      <c r="M6" s="60"/>
      <c r="N6" s="60"/>
      <c r="O6" s="60"/>
    </row>
    <row r="7" spans="1:15" ht="13.8" thickBot="1" x14ac:dyDescent="0.3">
      <c r="A7" s="90" t="s">
        <v>42</v>
      </c>
      <c r="B7" s="200" t="s">
        <v>127</v>
      </c>
      <c r="C7" s="201"/>
      <c r="D7" s="201"/>
      <c r="E7" s="201"/>
      <c r="F7" s="201"/>
      <c r="G7" s="202"/>
      <c r="H7" s="60"/>
      <c r="I7" s="60"/>
      <c r="J7" s="60"/>
      <c r="K7" s="60"/>
      <c r="L7" s="60"/>
      <c r="M7" s="60"/>
      <c r="N7" s="60"/>
      <c r="O7" s="60"/>
    </row>
    <row r="8" spans="1:15" ht="13.8" thickBot="1" x14ac:dyDescent="0.3">
      <c r="A8" s="62"/>
      <c r="B8" s="61"/>
      <c r="C8" s="61"/>
      <c r="D8" s="61"/>
      <c r="E8" s="61"/>
      <c r="F8" s="61"/>
      <c r="G8" s="61"/>
      <c r="H8" s="60"/>
      <c r="I8" s="60"/>
      <c r="J8" s="60"/>
      <c r="K8" s="60"/>
      <c r="L8" s="60"/>
      <c r="M8" s="60"/>
      <c r="N8" s="60"/>
      <c r="O8" s="60"/>
    </row>
    <row r="9" spans="1:15" ht="13.8" thickBot="1" x14ac:dyDescent="0.3">
      <c r="A9" s="90" t="s">
        <v>43</v>
      </c>
      <c r="B9" s="95" t="s">
        <v>128</v>
      </c>
      <c r="C9" s="59"/>
      <c r="D9" s="60"/>
      <c r="E9" s="60"/>
      <c r="F9" s="60"/>
      <c r="G9" s="60"/>
      <c r="H9" s="60"/>
      <c r="I9" s="60"/>
      <c r="J9" s="60"/>
      <c r="K9" s="60"/>
      <c r="L9" s="60"/>
      <c r="M9" s="60"/>
      <c r="N9" s="60"/>
      <c r="O9" s="60"/>
    </row>
    <row r="10" spans="1:15" ht="13.8" thickBot="1" x14ac:dyDescent="0.3">
      <c r="A10" s="62"/>
      <c r="B10" s="86"/>
      <c r="C10" s="59"/>
      <c r="D10" s="60"/>
      <c r="E10" s="60"/>
      <c r="F10" s="60"/>
      <c r="G10" s="60"/>
      <c r="H10" s="60"/>
      <c r="I10" s="60"/>
      <c r="J10" s="60"/>
      <c r="K10" s="60"/>
      <c r="L10" s="60"/>
      <c r="M10" s="60"/>
      <c r="N10" s="60"/>
      <c r="O10" s="60"/>
    </row>
    <row r="11" spans="1:15" ht="12" customHeight="1" x14ac:dyDescent="0.25">
      <c r="A11" s="207" t="s">
        <v>112</v>
      </c>
      <c r="B11" s="215" t="s">
        <v>150</v>
      </c>
      <c r="C11" s="216"/>
      <c r="D11" s="216"/>
      <c r="E11" s="216"/>
      <c r="F11" s="216"/>
      <c r="G11" s="217"/>
      <c r="H11" s="60"/>
      <c r="I11" s="60"/>
      <c r="J11" s="60"/>
      <c r="K11" s="60"/>
      <c r="L11" s="60"/>
      <c r="M11" s="60"/>
      <c r="N11" s="60"/>
      <c r="O11" s="60"/>
    </row>
    <row r="12" spans="1:15" x14ac:dyDescent="0.25">
      <c r="A12" s="208"/>
      <c r="B12" s="218"/>
      <c r="C12" s="219"/>
      <c r="D12" s="219"/>
      <c r="E12" s="219"/>
      <c r="F12" s="219"/>
      <c r="G12" s="220"/>
      <c r="H12" s="60"/>
      <c r="I12" s="60"/>
      <c r="J12" s="60"/>
      <c r="K12" s="60"/>
      <c r="L12" s="60"/>
      <c r="M12" s="60"/>
      <c r="N12" s="60"/>
      <c r="O12" s="60"/>
    </row>
    <row r="13" spans="1:15" x14ac:dyDescent="0.25">
      <c r="A13" s="208"/>
      <c r="B13" s="218"/>
      <c r="C13" s="219"/>
      <c r="D13" s="219"/>
      <c r="E13" s="219"/>
      <c r="F13" s="219"/>
      <c r="G13" s="220"/>
      <c r="H13" s="58"/>
      <c r="I13" s="60"/>
      <c r="J13" s="60"/>
      <c r="K13" s="60"/>
      <c r="L13" s="60"/>
      <c r="M13" s="60"/>
      <c r="N13" s="60"/>
      <c r="O13" s="60"/>
    </row>
    <row r="14" spans="1:15" ht="13.8" thickBot="1" x14ac:dyDescent="0.3">
      <c r="A14" s="208"/>
      <c r="B14" s="221"/>
      <c r="C14" s="222"/>
      <c r="D14" s="222"/>
      <c r="E14" s="222"/>
      <c r="F14" s="222"/>
      <c r="G14" s="223"/>
      <c r="H14" s="64"/>
      <c r="I14" s="60"/>
      <c r="J14" s="60"/>
      <c r="K14" s="60"/>
      <c r="L14" s="60"/>
      <c r="M14" s="60"/>
      <c r="N14" s="60"/>
      <c r="O14" s="60"/>
    </row>
    <row r="15" spans="1:15" ht="13.8" thickBot="1" x14ac:dyDescent="0.3">
      <c r="A15" s="58"/>
      <c r="B15" s="58"/>
      <c r="C15" s="58"/>
      <c r="D15" s="58"/>
      <c r="E15" s="58"/>
      <c r="F15" s="58"/>
      <c r="G15" s="58"/>
      <c r="H15" s="64"/>
      <c r="I15" s="60"/>
      <c r="J15" s="60"/>
      <c r="K15" s="60"/>
      <c r="L15" s="60"/>
      <c r="M15" s="60"/>
      <c r="N15" s="60"/>
      <c r="O15" s="60"/>
    </row>
    <row r="16" spans="1:15" x14ac:dyDescent="0.25">
      <c r="A16" s="207" t="s">
        <v>44</v>
      </c>
      <c r="B16" s="215" t="s">
        <v>149</v>
      </c>
      <c r="C16" s="216"/>
      <c r="D16" s="216"/>
      <c r="E16" s="216"/>
      <c r="F16" s="216"/>
      <c r="G16" s="217"/>
      <c r="H16" s="60"/>
      <c r="I16" s="60"/>
      <c r="J16" s="60"/>
      <c r="K16" s="60"/>
      <c r="L16" s="60"/>
      <c r="M16" s="60"/>
      <c r="N16" s="60"/>
      <c r="O16" s="60"/>
    </row>
    <row r="17" spans="1:16" x14ac:dyDescent="0.25">
      <c r="A17" s="208"/>
      <c r="B17" s="218"/>
      <c r="C17" s="219"/>
      <c r="D17" s="219"/>
      <c r="E17" s="219"/>
      <c r="F17" s="219"/>
      <c r="G17" s="220"/>
      <c r="H17" s="60"/>
      <c r="I17" s="60"/>
      <c r="J17" s="60"/>
      <c r="K17" s="60"/>
      <c r="L17" s="60"/>
      <c r="M17" s="60"/>
      <c r="N17" s="60"/>
      <c r="O17" s="60"/>
    </row>
    <row r="18" spans="1:16" x14ac:dyDescent="0.25">
      <c r="A18" s="208"/>
      <c r="B18" s="218"/>
      <c r="C18" s="219"/>
      <c r="D18" s="219"/>
      <c r="E18" s="219"/>
      <c r="F18" s="219"/>
      <c r="G18" s="220"/>
      <c r="H18" s="58"/>
      <c r="I18" s="60"/>
      <c r="J18" s="60"/>
      <c r="K18" s="60"/>
      <c r="L18" s="60"/>
      <c r="M18" s="60"/>
      <c r="N18" s="60"/>
      <c r="O18" s="60"/>
    </row>
    <row r="19" spans="1:16" ht="13.8" thickBot="1" x14ac:dyDescent="0.3">
      <c r="A19" s="208"/>
      <c r="B19" s="221"/>
      <c r="C19" s="222"/>
      <c r="D19" s="222"/>
      <c r="E19" s="222"/>
      <c r="F19" s="222"/>
      <c r="G19" s="223"/>
      <c r="H19" s="64"/>
      <c r="I19" s="60"/>
      <c r="J19" s="60"/>
      <c r="K19" s="60"/>
      <c r="L19" s="60"/>
      <c r="M19" s="60"/>
      <c r="N19" s="60"/>
      <c r="O19" s="60"/>
    </row>
    <row r="20" spans="1:16" ht="13.8" thickBot="1" x14ac:dyDescent="0.3">
      <c r="A20" s="58"/>
      <c r="B20" s="58"/>
      <c r="C20" s="58"/>
      <c r="D20" s="58"/>
      <c r="E20" s="58"/>
      <c r="F20" s="58"/>
      <c r="G20" s="58"/>
      <c r="H20" s="64"/>
      <c r="I20" s="60"/>
      <c r="J20" s="60"/>
      <c r="K20" s="60"/>
      <c r="L20" s="60"/>
      <c r="M20" s="60"/>
      <c r="N20" s="60"/>
      <c r="O20" s="60"/>
    </row>
    <row r="21" spans="1:16" ht="12.75" customHeight="1" x14ac:dyDescent="0.25">
      <c r="A21" s="203" t="s">
        <v>48</v>
      </c>
      <c r="B21" s="204"/>
      <c r="C21" s="204"/>
      <c r="D21" s="204"/>
      <c r="E21" s="204"/>
      <c r="F21" s="204"/>
      <c r="G21" s="205"/>
      <c r="H21" s="203" t="s">
        <v>49</v>
      </c>
      <c r="I21" s="204"/>
      <c r="J21" s="204"/>
      <c r="K21" s="205"/>
      <c r="L21" s="203" t="s">
        <v>60</v>
      </c>
      <c r="M21" s="204"/>
      <c r="N21" s="204"/>
      <c r="O21" s="205"/>
      <c r="P21" s="92" t="s">
        <v>47</v>
      </c>
    </row>
    <row r="22" spans="1:16" x14ac:dyDescent="0.25">
      <c r="A22" s="93" t="s">
        <v>50</v>
      </c>
      <c r="B22" s="209" t="s">
        <v>129</v>
      </c>
      <c r="C22" s="210"/>
      <c r="D22" s="210"/>
      <c r="E22" s="210"/>
      <c r="F22" s="210"/>
      <c r="G22" s="211"/>
      <c r="H22" s="206" t="s">
        <v>130</v>
      </c>
      <c r="I22" s="206"/>
      <c r="J22" s="206"/>
      <c r="K22" s="206"/>
      <c r="L22" s="206" t="s">
        <v>130</v>
      </c>
      <c r="M22" s="206"/>
      <c r="N22" s="206"/>
      <c r="O22" s="206"/>
      <c r="P22" s="87" t="s">
        <v>128</v>
      </c>
    </row>
    <row r="23" spans="1:16" x14ac:dyDescent="0.25">
      <c r="A23" s="93" t="s">
        <v>51</v>
      </c>
      <c r="B23" s="209" t="s">
        <v>131</v>
      </c>
      <c r="C23" s="210"/>
      <c r="D23" s="210"/>
      <c r="E23" s="210"/>
      <c r="F23" s="210"/>
      <c r="G23" s="211"/>
      <c r="H23" s="206" t="s">
        <v>132</v>
      </c>
      <c r="I23" s="206"/>
      <c r="J23" s="206"/>
      <c r="K23" s="206"/>
      <c r="L23" s="206" t="s">
        <v>132</v>
      </c>
      <c r="M23" s="206"/>
      <c r="N23" s="206"/>
      <c r="O23" s="206"/>
      <c r="P23" s="87" t="s">
        <v>128</v>
      </c>
    </row>
    <row r="24" spans="1:16" ht="13.5" customHeight="1" x14ac:dyDescent="0.25">
      <c r="A24" s="93" t="s">
        <v>52</v>
      </c>
      <c r="B24" s="212" t="s">
        <v>133</v>
      </c>
      <c r="C24" s="213"/>
      <c r="D24" s="213"/>
      <c r="E24" s="213"/>
      <c r="F24" s="213"/>
      <c r="G24" s="214"/>
      <c r="H24" s="206" t="s">
        <v>134</v>
      </c>
      <c r="I24" s="206"/>
      <c r="J24" s="206"/>
      <c r="K24" s="206"/>
      <c r="L24" s="206" t="s">
        <v>134</v>
      </c>
      <c r="M24" s="206"/>
      <c r="N24" s="206"/>
      <c r="O24" s="206"/>
      <c r="P24" s="87" t="s">
        <v>128</v>
      </c>
    </row>
    <row r="25" spans="1:16" ht="63" customHeight="1" x14ac:dyDescent="0.25">
      <c r="A25" s="93" t="s">
        <v>53</v>
      </c>
      <c r="B25" s="209" t="s">
        <v>342</v>
      </c>
      <c r="C25" s="210"/>
      <c r="D25" s="210"/>
      <c r="E25" s="210"/>
      <c r="F25" s="210"/>
      <c r="G25" s="211"/>
      <c r="H25" s="206" t="s">
        <v>343</v>
      </c>
      <c r="I25" s="206"/>
      <c r="J25" s="206"/>
      <c r="K25" s="206"/>
      <c r="L25" s="206" t="s">
        <v>343</v>
      </c>
      <c r="M25" s="206"/>
      <c r="N25" s="206"/>
      <c r="O25" s="206"/>
      <c r="P25" s="87" t="s">
        <v>128</v>
      </c>
    </row>
    <row r="26" spans="1:16" x14ac:dyDescent="0.25">
      <c r="B26" s="89"/>
      <c r="C26" s="89"/>
      <c r="D26" s="89"/>
      <c r="E26" s="89"/>
      <c r="F26" s="89"/>
      <c r="G26" s="89"/>
      <c r="H26" s="89"/>
    </row>
    <row r="27" spans="1:16" x14ac:dyDescent="0.25">
      <c r="B27" s="89"/>
      <c r="C27" s="89"/>
      <c r="D27" s="89"/>
      <c r="E27" s="89"/>
      <c r="F27" s="89"/>
      <c r="G27" s="89"/>
      <c r="H27" s="89"/>
    </row>
  </sheetData>
  <mergeCells count="22">
    <mergeCell ref="B25:G25"/>
    <mergeCell ref="H25:K25"/>
    <mergeCell ref="L25:O25"/>
    <mergeCell ref="B23:G23"/>
    <mergeCell ref="H23:K23"/>
    <mergeCell ref="L23:O23"/>
    <mergeCell ref="B24:G24"/>
    <mergeCell ref="H24:K24"/>
    <mergeCell ref="L24:O24"/>
    <mergeCell ref="A21:G21"/>
    <mergeCell ref="H21:K21"/>
    <mergeCell ref="L21:O21"/>
    <mergeCell ref="B22:G22"/>
    <mergeCell ref="H22:K22"/>
    <mergeCell ref="L22:O22"/>
    <mergeCell ref="A16:A19"/>
    <mergeCell ref="B16:G19"/>
    <mergeCell ref="B1:G1"/>
    <mergeCell ref="B3:G3"/>
    <mergeCell ref="B7:G7"/>
    <mergeCell ref="A11:A14"/>
    <mergeCell ref="B11:G14"/>
  </mergeCells>
  <conditionalFormatting sqref="B9:B10">
    <cfRule type="cellIs" dxfId="3" priority="3" operator="equal">
      <formula>"Nok"</formula>
    </cfRule>
    <cfRule type="cellIs" dxfId="2" priority="4" operator="equal">
      <formula>"Ok"</formula>
    </cfRule>
  </conditionalFormatting>
  <conditionalFormatting sqref="P22:P25">
    <cfRule type="cellIs" dxfId="1" priority="1" operator="equal">
      <formula>"Nok"</formula>
    </cfRule>
    <cfRule type="cellIs" dxfId="0" priority="2" operator="equal">
      <formula>"Ok"</formula>
    </cfRule>
  </conditionalFormatting>
  <dataValidations count="3">
    <dataValidation type="list" allowBlank="1" showInputMessage="1" showErrorMessage="1" sqref="B5" xr:uid="{1D49707E-2698-47ED-AF4D-C0D2A355BC34}">
      <formula1>"Nominal, Robustness, Endurance, Qualification"</formula1>
    </dataValidation>
    <dataValidation type="list" allowBlank="1" showInputMessage="1" showErrorMessage="1" sqref="B9" xr:uid="{46C45269-326C-4A28-8C3E-300F722F4BAB}">
      <formula1>"Ok, Nok, Not run, NA"</formula1>
    </dataValidation>
    <dataValidation type="list" allowBlank="1" showInputMessage="1" showErrorMessage="1" sqref="P22:P25" xr:uid="{7D1DB3E5-3E52-4A0F-A367-FCA7E7AF59DB}">
      <formula1>"Ok, Nok, Not run, ,"</formula1>
    </dataValidation>
  </dataValidations>
  <pageMargins left="0.7" right="0.7" top="0.75" bottom="0.75" header="0.3" footer="0.3"/>
  <pageSetup orientation="portrait" r:id="rId1"/>
  <headerFooter>
    <oddFooter>&amp;LTBD ver 1&amp;R&amp;P</oddFooter>
  </headerFooter>
  <drawing r:id="rId2"/>
  <legacyDrawing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B2:F6"/>
  <sheetViews>
    <sheetView workbookViewId="0">
      <selection activeCell="C4" sqref="C4"/>
    </sheetView>
  </sheetViews>
  <sheetFormatPr defaultColWidth="9.109375" defaultRowHeight="14.4" x14ac:dyDescent="0.3"/>
  <cols>
    <col min="1" max="1" width="4.33203125" style="65" customWidth="1"/>
    <col min="2" max="2" width="24.88671875" style="65" customWidth="1"/>
    <col min="3" max="3" width="4.5546875" style="65" customWidth="1"/>
    <col min="4" max="4" width="4.44140625" style="65" customWidth="1"/>
    <col min="5" max="5" width="29.88671875" style="65" bestFit="1" customWidth="1"/>
    <col min="6" max="6" width="7.6640625" style="65" bestFit="1" customWidth="1"/>
    <col min="7" max="16384" width="9.109375" style="65"/>
  </cols>
  <sheetData>
    <row r="2" spans="2:6" x14ac:dyDescent="0.3">
      <c r="B2" s="66" t="s">
        <v>61</v>
      </c>
      <c r="C2" s="66">
        <f ca="1">COUNTIF('Tests Synthesis'!K3:K47, "Ok")</f>
        <v>22</v>
      </c>
      <c r="E2" s="67" t="s">
        <v>62</v>
      </c>
      <c r="F2" s="68">
        <f ca="1">IF(C6=0,0,C2/C6)</f>
        <v>1</v>
      </c>
    </row>
    <row r="3" spans="2:6" x14ac:dyDescent="0.3">
      <c r="B3" s="66" t="s">
        <v>63</v>
      </c>
      <c r="C3" s="66">
        <f ca="1">COUNTIF('Tests Synthesis'!K3:K47, "Nok")</f>
        <v>0</v>
      </c>
      <c r="E3" s="67" t="s">
        <v>64</v>
      </c>
      <c r="F3" s="68">
        <f ca="1">IF(C6=0,0,C3/C6)</f>
        <v>0</v>
      </c>
    </row>
    <row r="4" spans="2:6" x14ac:dyDescent="0.3">
      <c r="B4" s="66" t="s">
        <v>65</v>
      </c>
      <c r="C4" s="66">
        <f ca="1">COUNTIF('Tests Synthesis'!K3:K47, "not run")</f>
        <v>0</v>
      </c>
      <c r="E4" s="66" t="s">
        <v>66</v>
      </c>
      <c r="F4" s="68">
        <f ca="1">IF(C6=0,0,C4/C6)</f>
        <v>0</v>
      </c>
    </row>
    <row r="5" spans="2:6" x14ac:dyDescent="0.3">
      <c r="B5" s="66" t="s">
        <v>117</v>
      </c>
      <c r="C5" s="66">
        <f ca="1">COUNTIF('Tests Synthesis'!K4:K48, "NA")</f>
        <v>0</v>
      </c>
      <c r="E5" s="66" t="s">
        <v>118</v>
      </c>
      <c r="F5" s="68">
        <f>IF(C7=0,0,C5/C7)</f>
        <v>0</v>
      </c>
    </row>
    <row r="6" spans="2:6" x14ac:dyDescent="0.3">
      <c r="B6" s="66" t="s">
        <v>67</v>
      </c>
      <c r="C6" s="66">
        <f ca="1">SUM(C2:C4)</f>
        <v>22</v>
      </c>
    </row>
  </sheetData>
  <pageMargins left="0.7" right="0.7" top="0.75" bottom="0.75" header="0.3" footer="0.3"/>
  <pageSetup paperSize="9" orientation="portrait" r:id="rId1"/>
  <headerFooter>
    <oddFooter>&amp;LTBD ver 1&amp;R&amp;P</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12</vt:i4>
      </vt:variant>
    </vt:vector>
  </HeadingPairs>
  <TitlesOfParts>
    <vt:vector size="39" baseType="lpstr">
      <vt:lpstr>FrontPage</vt:lpstr>
      <vt:lpstr>General info</vt:lpstr>
      <vt:lpstr>Guide (help)</vt:lpstr>
      <vt:lpstr>Tests Synthesis</vt:lpstr>
      <vt:lpstr>SW_IT_NVP_001</vt:lpstr>
      <vt:lpstr>SW_IT_NVP_002</vt:lpstr>
      <vt:lpstr>SW_IT_NVP_003</vt:lpstr>
      <vt:lpstr>SW_IT_NVP_004</vt:lpstr>
      <vt:lpstr>SW_IT_NVP_005</vt:lpstr>
      <vt:lpstr>SW_IT_NVP_006</vt:lpstr>
      <vt:lpstr>SW_IT_NVP_007</vt:lpstr>
      <vt:lpstr>SW_IT_NVP_008</vt:lpstr>
      <vt:lpstr>SW_IT_NVP_009</vt:lpstr>
      <vt:lpstr>SW_IT_NVP_010</vt:lpstr>
      <vt:lpstr>SW_IT_NVP_011</vt:lpstr>
      <vt:lpstr>SW_IT_NVP_012</vt:lpstr>
      <vt:lpstr>SW_IT_NVP_013</vt:lpstr>
      <vt:lpstr>SW_IT_NVP_014</vt:lpstr>
      <vt:lpstr>SW_IT_NVP_015</vt:lpstr>
      <vt:lpstr>SW_IT_NVP_016</vt:lpstr>
      <vt:lpstr>SW_IT_NVP_017</vt:lpstr>
      <vt:lpstr>SW_IT_NVP_018</vt:lpstr>
      <vt:lpstr>SW_IT_NVP_019</vt:lpstr>
      <vt:lpstr>SW_IT_NVP_020</vt:lpstr>
      <vt:lpstr>SW_IT_NVP_021</vt:lpstr>
      <vt:lpstr>SW_IT_NVP_022</vt:lpstr>
      <vt:lpstr>Metrics</vt:lpstr>
      <vt:lpstr>FileName</vt:lpstr>
      <vt:lpstr>MXActual_state_Released</vt:lpstr>
      <vt:lpstr>MXAuthority</vt:lpstr>
      <vt:lpstr>MXCurrent.Localized</vt:lpstr>
      <vt:lpstr>MXName</vt:lpstr>
      <vt:lpstr>MXRevision</vt:lpstr>
      <vt:lpstr>MXTitle</vt:lpstr>
      <vt:lpstr>MXVersion</vt:lpstr>
      <vt:lpstr>PLMDocAuthor</vt:lpstr>
      <vt:lpstr>'General info'!Print_Titles</vt:lpstr>
      <vt:lpstr>'Guide (help)'!Print_Titles</vt:lpstr>
      <vt:lpstr>TemplateRef</vt:lpstr>
    </vt:vector>
  </TitlesOfParts>
  <Company>Autoliv Electronics AB</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Johannes Kask</dc:creator>
  <cp:lastModifiedBy>Mihai Ianos</cp:lastModifiedBy>
  <cp:lastPrinted>2011-11-28T23:54:39Z</cp:lastPrinted>
  <dcterms:created xsi:type="dcterms:W3CDTF">2008-08-11T11:06:44Z</dcterms:created>
  <dcterms:modified xsi:type="dcterms:W3CDTF">2022-10-27T14:10:11Z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3</vt:lpwstr>
  </property>
  <property fmtid="{D5CDD505-2E9C-101B-9397-08002B2CF9AE}" pid="4" name="MXActual_state_Preliminary">
    <vt:lpwstr>2010-09-22 12:26</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Document created</vt:lpwstr>
  </property>
  <property fmtid="{D5CDD505-2E9C-101B-9397-08002B2CF9AE}" pid="8" name="MXAuthority_BusinessUnit">
    <vt:lpwstr/>
  </property>
  <property fmtid="{D5CDD505-2E9C-101B-9397-08002B2CF9AE}" pid="9" name="MXAuthority_Description">
    <vt:lpwstr>Process documents etc</vt:lpwstr>
  </property>
  <property fmtid="{D5CDD505-2E9C-101B-9397-08002B2CF9AE}" pid="10" name="MXAuthority_Owner">
    <vt:lpwstr>Marcus Klomark</vt:lpwstr>
  </property>
  <property fmtid="{D5CDD505-2E9C-101B-9397-08002B2CF9AE}" pid="11" name="MXAuthority_Program">
    <vt:lpwstr/>
  </property>
  <property fmtid="{D5CDD505-2E9C-101B-9397-08002B2CF9AE}" pid="12" name="MXCheckin Date">
    <vt:lpwstr>12/22/2010 8:58:03 AM</vt:lpwstr>
  </property>
  <property fmtid="{D5CDD505-2E9C-101B-9397-08002B2CF9AE}" pid="13" name="MXCheckin Reason">
    <vt:lpwstr>Revised by Johannes Kask</vt:lpwstr>
  </property>
  <property fmtid="{D5CDD505-2E9C-101B-9397-08002B2CF9AE}" pid="14" name="MXCheckin User" linkTarget="PLMDocAuthor">
    <vt:lpwstr>CRISTOI ROBERTO ALEXANDRU</vt:lpwstr>
  </property>
  <property fmtid="{D5CDD505-2E9C-101B-9397-08002B2CF9AE}" pid="15" name="MXCurrent">
    <vt:lpwstr>Preliminary</vt:lpwstr>
  </property>
  <property fmtid="{D5CDD505-2E9C-101B-9397-08002B2CF9AE}" pid="16" name="MXDescription">
    <vt:lpwstr/>
  </property>
  <property fmtid="{D5CDD505-2E9C-101B-9397-08002B2CF9AE}" pid="17" name="MXDesignated User">
    <vt:lpwstr>Unassigned</vt:lpwstr>
  </property>
  <property fmtid="{D5CDD505-2E9C-101B-9397-08002B2CF9AE}" pid="18" name="MXEmail">
    <vt:lpwstr>johannes.kask@autoliv.com</vt:lpwstr>
  </property>
  <property fmtid="{D5CDD505-2E9C-101B-9397-08002B2CF9AE}" pid="19" name="MXFirstName">
    <vt:lpwstr>Johannes</vt:lpwstr>
  </property>
  <property fmtid="{D5CDD505-2E9C-101B-9397-08002B2CF9AE}" pid="20" name="MXIs Version Object">
    <vt:lpwstr>False</vt:lpwstr>
  </property>
  <property fmtid="{D5CDD505-2E9C-101B-9397-08002B2CF9AE}" pid="21" name="MXLanguage">
    <vt:lpwstr>English</vt:lpwstr>
  </property>
  <property fmtid="{D5CDD505-2E9C-101B-9397-08002B2CF9AE}" pid="22" name="MXLastName">
    <vt:lpwstr>Kask</vt:lpwstr>
  </property>
  <property fmtid="{D5CDD505-2E9C-101B-9397-08002B2CF9AE}" pid="23" name="MXLatestVersion">
    <vt:lpwstr>3</vt:lpwstr>
  </property>
  <property fmtid="{D5CDD505-2E9C-101B-9397-08002B2CF9AE}" pid="24" name="MXMiddleName">
    <vt:lpwstr/>
  </property>
  <property fmtid="{D5CDD505-2E9C-101B-9397-08002B2CF9AE}" pid="25" name="MXMove Files To Version">
    <vt:lpwstr>False</vt:lpwstr>
  </property>
  <property fmtid="{D5CDD505-2E9C-101B-9397-08002B2CF9AE}" pid="26" name="MXOriginator">
    <vt:lpwstr>Mats Sundin</vt:lpwstr>
  </property>
  <property fmtid="{D5CDD505-2E9C-101B-9397-08002B2CF9AE}" pid="27" name="MXPolicy" linkTarget="MXPolicy">
    <vt:lpwstr>#REF!</vt:lpwstr>
  </property>
  <property fmtid="{D5CDD505-2E9C-101B-9397-08002B2CF9AE}" pid="28" name="MXPolicy.Localized">
    <vt:lpwstr>NoReview Document</vt:lpwstr>
  </property>
  <property fmtid="{D5CDD505-2E9C-101B-9397-08002B2CF9AE}" pid="29" name="MXRoute_In-Work_date">
    <vt:lpwstr/>
  </property>
  <property fmtid="{D5CDD505-2E9C-101B-9397-08002B2CF9AE}" pid="30" name="MXRoute_In-Work_name">
    <vt:lpwstr/>
  </property>
  <property fmtid="{D5CDD505-2E9C-101B-9397-08002B2CF9AE}" pid="31" name="MXRoute_Released_date">
    <vt:lpwstr/>
  </property>
  <property fmtid="{D5CDD505-2E9C-101B-9397-08002B2CF9AE}" pid="32" name="MXRoute_Released_name">
    <vt:lpwstr/>
  </property>
  <property fmtid="{D5CDD505-2E9C-101B-9397-08002B2CF9AE}" pid="33" name="MXRoute_Superseded_date">
    <vt:lpwstr/>
  </property>
  <property fmtid="{D5CDD505-2E9C-101B-9397-08002B2CF9AE}" pid="34" name="MXRoute_Superseded_name">
    <vt:lpwstr/>
  </property>
  <property fmtid="{D5CDD505-2E9C-101B-9397-08002B2CF9AE}" pid="35" name="MXSignatures_state_Preliminary">
    <vt:lpwstr/>
  </property>
  <property fmtid="{D5CDD505-2E9C-101B-9397-08002B2CF9AE}" pid="36" name="MXSignatures_state_Released">
    <vt:lpwstr/>
  </property>
  <property fmtid="{D5CDD505-2E9C-101B-9397-08002B2CF9AE}" pid="37" name="MXSignatures_state_Superceded">
    <vt:lpwstr/>
  </property>
  <property fmtid="{D5CDD505-2E9C-101B-9397-08002B2CF9AE}" pid="38" name="MXSuspend Versioning">
    <vt:lpwstr>False</vt:lpwstr>
  </property>
  <property fmtid="{D5CDD505-2E9C-101B-9397-08002B2CF9AE}" pid="39" name="MXType">
    <vt:lpwstr>alvProjectManagement</vt:lpwstr>
  </property>
  <property fmtid="{D5CDD505-2E9C-101B-9397-08002B2CF9AE}" pid="40" name="MXType.Localized" linkTarget="MXType.Localized">
    <vt:lpwstr>#REF!</vt:lpwstr>
  </property>
  <property fmtid="{D5CDD505-2E9C-101B-9397-08002B2CF9AE}" pid="41" name="MXDocTemplate_Name">
    <vt:lpwstr>SW04TEM001</vt:lpwstr>
  </property>
</Properties>
</file>