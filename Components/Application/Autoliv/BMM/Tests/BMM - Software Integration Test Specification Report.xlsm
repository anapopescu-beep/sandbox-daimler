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_Sandbox\DAI_MMA\View_Development\Components\Application\Autoliv\BMM\Tests\"/>
    </mc:Choice>
  </mc:AlternateContent>
  <xr:revisionPtr revIDLastSave="0" documentId="13_ncr:1_{5A309986-1AAC-4A5A-B98E-5C85A0923FE1}" xr6:coauthVersionLast="47" xr6:coauthVersionMax="47" xr10:uidLastSave="{00000000-0000-0000-0000-000000000000}"/>
  <bookViews>
    <workbookView xWindow="57480" yWindow="-120" windowWidth="29040" windowHeight="15840" tabRatio="921" activeTab="3" xr2:uid="{00000000-000D-0000-FFFF-FFFF00000000}"/>
  </bookViews>
  <sheets>
    <sheet name="FrontPage" sheetId="4" r:id="rId1"/>
    <sheet name="General info" sheetId="11" r:id="rId2"/>
    <sheet name="Guide (help)" sheetId="18" r:id="rId3"/>
    <sheet name="Tests Synthesis" sheetId="13" r:id="rId4"/>
    <sheet name="SW_IT_BMM_0001" sheetId="14" r:id="rId5"/>
    <sheet name="SW_IT_BMM_0002" sheetId="22" r:id="rId6"/>
    <sheet name="SW_IT_BMM_0003" sheetId="24" r:id="rId7"/>
    <sheet name="SW_IT_BMM_0004" sheetId="25" r:id="rId8"/>
    <sheet name="SW_IT_BMM_0005" sheetId="26" r:id="rId9"/>
    <sheet name="SW_IT_BMM_0006" sheetId="27" r:id="rId10"/>
    <sheet name="SW_IT_BMM_0007" sheetId="28" r:id="rId11"/>
    <sheet name="SW_IT_BMM_0008" sheetId="29" r:id="rId12"/>
    <sheet name="SW_IT_BMM_0009" sheetId="30" r:id="rId13"/>
    <sheet name="SW_IT_BMM_0010" sheetId="31" r:id="rId14"/>
    <sheet name="SW_IT_BMM_0011" sheetId="32" r:id="rId15"/>
    <sheet name="SW_IT_BMM_0012" sheetId="33" r:id="rId16"/>
    <sheet name="SW_IT_BMM_0013" sheetId="34" r:id="rId17"/>
    <sheet name="SW_IT_BMM_0014" sheetId="35" r:id="rId18"/>
    <sheet name="SW_IT_BMM_0015" sheetId="37" r:id="rId19"/>
    <sheet name="SW_IT_BMM_0016" sheetId="36" r:id="rId20"/>
    <sheet name="SW_IT_BMM_0017" sheetId="38" r:id="rId21"/>
    <sheet name="SW_IT_BMM_0018" sheetId="39" r:id="rId22"/>
    <sheet name="SW_IT_BMM_0019" sheetId="40" r:id="rId23"/>
    <sheet name="Metrics" sheetId="16" r:id="rId24"/>
  </sheets>
  <externalReferences>
    <externalReference r:id="rId25"/>
  </externalReference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FrontPage!#REF!</definedName>
    <definedName name="MXRevision">FrontPage!$AB$7</definedName>
    <definedName name="MXTitle">FrontPage!$E$7</definedName>
    <definedName name="MXType.Localized" localSheetId="2">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TemplateRef">FrontPage!$W$7</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5" i="11" l="1"/>
  <c r="A23" i="4"/>
  <c r="F5" i="16"/>
  <c r="K44" i="13"/>
  <c r="F44" i="13"/>
  <c r="E44" i="13"/>
  <c r="D44" i="13"/>
  <c r="K43" i="13"/>
  <c r="F43" i="13"/>
  <c r="E43" i="13"/>
  <c r="D43" i="13"/>
  <c r="K42" i="13"/>
  <c r="F42" i="13"/>
  <c r="E42" i="13"/>
  <c r="D42" i="13"/>
  <c r="K41" i="13"/>
  <c r="F41" i="13"/>
  <c r="E41" i="13"/>
  <c r="D41" i="13"/>
  <c r="K40" i="13"/>
  <c r="F40" i="13"/>
  <c r="E40" i="13"/>
  <c r="D40" i="13"/>
  <c r="K39" i="13"/>
  <c r="F39" i="13"/>
  <c r="E39" i="13"/>
  <c r="D39" i="13"/>
  <c r="K38" i="13"/>
  <c r="F38" i="13"/>
  <c r="E38" i="13"/>
  <c r="D38" i="13"/>
  <c r="K37" i="13"/>
  <c r="F37" i="13"/>
  <c r="E37" i="13"/>
  <c r="D37" i="13"/>
  <c r="K36" i="13"/>
  <c r="F36" i="13"/>
  <c r="E36" i="13"/>
  <c r="D36" i="13"/>
  <c r="K35" i="13"/>
  <c r="F35" i="13"/>
  <c r="E35" i="13"/>
  <c r="D35" i="13"/>
  <c r="K34" i="13"/>
  <c r="F34" i="13"/>
  <c r="E34" i="13"/>
  <c r="D34" i="13"/>
  <c r="K33" i="13"/>
  <c r="F33" i="13"/>
  <c r="E33" i="13"/>
  <c r="D33" i="13"/>
  <c r="K32" i="13"/>
  <c r="F32" i="13"/>
  <c r="E32" i="13"/>
  <c r="D32" i="13"/>
  <c r="K31" i="13"/>
  <c r="F31" i="13"/>
  <c r="E31" i="13"/>
  <c r="D31" i="13"/>
  <c r="K30" i="13"/>
  <c r="F30" i="13"/>
  <c r="E30" i="13"/>
  <c r="D30" i="13"/>
  <c r="K29" i="13"/>
  <c r="F29" i="13"/>
  <c r="E29" i="13"/>
  <c r="D29" i="13"/>
  <c r="K28" i="13"/>
  <c r="F28" i="13"/>
  <c r="E28" i="13"/>
  <c r="D28" i="13"/>
  <c r="K27" i="13"/>
  <c r="F27" i="13"/>
  <c r="E27" i="13"/>
  <c r="D27" i="13"/>
  <c r="K26" i="13"/>
  <c r="F26" i="13"/>
  <c r="E26" i="13"/>
  <c r="D26" i="13"/>
  <c r="K25" i="13"/>
  <c r="F25" i="13"/>
  <c r="E25" i="13"/>
  <c r="D25" i="13"/>
  <c r="K24" i="13"/>
  <c r="F24" i="13"/>
  <c r="E24" i="13"/>
  <c r="D24" i="13"/>
  <c r="K23" i="13"/>
  <c r="F23" i="13"/>
  <c r="E23" i="13"/>
  <c r="D23" i="13"/>
  <c r="K22" i="13"/>
  <c r="F22" i="13"/>
  <c r="E22" i="13"/>
  <c r="D22" i="13"/>
  <c r="AD3" i="4"/>
  <c r="AD3" i="11" s="1"/>
  <c r="W7" i="4"/>
  <c r="E20" i="13"/>
  <c r="K13" i="13"/>
  <c r="E18" i="13"/>
  <c r="D15" i="13"/>
  <c r="F19" i="13"/>
  <c r="D13" i="13"/>
  <c r="F12" i="13"/>
  <c r="F9" i="13"/>
  <c r="F16" i="13"/>
  <c r="D12" i="13"/>
  <c r="E10" i="13"/>
  <c r="K16" i="13"/>
  <c r="D16" i="13"/>
  <c r="K11" i="13"/>
  <c r="F10" i="13"/>
  <c r="D17" i="13"/>
  <c r="D3" i="13"/>
  <c r="E8" i="13"/>
  <c r="F13" i="13"/>
  <c r="K10" i="13"/>
  <c r="E11" i="13"/>
  <c r="D19" i="13"/>
  <c r="F17" i="13"/>
  <c r="E12" i="13"/>
  <c r="E19" i="13"/>
  <c r="D21" i="13"/>
  <c r="E16" i="13"/>
  <c r="F4" i="13"/>
  <c r="E4" i="13"/>
  <c r="K3" i="13"/>
  <c r="D10" i="13"/>
  <c r="D11" i="13"/>
  <c r="F7" i="13"/>
  <c r="D14" i="13"/>
  <c r="F15" i="13"/>
  <c r="D20" i="13"/>
  <c r="E14" i="13"/>
  <c r="E17" i="13"/>
  <c r="K9" i="13"/>
  <c r="D5" i="13"/>
  <c r="E5" i="13"/>
  <c r="E13" i="13"/>
  <c r="D8" i="13"/>
  <c r="K6" i="13"/>
  <c r="F6" i="13"/>
  <c r="F20" i="13"/>
  <c r="K17" i="13"/>
  <c r="F18" i="13"/>
  <c r="K5" i="13"/>
  <c r="E15" i="13"/>
  <c r="F8" i="13"/>
  <c r="D18" i="13"/>
  <c r="F11" i="13"/>
  <c r="E7" i="13"/>
  <c r="K8" i="13"/>
  <c r="D9" i="13"/>
  <c r="E6" i="13"/>
  <c r="K7" i="13"/>
  <c r="E3" i="13"/>
  <c r="E9" i="13"/>
  <c r="F5" i="13"/>
  <c r="K12" i="13"/>
  <c r="E21" i="13"/>
  <c r="K18" i="13"/>
  <c r="K19" i="13"/>
  <c r="K4" i="13"/>
  <c r="K21" i="13"/>
  <c r="D4" i="13"/>
  <c r="K20" i="13"/>
  <c r="K14" i="13"/>
  <c r="F21" i="13"/>
  <c r="F14" i="13"/>
  <c r="D7" i="13"/>
  <c r="K15" i="13"/>
  <c r="F3" i="13"/>
  <c r="D6" i="13"/>
  <c r="W7" i="11" l="1"/>
  <c r="A7" i="11"/>
  <c r="W5" i="11"/>
  <c r="E7" i="11"/>
  <c r="C5" i="16"/>
  <c r="C3" i="16"/>
  <c r="C4" i="16"/>
  <c r="C2" i="16"/>
  <c r="C6" i="16" l="1"/>
  <c r="F4" i="16" s="1"/>
  <c r="F2" i="16" l="1"/>
  <c r="F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W7" authorId="0" shapeId="0" xr:uid="{8FDCBE47-0A32-4674-AD09-A4D2A4C92CB3}">
      <text>
        <r>
          <rPr>
            <sz val="9"/>
            <color indexed="81"/>
            <rFont val="Tahoma"/>
            <family val="2"/>
          </rPr>
          <t>Template from process AEM_PROCESS_1.17.00 Last change : AEM_PROCESS_1.05.00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Francine Chambin</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4" authorId="0" shapeId="0" xr:uid="{00000000-0006-0000-0100-000003000000}">
      <text>
        <r>
          <rPr>
            <sz val="8"/>
            <color indexed="81"/>
            <rFont val="Tahoma"/>
            <family val="2"/>
          </rPr>
          <t>The document version is given by PTC. Please copy/paste it here.</t>
        </r>
        <r>
          <rPr>
            <sz val="8"/>
            <color indexed="81"/>
            <rFont val="Tahoma"/>
            <family val="2"/>
          </rPr>
          <t xml:space="preserve">
</t>
        </r>
      </text>
    </comment>
    <comment ref="E24" authorId="0" shapeId="0" xr:uid="{00000000-0006-0000-0100-000004000000}">
      <text>
        <r>
          <rPr>
            <sz val="8"/>
            <color indexed="81"/>
            <rFont val="Tahoma"/>
            <family val="2"/>
          </rPr>
          <t>Date when the Revision is released</t>
        </r>
      </text>
    </comment>
    <comment ref="I24" authorId="0" shapeId="0" xr:uid="{00000000-0006-0000-0100-000005000000}">
      <text>
        <r>
          <rPr>
            <sz val="8"/>
            <color indexed="81"/>
            <rFont val="Tahoma"/>
            <family val="2"/>
          </rPr>
          <t>Author of the document. Authors if several.</t>
        </r>
      </text>
    </comment>
    <comment ref="R24" authorId="0" shapeId="0" xr:uid="{00000000-0006-0000-0100-000006000000}">
      <text>
        <r>
          <rPr>
            <sz val="8"/>
            <color indexed="81"/>
            <rFont val="Tahoma"/>
            <family val="2"/>
          </rPr>
          <t>Description or comment on the version. E.g. updated after meeting etc.</t>
        </r>
      </text>
    </comment>
    <comment ref="N35" authorId="1" shapeId="0" xr:uid="{00000000-0006-0000-0100-000007000000}">
      <text>
        <r>
          <rPr>
            <sz val="9"/>
            <color indexed="81"/>
            <rFont val="Tahoma"/>
            <family val="2"/>
          </rPr>
          <t>The referenced documents correspond to the customer or standard documents to be applied for the integration.</t>
        </r>
      </text>
    </comment>
    <comment ref="B36" authorId="0" shapeId="0" xr:uid="{00000000-0006-0000-0100-000008000000}">
      <text>
        <r>
          <rPr>
            <sz val="8"/>
            <color indexed="81"/>
            <rFont val="Tahoma"/>
            <family val="2"/>
          </rPr>
          <t>ID of possible reference documents. Any ID can be used, suggestion is [Int1], [Int2] etc. for internal references and [Ext1], [Ext2] etc. for external references</t>
        </r>
      </text>
    </comment>
    <comment ref="E36" authorId="0" shapeId="0" xr:uid="{00000000-0006-0000-0100-000009000000}">
      <text>
        <r>
          <rPr>
            <sz val="8"/>
            <color indexed="81"/>
            <rFont val="Tahoma"/>
            <family val="2"/>
          </rPr>
          <t>Title of reference documents.</t>
        </r>
      </text>
    </comment>
    <comment ref="Y36" authorId="0" shapeId="0" xr:uid="{00000000-0006-0000-0100-00000A000000}">
      <text>
        <r>
          <rPr>
            <sz val="8"/>
            <color indexed="81"/>
            <rFont val="Tahoma"/>
            <family val="2"/>
          </rPr>
          <t>Reference number, e.g. E123456 and revision of the reference.</t>
        </r>
      </text>
    </comment>
    <comment ref="N41" authorId="1" shapeId="0" xr:uid="{00000000-0006-0000-0100-00000B000000}">
      <text>
        <r>
          <rPr>
            <sz val="9"/>
            <color indexed="81"/>
            <rFont val="Tahoma"/>
            <family val="2"/>
          </rPr>
          <t>The applicable documents are the architecture design document and other internal documents necessary to establish this test specification.</t>
        </r>
      </text>
    </comment>
    <comment ref="B42" authorId="0" shapeId="0" xr:uid="{00000000-0006-0000-0100-00000C000000}">
      <text>
        <r>
          <rPr>
            <sz val="8"/>
            <color indexed="81"/>
            <rFont val="Tahoma"/>
            <family val="2"/>
          </rPr>
          <t>ID of possible reference documents. Any ID can be used, suggestion is [Int1], [Int2] etc. for internal references and [Ext1], [Ext2] etc. for external references</t>
        </r>
      </text>
    </comment>
    <comment ref="E42" authorId="0" shapeId="0" xr:uid="{00000000-0006-0000-0100-00000D000000}">
      <text>
        <r>
          <rPr>
            <sz val="8"/>
            <color indexed="81"/>
            <rFont val="Tahoma"/>
            <family val="2"/>
          </rPr>
          <t>Title of reference documents.</t>
        </r>
      </text>
    </comment>
    <comment ref="Y42" authorId="0" shapeId="0" xr:uid="{00000000-0006-0000-0100-00000E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Crina Baciu</author>
  </authors>
  <commentList>
    <comment ref="C2" authorId="0" shapeId="0" xr:uid="{00000000-0006-0000-0300-00000100000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xr:uid="{00000000-0006-0000-0300-00000200000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xr:uid="{00000000-0006-0000-0300-000003000000}">
      <text>
        <r>
          <rPr>
            <b/>
            <sz val="9"/>
            <color indexed="81"/>
            <rFont val="Tahoma"/>
            <family val="2"/>
          </rPr>
          <t>Test Classification automatically filled (extracted from SW_IT_xxx sheet)
See General Info</t>
        </r>
      </text>
    </comment>
    <comment ref="F2" authorId="1" shapeId="0" xr:uid="{00000000-0006-0000-0300-000004000000}">
      <text>
        <r>
          <rPr>
            <b/>
            <sz val="9"/>
            <color indexed="81"/>
            <rFont val="Tahoma"/>
            <family val="2"/>
          </rPr>
          <t>Automatically filled
(extracted from SW_IT_xxx sheet)</t>
        </r>
      </text>
    </comment>
    <comment ref="G2" authorId="1" shapeId="0" xr:uid="{00000000-0006-0000-0300-00000500000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xr:uid="{00000000-0006-0000-0300-00000600000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xr:uid="{00000000-0006-0000-0300-00000700000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xr:uid="{00000000-0006-0000-0300-00000800000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xr:uid="{00000000-0006-0000-0300-00000900000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xr:uid="{00000000-0006-0000-0300-00000A000000}">
      <text>
        <r>
          <rPr>
            <b/>
            <sz val="9"/>
            <color indexed="81"/>
            <rFont val="Tahoma"/>
            <family val="2"/>
          </rPr>
          <t xml:space="preserve">To be filled manually </t>
        </r>
        <r>
          <rPr>
            <sz val="9"/>
            <color indexed="81"/>
            <rFont val="Tahoma"/>
            <family val="2"/>
          </rPr>
          <t xml:space="preserve">
Write initials of the tester. </t>
        </r>
      </text>
    </comment>
    <comment ref="M2" authorId="2" shapeId="0" xr:uid="{00000000-0006-0000-0300-00000B00000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xr:uid="{BD214187-69AE-4D0A-BDFB-5D6E29BB8CF6}">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400-000001000000}">
      <text>
        <r>
          <rPr>
            <b/>
            <sz val="9"/>
            <color indexed="81"/>
            <rFont val="Tahoma"/>
            <family val="2"/>
          </rPr>
          <t xml:space="preserve">See Guide (help)
</t>
        </r>
        <r>
          <rPr>
            <sz val="9"/>
            <color indexed="81"/>
            <rFont val="Tahoma"/>
            <family val="2"/>
          </rPr>
          <t xml:space="preserve">
</t>
        </r>
      </text>
    </comment>
    <comment ref="A3" authorId="0" shapeId="0" xr:uid="{00000000-0006-0000-0400-000002000000}">
      <text>
        <r>
          <rPr>
            <b/>
            <sz val="9"/>
            <color indexed="81"/>
            <rFont val="Tahoma"/>
            <family val="2"/>
          </rPr>
          <t xml:space="preserve">See Guide (help)
</t>
        </r>
        <r>
          <rPr>
            <sz val="9"/>
            <color indexed="81"/>
            <rFont val="Tahoma"/>
            <family val="2"/>
          </rPr>
          <t xml:space="preserve">
</t>
        </r>
      </text>
    </comment>
    <comment ref="A5" authorId="0" shapeId="0" xr:uid="{00000000-0006-0000-0400-000003000000}">
      <text>
        <r>
          <rPr>
            <sz val="9"/>
            <color indexed="81"/>
            <rFont val="Tahoma"/>
            <family val="2"/>
          </rPr>
          <t>Definition is in the "General info" tab.
Use the dropdown list.</t>
        </r>
      </text>
    </comment>
    <comment ref="A9" authorId="0" shapeId="0" xr:uid="{00000000-0006-0000-0400-000004000000}">
      <text>
        <r>
          <rPr>
            <b/>
            <sz val="9"/>
            <color indexed="81"/>
            <rFont val="Tahoma"/>
            <family val="2"/>
          </rPr>
          <t>See Guide (help)</t>
        </r>
        <r>
          <rPr>
            <sz val="9"/>
            <color indexed="81"/>
            <rFont val="Tahoma"/>
            <family val="2"/>
          </rPr>
          <t xml:space="preserve">
</t>
        </r>
      </text>
    </comment>
    <comment ref="A11" authorId="0" shapeId="0" xr:uid="{00000000-0006-0000-04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4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CC2C27A-709D-4849-A78C-1EC3B4399999}">
      <text>
        <r>
          <rPr>
            <b/>
            <sz val="9"/>
            <color indexed="81"/>
            <rFont val="Tahoma"/>
            <family val="2"/>
          </rPr>
          <t xml:space="preserve">See Guide (help)
</t>
        </r>
        <r>
          <rPr>
            <sz val="9"/>
            <color indexed="81"/>
            <rFont val="Tahoma"/>
            <family val="2"/>
          </rPr>
          <t xml:space="preserve">
</t>
        </r>
      </text>
    </comment>
    <comment ref="A3" authorId="0" shapeId="0" xr:uid="{66CA5F7C-992C-4BD8-ABAF-8C059644C7CB}">
      <text>
        <r>
          <rPr>
            <b/>
            <sz val="9"/>
            <color indexed="81"/>
            <rFont val="Tahoma"/>
            <family val="2"/>
          </rPr>
          <t xml:space="preserve">See Guide (help)
</t>
        </r>
        <r>
          <rPr>
            <sz val="9"/>
            <color indexed="81"/>
            <rFont val="Tahoma"/>
            <family val="2"/>
          </rPr>
          <t xml:space="preserve">
</t>
        </r>
      </text>
    </comment>
    <comment ref="A5" authorId="0" shapeId="0" xr:uid="{0759E5CC-EA7B-4CF0-827F-65639556AF3F}">
      <text>
        <r>
          <rPr>
            <sz val="9"/>
            <color indexed="81"/>
            <rFont val="Tahoma"/>
            <family val="2"/>
          </rPr>
          <t>Definition is in the "General info" tab.
Use the dropdown list.</t>
        </r>
      </text>
    </comment>
    <comment ref="A9" authorId="0" shapeId="0" xr:uid="{BC4A15CD-4296-4AE0-B2A9-66595BC1FDA2}">
      <text>
        <r>
          <rPr>
            <b/>
            <sz val="9"/>
            <color indexed="81"/>
            <rFont val="Tahoma"/>
            <family val="2"/>
          </rPr>
          <t>See Guide (help)</t>
        </r>
        <r>
          <rPr>
            <sz val="9"/>
            <color indexed="81"/>
            <rFont val="Tahoma"/>
            <family val="2"/>
          </rPr>
          <t xml:space="preserve">
</t>
        </r>
      </text>
    </comment>
    <comment ref="A11" authorId="0" shapeId="0" xr:uid="{778C7603-9042-49B6-AAD7-9900EF6D8241}">
      <text>
        <r>
          <rPr>
            <b/>
            <sz val="9"/>
            <color indexed="81"/>
            <rFont val="Tahoma"/>
            <family val="2"/>
          </rPr>
          <t xml:space="preserve">Describe the test environment and setup.
</t>
        </r>
        <r>
          <rPr>
            <sz val="9"/>
            <color indexed="81"/>
            <rFont val="Tahoma"/>
            <family val="2"/>
          </rPr>
          <t xml:space="preserve">
</t>
        </r>
      </text>
    </comment>
    <comment ref="A16" authorId="0" shapeId="0" xr:uid="{31ADEBF0-AAD4-4DBE-A48E-CCCE9949DA3B}">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2FF02B3-A56D-43BC-A446-426084C4B6F8}">
      <text>
        <r>
          <rPr>
            <b/>
            <sz val="9"/>
            <color indexed="81"/>
            <rFont val="Tahoma"/>
            <family val="2"/>
          </rPr>
          <t xml:space="preserve">See Guide (help)
</t>
        </r>
        <r>
          <rPr>
            <sz val="9"/>
            <color indexed="81"/>
            <rFont val="Tahoma"/>
            <family val="2"/>
          </rPr>
          <t xml:space="preserve">
</t>
        </r>
      </text>
    </comment>
    <comment ref="A3" authorId="0" shapeId="0" xr:uid="{C18C15C4-8FAF-45EE-A31E-524909256CDE}">
      <text>
        <r>
          <rPr>
            <b/>
            <sz val="9"/>
            <color indexed="81"/>
            <rFont val="Tahoma"/>
            <family val="2"/>
          </rPr>
          <t xml:space="preserve">See Guide (help)
</t>
        </r>
        <r>
          <rPr>
            <sz val="9"/>
            <color indexed="81"/>
            <rFont val="Tahoma"/>
            <family val="2"/>
          </rPr>
          <t xml:space="preserve">
</t>
        </r>
      </text>
    </comment>
    <comment ref="A5" authorId="0" shapeId="0" xr:uid="{AF9E3565-89CF-4148-8148-1169B41F2F2B}">
      <text>
        <r>
          <rPr>
            <sz val="9"/>
            <color indexed="81"/>
            <rFont val="Tahoma"/>
            <family val="2"/>
          </rPr>
          <t>Definition is in the "General info" tab.
Use the dropdown list.</t>
        </r>
      </text>
    </comment>
    <comment ref="A9" authorId="0" shapeId="0" xr:uid="{DADA4153-EA9F-4E01-BB93-9FD455A9B830}">
      <text>
        <r>
          <rPr>
            <b/>
            <sz val="9"/>
            <color indexed="81"/>
            <rFont val="Tahoma"/>
            <family val="2"/>
          </rPr>
          <t>See Guide (help)</t>
        </r>
        <r>
          <rPr>
            <sz val="9"/>
            <color indexed="81"/>
            <rFont val="Tahoma"/>
            <family val="2"/>
          </rPr>
          <t xml:space="preserve">
</t>
        </r>
      </text>
    </comment>
    <comment ref="A11" authorId="0" shapeId="0" xr:uid="{127DEBCE-49EB-46EB-A1E1-FD7AD7157F75}">
      <text>
        <r>
          <rPr>
            <b/>
            <sz val="9"/>
            <color indexed="81"/>
            <rFont val="Tahoma"/>
            <family val="2"/>
          </rPr>
          <t xml:space="preserve">Describe the test environment and setup.
</t>
        </r>
        <r>
          <rPr>
            <sz val="9"/>
            <color indexed="81"/>
            <rFont val="Tahoma"/>
            <family val="2"/>
          </rPr>
          <t xml:space="preserve">
</t>
        </r>
      </text>
    </comment>
    <comment ref="A16" authorId="0" shapeId="0" xr:uid="{33AA7B48-5AC9-4F33-B482-4153B2E4D669}">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7000D4E-6D1B-478A-B176-906540F744A4}">
      <text>
        <r>
          <rPr>
            <b/>
            <sz val="9"/>
            <color indexed="81"/>
            <rFont val="Tahoma"/>
            <family val="2"/>
          </rPr>
          <t xml:space="preserve">See Guide (help)
</t>
        </r>
        <r>
          <rPr>
            <sz val="9"/>
            <color indexed="81"/>
            <rFont val="Tahoma"/>
            <family val="2"/>
          </rPr>
          <t xml:space="preserve">
</t>
        </r>
      </text>
    </comment>
    <comment ref="A3" authorId="0" shapeId="0" xr:uid="{172A4397-88B6-4218-B980-C49AEFC26F96}">
      <text>
        <r>
          <rPr>
            <b/>
            <sz val="9"/>
            <color indexed="81"/>
            <rFont val="Tahoma"/>
            <family val="2"/>
          </rPr>
          <t xml:space="preserve">See Guide (help)
</t>
        </r>
        <r>
          <rPr>
            <sz val="9"/>
            <color indexed="81"/>
            <rFont val="Tahoma"/>
            <family val="2"/>
          </rPr>
          <t xml:space="preserve">
</t>
        </r>
      </text>
    </comment>
    <comment ref="A5" authorId="0" shapeId="0" xr:uid="{776582A8-4765-4454-9DB2-344FB65E60A4}">
      <text>
        <r>
          <rPr>
            <sz val="9"/>
            <color indexed="81"/>
            <rFont val="Tahoma"/>
            <family val="2"/>
          </rPr>
          <t>Definition is in the "General info" tab.
Use the dropdown list.</t>
        </r>
      </text>
    </comment>
    <comment ref="A9" authorId="0" shapeId="0" xr:uid="{755BAD8B-9EA3-4B41-B528-D97FD8042F0A}">
      <text>
        <r>
          <rPr>
            <b/>
            <sz val="9"/>
            <color indexed="81"/>
            <rFont val="Tahoma"/>
            <family val="2"/>
          </rPr>
          <t>See Guide (help)</t>
        </r>
        <r>
          <rPr>
            <sz val="9"/>
            <color indexed="81"/>
            <rFont val="Tahoma"/>
            <family val="2"/>
          </rPr>
          <t xml:space="preserve">
</t>
        </r>
      </text>
    </comment>
    <comment ref="A11" authorId="0" shapeId="0" xr:uid="{07114A48-EF4A-4B4A-A4C1-F0693957A7DE}">
      <text>
        <r>
          <rPr>
            <b/>
            <sz val="9"/>
            <color indexed="81"/>
            <rFont val="Tahoma"/>
            <family val="2"/>
          </rPr>
          <t xml:space="preserve">Describe the test environment and setup.
</t>
        </r>
        <r>
          <rPr>
            <sz val="9"/>
            <color indexed="81"/>
            <rFont val="Tahoma"/>
            <family val="2"/>
          </rPr>
          <t xml:space="preserve">
</t>
        </r>
      </text>
    </comment>
    <comment ref="A16" authorId="0" shapeId="0" xr:uid="{BCF5FD74-8E0D-4B12-8DC5-8FD24F535699}">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A25A34A-A80F-4735-AB47-561F83B88B14}">
      <text>
        <r>
          <rPr>
            <b/>
            <sz val="9"/>
            <color indexed="81"/>
            <rFont val="Tahoma"/>
            <family val="2"/>
          </rPr>
          <t xml:space="preserve">See Guide (help)
</t>
        </r>
        <r>
          <rPr>
            <sz val="9"/>
            <color indexed="81"/>
            <rFont val="Tahoma"/>
            <family val="2"/>
          </rPr>
          <t xml:space="preserve">
</t>
        </r>
      </text>
    </comment>
    <comment ref="A3" authorId="0" shapeId="0" xr:uid="{17897598-8145-48E0-8D3E-3EE537D05DEF}">
      <text>
        <r>
          <rPr>
            <b/>
            <sz val="9"/>
            <color indexed="81"/>
            <rFont val="Tahoma"/>
            <family val="2"/>
          </rPr>
          <t xml:space="preserve">See Guide (help)
</t>
        </r>
        <r>
          <rPr>
            <sz val="9"/>
            <color indexed="81"/>
            <rFont val="Tahoma"/>
            <family val="2"/>
          </rPr>
          <t xml:space="preserve">
</t>
        </r>
      </text>
    </comment>
    <comment ref="A5" authorId="0" shapeId="0" xr:uid="{1BA94835-F88B-4B8B-9BDE-A4059A21B478}">
      <text>
        <r>
          <rPr>
            <sz val="9"/>
            <color indexed="81"/>
            <rFont val="Tahoma"/>
            <family val="2"/>
          </rPr>
          <t>Definition is in the "General info" tab.
Use the dropdown list.</t>
        </r>
      </text>
    </comment>
    <comment ref="A9" authorId="0" shapeId="0" xr:uid="{6426F382-1AB9-4F75-B98D-7270AB2F198B}">
      <text>
        <r>
          <rPr>
            <b/>
            <sz val="9"/>
            <color indexed="81"/>
            <rFont val="Tahoma"/>
            <family val="2"/>
          </rPr>
          <t>See Guide (help)</t>
        </r>
        <r>
          <rPr>
            <sz val="9"/>
            <color indexed="81"/>
            <rFont val="Tahoma"/>
            <family val="2"/>
          </rPr>
          <t xml:space="preserve">
</t>
        </r>
      </text>
    </comment>
    <comment ref="A11" authorId="0" shapeId="0" xr:uid="{4F7A80EB-092C-4C7A-858B-D0680A3FEB87}">
      <text>
        <r>
          <rPr>
            <b/>
            <sz val="9"/>
            <color indexed="81"/>
            <rFont val="Tahoma"/>
            <family val="2"/>
          </rPr>
          <t xml:space="preserve">Describe the test environment and setup.
</t>
        </r>
        <r>
          <rPr>
            <sz val="9"/>
            <color indexed="81"/>
            <rFont val="Tahoma"/>
            <family val="2"/>
          </rPr>
          <t xml:space="preserve">
</t>
        </r>
      </text>
    </comment>
    <comment ref="A16" authorId="0" shapeId="0" xr:uid="{F7EF2C60-B467-45DA-91BC-CEE51C682650}">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43B5144-A169-443F-B289-FBF0C92E1CDE}">
      <text>
        <r>
          <rPr>
            <b/>
            <sz val="9"/>
            <color indexed="81"/>
            <rFont val="Tahoma"/>
            <family val="2"/>
          </rPr>
          <t xml:space="preserve">See Guide (help)
</t>
        </r>
        <r>
          <rPr>
            <sz val="9"/>
            <color indexed="81"/>
            <rFont val="Tahoma"/>
            <family val="2"/>
          </rPr>
          <t xml:space="preserve">
</t>
        </r>
      </text>
    </comment>
    <comment ref="A3" authorId="0" shapeId="0" xr:uid="{C2DA208E-A99D-45B2-8CCB-7B3D4110B091}">
      <text>
        <r>
          <rPr>
            <b/>
            <sz val="9"/>
            <color indexed="81"/>
            <rFont val="Tahoma"/>
            <family val="2"/>
          </rPr>
          <t xml:space="preserve">See Guide (help)
</t>
        </r>
        <r>
          <rPr>
            <sz val="9"/>
            <color indexed="81"/>
            <rFont val="Tahoma"/>
            <family val="2"/>
          </rPr>
          <t xml:space="preserve">
</t>
        </r>
      </text>
    </comment>
    <comment ref="A5" authorId="0" shapeId="0" xr:uid="{A3754979-875D-4135-B945-6C79B7E6084C}">
      <text>
        <r>
          <rPr>
            <sz val="9"/>
            <color indexed="81"/>
            <rFont val="Tahoma"/>
            <family val="2"/>
          </rPr>
          <t>Definition is in the "General info" tab.
Use the dropdown list.</t>
        </r>
      </text>
    </comment>
    <comment ref="A9" authorId="0" shapeId="0" xr:uid="{C70F2941-E723-473F-9C37-AC7FC29E2A04}">
      <text>
        <r>
          <rPr>
            <b/>
            <sz val="9"/>
            <color indexed="81"/>
            <rFont val="Tahoma"/>
            <family val="2"/>
          </rPr>
          <t>See Guide (help)</t>
        </r>
        <r>
          <rPr>
            <sz val="9"/>
            <color indexed="81"/>
            <rFont val="Tahoma"/>
            <family val="2"/>
          </rPr>
          <t xml:space="preserve">
</t>
        </r>
      </text>
    </comment>
    <comment ref="A11" authorId="0" shapeId="0" xr:uid="{E16BEFB9-82CD-4439-8B1F-2E36D59B73B0}">
      <text>
        <r>
          <rPr>
            <b/>
            <sz val="9"/>
            <color indexed="81"/>
            <rFont val="Tahoma"/>
            <family val="2"/>
          </rPr>
          <t xml:space="preserve">Describe the test environment and setup.
</t>
        </r>
        <r>
          <rPr>
            <sz val="9"/>
            <color indexed="81"/>
            <rFont val="Tahoma"/>
            <family val="2"/>
          </rPr>
          <t xml:space="preserve">
</t>
        </r>
      </text>
    </comment>
    <comment ref="A16" authorId="0" shapeId="0" xr:uid="{DAE9424D-9B8D-49E4-8B6D-86A8BF3CA553}">
      <text>
        <r>
          <rPr>
            <b/>
            <sz val="9"/>
            <color indexed="81"/>
            <rFont val="Tahoma"/>
            <family val="2"/>
          </rPr>
          <t>Give the initial state before beginning the test.</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05B6299-415A-4D82-A2BC-8D760969568F}">
      <text>
        <r>
          <rPr>
            <b/>
            <sz val="9"/>
            <color indexed="81"/>
            <rFont val="Tahoma"/>
            <family val="2"/>
          </rPr>
          <t xml:space="preserve">See Guide (help)
</t>
        </r>
        <r>
          <rPr>
            <sz val="9"/>
            <color indexed="81"/>
            <rFont val="Tahoma"/>
            <family val="2"/>
          </rPr>
          <t xml:space="preserve">
</t>
        </r>
      </text>
    </comment>
    <comment ref="A3" authorId="0" shapeId="0" xr:uid="{65CF4158-1A55-4959-AA71-F6B4CE7CC52E}">
      <text>
        <r>
          <rPr>
            <b/>
            <sz val="9"/>
            <color indexed="81"/>
            <rFont val="Tahoma"/>
            <family val="2"/>
          </rPr>
          <t xml:space="preserve">See Guide (help)
</t>
        </r>
        <r>
          <rPr>
            <sz val="9"/>
            <color indexed="81"/>
            <rFont val="Tahoma"/>
            <family val="2"/>
          </rPr>
          <t xml:space="preserve">
</t>
        </r>
      </text>
    </comment>
    <comment ref="A5" authorId="0" shapeId="0" xr:uid="{2BBC4F74-8989-41D5-B577-EB5047036433}">
      <text>
        <r>
          <rPr>
            <sz val="9"/>
            <color indexed="81"/>
            <rFont val="Tahoma"/>
            <family val="2"/>
          </rPr>
          <t>Definition is in the "General info" tab.
Use the dropdown list.</t>
        </r>
      </text>
    </comment>
    <comment ref="A9" authorId="0" shapeId="0" xr:uid="{9F1AAC1C-A9A7-4D73-AFC5-FAF8A48D602E}">
      <text>
        <r>
          <rPr>
            <b/>
            <sz val="9"/>
            <color indexed="81"/>
            <rFont val="Tahoma"/>
            <family val="2"/>
          </rPr>
          <t>See Guide (help)</t>
        </r>
        <r>
          <rPr>
            <sz val="9"/>
            <color indexed="81"/>
            <rFont val="Tahoma"/>
            <family val="2"/>
          </rPr>
          <t xml:space="preserve">
</t>
        </r>
      </text>
    </comment>
    <comment ref="A11" authorId="0" shapeId="0" xr:uid="{D04F9291-FA3F-4635-831C-619D9763112B}">
      <text>
        <r>
          <rPr>
            <b/>
            <sz val="9"/>
            <color indexed="81"/>
            <rFont val="Tahoma"/>
            <family val="2"/>
          </rPr>
          <t xml:space="preserve">Describe the test environment and setup.
</t>
        </r>
        <r>
          <rPr>
            <sz val="9"/>
            <color indexed="81"/>
            <rFont val="Tahoma"/>
            <family val="2"/>
          </rPr>
          <t xml:space="preserve">
</t>
        </r>
      </text>
    </comment>
    <comment ref="A16" authorId="0" shapeId="0" xr:uid="{9D78E2F0-27A0-42BE-9ADD-F4DEC1F969C9}">
      <text>
        <r>
          <rPr>
            <b/>
            <sz val="9"/>
            <color indexed="81"/>
            <rFont val="Tahoma"/>
            <family val="2"/>
          </rPr>
          <t>Give the initial state before beginning the test.</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E2CAE720-6E5C-465C-BF0F-4DE97D6B6C59}">
      <text>
        <r>
          <rPr>
            <b/>
            <sz val="9"/>
            <color indexed="81"/>
            <rFont val="Tahoma"/>
            <family val="2"/>
          </rPr>
          <t xml:space="preserve">See Guide (help)
</t>
        </r>
        <r>
          <rPr>
            <sz val="9"/>
            <color indexed="81"/>
            <rFont val="Tahoma"/>
            <family val="2"/>
          </rPr>
          <t xml:space="preserve">
</t>
        </r>
      </text>
    </comment>
    <comment ref="A3" authorId="0" shapeId="0" xr:uid="{E26479EC-BDD3-458C-AE69-F4EB2C0E31F6}">
      <text>
        <r>
          <rPr>
            <b/>
            <sz val="9"/>
            <color indexed="81"/>
            <rFont val="Tahoma"/>
            <family val="2"/>
          </rPr>
          <t xml:space="preserve">See Guide (help)
</t>
        </r>
        <r>
          <rPr>
            <sz val="9"/>
            <color indexed="81"/>
            <rFont val="Tahoma"/>
            <family val="2"/>
          </rPr>
          <t xml:space="preserve">
</t>
        </r>
      </text>
    </comment>
    <comment ref="A5" authorId="0" shapeId="0" xr:uid="{0CBE3AFB-73F0-47C2-B64F-4822DAEDE0D1}">
      <text>
        <r>
          <rPr>
            <sz val="9"/>
            <color indexed="81"/>
            <rFont val="Tahoma"/>
            <family val="2"/>
          </rPr>
          <t>Definition is in the "General info" tab.
Use the dropdown list.</t>
        </r>
      </text>
    </comment>
    <comment ref="A9" authorId="0" shapeId="0" xr:uid="{7CC5AF34-8BDD-4C65-9DE1-A877C9699D33}">
      <text>
        <r>
          <rPr>
            <b/>
            <sz val="9"/>
            <color indexed="81"/>
            <rFont val="Tahoma"/>
            <family val="2"/>
          </rPr>
          <t>See Guide (help)</t>
        </r>
        <r>
          <rPr>
            <sz val="9"/>
            <color indexed="81"/>
            <rFont val="Tahoma"/>
            <family val="2"/>
          </rPr>
          <t xml:space="preserve">
</t>
        </r>
      </text>
    </comment>
    <comment ref="A11" authorId="0" shapeId="0" xr:uid="{35F42F6C-9050-47FC-AB1F-6228200E219B}">
      <text>
        <r>
          <rPr>
            <b/>
            <sz val="9"/>
            <color indexed="81"/>
            <rFont val="Tahoma"/>
            <family val="2"/>
          </rPr>
          <t xml:space="preserve">Describe the test environment and setup.
</t>
        </r>
        <r>
          <rPr>
            <sz val="9"/>
            <color indexed="81"/>
            <rFont val="Tahoma"/>
            <family val="2"/>
          </rPr>
          <t xml:space="preserve">
</t>
        </r>
      </text>
    </comment>
    <comment ref="A16" authorId="0" shapeId="0" xr:uid="{F6F3811C-AE4A-4457-9732-27A0E861BD27}">
      <text>
        <r>
          <rPr>
            <b/>
            <sz val="9"/>
            <color indexed="81"/>
            <rFont val="Tahoma"/>
            <family val="2"/>
          </rPr>
          <t>Give the initial state before beginning the test.</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614BACCD-6568-434C-A169-E55E3E272952}">
      <text>
        <r>
          <rPr>
            <b/>
            <sz val="9"/>
            <color indexed="81"/>
            <rFont val="Tahoma"/>
            <family val="2"/>
          </rPr>
          <t xml:space="preserve">See Guide (help)
</t>
        </r>
        <r>
          <rPr>
            <sz val="9"/>
            <color indexed="81"/>
            <rFont val="Tahoma"/>
            <family val="2"/>
          </rPr>
          <t xml:space="preserve">
</t>
        </r>
      </text>
    </comment>
    <comment ref="A3" authorId="0" shapeId="0" xr:uid="{7E5613C2-37E8-491F-81F7-818947DCB1BA}">
      <text>
        <r>
          <rPr>
            <b/>
            <sz val="9"/>
            <color indexed="81"/>
            <rFont val="Tahoma"/>
            <family val="2"/>
          </rPr>
          <t xml:space="preserve">See Guide (help)
</t>
        </r>
        <r>
          <rPr>
            <sz val="9"/>
            <color indexed="81"/>
            <rFont val="Tahoma"/>
            <family val="2"/>
          </rPr>
          <t xml:space="preserve">
</t>
        </r>
      </text>
    </comment>
    <comment ref="A5" authorId="0" shapeId="0" xr:uid="{BD7CFA6A-C663-4DBE-A231-BD80E4469010}">
      <text>
        <r>
          <rPr>
            <sz val="9"/>
            <color indexed="81"/>
            <rFont val="Tahoma"/>
            <family val="2"/>
          </rPr>
          <t>Definition is in the "General info" tab.
Use the dropdown list.</t>
        </r>
      </text>
    </comment>
    <comment ref="A9" authorId="0" shapeId="0" xr:uid="{27E9B276-AF37-41C5-A28F-17EF696B2EBD}">
      <text>
        <r>
          <rPr>
            <b/>
            <sz val="9"/>
            <color indexed="81"/>
            <rFont val="Tahoma"/>
            <family val="2"/>
          </rPr>
          <t>See Guide (help)</t>
        </r>
        <r>
          <rPr>
            <sz val="9"/>
            <color indexed="81"/>
            <rFont val="Tahoma"/>
            <family val="2"/>
          </rPr>
          <t xml:space="preserve">
</t>
        </r>
      </text>
    </comment>
    <comment ref="A11" authorId="0" shapeId="0" xr:uid="{13C38DF9-BBD6-4F0F-AA44-4BC848CE1AF6}">
      <text>
        <r>
          <rPr>
            <b/>
            <sz val="9"/>
            <color indexed="81"/>
            <rFont val="Tahoma"/>
            <family val="2"/>
          </rPr>
          <t xml:space="preserve">Describe the test environment and setup.
</t>
        </r>
        <r>
          <rPr>
            <sz val="9"/>
            <color indexed="81"/>
            <rFont val="Tahoma"/>
            <family val="2"/>
          </rPr>
          <t xml:space="preserve">
</t>
        </r>
      </text>
    </comment>
    <comment ref="A16" authorId="0" shapeId="0" xr:uid="{0946AADC-122C-4DFF-9581-4AADAA371BFD}">
      <text>
        <r>
          <rPr>
            <b/>
            <sz val="9"/>
            <color indexed="81"/>
            <rFont val="Tahoma"/>
            <family val="2"/>
          </rPr>
          <t>Give the initial state before beginning the test.</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901C0BAC-5904-4EA4-986E-8FEC45C2F649}">
      <text>
        <r>
          <rPr>
            <b/>
            <sz val="9"/>
            <color indexed="81"/>
            <rFont val="Tahoma"/>
            <family val="2"/>
          </rPr>
          <t xml:space="preserve">See Guide (help)
</t>
        </r>
        <r>
          <rPr>
            <sz val="9"/>
            <color indexed="81"/>
            <rFont val="Tahoma"/>
            <family val="2"/>
          </rPr>
          <t xml:space="preserve">
</t>
        </r>
      </text>
    </comment>
    <comment ref="A3" authorId="0" shapeId="0" xr:uid="{81A2D205-148C-41F8-AC83-D5FA52417680}">
      <text>
        <r>
          <rPr>
            <b/>
            <sz val="9"/>
            <color indexed="81"/>
            <rFont val="Tahoma"/>
            <family val="2"/>
          </rPr>
          <t xml:space="preserve">See Guide (help)
</t>
        </r>
        <r>
          <rPr>
            <sz val="9"/>
            <color indexed="81"/>
            <rFont val="Tahoma"/>
            <family val="2"/>
          </rPr>
          <t xml:space="preserve">
</t>
        </r>
      </text>
    </comment>
    <comment ref="A5" authorId="0" shapeId="0" xr:uid="{0076C2B9-F227-4ADD-8FB1-5D13FE9433C6}">
      <text>
        <r>
          <rPr>
            <sz val="9"/>
            <color indexed="81"/>
            <rFont val="Tahoma"/>
            <family val="2"/>
          </rPr>
          <t>Definition is in the "General info" tab.
Use the dropdown list.</t>
        </r>
      </text>
    </comment>
    <comment ref="A9" authorId="0" shapeId="0" xr:uid="{99E57380-42CA-4465-B9EF-016E0CEFE985}">
      <text>
        <r>
          <rPr>
            <b/>
            <sz val="9"/>
            <color indexed="81"/>
            <rFont val="Tahoma"/>
            <family val="2"/>
          </rPr>
          <t>See Guide (help)</t>
        </r>
        <r>
          <rPr>
            <sz val="9"/>
            <color indexed="81"/>
            <rFont val="Tahoma"/>
            <family val="2"/>
          </rPr>
          <t xml:space="preserve">
</t>
        </r>
      </text>
    </comment>
    <comment ref="A11" authorId="0" shapeId="0" xr:uid="{3FFDED6F-CBC7-49D7-9430-3AC6BC424CCC}">
      <text>
        <r>
          <rPr>
            <b/>
            <sz val="9"/>
            <color indexed="81"/>
            <rFont val="Tahoma"/>
            <family val="2"/>
          </rPr>
          <t xml:space="preserve">Describe the test environment and setup.
</t>
        </r>
        <r>
          <rPr>
            <sz val="9"/>
            <color indexed="81"/>
            <rFont val="Tahoma"/>
            <family val="2"/>
          </rPr>
          <t xml:space="preserve">
</t>
        </r>
      </text>
    </comment>
    <comment ref="A16" authorId="0" shapeId="0" xr:uid="{33BED9DA-63E9-46CF-9241-0644DE615359}">
      <text>
        <r>
          <rPr>
            <b/>
            <sz val="9"/>
            <color indexed="81"/>
            <rFont val="Tahoma"/>
            <family val="2"/>
          </rPr>
          <t>Give the initial state before beginning the test.</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B9ADA813-1214-436A-97CC-5A39CA939574}">
      <text>
        <r>
          <rPr>
            <b/>
            <sz val="9"/>
            <color indexed="81"/>
            <rFont val="Tahoma"/>
            <family val="2"/>
          </rPr>
          <t xml:space="preserve">See Guide (help)
</t>
        </r>
        <r>
          <rPr>
            <sz val="9"/>
            <color indexed="81"/>
            <rFont val="Tahoma"/>
            <family val="2"/>
          </rPr>
          <t xml:space="preserve">
</t>
        </r>
      </text>
    </comment>
    <comment ref="A3" authorId="0" shapeId="0" xr:uid="{D7C1586C-3E45-479F-B175-214DA72BC3E4}">
      <text>
        <r>
          <rPr>
            <b/>
            <sz val="9"/>
            <color indexed="81"/>
            <rFont val="Tahoma"/>
            <family val="2"/>
          </rPr>
          <t xml:space="preserve">See Guide (help)
</t>
        </r>
        <r>
          <rPr>
            <sz val="9"/>
            <color indexed="81"/>
            <rFont val="Tahoma"/>
            <family val="2"/>
          </rPr>
          <t xml:space="preserve">
</t>
        </r>
      </text>
    </comment>
    <comment ref="A5" authorId="0" shapeId="0" xr:uid="{34B2DF8C-F148-4EBB-9696-0B3585AF6255}">
      <text>
        <r>
          <rPr>
            <sz val="9"/>
            <color indexed="81"/>
            <rFont val="Tahoma"/>
            <family val="2"/>
          </rPr>
          <t>Definition is in the "General info" tab.
Use the dropdown list.</t>
        </r>
      </text>
    </comment>
    <comment ref="A9" authorId="0" shapeId="0" xr:uid="{381DF6E8-A3D8-4008-A8B6-70D91CD4F4D8}">
      <text>
        <r>
          <rPr>
            <b/>
            <sz val="9"/>
            <color indexed="81"/>
            <rFont val="Tahoma"/>
            <family val="2"/>
          </rPr>
          <t>See Guide (help)</t>
        </r>
        <r>
          <rPr>
            <sz val="9"/>
            <color indexed="81"/>
            <rFont val="Tahoma"/>
            <family val="2"/>
          </rPr>
          <t xml:space="preserve">
</t>
        </r>
      </text>
    </comment>
    <comment ref="A11" authorId="0" shapeId="0" xr:uid="{4B742663-6DD4-4F3C-8577-9FB28D62BDD9}">
      <text>
        <r>
          <rPr>
            <b/>
            <sz val="9"/>
            <color indexed="81"/>
            <rFont val="Tahoma"/>
            <family val="2"/>
          </rPr>
          <t xml:space="preserve">Describe the test environment and setup.
</t>
        </r>
        <r>
          <rPr>
            <sz val="9"/>
            <color indexed="81"/>
            <rFont val="Tahoma"/>
            <family val="2"/>
          </rPr>
          <t xml:space="preserve">
</t>
        </r>
      </text>
    </comment>
    <comment ref="A16" authorId="0" shapeId="0" xr:uid="{25A3A6EE-142E-4D5F-B4EB-2C9406938160}">
      <text>
        <r>
          <rPr>
            <b/>
            <sz val="9"/>
            <color indexed="81"/>
            <rFont val="Tahoma"/>
            <family val="2"/>
          </rPr>
          <t>Give the initial state before beginning the test.</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96448B4-CA79-4FE0-992E-DADADF12BA92}">
      <text>
        <r>
          <rPr>
            <b/>
            <sz val="9"/>
            <color indexed="81"/>
            <rFont val="Tahoma"/>
            <family val="2"/>
          </rPr>
          <t xml:space="preserve">See Guide (help)
</t>
        </r>
        <r>
          <rPr>
            <sz val="9"/>
            <color indexed="81"/>
            <rFont val="Tahoma"/>
            <family val="2"/>
          </rPr>
          <t xml:space="preserve">
</t>
        </r>
      </text>
    </comment>
    <comment ref="A3" authorId="0" shapeId="0" xr:uid="{693DC970-9F7A-456A-A916-17D93C9E4358}">
      <text>
        <r>
          <rPr>
            <b/>
            <sz val="9"/>
            <color indexed="81"/>
            <rFont val="Tahoma"/>
            <family val="2"/>
          </rPr>
          <t xml:space="preserve">See Guide (help)
</t>
        </r>
        <r>
          <rPr>
            <sz val="9"/>
            <color indexed="81"/>
            <rFont val="Tahoma"/>
            <family val="2"/>
          </rPr>
          <t xml:space="preserve">
</t>
        </r>
      </text>
    </comment>
    <comment ref="A5" authorId="0" shapeId="0" xr:uid="{0DF6A55F-39CF-43EA-91C8-37C4BD4217E2}">
      <text>
        <r>
          <rPr>
            <sz val="9"/>
            <color indexed="81"/>
            <rFont val="Tahoma"/>
            <family val="2"/>
          </rPr>
          <t>Definition is in the "General info" tab.
Use the dropdown list.</t>
        </r>
      </text>
    </comment>
    <comment ref="A9" authorId="0" shapeId="0" xr:uid="{B6FD17E6-9780-46BE-843E-54B319472B9C}">
      <text>
        <r>
          <rPr>
            <b/>
            <sz val="9"/>
            <color indexed="81"/>
            <rFont val="Tahoma"/>
            <family val="2"/>
          </rPr>
          <t>See Guide (help)</t>
        </r>
        <r>
          <rPr>
            <sz val="9"/>
            <color indexed="81"/>
            <rFont val="Tahoma"/>
            <family val="2"/>
          </rPr>
          <t xml:space="preserve">
</t>
        </r>
      </text>
    </comment>
    <comment ref="A11" authorId="0" shapeId="0" xr:uid="{A830A167-5075-411D-A4F6-0C8180402E8A}">
      <text>
        <r>
          <rPr>
            <b/>
            <sz val="9"/>
            <color indexed="81"/>
            <rFont val="Tahoma"/>
            <family val="2"/>
          </rPr>
          <t xml:space="preserve">Describe the test environment and setup.
</t>
        </r>
        <r>
          <rPr>
            <sz val="9"/>
            <color indexed="81"/>
            <rFont val="Tahoma"/>
            <family val="2"/>
          </rPr>
          <t xml:space="preserve">
</t>
        </r>
      </text>
    </comment>
    <comment ref="A16" authorId="0" shapeId="0" xr:uid="{AD5B1E02-7200-4D23-8E74-0FC18B7906FC}">
      <text>
        <r>
          <rPr>
            <b/>
            <sz val="9"/>
            <color indexed="81"/>
            <rFont val="Tahoma"/>
            <family val="2"/>
          </rPr>
          <t>Give the initial state before beginning the test.</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84070CC-06CA-450B-B89D-C598915D4D4B}">
      <text>
        <r>
          <rPr>
            <b/>
            <sz val="9"/>
            <color indexed="81"/>
            <rFont val="Tahoma"/>
            <family val="2"/>
          </rPr>
          <t xml:space="preserve">See Guide (help)
</t>
        </r>
        <r>
          <rPr>
            <sz val="9"/>
            <color indexed="81"/>
            <rFont val="Tahoma"/>
            <family val="2"/>
          </rPr>
          <t xml:space="preserve">
</t>
        </r>
      </text>
    </comment>
    <comment ref="A3" authorId="0" shapeId="0" xr:uid="{7CE15D5E-E4EA-4079-A88F-D97EFA3D3FEB}">
      <text>
        <r>
          <rPr>
            <b/>
            <sz val="9"/>
            <color indexed="81"/>
            <rFont val="Tahoma"/>
            <family val="2"/>
          </rPr>
          <t xml:space="preserve">See Guide (help)
</t>
        </r>
        <r>
          <rPr>
            <sz val="9"/>
            <color indexed="81"/>
            <rFont val="Tahoma"/>
            <family val="2"/>
          </rPr>
          <t xml:space="preserve">
</t>
        </r>
      </text>
    </comment>
    <comment ref="A5" authorId="0" shapeId="0" xr:uid="{49588683-8AD4-473A-9A56-1378F741E762}">
      <text>
        <r>
          <rPr>
            <sz val="9"/>
            <color indexed="81"/>
            <rFont val="Tahoma"/>
            <family val="2"/>
          </rPr>
          <t>Definition is in the "General info" tab.
Use the dropdown list.</t>
        </r>
      </text>
    </comment>
    <comment ref="A9" authorId="0" shapeId="0" xr:uid="{D676F7C2-B3E0-4109-9F7B-E9AFE89DF863}">
      <text>
        <r>
          <rPr>
            <b/>
            <sz val="9"/>
            <color indexed="81"/>
            <rFont val="Tahoma"/>
            <family val="2"/>
          </rPr>
          <t>See Guide (help)</t>
        </r>
        <r>
          <rPr>
            <sz val="9"/>
            <color indexed="81"/>
            <rFont val="Tahoma"/>
            <family val="2"/>
          </rPr>
          <t xml:space="preserve">
</t>
        </r>
      </text>
    </comment>
    <comment ref="A11" authorId="0" shapeId="0" xr:uid="{38DA3A33-750E-43B9-AB84-CF8EF3297645}">
      <text>
        <r>
          <rPr>
            <b/>
            <sz val="9"/>
            <color indexed="81"/>
            <rFont val="Tahoma"/>
            <family val="2"/>
          </rPr>
          <t xml:space="preserve">Describe the test environment and setup.
</t>
        </r>
        <r>
          <rPr>
            <sz val="9"/>
            <color indexed="81"/>
            <rFont val="Tahoma"/>
            <family val="2"/>
          </rPr>
          <t xml:space="preserve">
</t>
        </r>
      </text>
    </comment>
    <comment ref="A16" authorId="0" shapeId="0" xr:uid="{44B16220-BBA1-4680-833B-23EBC2361A84}">
      <text>
        <r>
          <rPr>
            <b/>
            <sz val="9"/>
            <color indexed="81"/>
            <rFont val="Tahoma"/>
            <family val="2"/>
          </rPr>
          <t>Give the initial state before beginning the test.</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4A827F1-BD37-4002-A1E4-F6BE9AF95756}">
      <text>
        <r>
          <rPr>
            <b/>
            <sz val="9"/>
            <color indexed="81"/>
            <rFont val="Tahoma"/>
            <family val="2"/>
          </rPr>
          <t xml:space="preserve">See Guide (help)
</t>
        </r>
        <r>
          <rPr>
            <sz val="9"/>
            <color indexed="81"/>
            <rFont val="Tahoma"/>
            <family val="2"/>
          </rPr>
          <t xml:space="preserve">
</t>
        </r>
      </text>
    </comment>
    <comment ref="A3" authorId="0" shapeId="0" xr:uid="{521A7A46-5F57-499A-BCAA-CA14E720A0AF}">
      <text>
        <r>
          <rPr>
            <b/>
            <sz val="9"/>
            <color indexed="81"/>
            <rFont val="Tahoma"/>
            <family val="2"/>
          </rPr>
          <t xml:space="preserve">See Guide (help)
</t>
        </r>
        <r>
          <rPr>
            <sz val="9"/>
            <color indexed="81"/>
            <rFont val="Tahoma"/>
            <family val="2"/>
          </rPr>
          <t xml:space="preserve">
</t>
        </r>
      </text>
    </comment>
    <comment ref="A5" authorId="0" shapeId="0" xr:uid="{637EB99E-71A7-4D36-A009-F95002253F75}">
      <text>
        <r>
          <rPr>
            <sz val="9"/>
            <color indexed="81"/>
            <rFont val="Tahoma"/>
            <family val="2"/>
          </rPr>
          <t>Definition is in the "General info" tab.
Use the dropdown list.</t>
        </r>
      </text>
    </comment>
    <comment ref="A9" authorId="0" shapeId="0" xr:uid="{A8829477-5178-4428-AA82-6C911DC70875}">
      <text>
        <r>
          <rPr>
            <b/>
            <sz val="9"/>
            <color indexed="81"/>
            <rFont val="Tahoma"/>
            <family val="2"/>
          </rPr>
          <t>See Guide (help)</t>
        </r>
        <r>
          <rPr>
            <sz val="9"/>
            <color indexed="81"/>
            <rFont val="Tahoma"/>
            <family val="2"/>
          </rPr>
          <t xml:space="preserve">
</t>
        </r>
      </text>
    </comment>
    <comment ref="A11" authorId="0" shapeId="0" xr:uid="{9B5D6EE9-0F55-4C30-89B2-4EF0D57EA639}">
      <text>
        <r>
          <rPr>
            <b/>
            <sz val="9"/>
            <color indexed="81"/>
            <rFont val="Tahoma"/>
            <family val="2"/>
          </rPr>
          <t xml:space="preserve">Describe the test environment and setup.
</t>
        </r>
        <r>
          <rPr>
            <sz val="9"/>
            <color indexed="81"/>
            <rFont val="Tahoma"/>
            <family val="2"/>
          </rPr>
          <t xml:space="preserve">
</t>
        </r>
      </text>
    </comment>
    <comment ref="A16" authorId="0" shapeId="0" xr:uid="{498FF622-A0D3-4FC1-A562-F291ACC3060E}">
      <text>
        <r>
          <rPr>
            <b/>
            <sz val="9"/>
            <color indexed="81"/>
            <rFont val="Tahoma"/>
            <family val="2"/>
          </rPr>
          <t>Give the initial state before beginning the test.</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6BE2C55-0220-4F32-9B24-140C81B278FA}">
      <text>
        <r>
          <rPr>
            <b/>
            <sz val="9"/>
            <color indexed="81"/>
            <rFont val="Tahoma"/>
            <family val="2"/>
          </rPr>
          <t xml:space="preserve">See Guide (help)
</t>
        </r>
        <r>
          <rPr>
            <sz val="9"/>
            <color indexed="81"/>
            <rFont val="Tahoma"/>
            <family val="2"/>
          </rPr>
          <t xml:space="preserve">
</t>
        </r>
      </text>
    </comment>
    <comment ref="A3" authorId="0" shapeId="0" xr:uid="{0DADF416-C53D-407E-81D3-52B3A980E20D}">
      <text>
        <r>
          <rPr>
            <b/>
            <sz val="9"/>
            <color indexed="81"/>
            <rFont val="Tahoma"/>
            <family val="2"/>
          </rPr>
          <t xml:space="preserve">See Guide (help)
</t>
        </r>
        <r>
          <rPr>
            <sz val="9"/>
            <color indexed="81"/>
            <rFont val="Tahoma"/>
            <family val="2"/>
          </rPr>
          <t xml:space="preserve">
</t>
        </r>
      </text>
    </comment>
    <comment ref="A5" authorId="0" shapeId="0" xr:uid="{C4089B63-BEAD-4860-A393-4B714ABE1849}">
      <text>
        <r>
          <rPr>
            <sz val="9"/>
            <color indexed="81"/>
            <rFont val="Tahoma"/>
            <family val="2"/>
          </rPr>
          <t>Definition is in the "General info" tab.
Use the dropdown list.</t>
        </r>
      </text>
    </comment>
    <comment ref="A9" authorId="0" shapeId="0" xr:uid="{4F713DCC-EC00-43D4-B382-284B3EA23F2B}">
      <text>
        <r>
          <rPr>
            <b/>
            <sz val="9"/>
            <color indexed="81"/>
            <rFont val="Tahoma"/>
            <family val="2"/>
          </rPr>
          <t>See Guide (help)</t>
        </r>
        <r>
          <rPr>
            <sz val="9"/>
            <color indexed="81"/>
            <rFont val="Tahoma"/>
            <family val="2"/>
          </rPr>
          <t xml:space="preserve">
</t>
        </r>
      </text>
    </comment>
    <comment ref="A11" authorId="0" shapeId="0" xr:uid="{74553E67-6D07-4860-8A00-07177EE46F4F}">
      <text>
        <r>
          <rPr>
            <b/>
            <sz val="9"/>
            <color indexed="81"/>
            <rFont val="Tahoma"/>
            <family val="2"/>
          </rPr>
          <t xml:space="preserve">Describe the test environment and setup.
</t>
        </r>
        <r>
          <rPr>
            <sz val="9"/>
            <color indexed="81"/>
            <rFont val="Tahoma"/>
            <family val="2"/>
          </rPr>
          <t xml:space="preserve">
</t>
        </r>
      </text>
    </comment>
    <comment ref="A16" authorId="0" shapeId="0" xr:uid="{223094A2-CBEE-4609-887D-86D605BDE07A}">
      <text>
        <r>
          <rPr>
            <b/>
            <sz val="9"/>
            <color indexed="81"/>
            <rFont val="Tahoma"/>
            <family val="2"/>
          </rPr>
          <t>Give the initial state before beginning the test.</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50CD7818-2B67-4471-BCF8-F1745A136924}">
      <text>
        <r>
          <rPr>
            <b/>
            <sz val="9"/>
            <color indexed="81"/>
            <rFont val="Tahoma"/>
            <family val="2"/>
          </rPr>
          <t xml:space="preserve">See Guide (help)
</t>
        </r>
        <r>
          <rPr>
            <sz val="9"/>
            <color indexed="81"/>
            <rFont val="Tahoma"/>
            <family val="2"/>
          </rPr>
          <t xml:space="preserve">
</t>
        </r>
      </text>
    </comment>
    <comment ref="A3" authorId="0" shapeId="0" xr:uid="{D77DEDEB-5D74-4CC1-918B-2EA5F185BE3C}">
      <text>
        <r>
          <rPr>
            <b/>
            <sz val="9"/>
            <color indexed="81"/>
            <rFont val="Tahoma"/>
            <family val="2"/>
          </rPr>
          <t xml:space="preserve">See Guide (help)
</t>
        </r>
        <r>
          <rPr>
            <sz val="9"/>
            <color indexed="81"/>
            <rFont val="Tahoma"/>
            <family val="2"/>
          </rPr>
          <t xml:space="preserve">
</t>
        </r>
      </text>
    </comment>
    <comment ref="A5" authorId="0" shapeId="0" xr:uid="{EBDC462E-791E-40E6-BDB1-24CAE4AED000}">
      <text>
        <r>
          <rPr>
            <sz val="9"/>
            <color indexed="81"/>
            <rFont val="Tahoma"/>
            <family val="2"/>
          </rPr>
          <t>Definition is in the "General info" tab.
Use the dropdown list.</t>
        </r>
      </text>
    </comment>
    <comment ref="A9" authorId="0" shapeId="0" xr:uid="{0DC58A38-5956-4973-A525-AB33E051A6AF}">
      <text>
        <r>
          <rPr>
            <b/>
            <sz val="9"/>
            <color indexed="81"/>
            <rFont val="Tahoma"/>
            <family val="2"/>
          </rPr>
          <t>See Guide (help)</t>
        </r>
        <r>
          <rPr>
            <sz val="9"/>
            <color indexed="81"/>
            <rFont val="Tahoma"/>
            <family val="2"/>
          </rPr>
          <t xml:space="preserve">
</t>
        </r>
      </text>
    </comment>
    <comment ref="A11" authorId="0" shapeId="0" xr:uid="{E8C00ED2-20D9-48BF-A965-031817070147}">
      <text>
        <r>
          <rPr>
            <b/>
            <sz val="9"/>
            <color indexed="81"/>
            <rFont val="Tahoma"/>
            <family val="2"/>
          </rPr>
          <t xml:space="preserve">Describe the test environment and setup.
</t>
        </r>
        <r>
          <rPr>
            <sz val="9"/>
            <color indexed="81"/>
            <rFont val="Tahoma"/>
            <family val="2"/>
          </rPr>
          <t xml:space="preserve">
</t>
        </r>
      </text>
    </comment>
    <comment ref="A16" authorId="0" shapeId="0" xr:uid="{CA33A2ED-8941-40AC-99EA-8E699B641B0A}">
      <text>
        <r>
          <rPr>
            <b/>
            <sz val="9"/>
            <color indexed="81"/>
            <rFont val="Tahoma"/>
            <family val="2"/>
          </rPr>
          <t>Give the initial state before beginning the test.</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6F0F256F-73BF-4066-8618-C675D248F531}">
      <text>
        <r>
          <rPr>
            <b/>
            <sz val="9"/>
            <color indexed="81"/>
            <rFont val="Tahoma"/>
            <family val="2"/>
          </rPr>
          <t xml:space="preserve">See Guide (help)
</t>
        </r>
        <r>
          <rPr>
            <sz val="9"/>
            <color indexed="81"/>
            <rFont val="Tahoma"/>
            <family val="2"/>
          </rPr>
          <t xml:space="preserve">
</t>
        </r>
      </text>
    </comment>
    <comment ref="A3" authorId="0" shapeId="0" xr:uid="{B0F76A08-505B-4B0C-A6B1-63A1843E46AD}">
      <text>
        <r>
          <rPr>
            <b/>
            <sz val="9"/>
            <color indexed="81"/>
            <rFont val="Tahoma"/>
            <family val="2"/>
          </rPr>
          <t xml:space="preserve">See Guide (help)
</t>
        </r>
        <r>
          <rPr>
            <sz val="9"/>
            <color indexed="81"/>
            <rFont val="Tahoma"/>
            <family val="2"/>
          </rPr>
          <t xml:space="preserve">
</t>
        </r>
      </text>
    </comment>
    <comment ref="A5" authorId="0" shapeId="0" xr:uid="{FB3F37A0-C19B-4131-88C5-16E83FF4D9C6}">
      <text>
        <r>
          <rPr>
            <sz val="9"/>
            <color indexed="81"/>
            <rFont val="Tahoma"/>
            <family val="2"/>
          </rPr>
          <t>Definition is in the "General info" tab.
Use the dropdown list.</t>
        </r>
      </text>
    </comment>
    <comment ref="A9" authorId="0" shapeId="0" xr:uid="{8230FBE9-9E14-4756-8654-4D5015413D70}">
      <text>
        <r>
          <rPr>
            <b/>
            <sz val="9"/>
            <color indexed="81"/>
            <rFont val="Tahoma"/>
            <family val="2"/>
          </rPr>
          <t>See Guide (help)</t>
        </r>
        <r>
          <rPr>
            <sz val="9"/>
            <color indexed="81"/>
            <rFont val="Tahoma"/>
            <family val="2"/>
          </rPr>
          <t xml:space="preserve">
</t>
        </r>
      </text>
    </comment>
    <comment ref="A11" authorId="0" shapeId="0" xr:uid="{0DEA4E6D-C931-41DD-AA31-DB871C80B46A}">
      <text>
        <r>
          <rPr>
            <b/>
            <sz val="9"/>
            <color indexed="81"/>
            <rFont val="Tahoma"/>
            <family val="2"/>
          </rPr>
          <t xml:space="preserve">Describe the test environment and setup.
</t>
        </r>
        <r>
          <rPr>
            <sz val="9"/>
            <color indexed="81"/>
            <rFont val="Tahoma"/>
            <family val="2"/>
          </rPr>
          <t xml:space="preserve">
</t>
        </r>
      </text>
    </comment>
    <comment ref="A16" authorId="0" shapeId="0" xr:uid="{BAD98518-70C9-4239-8E8A-4935FCD096CC}">
      <text>
        <r>
          <rPr>
            <b/>
            <sz val="9"/>
            <color indexed="81"/>
            <rFont val="Tahoma"/>
            <family val="2"/>
          </rPr>
          <t>Give the initial state before beginning the test.</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998D1BA-A8A7-4BD1-B6DD-A7AB3B202D72}">
      <text>
        <r>
          <rPr>
            <b/>
            <sz val="9"/>
            <color indexed="81"/>
            <rFont val="Tahoma"/>
            <family val="2"/>
          </rPr>
          <t xml:space="preserve">See Guide (help)
</t>
        </r>
        <r>
          <rPr>
            <sz val="9"/>
            <color indexed="81"/>
            <rFont val="Tahoma"/>
            <family val="2"/>
          </rPr>
          <t xml:space="preserve">
</t>
        </r>
      </text>
    </comment>
    <comment ref="A3" authorId="0" shapeId="0" xr:uid="{C77150C0-D055-43A4-A88B-9114517235EF}">
      <text>
        <r>
          <rPr>
            <b/>
            <sz val="9"/>
            <color indexed="81"/>
            <rFont val="Tahoma"/>
            <family val="2"/>
          </rPr>
          <t xml:space="preserve">See Guide (help)
</t>
        </r>
        <r>
          <rPr>
            <sz val="9"/>
            <color indexed="81"/>
            <rFont val="Tahoma"/>
            <family val="2"/>
          </rPr>
          <t xml:space="preserve">
</t>
        </r>
      </text>
    </comment>
    <comment ref="A5" authorId="0" shapeId="0" xr:uid="{6DD7755E-B0A0-4427-91CE-3750716D0D1F}">
      <text>
        <r>
          <rPr>
            <sz val="9"/>
            <color indexed="81"/>
            <rFont val="Tahoma"/>
            <family val="2"/>
          </rPr>
          <t>Definition is in the "General info" tab.
Use the dropdown list.</t>
        </r>
      </text>
    </comment>
    <comment ref="A9" authorId="0" shapeId="0" xr:uid="{50A8D592-DE92-4A1D-A9A9-D0985953D248}">
      <text>
        <r>
          <rPr>
            <b/>
            <sz val="9"/>
            <color indexed="81"/>
            <rFont val="Tahoma"/>
            <family val="2"/>
          </rPr>
          <t>See Guide (help)</t>
        </r>
        <r>
          <rPr>
            <sz val="9"/>
            <color indexed="81"/>
            <rFont val="Tahoma"/>
            <family val="2"/>
          </rPr>
          <t xml:space="preserve">
</t>
        </r>
      </text>
    </comment>
    <comment ref="A11" authorId="0" shapeId="0" xr:uid="{FD4CF54F-AEE4-45D3-B0F8-B672C2C12795}">
      <text>
        <r>
          <rPr>
            <b/>
            <sz val="9"/>
            <color indexed="81"/>
            <rFont val="Tahoma"/>
            <family val="2"/>
          </rPr>
          <t xml:space="preserve">Describe the test environment and setup.
</t>
        </r>
        <r>
          <rPr>
            <sz val="9"/>
            <color indexed="81"/>
            <rFont val="Tahoma"/>
            <family val="2"/>
          </rPr>
          <t xml:space="preserve">
</t>
        </r>
      </text>
    </comment>
    <comment ref="A16" authorId="0" shapeId="0" xr:uid="{40AD9427-7ED6-4DB3-B62F-2539050EAC24}">
      <text>
        <r>
          <rPr>
            <b/>
            <sz val="9"/>
            <color indexed="81"/>
            <rFont val="Tahoma"/>
            <family val="2"/>
          </rPr>
          <t>Give the initial state before beginning the test.</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02E7976-D90A-4B2A-889C-38379819F44C}">
      <text>
        <r>
          <rPr>
            <b/>
            <sz val="9"/>
            <color indexed="81"/>
            <rFont val="Tahoma"/>
            <family val="2"/>
          </rPr>
          <t xml:space="preserve">See Guide (help)
</t>
        </r>
        <r>
          <rPr>
            <sz val="9"/>
            <color indexed="81"/>
            <rFont val="Tahoma"/>
            <family val="2"/>
          </rPr>
          <t xml:space="preserve">
</t>
        </r>
      </text>
    </comment>
    <comment ref="A3" authorId="0" shapeId="0" xr:uid="{47B2FA2A-C440-4D6D-B539-540B95705ACD}">
      <text>
        <r>
          <rPr>
            <b/>
            <sz val="9"/>
            <color indexed="81"/>
            <rFont val="Tahoma"/>
            <family val="2"/>
          </rPr>
          <t xml:space="preserve">See Guide (help)
</t>
        </r>
        <r>
          <rPr>
            <sz val="9"/>
            <color indexed="81"/>
            <rFont val="Tahoma"/>
            <family val="2"/>
          </rPr>
          <t xml:space="preserve">
</t>
        </r>
      </text>
    </comment>
    <comment ref="A5" authorId="0" shapeId="0" xr:uid="{33B12B4B-329B-493F-968D-5FF162C4840F}">
      <text>
        <r>
          <rPr>
            <sz val="9"/>
            <color indexed="81"/>
            <rFont val="Tahoma"/>
            <family val="2"/>
          </rPr>
          <t>Definition is in the "General info" tab.
Use the dropdown list.</t>
        </r>
      </text>
    </comment>
    <comment ref="A9" authorId="0" shapeId="0" xr:uid="{DE48DF5F-9352-4D37-B879-7127EDC6A103}">
      <text>
        <r>
          <rPr>
            <b/>
            <sz val="9"/>
            <color indexed="81"/>
            <rFont val="Tahoma"/>
            <family val="2"/>
          </rPr>
          <t>See Guide (help)</t>
        </r>
        <r>
          <rPr>
            <sz val="9"/>
            <color indexed="81"/>
            <rFont val="Tahoma"/>
            <family val="2"/>
          </rPr>
          <t xml:space="preserve">
</t>
        </r>
      </text>
    </comment>
    <comment ref="A11" authorId="0" shapeId="0" xr:uid="{CB963904-C06B-4E7E-862D-7C9CCBD7EE4F}">
      <text>
        <r>
          <rPr>
            <b/>
            <sz val="9"/>
            <color indexed="81"/>
            <rFont val="Tahoma"/>
            <family val="2"/>
          </rPr>
          <t xml:space="preserve">Describe the test environment and setup.
</t>
        </r>
        <r>
          <rPr>
            <sz val="9"/>
            <color indexed="81"/>
            <rFont val="Tahoma"/>
            <family val="2"/>
          </rPr>
          <t xml:space="preserve">
</t>
        </r>
      </text>
    </comment>
    <comment ref="A16" authorId="0" shapeId="0" xr:uid="{01DD343D-5935-409A-81B4-7AC3FF4B86DC}">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<sst xmlns="http://schemas.openxmlformats.org/spreadsheetml/2006/main" count="854" uniqueCount="269">
  <si>
    <t>Project Number &amp; Name</t>
  </si>
  <si>
    <t>Document state</t>
  </si>
  <si>
    <t>Document id</t>
  </si>
  <si>
    <t>Document title</t>
  </si>
  <si>
    <t>Version</t>
  </si>
  <si>
    <t>Description/comment</t>
  </si>
  <si>
    <t>Tab</t>
  </si>
  <si>
    <t>ID</t>
  </si>
  <si>
    <t>Title</t>
  </si>
  <si>
    <t>Reference &amp; revision</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</si>
  <si>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</si>
  <si>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</si>
  <si>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</si>
  <si>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</si>
  <si>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</si>
  <si>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</si>
  <si>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</si>
  <si>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</si>
  <si>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</si>
  <si>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</si>
  <si>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</si>
  <si>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</si>
  <si>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</si>
  <si>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</si>
  <si>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</si>
  <si>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</si>
  <si>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</si>
  <si>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</si>
  <si>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</si>
  <si>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</si>
  <si>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</si>
  <si>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</si>
  <si>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</si>
  <si>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</si>
  <si>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</si>
  <si>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The front page contains information about the document.
Note : the blue cells are automatically filled by PLM and/or formula</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</si>
  <si>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</si>
  <si>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</si>
  <si>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</si>
  <si>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</si>
  <si>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</si>
  <si>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</si>
  <si>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</si>
  <si>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</si>
  <si>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</si>
  <si>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</si>
  <si>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</si>
  <si>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</si>
  <si>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</si>
  <si>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</si>
  <si>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</si>
  <si>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</si>
  <si>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</si>
  <si>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</si>
  <si>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</si>
  <si>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</si>
  <si>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</si>
  <si>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</si>
  <si>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</si>
  <si>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</si>
  <si>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</si>
  <si>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</si>
  <si>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</si>
  <si>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</si>
  <si>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</si>
  <si>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</si>
  <si>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</si>
  <si>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</si>
  <si>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</si>
  <si>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</si>
  <si>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</si>
  <si>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</si>
  <si>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</si>
  <si>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</si>
  <si>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</si>
  <si>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</si>
  <si>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</si>
  <si>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</si>
  <si>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</si>
  <si>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</si>
  <si>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</si>
  <si>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</si>
  <si>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</si>
  <si>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</si>
  <si>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</si>
  <si>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</si>
  <si>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</si>
  <si>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</si>
  <si>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</si>
  <si>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</si>
  <si>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</si>
  <si>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</si>
  <si>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</si>
  <si>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</si>
  <si>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</si>
  <si>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</si>
  <si>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</si>
  <si>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</si>
  <si>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</si>
  <si>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</si>
  <si>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</si>
  <si>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</si>
  <si>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</si>
  <si>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</si>
  <si>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</si>
  <si>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</si>
  <si>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</si>
  <si>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</si>
  <si>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</si>
  <si>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</si>
  <si>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</si>
  <si>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</si>
  <si>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</si>
  <si>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</si>
  <si>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</si>
  <si>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</si>
  <si>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</si>
  <si>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</si>
  <si>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</si>
  <si>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</si>
  <si>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</si>
  <si>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</si>
  <si>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This sheet helps to fill the differents fields and sheets of the template.</t>
  </si>
  <si>
    <t>254888 DAIMLER MER W174W178 EL SB ECU</t>
  </si>
  <si>
    <t>Initial revision</t>
  </si>
  <si>
    <t>NA</t>
  </si>
  <si>
    <t xml:space="preserve">See Project Master Document for the roles and Project Members List for the name of people </t>
  </si>
  <si>
    <t>Stefan Dominte</t>
  </si>
  <si>
    <t>Ok</t>
  </si>
  <si>
    <t>Nominal</t>
  </si>
  <si>
    <t>23.06.2022</t>
  </si>
  <si>
    <t>1.1</t>
  </si>
  <si>
    <t>1.2</t>
  </si>
  <si>
    <t>Revision update</t>
  </si>
  <si>
    <t>Breakpoint is reached</t>
  </si>
  <si>
    <t>ARCH_SW_BMM_0005</t>
  </si>
  <si>
    <t>Hall efect senser managemnet</t>
  </si>
  <si>
    <t>Verify if the information from Hall effect sensor is managed periodically by BMM.</t>
  </si>
  <si>
    <t>ARCH_SW_BMM_0010</t>
  </si>
  <si>
    <t>In WinIdea, set a breakpoint in the function BMM_runMainFunction(void) at line "boolean bmm_bHesAFailure = FALSE;" from file BMM.c</t>
  </si>
  <si>
    <t>Initialized Hall effect sensor</t>
  </si>
  <si>
    <t>Verify if Hall effect sensors HW component and the SW module itself are initialized.</t>
  </si>
  <si>
    <t>Set a breakpoint in the function BMM_runInit(void) at line "Port_SetPinMode(PortConf_PortContainer_2_PORT_2_PIN_6, PORT_PIN_MODE_ALT5);" from file BMM.c.</t>
  </si>
  <si>
    <t>Breakpoint is not reached</t>
  </si>
  <si>
    <t>Nok</t>
  </si>
  <si>
    <t>This module shall provide to the rest of the application the displacement of the belt in millimeters from its position recorded by the BMM at product startup.</t>
  </si>
  <si>
    <t>Set a breakpoint  in the function BMM_runGetPositionFromT0_deg() at line "*ps16BeltPosition_deg = (sint16)(((sint32)BMM_s16CurrentPosition *" from file BMM.c</t>
  </si>
  <si>
    <t>ARCH_SW_BMM_0025</t>
  </si>
  <si>
    <t>This module shall provide to the rest of the application the displacement of the belt in millimeters from its minimum position (continuously monitored by the BMM).</t>
  </si>
  <si>
    <t>Set a breakpoint  in the function BMM_runGetPositionFromMinPos_deg() at line "*ps16BeltPosition_deg = (sint16)( ( ((sint32)s16CurPos - s16LowPos) * KS16_NB_DEGREES_PER_TURN)" from file BMM.c</t>
  </si>
  <si>
    <t>Function has no breakpoint</t>
  </si>
  <si>
    <t>This module shall provide to the rest of the application the displacement of the belt in degrees from its minimum position (continuously monitored by the BMM).</t>
  </si>
  <si>
    <t>ARCH_SW_BMM_0030</t>
  </si>
  <si>
    <t>ARCH_SW_BMM_0035</t>
  </si>
  <si>
    <t>This module shall provide to the rest of the application the minimum and maximum displacement of the belt in degrees observed since its initial position recorded at product startup (T0) by the BMM.</t>
  </si>
  <si>
    <t>Set a breakpoint in the function BMM_runGetPositionRange_deg() at line "*ps16BeltPosition_min_deg = (sint16)(((sint32)BMM_s16LowestPosition * KS16_NB_DEGREES_PER_TURN)" from file BMM.c</t>
  </si>
  <si>
    <t>Set a breakpoint in the function BMM_runGetPositionRange_deg() at line "*ps16BeltPosition_max_deg = (sint16)(((sint32)BMM_s16HighestPosition * KS16_NB_DEGREES_PER_TURN)" from file BMM.c</t>
  </si>
  <si>
    <t>Set a breakpoint  in the function BMM_runGetPositionFromMinPos_mm() at line "*ps16BeltPosition_mm = (sint16)( ( ((sint32)s16CurPos - s16LowPos) * BMM_S16_BOBBIN_PERIMETER_IN_MM_CFG)" from file BMM.c</t>
  </si>
  <si>
    <t>ARCH_SW_BMM_0040</t>
  </si>
  <si>
    <t>This module shall provide to the rest of the application the minimum and maximum displacement of the belt in millimeters observed since its initial position recorded at product startup (T0) by the BMM.</t>
  </si>
  <si>
    <t>ARCH_SW_BMM_0045</t>
  </si>
  <si>
    <t>This module shall provide to the rest of the application the belt speed in degrees per seconds.</t>
  </si>
  <si>
    <t>Set a breakpoint in the file CIL_Manage MFTransmission.c in function cil_Update_07Cx_InfosToSend() at line "if (KU8_CIL_MF_NB_OF_BLOCKS &gt;= cil_u8MeasureNextBlockToSend)".</t>
  </si>
  <si>
    <t>In the same function at line "(*(cil_capfCILBlocksEncodFunc[cil_u8MeasureNextBlockToSend-KU8_ONE]))();" change variable cil_u8MeasureNextBlockToSend vale to 14 and press step in 2 times.</t>
  </si>
  <si>
    <t>Function cil_Update_07Cx_Block14_InfosToSend(void) is reached</t>
  </si>
  <si>
    <t>In the function cil_Update_07Cx_Block14_InfosToSend(), set a breakpoint at line "Rte_Call_pclBelt_D_GetRange_mm(&amp;s16OriginPosition, &amp;s16MaxPosition);" and press run.</t>
  </si>
  <si>
    <t>Following step 3, press step in 2 times. Set a breakpoint in the function BMM_runGetPositionRange_mm at line "*ps16BeltPosition_min_mm = (sint16)(((sint32)BMM_s16LowestPosition * BMM_S16_BOBBIN_PERIMETER_IN_MM_CFG)" from file BMM.c</t>
  </si>
  <si>
    <t>Following step 3, press step in 2 times. Set a breakpoint in the function BMM_runGetPositionRange_mm at line "*ps16BeltPosition_max_mm = (sint16)(((sint32)BMM_s16HighestPosition * BMM_S16_BOBBIN_PERIMETER_IN_MM_CFG)" from file BMM.c</t>
  </si>
  <si>
    <t>In the same function at line "(*(cil_capfCILBlocksEncodFunc[cil_u8MeasureNextBlockToSend-KU8_ONE]))();" change variable cil_u8MeasureNextBlockToSend value to 6 and press step in 2 times.</t>
  </si>
  <si>
    <t>In the function cil_Update_07Cx_Block06_InfosToSend(), set a breakpoint at line "Rte_Call_pclBelt_S_GetSpeed_deg_s(&amp;s32BobbinSpeed);" and press run.</t>
  </si>
  <si>
    <t xml:space="preserve">Following step 3, press step in. Set a breakpoint in the function BMM_runGetSpeed_deg_s() at the last line "}" in the file BMM.c. Press run and check if the value of ps32BeltSpeed_deg_s has changed. </t>
  </si>
  <si>
    <t>Breakpoint is reached; ps32BeltSpeed_deg_s value has changed</t>
  </si>
  <si>
    <t>ARCH_SW_BMM_0048</t>
  </si>
  <si>
    <t>This module shall provide to the rest of the application the belt speed in millimeters per seconds.</t>
  </si>
  <si>
    <t>Set a breakpoint in the file BFE_BeltFunctionExecution.c in function BFE_runScheduleStep(void) at line "Rte_Call_pseBelt_S_GetSpeed_mm_s(&amp;ps32BeltSpeed_mm_s_a);".</t>
  </si>
  <si>
    <t>Set a breakpoint in the file BMM.c in function BMM_runGetSpeed_mm_s() at line "if (BMM_u16MeasuredPeriod != 0)".</t>
  </si>
  <si>
    <t>ARCH_SW_BMM_0340</t>
  </si>
  <si>
    <t>BMM shall check if the current consumption of the hall effect sensor is in the expected range.</t>
  </si>
  <si>
    <t xml:space="preserve">Set a breakpoint in the file BMM_autotests.c at line "void BMM_Autotest_CheckHallEffectSensor(u8TestResultType * pu8TestResult)" </t>
  </si>
  <si>
    <t>Set a breakpoint in the file BMM_autotests.c in the function BMM_Autotest_CheckHallEffectSensor() at line "if( (u16FilteredHESAInputVoltage_lsb &gt; NVP_BLOCK_ID_TESTS_PARAM_RamBlockData.NVP_u16HESTestHighThrs) ||"</t>
  </si>
  <si>
    <t>ARCH_SW_BMM_1060</t>
  </si>
  <si>
    <t>This function shall deactivate the interrupt linked to the HES pulses signal</t>
  </si>
  <si>
    <t>Set a breakpoint in the file MMG_DowngradedModes.c in the function mmg_UpdateModeStatus_NoHallEffectSensor(void) at line "if (ERH_KU8_AEC_QUALIFIED_STATUS_MASK != (ERH_KU8_AEC_QUALIFIED_STATUS_MASK &amp; mmg_u8AECStatus))"</t>
  </si>
  <si>
    <t>Get variable mmg_u8AECStatus from the step 1 if statement and change its value to 23.</t>
  </si>
  <si>
    <t>Set a breakpoint in the file MMG_DowngradedModes.c in the function mmg_UpdateModeStatus_NoHallEffectSensor(void) at line "Rte_Call_pcl_HBSControl_DisableHBSMonitoring();" and press run</t>
  </si>
  <si>
    <t xml:space="preserve">Set a breakpoint in the file BMM.c in the function BMM_runDisableHBSMonitoring() at variables SRC_GPT120T5.B.SRE, SRC_GPT120CIRQ.B.SRE and press run. </t>
  </si>
  <si>
    <t>ARCH_SW_BMM_1080</t>
  </si>
  <si>
    <t>This function shall activate the interrupt linked to the HES pulses signal</t>
  </si>
  <si>
    <t xml:space="preserve">Set a breakpoint in the file MMG_DowngradedModes.c in the function mmg_UpdateModeStatus_NoHallEffectSensor(void) at line "Rte_Call_pcl_HBSControl_EnableHBSMonitoring();". Press step in after breakpoint is reached. </t>
  </si>
  <si>
    <t>Set breakpoints in the file BMM.c in the function BMM_runEnableHBSMonitoring() at variables GPT120_T3CON.B.T3R, GPT120_T5CON.B.T5R and press run.</t>
  </si>
  <si>
    <t>Breakpoints are reached</t>
  </si>
  <si>
    <t>ARCH_SW_BMM_1100</t>
  </si>
  <si>
    <t>This function shall manage the sensor A and B signals.</t>
  </si>
  <si>
    <t>ARCH_SW_BMM_1200</t>
  </si>
  <si>
    <t>This function shall take into account the timer overflow to compute the pulse measurement duration properly.</t>
  </si>
  <si>
    <t>Set a breakpoint in file BMM.c, in function OS_ISR_BMM_HES_TOUT() at line "if (BMM_u8OverflowCnt &gt;= TIMER_TIMEOUT)"</t>
  </si>
  <si>
    <t>The AdcIf_runGetHBS_A_V_100ms function shall be called to get the value measured of Hall Effect Sensor A</t>
  </si>
  <si>
    <t>Set a breakpoint in file BMM_autotests.c, in function BMM_Autotest_CheckHallEffectSensor() at line "Rte_Call_pclHBS_A_V_raw_Get_100ms (&amp; u16FilteredHESAInputVoltage_lsb);". After breakpoint is reached press step in</t>
  </si>
  <si>
    <t>Set a breakpoint in file Adcif_cfg.c, in function AdcIf_runGetHBS_A_V_100ms() at line "*pu16SampledSignal = IIR_GET_RESULT(KU8_HBS_A_V_IIR100_INDEX, KU8_HBS_A_V_IIR100_DIVISOR);".</t>
  </si>
  <si>
    <t>The AdcIf_runGetHBS_B_V_100ms function shall be called to get the value measured of Hall Effect Sensor B</t>
  </si>
  <si>
    <t>Set a breakpoint in file Adcif_cfg.c, in function AdcIf_runGetHBS_B_V_100ms() at line "*pu16SampledSignal = IIR_GET_RESULT(KU8_HBS_B_V_IIR100_INDEX, KU8_HBS_B_V_IIR100_DIVISOR);".</t>
  </si>
  <si>
    <t>ARCH_SW_BMM_0011</t>
  </si>
  <si>
    <t>ARCH_SW_BMM_0006, ARCH_SW_BMM_0345</t>
  </si>
  <si>
    <t>ARCH_SW_BMM_0007, ARCH_SW_BMM_0346</t>
  </si>
  <si>
    <t>ARCH_SW_BMM_0347</t>
  </si>
  <si>
    <t>ATM_runGetTestResult shall be called to get the status ot specific tests (inhibiting the execution of the present one if failed).</t>
  </si>
  <si>
    <t>ARCH_SW_BMM_0348</t>
  </si>
  <si>
    <t>ERH_GetAecStatus shall be called to get the status ot specific aec</t>
  </si>
  <si>
    <t>CANoe, WinIDEA</t>
  </si>
  <si>
    <t>Running software (hsm+bm+fbl+app), no DET, traps, etc</t>
  </si>
  <si>
    <t>The  Port_SetPinMode function shall be called to Set pin P02.6 as ALT5 and 
 pin P02.7 as ALT5</t>
  </si>
  <si>
    <t>Set a breakpoint in file BMM.c in function OS_ISR_BMM_HES_IT() at line "LevelHES_A = Dio_ReadChannel(DioConf_DioChannel_HES_A);" and after pull the seatbelt to activate HES.</t>
  </si>
  <si>
    <t>Set a breakpoint in file BMM.c in function OS_ISR_BMM_HES_IT() at line "LevelHES_B = Dio_ReadChannel(DioConf_DioChannel_HES_B);" and after pull the seatbelt to activate HES.</t>
  </si>
  <si>
    <t>ATM_runGetTestResult() is reached</t>
  </si>
  <si>
    <t>ATM_runGetTestResult() is not reached</t>
  </si>
  <si>
    <t>Set a breakpoint in the file BMM.c at function BMM_runMainFunction() at line: "Rte_Call_pclHBS_A_V_raw_Get_100ms(&amp;bmm_u16FilteredHESAInputVoltage_lsb);" and step in to check if ATM_runGetTestResult() is reached.</t>
  </si>
  <si>
    <t>Set a breakpoint in the file BMM.c at function BMM_runMainFunction() at line: "Rte_Call_pclHBS_A_V_raw_Get_100ms(&amp;bmm_u16FilteredHESAInputVoltage_lsb);" and step in to check if ERH_GetAecStatus() is reached.</t>
  </si>
  <si>
    <t>ERH_GetAecStatus () is reached</t>
  </si>
  <si>
    <t>ERH_GetAecStatus() is not reached</t>
  </si>
  <si>
    <t>Set a breakpoint in the file BMM.c in the function BMM_runInit() at line "Port_SetPinMode(PortConf_PortContainer_2_PORT_2_PIN_6, PORT_PIN_MODE_ALT5);". Press reset then run.</t>
  </si>
  <si>
    <t>Step 8</t>
  </si>
  <si>
    <t>Step 9</t>
  </si>
  <si>
    <t>Set a breakpoint in file BMM_autotests.c, in function BMM_Autotest_CheckHallEffectSensor() at line "Rte_Call_pclHBS_B_V_raw_Get_100ms (&amp; u16FilteredHESBInputVoltage_lsb);". After breakpoint is reached press step in.</t>
  </si>
  <si>
    <t>Ciprian Galbau</t>
  </si>
  <si>
    <t>Applied from SW R3.0 release</t>
  </si>
  <si>
    <t>1.3</t>
  </si>
  <si>
    <t>06.09.2022</t>
  </si>
  <si>
    <t>Integration test R3.0</t>
  </si>
  <si>
    <t>BMM - Software Integration Test Specification Report.xls</t>
  </si>
  <si>
    <t>SW_IT_BMM_0001</t>
  </si>
  <si>
    <t>SW_IT_BMM_0002</t>
  </si>
  <si>
    <t>SW_IT_BMM_0003</t>
  </si>
  <si>
    <t>SW_IT_BMM_0004</t>
  </si>
  <si>
    <t>SW_IT_BMM_0005</t>
  </si>
  <si>
    <t>SW_IT_BMM_0006</t>
  </si>
  <si>
    <t>SW_IT_BMM_0007</t>
  </si>
  <si>
    <t>SW_IT_BMM_0008</t>
  </si>
  <si>
    <t>SW_IT_BMM_0009</t>
  </si>
  <si>
    <t>SW_IT_BMM_0010</t>
  </si>
  <si>
    <t>SW_IT_BMM_0011</t>
  </si>
  <si>
    <t>SW_IT_BMM_0012</t>
  </si>
  <si>
    <t>SW_IT_BMM_0013</t>
  </si>
  <si>
    <t>SW_IT_BMM_0014</t>
  </si>
  <si>
    <t>SW_IT_BMM_0015</t>
  </si>
  <si>
    <t>SW_IT_BMM_0016</t>
  </si>
  <si>
    <t>SW_IT_BMM_0017</t>
  </si>
  <si>
    <t>SW_IT_BMM_0018</t>
  </si>
  <si>
    <t>SW_IT_BMM_0019</t>
  </si>
  <si>
    <t>C. Galbau</t>
  </si>
  <si>
    <t>Belt position T0_deg</t>
  </si>
  <si>
    <t>Belt position Min Pos Deg</t>
  </si>
  <si>
    <t>Belt position Pin Pos mm</t>
  </si>
  <si>
    <t>Belt position Range Deg</t>
  </si>
  <si>
    <t>Bmm interface to Block 14</t>
  </si>
  <si>
    <t>Bmm to Block 6</t>
  </si>
  <si>
    <t>Bmm get speed</t>
  </si>
  <si>
    <t>Bmm HES consumption check</t>
  </si>
  <si>
    <t>Bmm disable interrupts from HES</t>
  </si>
  <si>
    <t>Bmm activate interrupts</t>
  </si>
  <si>
    <t>Bmm read sensors</t>
  </si>
  <si>
    <t>Bmm manage timer overflow</t>
  </si>
  <si>
    <t>Interface between Bmm and AdcIf channel B</t>
  </si>
  <si>
    <t>Interface between Bmm and AdcIf channel A</t>
  </si>
  <si>
    <t>Interface between Bmm and Port</t>
  </si>
  <si>
    <t xml:space="preserve">Bmm interface to ATM test result </t>
  </si>
  <si>
    <t>Interface between ATM and ERH</t>
  </si>
  <si>
    <t>ARCH_SW_BMM_0015, ARCH_SW_BMM_0020</t>
  </si>
  <si>
    <r>
      <t xml:space="preserve">Comment
</t>
    </r>
    <r>
      <rPr>
        <i/>
        <sz val="11"/>
        <rFont val="Calibri"/>
        <family val="2"/>
      </rPr>
      <t>(aplicable only if test not executed)</t>
    </r>
  </si>
  <si>
    <t>Test for Regression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</si>
</sst>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
  </numFmts>
  <fonts count="45"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sz val="10"/>
      <color rgb="FF000080"/>
      <name val="Arial"/>
      <family val="2"/>
    </font>
    <font>
      <sz val="8"/>
      <name val="Arial"/>
      <family val="2"/>
    </font>
    <font>
      <sz val="8"/>
      <name val="Arial"/>
    </font>
    <font>
      <sz val="11"/>
      <name val="Calibri"/>
      <family val="2"/>
      <charset val="238"/>
    </font>
    <font>
      <i/>
      <sz val="11"/>
      <name val="Calibri"/>
      <family val="2"/>
    </font>
  </fonts>
  <fills count="11">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
      <patternFill patternType="solid">
        <fgColor rgb="FFC5D9F1"/>
        <bgColor rgb="FF000000"/>
      </patternFill>
    </fill>
  </fills>
  <borders count="44">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thin">
        <color rgb="FF000080"/>
      </bottom>
      <diagonal/>
    </border>
    <border>
      <left style="thin">
        <color indexed="64"/>
      </left>
      <right style="thin">
        <color indexed="64"/>
      </right>
      <top style="medium">
        <color indexed="64"/>
      </top>
      <bottom/>
      <diagonal/>
    </border>
  </borders>
  <cellStyleXfs count="3">
    <xf numFmtId="0" fontId="0" fillId="0" borderId="0"/>
    <xf numFmtId="0" fontId="23" fillId="0" borderId="0" applyNumberFormat="0" applyFill="0" applyBorder="0" applyAlignment="0" applyProtection="0"/>
    <xf numFmtId="0" fontId="1" fillId="0" borderId="0"/>
  </cellStyleXfs>
  <cellXfs count="240">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42" xfId="0" applyFont="1" applyBorder="1" applyAlignment="1" applyProtection="1">
      <alignment vertical="center"/>
      <protection locked="0"/>
    </xf>
    <xf numFmtId="0" fontId="0" fillId="0" borderId="42"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26" fillId="0" borderId="2" xfId="0" applyFont="1" applyFill="1" applyBorder="1" applyAlignment="1" applyProtection="1">
      <alignment horizontal="left" vertical="center" wrapText="1" shrinkToFit="1"/>
      <protection locked="0"/>
    </xf>
    <xf numFmtId="0" fontId="27" fillId="0" borderId="0" xfId="0" applyFont="1" applyFill="1" applyBorder="1" applyAlignment="1" applyProtection="1">
      <alignment horizontal="left" vertical="center" shrinkToFit="1"/>
      <protection locked="0"/>
    </xf>
    <xf numFmtId="0" fontId="26" fillId="0" borderId="0" xfId="0" applyFont="1" applyFill="1" applyBorder="1" applyAlignment="1" applyProtection="1">
      <alignment horizontal="left" vertical="center" wrapText="1" shrinkToFit="1"/>
      <protection locked="0"/>
    </xf>
    <xf numFmtId="0" fontId="27" fillId="0" borderId="3"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28" fillId="0" borderId="0" xfId="0" quotePrefix="1" applyFont="1" applyFill="1" applyBorder="1" applyAlignment="1" applyProtection="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29" fillId="0" borderId="10"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33" fillId="0" borderId="0" xfId="0" applyFont="1" applyFill="1" applyBorder="1"/>
    <xf numFmtId="0" fontId="33" fillId="0" borderId="10" xfId="0" applyFont="1" applyFill="1" applyBorder="1"/>
    <xf numFmtId="0" fontId="20" fillId="0" borderId="10" xfId="0" applyFont="1" applyFill="1" applyBorder="1"/>
    <xf numFmtId="10" fontId="33" fillId="0" borderId="10" xfId="0" applyNumberFormat="1" applyFont="1" applyFill="1" applyBorder="1"/>
    <xf numFmtId="0" fontId="29" fillId="0" borderId="14"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14" fontId="31" fillId="6" borderId="11" xfId="0" applyNumberFormat="1" applyFont="1" applyFill="1" applyBorder="1" applyAlignment="1">
      <alignment horizontal="center" vertical="center" wrapText="1"/>
    </xf>
    <xf numFmtId="0" fontId="31" fillId="6" borderId="11" xfId="0" applyFont="1" applyFill="1" applyBorder="1" applyAlignment="1">
      <alignment horizontal="center" vertical="center" wrapText="1"/>
    </xf>
    <xf numFmtId="0" fontId="34" fillId="6" borderId="14" xfId="0" applyFont="1" applyFill="1" applyBorder="1" applyAlignment="1">
      <alignment vertical="top"/>
    </xf>
    <xf numFmtId="0" fontId="31" fillId="6" borderId="12" xfId="0" applyFont="1" applyFill="1" applyBorder="1" applyAlignment="1">
      <alignment vertical="top" wrapText="1"/>
    </xf>
    <xf numFmtId="49" fontId="1" fillId="0" borderId="0" xfId="0" applyNumberFormat="1" applyFont="1" applyFill="1" applyBorder="1" applyAlignment="1" applyProtection="1">
      <alignment horizontal="left" vertical="center"/>
      <protection locked="0"/>
    </xf>
    <xf numFmtId="0" fontId="34" fillId="6" borderId="15" xfId="0" applyFont="1" applyFill="1" applyBorder="1" applyAlignment="1">
      <alignment vertical="top"/>
    </xf>
    <xf numFmtId="0" fontId="29" fillId="0" borderId="15" xfId="0" applyFont="1" applyBorder="1" applyAlignment="1">
      <alignment vertical="top"/>
    </xf>
    <xf numFmtId="0" fontId="35" fillId="0" borderId="10" xfId="0" applyFont="1" applyBorder="1" applyAlignment="1">
      <alignment horizontal="center" vertical="center"/>
    </xf>
    <xf numFmtId="0" fontId="0" fillId="5" borderId="0" xfId="0" applyFill="1"/>
    <xf numFmtId="0" fontId="35" fillId="5" borderId="0" xfId="0" applyFont="1" applyFill="1" applyBorder="1" applyAlignment="1">
      <alignment horizontal="center" vertical="center"/>
    </xf>
    <xf numFmtId="0" fontId="35" fillId="5" borderId="16" xfId="0" applyFont="1" applyFill="1" applyBorder="1" applyAlignment="1">
      <alignment horizontal="center" vertical="center"/>
    </xf>
    <xf numFmtId="0" fontId="35" fillId="5" borderId="17" xfId="0" applyFont="1" applyFill="1" applyBorder="1" applyAlignment="1">
      <alignment horizontal="center" vertical="center"/>
    </xf>
    <xf numFmtId="0" fontId="0" fillId="5" borderId="0" xfId="0" applyFill="1" applyAlignment="1">
      <alignment wrapText="1"/>
    </xf>
    <xf numFmtId="0" fontId="37" fillId="7" borderId="4" xfId="0" applyFont="1" applyFill="1" applyBorder="1" applyAlignment="1">
      <alignment wrapText="1"/>
    </xf>
    <xf numFmtId="0" fontId="37" fillId="7" borderId="18" xfId="0" applyFont="1" applyFill="1" applyBorder="1" applyAlignment="1">
      <alignment vertical="center" wrapText="1"/>
    </xf>
    <xf numFmtId="0" fontId="37" fillId="7" borderId="19" xfId="0" applyFont="1" applyFill="1" applyBorder="1" applyAlignment="1">
      <alignment horizontal="center" wrapText="1"/>
    </xf>
    <xf numFmtId="0" fontId="1" fillId="8" borderId="9" xfId="2" applyFont="1" applyFill="1" applyBorder="1" applyAlignment="1">
      <alignment wrapText="1"/>
    </xf>
    <xf numFmtId="0" fontId="35" fillId="5" borderId="7" xfId="0" applyFont="1" applyFill="1" applyBorder="1" applyAlignment="1">
      <alignment horizontal="left" vertical="center"/>
    </xf>
    <xf numFmtId="0" fontId="23" fillId="0" borderId="10" xfId="1" applyBorder="1" applyAlignment="1">
      <alignment vertical="top"/>
    </xf>
    <xf numFmtId="0" fontId="36" fillId="0" borderId="11" xfId="0" applyFont="1" applyBorder="1" applyAlignment="1">
      <alignment vertical="top"/>
    </xf>
    <xf numFmtId="0" fontId="0" fillId="5" borderId="24" xfId="0" applyFill="1" applyBorder="1"/>
    <xf numFmtId="0" fontId="0" fillId="5" borderId="25" xfId="0" applyFill="1" applyBorder="1"/>
    <xf numFmtId="0" fontId="0" fillId="5" borderId="15" xfId="0" applyFill="1" applyBorder="1"/>
    <xf numFmtId="0" fontId="35" fillId="0" borderId="43" xfId="0" applyFont="1" applyBorder="1" applyAlignment="1">
      <alignment horizontal="center" vertical="center"/>
    </xf>
    <xf numFmtId="0" fontId="43" fillId="10" borderId="7" xfId="0" applyFont="1" applyFill="1" applyBorder="1" applyAlignment="1">
      <alignment horizontal="center" vertical="center" wrapText="1"/>
    </xf>
    <xf numFmtId="0" fontId="38" fillId="0" borderId="14" xfId="0" applyFont="1" applyBorder="1" applyAlignment="1" applyProtection="1">
      <alignment horizontal="left" vertical="center" shrinkToFit="1"/>
    </xf>
    <xf numFmtId="0" fontId="38" fillId="0" borderId="1" xfId="0" applyFont="1" applyBorder="1" applyAlignment="1" applyProtection="1">
      <alignment horizontal="left" vertical="center" shrinkToFit="1"/>
    </xf>
    <xf numFmtId="0" fontId="38" fillId="0" borderId="20" xfId="0" applyFont="1" applyBorder="1" applyAlignment="1" applyProtection="1">
      <alignment horizontal="left" vertical="center" shrinkToFit="1"/>
    </xf>
    <xf numFmtId="0" fontId="39" fillId="9" borderId="21" xfId="0" applyFont="1" applyFill="1" applyBorder="1" applyAlignment="1" applyProtection="1">
      <alignment horizontal="center" vertical="center" shrinkToFit="1"/>
      <protection locked="0"/>
    </xf>
    <xf numFmtId="0" fontId="39" fillId="9" borderId="22" xfId="0" applyFont="1" applyFill="1" applyBorder="1" applyAlignment="1" applyProtection="1">
      <alignment horizontal="center" vertical="center" shrinkToFit="1"/>
      <protection locked="0"/>
    </xf>
    <xf numFmtId="0" fontId="39" fillId="9" borderId="23" xfId="0" applyFont="1" applyFill="1" applyBorder="1" applyAlignment="1" applyProtection="1">
      <alignment horizontal="center" vertical="center" shrinkToFit="1"/>
      <protection locked="0"/>
    </xf>
    <xf numFmtId="0" fontId="6" fillId="0" borderId="21" xfId="0" applyFont="1" applyBorder="1" applyAlignment="1" applyProtection="1">
      <alignment horizontal="left" vertical="center" shrinkToFit="1"/>
    </xf>
    <xf numFmtId="0" fontId="6" fillId="0" borderId="22" xfId="0" applyFont="1" applyBorder="1" applyAlignment="1" applyProtection="1">
      <alignment horizontal="left" vertical="center" shrinkToFit="1"/>
    </xf>
    <xf numFmtId="0" fontId="6" fillId="0" borderId="23" xfId="0" applyFont="1" applyBorder="1" applyAlignment="1" applyProtection="1">
      <alignment horizontal="left" vertical="center" shrinkToFit="1"/>
    </xf>
    <xf numFmtId="0" fontId="4" fillId="0" borderId="14" xfId="0" applyFont="1" applyFill="1" applyBorder="1" applyAlignment="1" applyProtection="1">
      <alignment horizontal="right" vertical="top" wrapText="1" shrinkToFit="1"/>
      <protection locked="0"/>
    </xf>
    <xf numFmtId="0" fontId="4" fillId="0" borderId="1" xfId="0" applyFont="1" applyFill="1" applyBorder="1" applyAlignment="1" applyProtection="1">
      <alignment horizontal="right" vertical="top" wrapText="1" shrinkToFit="1"/>
      <protection locked="0"/>
    </xf>
    <xf numFmtId="0" fontId="39" fillId="9" borderId="2" xfId="0" applyFont="1" applyFill="1" applyBorder="1" applyAlignment="1" applyProtection="1">
      <alignment horizontal="center" vertical="center" shrinkToFit="1"/>
      <protection locked="0"/>
    </xf>
    <xf numFmtId="0" fontId="39" fillId="9" borderId="0" xfId="0" applyFont="1" applyFill="1" applyBorder="1" applyAlignment="1" applyProtection="1">
      <alignment horizontal="center" vertical="center" shrinkToFit="1"/>
      <protection locked="0"/>
    </xf>
    <xf numFmtId="0" fontId="39" fillId="9" borderId="3" xfId="0" applyFont="1" applyFill="1" applyBorder="1" applyAlignment="1" applyProtection="1">
      <alignment horizontal="center" vertical="center" shrinkToFit="1"/>
      <protection locked="0"/>
    </xf>
    <xf numFmtId="0" fontId="1" fillId="0" borderId="1" xfId="0" applyFont="1" applyFill="1" applyBorder="1" applyAlignment="1" applyProtection="1">
      <alignment horizontal="left" vertical="top" wrapText="1" shrinkToFit="1"/>
      <protection locked="0"/>
    </xf>
    <xf numFmtId="0" fontId="2" fillId="0" borderId="1" xfId="0" applyFont="1" applyFill="1" applyBorder="1" applyAlignment="1" applyProtection="1">
      <alignment horizontal="left" vertical="top" shrinkToFit="1"/>
      <protection locked="0"/>
    </xf>
    <xf numFmtId="0" fontId="2" fillId="0" borderId="20" xfId="0" applyFont="1" applyFill="1" applyBorder="1" applyAlignment="1" applyProtection="1">
      <alignment horizontal="left" vertical="top" shrinkToFit="1"/>
      <protection locked="0"/>
    </xf>
    <xf numFmtId="165" fontId="38" fillId="0" borderId="14" xfId="0" applyNumberFormat="1" applyFont="1" applyBorder="1" applyAlignment="1" applyProtection="1">
      <alignment horizontal="left" vertical="center" shrinkToFit="1"/>
    </xf>
    <xf numFmtId="165" fontId="38" fillId="0" borderId="1" xfId="0" applyNumberFormat="1" applyFont="1" applyBorder="1" applyAlignment="1" applyProtection="1">
      <alignment horizontal="left" vertical="center" shrinkToFit="1"/>
    </xf>
    <xf numFmtId="165" fontId="38" fillId="0" borderId="20" xfId="0" applyNumberFormat="1" applyFont="1" applyBorder="1" applyAlignment="1" applyProtection="1">
      <alignment horizontal="left" vertical="center" shrinkToFit="1"/>
    </xf>
    <xf numFmtId="0" fontId="6" fillId="0" borderId="21" xfId="0" applyFont="1" applyBorder="1" applyAlignment="1" applyProtection="1">
      <alignment horizontal="left" vertical="center" wrapText="1"/>
    </xf>
    <xf numFmtId="0" fontId="6" fillId="0" borderId="22" xfId="0" applyFont="1" applyBorder="1" applyAlignment="1" applyProtection="1">
      <alignment horizontal="left" vertical="center" wrapText="1"/>
    </xf>
    <xf numFmtId="0" fontId="6" fillId="0" borderId="23" xfId="0" applyFont="1" applyBorder="1" applyAlignment="1" applyProtection="1">
      <alignment horizontal="left" vertical="center" wrapText="1"/>
    </xf>
    <xf numFmtId="0" fontId="6" fillId="0" borderId="21" xfId="0" applyFont="1" applyFill="1" applyBorder="1" applyAlignment="1" applyProtection="1">
      <alignment horizontal="left" vertical="center" shrinkToFit="1"/>
    </xf>
    <xf numFmtId="0" fontId="6" fillId="0" borderId="22" xfId="0" applyFont="1" applyFill="1" applyBorder="1" applyAlignment="1" applyProtection="1">
      <alignment horizontal="left" vertical="center" shrinkToFit="1"/>
    </xf>
    <xf numFmtId="0" fontId="6" fillId="0" borderId="23" xfId="0" applyFont="1" applyFill="1" applyBorder="1" applyAlignment="1" applyProtection="1">
      <alignment horizontal="left" vertical="center" shrinkToFit="1"/>
    </xf>
    <xf numFmtId="0" fontId="1" fillId="0" borderId="14" xfId="0" applyFont="1" applyFill="1" applyBorder="1" applyAlignment="1" applyProtection="1">
      <alignment horizontal="left" vertical="top" wrapText="1" shrinkToFit="1"/>
      <protection locked="0"/>
    </xf>
    <xf numFmtId="0" fontId="10" fillId="0" borderId="0" xfId="0" applyFont="1" applyFill="1" applyAlignment="1" applyProtection="1">
      <alignment horizontal="center" vertical="center" wrapText="1"/>
      <protection locked="0"/>
    </xf>
    <xf numFmtId="0" fontId="0" fillId="0" borderId="0" xfId="0" applyAlignment="1">
      <alignment vertical="center" wrapText="1"/>
    </xf>
    <xf numFmtId="0" fontId="1" fillId="0" borderId="24" xfId="0" applyFont="1" applyFill="1" applyBorder="1" applyAlignment="1" applyProtection="1">
      <alignment horizontal="left" vertical="top" wrapText="1" shrinkToFit="1"/>
      <protection locked="0"/>
    </xf>
    <xf numFmtId="0" fontId="2" fillId="0" borderId="25" xfId="0" applyFont="1" applyFill="1" applyBorder="1" applyAlignment="1" applyProtection="1">
      <alignment horizontal="left" vertical="top" shrinkToFit="1"/>
      <protection locked="0"/>
    </xf>
    <xf numFmtId="0" fontId="2" fillId="0" borderId="15" xfId="0" applyFont="1" applyFill="1" applyBorder="1" applyAlignment="1" applyProtection="1">
      <alignment horizontal="left" vertical="top" shrinkToFit="1"/>
      <protection locked="0"/>
    </xf>
    <xf numFmtId="0" fontId="1" fillId="0" borderId="21" xfId="0" applyFont="1" applyFill="1" applyBorder="1" applyAlignment="1" applyProtection="1">
      <alignment horizontal="left" vertical="top"/>
      <protection locked="0"/>
    </xf>
    <xf numFmtId="0" fontId="4" fillId="0" borderId="22" xfId="0" applyFont="1" applyFill="1" applyBorder="1" applyAlignment="1" applyProtection="1">
      <alignment horizontal="left" vertical="top"/>
      <protection locked="0"/>
    </xf>
    <xf numFmtId="0" fontId="4" fillId="0" borderId="23" xfId="0" applyFont="1" applyFill="1" applyBorder="1" applyAlignment="1" applyProtection="1">
      <alignment horizontal="left" vertical="top"/>
      <protection locked="0"/>
    </xf>
    <xf numFmtId="0" fontId="39" fillId="9" borderId="22" xfId="0" applyFont="1" applyFill="1" applyBorder="1" applyAlignment="1" applyProtection="1">
      <alignment horizontal="center" vertical="center" wrapText="1"/>
      <protection locked="0"/>
    </xf>
    <xf numFmtId="0" fontId="39" fillId="9" borderId="0" xfId="0" applyFont="1" applyFill="1" applyBorder="1" applyAlignment="1" applyProtection="1">
      <alignment horizontal="center" vertical="center" wrapText="1"/>
      <protection locked="0"/>
    </xf>
    <xf numFmtId="0" fontId="4" fillId="0" borderId="14"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0" borderId="20" xfId="0" applyFont="1" applyFill="1" applyBorder="1" applyAlignment="1" applyProtection="1">
      <alignment horizontal="left" vertical="top"/>
      <protection locked="0"/>
    </xf>
    <xf numFmtId="0" fontId="40" fillId="0" borderId="1" xfId="0" applyFont="1" applyFill="1" applyBorder="1" applyAlignment="1" applyProtection="1">
      <alignment horizontal="left" vertical="top" wrapText="1" shrinkToFit="1"/>
      <protection locked="0"/>
    </xf>
    <xf numFmtId="0" fontId="40" fillId="0" borderId="20" xfId="0" applyFont="1" applyFill="1" applyBorder="1" applyAlignment="1" applyProtection="1">
      <alignment horizontal="left" vertical="top" wrapText="1" shrinkToFit="1"/>
      <protection locked="0"/>
    </xf>
    <xf numFmtId="0" fontId="38" fillId="3" borderId="14" xfId="0" applyFont="1" applyFill="1" applyBorder="1" applyAlignment="1" applyProtection="1">
      <alignment horizontal="left" vertical="center" shrinkToFit="1"/>
    </xf>
    <xf numFmtId="0" fontId="38" fillId="3" borderId="1" xfId="0" applyFont="1" applyFill="1" applyBorder="1" applyAlignment="1" applyProtection="1">
      <alignment horizontal="left" vertical="center" shrinkToFit="1"/>
    </xf>
    <xf numFmtId="0" fontId="38" fillId="3" borderId="20" xfId="0" applyFont="1" applyFill="1" applyBorder="1" applyAlignment="1" applyProtection="1">
      <alignment horizontal="left" vertical="center" shrinkToFit="1"/>
    </xf>
    <xf numFmtId="0" fontId="6" fillId="3" borderId="21" xfId="0" applyFont="1" applyFill="1" applyBorder="1" applyAlignment="1" applyProtection="1">
      <alignment horizontal="left" vertical="center" wrapText="1"/>
    </xf>
    <xf numFmtId="0" fontId="6" fillId="3" borderId="22" xfId="0" applyFont="1" applyFill="1" applyBorder="1" applyAlignment="1" applyProtection="1">
      <alignment horizontal="left" vertical="center" wrapText="1"/>
    </xf>
    <xf numFmtId="0" fontId="6" fillId="3" borderId="23" xfId="0" applyFont="1" applyFill="1" applyBorder="1" applyAlignment="1" applyProtection="1">
      <alignment horizontal="left" vertical="center" wrapText="1"/>
    </xf>
    <xf numFmtId="0" fontId="6" fillId="3" borderId="21" xfId="0" applyFont="1" applyFill="1" applyBorder="1" applyAlignment="1" applyProtection="1">
      <alignment horizontal="left" vertical="center" shrinkToFit="1"/>
    </xf>
    <xf numFmtId="0" fontId="6" fillId="3" borderId="22" xfId="0" applyFont="1" applyFill="1" applyBorder="1" applyAlignment="1" applyProtection="1">
      <alignment horizontal="left" vertical="center" shrinkToFit="1"/>
    </xf>
    <xf numFmtId="0" fontId="6" fillId="3" borderId="23" xfId="0" applyFont="1" applyFill="1" applyBorder="1" applyAlignment="1" applyProtection="1">
      <alignment horizontal="left" vertical="center" shrinkToFit="1"/>
    </xf>
    <xf numFmtId="49" fontId="1" fillId="0" borderId="24" xfId="0" applyNumberFormat="1" applyFont="1" applyFill="1" applyBorder="1" applyAlignment="1" applyProtection="1">
      <alignment horizontal="left" vertical="center" wrapText="1"/>
      <protection locked="0"/>
    </xf>
    <xf numFmtId="49" fontId="4" fillId="0" borderId="25" xfId="0" applyNumberFormat="1" applyFont="1" applyFill="1" applyBorder="1" applyAlignment="1" applyProtection="1">
      <alignment horizontal="left" vertical="center" wrapText="1"/>
      <protection locked="0"/>
    </xf>
    <xf numFmtId="49" fontId="4" fillId="0" borderId="15" xfId="0" applyNumberFormat="1" applyFont="1" applyFill="1" applyBorder="1" applyAlignment="1" applyProtection="1">
      <alignment horizontal="left" vertical="center" wrapText="1"/>
      <protection locked="0"/>
    </xf>
    <xf numFmtId="0" fontId="37" fillId="7" borderId="10" xfId="0" applyFont="1" applyFill="1" applyBorder="1" applyAlignment="1">
      <alignment horizontal="center" vertical="center" wrapText="1"/>
    </xf>
    <xf numFmtId="0" fontId="0" fillId="0" borderId="24" xfId="0" applyBorder="1" applyAlignment="1">
      <alignment horizontal="left" vertical="center" wrapText="1"/>
    </xf>
    <xf numFmtId="0" fontId="0" fillId="0" borderId="25" xfId="0" applyBorder="1" applyAlignment="1">
      <alignment horizontal="left" vertical="center" wrapText="1"/>
    </xf>
    <xf numFmtId="0" fontId="0" fillId="0" borderId="15" xfId="0" applyBorder="1" applyAlignment="1">
      <alignment horizontal="left" vertical="center" wrapText="1"/>
    </xf>
    <xf numFmtId="0" fontId="1" fillId="0" borderId="24" xfId="0" applyFont="1" applyBorder="1" applyAlignment="1">
      <alignment horizontal="left" vertical="center" wrapText="1"/>
    </xf>
    <xf numFmtId="0" fontId="8" fillId="2" borderId="10" xfId="0" applyFont="1" applyFill="1" applyBorder="1" applyAlignment="1" applyProtection="1">
      <alignment horizontal="center" vertical="center" wrapText="1"/>
      <protection locked="0"/>
    </xf>
    <xf numFmtId="49" fontId="4" fillId="0" borderId="10" xfId="0" applyNumberFormat="1" applyFont="1" applyFill="1" applyBorder="1" applyAlignment="1" applyProtection="1">
      <alignment horizontal="left" vertical="center" wrapText="1"/>
      <protection locked="0"/>
    </xf>
    <xf numFmtId="0" fontId="0" fillId="0" borderId="10" xfId="0" applyBorder="1" applyAlignment="1">
      <alignment horizontal="left" vertical="center" wrapText="1"/>
    </xf>
    <xf numFmtId="49" fontId="4" fillId="0" borderId="10" xfId="0" applyNumberFormat="1" applyFont="1" applyFill="1" applyBorder="1" applyAlignment="1" applyProtection="1">
      <alignment vertical="center" wrapText="1"/>
      <protection locked="0"/>
    </xf>
    <xf numFmtId="0" fontId="0" fillId="0" borderId="10" xfId="0" applyBorder="1" applyAlignment="1">
      <alignment horizontal="center" vertical="center" wrapText="1"/>
    </xf>
    <xf numFmtId="49" fontId="4"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lignment horizontal="center" vertical="center" wrapText="1"/>
    </xf>
    <xf numFmtId="49" fontId="1" fillId="0" borderId="10" xfId="0" applyNumberFormat="1" applyFont="1" applyFill="1" applyBorder="1" applyAlignment="1" applyProtection="1">
      <alignment horizontal="left" vertical="center" wrapText="1"/>
      <protection locked="0"/>
    </xf>
    <xf numFmtId="49" fontId="4" fillId="0" borderId="10" xfId="0" applyNumberFormat="1" applyFont="1" applyFill="1" applyBorder="1" applyAlignment="1">
      <alignment horizontal="left" vertical="center" wrapText="1"/>
    </xf>
    <xf numFmtId="49" fontId="5" fillId="0" borderId="0" xfId="0" applyNumberFormat="1" applyFont="1" applyFill="1" applyAlignment="1" applyProtection="1">
      <alignment horizontal="left" vertical="top" wrapText="1"/>
      <protection locked="0"/>
    </xf>
    <xf numFmtId="49" fontId="1" fillId="0" borderId="10" xfId="0" applyNumberFormat="1" applyFont="1" applyFill="1" applyBorder="1" applyAlignment="1" applyProtection="1">
      <alignment horizontal="center" vertical="center" wrapText="1"/>
      <protection locked="0"/>
    </xf>
    <xf numFmtId="0" fontId="11" fillId="3" borderId="14"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20" xfId="0" applyFont="1" applyFill="1" applyBorder="1" applyAlignment="1" applyProtection="1">
      <alignment horizontal="left" vertical="center" shrinkToFit="1"/>
    </xf>
    <xf numFmtId="165" fontId="38" fillId="3" borderId="14" xfId="0" applyNumberFormat="1" applyFont="1" applyFill="1" applyBorder="1" applyAlignment="1" applyProtection="1">
      <alignment horizontal="left" vertical="center" shrinkToFit="1"/>
    </xf>
    <xf numFmtId="165" fontId="38" fillId="3" borderId="1" xfId="0" applyNumberFormat="1" applyFont="1" applyFill="1" applyBorder="1" applyAlignment="1" applyProtection="1">
      <alignment horizontal="left" vertical="center" shrinkToFit="1"/>
    </xf>
    <xf numFmtId="165" fontId="38" fillId="3" borderId="20" xfId="0" applyNumberFormat="1" applyFont="1" applyFill="1" applyBorder="1" applyAlignment="1" applyProtection="1">
      <alignment horizontal="left" vertical="center" shrinkToFit="1"/>
    </xf>
    <xf numFmtId="0" fontId="0" fillId="2" borderId="10" xfId="0"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left" vertical="top" wrapText="1"/>
      <protection locked="0"/>
    </xf>
    <xf numFmtId="0" fontId="37" fillId="7" borderId="28" xfId="0" applyFont="1" applyFill="1" applyBorder="1" applyAlignment="1">
      <alignment horizontal="center" wrapText="1"/>
    </xf>
    <xf numFmtId="0" fontId="37" fillId="7" borderId="29" xfId="0" applyFont="1" applyFill="1" applyBorder="1" applyAlignment="1">
      <alignment horizontal="center" wrapText="1"/>
    </xf>
    <xf numFmtId="0" fontId="37" fillId="7" borderId="30" xfId="0" applyFont="1" applyFill="1" applyBorder="1" applyAlignment="1">
      <alignment horizontal="center" wrapText="1"/>
    </xf>
    <xf numFmtId="0" fontId="1" fillId="5" borderId="10" xfId="2" applyFill="1" applyBorder="1" applyAlignment="1">
      <alignment horizontal="left" vertical="top" wrapText="1" shrinkToFit="1"/>
    </xf>
    <xf numFmtId="0" fontId="1" fillId="5" borderId="10" xfId="2" applyFont="1" applyFill="1" applyBorder="1" applyAlignment="1">
      <alignment horizontal="left" vertical="top" wrapText="1" shrinkToFit="1"/>
    </xf>
    <xf numFmtId="0" fontId="9" fillId="5" borderId="6" xfId="0" applyFont="1" applyFill="1" applyBorder="1" applyAlignment="1">
      <alignment horizontal="left"/>
    </xf>
    <xf numFmtId="0" fontId="1" fillId="5" borderId="26" xfId="0" applyFont="1" applyFill="1" applyBorder="1" applyAlignment="1">
      <alignment horizontal="left"/>
    </xf>
    <xf numFmtId="0" fontId="1" fillId="5" borderId="27" xfId="0" applyFont="1" applyFill="1" applyBorder="1" applyAlignment="1">
      <alignment horizontal="left"/>
    </xf>
    <xf numFmtId="0" fontId="1" fillId="5" borderId="6" xfId="0" applyFont="1" applyFill="1" applyBorder="1" applyAlignment="1">
      <alignment horizontal="left" vertical="top"/>
    </xf>
    <xf numFmtId="0" fontId="1" fillId="5" borderId="26" xfId="0" applyFont="1" applyFill="1" applyBorder="1" applyAlignment="1">
      <alignment horizontal="left" vertical="top"/>
    </xf>
    <xf numFmtId="0" fontId="1" fillId="5" borderId="27" xfId="0" applyFont="1" applyFill="1" applyBorder="1" applyAlignment="1">
      <alignment horizontal="left" vertical="top"/>
    </xf>
    <xf numFmtId="0" fontId="1" fillId="5" borderId="24" xfId="2" applyFont="1" applyFill="1" applyBorder="1" applyAlignment="1">
      <alignment horizontal="left" vertical="top" wrapText="1" shrinkToFit="1"/>
    </xf>
    <xf numFmtId="0" fontId="1" fillId="5" borderId="25" xfId="2" applyFont="1" applyFill="1" applyBorder="1" applyAlignment="1">
      <alignment horizontal="left" vertical="top" wrapText="1" shrinkToFit="1"/>
    </xf>
    <xf numFmtId="0" fontId="1" fillId="5" borderId="15" xfId="2" applyFont="1" applyFill="1" applyBorder="1" applyAlignment="1">
      <alignment horizontal="left" vertical="top" wrapText="1" shrinkToFit="1"/>
    </xf>
    <xf numFmtId="0" fontId="37" fillId="7" borderId="33" xfId="0" applyFont="1" applyFill="1" applyBorder="1" applyAlignment="1">
      <alignment horizontal="left" vertical="center" wrapText="1"/>
    </xf>
    <xf numFmtId="0" fontId="37" fillId="7" borderId="35" xfId="0" applyFont="1" applyFill="1" applyBorder="1" applyAlignment="1">
      <alignment horizontal="left" vertical="center" wrapText="1"/>
    </xf>
    <xf numFmtId="49" fontId="1" fillId="5" borderId="24" xfId="2" applyNumberFormat="1" applyFill="1" applyBorder="1" applyAlignment="1">
      <alignment horizontal="left" vertical="center" wrapText="1" shrinkToFit="1"/>
    </xf>
    <xf numFmtId="49" fontId="1" fillId="5" borderId="25" xfId="2" applyNumberFormat="1" applyFill="1" applyBorder="1" applyAlignment="1">
      <alignment horizontal="left" vertical="center" wrapText="1" shrinkToFit="1"/>
    </xf>
    <xf numFmtId="49" fontId="1" fillId="5" borderId="15" xfId="2" applyNumberFormat="1" applyFill="1" applyBorder="1" applyAlignment="1">
      <alignment horizontal="left" vertical="center" wrapText="1" shrinkToFit="1"/>
    </xf>
    <xf numFmtId="0" fontId="1" fillId="5" borderId="31" xfId="0" applyFont="1" applyFill="1" applyBorder="1" applyAlignment="1">
      <alignment horizontal="left" vertical="top" wrapText="1" shrinkToFit="1"/>
    </xf>
    <xf numFmtId="0" fontId="1" fillId="5" borderId="32" xfId="0" applyFont="1" applyFill="1" applyBorder="1" applyAlignment="1">
      <alignment horizontal="left" vertical="top" wrapText="1" shrinkToFit="1"/>
    </xf>
    <xf numFmtId="0" fontId="1" fillId="5" borderId="33" xfId="0" applyFont="1" applyFill="1" applyBorder="1" applyAlignment="1">
      <alignment horizontal="left" vertical="top" wrapText="1" shrinkToFit="1"/>
    </xf>
    <xf numFmtId="0" fontId="1" fillId="5" borderId="34" xfId="0" applyFont="1" applyFill="1" applyBorder="1" applyAlignment="1">
      <alignment horizontal="left" vertical="top" wrapText="1" shrinkToFit="1"/>
    </xf>
    <xf numFmtId="0" fontId="1" fillId="5" borderId="0" xfId="0" applyFont="1" applyFill="1" applyAlignment="1">
      <alignment horizontal="left" vertical="top" wrapText="1" shrinkToFit="1"/>
    </xf>
    <xf numFmtId="0" fontId="1" fillId="5" borderId="35" xfId="0" applyFont="1" applyFill="1" applyBorder="1" applyAlignment="1">
      <alignment horizontal="left" vertical="top" wrapText="1" shrinkToFit="1"/>
    </xf>
    <xf numFmtId="0" fontId="1" fillId="5" borderId="36" xfId="0" applyFont="1" applyFill="1" applyBorder="1" applyAlignment="1">
      <alignment horizontal="left" vertical="top" wrapText="1" shrinkToFit="1"/>
    </xf>
    <xf numFmtId="0" fontId="1" fillId="5" borderId="37" xfId="0" applyFont="1" applyFill="1" applyBorder="1" applyAlignment="1">
      <alignment horizontal="left" vertical="top" wrapText="1" shrinkToFit="1"/>
    </xf>
    <xf numFmtId="0" fontId="1" fillId="5" borderId="38" xfId="0" applyFont="1" applyFill="1" applyBorder="1" applyAlignment="1">
      <alignment horizontal="left" vertical="top" wrapText="1" shrinkToFit="1"/>
    </xf>
    <xf numFmtId="0" fontId="1" fillId="5" borderId="39" xfId="2" applyFont="1" applyFill="1" applyBorder="1" applyAlignment="1">
      <alignment horizontal="left" vertical="top" wrapText="1" shrinkToFit="1"/>
    </xf>
    <xf numFmtId="0" fontId="1" fillId="5" borderId="40" xfId="2" applyFont="1" applyFill="1" applyBorder="1" applyAlignment="1">
      <alignment horizontal="left" vertical="top" wrapText="1" shrinkToFit="1"/>
    </xf>
    <xf numFmtId="0" fontId="1" fillId="5" borderId="41" xfId="2" applyFont="1" applyFill="1" applyBorder="1" applyAlignment="1">
      <alignment horizontal="left" vertical="top" wrapText="1" shrinkToFit="1"/>
    </xf>
    <xf numFmtId="0" fontId="1" fillId="5" borderId="13" xfId="2" applyFont="1" applyFill="1" applyBorder="1" applyAlignment="1">
      <alignment horizontal="left" vertical="top" wrapText="1" shrinkToFit="1"/>
    </xf>
    <xf numFmtId="0" fontId="1" fillId="5" borderId="24" xfId="2" applyFill="1" applyBorder="1" applyAlignment="1">
      <alignment horizontal="left" vertical="top" wrapText="1" shrinkToFit="1"/>
    </xf>
    <xf numFmtId="0" fontId="1" fillId="5" borderId="25" xfId="2" applyFill="1" applyBorder="1" applyAlignment="1">
      <alignment horizontal="left" vertical="top" wrapText="1" shrinkToFit="1"/>
    </xf>
    <xf numFmtId="0" fontId="1" fillId="5" borderId="15" xfId="2" applyFill="1" applyBorder="1" applyAlignment="1">
      <alignment horizontal="left" vertical="top" wrapText="1" shrinkToFit="1"/>
    </xf>
    <xf numFmtId="49" fontId="1" fillId="5" borderId="24" xfId="2" applyNumberFormat="1" applyFill="1" applyBorder="1" applyAlignment="1">
      <alignment horizontal="left" vertical="top" wrapText="1" shrinkToFit="1"/>
    </xf>
    <xf numFmtId="49" fontId="1" fillId="5" borderId="25" xfId="2" applyNumberFormat="1" applyFill="1" applyBorder="1" applyAlignment="1">
      <alignment horizontal="left" vertical="top" wrapText="1" shrinkToFit="1"/>
    </xf>
    <xf numFmtId="49" fontId="1" fillId="5" borderId="15" xfId="2" applyNumberFormat="1" applyFill="1" applyBorder="1" applyAlignment="1">
      <alignment horizontal="left" vertical="top" wrapText="1" shrinkToFit="1"/>
    </xf>
    <xf numFmtId="0" fontId="0" fillId="5" borderId="24" xfId="0" applyFill="1" applyBorder="1" applyAlignment="1">
      <alignment horizontal="left" vertical="top"/>
    </xf>
    <xf numFmtId="0" fontId="0" fillId="5" borderId="25" xfId="0" applyFill="1" applyBorder="1" applyAlignment="1">
      <alignment horizontal="left" vertical="top"/>
    </xf>
    <xf numFmtId="0" fontId="0" fillId="5" borderId="15" xfId="0" applyFill="1" applyBorder="1" applyAlignment="1">
      <alignment horizontal="left" vertical="top"/>
    </xf>
    <xf numFmtId="0" fontId="9" fillId="5" borderId="26" xfId="0" applyFont="1" applyFill="1" applyBorder="1" applyAlignment="1">
      <alignment horizontal="left"/>
    </xf>
    <xf numFmtId="0" fontId="9" fillId="5" borderId="27" xfId="0" applyFont="1" applyFill="1" applyBorder="1" applyAlignment="1">
      <alignment horizontal="left"/>
    </xf>
    <xf numFmtId="0" fontId="0" fillId="5" borderId="24" xfId="0" applyFill="1" applyBorder="1" applyAlignment="1">
      <alignment horizontal="left" vertical="top" wrapText="1"/>
    </xf>
    <xf numFmtId="0" fontId="0" fillId="5" borderId="25" xfId="0" applyFill="1" applyBorder="1" applyAlignment="1">
      <alignment horizontal="left" vertical="top" wrapText="1"/>
    </xf>
    <xf numFmtId="0" fontId="0" fillId="5" borderId="15" xfId="0" applyFill="1" applyBorder="1" applyAlignment="1">
      <alignment horizontal="left" vertical="top" wrapText="1"/>
    </xf>
    <xf numFmtId="0" fontId="9" fillId="0" borderId="6" xfId="0" applyFont="1" applyFill="1" applyBorder="1" applyAlignment="1">
      <alignment horizontal="left"/>
    </xf>
    <xf numFmtId="0" fontId="1" fillId="0" borderId="26" xfId="0" applyFont="1" applyFill="1" applyBorder="1" applyAlignment="1">
      <alignment horizontal="left"/>
    </xf>
    <xf numFmtId="0" fontId="1" fillId="0" borderId="27" xfId="0" applyFont="1" applyFill="1" applyBorder="1" applyAlignment="1">
      <alignment horizontal="left"/>
    </xf>
    <xf numFmtId="0" fontId="1" fillId="5" borderId="6" xfId="0" applyFont="1" applyFill="1" applyBorder="1" applyAlignment="1">
      <alignment horizontal="left" vertical="top" wrapText="1"/>
    </xf>
  </cellXfs>
  <cellStyles count="3">
    <cellStyle name="Hyperlink" xfId="1" builtinId="8"/>
    <cellStyle name="Normal" xfId="0" builtinId="0"/>
    <cellStyle name="Normal 2" xfId="2" xr:uid="{00000000-0005-0000-0000-000002000000}"/>
  </cellStyles>
  <dxfs count="282">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SW integration test progress</a:t>
            </a:r>
          </a:p>
        </c:rich>
      </c:tx>
      <c:overlay val="0"/>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0-5374-434A-AFE8-DF808D2D2BD5}"/>
              </c:ext>
            </c:extLst>
          </c:dPt>
          <c:dPt>
            <c:idx val="1"/>
            <c:bubble3D val="0"/>
            <c:extLst>
              <c:ext xmlns:c16="http://schemas.microsoft.com/office/drawing/2014/chart" uri="{C3380CC4-5D6E-409C-BE32-E72D297353CC}">
                <c16:uniqueId val="{00000001-5374-434A-AFE8-DF808D2D2BD5}"/>
              </c:ext>
            </c:extLst>
          </c:dPt>
          <c:dPt>
            <c:idx val="2"/>
            <c:bubble3D val="0"/>
            <c:spPr>
              <a:solidFill>
                <a:schemeClr val="bg1">
                  <a:lumMod val="75000"/>
                </a:schemeClr>
              </a:solidFill>
            </c:spPr>
            <c:extLst>
              <c:ext xmlns:c16="http://schemas.microsoft.com/office/drawing/2014/chart" uri="{C3380CC4-5D6E-409C-BE32-E72D297353CC}">
                <c16:uniqueId val="{00000002-5374-434A-AFE8-DF808D2D2BD5}"/>
              </c:ext>
            </c:extLst>
          </c:dPt>
          <c:dPt>
            <c:idx val="3"/>
            <c:bubble3D val="0"/>
            <c:extLst>
              <c:ext xmlns:c16="http://schemas.microsoft.com/office/drawing/2014/chart" uri="{C3380CC4-5D6E-409C-BE32-E72D297353CC}">
                <c16:uniqueId val="{00000003-5374-434A-AFE8-DF808D2D2BD5}"/>
              </c:ext>
            </c:extLst>
          </c:dPt>
          <c:dLbls>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0.78947368421052633</c:v>
                </c:pt>
                <c:pt idx="1">
                  <c:v>0.21052631578947367</c:v>
                </c:pt>
                <c:pt idx="2">
                  <c:v>0</c:v>
                </c:pt>
                <c:pt idx="3">
                  <c:v>0</c:v>
                </c:pt>
              </c:numCache>
            </c:numRef>
          </c:val>
          <c:extLst>
            <c:ext xmlns:c16="http://schemas.microsoft.com/office/drawing/2014/chart" uri="{C3380CC4-5D6E-409C-BE32-E72D297353CC}">
              <c16:uniqueId val="{00000004-5374-434A-AFE8-DF808D2D2B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a:extLst>
            <a:ext uri="{FF2B5EF4-FFF2-40B4-BE49-F238E27FC236}">
              <a16:creationId xmlns:a16="http://schemas.microsoft.com/office/drawing/2014/main" id="{EC3B1DB7-EFD0-4450-A4A6-37F30917EA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a:extLst>
            <a:ext uri="{FF2B5EF4-FFF2-40B4-BE49-F238E27FC236}">
              <a16:creationId xmlns:a16="http://schemas.microsoft.com/office/drawing/2014/main" id="{C873E46E-CC37-47C9-B846-1DF96BCE9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5" name="Picture 1">
          <a:extLst>
            <a:ext uri="{FF2B5EF4-FFF2-40B4-BE49-F238E27FC236}">
              <a16:creationId xmlns:a16="http://schemas.microsoft.com/office/drawing/2014/main" id="{B18CBB95-9994-499B-BF63-42E7193B7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6" name="Picture 2">
          <a:extLst>
            <a:ext uri="{FF2B5EF4-FFF2-40B4-BE49-F238E27FC236}">
              <a16:creationId xmlns:a16="http://schemas.microsoft.com/office/drawing/2014/main" id="{773197C6-D8B1-4205-A2F6-3F6FDCBCEC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a:extLst>
            <a:ext uri="{FF2B5EF4-FFF2-40B4-BE49-F238E27FC236}">
              <a16:creationId xmlns:a16="http://schemas.microsoft.com/office/drawing/2014/main" id="{3B8DEE3C-F3F6-4252-8DA4-4575A22FE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L13" sqref="L13:V13"/>
    </sheetView>
  </sheetViews>
  <sheetFormatPr defaultColWidth="0" defaultRowHeight="13.2" zeroHeight="1" x14ac:dyDescent="0.25"/>
  <cols>
    <col min="1" max="33" width="2.664062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BMM - Software Integration Test Specification Report.xlsm</v>
      </c>
      <c r="AE3" s="8"/>
      <c r="AF3" s="8"/>
      <c r="AG3" s="8"/>
      <c r="AH3" s="8"/>
      <c r="AI3" s="8"/>
      <c r="AJ3" s="8"/>
      <c r="AK3" s="8"/>
    </row>
    <row r="4" spans="1:37" s="7" customFormat="1" ht="11.1" customHeight="1" x14ac:dyDescent="0.25">
      <c r="A4" s="118" t="s">
        <v>0</v>
      </c>
      <c r="B4" s="119"/>
      <c r="C4" s="119"/>
      <c r="D4" s="119"/>
      <c r="E4" s="119"/>
      <c r="F4" s="119"/>
      <c r="G4" s="119"/>
      <c r="H4" s="119"/>
      <c r="I4" s="119"/>
      <c r="J4" s="119"/>
      <c r="K4" s="119"/>
      <c r="L4" s="119"/>
      <c r="M4" s="119"/>
      <c r="N4" s="119"/>
      <c r="O4" s="119"/>
      <c r="P4" s="119"/>
      <c r="Q4" s="119"/>
      <c r="R4" s="119"/>
      <c r="S4" s="119"/>
      <c r="T4" s="119"/>
      <c r="U4" s="119"/>
      <c r="V4" s="120"/>
      <c r="W4" s="132" t="s">
        <v>1</v>
      </c>
      <c r="X4" s="133"/>
      <c r="Y4" s="133"/>
      <c r="Z4" s="133"/>
      <c r="AA4" s="134"/>
      <c r="AB4" s="135" t="s">
        <v>19</v>
      </c>
      <c r="AC4" s="136"/>
      <c r="AD4" s="136"/>
      <c r="AE4" s="136"/>
      <c r="AF4" s="136"/>
      <c r="AG4" s="137"/>
      <c r="AH4" s="10"/>
      <c r="AI4" s="10"/>
      <c r="AJ4" s="10"/>
      <c r="AK4" s="8"/>
    </row>
    <row r="5" spans="1:37" s="12" customFormat="1" ht="12.75" customHeight="1" x14ac:dyDescent="0.25">
      <c r="A5" s="112" t="s">
        <v>123</v>
      </c>
      <c r="B5" s="113"/>
      <c r="C5" s="113"/>
      <c r="D5" s="113"/>
      <c r="E5" s="113"/>
      <c r="F5" s="113"/>
      <c r="G5" s="113"/>
      <c r="H5" s="113"/>
      <c r="I5" s="113"/>
      <c r="J5" s="113"/>
      <c r="K5" s="113"/>
      <c r="L5" s="113"/>
      <c r="M5" s="113"/>
      <c r="N5" s="113"/>
      <c r="O5" s="113"/>
      <c r="P5" s="113"/>
      <c r="Q5" s="113"/>
      <c r="R5" s="113"/>
      <c r="S5" s="113"/>
      <c r="T5" s="113"/>
      <c r="U5" s="113"/>
      <c r="V5" s="114"/>
      <c r="W5" s="112" t="s">
        <v>124</v>
      </c>
      <c r="X5" s="113"/>
      <c r="Y5" s="113"/>
      <c r="Z5" s="113"/>
      <c r="AA5" s="114"/>
      <c r="AB5" s="112" t="s">
        <v>226</v>
      </c>
      <c r="AC5" s="113"/>
      <c r="AD5" s="113"/>
      <c r="AE5" s="113"/>
      <c r="AF5" s="113"/>
      <c r="AG5" s="114"/>
      <c r="AH5" s="11"/>
      <c r="AI5" s="11"/>
      <c r="AJ5" s="11"/>
      <c r="AK5" s="11"/>
    </row>
    <row r="6" spans="1:37" s="45" customFormat="1" ht="11.1" customHeight="1" x14ac:dyDescent="0.25">
      <c r="A6" s="132" t="s">
        <v>2</v>
      </c>
      <c r="B6" s="133"/>
      <c r="C6" s="133"/>
      <c r="D6" s="134"/>
      <c r="E6" s="132" t="s">
        <v>3</v>
      </c>
      <c r="F6" s="133"/>
      <c r="G6" s="133"/>
      <c r="H6" s="133"/>
      <c r="I6" s="133"/>
      <c r="J6" s="133"/>
      <c r="K6" s="133"/>
      <c r="L6" s="133"/>
      <c r="M6" s="133"/>
      <c r="N6" s="133"/>
      <c r="O6" s="133"/>
      <c r="P6" s="133"/>
      <c r="Q6" s="133"/>
      <c r="R6" s="133"/>
      <c r="S6" s="133"/>
      <c r="T6" s="133"/>
      <c r="U6" s="133"/>
      <c r="V6" s="134"/>
      <c r="W6" s="118" t="s">
        <v>14</v>
      </c>
      <c r="X6" s="119"/>
      <c r="Y6" s="119"/>
      <c r="Z6" s="119"/>
      <c r="AA6" s="120"/>
      <c r="AB6" s="132"/>
      <c r="AC6" s="133"/>
      <c r="AD6" s="134"/>
      <c r="AE6" s="132" t="s">
        <v>4</v>
      </c>
      <c r="AF6" s="133"/>
      <c r="AG6" s="134"/>
      <c r="AH6" s="44"/>
      <c r="AI6" s="44"/>
      <c r="AJ6" s="44"/>
      <c r="AK6" s="44"/>
    </row>
    <row r="7" spans="1:37" s="14" customFormat="1" ht="12.75" customHeight="1" x14ac:dyDescent="0.25">
      <c r="A7" s="112" t="s">
        <v>125</v>
      </c>
      <c r="B7" s="113"/>
      <c r="C7" s="113"/>
      <c r="D7" s="114"/>
      <c r="E7" s="112" t="s">
        <v>228</v>
      </c>
      <c r="F7" s="113"/>
      <c r="G7" s="113"/>
      <c r="H7" s="113"/>
      <c r="I7" s="113"/>
      <c r="J7" s="113"/>
      <c r="K7" s="113"/>
      <c r="L7" s="113"/>
      <c r="M7" s="113"/>
      <c r="N7" s="113"/>
      <c r="O7" s="113"/>
      <c r="P7" s="113"/>
      <c r="Q7" s="113"/>
      <c r="R7" s="113"/>
      <c r="S7" s="113"/>
      <c r="T7" s="113"/>
      <c r="U7" s="113"/>
      <c r="V7" s="114"/>
      <c r="W7" s="112" t="str">
        <f ca="1" xml:space="preserve"> IFERROR(IF([1]!alvDocProperty("MXDocTemplate_Name")="","SW04TEM001",[1]!alvDocProperty("MXDocTemplate_Name")),"SW04TEM001")</f>
        <v>SW04TEM001</v>
      </c>
      <c r="X7" s="113"/>
      <c r="Y7" s="113"/>
      <c r="Z7" s="113"/>
      <c r="AA7" s="114"/>
      <c r="AB7" s="112"/>
      <c r="AC7" s="113"/>
      <c r="AD7" s="114"/>
      <c r="AE7" s="129">
        <v>1.3</v>
      </c>
      <c r="AF7" s="130"/>
      <c r="AG7" s="131"/>
      <c r="AH7" s="13"/>
      <c r="AI7" s="13"/>
      <c r="AJ7" s="13"/>
      <c r="AK7" s="13"/>
    </row>
    <row r="8" spans="1:37" s="12" customFormat="1" x14ac:dyDescent="0.25">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5">
      <c r="A9" s="123" t="s">
        <v>20</v>
      </c>
      <c r="B9" s="124"/>
      <c r="C9" s="124"/>
      <c r="D9" s="124"/>
      <c r="E9" s="124"/>
      <c r="F9" s="124"/>
      <c r="G9" s="124"/>
      <c r="H9" s="124"/>
      <c r="I9" s="124"/>
      <c r="J9" s="124"/>
      <c r="K9" s="125"/>
      <c r="L9" s="123" t="s">
        <v>21</v>
      </c>
      <c r="M9" s="124"/>
      <c r="N9" s="124"/>
      <c r="O9" s="124"/>
      <c r="P9" s="124"/>
      <c r="Q9" s="124"/>
      <c r="R9" s="124"/>
      <c r="S9" s="124"/>
      <c r="T9" s="124"/>
      <c r="U9" s="124"/>
      <c r="V9" s="125"/>
      <c r="W9" s="123" t="s">
        <v>22</v>
      </c>
      <c r="X9" s="124"/>
      <c r="Y9" s="124"/>
      <c r="Z9" s="124"/>
      <c r="AA9" s="124"/>
      <c r="AB9" s="124"/>
      <c r="AC9" s="124"/>
      <c r="AD9" s="124"/>
      <c r="AE9" s="124"/>
      <c r="AF9" s="124"/>
      <c r="AG9" s="125"/>
      <c r="AH9" s="15"/>
      <c r="AI9" s="15"/>
    </row>
    <row r="10" spans="1:37" s="49" customFormat="1" ht="28.5" customHeight="1" x14ac:dyDescent="0.25">
      <c r="A10" s="121" t="s">
        <v>32</v>
      </c>
      <c r="B10" s="122"/>
      <c r="C10" s="122"/>
      <c r="D10" s="122"/>
      <c r="E10" s="122"/>
      <c r="F10" s="152" t="s">
        <v>223</v>
      </c>
      <c r="G10" s="152"/>
      <c r="H10" s="152"/>
      <c r="I10" s="152"/>
      <c r="J10" s="152"/>
      <c r="K10" s="153"/>
      <c r="L10" s="126" t="s">
        <v>126</v>
      </c>
      <c r="M10" s="127"/>
      <c r="N10" s="127"/>
      <c r="O10" s="127"/>
      <c r="P10" s="127"/>
      <c r="Q10" s="127"/>
      <c r="R10" s="127"/>
      <c r="S10" s="127"/>
      <c r="T10" s="127"/>
      <c r="U10" s="127"/>
      <c r="V10" s="128"/>
      <c r="W10" s="138" t="s">
        <v>126</v>
      </c>
      <c r="X10" s="127"/>
      <c r="Y10" s="127"/>
      <c r="Z10" s="127"/>
      <c r="AA10" s="127"/>
      <c r="AB10" s="127"/>
      <c r="AC10" s="127"/>
      <c r="AD10" s="127"/>
      <c r="AE10" s="127"/>
      <c r="AF10" s="127"/>
      <c r="AG10" s="128"/>
      <c r="AH10" s="48"/>
      <c r="AI10" s="48"/>
    </row>
    <row r="11" spans="1:37" s="55" customFormat="1" ht="4.5" customHeight="1" x14ac:dyDescent="0.25">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5">
      <c r="A12" s="115" t="s">
        <v>23</v>
      </c>
      <c r="B12" s="116"/>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17"/>
      <c r="AH12" s="15"/>
      <c r="AI12" s="15"/>
      <c r="AJ12" s="15"/>
      <c r="AK12" s="15"/>
    </row>
    <row r="13" spans="1:37" s="49" customFormat="1" ht="28.5" customHeight="1" x14ac:dyDescent="0.25">
      <c r="A13" s="141" t="s">
        <v>126</v>
      </c>
      <c r="B13" s="142"/>
      <c r="C13" s="142"/>
      <c r="D13" s="142"/>
      <c r="E13" s="142"/>
      <c r="F13" s="142"/>
      <c r="G13" s="142"/>
      <c r="H13" s="142"/>
      <c r="I13" s="142"/>
      <c r="J13" s="142"/>
      <c r="K13" s="143"/>
      <c r="L13" s="138" t="s">
        <v>126</v>
      </c>
      <c r="M13" s="127"/>
      <c r="N13" s="127"/>
      <c r="O13" s="127"/>
      <c r="P13" s="127"/>
      <c r="Q13" s="127"/>
      <c r="R13" s="127"/>
      <c r="S13" s="127"/>
      <c r="T13" s="127"/>
      <c r="U13" s="127"/>
      <c r="V13" s="128"/>
      <c r="W13" s="141" t="s">
        <v>126</v>
      </c>
      <c r="X13" s="142"/>
      <c r="Y13" s="142"/>
      <c r="Z13" s="142"/>
      <c r="AA13" s="142"/>
      <c r="AB13" s="142"/>
      <c r="AC13" s="142"/>
      <c r="AD13" s="142"/>
      <c r="AE13" s="142"/>
      <c r="AF13" s="142"/>
      <c r="AG13" s="143"/>
      <c r="AH13" s="48"/>
      <c r="AI13" s="48"/>
      <c r="AJ13" s="48"/>
      <c r="AK13" s="48"/>
    </row>
    <row r="14" spans="1:37" s="55" customFormat="1" ht="4.5" customHeight="1" x14ac:dyDescent="0.25">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37.5" customHeight="1" x14ac:dyDescent="0.25">
      <c r="A15" s="147" t="s">
        <v>24</v>
      </c>
      <c r="B15" s="147"/>
      <c r="C15" s="147"/>
      <c r="D15" s="147"/>
      <c r="E15" s="144" t="s">
        <v>224</v>
      </c>
      <c r="F15" s="145"/>
      <c r="G15" s="145"/>
      <c r="H15" s="145"/>
      <c r="I15" s="145"/>
      <c r="J15" s="145"/>
      <c r="K15" s="145"/>
      <c r="L15" s="145"/>
      <c r="M15" s="145"/>
      <c r="N15" s="145"/>
      <c r="O15" s="145"/>
      <c r="P15" s="145"/>
      <c r="Q15" s="145"/>
      <c r="R15" s="145"/>
      <c r="S15" s="145"/>
      <c r="T15" s="145"/>
      <c r="U15" s="145"/>
      <c r="V15" s="145"/>
      <c r="W15" s="145"/>
      <c r="X15" s="145"/>
      <c r="Y15" s="145"/>
      <c r="Z15" s="145"/>
      <c r="AA15" s="145"/>
      <c r="AB15" s="145"/>
      <c r="AC15" s="145"/>
      <c r="AD15" s="145"/>
      <c r="AE15" s="145"/>
      <c r="AF15" s="145"/>
      <c r="AG15" s="146"/>
      <c r="AH15" s="17"/>
      <c r="AI15" s="17"/>
      <c r="AJ15" s="17"/>
      <c r="AK15" s="17"/>
    </row>
    <row r="16" spans="1:37" s="18" customFormat="1" ht="37.5" customHeight="1" x14ac:dyDescent="0.25">
      <c r="A16" s="148"/>
      <c r="B16" s="148"/>
      <c r="C16" s="148"/>
      <c r="D16" s="148"/>
      <c r="E16" s="149"/>
      <c r="F16" s="150"/>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1"/>
      <c r="AH16" s="17"/>
      <c r="AI16" s="17"/>
      <c r="AJ16" s="17"/>
      <c r="AK16" s="17"/>
    </row>
    <row r="17" spans="1:37" s="18" customFormat="1" x14ac:dyDescent="0.25">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x14ac:dyDescent="0.25">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x14ac:dyDescent="0.25">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x14ac:dyDescent="0.25">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5">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5">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60" customHeight="1" x14ac:dyDescent="0.25">
      <c r="A23" s="139" t="str">
        <f>MXTitle</f>
        <v>BMM - Software Integration Test Specification Report.xls</v>
      </c>
      <c r="B23" s="140"/>
      <c r="C23" s="140"/>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7"/>
      <c r="AI23" s="17"/>
      <c r="AJ23" s="17"/>
      <c r="AK23" s="17"/>
    </row>
    <row r="24" spans="1:37" s="18" customFormat="1" ht="24.6" x14ac:dyDescent="0.25">
      <c r="C24" s="17"/>
      <c r="D24" s="17"/>
      <c r="E24" s="17"/>
      <c r="F24" s="17"/>
      <c r="G24" s="17"/>
      <c r="H24" s="17"/>
      <c r="I24" s="17"/>
      <c r="J24" s="17"/>
      <c r="K24" s="17"/>
      <c r="L24" s="17"/>
      <c r="M24" s="17"/>
      <c r="N24" s="17"/>
      <c r="O24" s="17"/>
      <c r="P24" s="17"/>
      <c r="Q24" s="57"/>
      <c r="R24" s="17"/>
      <c r="S24" s="17"/>
      <c r="T24" s="17"/>
      <c r="U24" s="17"/>
      <c r="V24" s="17"/>
      <c r="W24" s="17"/>
      <c r="X24" s="17"/>
      <c r="Y24" s="17"/>
      <c r="Z24" s="17"/>
      <c r="AA24" s="17"/>
      <c r="AB24" s="17"/>
      <c r="AC24" s="17"/>
      <c r="AD24" s="17"/>
      <c r="AE24" s="17"/>
      <c r="AF24" s="17"/>
      <c r="AG24" s="17"/>
      <c r="AH24" s="17"/>
      <c r="AI24" s="17"/>
      <c r="AJ24" s="17"/>
      <c r="AK24" s="17"/>
    </row>
    <row r="25" spans="1:37" s="18" customFormat="1" x14ac:dyDescent="0.25">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5"/>
  </sheetData>
  <sheetProtection formatCells="0" formatRows="0" insertColumns="0" insertRows="0" insertHyperlinks="0" deleteRows="0" selectLockedCells="1" sort="0" autoFilter="0" pivotTables="0"/>
  <dataConsolidate/>
  <mergeCells count="31">
    <mergeCell ref="AB6:AD6"/>
    <mergeCell ref="AE6:AG6"/>
    <mergeCell ref="W7:AA7"/>
    <mergeCell ref="L13:V13"/>
    <mergeCell ref="A23:AG23"/>
    <mergeCell ref="A13:K13"/>
    <mergeCell ref="AB7:AD7"/>
    <mergeCell ref="A9:K9"/>
    <mergeCell ref="W13:AG13"/>
    <mergeCell ref="E15:AG15"/>
    <mergeCell ref="E7:V7"/>
    <mergeCell ref="A15:D16"/>
    <mergeCell ref="E16:AG16"/>
    <mergeCell ref="W10:AG10"/>
    <mergeCell ref="F10:K10"/>
    <mergeCell ref="A5:V5"/>
    <mergeCell ref="A7:D7"/>
    <mergeCell ref="A12:AG12"/>
    <mergeCell ref="A4:V4"/>
    <mergeCell ref="A10:E10"/>
    <mergeCell ref="L9:V9"/>
    <mergeCell ref="W9:AG9"/>
    <mergeCell ref="L10:V10"/>
    <mergeCell ref="AE7:AG7"/>
    <mergeCell ref="A6:D6"/>
    <mergeCell ref="AB4:AG4"/>
    <mergeCell ref="AB5:AG5"/>
    <mergeCell ref="W4:AA4"/>
    <mergeCell ref="W5:AA5"/>
    <mergeCell ref="W6:AA6"/>
    <mergeCell ref="E6:V6"/>
  </mergeCells>
  <phoneticPr fontId="3" type="noConversion"/>
  <conditionalFormatting sqref="W5:AA5">
    <cfRule type="cellIs" dxfId="281" priority="1" operator="equal">
      <formula>"In-Work"</formula>
    </cfRule>
    <cfRule type="cellIs" dxfId="280" priority="2" stopIfTrue="1" operator="equal">
      <formula>"draft"</formula>
    </cfRule>
    <cfRule type="cellIs" dxfId="279" priority="3" operator="equal">
      <formula>"In-Work"</formula>
    </cfRule>
    <cfRule type="cellIs" dxfId="278" priority="4" stopIfTrue="1" operator="equal">
      <formula>"draft"</formula>
    </cfRule>
    <cfRule type="cellIs" dxfId="277" priority="5" operator="equal">
      <formula>"In-Work"</formula>
    </cfRule>
    <cfRule type="cellIs" dxfId="276" priority="6" stopIfTrue="1" operator="equal">
      <formula>"draft"</formula>
    </cfRule>
    <cfRule type="cellIs" dxfId="275" priority="7" operator="equal">
      <formula>"In-Work"</formula>
    </cfRule>
    <cfRule type="cellIs" dxfId="274" priority="8" stopIfTrue="1" operator="equal">
      <formula>"draft"</formula>
    </cfRule>
    <cfRule type="cellIs" dxfId="273" priority="9" operator="equal">
      <formula>"In-Work"</formula>
    </cfRule>
    <cfRule type="cellIs" dxfId="272" priority="10" stopIfTrue="1" operator="equal">
      <formula>"draft"</formula>
    </cfRule>
    <cfRule type="cellIs" dxfId="271" priority="11" operator="equal">
      <formula>"In-Work"</formula>
    </cfRule>
    <cfRule type="cellIs" dxfId="270" priority="12" stopIfTrue="1" operator="equal">
      <formula>"draft"</formula>
    </cfRule>
    <cfRule type="cellIs" dxfId="269" priority="13" operator="equal">
      <formula>"In-Work"</formula>
    </cfRule>
    <cfRule type="cellIs" dxfId="268" priority="14" stopIfTrue="1" operator="equal">
      <formula>"draft"</formula>
    </cfRule>
    <cfRule type="cellIs" dxfId="267" priority="15" operator="equal">
      <formula>"In-Work"</formula>
    </cfRule>
    <cfRule type="cellIs" dxfId="266" priority="16" stopIfTrue="1" operator="equal">
      <formula>"draft"</formula>
    </cfRule>
    <cfRule type="cellIs" dxfId="265" priority="17" operator="equal">
      <formula>"In-Work"</formula>
    </cfRule>
    <cfRule type="cellIs" dxfId="264" priority="18" stopIfTrue="1" operator="equal">
      <formula>"draft"</formula>
    </cfRule>
    <cfRule type="cellIs" dxfId="263" priority="19" operator="equal">
      <formula>"In-Work"</formula>
    </cfRule>
    <cfRule type="cellIs" dxfId="262" priority="20" stopIfTrue="1" operator="equal">
      <formula>"draft"</formula>
    </cfRule>
    <cfRule type="cellIs" dxfId="261" priority="21" operator="equal">
      <formula>"In-Work"</formula>
    </cfRule>
    <cfRule type="cellIs" dxfId="260" priority="22" stopIfTrue="1" operator="equal">
      <formula>"draft"</formula>
    </cfRule>
    <cfRule type="cellIs" dxfId="259" priority="23" operator="equal">
      <formula>"In-Work"</formula>
    </cfRule>
    <cfRule type="cellIs" dxfId="258" priority="24" stopIfTrue="1" operator="equal">
      <formula>"draft"</formula>
    </cfRule>
    <cfRule type="cellIs" dxfId="257" priority="25" operator="equal">
      <formula>"In-Work"</formula>
    </cfRule>
    <cfRule type="cellIs" dxfId="256" priority="26" stopIfTrue="1" operator="equal">
      <formula>"draft"</formula>
    </cfRule>
    <cfRule type="cellIs" dxfId="255" priority="27" operator="equal">
      <formula>"In-Work"</formula>
    </cfRule>
    <cfRule type="cellIs" dxfId="254" priority="28" stopIfTrue="1" operator="equal">
      <formula>"draft"</formula>
    </cfRule>
    <cfRule type="cellIs" dxfId="253" priority="29" operator="equal">
      <formula>"In-Work"</formula>
    </cfRule>
    <cfRule type="cellIs" dxfId="252" priority="30" stopIfTrue="1" operator="equal">
      <formula>"draft"</formula>
    </cfRule>
    <cfRule type="cellIs" dxfId="251" priority="31" operator="equal">
      <formula>"In-Work"</formula>
    </cfRule>
    <cfRule type="cellIs" dxfId="250" priority="32" stopIfTrue="1" operator="equal">
      <formula>"draft"</formula>
    </cfRule>
    <cfRule type="cellIs" dxfId="249" priority="33" operator="equal">
      <formula>"In-Work"</formula>
    </cfRule>
    <cfRule type="cellIs" dxfId="248" priority="34" stopIfTrue="1" operator="equal">
      <formula>"draft"</formula>
    </cfRule>
    <cfRule type="cellIs" dxfId="247" priority="35" operator="equal">
      <formula>"In-Work"</formula>
    </cfRule>
    <cfRule type="cellIs" dxfId="246" priority="36"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1.3&amp;R&amp;P</oddFooter>
  </headerFooter>
  <ignoredErrors>
    <ignoredError sqref="B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3"/>
  <sheetViews>
    <sheetView showGridLines="0" zoomScaleNormal="100" workbookViewId="0">
      <selection activeCell="B32" sqref="B32:AF32"/>
    </sheetView>
  </sheetViews>
  <sheetFormatPr defaultColWidth="0" defaultRowHeight="13.2" zeroHeight="1" x14ac:dyDescent="0.25"/>
  <cols>
    <col min="1" max="33" width="2.664062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9" t="str">
        <f ca="1">FileName</f>
        <v>BMM - Software Integration Test Specification Report.xlsm</v>
      </c>
      <c r="AE3" s="8"/>
      <c r="AF3" s="8"/>
      <c r="AG3" s="8"/>
      <c r="AH3" s="8"/>
      <c r="AI3" s="8"/>
      <c r="AJ3" s="8"/>
      <c r="AK3" s="8"/>
    </row>
    <row r="4" spans="1:37" s="7" customFormat="1" ht="11.1" customHeight="1" x14ac:dyDescent="0.25">
      <c r="A4" s="118" t="s">
        <v>0</v>
      </c>
      <c r="B4" s="119"/>
      <c r="C4" s="119"/>
      <c r="D4" s="119"/>
      <c r="E4" s="119"/>
      <c r="F4" s="119"/>
      <c r="G4" s="119"/>
      <c r="H4" s="119"/>
      <c r="I4" s="119"/>
      <c r="J4" s="119"/>
      <c r="K4" s="119"/>
      <c r="L4" s="119"/>
      <c r="M4" s="119"/>
      <c r="N4" s="119"/>
      <c r="O4" s="119"/>
      <c r="P4" s="119"/>
      <c r="Q4" s="119"/>
      <c r="R4" s="119"/>
      <c r="S4" s="119"/>
      <c r="T4" s="119"/>
      <c r="U4" s="119"/>
      <c r="V4" s="120"/>
      <c r="W4" s="157" t="s">
        <v>1</v>
      </c>
      <c r="X4" s="158"/>
      <c r="Y4" s="158"/>
      <c r="Z4" s="158"/>
      <c r="AA4" s="159"/>
      <c r="AB4" s="135" t="s">
        <v>19</v>
      </c>
      <c r="AC4" s="136"/>
      <c r="AD4" s="136"/>
      <c r="AE4" s="136"/>
      <c r="AF4" s="136"/>
      <c r="AG4" s="137"/>
      <c r="AH4" s="10"/>
      <c r="AI4" s="10"/>
      <c r="AJ4" s="10"/>
      <c r="AK4" s="8"/>
    </row>
    <row r="5" spans="1:37" s="12" customFormat="1" x14ac:dyDescent="0.25">
      <c r="A5" s="112" t="s">
        <v>123</v>
      </c>
      <c r="B5" s="113"/>
      <c r="C5" s="113"/>
      <c r="D5" s="113"/>
      <c r="E5" s="113"/>
      <c r="F5" s="113"/>
      <c r="G5" s="113"/>
      <c r="H5" s="113"/>
      <c r="I5" s="113"/>
      <c r="J5" s="113"/>
      <c r="K5" s="113"/>
      <c r="L5" s="113"/>
      <c r="M5" s="113"/>
      <c r="N5" s="113"/>
      <c r="O5" s="113"/>
      <c r="P5" s="113"/>
      <c r="Q5" s="113"/>
      <c r="R5" s="113"/>
      <c r="S5" s="113"/>
      <c r="T5" s="113"/>
      <c r="U5" s="113"/>
      <c r="V5" s="114"/>
      <c r="W5" s="154" t="str">
        <f>MXCurrent.Localized</f>
        <v>Initial revision</v>
      </c>
      <c r="X5" s="155"/>
      <c r="Y5" s="155"/>
      <c r="Z5" s="155"/>
      <c r="AA5" s="156"/>
      <c r="AB5" s="112" t="str">
        <f>MXActual_state_Released</f>
        <v>06.09.2022</v>
      </c>
      <c r="AC5" s="113"/>
      <c r="AD5" s="113"/>
      <c r="AE5" s="113"/>
      <c r="AF5" s="113"/>
      <c r="AG5" s="114"/>
      <c r="AH5" s="11"/>
      <c r="AI5" s="11"/>
      <c r="AJ5" s="11"/>
      <c r="AK5" s="11"/>
    </row>
    <row r="6" spans="1:37" s="1" customFormat="1" ht="11.1" customHeight="1" x14ac:dyDescent="0.25">
      <c r="A6" s="160" t="s">
        <v>2</v>
      </c>
      <c r="B6" s="161"/>
      <c r="C6" s="161"/>
      <c r="D6" s="162"/>
      <c r="E6" s="160" t="s">
        <v>3</v>
      </c>
      <c r="F6" s="161"/>
      <c r="G6" s="161"/>
      <c r="H6" s="161"/>
      <c r="I6" s="161"/>
      <c r="J6" s="161"/>
      <c r="K6" s="161"/>
      <c r="L6" s="161"/>
      <c r="M6" s="161"/>
      <c r="N6" s="161"/>
      <c r="O6" s="161"/>
      <c r="P6" s="161"/>
      <c r="Q6" s="161"/>
      <c r="R6" s="161"/>
      <c r="S6" s="161"/>
      <c r="T6" s="161"/>
      <c r="U6" s="161"/>
      <c r="V6" s="162"/>
      <c r="W6" s="118" t="s">
        <v>14</v>
      </c>
      <c r="X6" s="119"/>
      <c r="Y6" s="119"/>
      <c r="Z6" s="119"/>
      <c r="AA6" s="120"/>
      <c r="AB6" s="157"/>
      <c r="AC6" s="158"/>
      <c r="AD6" s="159"/>
      <c r="AE6" s="157" t="s">
        <v>4</v>
      </c>
      <c r="AF6" s="158"/>
      <c r="AG6" s="159"/>
      <c r="AH6" s="6"/>
      <c r="AI6" s="6"/>
      <c r="AJ6" s="6"/>
      <c r="AK6" s="6"/>
    </row>
    <row r="7" spans="1:37" s="14" customFormat="1" x14ac:dyDescent="0.25">
      <c r="A7" s="154" t="str">
        <f>MXName</f>
        <v>NA</v>
      </c>
      <c r="B7" s="155"/>
      <c r="C7" s="155"/>
      <c r="D7" s="156"/>
      <c r="E7" s="154" t="str">
        <f>MXTitle</f>
        <v>BMM - Software Integration Test Specification Report.xls</v>
      </c>
      <c r="F7" s="155"/>
      <c r="G7" s="155"/>
      <c r="H7" s="155"/>
      <c r="I7" s="155"/>
      <c r="J7" s="155"/>
      <c r="K7" s="155"/>
      <c r="L7" s="155"/>
      <c r="M7" s="155"/>
      <c r="N7" s="155"/>
      <c r="O7" s="155"/>
      <c r="P7" s="155"/>
      <c r="Q7" s="155"/>
      <c r="R7" s="155"/>
      <c r="S7" s="155"/>
      <c r="T7" s="155"/>
      <c r="U7" s="155"/>
      <c r="V7" s="156"/>
      <c r="W7" s="154" t="str">
        <f ca="1">TemplateRef</f>
        <v>SW04TEM001</v>
      </c>
      <c r="X7" s="155"/>
      <c r="Y7" s="155"/>
      <c r="Z7" s="155"/>
      <c r="AA7" s="156"/>
      <c r="AB7" s="154"/>
      <c r="AC7" s="155"/>
      <c r="AD7" s="156"/>
      <c r="AE7" s="185">
        <v>1.3</v>
      </c>
      <c r="AF7" s="186"/>
      <c r="AG7" s="187"/>
      <c r="AH7" s="13"/>
      <c r="AI7" s="13"/>
      <c r="AJ7" s="13"/>
      <c r="AK7" s="13"/>
    </row>
    <row r="8" spans="1:37" ht="11.1" customHeight="1" x14ac:dyDescent="0.25">
      <c r="A8" s="160"/>
      <c r="B8" s="161"/>
      <c r="C8" s="161"/>
      <c r="D8" s="161"/>
      <c r="E8" s="161"/>
      <c r="F8" s="16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2"/>
      <c r="AH8" s="15"/>
      <c r="AI8" s="15"/>
      <c r="AJ8" s="15"/>
      <c r="AK8" s="15"/>
    </row>
    <row r="9" spans="1:37" s="18" customFormat="1" x14ac:dyDescent="0.25">
      <c r="A9" s="182" t="s">
        <v>13</v>
      </c>
      <c r="B9" s="183"/>
      <c r="C9" s="183"/>
      <c r="D9" s="183"/>
      <c r="E9" s="183"/>
      <c r="F9" s="183"/>
      <c r="G9" s="183"/>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c r="AG9" s="184"/>
      <c r="AH9" s="17"/>
      <c r="AI9" s="17"/>
      <c r="AJ9" s="17"/>
    </row>
    <row r="10" spans="1:37" x14ac:dyDescent="0.25"/>
    <row r="11" spans="1:37" x14ac:dyDescent="0.25"/>
    <row r="12" spans="1:37" ht="24.6" x14ac:dyDescent="0.25">
      <c r="B12" s="19" t="s">
        <v>15</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5"/>
    <row r="14" spans="1:37" ht="20.399999999999999" x14ac:dyDescent="0.25">
      <c r="B14" s="21" t="s">
        <v>16</v>
      </c>
      <c r="C14" s="22"/>
    </row>
    <row r="15" spans="1:37" x14ac:dyDescent="0.25">
      <c r="B15" s="171" t="s">
        <v>6</v>
      </c>
      <c r="C15" s="188"/>
      <c r="D15" s="188"/>
      <c r="E15" s="188"/>
      <c r="F15" s="188"/>
      <c r="G15" s="171" t="s">
        <v>5</v>
      </c>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row>
    <row r="16" spans="1:37" ht="24" customHeight="1" x14ac:dyDescent="0.25">
      <c r="B16" s="176" t="s">
        <v>33</v>
      </c>
      <c r="C16" s="176"/>
      <c r="D16" s="176"/>
      <c r="E16" s="176"/>
      <c r="F16" s="176"/>
      <c r="G16" s="172" t="s">
        <v>35</v>
      </c>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row>
    <row r="17" spans="1:45" ht="24" customHeight="1" x14ac:dyDescent="0.25">
      <c r="B17" s="176" t="s">
        <v>34</v>
      </c>
      <c r="C17" s="176"/>
      <c r="D17" s="176"/>
      <c r="E17" s="176"/>
      <c r="F17" s="176"/>
      <c r="G17" s="178" t="s">
        <v>116</v>
      </c>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row>
    <row r="18" spans="1:45" ht="24" customHeight="1" x14ac:dyDescent="0.25">
      <c r="B18" s="181" t="s">
        <v>111</v>
      </c>
      <c r="C18" s="176"/>
      <c r="D18" s="176"/>
      <c r="E18" s="176"/>
      <c r="F18" s="176"/>
      <c r="G18" s="178" t="s">
        <v>122</v>
      </c>
      <c r="H18" s="172"/>
      <c r="I18" s="172"/>
      <c r="J18" s="172"/>
      <c r="K18" s="172"/>
      <c r="L18" s="172"/>
      <c r="M18" s="172"/>
      <c r="N18" s="172"/>
      <c r="O18" s="172"/>
      <c r="P18" s="172"/>
      <c r="Q18" s="172"/>
      <c r="R18" s="172"/>
      <c r="S18" s="172"/>
      <c r="T18" s="172"/>
      <c r="U18" s="172"/>
      <c r="V18" s="172"/>
      <c r="W18" s="172"/>
      <c r="X18" s="172"/>
      <c r="Y18" s="172"/>
      <c r="Z18" s="172"/>
      <c r="AA18" s="172"/>
      <c r="AB18" s="172"/>
      <c r="AC18" s="172"/>
      <c r="AD18" s="172"/>
      <c r="AE18" s="172"/>
      <c r="AF18" s="172"/>
    </row>
    <row r="19" spans="1:45" ht="24" customHeight="1" x14ac:dyDescent="0.25">
      <c r="B19" s="181" t="s">
        <v>112</v>
      </c>
      <c r="C19" s="176"/>
      <c r="D19" s="176"/>
      <c r="E19" s="176"/>
      <c r="F19" s="176"/>
      <c r="G19" s="178" t="s">
        <v>118</v>
      </c>
      <c r="H19" s="172"/>
      <c r="I19" s="172"/>
      <c r="J19" s="172"/>
      <c r="K19" s="172"/>
      <c r="L19" s="172"/>
      <c r="M19" s="172"/>
      <c r="N19" s="172"/>
      <c r="O19" s="172"/>
      <c r="P19" s="172"/>
      <c r="Q19" s="172"/>
      <c r="R19" s="172"/>
      <c r="S19" s="172"/>
      <c r="T19" s="172"/>
      <c r="U19" s="172"/>
      <c r="V19" s="172"/>
      <c r="W19" s="172"/>
      <c r="X19" s="172"/>
      <c r="Y19" s="172"/>
      <c r="Z19" s="172"/>
      <c r="AA19" s="172"/>
      <c r="AB19" s="172"/>
      <c r="AC19" s="172"/>
      <c r="AD19" s="172"/>
      <c r="AE19" s="172"/>
      <c r="AF19" s="172"/>
      <c r="AS19" s="23"/>
    </row>
    <row r="20" spans="1:45" ht="24" customHeight="1" x14ac:dyDescent="0.25">
      <c r="B20" s="181" t="s">
        <v>44</v>
      </c>
      <c r="C20" s="176"/>
      <c r="D20" s="176"/>
      <c r="E20" s="176"/>
      <c r="F20" s="176"/>
      <c r="G20" s="178" t="s">
        <v>119</v>
      </c>
      <c r="H20" s="172"/>
      <c r="I20" s="172"/>
      <c r="J20" s="172"/>
      <c r="K20" s="172"/>
      <c r="L20" s="172"/>
      <c r="M20" s="172"/>
      <c r="N20" s="172"/>
      <c r="O20" s="172"/>
      <c r="P20" s="172"/>
      <c r="Q20" s="172"/>
      <c r="R20" s="172"/>
      <c r="S20" s="172"/>
      <c r="T20" s="172"/>
      <c r="U20" s="172"/>
      <c r="V20" s="172"/>
      <c r="W20" s="172"/>
      <c r="X20" s="172"/>
      <c r="Y20" s="172"/>
      <c r="Z20" s="172"/>
      <c r="AA20" s="172"/>
      <c r="AB20" s="172"/>
      <c r="AC20" s="172"/>
      <c r="AD20" s="172"/>
      <c r="AE20" s="172"/>
      <c r="AF20" s="172"/>
      <c r="AS20" s="23"/>
    </row>
    <row r="21" spans="1:45" ht="24" customHeight="1" x14ac:dyDescent="0.25">
      <c r="B21" s="181" t="s">
        <v>113</v>
      </c>
      <c r="C21" s="176"/>
      <c r="D21" s="176"/>
      <c r="E21" s="176"/>
      <c r="F21" s="176"/>
      <c r="G21" s="178" t="s">
        <v>117</v>
      </c>
      <c r="H21" s="172"/>
      <c r="I21" s="172"/>
      <c r="J21" s="172"/>
      <c r="K21" s="172"/>
      <c r="L21" s="172"/>
      <c r="M21" s="172"/>
      <c r="N21" s="172"/>
      <c r="O21" s="172"/>
      <c r="P21" s="172"/>
      <c r="Q21" s="172"/>
      <c r="R21" s="172"/>
      <c r="S21" s="172"/>
      <c r="T21" s="172"/>
      <c r="U21" s="172"/>
      <c r="V21" s="172"/>
      <c r="W21" s="172"/>
      <c r="X21" s="172"/>
      <c r="Y21" s="172"/>
      <c r="Z21" s="172"/>
      <c r="AA21" s="172"/>
      <c r="AB21" s="172"/>
      <c r="AC21" s="172"/>
      <c r="AD21" s="172"/>
      <c r="AE21" s="172"/>
      <c r="AF21" s="172"/>
      <c r="AS21" s="23"/>
    </row>
    <row r="22" spans="1:45" x14ac:dyDescent="0.25">
      <c r="C22" s="24"/>
      <c r="I22" s="25"/>
    </row>
    <row r="23" spans="1:45" ht="20.399999999999999" x14ac:dyDescent="0.25">
      <c r="A23" s="21"/>
      <c r="B23" s="21" t="s">
        <v>26</v>
      </c>
      <c r="C23" s="24"/>
      <c r="I23" s="25"/>
    </row>
    <row r="24" spans="1:45" x14ac:dyDescent="0.25">
      <c r="B24" s="171" t="s">
        <v>4</v>
      </c>
      <c r="C24" s="175"/>
      <c r="D24" s="175"/>
      <c r="E24" s="171" t="s">
        <v>10</v>
      </c>
      <c r="F24" s="171"/>
      <c r="G24" s="171"/>
      <c r="H24" s="171"/>
      <c r="I24" s="171" t="s">
        <v>11</v>
      </c>
      <c r="J24" s="175"/>
      <c r="K24" s="175"/>
      <c r="L24" s="175"/>
      <c r="M24" s="175"/>
      <c r="N24" s="175"/>
      <c r="O24" s="175"/>
      <c r="P24" s="175"/>
      <c r="Q24" s="175"/>
      <c r="R24" s="171" t="s">
        <v>12</v>
      </c>
      <c r="S24" s="171"/>
      <c r="T24" s="171"/>
      <c r="U24" s="171"/>
      <c r="V24" s="171"/>
      <c r="W24" s="171"/>
      <c r="X24" s="171"/>
      <c r="Y24" s="171"/>
      <c r="Z24" s="171"/>
      <c r="AA24" s="171"/>
      <c r="AB24" s="171"/>
      <c r="AC24" s="171"/>
      <c r="AD24" s="171"/>
      <c r="AE24" s="171"/>
      <c r="AF24" s="171"/>
    </row>
    <row r="25" spans="1:45" x14ac:dyDescent="0.25">
      <c r="B25" s="181" t="s">
        <v>131</v>
      </c>
      <c r="C25" s="177"/>
      <c r="D25" s="177"/>
      <c r="E25" s="178" t="s">
        <v>130</v>
      </c>
      <c r="F25" s="172"/>
      <c r="G25" s="172"/>
      <c r="H25" s="172"/>
      <c r="I25" s="178" t="s">
        <v>127</v>
      </c>
      <c r="J25" s="179"/>
      <c r="K25" s="179"/>
      <c r="L25" s="179"/>
      <c r="M25" s="179"/>
      <c r="N25" s="179"/>
      <c r="O25" s="179"/>
      <c r="P25" s="179"/>
      <c r="Q25" s="179"/>
      <c r="R25" s="178" t="s">
        <v>124</v>
      </c>
      <c r="S25" s="172"/>
      <c r="T25" s="172"/>
      <c r="U25" s="172"/>
      <c r="V25" s="172"/>
      <c r="W25" s="172"/>
      <c r="X25" s="172"/>
      <c r="Y25" s="172"/>
      <c r="Z25" s="172"/>
      <c r="AA25" s="172"/>
      <c r="AB25" s="172"/>
      <c r="AC25" s="172"/>
      <c r="AD25" s="172"/>
      <c r="AE25" s="172"/>
      <c r="AF25" s="172"/>
    </row>
    <row r="26" spans="1:45" x14ac:dyDescent="0.25">
      <c r="B26" s="181" t="s">
        <v>132</v>
      </c>
      <c r="C26" s="177"/>
      <c r="D26" s="177"/>
      <c r="E26" s="178" t="s">
        <v>130</v>
      </c>
      <c r="F26" s="172"/>
      <c r="G26" s="172"/>
      <c r="H26" s="172"/>
      <c r="I26" s="178" t="s">
        <v>127</v>
      </c>
      <c r="J26" s="179"/>
      <c r="K26" s="179"/>
      <c r="L26" s="179"/>
      <c r="M26" s="179"/>
      <c r="N26" s="179"/>
      <c r="O26" s="179"/>
      <c r="P26" s="179"/>
      <c r="Q26" s="179"/>
      <c r="R26" s="178" t="s">
        <v>133</v>
      </c>
      <c r="S26" s="172"/>
      <c r="T26" s="172"/>
      <c r="U26" s="172"/>
      <c r="V26" s="172"/>
      <c r="W26" s="172"/>
      <c r="X26" s="172"/>
      <c r="Y26" s="172"/>
      <c r="Z26" s="172"/>
      <c r="AA26" s="172"/>
      <c r="AB26" s="172"/>
      <c r="AC26" s="172"/>
      <c r="AD26" s="172"/>
      <c r="AE26" s="172"/>
      <c r="AF26" s="172"/>
    </row>
    <row r="27" spans="1:45" x14ac:dyDescent="0.25">
      <c r="B27" s="181" t="s">
        <v>225</v>
      </c>
      <c r="C27" s="177"/>
      <c r="D27" s="177"/>
      <c r="E27" s="178" t="s">
        <v>226</v>
      </c>
      <c r="F27" s="172"/>
      <c r="G27" s="172"/>
      <c r="H27" s="172"/>
      <c r="I27" s="178" t="s">
        <v>223</v>
      </c>
      <c r="J27" s="179"/>
      <c r="K27" s="179"/>
      <c r="L27" s="179"/>
      <c r="M27" s="179"/>
      <c r="N27" s="179"/>
      <c r="O27" s="179"/>
      <c r="P27" s="179"/>
      <c r="Q27" s="179"/>
      <c r="R27" s="178" t="s">
        <v>227</v>
      </c>
      <c r="S27" s="172"/>
      <c r="T27" s="172"/>
      <c r="U27" s="172"/>
      <c r="V27" s="172"/>
      <c r="W27" s="172"/>
      <c r="X27" s="172"/>
      <c r="Y27" s="172"/>
      <c r="Z27" s="172"/>
      <c r="AA27" s="172"/>
      <c r="AB27" s="172"/>
      <c r="AC27" s="172"/>
      <c r="AD27" s="172"/>
      <c r="AE27" s="172"/>
      <c r="AF27" s="172"/>
    </row>
    <row r="28" spans="1:45" x14ac:dyDescent="0.25">
      <c r="B28" s="176"/>
      <c r="C28" s="177"/>
      <c r="D28" s="177"/>
      <c r="E28" s="172"/>
      <c r="F28" s="172"/>
      <c r="G28" s="172"/>
      <c r="H28" s="172"/>
      <c r="I28" s="172"/>
      <c r="J28" s="179"/>
      <c r="K28" s="179"/>
      <c r="L28" s="179"/>
      <c r="M28" s="179"/>
      <c r="N28" s="179"/>
      <c r="O28" s="179"/>
      <c r="P28" s="179"/>
      <c r="Q28" s="179"/>
      <c r="R28" s="172"/>
      <c r="S28" s="172"/>
      <c r="T28" s="172"/>
      <c r="U28" s="172"/>
      <c r="V28" s="172"/>
      <c r="W28" s="172"/>
      <c r="X28" s="172"/>
      <c r="Y28" s="172"/>
      <c r="Z28" s="172"/>
      <c r="AA28" s="172"/>
      <c r="AB28" s="172"/>
      <c r="AC28" s="172"/>
      <c r="AD28" s="172"/>
      <c r="AE28" s="172"/>
      <c r="AF28" s="172"/>
    </row>
    <row r="29" spans="1:45" x14ac:dyDescent="0.25">
      <c r="B29" s="26" t="s">
        <v>25</v>
      </c>
      <c r="C29" s="27"/>
      <c r="D29" s="27"/>
      <c r="E29" s="28"/>
      <c r="F29" s="28"/>
      <c r="G29" s="28"/>
      <c r="H29" s="28"/>
      <c r="I29" s="28"/>
      <c r="J29" s="29"/>
      <c r="K29" s="29"/>
      <c r="L29" s="29"/>
      <c r="M29" s="29"/>
      <c r="N29" s="29"/>
      <c r="O29" s="29"/>
      <c r="P29" s="29"/>
      <c r="Q29" s="29"/>
      <c r="R29" s="28"/>
      <c r="S29" s="28"/>
      <c r="T29" s="28"/>
      <c r="U29" s="28"/>
      <c r="V29" s="28"/>
      <c r="W29" s="28"/>
      <c r="X29" s="28"/>
      <c r="Y29" s="28"/>
      <c r="Z29" s="28"/>
      <c r="AA29" s="28"/>
      <c r="AB29" s="28"/>
      <c r="AC29" s="28"/>
      <c r="AD29" s="28"/>
      <c r="AE29" s="28"/>
      <c r="AF29" s="28"/>
    </row>
    <row r="30" spans="1:45" x14ac:dyDescent="0.25">
      <c r="C30" s="24"/>
      <c r="I30" s="25"/>
    </row>
    <row r="31" spans="1:45" ht="20.399999999999999" x14ac:dyDescent="0.25">
      <c r="B31" s="21" t="s">
        <v>17</v>
      </c>
      <c r="I31" s="25"/>
    </row>
    <row r="32" spans="1:45" ht="66.75" customHeight="1" x14ac:dyDescent="0.25">
      <c r="B32" s="180" t="s">
        <v>121</v>
      </c>
      <c r="C32" s="180"/>
      <c r="D32" s="180"/>
      <c r="E32" s="180"/>
      <c r="F32" s="180"/>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30"/>
    </row>
    <row r="33" spans="2:32" x14ac:dyDescent="0.25">
      <c r="J33" s="31"/>
    </row>
    <row r="34" spans="2:32" ht="20.399999999999999" x14ac:dyDescent="0.25">
      <c r="B34" s="21" t="s">
        <v>18</v>
      </c>
      <c r="C34" s="22"/>
      <c r="I34" s="25"/>
    </row>
    <row r="35" spans="2:32" ht="24.75" customHeight="1" x14ac:dyDescent="0.25">
      <c r="B35" s="32" t="s">
        <v>27</v>
      </c>
      <c r="C35" s="22"/>
      <c r="I35" s="25"/>
    </row>
    <row r="36" spans="2:32" ht="12.75" customHeight="1" x14ac:dyDescent="0.25">
      <c r="B36" s="171" t="s">
        <v>7</v>
      </c>
      <c r="C36" s="171"/>
      <c r="D36" s="171"/>
      <c r="E36" s="171" t="s">
        <v>8</v>
      </c>
      <c r="F36" s="175"/>
      <c r="G36" s="175"/>
      <c r="H36" s="175"/>
      <c r="I36" s="175"/>
      <c r="J36" s="175"/>
      <c r="K36" s="175"/>
      <c r="L36" s="175"/>
      <c r="M36" s="175"/>
      <c r="N36" s="175"/>
      <c r="O36" s="175"/>
      <c r="P36" s="175"/>
      <c r="Q36" s="175"/>
      <c r="R36" s="175"/>
      <c r="S36" s="175"/>
      <c r="T36" s="175"/>
      <c r="U36" s="175"/>
      <c r="V36" s="175"/>
      <c r="W36" s="175"/>
      <c r="X36" s="175"/>
      <c r="Y36" s="171" t="s">
        <v>9</v>
      </c>
      <c r="Z36" s="171"/>
      <c r="AA36" s="171"/>
      <c r="AB36" s="171"/>
      <c r="AC36" s="171"/>
      <c r="AD36" s="171"/>
      <c r="AE36" s="171"/>
      <c r="AF36" s="171"/>
    </row>
    <row r="37" spans="2:32" x14ac:dyDescent="0.25">
      <c r="B37" s="174"/>
      <c r="C37" s="174"/>
      <c r="D37" s="174"/>
      <c r="E37" s="172"/>
      <c r="F37" s="173"/>
      <c r="G37" s="173"/>
      <c r="H37" s="173"/>
      <c r="I37" s="173"/>
      <c r="J37" s="173"/>
      <c r="K37" s="173"/>
      <c r="L37" s="173"/>
      <c r="M37" s="173"/>
      <c r="N37" s="173"/>
      <c r="O37" s="173"/>
      <c r="P37" s="173"/>
      <c r="Q37" s="173"/>
      <c r="R37" s="173"/>
      <c r="S37" s="173"/>
      <c r="T37" s="173"/>
      <c r="U37" s="173"/>
      <c r="V37" s="173"/>
      <c r="W37" s="173"/>
      <c r="X37" s="173"/>
      <c r="Y37" s="172"/>
      <c r="Z37" s="173"/>
      <c r="AA37" s="173"/>
      <c r="AB37" s="173"/>
      <c r="AC37" s="173"/>
      <c r="AD37" s="173"/>
      <c r="AE37" s="173"/>
      <c r="AF37" s="173"/>
    </row>
    <row r="38" spans="2:32" x14ac:dyDescent="0.25">
      <c r="B38" s="174"/>
      <c r="C38" s="174"/>
      <c r="D38" s="174"/>
      <c r="E38" s="172"/>
      <c r="F38" s="173"/>
      <c r="G38" s="173"/>
      <c r="H38" s="173"/>
      <c r="I38" s="173"/>
      <c r="J38" s="173"/>
      <c r="K38" s="173"/>
      <c r="L38" s="173"/>
      <c r="M38" s="173"/>
      <c r="N38" s="173"/>
      <c r="O38" s="173"/>
      <c r="P38" s="173"/>
      <c r="Q38" s="173"/>
      <c r="R38" s="173"/>
      <c r="S38" s="173"/>
      <c r="T38" s="173"/>
      <c r="U38" s="173"/>
      <c r="V38" s="173"/>
      <c r="W38" s="173"/>
      <c r="X38" s="173"/>
      <c r="Y38" s="172"/>
      <c r="Z38" s="173"/>
      <c r="AA38" s="173"/>
      <c r="AB38" s="173"/>
      <c r="AC38" s="173"/>
      <c r="AD38" s="173"/>
      <c r="AE38" s="173"/>
      <c r="AF38" s="173"/>
    </row>
    <row r="39" spans="2:32" x14ac:dyDescent="0.25">
      <c r="B39" s="174"/>
      <c r="C39" s="174"/>
      <c r="D39" s="174"/>
      <c r="E39" s="172"/>
      <c r="F39" s="173"/>
      <c r="G39" s="173"/>
      <c r="H39" s="173"/>
      <c r="I39" s="173"/>
      <c r="J39" s="173"/>
      <c r="K39" s="173"/>
      <c r="L39" s="173"/>
      <c r="M39" s="173"/>
      <c r="N39" s="173"/>
      <c r="O39" s="173"/>
      <c r="P39" s="173"/>
      <c r="Q39" s="173"/>
      <c r="R39" s="173"/>
      <c r="S39" s="173"/>
      <c r="T39" s="173"/>
      <c r="U39" s="173"/>
      <c r="V39" s="173"/>
      <c r="W39" s="173"/>
      <c r="X39" s="173"/>
      <c r="Y39" s="172"/>
      <c r="Z39" s="173"/>
      <c r="AA39" s="173"/>
      <c r="AB39" s="173"/>
      <c r="AC39" s="173"/>
      <c r="AD39" s="173"/>
      <c r="AE39" s="173"/>
      <c r="AF39" s="173"/>
    </row>
    <row r="40" spans="2:32" x14ac:dyDescent="0.25">
      <c r="B40" s="174"/>
      <c r="C40" s="174"/>
      <c r="D40" s="174"/>
      <c r="E40" s="172"/>
      <c r="F40" s="173"/>
      <c r="G40" s="173"/>
      <c r="H40" s="173"/>
      <c r="I40" s="173"/>
      <c r="J40" s="173"/>
      <c r="K40" s="173"/>
      <c r="L40" s="173"/>
      <c r="M40" s="173"/>
      <c r="N40" s="173"/>
      <c r="O40" s="173"/>
      <c r="P40" s="173"/>
      <c r="Q40" s="173"/>
      <c r="R40" s="173"/>
      <c r="S40" s="173"/>
      <c r="T40" s="173"/>
      <c r="U40" s="173"/>
      <c r="V40" s="173"/>
      <c r="W40" s="173"/>
      <c r="X40" s="173"/>
      <c r="Y40" s="172"/>
      <c r="Z40" s="173"/>
      <c r="AA40" s="173"/>
      <c r="AB40" s="173"/>
      <c r="AC40" s="173"/>
      <c r="AD40" s="173"/>
      <c r="AE40" s="173"/>
      <c r="AF40" s="173"/>
    </row>
    <row r="41" spans="2:32" ht="24.75" customHeight="1" x14ac:dyDescent="0.25">
      <c r="B41" s="32" t="s">
        <v>28</v>
      </c>
      <c r="C41" s="22"/>
      <c r="I41" s="25"/>
    </row>
    <row r="42" spans="2:32" ht="12.75" customHeight="1" x14ac:dyDescent="0.25">
      <c r="B42" s="171" t="s">
        <v>7</v>
      </c>
      <c r="C42" s="171"/>
      <c r="D42" s="171"/>
      <c r="E42" s="171" t="s">
        <v>8</v>
      </c>
      <c r="F42" s="175"/>
      <c r="G42" s="175"/>
      <c r="H42" s="175"/>
      <c r="I42" s="175"/>
      <c r="J42" s="175"/>
      <c r="K42" s="175"/>
      <c r="L42" s="175"/>
      <c r="M42" s="175"/>
      <c r="N42" s="175"/>
      <c r="O42" s="175"/>
      <c r="P42" s="175"/>
      <c r="Q42" s="175"/>
      <c r="R42" s="175"/>
      <c r="S42" s="175"/>
      <c r="T42" s="175"/>
      <c r="U42" s="175"/>
      <c r="V42" s="175"/>
      <c r="W42" s="175"/>
      <c r="X42" s="175"/>
      <c r="Y42" s="171" t="s">
        <v>9</v>
      </c>
      <c r="Z42" s="171"/>
      <c r="AA42" s="171"/>
      <c r="AB42" s="171"/>
      <c r="AC42" s="171"/>
      <c r="AD42" s="171"/>
      <c r="AE42" s="171"/>
      <c r="AF42" s="171"/>
    </row>
    <row r="43" spans="2:32" x14ac:dyDescent="0.25">
      <c r="B43" s="174"/>
      <c r="C43" s="174"/>
      <c r="D43" s="174"/>
      <c r="E43" s="172"/>
      <c r="F43" s="173"/>
      <c r="G43" s="173"/>
      <c r="H43" s="173"/>
      <c r="I43" s="173"/>
      <c r="J43" s="173"/>
      <c r="K43" s="173"/>
      <c r="L43" s="173"/>
      <c r="M43" s="173"/>
      <c r="N43" s="173"/>
      <c r="O43" s="173"/>
      <c r="P43" s="173"/>
      <c r="Q43" s="173"/>
      <c r="R43" s="173"/>
      <c r="S43" s="173"/>
      <c r="T43" s="173"/>
      <c r="U43" s="173"/>
      <c r="V43" s="173"/>
      <c r="W43" s="173"/>
      <c r="X43" s="173"/>
      <c r="Y43" s="172"/>
      <c r="Z43" s="173"/>
      <c r="AA43" s="173"/>
      <c r="AB43" s="173"/>
      <c r="AC43" s="173"/>
      <c r="AD43" s="173"/>
      <c r="AE43" s="173"/>
      <c r="AF43" s="173"/>
    </row>
    <row r="44" spans="2:32" x14ac:dyDescent="0.25">
      <c r="B44" s="174"/>
      <c r="C44" s="174"/>
      <c r="D44" s="174"/>
      <c r="E44" s="172"/>
      <c r="F44" s="173"/>
      <c r="G44" s="173"/>
      <c r="H44" s="173"/>
      <c r="I44" s="173"/>
      <c r="J44" s="173"/>
      <c r="K44" s="173"/>
      <c r="L44" s="173"/>
      <c r="M44" s="173"/>
      <c r="N44" s="173"/>
      <c r="O44" s="173"/>
      <c r="P44" s="173"/>
      <c r="Q44" s="173"/>
      <c r="R44" s="173"/>
      <c r="S44" s="173"/>
      <c r="T44" s="173"/>
      <c r="U44" s="173"/>
      <c r="V44" s="173"/>
      <c r="W44" s="173"/>
      <c r="X44" s="173"/>
      <c r="Y44" s="172"/>
      <c r="Z44" s="173"/>
      <c r="AA44" s="173"/>
      <c r="AB44" s="173"/>
      <c r="AC44" s="173"/>
      <c r="AD44" s="173"/>
      <c r="AE44" s="173"/>
      <c r="AF44" s="173"/>
    </row>
    <row r="45" spans="2:32" x14ac:dyDescent="0.25">
      <c r="B45" s="174"/>
      <c r="C45" s="174"/>
      <c r="D45" s="174"/>
      <c r="E45" s="172"/>
      <c r="F45" s="173"/>
      <c r="G45" s="173"/>
      <c r="H45" s="173"/>
      <c r="I45" s="173"/>
      <c r="J45" s="173"/>
      <c r="K45" s="173"/>
      <c r="L45" s="173"/>
      <c r="M45" s="173"/>
      <c r="N45" s="173"/>
      <c r="O45" s="173"/>
      <c r="P45" s="173"/>
      <c r="Q45" s="173"/>
      <c r="R45" s="173"/>
      <c r="S45" s="173"/>
      <c r="T45" s="173"/>
      <c r="U45" s="173"/>
      <c r="V45" s="173"/>
      <c r="W45" s="173"/>
      <c r="X45" s="173"/>
      <c r="Y45" s="172"/>
      <c r="Z45" s="173"/>
      <c r="AA45" s="173"/>
      <c r="AB45" s="173"/>
      <c r="AC45" s="173"/>
      <c r="AD45" s="173"/>
      <c r="AE45" s="173"/>
      <c r="AF45" s="173"/>
    </row>
    <row r="46" spans="2:32" x14ac:dyDescent="0.25">
      <c r="B46" s="174"/>
      <c r="C46" s="174"/>
      <c r="D46" s="174"/>
      <c r="E46" s="172"/>
      <c r="F46" s="173"/>
      <c r="G46" s="173"/>
      <c r="H46" s="173"/>
      <c r="I46" s="173"/>
      <c r="J46" s="173"/>
      <c r="K46" s="173"/>
      <c r="L46" s="173"/>
      <c r="M46" s="173"/>
      <c r="N46" s="173"/>
      <c r="O46" s="173"/>
      <c r="P46" s="173"/>
      <c r="Q46" s="173"/>
      <c r="R46" s="173"/>
      <c r="S46" s="173"/>
      <c r="T46" s="173"/>
      <c r="U46" s="173"/>
      <c r="V46" s="173"/>
      <c r="W46" s="173"/>
      <c r="X46" s="173"/>
      <c r="Y46" s="172"/>
      <c r="Z46" s="173"/>
      <c r="AA46" s="173"/>
      <c r="AB46" s="173"/>
      <c r="AC46" s="173"/>
      <c r="AD46" s="173"/>
      <c r="AE46" s="173"/>
      <c r="AF46" s="173"/>
    </row>
    <row r="47" spans="2:32" x14ac:dyDescent="0.25">
      <c r="C47" s="24"/>
      <c r="I47" s="25"/>
    </row>
    <row r="48" spans="2:32" ht="20.399999999999999" x14ac:dyDescent="0.25">
      <c r="B48" s="21" t="s">
        <v>30</v>
      </c>
      <c r="C48" s="22"/>
      <c r="I48" s="25"/>
    </row>
    <row r="49" spans="2:32" ht="12.75" customHeight="1" x14ac:dyDescent="0.25">
      <c r="B49" s="171" t="s">
        <v>29</v>
      </c>
      <c r="C49" s="171"/>
      <c r="D49" s="171"/>
      <c r="E49" s="171"/>
      <c r="F49" s="171"/>
      <c r="G49" s="171"/>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row>
    <row r="50" spans="2:32" ht="33.75" customHeight="1" x14ac:dyDescent="0.25">
      <c r="B50" s="163" t="s">
        <v>106</v>
      </c>
      <c r="C50" s="164"/>
      <c r="D50" s="164"/>
      <c r="E50" s="164"/>
      <c r="F50" s="164"/>
      <c r="G50" s="165"/>
      <c r="H50" s="170" t="s">
        <v>110</v>
      </c>
      <c r="I50" s="168"/>
      <c r="J50" s="168"/>
      <c r="K50" s="168"/>
      <c r="L50" s="168"/>
      <c r="M50" s="168"/>
      <c r="N50" s="168"/>
      <c r="O50" s="168"/>
      <c r="P50" s="168"/>
      <c r="Q50" s="168"/>
      <c r="R50" s="168"/>
      <c r="S50" s="168"/>
      <c r="T50" s="168"/>
      <c r="U50" s="168"/>
      <c r="V50" s="168"/>
      <c r="W50" s="168"/>
      <c r="X50" s="168"/>
      <c r="Y50" s="168"/>
      <c r="Z50" s="168"/>
      <c r="AA50" s="168"/>
      <c r="AB50" s="168"/>
      <c r="AC50" s="168"/>
      <c r="AD50" s="168"/>
      <c r="AE50" s="168"/>
      <c r="AF50" s="169"/>
    </row>
    <row r="51" spans="2:32" ht="36.75" customHeight="1" x14ac:dyDescent="0.25">
      <c r="B51" s="163" t="s">
        <v>69</v>
      </c>
      <c r="C51" s="164"/>
      <c r="D51" s="164"/>
      <c r="E51" s="164"/>
      <c r="F51" s="164"/>
      <c r="G51" s="165"/>
      <c r="H51" s="167" t="s">
        <v>70</v>
      </c>
      <c r="I51" s="168"/>
      <c r="J51" s="168"/>
      <c r="K51" s="168"/>
      <c r="L51" s="168"/>
      <c r="M51" s="168"/>
      <c r="N51" s="168"/>
      <c r="O51" s="168"/>
      <c r="P51" s="168"/>
      <c r="Q51" s="168"/>
      <c r="R51" s="168"/>
      <c r="S51" s="168"/>
      <c r="T51" s="168"/>
      <c r="U51" s="168"/>
      <c r="V51" s="168"/>
      <c r="W51" s="168"/>
      <c r="X51" s="168"/>
      <c r="Y51" s="168"/>
      <c r="Z51" s="168"/>
      <c r="AA51" s="168"/>
      <c r="AB51" s="168"/>
      <c r="AC51" s="168"/>
      <c r="AD51" s="168"/>
      <c r="AE51" s="168"/>
      <c r="AF51" s="169"/>
    </row>
    <row r="52" spans="2:32" ht="45.75" customHeight="1" x14ac:dyDescent="0.25">
      <c r="B52" s="163" t="s">
        <v>71</v>
      </c>
      <c r="C52" s="164"/>
      <c r="D52" s="164"/>
      <c r="E52" s="164"/>
      <c r="F52" s="164"/>
      <c r="G52" s="165"/>
      <c r="H52" s="167" t="s">
        <v>76</v>
      </c>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9"/>
    </row>
    <row r="53" spans="2:32" ht="45.75" customHeight="1" x14ac:dyDescent="0.25">
      <c r="B53" s="163" t="s">
        <v>72</v>
      </c>
      <c r="C53" s="164"/>
      <c r="D53" s="164"/>
      <c r="E53" s="164"/>
      <c r="F53" s="164"/>
      <c r="G53" s="165"/>
      <c r="H53" s="167" t="s">
        <v>75</v>
      </c>
      <c r="I53" s="168"/>
      <c r="J53" s="168"/>
      <c r="K53" s="168"/>
      <c r="L53" s="168"/>
      <c r="M53" s="168"/>
      <c r="N53" s="168"/>
      <c r="O53" s="168"/>
      <c r="P53" s="168"/>
      <c r="Q53" s="168"/>
      <c r="R53" s="168"/>
      <c r="S53" s="168"/>
      <c r="T53" s="168"/>
      <c r="U53" s="168"/>
      <c r="V53" s="168"/>
      <c r="W53" s="168"/>
      <c r="X53" s="168"/>
      <c r="Y53" s="168"/>
      <c r="Z53" s="168"/>
      <c r="AA53" s="168"/>
      <c r="AB53" s="168"/>
      <c r="AC53" s="168"/>
      <c r="AD53" s="168"/>
      <c r="AE53" s="168"/>
      <c r="AF53" s="169"/>
    </row>
    <row r="54" spans="2:32" ht="37.5" customHeight="1" x14ac:dyDescent="0.25">
      <c r="B54" s="163" t="s">
        <v>73</v>
      </c>
      <c r="C54" s="164"/>
      <c r="D54" s="164"/>
      <c r="E54" s="164"/>
      <c r="F54" s="164"/>
      <c r="G54" s="165"/>
      <c r="H54" s="167" t="s">
        <v>74</v>
      </c>
      <c r="I54" s="168"/>
      <c r="J54" s="168"/>
      <c r="K54" s="168"/>
      <c r="L54" s="168"/>
      <c r="M54" s="168"/>
      <c r="N54" s="168"/>
      <c r="O54" s="168"/>
      <c r="P54" s="168"/>
      <c r="Q54" s="168"/>
      <c r="R54" s="168"/>
      <c r="S54" s="168"/>
      <c r="T54" s="168"/>
      <c r="U54" s="168"/>
      <c r="V54" s="168"/>
      <c r="W54" s="168"/>
      <c r="X54" s="168"/>
      <c r="Y54" s="168"/>
      <c r="Z54" s="168"/>
      <c r="AA54" s="168"/>
      <c r="AB54" s="168"/>
      <c r="AC54" s="168"/>
      <c r="AD54" s="168"/>
      <c r="AE54" s="168"/>
      <c r="AF54" s="169"/>
    </row>
    <row r="55" spans="2:32" x14ac:dyDescent="0.25">
      <c r="B55" s="28"/>
      <c r="C55" s="28"/>
      <c r="D55" s="28"/>
      <c r="E55" s="28"/>
      <c r="F55" s="28"/>
      <c r="G55" s="28"/>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row>
    <row r="56" spans="2:32" x14ac:dyDescent="0.25">
      <c r="B56" s="28"/>
      <c r="C56" s="28"/>
      <c r="D56" s="28"/>
      <c r="E56" s="28"/>
      <c r="F56" s="28"/>
      <c r="G56" s="28"/>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row>
    <row r="57" spans="2:32" ht="24.6" x14ac:dyDescent="0.25">
      <c r="B57" s="34" t="s">
        <v>31</v>
      </c>
      <c r="C57" s="35"/>
      <c r="D57" s="35"/>
      <c r="E57" s="35"/>
      <c r="F57" s="35"/>
      <c r="G57" s="35"/>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row>
    <row r="58" spans="2:32" ht="15.75" customHeight="1" x14ac:dyDescent="0.25">
      <c r="B58" s="37"/>
      <c r="C58" s="28"/>
      <c r="D58" s="28"/>
      <c r="E58" s="28"/>
      <c r="F58" s="28"/>
      <c r="G58" s="28"/>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row>
    <row r="59" spans="2:32" x14ac:dyDescent="0.25">
      <c r="B59" s="91" t="s">
        <v>77</v>
      </c>
      <c r="C59" s="38"/>
      <c r="D59" s="38"/>
      <c r="E59" s="38"/>
      <c r="F59" s="38"/>
      <c r="G59" s="38"/>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row>
    <row r="60" spans="2:32" x14ac:dyDescent="0.25">
      <c r="B60" s="91" t="s">
        <v>108</v>
      </c>
      <c r="C60" s="38"/>
      <c r="D60" s="38"/>
      <c r="E60" s="38"/>
      <c r="F60" s="38"/>
      <c r="G60" s="38"/>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row>
    <row r="61" spans="2:32" x14ac:dyDescent="0.25">
      <c r="B61" s="38"/>
      <c r="C61" s="38"/>
      <c r="D61" s="38"/>
      <c r="E61" s="38"/>
      <c r="F61" s="38"/>
      <c r="G61" s="38"/>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row>
    <row r="62" spans="2:32" x14ac:dyDescent="0.25">
      <c r="B62" s="38"/>
      <c r="C62" s="38"/>
      <c r="D62" s="38"/>
      <c r="E62" s="38"/>
      <c r="F62" s="38"/>
      <c r="G62" s="38"/>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row>
    <row r="63" spans="2:32" x14ac:dyDescent="0.25">
      <c r="B63" s="38"/>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5">
      <c r="B64" s="38"/>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x14ac:dyDescent="0.25">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x14ac:dyDescent="0.25">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5">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x14ac:dyDescent="0.25">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x14ac:dyDescent="0.25">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5">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5">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ht="12" customHeight="1" x14ac:dyDescent="0.25"/>
    <row r="73" spans="2:34" ht="12.75" hidden="1" customHeight="1" x14ac:dyDescent="0.25">
      <c r="B73" s="16" t="s">
        <v>78</v>
      </c>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row>
    <row r="74" spans="2:34" ht="12.75" hidden="1" customHeight="1" x14ac:dyDescent="0.25">
      <c r="B74" s="16" t="s">
        <v>79</v>
      </c>
      <c r="F74" s="40"/>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0"/>
    </row>
    <row r="75" spans="2:34" ht="12.75" hidden="1" customHeight="1" x14ac:dyDescent="0.25">
      <c r="B75" s="16" t="s">
        <v>80</v>
      </c>
      <c r="F75" s="40"/>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40"/>
    </row>
    <row r="76" spans="2:34" ht="12.75" hidden="1" customHeight="1" x14ac:dyDescent="0.25">
      <c r="B76" s="16" t="s">
        <v>81</v>
      </c>
      <c r="F76" s="40"/>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40"/>
    </row>
    <row r="77" spans="2:34" ht="12.75" hidden="1" customHeight="1" x14ac:dyDescent="0.25">
      <c r="B77" s="16" t="s">
        <v>82</v>
      </c>
      <c r="F77" s="42"/>
      <c r="G77" s="42"/>
      <c r="H77" s="42"/>
      <c r="I77" s="42"/>
      <c r="J77" s="40"/>
      <c r="K77" s="40"/>
      <c r="L77" s="40"/>
      <c r="M77" s="40"/>
      <c r="N77" s="40"/>
      <c r="O77" s="40"/>
      <c r="P77" s="40"/>
      <c r="Q77" s="40"/>
      <c r="R77" s="40"/>
      <c r="S77" s="42"/>
      <c r="T77" s="42"/>
      <c r="U77" s="42"/>
      <c r="V77" s="42"/>
      <c r="W77" s="42"/>
      <c r="X77" s="42"/>
      <c r="Y77" s="42"/>
      <c r="Z77" s="42"/>
      <c r="AA77" s="42"/>
      <c r="AB77" s="42"/>
      <c r="AC77" s="42"/>
      <c r="AD77" s="42"/>
      <c r="AE77" s="42"/>
      <c r="AF77" s="42"/>
      <c r="AG77" s="42"/>
      <c r="AH77" s="40"/>
    </row>
    <row r="78" spans="2:34" ht="12.75" hidden="1" customHeight="1" x14ac:dyDescent="0.25">
      <c r="B78" s="16" t="s">
        <v>83</v>
      </c>
      <c r="F78" s="42"/>
      <c r="G78" s="42"/>
      <c r="H78" s="42"/>
      <c r="I78" s="42"/>
      <c r="J78" s="40"/>
      <c r="K78" s="40"/>
      <c r="L78" s="40"/>
      <c r="M78" s="40"/>
      <c r="N78" s="40"/>
      <c r="O78" s="40"/>
      <c r="P78" s="40"/>
      <c r="Q78" s="40"/>
      <c r="R78" s="40"/>
      <c r="S78" s="42"/>
      <c r="T78" s="42"/>
      <c r="U78" s="42"/>
      <c r="V78" s="42"/>
      <c r="W78" s="42"/>
      <c r="X78" s="42"/>
      <c r="Y78" s="42"/>
      <c r="Z78" s="42"/>
      <c r="AA78" s="42"/>
      <c r="AB78" s="42"/>
      <c r="AC78" s="42"/>
      <c r="AD78" s="42"/>
      <c r="AE78" s="42"/>
      <c r="AF78" s="42"/>
      <c r="AG78" s="42"/>
      <c r="AH78" s="40"/>
    </row>
    <row r="79" spans="2:34" ht="12.75" hidden="1" customHeight="1" x14ac:dyDescent="0.25">
      <c r="B79" s="16" t="s">
        <v>84</v>
      </c>
      <c r="F79" s="43"/>
      <c r="G79" s="43"/>
      <c r="H79" s="43"/>
      <c r="I79" s="43"/>
      <c r="J79" s="43"/>
      <c r="K79" s="43"/>
      <c r="R79" s="43"/>
      <c r="S79" s="42"/>
      <c r="T79" s="42"/>
      <c r="U79" s="42"/>
      <c r="V79" s="42"/>
      <c r="W79" s="42"/>
      <c r="X79" s="42"/>
      <c r="Y79" s="42"/>
      <c r="Z79" s="42"/>
      <c r="AA79" s="42"/>
      <c r="AB79" s="42"/>
      <c r="AC79" s="42"/>
      <c r="AD79" s="42"/>
      <c r="AE79" s="42"/>
      <c r="AF79" s="42"/>
      <c r="AG79" s="42"/>
      <c r="AH79" s="43"/>
    </row>
    <row r="80" spans="2:34" ht="12.75" hidden="1" customHeight="1" x14ac:dyDescent="0.25">
      <c r="B80" s="16" t="s">
        <v>85</v>
      </c>
      <c r="R80" s="43"/>
      <c r="S80" s="43"/>
      <c r="T80" s="43"/>
      <c r="U80" s="43"/>
      <c r="V80" s="43"/>
      <c r="W80" s="43"/>
      <c r="X80" s="43"/>
      <c r="Y80" s="43"/>
      <c r="Z80" s="43"/>
      <c r="AA80" s="43"/>
      <c r="AB80" s="43"/>
      <c r="AC80" s="43"/>
      <c r="AD80" s="43"/>
      <c r="AE80" s="43"/>
      <c r="AF80" s="43"/>
      <c r="AG80" s="43"/>
      <c r="AH80" s="43"/>
    </row>
    <row r="81" spans="2:34" ht="12.75" hidden="1" customHeight="1" x14ac:dyDescent="0.25">
      <c r="B81" s="16" t="s">
        <v>86</v>
      </c>
      <c r="R81" s="43"/>
      <c r="S81" s="43"/>
      <c r="T81" s="43"/>
      <c r="U81" s="43"/>
      <c r="V81" s="43"/>
      <c r="W81" s="43"/>
      <c r="X81" s="43"/>
      <c r="Y81" s="43"/>
      <c r="Z81" s="43"/>
      <c r="AA81" s="43"/>
      <c r="AB81" s="43"/>
      <c r="AC81" s="43"/>
      <c r="AD81" s="43"/>
      <c r="AE81" s="43"/>
      <c r="AF81" s="43"/>
      <c r="AG81" s="43"/>
      <c r="AH81" s="43"/>
    </row>
    <row r="82" spans="2:34" ht="12.75" hidden="1" customHeight="1" x14ac:dyDescent="0.25">
      <c r="B82" s="16" t="s">
        <v>87</v>
      </c>
    </row>
    <row r="83" spans="2:34" ht="12.75" hidden="1" customHeight="1" x14ac:dyDescent="0.25">
      <c r="B83" s="16" t="s">
        <v>88</v>
      </c>
    </row>
    <row r="84" spans="2:34" ht="12.75" hidden="1" customHeight="1" x14ac:dyDescent="0.25">
      <c r="B84" s="16" t="s">
        <v>89</v>
      </c>
    </row>
    <row r="85" spans="2:34" ht="12.75" hidden="1" customHeight="1" x14ac:dyDescent="0.25">
      <c r="B85" s="16" t="s">
        <v>90</v>
      </c>
    </row>
    <row r="86" spans="2:34" ht="12.75" hidden="1" customHeight="1" x14ac:dyDescent="0.25">
      <c r="B86" s="16" t="s">
        <v>91</v>
      </c>
    </row>
    <row r="87" spans="2:34" ht="12.75" hidden="1" customHeight="1" x14ac:dyDescent="0.25">
      <c r="B87" s="16" t="s">
        <v>92</v>
      </c>
    </row>
    <row r="88" spans="2:34" ht="12.75" hidden="1" customHeight="1" x14ac:dyDescent="0.25">
      <c r="B88" s="16" t="s">
        <v>93</v>
      </c>
    </row>
    <row r="89" spans="2:34" ht="12.75" hidden="1" customHeight="1" x14ac:dyDescent="0.25">
      <c r="B89" s="16" t="s">
        <v>94</v>
      </c>
    </row>
    <row r="90" spans="2:34" ht="12.75" hidden="1" customHeight="1" x14ac:dyDescent="0.25">
      <c r="B90" s="16" t="s">
        <v>95</v>
      </c>
    </row>
    <row r="91" spans="2:34" ht="12.75" hidden="1" customHeight="1" x14ac:dyDescent="0.25">
      <c r="B91" s="16" t="s">
        <v>96</v>
      </c>
    </row>
    <row r="92" spans="2:34" ht="12.75" hidden="1" customHeight="1" x14ac:dyDescent="0.25">
      <c r="B92" s="16" t="s">
        <v>97</v>
      </c>
    </row>
    <row r="93" spans="2:34" ht="12.75" hidden="1" customHeight="1" x14ac:dyDescent="0.25">
      <c r="B93" s="16" t="s">
        <v>98</v>
      </c>
    </row>
    <row r="94" spans="2:34" ht="12.75" hidden="1" customHeight="1" x14ac:dyDescent="0.25">
      <c r="B94" s="16" t="s">
        <v>99</v>
      </c>
    </row>
    <row r="95" spans="2:34" ht="12.75" hidden="1" customHeight="1" x14ac:dyDescent="0.25">
      <c r="B95" s="16" t="s">
        <v>100</v>
      </c>
    </row>
    <row r="96" spans="2:34" ht="12.75" hidden="1" customHeight="1" x14ac:dyDescent="0.25">
      <c r="B96" s="16" t="s">
        <v>101</v>
      </c>
    </row>
    <row r="97" spans="2:2" ht="12.75" hidden="1" customHeight="1" x14ac:dyDescent="0.25">
      <c r="B97" s="16" t="s">
        <v>102</v>
      </c>
    </row>
    <row r="98" spans="2:2" ht="12.75" hidden="1" customHeight="1" x14ac:dyDescent="0.25">
      <c r="B98" s="16" t="s">
        <v>103</v>
      </c>
    </row>
    <row r="99" spans="2:2" ht="12.75" hidden="1" customHeight="1" x14ac:dyDescent="0.25">
      <c r="B99" s="16" t="s">
        <v>104</v>
      </c>
    </row>
    <row r="100" spans="2:2" ht="12.75" hidden="1" customHeight="1" x14ac:dyDescent="0.25">
      <c r="B100" s="16" t="s">
        <v>105</v>
      </c>
    </row>
    <row r="171" x14ac:dyDescent="0.25"/>
    <row r="172" x14ac:dyDescent="0.25"/>
    <row r="173" x14ac:dyDescent="0.25"/>
  </sheetData>
  <sheetProtection formatCells="0" formatRows="0" insertColumns="0" insertRows="0" insertHyperlinks="0" deleteRows="0" selectLockedCells="1" sort="0" autoFilter="0" pivotTables="0"/>
  <mergeCells count="95">
    <mergeCell ref="E42:X42"/>
    <mergeCell ref="E43:X43"/>
    <mergeCell ref="AB4:AG4"/>
    <mergeCell ref="AB5:AG5"/>
    <mergeCell ref="AE6:AG6"/>
    <mergeCell ref="AE7:AG7"/>
    <mergeCell ref="A8:AG8"/>
    <mergeCell ref="AB6:AD6"/>
    <mergeCell ref="AB7:AD7"/>
    <mergeCell ref="E6:V6"/>
    <mergeCell ref="B15:F15"/>
    <mergeCell ref="B24:D24"/>
    <mergeCell ref="B18:F18"/>
    <mergeCell ref="G18:AF18"/>
    <mergeCell ref="W7:AA7"/>
    <mergeCell ref="G15:AF15"/>
    <mergeCell ref="G16:AF16"/>
    <mergeCell ref="G21:AF21"/>
    <mergeCell ref="B21:F21"/>
    <mergeCell ref="G17:AF17"/>
    <mergeCell ref="A9:AG9"/>
    <mergeCell ref="B17:F17"/>
    <mergeCell ref="B16:F16"/>
    <mergeCell ref="B20:F20"/>
    <mergeCell ref="G20:AF20"/>
    <mergeCell ref="B19:F19"/>
    <mergeCell ref="G19:AF19"/>
    <mergeCell ref="I28:Q28"/>
    <mergeCell ref="B26:D26"/>
    <mergeCell ref="I26:Q26"/>
    <mergeCell ref="B40:D40"/>
    <mergeCell ref="E40:X40"/>
    <mergeCell ref="I25:Q25"/>
    <mergeCell ref="B37:D37"/>
    <mergeCell ref="I24:Q24"/>
    <mergeCell ref="R24:AF24"/>
    <mergeCell ref="E27:H27"/>
    <mergeCell ref="I27:Q27"/>
    <mergeCell ref="R27:AF27"/>
    <mergeCell ref="R25:AF25"/>
    <mergeCell ref="R26:AF26"/>
    <mergeCell ref="B32:AF32"/>
    <mergeCell ref="E24:H24"/>
    <mergeCell ref="E25:H25"/>
    <mergeCell ref="E26:H26"/>
    <mergeCell ref="E28:H28"/>
    <mergeCell ref="B27:D27"/>
    <mergeCell ref="B25:D25"/>
    <mergeCell ref="Y42:AF42"/>
    <mergeCell ref="R28:AF28"/>
    <mergeCell ref="Y36:AF36"/>
    <mergeCell ref="B36:D36"/>
    <mergeCell ref="E36:X36"/>
    <mergeCell ref="E39:X39"/>
    <mergeCell ref="E38:X38"/>
    <mergeCell ref="E37:X37"/>
    <mergeCell ref="B38:D38"/>
    <mergeCell ref="Y37:AF37"/>
    <mergeCell ref="Y38:AF38"/>
    <mergeCell ref="Y40:AF40"/>
    <mergeCell ref="B42:D42"/>
    <mergeCell ref="Y39:AF39"/>
    <mergeCell ref="B39:D39"/>
    <mergeCell ref="B28:D28"/>
    <mergeCell ref="Y45:AF45"/>
    <mergeCell ref="Y46:AF46"/>
    <mergeCell ref="B44:D44"/>
    <mergeCell ref="B46:D46"/>
    <mergeCell ref="B43:D43"/>
    <mergeCell ref="B45:D45"/>
    <mergeCell ref="Y44:AF44"/>
    <mergeCell ref="E44:X44"/>
    <mergeCell ref="E46:X46"/>
    <mergeCell ref="Y43:AF43"/>
    <mergeCell ref="E45:X45"/>
    <mergeCell ref="B54:G54"/>
    <mergeCell ref="H49:AF49"/>
    <mergeCell ref="H54:AF54"/>
    <mergeCell ref="B52:G52"/>
    <mergeCell ref="H52:AF52"/>
    <mergeCell ref="B51:G51"/>
    <mergeCell ref="H51:AF51"/>
    <mergeCell ref="H53:AF53"/>
    <mergeCell ref="B53:G53"/>
    <mergeCell ref="B50:G50"/>
    <mergeCell ref="H50:AF50"/>
    <mergeCell ref="B49:G49"/>
    <mergeCell ref="E7:V7"/>
    <mergeCell ref="A4:V4"/>
    <mergeCell ref="A5:V5"/>
    <mergeCell ref="W4:AA4"/>
    <mergeCell ref="W5:AA5"/>
    <mergeCell ref="A6:D6"/>
    <mergeCell ref="A7:D7"/>
    <mergeCell ref="W6:AA6"/>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1.3&amp;R&amp;P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B1:BH171"/>
  <sheetViews>
    <sheetView showGridLines="0" zoomScaleNormal="100" workbookViewId="0"/>
  </sheetViews>
  <sheetFormatPr defaultColWidth="0" defaultRowHeight="12.75" customHeight="1" zeroHeight="1" x14ac:dyDescent="0.25"/>
  <cols>
    <col min="1" max="33" width="2.6640625" style="16" customWidth="1"/>
    <col min="34" max="34" width="1.33203125" style="16" customWidth="1"/>
    <col min="35" max="60" width="3.33203125" style="16" hidden="1" customWidth="1"/>
    <col min="61" max="16384" width="0" style="16" hidden="1"/>
  </cols>
  <sheetData>
    <row r="1" spans="2:34" ht="13.2" x14ac:dyDescent="0.25">
      <c r="B1" s="189" t="s">
        <v>120</v>
      </c>
      <c r="C1" s="189"/>
      <c r="D1" s="189"/>
      <c r="E1" s="189"/>
      <c r="F1" s="189"/>
      <c r="G1" s="189"/>
      <c r="H1" s="189"/>
      <c r="I1" s="189"/>
      <c r="J1" s="189"/>
      <c r="K1" s="189"/>
      <c r="L1" s="189"/>
      <c r="M1" s="189"/>
      <c r="N1" s="189"/>
      <c r="O1" s="189"/>
      <c r="P1" s="189"/>
      <c r="Q1" s="189"/>
      <c r="R1" s="189"/>
      <c r="S1" s="189"/>
      <c r="T1" s="189"/>
      <c r="U1" s="189"/>
      <c r="V1" s="189"/>
      <c r="W1" s="189"/>
      <c r="X1" s="189"/>
      <c r="Y1" s="189"/>
      <c r="Z1" s="189"/>
      <c r="AA1" s="189"/>
      <c r="AB1" s="189"/>
      <c r="AC1" s="189"/>
      <c r="AD1" s="189"/>
      <c r="AE1" s="189"/>
      <c r="AF1" s="189"/>
      <c r="AG1" s="189"/>
    </row>
    <row r="2" spans="2:34" ht="20.25" customHeight="1" x14ac:dyDescent="0.25">
      <c r="B2" s="189"/>
      <c r="C2" s="189"/>
      <c r="D2" s="189"/>
      <c r="E2" s="189"/>
      <c r="F2" s="189"/>
      <c r="G2" s="189"/>
      <c r="H2" s="189"/>
      <c r="I2" s="189"/>
      <c r="J2" s="189"/>
      <c r="K2" s="189"/>
      <c r="L2" s="189"/>
      <c r="M2" s="189"/>
      <c r="N2" s="189"/>
      <c r="O2" s="189"/>
      <c r="P2" s="189"/>
      <c r="Q2" s="189"/>
      <c r="R2" s="189"/>
      <c r="S2" s="189"/>
      <c r="T2" s="189"/>
      <c r="U2" s="189"/>
      <c r="V2" s="189"/>
      <c r="W2" s="189"/>
      <c r="X2" s="189"/>
      <c r="Y2" s="189"/>
      <c r="Z2" s="189"/>
      <c r="AA2" s="189"/>
      <c r="AB2" s="189"/>
      <c r="AC2" s="189"/>
      <c r="AD2" s="189"/>
      <c r="AE2" s="189"/>
      <c r="AF2" s="189"/>
      <c r="AG2" s="189"/>
    </row>
    <row r="3" spans="2:34" ht="13.2" x14ac:dyDescent="0.25">
      <c r="B3" s="189"/>
      <c r="C3" s="189"/>
      <c r="D3" s="189"/>
      <c r="E3" s="189"/>
      <c r="F3" s="189"/>
      <c r="G3" s="189"/>
      <c r="H3" s="189"/>
      <c r="I3" s="189"/>
      <c r="J3" s="189"/>
      <c r="K3" s="189"/>
      <c r="L3" s="189"/>
      <c r="M3" s="189"/>
      <c r="N3" s="189"/>
      <c r="O3" s="189"/>
      <c r="P3" s="189"/>
      <c r="Q3" s="189"/>
      <c r="R3" s="189"/>
      <c r="S3" s="189"/>
      <c r="T3" s="189"/>
      <c r="U3" s="189"/>
      <c r="V3" s="189"/>
      <c r="W3" s="189"/>
      <c r="X3" s="189"/>
      <c r="Y3" s="189"/>
      <c r="Z3" s="189"/>
      <c r="AA3" s="189"/>
      <c r="AB3" s="189"/>
      <c r="AC3" s="189"/>
      <c r="AD3" s="189"/>
      <c r="AE3" s="189"/>
      <c r="AF3" s="189"/>
      <c r="AG3" s="189"/>
    </row>
    <row r="4" spans="2:34" ht="13.2" x14ac:dyDescent="0.25">
      <c r="B4" s="189"/>
      <c r="C4" s="189"/>
      <c r="D4" s="189"/>
      <c r="E4" s="189"/>
      <c r="F4" s="189"/>
      <c r="G4" s="189"/>
      <c r="H4" s="189"/>
      <c r="I4" s="189"/>
      <c r="J4" s="189"/>
      <c r="K4" s="189"/>
      <c r="L4" s="189"/>
      <c r="M4" s="189"/>
      <c r="N4" s="189"/>
      <c r="O4" s="189"/>
      <c r="P4" s="189"/>
      <c r="Q4" s="189"/>
      <c r="R4" s="189"/>
      <c r="S4" s="189"/>
      <c r="T4" s="189"/>
      <c r="U4" s="189"/>
      <c r="V4" s="189"/>
      <c r="W4" s="189"/>
      <c r="X4" s="189"/>
      <c r="Y4" s="189"/>
      <c r="Z4" s="189"/>
      <c r="AA4" s="189"/>
      <c r="AB4" s="189"/>
      <c r="AC4" s="189"/>
      <c r="AD4" s="189"/>
      <c r="AE4" s="189"/>
      <c r="AF4" s="189"/>
      <c r="AG4" s="189"/>
    </row>
    <row r="5" spans="2:34" ht="13.2" x14ac:dyDescent="0.25">
      <c r="B5" s="189"/>
      <c r="C5" s="189"/>
      <c r="D5" s="189"/>
      <c r="E5" s="189"/>
      <c r="F5" s="189"/>
      <c r="G5" s="189"/>
      <c r="H5" s="189"/>
      <c r="I5" s="189"/>
      <c r="J5" s="189"/>
      <c r="K5" s="189"/>
      <c r="L5" s="189"/>
      <c r="M5" s="189"/>
      <c r="N5" s="189"/>
      <c r="O5" s="189"/>
      <c r="P5" s="189"/>
      <c r="Q5" s="189"/>
      <c r="R5" s="189"/>
      <c r="S5" s="189"/>
      <c r="T5" s="189"/>
      <c r="U5" s="189"/>
      <c r="V5" s="189"/>
      <c r="W5" s="189"/>
      <c r="X5" s="189"/>
      <c r="Y5" s="189"/>
      <c r="Z5" s="189"/>
      <c r="AA5" s="189"/>
      <c r="AB5" s="189"/>
      <c r="AC5" s="189"/>
      <c r="AD5" s="189"/>
      <c r="AE5" s="189"/>
      <c r="AF5" s="189"/>
      <c r="AG5" s="189"/>
    </row>
    <row r="6" spans="2:34" ht="13.2" x14ac:dyDescent="0.25">
      <c r="B6" s="189"/>
      <c r="C6" s="189"/>
      <c r="D6" s="189"/>
      <c r="E6" s="189"/>
      <c r="F6" s="189"/>
      <c r="G6" s="189"/>
      <c r="H6" s="189"/>
      <c r="I6" s="189"/>
      <c r="J6" s="189"/>
      <c r="K6" s="189"/>
      <c r="L6" s="189"/>
      <c r="M6" s="189"/>
      <c r="N6" s="189"/>
      <c r="O6" s="189"/>
      <c r="P6" s="189"/>
      <c r="Q6" s="189"/>
      <c r="R6" s="189"/>
      <c r="S6" s="189"/>
      <c r="T6" s="189"/>
      <c r="U6" s="189"/>
      <c r="V6" s="189"/>
      <c r="W6" s="189"/>
      <c r="X6" s="189"/>
      <c r="Y6" s="189"/>
      <c r="Z6" s="189"/>
      <c r="AA6" s="189"/>
      <c r="AB6" s="189"/>
      <c r="AC6" s="189"/>
      <c r="AD6" s="189"/>
      <c r="AE6" s="189"/>
      <c r="AF6" s="189"/>
      <c r="AG6" s="189"/>
    </row>
    <row r="7" spans="2:34" ht="13.2" x14ac:dyDescent="0.25">
      <c r="B7" s="189"/>
      <c r="C7" s="189"/>
      <c r="D7" s="189"/>
      <c r="E7" s="189"/>
      <c r="F7" s="189"/>
      <c r="G7" s="189"/>
      <c r="H7" s="189"/>
      <c r="I7" s="189"/>
      <c r="J7" s="189"/>
      <c r="K7" s="189"/>
      <c r="L7" s="189"/>
      <c r="M7" s="189"/>
      <c r="N7" s="189"/>
      <c r="O7" s="189"/>
      <c r="P7" s="189"/>
      <c r="Q7" s="189"/>
      <c r="R7" s="189"/>
      <c r="S7" s="189"/>
      <c r="T7" s="189"/>
      <c r="U7" s="189"/>
      <c r="V7" s="189"/>
      <c r="W7" s="189"/>
      <c r="X7" s="189"/>
      <c r="Y7" s="189"/>
      <c r="Z7" s="189"/>
      <c r="AA7" s="189"/>
      <c r="AB7" s="189"/>
      <c r="AC7" s="189"/>
      <c r="AD7" s="189"/>
      <c r="AE7" s="189"/>
      <c r="AF7" s="189"/>
      <c r="AG7" s="189"/>
    </row>
    <row r="8" spans="2:34" ht="13.2" x14ac:dyDescent="0.25">
      <c r="B8" s="189"/>
      <c r="C8" s="189"/>
      <c r="D8" s="189"/>
      <c r="E8" s="189"/>
      <c r="F8" s="189"/>
      <c r="G8" s="189"/>
      <c r="H8" s="189"/>
      <c r="I8" s="189"/>
      <c r="J8" s="189"/>
      <c r="K8" s="189"/>
      <c r="L8" s="189"/>
      <c r="M8" s="189"/>
      <c r="N8" s="189"/>
      <c r="O8" s="189"/>
      <c r="P8" s="189"/>
      <c r="Q8" s="189"/>
      <c r="R8" s="189"/>
      <c r="S8" s="189"/>
      <c r="T8" s="189"/>
      <c r="U8" s="189"/>
      <c r="V8" s="189"/>
      <c r="W8" s="189"/>
      <c r="X8" s="189"/>
      <c r="Y8" s="189"/>
      <c r="Z8" s="189"/>
      <c r="AA8" s="189"/>
      <c r="AB8" s="189"/>
      <c r="AC8" s="189"/>
      <c r="AD8" s="189"/>
      <c r="AE8" s="189"/>
      <c r="AF8" s="189"/>
      <c r="AG8" s="189"/>
    </row>
    <row r="9" spans="2:34" ht="13.2" x14ac:dyDescent="0.25">
      <c r="B9" s="189"/>
      <c r="C9" s="189"/>
      <c r="D9" s="189"/>
      <c r="E9" s="189"/>
      <c r="F9" s="189"/>
      <c r="G9" s="189"/>
      <c r="H9" s="189"/>
      <c r="I9" s="189"/>
      <c r="J9" s="189"/>
      <c r="K9" s="189"/>
      <c r="L9" s="189"/>
      <c r="M9" s="189"/>
      <c r="N9" s="189"/>
      <c r="O9" s="189"/>
      <c r="P9" s="189"/>
      <c r="Q9" s="189"/>
      <c r="R9" s="189"/>
      <c r="S9" s="189"/>
      <c r="T9" s="189"/>
      <c r="U9" s="189"/>
      <c r="V9" s="189"/>
      <c r="W9" s="189"/>
      <c r="X9" s="189"/>
      <c r="Y9" s="189"/>
      <c r="Z9" s="189"/>
      <c r="AA9" s="189"/>
      <c r="AB9" s="189"/>
      <c r="AC9" s="189"/>
      <c r="AD9" s="189"/>
      <c r="AE9" s="189"/>
      <c r="AF9" s="189"/>
      <c r="AG9" s="189"/>
    </row>
    <row r="10" spans="2:34" ht="13.2" x14ac:dyDescent="0.25">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row>
    <row r="11" spans="2:34" ht="13.2" x14ac:dyDescent="0.25">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row>
    <row r="12" spans="2:34" ht="13.2" x14ac:dyDescent="0.25">
      <c r="B12" s="189"/>
      <c r="C12" s="189"/>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89"/>
      <c r="AB12" s="189"/>
      <c r="AC12" s="189"/>
      <c r="AD12" s="189"/>
      <c r="AE12" s="189"/>
      <c r="AF12" s="189"/>
      <c r="AG12" s="189"/>
    </row>
    <row r="13" spans="2:34" ht="13.2" x14ac:dyDescent="0.25">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row>
    <row r="14" spans="2:34" ht="13.2" x14ac:dyDescent="0.25">
      <c r="B14" s="189"/>
      <c r="C14" s="189"/>
      <c r="D14" s="189"/>
      <c r="E14" s="189"/>
      <c r="F14" s="189"/>
      <c r="G14" s="189"/>
      <c r="H14" s="189"/>
      <c r="I14" s="189"/>
      <c r="J14" s="189"/>
      <c r="K14" s="189"/>
      <c r="L14" s="189"/>
      <c r="M14" s="189"/>
      <c r="N14" s="189"/>
      <c r="O14" s="189"/>
      <c r="P14" s="189"/>
      <c r="Q14" s="189"/>
      <c r="R14" s="189"/>
      <c r="S14" s="189"/>
      <c r="T14" s="189"/>
      <c r="U14" s="189"/>
      <c r="V14" s="189"/>
      <c r="W14" s="189"/>
      <c r="X14" s="189"/>
      <c r="Y14" s="189"/>
      <c r="Z14" s="189"/>
      <c r="AA14" s="189"/>
      <c r="AB14" s="189"/>
      <c r="AC14" s="189"/>
      <c r="AD14" s="189"/>
      <c r="AE14" s="189"/>
      <c r="AF14" s="189"/>
      <c r="AG14" s="189"/>
      <c r="AH14" s="40"/>
    </row>
    <row r="15" spans="2:34" ht="13.2" x14ac:dyDescent="0.25">
      <c r="B15" s="189"/>
      <c r="C15" s="189"/>
      <c r="D15" s="189"/>
      <c r="E15" s="189"/>
      <c r="F15" s="189"/>
      <c r="G15" s="189"/>
      <c r="H15" s="189"/>
      <c r="I15" s="189"/>
      <c r="J15" s="189"/>
      <c r="K15" s="189"/>
      <c r="L15" s="189"/>
      <c r="M15" s="189"/>
      <c r="N15" s="189"/>
      <c r="O15" s="189"/>
      <c r="P15" s="189"/>
      <c r="Q15" s="189"/>
      <c r="R15" s="189"/>
      <c r="S15" s="189"/>
      <c r="T15" s="189"/>
      <c r="U15" s="189"/>
      <c r="V15" s="189"/>
      <c r="W15" s="189"/>
      <c r="X15" s="189"/>
      <c r="Y15" s="189"/>
      <c r="Z15" s="189"/>
      <c r="AA15" s="189"/>
      <c r="AB15" s="189"/>
      <c r="AC15" s="189"/>
      <c r="AD15" s="189"/>
      <c r="AE15" s="189"/>
      <c r="AF15" s="189"/>
      <c r="AG15" s="189"/>
      <c r="AH15" s="40"/>
    </row>
    <row r="16" spans="2:34" ht="13.2" x14ac:dyDescent="0.25">
      <c r="B16" s="189"/>
      <c r="C16" s="189"/>
      <c r="D16" s="189"/>
      <c r="E16" s="189"/>
      <c r="F16" s="189"/>
      <c r="G16" s="189"/>
      <c r="H16" s="189"/>
      <c r="I16" s="189"/>
      <c r="J16" s="189"/>
      <c r="K16" s="189"/>
      <c r="L16" s="189"/>
      <c r="M16" s="189"/>
      <c r="N16" s="189"/>
      <c r="O16" s="189"/>
      <c r="P16" s="189"/>
      <c r="Q16" s="189"/>
      <c r="R16" s="189"/>
      <c r="S16" s="189"/>
      <c r="T16" s="189"/>
      <c r="U16" s="189"/>
      <c r="V16" s="189"/>
      <c r="W16" s="189"/>
      <c r="X16" s="189"/>
      <c r="Y16" s="189"/>
      <c r="Z16" s="189"/>
      <c r="AA16" s="189"/>
      <c r="AB16" s="189"/>
      <c r="AC16" s="189"/>
      <c r="AD16" s="189"/>
      <c r="AE16" s="189"/>
      <c r="AF16" s="189"/>
      <c r="AG16" s="189"/>
      <c r="AH16" s="40"/>
    </row>
    <row r="17" spans="2:34" ht="13.2" x14ac:dyDescent="0.25">
      <c r="B17" s="189"/>
      <c r="C17" s="189"/>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89"/>
      <c r="AB17" s="189"/>
      <c r="AC17" s="189"/>
      <c r="AD17" s="189"/>
      <c r="AE17" s="189"/>
      <c r="AF17" s="189"/>
      <c r="AG17" s="189"/>
      <c r="AH17" s="40"/>
    </row>
    <row r="18" spans="2:34" ht="13.2" x14ac:dyDescent="0.25">
      <c r="B18" s="189"/>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89"/>
      <c r="AB18" s="189"/>
      <c r="AC18" s="189"/>
      <c r="AD18" s="189"/>
      <c r="AE18" s="189"/>
      <c r="AF18" s="189"/>
      <c r="AG18" s="189"/>
      <c r="AH18" s="40"/>
    </row>
    <row r="19" spans="2:34" ht="13.2" x14ac:dyDescent="0.25">
      <c r="B19" s="189"/>
      <c r="C19" s="189"/>
      <c r="D19" s="189"/>
      <c r="E19" s="189"/>
      <c r="F19" s="189"/>
      <c r="G19" s="189"/>
      <c r="H19" s="189"/>
      <c r="I19" s="189"/>
      <c r="J19" s="189"/>
      <c r="K19" s="189"/>
      <c r="L19" s="189"/>
      <c r="M19" s="189"/>
      <c r="N19" s="189"/>
      <c r="O19" s="189"/>
      <c r="P19" s="189"/>
      <c r="Q19" s="189"/>
      <c r="R19" s="189"/>
      <c r="S19" s="189"/>
      <c r="T19" s="189"/>
      <c r="U19" s="189"/>
      <c r="V19" s="189"/>
      <c r="W19" s="189"/>
      <c r="X19" s="189"/>
      <c r="Y19" s="189"/>
      <c r="Z19" s="189"/>
      <c r="AA19" s="189"/>
      <c r="AB19" s="189"/>
      <c r="AC19" s="189"/>
      <c r="AD19" s="189"/>
      <c r="AE19" s="189"/>
      <c r="AF19" s="189"/>
      <c r="AG19" s="189"/>
      <c r="AH19" s="40"/>
    </row>
    <row r="20" spans="2:34" ht="13.2" x14ac:dyDescent="0.25">
      <c r="B20" s="189"/>
      <c r="C20" s="189"/>
      <c r="D20" s="189"/>
      <c r="E20" s="189"/>
      <c r="F20" s="189"/>
      <c r="G20" s="189"/>
      <c r="H20" s="189"/>
      <c r="I20" s="189"/>
      <c r="J20" s="189"/>
      <c r="K20" s="189"/>
      <c r="L20" s="189"/>
      <c r="M20" s="189"/>
      <c r="N20" s="189"/>
      <c r="O20" s="189"/>
      <c r="P20" s="189"/>
      <c r="Q20" s="189"/>
      <c r="R20" s="189"/>
      <c r="S20" s="189"/>
      <c r="T20" s="189"/>
      <c r="U20" s="189"/>
      <c r="V20" s="189"/>
      <c r="W20" s="189"/>
      <c r="X20" s="189"/>
      <c r="Y20" s="189"/>
      <c r="Z20" s="189"/>
      <c r="AA20" s="189"/>
      <c r="AB20" s="189"/>
      <c r="AC20" s="189"/>
      <c r="AD20" s="189"/>
      <c r="AE20" s="189"/>
      <c r="AF20" s="189"/>
      <c r="AG20" s="189"/>
      <c r="AH20" s="43"/>
    </row>
    <row r="21" spans="2:34" ht="13.2" x14ac:dyDescent="0.25">
      <c r="B21" s="189"/>
      <c r="C21" s="189"/>
      <c r="D21" s="189"/>
      <c r="E21" s="189"/>
      <c r="F21" s="189"/>
      <c r="G21" s="189"/>
      <c r="H21" s="189"/>
      <c r="I21" s="189"/>
      <c r="J21" s="189"/>
      <c r="K21" s="189"/>
      <c r="L21" s="189"/>
      <c r="M21" s="189"/>
      <c r="N21" s="189"/>
      <c r="O21" s="189"/>
      <c r="P21" s="189"/>
      <c r="Q21" s="189"/>
      <c r="R21" s="189"/>
      <c r="S21" s="189"/>
      <c r="T21" s="189"/>
      <c r="U21" s="189"/>
      <c r="V21" s="189"/>
      <c r="W21" s="189"/>
      <c r="X21" s="189"/>
      <c r="Y21" s="189"/>
      <c r="Z21" s="189"/>
      <c r="AA21" s="189"/>
      <c r="AB21" s="189"/>
      <c r="AC21" s="189"/>
      <c r="AD21" s="189"/>
      <c r="AE21" s="189"/>
      <c r="AF21" s="189"/>
      <c r="AG21" s="189"/>
      <c r="AH21" s="43"/>
    </row>
    <row r="22" spans="2:34" ht="13.2" x14ac:dyDescent="0.25">
      <c r="B22" s="189"/>
      <c r="C22" s="189"/>
      <c r="D22" s="189"/>
      <c r="E22" s="189"/>
      <c r="F22" s="189"/>
      <c r="G22" s="189"/>
      <c r="H22" s="189"/>
      <c r="I22" s="189"/>
      <c r="J22" s="189"/>
      <c r="K22" s="189"/>
      <c r="L22" s="189"/>
      <c r="M22" s="189"/>
      <c r="N22" s="189"/>
      <c r="O22" s="189"/>
      <c r="P22" s="189"/>
      <c r="Q22" s="189"/>
      <c r="R22" s="189"/>
      <c r="S22" s="189"/>
      <c r="T22" s="189"/>
      <c r="U22" s="189"/>
      <c r="V22" s="189"/>
      <c r="W22" s="189"/>
      <c r="X22" s="189"/>
      <c r="Y22" s="189"/>
      <c r="Z22" s="189"/>
      <c r="AA22" s="189"/>
      <c r="AB22" s="189"/>
      <c r="AC22" s="189"/>
      <c r="AD22" s="189"/>
      <c r="AE22" s="189"/>
      <c r="AF22" s="189"/>
      <c r="AG22" s="189"/>
      <c r="AH22" s="43"/>
    </row>
    <row r="23" spans="2:34" ht="13.2" x14ac:dyDescent="0.25">
      <c r="B23" s="189"/>
      <c r="C23" s="189"/>
      <c r="D23" s="189"/>
      <c r="E23" s="189"/>
      <c r="F23" s="189"/>
      <c r="G23" s="189"/>
      <c r="H23" s="189"/>
      <c r="I23" s="189"/>
      <c r="J23" s="189"/>
      <c r="K23" s="189"/>
      <c r="L23" s="189"/>
      <c r="M23" s="189"/>
      <c r="N23" s="189"/>
      <c r="O23" s="189"/>
      <c r="P23" s="189"/>
      <c r="Q23" s="189"/>
      <c r="R23" s="189"/>
      <c r="S23" s="189"/>
      <c r="T23" s="189"/>
      <c r="U23" s="189"/>
      <c r="V23" s="189"/>
      <c r="W23" s="189"/>
      <c r="X23" s="189"/>
      <c r="Y23" s="189"/>
      <c r="Z23" s="189"/>
      <c r="AA23" s="189"/>
      <c r="AB23" s="189"/>
      <c r="AC23" s="189"/>
      <c r="AD23" s="189"/>
      <c r="AE23" s="189"/>
      <c r="AF23" s="189"/>
      <c r="AG23" s="189"/>
    </row>
    <row r="24" spans="2:34" ht="13.2" x14ac:dyDescent="0.25">
      <c r="B24" s="189"/>
      <c r="C24" s="189"/>
      <c r="D24" s="189"/>
      <c r="E24" s="189"/>
      <c r="F24" s="189"/>
      <c r="G24" s="189"/>
      <c r="H24" s="189"/>
      <c r="I24" s="189"/>
      <c r="J24" s="189"/>
      <c r="K24" s="189"/>
      <c r="L24" s="189"/>
      <c r="M24" s="189"/>
      <c r="N24" s="189"/>
      <c r="O24" s="189"/>
      <c r="P24" s="189"/>
      <c r="Q24" s="189"/>
      <c r="R24" s="189"/>
      <c r="S24" s="189"/>
      <c r="T24" s="189"/>
      <c r="U24" s="189"/>
      <c r="V24" s="189"/>
      <c r="W24" s="189"/>
      <c r="X24" s="189"/>
      <c r="Y24" s="189"/>
      <c r="Z24" s="189"/>
      <c r="AA24" s="189"/>
      <c r="AB24" s="189"/>
      <c r="AC24" s="189"/>
      <c r="AD24" s="189"/>
      <c r="AE24" s="189"/>
      <c r="AF24" s="189"/>
      <c r="AG24" s="189"/>
    </row>
    <row r="25" spans="2:34" ht="13.2" x14ac:dyDescent="0.25">
      <c r="B25" s="189"/>
      <c r="C25" s="189"/>
      <c r="D25" s="189"/>
      <c r="E25" s="189"/>
      <c r="F25" s="189"/>
      <c r="G25" s="189"/>
      <c r="H25" s="189"/>
      <c r="I25" s="189"/>
      <c r="J25" s="189"/>
      <c r="K25" s="189"/>
      <c r="L25" s="189"/>
      <c r="M25" s="189"/>
      <c r="N25" s="189"/>
      <c r="O25" s="189"/>
      <c r="P25" s="189"/>
      <c r="Q25" s="189"/>
      <c r="R25" s="189"/>
      <c r="S25" s="189"/>
      <c r="T25" s="189"/>
      <c r="U25" s="189"/>
      <c r="V25" s="189"/>
      <c r="W25" s="189"/>
      <c r="X25" s="189"/>
      <c r="Y25" s="189"/>
      <c r="Z25" s="189"/>
      <c r="AA25" s="189"/>
      <c r="AB25" s="189"/>
      <c r="AC25" s="189"/>
      <c r="AD25" s="189"/>
      <c r="AE25" s="189"/>
      <c r="AF25" s="189"/>
      <c r="AG25" s="189"/>
    </row>
    <row r="26" spans="2:34" ht="13.2" x14ac:dyDescent="0.25">
      <c r="B26" s="189"/>
      <c r="C26" s="189"/>
      <c r="D26" s="189"/>
      <c r="E26" s="189"/>
      <c r="F26" s="189"/>
      <c r="G26" s="189"/>
      <c r="H26" s="189"/>
      <c r="I26" s="189"/>
      <c r="J26" s="189"/>
      <c r="K26" s="189"/>
      <c r="L26" s="189"/>
      <c r="M26" s="189"/>
      <c r="N26" s="189"/>
      <c r="O26" s="189"/>
      <c r="P26" s="189"/>
      <c r="Q26" s="189"/>
      <c r="R26" s="189"/>
      <c r="S26" s="189"/>
      <c r="T26" s="189"/>
      <c r="U26" s="189"/>
      <c r="V26" s="189"/>
      <c r="W26" s="189"/>
      <c r="X26" s="189"/>
      <c r="Y26" s="189"/>
      <c r="Z26" s="189"/>
      <c r="AA26" s="189"/>
      <c r="AB26" s="189"/>
      <c r="AC26" s="189"/>
      <c r="AD26" s="189"/>
      <c r="AE26" s="189"/>
      <c r="AF26" s="189"/>
      <c r="AG26" s="189"/>
    </row>
    <row r="27" spans="2:34" ht="13.2" x14ac:dyDescent="0.25">
      <c r="B27" s="189"/>
      <c r="C27" s="189"/>
      <c r="D27" s="189"/>
      <c r="E27" s="189"/>
      <c r="F27" s="189"/>
      <c r="G27" s="189"/>
      <c r="H27" s="189"/>
      <c r="I27" s="189"/>
      <c r="J27" s="189"/>
      <c r="K27" s="189"/>
      <c r="L27" s="189"/>
      <c r="M27" s="189"/>
      <c r="N27" s="189"/>
      <c r="O27" s="189"/>
      <c r="P27" s="189"/>
      <c r="Q27" s="189"/>
      <c r="R27" s="189"/>
      <c r="S27" s="189"/>
      <c r="T27" s="189"/>
      <c r="U27" s="189"/>
      <c r="V27" s="189"/>
      <c r="W27" s="189"/>
      <c r="X27" s="189"/>
      <c r="Y27" s="189"/>
      <c r="Z27" s="189"/>
      <c r="AA27" s="189"/>
      <c r="AB27" s="189"/>
      <c r="AC27" s="189"/>
      <c r="AD27" s="189"/>
      <c r="AE27" s="189"/>
      <c r="AF27" s="189"/>
      <c r="AG27" s="189"/>
    </row>
    <row r="28" spans="2:34" ht="13.2" x14ac:dyDescent="0.25">
      <c r="B28" s="189"/>
      <c r="C28" s="189"/>
      <c r="D28" s="189"/>
      <c r="E28" s="189"/>
      <c r="F28" s="189"/>
      <c r="G28" s="189"/>
      <c r="H28" s="189"/>
      <c r="I28" s="189"/>
      <c r="J28" s="189"/>
      <c r="K28" s="189"/>
      <c r="L28" s="189"/>
      <c r="M28" s="189"/>
      <c r="N28" s="189"/>
      <c r="O28" s="189"/>
      <c r="P28" s="189"/>
      <c r="Q28" s="189"/>
      <c r="R28" s="189"/>
      <c r="S28" s="189"/>
      <c r="T28" s="189"/>
      <c r="U28" s="189"/>
      <c r="V28" s="189"/>
      <c r="W28" s="189"/>
      <c r="X28" s="189"/>
      <c r="Y28" s="189"/>
      <c r="Z28" s="189"/>
      <c r="AA28" s="189"/>
      <c r="AB28" s="189"/>
      <c r="AC28" s="189"/>
      <c r="AD28" s="189"/>
      <c r="AE28" s="189"/>
      <c r="AF28" s="189"/>
      <c r="AG28" s="189"/>
    </row>
    <row r="29" spans="2:34" ht="13.2" x14ac:dyDescent="0.25">
      <c r="B29" s="189"/>
      <c r="C29" s="189"/>
      <c r="D29" s="189"/>
      <c r="E29" s="189"/>
      <c r="F29" s="189"/>
      <c r="G29" s="189"/>
      <c r="H29" s="189"/>
      <c r="I29" s="189"/>
      <c r="J29" s="189"/>
      <c r="K29" s="189"/>
      <c r="L29" s="189"/>
      <c r="M29" s="189"/>
      <c r="N29" s="189"/>
      <c r="O29" s="189"/>
      <c r="P29" s="189"/>
      <c r="Q29" s="189"/>
      <c r="R29" s="189"/>
      <c r="S29" s="189"/>
      <c r="T29" s="189"/>
      <c r="U29" s="189"/>
      <c r="V29" s="189"/>
      <c r="W29" s="189"/>
      <c r="X29" s="189"/>
      <c r="Y29" s="189"/>
      <c r="Z29" s="189"/>
      <c r="AA29" s="189"/>
      <c r="AB29" s="189"/>
      <c r="AC29" s="189"/>
      <c r="AD29" s="189"/>
      <c r="AE29" s="189"/>
      <c r="AF29" s="189"/>
      <c r="AG29" s="189"/>
    </row>
    <row r="30" spans="2:34" ht="13.2" x14ac:dyDescent="0.25">
      <c r="B30" s="189"/>
      <c r="C30" s="189"/>
      <c r="D30" s="189"/>
      <c r="E30" s="189"/>
      <c r="F30" s="189"/>
      <c r="G30" s="189"/>
      <c r="H30" s="189"/>
      <c r="I30" s="189"/>
      <c r="J30" s="189"/>
      <c r="K30" s="189"/>
      <c r="L30" s="189"/>
      <c r="M30" s="189"/>
      <c r="N30" s="189"/>
      <c r="O30" s="189"/>
      <c r="P30" s="189"/>
      <c r="Q30" s="189"/>
      <c r="R30" s="189"/>
      <c r="S30" s="189"/>
      <c r="T30" s="189"/>
      <c r="U30" s="189"/>
      <c r="V30" s="189"/>
      <c r="W30" s="189"/>
      <c r="X30" s="189"/>
      <c r="Y30" s="189"/>
      <c r="Z30" s="189"/>
      <c r="AA30" s="189"/>
      <c r="AB30" s="189"/>
      <c r="AC30" s="189"/>
      <c r="AD30" s="189"/>
      <c r="AE30" s="189"/>
      <c r="AF30" s="189"/>
      <c r="AG30" s="189"/>
    </row>
    <row r="31" spans="2:34" ht="13.2" x14ac:dyDescent="0.25">
      <c r="B31" s="189"/>
      <c r="C31" s="189"/>
      <c r="D31" s="189"/>
      <c r="E31" s="189"/>
      <c r="F31" s="189"/>
      <c r="G31" s="189"/>
      <c r="H31" s="189"/>
      <c r="I31" s="189"/>
      <c r="J31" s="189"/>
      <c r="K31" s="189"/>
      <c r="L31" s="189"/>
      <c r="M31" s="189"/>
      <c r="N31" s="189"/>
      <c r="O31" s="189"/>
      <c r="P31" s="189"/>
      <c r="Q31" s="189"/>
      <c r="R31" s="189"/>
      <c r="S31" s="189"/>
      <c r="T31" s="189"/>
      <c r="U31" s="189"/>
      <c r="V31" s="189"/>
      <c r="W31" s="189"/>
      <c r="X31" s="189"/>
      <c r="Y31" s="189"/>
      <c r="Z31" s="189"/>
      <c r="AA31" s="189"/>
      <c r="AB31" s="189"/>
      <c r="AC31" s="189"/>
      <c r="AD31" s="189"/>
      <c r="AE31" s="189"/>
      <c r="AF31" s="189"/>
      <c r="AG31" s="189"/>
    </row>
    <row r="32" spans="2:34" ht="13.2" x14ac:dyDescent="0.25">
      <c r="B32" s="189"/>
      <c r="C32" s="189"/>
      <c r="D32" s="189"/>
      <c r="E32" s="189"/>
      <c r="F32" s="189"/>
      <c r="G32" s="189"/>
      <c r="H32" s="189"/>
      <c r="I32" s="189"/>
      <c r="J32" s="189"/>
      <c r="K32" s="189"/>
      <c r="L32" s="189"/>
      <c r="M32" s="189"/>
      <c r="N32" s="189"/>
      <c r="O32" s="189"/>
      <c r="P32" s="189"/>
      <c r="Q32" s="189"/>
      <c r="R32" s="189"/>
      <c r="S32" s="189"/>
      <c r="T32" s="189"/>
      <c r="U32" s="189"/>
      <c r="V32" s="189"/>
      <c r="W32" s="189"/>
      <c r="X32" s="189"/>
      <c r="Y32" s="189"/>
      <c r="Z32" s="189"/>
      <c r="AA32" s="189"/>
      <c r="AB32" s="189"/>
      <c r="AC32" s="189"/>
      <c r="AD32" s="189"/>
      <c r="AE32" s="189"/>
      <c r="AF32" s="189"/>
      <c r="AG32" s="189"/>
    </row>
    <row r="33" spans="2:33" ht="13.2" x14ac:dyDescent="0.25">
      <c r="B33" s="189"/>
      <c r="C33" s="189"/>
      <c r="D33" s="189"/>
      <c r="E33" s="189"/>
      <c r="F33" s="189"/>
      <c r="G33" s="189"/>
      <c r="H33" s="189"/>
      <c r="I33" s="189"/>
      <c r="J33" s="189"/>
      <c r="K33" s="189"/>
      <c r="L33" s="189"/>
      <c r="M33" s="189"/>
      <c r="N33" s="189"/>
      <c r="O33" s="189"/>
      <c r="P33" s="189"/>
      <c r="Q33" s="189"/>
      <c r="R33" s="189"/>
      <c r="S33" s="189"/>
      <c r="T33" s="189"/>
      <c r="U33" s="189"/>
      <c r="V33" s="189"/>
      <c r="W33" s="189"/>
      <c r="X33" s="189"/>
      <c r="Y33" s="189"/>
      <c r="Z33" s="189"/>
      <c r="AA33" s="189"/>
      <c r="AB33" s="189"/>
      <c r="AC33" s="189"/>
      <c r="AD33" s="189"/>
      <c r="AE33" s="189"/>
      <c r="AF33" s="189"/>
      <c r="AG33" s="189"/>
    </row>
    <row r="34" spans="2:33" ht="13.2" x14ac:dyDescent="0.25">
      <c r="B34" s="189"/>
      <c r="C34" s="189"/>
      <c r="D34" s="189"/>
      <c r="E34" s="189"/>
      <c r="F34" s="189"/>
      <c r="G34" s="189"/>
      <c r="H34" s="189"/>
      <c r="I34" s="189"/>
      <c r="J34" s="189"/>
      <c r="K34" s="189"/>
      <c r="L34" s="189"/>
      <c r="M34" s="189"/>
      <c r="N34" s="189"/>
      <c r="O34" s="189"/>
      <c r="P34" s="189"/>
      <c r="Q34" s="189"/>
      <c r="R34" s="189"/>
      <c r="S34" s="189"/>
      <c r="T34" s="189"/>
      <c r="U34" s="189"/>
      <c r="V34" s="189"/>
      <c r="W34" s="189"/>
      <c r="X34" s="189"/>
      <c r="Y34" s="189"/>
      <c r="Z34" s="189"/>
      <c r="AA34" s="189"/>
      <c r="AB34" s="189"/>
      <c r="AC34" s="189"/>
      <c r="AD34" s="189"/>
      <c r="AE34" s="189"/>
      <c r="AF34" s="189"/>
      <c r="AG34" s="189"/>
    </row>
    <row r="35" spans="2:33" ht="12.75" customHeight="1" x14ac:dyDescent="0.25">
      <c r="B35" s="189"/>
      <c r="C35" s="189"/>
      <c r="D35" s="189"/>
      <c r="E35" s="189"/>
      <c r="F35" s="189"/>
      <c r="G35" s="189"/>
      <c r="H35" s="189"/>
      <c r="I35" s="189"/>
      <c r="J35" s="189"/>
      <c r="K35" s="189"/>
      <c r="L35" s="189"/>
      <c r="M35" s="189"/>
      <c r="N35" s="189"/>
      <c r="O35" s="189"/>
      <c r="P35" s="189"/>
      <c r="Q35" s="189"/>
      <c r="R35" s="189"/>
      <c r="S35" s="189"/>
      <c r="T35" s="189"/>
      <c r="U35" s="189"/>
      <c r="V35" s="189"/>
      <c r="W35" s="189"/>
      <c r="X35" s="189"/>
      <c r="Y35" s="189"/>
      <c r="Z35" s="189"/>
      <c r="AA35" s="189"/>
      <c r="AB35" s="189"/>
      <c r="AC35" s="189"/>
      <c r="AD35" s="189"/>
      <c r="AE35" s="189"/>
      <c r="AF35" s="189"/>
      <c r="AG35" s="189"/>
    </row>
    <row r="36" spans="2:33" ht="12.75" customHeight="1" x14ac:dyDescent="0.25">
      <c r="B36" s="189"/>
      <c r="C36" s="189"/>
      <c r="D36" s="189"/>
      <c r="E36" s="189"/>
      <c r="F36" s="189"/>
      <c r="G36" s="189"/>
      <c r="H36" s="189"/>
      <c r="I36" s="189"/>
      <c r="J36" s="189"/>
      <c r="K36" s="189"/>
      <c r="L36" s="189"/>
      <c r="M36" s="189"/>
      <c r="N36" s="189"/>
      <c r="O36" s="189"/>
      <c r="P36" s="189"/>
      <c r="Q36" s="189"/>
      <c r="R36" s="189"/>
      <c r="S36" s="189"/>
      <c r="T36" s="189"/>
      <c r="U36" s="189"/>
      <c r="V36" s="189"/>
      <c r="W36" s="189"/>
      <c r="X36" s="189"/>
      <c r="Y36" s="189"/>
      <c r="Z36" s="189"/>
      <c r="AA36" s="189"/>
      <c r="AB36" s="189"/>
      <c r="AC36" s="189"/>
      <c r="AD36" s="189"/>
      <c r="AE36" s="189"/>
      <c r="AF36" s="189"/>
      <c r="AG36" s="189"/>
    </row>
    <row r="37" spans="2:33" ht="12.75" customHeight="1" x14ac:dyDescent="0.25">
      <c r="B37" s="189"/>
      <c r="C37" s="189"/>
      <c r="D37" s="189"/>
      <c r="E37" s="189"/>
      <c r="F37" s="189"/>
      <c r="G37" s="189"/>
      <c r="H37" s="189"/>
      <c r="I37" s="189"/>
      <c r="J37" s="189"/>
      <c r="K37" s="189"/>
      <c r="L37" s="189"/>
      <c r="M37" s="189"/>
      <c r="N37" s="189"/>
      <c r="O37" s="189"/>
      <c r="P37" s="189"/>
      <c r="Q37" s="189"/>
      <c r="R37" s="189"/>
      <c r="S37" s="189"/>
      <c r="T37" s="189"/>
      <c r="U37" s="189"/>
      <c r="V37" s="189"/>
      <c r="W37" s="189"/>
      <c r="X37" s="189"/>
      <c r="Y37" s="189"/>
      <c r="Z37" s="189"/>
      <c r="AA37" s="189"/>
      <c r="AB37" s="189"/>
      <c r="AC37" s="189"/>
      <c r="AD37" s="189"/>
      <c r="AE37" s="189"/>
      <c r="AF37" s="189"/>
      <c r="AG37" s="189"/>
    </row>
    <row r="38" spans="2:33" ht="12.75" customHeight="1" x14ac:dyDescent="0.25"/>
    <row r="39" spans="2:33" ht="12.75" customHeight="1" x14ac:dyDescent="0.25"/>
    <row r="40" spans="2:33" ht="12.75" customHeight="1" x14ac:dyDescent="0.25"/>
    <row r="41" spans="2:33" ht="12.75" customHeight="1" x14ac:dyDescent="0.25"/>
    <row r="42" spans="2:33" ht="12.75" customHeight="1" x14ac:dyDescent="0.25"/>
    <row r="43" spans="2:33" ht="12.75" customHeight="1" x14ac:dyDescent="0.25"/>
    <row r="44" spans="2:33" ht="12.75" customHeight="1" x14ac:dyDescent="0.25"/>
    <row r="45" spans="2:33" ht="12.75" customHeight="1" x14ac:dyDescent="0.25"/>
    <row r="46" spans="2:33" ht="12.75" customHeight="1" x14ac:dyDescent="0.25"/>
    <row r="47" spans="2:33" ht="12.75" customHeight="1" x14ac:dyDescent="0.25"/>
    <row r="48" spans="2:33"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1.3&amp;R&amp;P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44"/>
  <sheetViews>
    <sheetView tabSelected="1" zoomScaleNormal="100" workbookViewId="0">
      <selection activeCell="F21" sqref="F21"/>
    </sheetView>
  </sheetViews>
  <sheetFormatPr defaultRowHeight="13.2" x14ac:dyDescent="0.25"/>
  <cols>
    <col min="1" max="1" width="2.5546875" customWidth="1"/>
    <col min="2" max="2" width="5.33203125" customWidth="1"/>
    <col min="3" max="3" width="17.88671875" customWidth="1"/>
    <col min="4" max="4" width="53.33203125" customWidth="1"/>
    <col min="5" max="5" width="14" customWidth="1"/>
    <col min="6" max="6" width="53.6640625" bestFit="1" customWidth="1"/>
    <col min="7" max="7" width="11.6640625" customWidth="1"/>
    <col min="8" max="8" width="7.5546875" bestFit="1" customWidth="1"/>
    <col min="9" max="9" width="10.33203125" customWidth="1"/>
    <col min="10" max="10" width="18.44140625" customWidth="1"/>
    <col min="12" max="13" width="11.44140625" customWidth="1"/>
    <col min="14" max="14" width="18.33203125" customWidth="1"/>
  </cols>
  <sheetData>
    <row r="1" spans="2:14" ht="13.8" thickBot="1" x14ac:dyDescent="0.3"/>
    <row r="2" spans="2:14" ht="43.8" thickBot="1" x14ac:dyDescent="0.3">
      <c r="B2" s="59" t="s">
        <v>36</v>
      </c>
      <c r="C2" s="60" t="s">
        <v>37</v>
      </c>
      <c r="D2" s="61" t="s">
        <v>65</v>
      </c>
      <c r="E2" s="61" t="s">
        <v>106</v>
      </c>
      <c r="F2" s="61" t="s">
        <v>38</v>
      </c>
      <c r="G2" s="61" t="s">
        <v>268</v>
      </c>
      <c r="H2" s="61" t="s">
        <v>67</v>
      </c>
      <c r="I2" s="60" t="s">
        <v>10</v>
      </c>
      <c r="J2" s="60" t="s">
        <v>66</v>
      </c>
      <c r="K2" s="60" t="s">
        <v>56</v>
      </c>
      <c r="L2" s="62" t="s">
        <v>39</v>
      </c>
      <c r="M2" s="62" t="s">
        <v>68</v>
      </c>
      <c r="N2" s="111" t="s">
        <v>267</v>
      </c>
    </row>
    <row r="3" spans="2:14" s="84" customFormat="1" ht="28.8" x14ac:dyDescent="0.25">
      <c r="B3" s="83">
        <v>1</v>
      </c>
      <c r="C3" s="105" t="s">
        <v>229</v>
      </c>
      <c r="D3" s="106" t="str">
        <f t="shared" ref="D3:D8" ca="1" si="0">IF(C3&lt;&gt;"",INDIRECT(C3&amp;"!B3"),"")</f>
        <v>ARCH_SW_BMM_0005</v>
      </c>
      <c r="E3" s="66" t="str">
        <f t="shared" ref="E3:E8" ca="1" si="1">IF(C3&lt;&gt;"",INDIRECT(C3&amp;"!B5"),"")</f>
        <v>Nominal</v>
      </c>
      <c r="F3" s="66" t="str">
        <f t="shared" ref="F3:F21" ca="1" si="2">IF(C3&lt;&gt;"",INDIRECT(C3&amp;"!B1"),"")</f>
        <v>Hall efect senser managemnet</v>
      </c>
      <c r="G3" s="85"/>
      <c r="H3" s="86">
        <v>1</v>
      </c>
      <c r="I3" s="87" t="s">
        <v>226</v>
      </c>
      <c r="J3" s="88"/>
      <c r="K3" s="110" t="str">
        <f t="shared" ref="K3:K21" ca="1" si="3">IF(C3&lt;&gt;"",INDIRECT(C3&amp;"!B9"),"")</f>
        <v>Ok</v>
      </c>
      <c r="L3" s="92" t="s">
        <v>248</v>
      </c>
      <c r="M3" s="89"/>
      <c r="N3" s="90"/>
    </row>
    <row r="4" spans="2:14" ht="28.8" x14ac:dyDescent="0.25">
      <c r="B4" s="64">
        <v>2</v>
      </c>
      <c r="C4" s="105" t="s">
        <v>230</v>
      </c>
      <c r="D4" s="106" t="str">
        <f t="shared" ca="1" si="0"/>
        <v>ARCH_SW_BMM_0010</v>
      </c>
      <c r="E4" s="66" t="str">
        <f t="shared" ca="1" si="1"/>
        <v>Nominal</v>
      </c>
      <c r="F4" s="66" t="str">
        <f t="shared" ca="1" si="2"/>
        <v>Initialized Hall effect sensor</v>
      </c>
      <c r="G4" s="85"/>
      <c r="H4" s="86">
        <v>1</v>
      </c>
      <c r="I4" s="87" t="s">
        <v>226</v>
      </c>
      <c r="J4" s="88"/>
      <c r="K4" s="94" t="str">
        <f t="shared" ca="1" si="3"/>
        <v>Ok</v>
      </c>
      <c r="L4" s="92" t="s">
        <v>248</v>
      </c>
      <c r="M4" s="89"/>
      <c r="N4" s="90"/>
    </row>
    <row r="5" spans="2:14" ht="28.8" x14ac:dyDescent="0.25">
      <c r="B5" s="64">
        <v>3</v>
      </c>
      <c r="C5" s="105" t="s">
        <v>231</v>
      </c>
      <c r="D5" s="106" t="str">
        <f t="shared" ca="1" si="0"/>
        <v>ARCH_SW_BMM_0015, ARCH_SW_BMM_0020</v>
      </c>
      <c r="E5" s="66" t="str">
        <f t="shared" ca="1" si="1"/>
        <v>Nominal</v>
      </c>
      <c r="F5" s="66" t="str">
        <f t="shared" ca="1" si="2"/>
        <v>Belt position T0_deg</v>
      </c>
      <c r="G5" s="85"/>
      <c r="H5" s="86">
        <v>1</v>
      </c>
      <c r="I5" s="87" t="s">
        <v>226</v>
      </c>
      <c r="J5" s="88"/>
      <c r="K5" s="94" t="str">
        <f t="shared" ca="1" si="3"/>
        <v>Ok</v>
      </c>
      <c r="L5" s="92" t="s">
        <v>248</v>
      </c>
      <c r="M5" s="89"/>
      <c r="N5" s="90"/>
    </row>
    <row r="6" spans="2:14" ht="28.8" x14ac:dyDescent="0.25">
      <c r="B6" s="64">
        <v>4</v>
      </c>
      <c r="C6" s="105" t="s">
        <v>232</v>
      </c>
      <c r="D6" s="106" t="str">
        <f ca="1">IF(C6&lt;&gt;"",INDIRECT(C6&amp;"!B3"),"")</f>
        <v>ARCH_SW_BMM_0025</v>
      </c>
      <c r="E6" s="66" t="str">
        <f t="shared" ca="1" si="1"/>
        <v>Nominal</v>
      </c>
      <c r="F6" s="66" t="str">
        <f t="shared" ca="1" si="2"/>
        <v>Belt position Min Pos Deg</v>
      </c>
      <c r="G6" s="85"/>
      <c r="H6" s="86">
        <v>1</v>
      </c>
      <c r="I6" s="87" t="s">
        <v>226</v>
      </c>
      <c r="J6" s="88"/>
      <c r="K6" s="94" t="str">
        <f t="shared" ca="1" si="3"/>
        <v>Nok</v>
      </c>
      <c r="L6" s="92" t="s">
        <v>248</v>
      </c>
      <c r="M6" s="89">
        <v>814536</v>
      </c>
      <c r="N6" s="90"/>
    </row>
    <row r="7" spans="2:14" ht="28.8" x14ac:dyDescent="0.25">
      <c r="B7" s="64">
        <v>5</v>
      </c>
      <c r="C7" s="105" t="s">
        <v>233</v>
      </c>
      <c r="D7" s="106" t="str">
        <f t="shared" ca="1" si="0"/>
        <v>ARCH_SW_BMM_0030</v>
      </c>
      <c r="E7" s="66" t="str">
        <f t="shared" ca="1" si="1"/>
        <v>Nominal</v>
      </c>
      <c r="F7" s="66" t="str">
        <f t="shared" ca="1" si="2"/>
        <v>Belt position Pin Pos mm</v>
      </c>
      <c r="G7" s="85"/>
      <c r="H7" s="86">
        <v>1</v>
      </c>
      <c r="I7" s="87" t="s">
        <v>226</v>
      </c>
      <c r="J7" s="88"/>
      <c r="K7" s="94" t="str">
        <f t="shared" ca="1" si="3"/>
        <v>Ok</v>
      </c>
      <c r="L7" s="92" t="s">
        <v>248</v>
      </c>
      <c r="M7" s="89"/>
      <c r="N7" s="90"/>
    </row>
    <row r="8" spans="2:14" ht="28.8" x14ac:dyDescent="0.25">
      <c r="B8" s="64">
        <v>6</v>
      </c>
      <c r="C8" s="105" t="s">
        <v>234</v>
      </c>
      <c r="D8" s="106" t="str">
        <f t="shared" ca="1" si="0"/>
        <v>ARCH_SW_BMM_0035</v>
      </c>
      <c r="E8" s="66" t="str">
        <f t="shared" ca="1" si="1"/>
        <v>Nominal</v>
      </c>
      <c r="F8" s="66" t="str">
        <f t="shared" ca="1" si="2"/>
        <v>Belt position Range Deg</v>
      </c>
      <c r="G8" s="85"/>
      <c r="H8" s="86">
        <v>1</v>
      </c>
      <c r="I8" s="87" t="s">
        <v>226</v>
      </c>
      <c r="J8" s="88"/>
      <c r="K8" s="94" t="str">
        <f t="shared" ca="1" si="3"/>
        <v>Nok</v>
      </c>
      <c r="L8" s="92" t="s">
        <v>248</v>
      </c>
      <c r="M8" s="89">
        <v>814536</v>
      </c>
      <c r="N8" s="90"/>
    </row>
    <row r="9" spans="2:14" ht="28.8" x14ac:dyDescent="0.25">
      <c r="B9" s="64">
        <v>7</v>
      </c>
      <c r="C9" s="105" t="s">
        <v>235</v>
      </c>
      <c r="D9" s="106" t="str">
        <f t="shared" ref="D9:D21" ca="1" si="4">IF(C9&lt;&gt;"",INDIRECT(C9&amp;"!B3"),"")</f>
        <v>ARCH_SW_BMM_0040</v>
      </c>
      <c r="E9" s="66" t="str">
        <f t="shared" ref="E9:E21" ca="1" si="5">IF(C9&lt;&gt;"",INDIRECT(C9&amp;"!B5"),"")</f>
        <v>Nominal</v>
      </c>
      <c r="F9" s="66" t="str">
        <f t="shared" ca="1" si="2"/>
        <v>Bmm interface to Block 14</v>
      </c>
      <c r="G9" s="85"/>
      <c r="H9" s="86">
        <v>1</v>
      </c>
      <c r="I9" s="87" t="s">
        <v>226</v>
      </c>
      <c r="J9" s="88"/>
      <c r="K9" s="94" t="str">
        <f t="shared" ca="1" si="3"/>
        <v>Ok</v>
      </c>
      <c r="L9" s="92" t="s">
        <v>248</v>
      </c>
      <c r="M9" s="89"/>
      <c r="N9" s="90"/>
    </row>
    <row r="10" spans="2:14" ht="28.8" x14ac:dyDescent="0.25">
      <c r="B10" s="64">
        <v>8</v>
      </c>
      <c r="C10" s="105" t="s">
        <v>236</v>
      </c>
      <c r="D10" s="106" t="str">
        <f t="shared" ca="1" si="4"/>
        <v>ARCH_SW_BMM_0045</v>
      </c>
      <c r="E10" s="66" t="str">
        <f t="shared" ca="1" si="5"/>
        <v>Nominal</v>
      </c>
      <c r="F10" s="66" t="str">
        <f t="shared" ca="1" si="2"/>
        <v>Bmm to Block 6</v>
      </c>
      <c r="G10" s="85"/>
      <c r="H10" s="86">
        <v>1</v>
      </c>
      <c r="I10" s="87" t="s">
        <v>226</v>
      </c>
      <c r="J10" s="88"/>
      <c r="K10" s="94" t="str">
        <f t="shared" ca="1" si="3"/>
        <v>Ok</v>
      </c>
      <c r="L10" s="92" t="s">
        <v>248</v>
      </c>
      <c r="M10" s="89"/>
      <c r="N10" s="90"/>
    </row>
    <row r="11" spans="2:14" ht="28.8" x14ac:dyDescent="0.25">
      <c r="B11" s="64">
        <v>9</v>
      </c>
      <c r="C11" s="105" t="s">
        <v>237</v>
      </c>
      <c r="D11" s="106" t="str">
        <f t="shared" ca="1" si="4"/>
        <v>ARCH_SW_BMM_0048</v>
      </c>
      <c r="E11" s="66" t="str">
        <f t="shared" ca="1" si="5"/>
        <v>Nominal</v>
      </c>
      <c r="F11" s="66" t="str">
        <f t="shared" ca="1" si="2"/>
        <v>Bmm get speed</v>
      </c>
      <c r="G11" s="85"/>
      <c r="H11" s="86">
        <v>1</v>
      </c>
      <c r="I11" s="87" t="s">
        <v>226</v>
      </c>
      <c r="J11" s="88"/>
      <c r="K11" s="94" t="str">
        <f t="shared" ca="1" si="3"/>
        <v>Ok</v>
      </c>
      <c r="L11" s="92" t="s">
        <v>248</v>
      </c>
      <c r="M11" s="89"/>
      <c r="N11" s="90"/>
    </row>
    <row r="12" spans="2:14" ht="28.8" x14ac:dyDescent="0.25">
      <c r="B12" s="63">
        <v>10</v>
      </c>
      <c r="C12" s="105" t="s">
        <v>238</v>
      </c>
      <c r="D12" s="106" t="str">
        <f t="shared" ca="1" si="4"/>
        <v>ARCH_SW_BMM_0340</v>
      </c>
      <c r="E12" s="66" t="str">
        <f t="shared" ca="1" si="5"/>
        <v>Nominal</v>
      </c>
      <c r="F12" s="66" t="str">
        <f t="shared" ca="1" si="2"/>
        <v>Bmm HES consumption check</v>
      </c>
      <c r="G12" s="85"/>
      <c r="H12" s="86">
        <v>1</v>
      </c>
      <c r="I12" s="87" t="s">
        <v>226</v>
      </c>
      <c r="J12" s="88"/>
      <c r="K12" s="94" t="str">
        <f t="shared" ca="1" si="3"/>
        <v>Ok</v>
      </c>
      <c r="L12" s="92" t="s">
        <v>248</v>
      </c>
      <c r="M12" s="89"/>
      <c r="N12" s="90"/>
    </row>
    <row r="13" spans="2:14" ht="28.8" x14ac:dyDescent="0.25">
      <c r="B13" s="64">
        <v>11</v>
      </c>
      <c r="C13" s="105" t="s">
        <v>239</v>
      </c>
      <c r="D13" s="106" t="str">
        <f t="shared" ca="1" si="4"/>
        <v>ARCH_SW_BMM_1060</v>
      </c>
      <c r="E13" s="66" t="str">
        <f t="shared" ca="1" si="5"/>
        <v>Nominal</v>
      </c>
      <c r="F13" s="66" t="str">
        <f t="shared" ca="1" si="2"/>
        <v>Bmm disable interrupts from HES</v>
      </c>
      <c r="G13" s="85"/>
      <c r="H13" s="86">
        <v>1</v>
      </c>
      <c r="I13" s="87" t="s">
        <v>226</v>
      </c>
      <c r="J13" s="88"/>
      <c r="K13" s="94" t="str">
        <f t="shared" ca="1" si="3"/>
        <v>Ok</v>
      </c>
      <c r="L13" s="92" t="s">
        <v>248</v>
      </c>
      <c r="M13" s="89"/>
      <c r="N13" s="90"/>
    </row>
    <row r="14" spans="2:14" ht="28.8" x14ac:dyDescent="0.25">
      <c r="B14" s="64">
        <v>12</v>
      </c>
      <c r="C14" s="105" t="s">
        <v>240</v>
      </c>
      <c r="D14" s="106" t="str">
        <f t="shared" ca="1" si="4"/>
        <v>ARCH_SW_BMM_1080</v>
      </c>
      <c r="E14" s="66" t="str">
        <f t="shared" ca="1" si="5"/>
        <v>Nominal</v>
      </c>
      <c r="F14" s="66" t="str">
        <f t="shared" ca="1" si="2"/>
        <v>Bmm activate interrupts</v>
      </c>
      <c r="G14" s="85"/>
      <c r="H14" s="86">
        <v>1</v>
      </c>
      <c r="I14" s="87" t="s">
        <v>226</v>
      </c>
      <c r="J14" s="88"/>
      <c r="K14" s="94" t="str">
        <f t="shared" ca="1" si="3"/>
        <v>Ok</v>
      </c>
      <c r="L14" s="92" t="s">
        <v>248</v>
      </c>
      <c r="M14" s="89"/>
      <c r="N14" s="90"/>
    </row>
    <row r="15" spans="2:14" ht="28.8" x14ac:dyDescent="0.25">
      <c r="B15" s="64">
        <v>13</v>
      </c>
      <c r="C15" s="105" t="s">
        <v>241</v>
      </c>
      <c r="D15" s="106" t="str">
        <f t="shared" ca="1" si="4"/>
        <v>ARCH_SW_BMM_1100</v>
      </c>
      <c r="E15" s="66" t="str">
        <f t="shared" ca="1" si="5"/>
        <v>Nominal</v>
      </c>
      <c r="F15" s="66" t="str">
        <f t="shared" ca="1" si="2"/>
        <v>Bmm read sensors</v>
      </c>
      <c r="G15" s="85"/>
      <c r="H15" s="86">
        <v>1</v>
      </c>
      <c r="I15" s="87" t="s">
        <v>226</v>
      </c>
      <c r="J15" s="88"/>
      <c r="K15" s="94" t="str">
        <f t="shared" ca="1" si="3"/>
        <v>Ok</v>
      </c>
      <c r="L15" s="92" t="s">
        <v>248</v>
      </c>
      <c r="M15" s="89"/>
      <c r="N15" s="90"/>
    </row>
    <row r="16" spans="2:14" ht="28.8" x14ac:dyDescent="0.25">
      <c r="B16" s="64">
        <v>14</v>
      </c>
      <c r="C16" s="105" t="s">
        <v>242</v>
      </c>
      <c r="D16" s="106" t="str">
        <f t="shared" ca="1" si="4"/>
        <v>ARCH_SW_BMM_1200</v>
      </c>
      <c r="E16" s="66" t="str">
        <f t="shared" ca="1" si="5"/>
        <v>Nominal</v>
      </c>
      <c r="F16" s="66" t="str">
        <f t="shared" ca="1" si="2"/>
        <v>Bmm manage timer overflow</v>
      </c>
      <c r="G16" s="85"/>
      <c r="H16" s="86">
        <v>1</v>
      </c>
      <c r="I16" s="87" t="s">
        <v>226</v>
      </c>
      <c r="J16" s="88"/>
      <c r="K16" s="94" t="str">
        <f t="shared" ca="1" si="3"/>
        <v>Ok</v>
      </c>
      <c r="L16" s="92" t="s">
        <v>248</v>
      </c>
      <c r="M16" s="89"/>
      <c r="N16" s="90"/>
    </row>
    <row r="17" spans="2:14" ht="28.8" x14ac:dyDescent="0.25">
      <c r="B17" s="64">
        <v>15</v>
      </c>
      <c r="C17" s="105" t="s">
        <v>243</v>
      </c>
      <c r="D17" s="106" t="str">
        <f t="shared" ca="1" si="4"/>
        <v>ARCH_SW_BMM_0006, ARCH_SW_BMM_0345</v>
      </c>
      <c r="E17" s="66" t="str">
        <f t="shared" ca="1" si="5"/>
        <v>Nominal</v>
      </c>
      <c r="F17" s="66" t="str">
        <f t="shared" ca="1" si="2"/>
        <v>Interface between Bmm and AdcIf channel A</v>
      </c>
      <c r="G17" s="85"/>
      <c r="H17" s="86">
        <v>1</v>
      </c>
      <c r="I17" s="87" t="s">
        <v>226</v>
      </c>
      <c r="J17" s="88"/>
      <c r="K17" s="94" t="str">
        <f t="shared" ca="1" si="3"/>
        <v>Ok</v>
      </c>
      <c r="L17" s="92" t="s">
        <v>248</v>
      </c>
      <c r="M17" s="89"/>
      <c r="N17" s="90"/>
    </row>
    <row r="18" spans="2:14" ht="28.8" x14ac:dyDescent="0.25">
      <c r="B18" s="64">
        <v>16</v>
      </c>
      <c r="C18" s="105" t="s">
        <v>244</v>
      </c>
      <c r="D18" s="106" t="str">
        <f t="shared" ca="1" si="4"/>
        <v>ARCH_SW_BMM_0007, ARCH_SW_BMM_0346</v>
      </c>
      <c r="E18" s="66" t="str">
        <f t="shared" ca="1" si="5"/>
        <v>Nominal</v>
      </c>
      <c r="F18" s="66" t="str">
        <f t="shared" ca="1" si="2"/>
        <v>Interface between Bmm and AdcIf channel B</v>
      </c>
      <c r="G18" s="85"/>
      <c r="H18" s="86">
        <v>1</v>
      </c>
      <c r="I18" s="87" t="s">
        <v>226</v>
      </c>
      <c r="J18" s="88"/>
      <c r="K18" s="94" t="str">
        <f t="shared" ca="1" si="3"/>
        <v>Ok</v>
      </c>
      <c r="L18" s="92" t="s">
        <v>248</v>
      </c>
      <c r="M18" s="89"/>
      <c r="N18" s="90"/>
    </row>
    <row r="19" spans="2:14" ht="28.8" x14ac:dyDescent="0.25">
      <c r="B19" s="64">
        <v>17</v>
      </c>
      <c r="C19" s="105" t="s">
        <v>245</v>
      </c>
      <c r="D19" s="106" t="str">
        <f t="shared" ca="1" si="4"/>
        <v>ARCH_SW_BMM_0011</v>
      </c>
      <c r="E19" s="66" t="str">
        <f t="shared" ca="1" si="5"/>
        <v>Nominal</v>
      </c>
      <c r="F19" s="66" t="str">
        <f t="shared" ca="1" si="2"/>
        <v>Interface between Bmm and Port</v>
      </c>
      <c r="G19" s="85"/>
      <c r="H19" s="86">
        <v>1</v>
      </c>
      <c r="I19" s="87" t="s">
        <v>226</v>
      </c>
      <c r="J19" s="88"/>
      <c r="K19" s="94" t="str">
        <f t="shared" ca="1" si="3"/>
        <v>Ok</v>
      </c>
      <c r="L19" s="92" t="s">
        <v>248</v>
      </c>
      <c r="M19" s="89"/>
      <c r="N19" s="90"/>
    </row>
    <row r="20" spans="2:14" ht="28.8" x14ac:dyDescent="0.25">
      <c r="B20" s="64">
        <v>18</v>
      </c>
      <c r="C20" s="105" t="s">
        <v>246</v>
      </c>
      <c r="D20" s="106" t="str">
        <f t="shared" ca="1" si="4"/>
        <v>ARCH_SW_BMM_0347</v>
      </c>
      <c r="E20" s="66" t="str">
        <f t="shared" ca="1" si="5"/>
        <v>Nominal</v>
      </c>
      <c r="F20" s="66" t="str">
        <f t="shared" ca="1" si="2"/>
        <v xml:space="preserve">Bmm interface to ATM test result </v>
      </c>
      <c r="G20" s="85"/>
      <c r="H20" s="86">
        <v>1</v>
      </c>
      <c r="I20" s="87" t="s">
        <v>226</v>
      </c>
      <c r="J20" s="88"/>
      <c r="K20" s="94" t="str">
        <f t="shared" ca="1" si="3"/>
        <v>Nok</v>
      </c>
      <c r="L20" s="92" t="s">
        <v>248</v>
      </c>
      <c r="M20" s="89">
        <v>814536</v>
      </c>
      <c r="N20" s="90"/>
    </row>
    <row r="21" spans="2:14" ht="28.8" x14ac:dyDescent="0.25">
      <c r="B21" s="64">
        <v>19</v>
      </c>
      <c r="C21" s="105" t="s">
        <v>247</v>
      </c>
      <c r="D21" s="106" t="str">
        <f t="shared" ca="1" si="4"/>
        <v>ARCH_SW_BMM_0348</v>
      </c>
      <c r="E21" s="66" t="str">
        <f t="shared" ca="1" si="5"/>
        <v>Nominal</v>
      </c>
      <c r="F21" s="66" t="str">
        <f t="shared" ca="1" si="2"/>
        <v>Interface between ATM and ERH</v>
      </c>
      <c r="G21" s="85"/>
      <c r="H21" s="86">
        <v>1</v>
      </c>
      <c r="I21" s="87" t="s">
        <v>226</v>
      </c>
      <c r="J21" s="88"/>
      <c r="K21" s="94" t="str">
        <f t="shared" ca="1" si="3"/>
        <v>Nok</v>
      </c>
      <c r="L21" s="92" t="s">
        <v>248</v>
      </c>
      <c r="M21" s="89">
        <v>814536</v>
      </c>
      <c r="N21" s="90"/>
    </row>
    <row r="22" spans="2:14" ht="14.4" x14ac:dyDescent="0.25">
      <c r="B22" s="64">
        <v>20</v>
      </c>
      <c r="C22" s="65"/>
      <c r="D22" s="66" t="str">
        <f t="shared" ref="D22:D44" ca="1" si="6">IF(C22&lt;&gt;"",INDIRECT(C22&amp;"!B5"),"")</f>
        <v/>
      </c>
      <c r="E22" s="66" t="str">
        <f t="shared" ref="E22:E44" ca="1" si="7">IF(C22&lt;&gt;"",INDIRECT(C22&amp;"!B7"),"")</f>
        <v/>
      </c>
      <c r="F22" s="66" t="str">
        <f t="shared" ref="F22:F44" ca="1" si="8">IF(C22&lt;&gt;"",INDIRECT(C22&amp;"!B1"),"")</f>
        <v/>
      </c>
      <c r="G22" s="66"/>
      <c r="H22" s="66"/>
      <c r="I22" s="67"/>
      <c r="J22" s="68"/>
      <c r="K22" s="94" t="str">
        <f t="shared" ref="K22:K44" ca="1" si="9">IF(C22&lt;&gt;"",INDIRECT(C22&amp;"!B11"),"")</f>
        <v/>
      </c>
      <c r="L22" s="93"/>
      <c r="M22" s="82"/>
      <c r="N22" s="69"/>
    </row>
    <row r="23" spans="2:14" ht="14.4" x14ac:dyDescent="0.25">
      <c r="B23" s="64">
        <v>21</v>
      </c>
      <c r="C23" s="65"/>
      <c r="D23" s="66" t="str">
        <f t="shared" ca="1" si="6"/>
        <v/>
      </c>
      <c r="E23" s="66" t="str">
        <f t="shared" ca="1" si="7"/>
        <v/>
      </c>
      <c r="F23" s="66" t="str">
        <f t="shared" ca="1" si="8"/>
        <v/>
      </c>
      <c r="G23" s="66"/>
      <c r="H23" s="66"/>
      <c r="I23" s="67"/>
      <c r="J23" s="68"/>
      <c r="K23" s="94" t="str">
        <f t="shared" ca="1" si="9"/>
        <v/>
      </c>
      <c r="L23" s="93"/>
      <c r="M23" s="82"/>
      <c r="N23" s="69"/>
    </row>
    <row r="24" spans="2:14" ht="14.4" x14ac:dyDescent="0.25">
      <c r="B24" s="64">
        <v>22</v>
      </c>
      <c r="C24" s="65"/>
      <c r="D24" s="66" t="str">
        <f t="shared" ca="1" si="6"/>
        <v/>
      </c>
      <c r="E24" s="66" t="str">
        <f t="shared" ca="1" si="7"/>
        <v/>
      </c>
      <c r="F24" s="66" t="str">
        <f t="shared" ca="1" si="8"/>
        <v/>
      </c>
      <c r="G24" s="66"/>
      <c r="H24" s="66"/>
      <c r="I24" s="67"/>
      <c r="J24" s="68"/>
      <c r="K24" s="94" t="str">
        <f t="shared" ca="1" si="9"/>
        <v/>
      </c>
      <c r="L24" s="93"/>
      <c r="M24" s="82"/>
      <c r="N24" s="69"/>
    </row>
    <row r="25" spans="2:14" ht="14.4" x14ac:dyDescent="0.25">
      <c r="B25" s="64">
        <v>23</v>
      </c>
      <c r="C25" s="65"/>
      <c r="D25" s="66" t="str">
        <f t="shared" ca="1" si="6"/>
        <v/>
      </c>
      <c r="E25" s="66" t="str">
        <f t="shared" ca="1" si="7"/>
        <v/>
      </c>
      <c r="F25" s="66" t="str">
        <f t="shared" ca="1" si="8"/>
        <v/>
      </c>
      <c r="G25" s="66"/>
      <c r="H25" s="66"/>
      <c r="I25" s="67"/>
      <c r="J25" s="68"/>
      <c r="K25" s="94" t="str">
        <f t="shared" ca="1" si="9"/>
        <v/>
      </c>
      <c r="L25" s="93"/>
      <c r="M25" s="82"/>
      <c r="N25" s="69"/>
    </row>
    <row r="26" spans="2:14" ht="14.4" x14ac:dyDescent="0.25">
      <c r="B26" s="64">
        <v>24</v>
      </c>
      <c r="C26" s="65"/>
      <c r="D26" s="66" t="str">
        <f t="shared" ca="1" si="6"/>
        <v/>
      </c>
      <c r="E26" s="66" t="str">
        <f t="shared" ca="1" si="7"/>
        <v/>
      </c>
      <c r="F26" s="66" t="str">
        <f t="shared" ca="1" si="8"/>
        <v/>
      </c>
      <c r="G26" s="66"/>
      <c r="H26" s="66"/>
      <c r="I26" s="67"/>
      <c r="J26" s="68"/>
      <c r="K26" s="94" t="str">
        <f t="shared" ca="1" si="9"/>
        <v/>
      </c>
      <c r="L26" s="93"/>
      <c r="M26" s="82"/>
      <c r="N26" s="69"/>
    </row>
    <row r="27" spans="2:14" ht="14.4" x14ac:dyDescent="0.25">
      <c r="B27" s="64">
        <v>25</v>
      </c>
      <c r="C27" s="65"/>
      <c r="D27" s="66" t="str">
        <f t="shared" ca="1" si="6"/>
        <v/>
      </c>
      <c r="E27" s="66" t="str">
        <f t="shared" ca="1" si="7"/>
        <v/>
      </c>
      <c r="F27" s="66" t="str">
        <f t="shared" ca="1" si="8"/>
        <v/>
      </c>
      <c r="G27" s="66"/>
      <c r="H27" s="66"/>
      <c r="I27" s="67"/>
      <c r="J27" s="68"/>
      <c r="K27" s="94" t="str">
        <f t="shared" ca="1" si="9"/>
        <v/>
      </c>
      <c r="L27" s="93"/>
      <c r="M27" s="82"/>
      <c r="N27" s="69"/>
    </row>
    <row r="28" spans="2:14" ht="14.4" x14ac:dyDescent="0.25">
      <c r="B28" s="64">
        <v>26</v>
      </c>
      <c r="C28" s="65"/>
      <c r="D28" s="66" t="str">
        <f t="shared" ca="1" si="6"/>
        <v/>
      </c>
      <c r="E28" s="66" t="str">
        <f t="shared" ca="1" si="7"/>
        <v/>
      </c>
      <c r="F28" s="66" t="str">
        <f t="shared" ca="1" si="8"/>
        <v/>
      </c>
      <c r="G28" s="66"/>
      <c r="H28" s="66"/>
      <c r="I28" s="67"/>
      <c r="J28" s="68"/>
      <c r="K28" s="94" t="str">
        <f t="shared" ca="1" si="9"/>
        <v/>
      </c>
      <c r="L28" s="93"/>
      <c r="M28" s="82"/>
      <c r="N28" s="69"/>
    </row>
    <row r="29" spans="2:14" ht="14.4" x14ac:dyDescent="0.25">
      <c r="B29" s="64">
        <v>27</v>
      </c>
      <c r="C29" s="65"/>
      <c r="D29" s="66" t="str">
        <f t="shared" ca="1" si="6"/>
        <v/>
      </c>
      <c r="E29" s="66" t="str">
        <f t="shared" ca="1" si="7"/>
        <v/>
      </c>
      <c r="F29" s="66" t="str">
        <f t="shared" ca="1" si="8"/>
        <v/>
      </c>
      <c r="G29" s="66"/>
      <c r="H29" s="66"/>
      <c r="I29" s="67"/>
      <c r="J29" s="68"/>
      <c r="K29" s="94" t="str">
        <f t="shared" ca="1" si="9"/>
        <v/>
      </c>
      <c r="L29" s="93"/>
      <c r="M29" s="82"/>
      <c r="N29" s="69"/>
    </row>
    <row r="30" spans="2:14" ht="14.4" x14ac:dyDescent="0.25">
      <c r="B30" s="64">
        <v>28</v>
      </c>
      <c r="C30" s="65"/>
      <c r="D30" s="66" t="str">
        <f t="shared" ca="1" si="6"/>
        <v/>
      </c>
      <c r="E30" s="66" t="str">
        <f t="shared" ca="1" si="7"/>
        <v/>
      </c>
      <c r="F30" s="66" t="str">
        <f t="shared" ca="1" si="8"/>
        <v/>
      </c>
      <c r="G30" s="66"/>
      <c r="H30" s="66"/>
      <c r="I30" s="67"/>
      <c r="J30" s="68"/>
      <c r="K30" s="94" t="str">
        <f t="shared" ca="1" si="9"/>
        <v/>
      </c>
      <c r="L30" s="93"/>
      <c r="M30" s="82"/>
      <c r="N30" s="69"/>
    </row>
    <row r="31" spans="2:14" ht="14.4" x14ac:dyDescent="0.25">
      <c r="B31" s="64">
        <v>29</v>
      </c>
      <c r="C31" s="65"/>
      <c r="D31" s="66" t="str">
        <f t="shared" ca="1" si="6"/>
        <v/>
      </c>
      <c r="E31" s="66" t="str">
        <f t="shared" ca="1" si="7"/>
        <v/>
      </c>
      <c r="F31" s="66" t="str">
        <f t="shared" ca="1" si="8"/>
        <v/>
      </c>
      <c r="G31" s="66"/>
      <c r="H31" s="66"/>
      <c r="I31" s="67"/>
      <c r="J31" s="68"/>
      <c r="K31" s="94" t="str">
        <f t="shared" ca="1" si="9"/>
        <v/>
      </c>
      <c r="L31" s="93"/>
      <c r="M31" s="82"/>
      <c r="N31" s="69"/>
    </row>
    <row r="32" spans="2:14" ht="14.4" x14ac:dyDescent="0.25">
      <c r="B32" s="64">
        <v>30</v>
      </c>
      <c r="C32" s="65"/>
      <c r="D32" s="66" t="str">
        <f t="shared" ca="1" si="6"/>
        <v/>
      </c>
      <c r="E32" s="66" t="str">
        <f t="shared" ca="1" si="7"/>
        <v/>
      </c>
      <c r="F32" s="66" t="str">
        <f t="shared" ca="1" si="8"/>
        <v/>
      </c>
      <c r="G32" s="66"/>
      <c r="H32" s="66"/>
      <c r="I32" s="67"/>
      <c r="J32" s="68"/>
      <c r="K32" s="94" t="str">
        <f t="shared" ca="1" si="9"/>
        <v/>
      </c>
      <c r="L32" s="93"/>
      <c r="M32" s="82"/>
      <c r="N32" s="69"/>
    </row>
    <row r="33" spans="2:14" ht="14.4" x14ac:dyDescent="0.25">
      <c r="B33" s="64">
        <v>31</v>
      </c>
      <c r="C33" s="65"/>
      <c r="D33" s="66" t="str">
        <f t="shared" ca="1" si="6"/>
        <v/>
      </c>
      <c r="E33" s="66" t="str">
        <f t="shared" ca="1" si="7"/>
        <v/>
      </c>
      <c r="F33" s="66" t="str">
        <f t="shared" ca="1" si="8"/>
        <v/>
      </c>
      <c r="G33" s="66"/>
      <c r="H33" s="66"/>
      <c r="I33" s="67"/>
      <c r="J33" s="68"/>
      <c r="K33" s="94" t="str">
        <f t="shared" ca="1" si="9"/>
        <v/>
      </c>
      <c r="L33" s="93"/>
      <c r="M33" s="82"/>
      <c r="N33" s="69"/>
    </row>
    <row r="34" spans="2:14" ht="14.4" x14ac:dyDescent="0.25">
      <c r="B34" s="64">
        <v>32</v>
      </c>
      <c r="C34" s="65"/>
      <c r="D34" s="66" t="str">
        <f t="shared" ca="1" si="6"/>
        <v/>
      </c>
      <c r="E34" s="66" t="str">
        <f t="shared" ca="1" si="7"/>
        <v/>
      </c>
      <c r="F34" s="66" t="str">
        <f t="shared" ca="1" si="8"/>
        <v/>
      </c>
      <c r="G34" s="66"/>
      <c r="H34" s="66"/>
      <c r="I34" s="67"/>
      <c r="J34" s="68"/>
      <c r="K34" s="94" t="str">
        <f t="shared" ca="1" si="9"/>
        <v/>
      </c>
      <c r="L34" s="93"/>
      <c r="M34" s="82"/>
      <c r="N34" s="69"/>
    </row>
    <row r="35" spans="2:14" ht="14.4" x14ac:dyDescent="0.25">
      <c r="B35" s="64">
        <v>33</v>
      </c>
      <c r="C35" s="65"/>
      <c r="D35" s="66" t="str">
        <f t="shared" ca="1" si="6"/>
        <v/>
      </c>
      <c r="E35" s="66" t="str">
        <f t="shared" ca="1" si="7"/>
        <v/>
      </c>
      <c r="F35" s="66" t="str">
        <f t="shared" ca="1" si="8"/>
        <v/>
      </c>
      <c r="G35" s="66"/>
      <c r="H35" s="66"/>
      <c r="I35" s="67"/>
      <c r="J35" s="68"/>
      <c r="K35" s="94" t="str">
        <f t="shared" ca="1" si="9"/>
        <v/>
      </c>
      <c r="L35" s="93"/>
      <c r="M35" s="82"/>
      <c r="N35" s="69"/>
    </row>
    <row r="36" spans="2:14" ht="14.4" x14ac:dyDescent="0.25">
      <c r="B36" s="64">
        <v>34</v>
      </c>
      <c r="C36" s="65"/>
      <c r="D36" s="66" t="str">
        <f t="shared" ca="1" si="6"/>
        <v/>
      </c>
      <c r="E36" s="66" t="str">
        <f t="shared" ca="1" si="7"/>
        <v/>
      </c>
      <c r="F36" s="66" t="str">
        <f t="shared" ca="1" si="8"/>
        <v/>
      </c>
      <c r="G36" s="66"/>
      <c r="H36" s="66"/>
      <c r="I36" s="67"/>
      <c r="J36" s="68"/>
      <c r="K36" s="94" t="str">
        <f t="shared" ca="1" si="9"/>
        <v/>
      </c>
      <c r="L36" s="93"/>
      <c r="M36" s="82"/>
      <c r="N36" s="69"/>
    </row>
    <row r="37" spans="2:14" ht="14.4" x14ac:dyDescent="0.25">
      <c r="B37" s="64">
        <v>35</v>
      </c>
      <c r="C37" s="65"/>
      <c r="D37" s="66" t="str">
        <f t="shared" ca="1" si="6"/>
        <v/>
      </c>
      <c r="E37" s="66" t="str">
        <f t="shared" ca="1" si="7"/>
        <v/>
      </c>
      <c r="F37" s="66" t="str">
        <f t="shared" ca="1" si="8"/>
        <v/>
      </c>
      <c r="G37" s="66"/>
      <c r="H37" s="66"/>
      <c r="I37" s="67"/>
      <c r="J37" s="68"/>
      <c r="K37" s="94" t="str">
        <f t="shared" ca="1" si="9"/>
        <v/>
      </c>
      <c r="L37" s="93"/>
      <c r="M37" s="82"/>
      <c r="N37" s="69"/>
    </row>
    <row r="38" spans="2:14" ht="14.4" x14ac:dyDescent="0.25">
      <c r="B38" s="64">
        <v>36</v>
      </c>
      <c r="C38" s="65"/>
      <c r="D38" s="66" t="str">
        <f t="shared" ca="1" si="6"/>
        <v/>
      </c>
      <c r="E38" s="66" t="str">
        <f t="shared" ca="1" si="7"/>
        <v/>
      </c>
      <c r="F38" s="66" t="str">
        <f t="shared" ca="1" si="8"/>
        <v/>
      </c>
      <c r="G38" s="66"/>
      <c r="H38" s="66"/>
      <c r="I38" s="67"/>
      <c r="J38" s="68"/>
      <c r="K38" s="94" t="str">
        <f t="shared" ca="1" si="9"/>
        <v/>
      </c>
      <c r="L38" s="93"/>
      <c r="M38" s="82"/>
      <c r="N38" s="69"/>
    </row>
    <row r="39" spans="2:14" ht="14.4" x14ac:dyDescent="0.25">
      <c r="B39" s="64">
        <v>37</v>
      </c>
      <c r="C39" s="65"/>
      <c r="D39" s="66" t="str">
        <f t="shared" ca="1" si="6"/>
        <v/>
      </c>
      <c r="E39" s="66" t="str">
        <f t="shared" ca="1" si="7"/>
        <v/>
      </c>
      <c r="F39" s="66" t="str">
        <f t="shared" ca="1" si="8"/>
        <v/>
      </c>
      <c r="G39" s="66"/>
      <c r="H39" s="66"/>
      <c r="I39" s="67"/>
      <c r="J39" s="68"/>
      <c r="K39" s="94" t="str">
        <f t="shared" ca="1" si="9"/>
        <v/>
      </c>
      <c r="L39" s="93"/>
      <c r="M39" s="82"/>
      <c r="N39" s="69"/>
    </row>
    <row r="40" spans="2:14" ht="14.4" x14ac:dyDescent="0.25">
      <c r="B40" s="64">
        <v>38</v>
      </c>
      <c r="C40" s="65"/>
      <c r="D40" s="66" t="str">
        <f t="shared" ca="1" si="6"/>
        <v/>
      </c>
      <c r="E40" s="66" t="str">
        <f t="shared" ca="1" si="7"/>
        <v/>
      </c>
      <c r="F40" s="66" t="str">
        <f t="shared" ca="1" si="8"/>
        <v/>
      </c>
      <c r="G40" s="66"/>
      <c r="H40" s="66"/>
      <c r="I40" s="67"/>
      <c r="J40" s="68"/>
      <c r="K40" s="94" t="str">
        <f t="shared" ca="1" si="9"/>
        <v/>
      </c>
      <c r="L40" s="93"/>
      <c r="M40" s="82"/>
      <c r="N40" s="69"/>
    </row>
    <row r="41" spans="2:14" ht="14.4" x14ac:dyDescent="0.25">
      <c r="B41" s="64">
        <v>39</v>
      </c>
      <c r="C41" s="65"/>
      <c r="D41" s="66" t="str">
        <f t="shared" ca="1" si="6"/>
        <v/>
      </c>
      <c r="E41" s="66" t="str">
        <f t="shared" ca="1" si="7"/>
        <v/>
      </c>
      <c r="F41" s="66" t="str">
        <f t="shared" ca="1" si="8"/>
        <v/>
      </c>
      <c r="G41" s="66"/>
      <c r="H41" s="66"/>
      <c r="I41" s="67"/>
      <c r="J41" s="68"/>
      <c r="K41" s="94" t="str">
        <f t="shared" ca="1" si="9"/>
        <v/>
      </c>
      <c r="L41" s="93"/>
      <c r="M41" s="82"/>
      <c r="N41" s="69"/>
    </row>
    <row r="42" spans="2:14" ht="14.4" x14ac:dyDescent="0.25">
      <c r="B42" s="64">
        <v>40</v>
      </c>
      <c r="C42" s="65"/>
      <c r="D42" s="66" t="str">
        <f t="shared" ca="1" si="6"/>
        <v/>
      </c>
      <c r="E42" s="66" t="str">
        <f t="shared" ca="1" si="7"/>
        <v/>
      </c>
      <c r="F42" s="66" t="str">
        <f t="shared" ca="1" si="8"/>
        <v/>
      </c>
      <c r="G42" s="66"/>
      <c r="H42" s="66"/>
      <c r="I42" s="67"/>
      <c r="J42" s="68"/>
      <c r="K42" s="94" t="str">
        <f t="shared" ca="1" si="9"/>
        <v/>
      </c>
      <c r="L42" s="93"/>
      <c r="M42" s="82"/>
      <c r="N42" s="69"/>
    </row>
    <row r="43" spans="2:14" ht="14.4" x14ac:dyDescent="0.25">
      <c r="B43" s="64">
        <v>41</v>
      </c>
      <c r="C43" s="65"/>
      <c r="D43" s="66" t="str">
        <f t="shared" ca="1" si="6"/>
        <v/>
      </c>
      <c r="E43" s="66" t="str">
        <f t="shared" ca="1" si="7"/>
        <v/>
      </c>
      <c r="F43" s="66" t="str">
        <f t="shared" ca="1" si="8"/>
        <v/>
      </c>
      <c r="G43" s="66"/>
      <c r="H43" s="66"/>
      <c r="I43" s="67"/>
      <c r="J43" s="68"/>
      <c r="K43" s="94" t="str">
        <f t="shared" ca="1" si="9"/>
        <v/>
      </c>
      <c r="L43" s="93"/>
      <c r="M43" s="82"/>
      <c r="N43" s="69"/>
    </row>
    <row r="44" spans="2:14" ht="15" thickBot="1" x14ac:dyDescent="0.3">
      <c r="B44" s="64">
        <v>42</v>
      </c>
      <c r="C44" s="70"/>
      <c r="D44" s="66" t="str">
        <f t="shared" ca="1" si="6"/>
        <v/>
      </c>
      <c r="E44" s="66" t="str">
        <f t="shared" ca="1" si="7"/>
        <v/>
      </c>
      <c r="F44" s="66" t="str">
        <f t="shared" ca="1" si="8"/>
        <v/>
      </c>
      <c r="G44" s="66"/>
      <c r="H44" s="66"/>
      <c r="I44" s="67"/>
      <c r="J44" s="68"/>
      <c r="K44" s="94" t="str">
        <f t="shared" ca="1" si="9"/>
        <v/>
      </c>
      <c r="L44" s="93"/>
      <c r="M44" s="82"/>
      <c r="N44" s="69"/>
    </row>
  </sheetData>
  <phoneticPr fontId="41" type="noConversion"/>
  <conditionalFormatting sqref="K22:K44">
    <cfRule type="cellIs" dxfId="245" priority="31" operator="equal">
      <formula>"Nok"</formula>
    </cfRule>
    <cfRule type="cellIs" dxfId="244" priority="32" operator="equal">
      <formula>"Ok"</formula>
    </cfRule>
  </conditionalFormatting>
  <conditionalFormatting sqref="K3">
    <cfRule type="cellIs" dxfId="243" priority="29" operator="equal">
      <formula>"Nok"</formula>
    </cfRule>
    <cfRule type="cellIs" dxfId="242" priority="30" operator="equal">
      <formula>"Ok"</formula>
    </cfRule>
  </conditionalFormatting>
  <conditionalFormatting sqref="K4">
    <cfRule type="cellIs" dxfId="241" priority="27" operator="equal">
      <formula>"Nok"</formula>
    </cfRule>
    <cfRule type="cellIs" dxfId="240" priority="28" operator="equal">
      <formula>"Ok"</formula>
    </cfRule>
  </conditionalFormatting>
  <conditionalFormatting sqref="K5">
    <cfRule type="cellIs" dxfId="239" priority="25" operator="equal">
      <formula>"Nok"</formula>
    </cfRule>
    <cfRule type="cellIs" dxfId="238" priority="26" operator="equal">
      <formula>"Ok"</formula>
    </cfRule>
  </conditionalFormatting>
  <conditionalFormatting sqref="K6">
    <cfRule type="cellIs" dxfId="237" priority="23" operator="equal">
      <formula>"Nok"</formula>
    </cfRule>
    <cfRule type="cellIs" dxfId="236" priority="24" operator="equal">
      <formula>"Ok"</formula>
    </cfRule>
  </conditionalFormatting>
  <conditionalFormatting sqref="K7">
    <cfRule type="cellIs" dxfId="235" priority="21" operator="equal">
      <formula>"Nok"</formula>
    </cfRule>
    <cfRule type="cellIs" dxfId="234" priority="22" operator="equal">
      <formula>"Ok"</formula>
    </cfRule>
  </conditionalFormatting>
  <conditionalFormatting sqref="K8:K21">
    <cfRule type="cellIs" dxfId="233" priority="19" operator="equal">
      <formula>"Nok"</formula>
    </cfRule>
    <cfRule type="cellIs" dxfId="232" priority="20" operator="equal">
      <formula>"Ok"</formula>
    </cfRule>
  </conditionalFormatting>
  <dataValidations count="3">
    <dataValidation type="list" allowBlank="1" showInputMessage="1" showErrorMessage="1" sqref="E22:E44" xr:uid="{00000000-0002-0000-0300-000000000000}">
      <formula1>"Nominal, Robustness, Endurance, Qualification, Other"</formula1>
    </dataValidation>
    <dataValidation type="list" allowBlank="1" showInputMessage="1" showErrorMessage="1" sqref="G3:G21" xr:uid="{32962E0A-C472-462C-8C4B-AA8F2A6FDCE7}">
      <formula1>",X,"</formula1>
    </dataValidation>
    <dataValidation type="list" allowBlank="1" showInputMessage="1" showErrorMessage="1" sqref="H3:H21" xr:uid="{450F32B0-BEFE-4CE1-86BE-E6829A783650}">
      <formula1>"1,2,3,"</formula1>
    </dataValidation>
  </dataValidations>
  <hyperlinks>
    <hyperlink ref="C3" location="SW_IT_BMM_0001!A1" display="SW_IT_BMM_0001" xr:uid="{00000000-0004-0000-0300-000000000000}"/>
    <hyperlink ref="C4:C21" location="SW_IT_EOL_0001!A1" display="SW_IT_EOL_0001" xr:uid="{D908C8AC-D9DB-4AB8-9856-D27C21126F57}"/>
    <hyperlink ref="C4" location="SW_IT_BMM_0002!A1" display="SW_IT_BMM_0002" xr:uid="{98D8DFD9-6808-4F10-AB45-AEB18AC50923}"/>
    <hyperlink ref="C5" location="SW_IT_BMM_0003!A1" display="SW_IT_BMM_0003" xr:uid="{EE4F65D3-AAA4-44E9-940B-5566683AF04F}"/>
    <hyperlink ref="C6" location="SW_IT_BMM_0004!A1" display="SW_IT_BMM_0004" xr:uid="{D8D30531-2939-4AB5-953A-2EEFB68FB1C0}"/>
    <hyperlink ref="C7" location="SW_IT_BMM_0005!A1" display="SW_IT_BMM_0005" xr:uid="{B74760EA-DB1F-4613-B7C9-AFA973E788AC}"/>
    <hyperlink ref="C8" location="SW_IT_BMM_0006!A1" display="SW_IT_BMM_0006" xr:uid="{AA96F520-FE22-49F3-A347-5BF819C6B4B2}"/>
    <hyperlink ref="C9" location="SW_IT_BMM_0007!A1" display="SW_IT_BMM_0007" xr:uid="{F7550691-B74D-4F75-BBCB-D93FB6FE1DFF}"/>
    <hyperlink ref="C10" location="SW_IT_BMM_0008!A1" display="SW_IT_BMM_0008" xr:uid="{222C2C74-6C43-460A-834B-653621E570E2}"/>
    <hyperlink ref="C11" location="SW_IT_BMM_0009!A1" display="SW_IT_BMM_0009" xr:uid="{7053738F-8742-44CC-86FF-54EBAD7644B1}"/>
    <hyperlink ref="C12" location="SW_IT_BMM_0010!A1" display="SW_IT_BMM_0010" xr:uid="{FAA014C4-3C50-4EAD-87BD-E4D4114438B4}"/>
    <hyperlink ref="C13" location="SW_IT_BMM_0011!A1" display="SW_IT_BMM_0011" xr:uid="{BF23D658-48A5-4D58-B78B-551102E2ECED}"/>
    <hyperlink ref="C14" location="SW_IT_BMM_0012!A1" display="SW_IT_BMM_0012" xr:uid="{B000297E-148C-4F9C-A3A8-947250A66463}"/>
    <hyperlink ref="C15" location="SW_IT_BMM_0013!A1" display="SW_IT_BMM_0013" xr:uid="{4BE04661-2FE2-43E3-BDF7-826DA439DBF2}"/>
    <hyperlink ref="C16" location="SW_IT_BMM_0014!A1" display="SW_IT_BMM_0014" xr:uid="{F6420A0F-752C-4942-A885-73049EDEF8BA}"/>
    <hyperlink ref="C17" location="SW_IT_BMM_0015!A1" display="SW_IT_BMM_0015" xr:uid="{352AC100-B7D0-4956-97EC-4D26832601F2}"/>
    <hyperlink ref="C18" location="SW_IT_BMM_0016!A1" display="SW_IT_BMM_0016" xr:uid="{49612B23-D2C5-4D69-BBC7-EA2CACCDF70B}"/>
    <hyperlink ref="C19" location="SW_IT_BMM_0017!A1" display="SW_IT_BMM_0017" xr:uid="{CC9726DC-4934-4A34-AFEB-EFC468AC9B42}"/>
    <hyperlink ref="C20" location="SW_IT_BMM_0018!A1" display="SW_IT_BMM_0018" xr:uid="{EACCA94C-7F7F-4445-A7D9-F808FEDB1747}"/>
    <hyperlink ref="C21" location="SW_IT_BMM_0019!A1" display="SW_IT_BMM_0019" xr:uid="{A7178D7D-A97B-4A5B-AE3A-5F22E74A715F}"/>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1.3&amp;R&amp;P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P30"/>
  <sheetViews>
    <sheetView workbookViewId="0"/>
  </sheetViews>
  <sheetFormatPr defaultColWidth="9.33203125" defaultRowHeight="13.2" x14ac:dyDescent="0.25"/>
  <cols>
    <col min="1" max="1" width="20.33203125" style="99" customWidth="1"/>
    <col min="2" max="2" width="18.44140625" style="95" customWidth="1"/>
    <col min="3" max="5" width="9.33203125" style="95"/>
    <col min="6" max="6" width="3.6640625" style="95" customWidth="1"/>
    <col min="7" max="7" width="24.109375" style="95" customWidth="1"/>
    <col min="8" max="15" width="9.5546875" style="95" customWidth="1"/>
    <col min="16" max="16384" width="9.33203125" style="95"/>
  </cols>
  <sheetData>
    <row r="1" spans="1:15" ht="13.8" thickBot="1" x14ac:dyDescent="0.3">
      <c r="A1" s="100" t="s">
        <v>40</v>
      </c>
      <c r="B1" s="195" t="s">
        <v>136</v>
      </c>
      <c r="C1" s="196"/>
      <c r="D1" s="196"/>
      <c r="E1" s="196"/>
      <c r="F1" s="196"/>
      <c r="G1" s="197"/>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135</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137</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27" customHeight="1" x14ac:dyDescent="0.25">
      <c r="A22" s="103" t="s">
        <v>49</v>
      </c>
      <c r="B22" s="201" t="s">
        <v>139</v>
      </c>
      <c r="C22" s="202"/>
      <c r="D22" s="202"/>
      <c r="E22" s="202"/>
      <c r="F22" s="202"/>
      <c r="G22" s="203"/>
      <c r="H22" s="193" t="s">
        <v>134</v>
      </c>
      <c r="I22" s="193"/>
      <c r="J22" s="193"/>
      <c r="K22" s="193"/>
      <c r="L22" s="193" t="s">
        <v>134</v>
      </c>
      <c r="M22" s="193"/>
      <c r="N22" s="193"/>
      <c r="O22" s="193"/>
      <c r="P22" s="97" t="s">
        <v>128</v>
      </c>
    </row>
    <row r="23" spans="1:16" x14ac:dyDescent="0.25">
      <c r="A23" s="103" t="s">
        <v>50</v>
      </c>
      <c r="B23" s="206"/>
      <c r="C23" s="207"/>
      <c r="D23" s="207"/>
      <c r="E23" s="207"/>
      <c r="F23" s="207"/>
      <c r="G23" s="208"/>
      <c r="H23" s="193"/>
      <c r="I23" s="193"/>
      <c r="J23" s="193"/>
      <c r="K23" s="193"/>
      <c r="L23" s="193"/>
      <c r="M23" s="193"/>
      <c r="N23" s="193"/>
      <c r="O23" s="193"/>
      <c r="P23" s="97"/>
    </row>
    <row r="24" spans="1:16" x14ac:dyDescent="0.25">
      <c r="A24" s="103" t="s">
        <v>51</v>
      </c>
      <c r="B24" s="206"/>
      <c r="C24" s="207"/>
      <c r="D24" s="207"/>
      <c r="E24" s="207"/>
      <c r="F24" s="207"/>
      <c r="G24" s="208"/>
      <c r="H24" s="194"/>
      <c r="I24" s="194"/>
      <c r="J24" s="194"/>
      <c r="K24" s="194"/>
      <c r="L24" s="194"/>
      <c r="M24" s="194"/>
      <c r="N24" s="194"/>
      <c r="O24" s="194"/>
      <c r="P24" s="97"/>
    </row>
    <row r="25" spans="1:16" x14ac:dyDescent="0.25">
      <c r="A25" s="103" t="s">
        <v>52</v>
      </c>
      <c r="B25" s="206"/>
      <c r="C25" s="207"/>
      <c r="D25" s="207"/>
      <c r="E25" s="207"/>
      <c r="F25" s="207"/>
      <c r="G25" s="208"/>
      <c r="H25" s="194"/>
      <c r="I25" s="194"/>
      <c r="J25" s="194"/>
      <c r="K25" s="194"/>
      <c r="L25" s="194"/>
      <c r="M25" s="194"/>
      <c r="N25" s="194"/>
      <c r="O25" s="194"/>
      <c r="P25" s="97"/>
    </row>
    <row r="26" spans="1:16" x14ac:dyDescent="0.25">
      <c r="A26" s="103" t="s">
        <v>53</v>
      </c>
      <c r="B26" s="206"/>
      <c r="C26" s="207"/>
      <c r="D26" s="207"/>
      <c r="E26" s="207"/>
      <c r="F26" s="207"/>
      <c r="G26" s="208"/>
      <c r="H26" s="194"/>
      <c r="I26" s="194"/>
      <c r="J26" s="194"/>
      <c r="K26" s="194"/>
      <c r="L26" s="194"/>
      <c r="M26" s="194"/>
      <c r="N26" s="194"/>
      <c r="O26" s="194"/>
      <c r="P26" s="97"/>
    </row>
    <row r="27" spans="1:16" x14ac:dyDescent="0.25">
      <c r="A27" s="103" t="s">
        <v>54</v>
      </c>
      <c r="B27" s="206"/>
      <c r="C27" s="207"/>
      <c r="D27" s="207"/>
      <c r="E27" s="207"/>
      <c r="F27" s="207"/>
      <c r="G27" s="208"/>
      <c r="H27" s="194"/>
      <c r="I27" s="194"/>
      <c r="J27" s="194"/>
      <c r="K27" s="194"/>
      <c r="L27" s="194"/>
      <c r="M27" s="194"/>
      <c r="N27" s="194"/>
      <c r="O27" s="194"/>
      <c r="P27" s="97"/>
    </row>
    <row r="28" spans="1:16" x14ac:dyDescent="0.25">
      <c r="A28" s="103" t="s">
        <v>55</v>
      </c>
      <c r="B28" s="206"/>
      <c r="C28" s="207"/>
      <c r="D28" s="207"/>
      <c r="E28" s="207"/>
      <c r="F28" s="207"/>
      <c r="G28" s="208"/>
      <c r="H28" s="194"/>
      <c r="I28" s="194"/>
      <c r="J28" s="194"/>
      <c r="K28" s="194"/>
      <c r="L28" s="194"/>
      <c r="M28" s="194"/>
      <c r="N28" s="194"/>
      <c r="O28" s="194"/>
      <c r="P28" s="97"/>
    </row>
    <row r="29" spans="1:16" x14ac:dyDescent="0.25">
      <c r="B29" s="99"/>
      <c r="C29" s="99"/>
      <c r="D29" s="99"/>
      <c r="E29" s="99"/>
      <c r="F29" s="99"/>
      <c r="G29" s="99"/>
      <c r="H29" s="99"/>
    </row>
    <row r="30" spans="1:16" x14ac:dyDescent="0.25">
      <c r="B30" s="99"/>
      <c r="C30" s="99"/>
      <c r="D30" s="99"/>
      <c r="E30" s="99"/>
      <c r="F30" s="99"/>
      <c r="G30" s="99"/>
      <c r="H30" s="99"/>
    </row>
  </sheetData>
  <mergeCells count="31">
    <mergeCell ref="L28:O28"/>
    <mergeCell ref="B27:G27"/>
    <mergeCell ref="B28:G28"/>
    <mergeCell ref="H28:K28"/>
    <mergeCell ref="L25:O25"/>
    <mergeCell ref="L26:O26"/>
    <mergeCell ref="L27:O27"/>
    <mergeCell ref="H25:K25"/>
    <mergeCell ref="A11:A14"/>
    <mergeCell ref="A16:A19"/>
    <mergeCell ref="B26:G26"/>
    <mergeCell ref="H26:K26"/>
    <mergeCell ref="H27:K27"/>
    <mergeCell ref="A21:G21"/>
    <mergeCell ref="B23:G23"/>
    <mergeCell ref="B25:G25"/>
    <mergeCell ref="B11:G14"/>
    <mergeCell ref="B16:G19"/>
    <mergeCell ref="B24:G24"/>
    <mergeCell ref="H24:K24"/>
    <mergeCell ref="L21:O21"/>
    <mergeCell ref="L23:O23"/>
    <mergeCell ref="L24:O24"/>
    <mergeCell ref="B1:G1"/>
    <mergeCell ref="B3:G3"/>
    <mergeCell ref="B7:G7"/>
    <mergeCell ref="H21:K21"/>
    <mergeCell ref="H23:K23"/>
    <mergeCell ref="B22:G22"/>
    <mergeCell ref="H22:K22"/>
    <mergeCell ref="L22:O22"/>
  </mergeCells>
  <conditionalFormatting sqref="B9:B10">
    <cfRule type="cellIs" dxfId="231" priority="19" operator="equal">
      <formula>"Nok"</formula>
    </cfRule>
    <cfRule type="cellIs" dxfId="230" priority="20" operator="equal">
      <formula>"Ok"</formula>
    </cfRule>
  </conditionalFormatting>
  <conditionalFormatting sqref="P25">
    <cfRule type="cellIs" dxfId="229" priority="17" operator="equal">
      <formula>"Nok"</formula>
    </cfRule>
    <cfRule type="cellIs" dxfId="228" priority="18" operator="equal">
      <formula>"Ok"</formula>
    </cfRule>
  </conditionalFormatting>
  <conditionalFormatting sqref="P24">
    <cfRule type="cellIs" dxfId="227" priority="13" operator="equal">
      <formula>"Nok"</formula>
    </cfRule>
    <cfRule type="cellIs" dxfId="226" priority="14" operator="equal">
      <formula>"Ok"</formula>
    </cfRule>
  </conditionalFormatting>
  <conditionalFormatting sqref="P23">
    <cfRule type="cellIs" dxfId="225" priority="11" operator="equal">
      <formula>"Nok"</formula>
    </cfRule>
    <cfRule type="cellIs" dxfId="224" priority="12" operator="equal">
      <formula>"Ok"</formula>
    </cfRule>
  </conditionalFormatting>
  <conditionalFormatting sqref="P26">
    <cfRule type="cellIs" dxfId="223" priority="7" operator="equal">
      <formula>"Nok"</formula>
    </cfRule>
    <cfRule type="cellIs" dxfId="222" priority="8" operator="equal">
      <formula>"Ok"</formula>
    </cfRule>
  </conditionalFormatting>
  <conditionalFormatting sqref="P27">
    <cfRule type="cellIs" dxfId="221" priority="5" operator="equal">
      <formula>"Nok"</formula>
    </cfRule>
    <cfRule type="cellIs" dxfId="220" priority="6" operator="equal">
      <formula>"Ok"</formula>
    </cfRule>
  </conditionalFormatting>
  <conditionalFormatting sqref="P28">
    <cfRule type="cellIs" dxfId="219" priority="3" operator="equal">
      <formula>"Nok"</formula>
    </cfRule>
    <cfRule type="cellIs" dxfId="218" priority="4" operator="equal">
      <formula>"Ok"</formula>
    </cfRule>
  </conditionalFormatting>
  <conditionalFormatting sqref="P22">
    <cfRule type="cellIs" dxfId="217" priority="1" operator="equal">
      <formula>"Nok"</formula>
    </cfRule>
    <cfRule type="cellIs" dxfId="216" priority="2" operator="equal">
      <formula>"Ok"</formula>
    </cfRule>
  </conditionalFormatting>
  <dataValidations count="3">
    <dataValidation type="list" allowBlank="1" showInputMessage="1" showErrorMessage="1" sqref="B5" xr:uid="{00000000-0002-0000-0400-000000000000}">
      <formula1>"Nominal, Robustness, Endurance, Qualification"</formula1>
    </dataValidation>
    <dataValidation type="list" allowBlank="1" showInputMessage="1" showErrorMessage="1" sqref="B9" xr:uid="{00000000-0002-0000-0400-000001000000}">
      <formula1>"Ok, Nok, Not run, NA"</formula1>
    </dataValidation>
    <dataValidation type="list" allowBlank="1" showInputMessage="1" showErrorMessage="1" sqref="P22:P28" xr:uid="{00000000-0002-0000-0400-000002000000}">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60122-A8FC-451F-B013-1EFC16B3F2D2}">
  <sheetPr codeName="Sheet10"/>
  <dimension ref="A1:P32"/>
  <sheetViews>
    <sheetView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195" t="s">
        <v>140</v>
      </c>
      <c r="C1" s="196"/>
      <c r="D1" s="196"/>
      <c r="E1" s="196"/>
      <c r="F1" s="196"/>
      <c r="G1" s="197"/>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138</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141</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41.25" customHeight="1" x14ac:dyDescent="0.25">
      <c r="A22" s="103" t="s">
        <v>49</v>
      </c>
      <c r="B22" s="201" t="s">
        <v>142</v>
      </c>
      <c r="C22" s="202"/>
      <c r="D22" s="202"/>
      <c r="E22" s="202"/>
      <c r="F22" s="202"/>
      <c r="G22" s="203"/>
      <c r="H22" s="193" t="s">
        <v>134</v>
      </c>
      <c r="I22" s="193"/>
      <c r="J22" s="193"/>
      <c r="K22" s="193"/>
      <c r="L22" s="193" t="s">
        <v>134</v>
      </c>
      <c r="M22" s="193"/>
      <c r="N22" s="193"/>
      <c r="O22" s="193"/>
      <c r="P22" s="97" t="s">
        <v>128</v>
      </c>
    </row>
    <row r="23" spans="1:16" x14ac:dyDescent="0.25">
      <c r="A23" s="103" t="s">
        <v>50</v>
      </c>
      <c r="B23" s="201"/>
      <c r="C23" s="202"/>
      <c r="D23" s="202"/>
      <c r="E23" s="202"/>
      <c r="F23" s="202"/>
      <c r="G23" s="203"/>
      <c r="H23" s="193"/>
      <c r="I23" s="193"/>
      <c r="J23" s="193"/>
      <c r="K23" s="193"/>
      <c r="L23" s="193"/>
      <c r="M23" s="193"/>
      <c r="N23" s="193"/>
      <c r="O23" s="193"/>
      <c r="P23" s="97"/>
    </row>
    <row r="24" spans="1:16" x14ac:dyDescent="0.25">
      <c r="A24" s="103" t="s">
        <v>51</v>
      </c>
      <c r="B24" s="206"/>
      <c r="C24" s="207"/>
      <c r="D24" s="207"/>
      <c r="E24" s="207"/>
      <c r="F24" s="207"/>
      <c r="G24" s="208"/>
      <c r="H24" s="194"/>
      <c r="I24" s="194"/>
      <c r="J24" s="194"/>
      <c r="K24" s="194"/>
      <c r="L24" s="194"/>
      <c r="M24" s="194"/>
      <c r="N24" s="194"/>
      <c r="O24" s="194"/>
      <c r="P24" s="97"/>
    </row>
    <row r="25" spans="1:16" x14ac:dyDescent="0.25">
      <c r="A25" s="103" t="s">
        <v>52</v>
      </c>
      <c r="B25" s="206"/>
      <c r="C25" s="207"/>
      <c r="D25" s="207"/>
      <c r="E25" s="207"/>
      <c r="F25" s="207"/>
      <c r="G25" s="208"/>
      <c r="H25" s="194"/>
      <c r="I25" s="194"/>
      <c r="J25" s="194"/>
      <c r="K25" s="194"/>
      <c r="L25" s="194"/>
      <c r="M25" s="194"/>
      <c r="N25" s="194"/>
      <c r="O25" s="194"/>
      <c r="P25" s="97"/>
    </row>
    <row r="26" spans="1:16" x14ac:dyDescent="0.25">
      <c r="A26" s="103" t="s">
        <v>53</v>
      </c>
      <c r="B26" s="206"/>
      <c r="C26" s="207"/>
      <c r="D26" s="207"/>
      <c r="E26" s="207"/>
      <c r="F26" s="207"/>
      <c r="G26" s="208"/>
      <c r="H26" s="194"/>
      <c r="I26" s="194"/>
      <c r="J26" s="194"/>
      <c r="K26" s="194"/>
      <c r="L26" s="194"/>
      <c r="M26" s="194"/>
      <c r="N26" s="194"/>
      <c r="O26" s="194"/>
      <c r="P26" s="97"/>
    </row>
    <row r="27" spans="1:16" x14ac:dyDescent="0.25">
      <c r="A27" s="103" t="s">
        <v>54</v>
      </c>
      <c r="B27" s="206"/>
      <c r="C27" s="207"/>
      <c r="D27" s="207"/>
      <c r="E27" s="207"/>
      <c r="F27" s="207"/>
      <c r="G27" s="208"/>
      <c r="H27" s="194"/>
      <c r="I27" s="194"/>
      <c r="J27" s="194"/>
      <c r="K27" s="194"/>
      <c r="L27" s="194"/>
      <c r="M27" s="194"/>
      <c r="N27" s="194"/>
      <c r="O27" s="194"/>
      <c r="P27" s="97"/>
    </row>
    <row r="28" spans="1:16" x14ac:dyDescent="0.25">
      <c r="A28" s="103" t="s">
        <v>55</v>
      </c>
      <c r="B28" s="206"/>
      <c r="C28" s="207"/>
      <c r="D28" s="207"/>
      <c r="E28" s="207"/>
      <c r="F28" s="207"/>
      <c r="G28" s="208"/>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7">
    <mergeCell ref="H23:K23"/>
    <mergeCell ref="L23:O23"/>
    <mergeCell ref="B1:G1"/>
    <mergeCell ref="B3:G3"/>
    <mergeCell ref="B7:G7"/>
    <mergeCell ref="A21:G21"/>
    <mergeCell ref="H21:K21"/>
    <mergeCell ref="L21:O21"/>
    <mergeCell ref="B23:G23"/>
    <mergeCell ref="A11:A14"/>
    <mergeCell ref="B11:G14"/>
    <mergeCell ref="A16:A19"/>
    <mergeCell ref="B16:G19"/>
    <mergeCell ref="B22:G22"/>
    <mergeCell ref="H22:K22"/>
    <mergeCell ref="L22:O22"/>
    <mergeCell ref="L27:O27"/>
    <mergeCell ref="B24:G24"/>
    <mergeCell ref="H24:K24"/>
    <mergeCell ref="L24:O24"/>
    <mergeCell ref="B25:G25"/>
    <mergeCell ref="H25:K25"/>
    <mergeCell ref="L25:O25"/>
    <mergeCell ref="B26:G26"/>
    <mergeCell ref="H26:K26"/>
    <mergeCell ref="L26:O26"/>
    <mergeCell ref="B27:G27"/>
    <mergeCell ref="H27:K27"/>
    <mergeCell ref="B30:G30"/>
    <mergeCell ref="H30:K30"/>
    <mergeCell ref="L30:O30"/>
    <mergeCell ref="B28:G28"/>
    <mergeCell ref="H28:K28"/>
    <mergeCell ref="L28:O28"/>
    <mergeCell ref="B29:G29"/>
    <mergeCell ref="H29:K29"/>
    <mergeCell ref="L29:O29"/>
  </mergeCells>
  <phoneticPr fontId="42" type="noConversion"/>
  <conditionalFormatting sqref="B9:B10">
    <cfRule type="cellIs" dxfId="215" priority="13" operator="equal">
      <formula>"Nok"</formula>
    </cfRule>
    <cfRule type="cellIs" dxfId="214" priority="14" operator="equal">
      <formula>"Ok"</formula>
    </cfRule>
  </conditionalFormatting>
  <conditionalFormatting sqref="P29:P30">
    <cfRule type="cellIs" dxfId="213" priority="11" operator="equal">
      <formula>"Nok"</formula>
    </cfRule>
    <cfRule type="cellIs" dxfId="212" priority="12" operator="equal">
      <formula>"Ok"</formula>
    </cfRule>
  </conditionalFormatting>
  <conditionalFormatting sqref="P25:P28">
    <cfRule type="cellIs" dxfId="211" priority="7" operator="equal">
      <formula>"Nok"</formula>
    </cfRule>
    <cfRule type="cellIs" dxfId="210" priority="8" operator="equal">
      <formula>"Ok"</formula>
    </cfRule>
  </conditionalFormatting>
  <conditionalFormatting sqref="P24">
    <cfRule type="cellIs" dxfId="209" priority="5" operator="equal">
      <formula>"Nok"</formula>
    </cfRule>
    <cfRule type="cellIs" dxfId="208" priority="6" operator="equal">
      <formula>"Ok"</formula>
    </cfRule>
  </conditionalFormatting>
  <conditionalFormatting sqref="P22">
    <cfRule type="cellIs" dxfId="207" priority="3" operator="equal">
      <formula>"Nok"</formula>
    </cfRule>
    <cfRule type="cellIs" dxfId="206" priority="4" operator="equal">
      <formula>"Ok"</formula>
    </cfRule>
  </conditionalFormatting>
  <conditionalFormatting sqref="P23">
    <cfRule type="cellIs" dxfId="205" priority="1" operator="equal">
      <formula>"Nok"</formula>
    </cfRule>
    <cfRule type="cellIs" dxfId="204" priority="2" operator="equal">
      <formula>"Ok"</formula>
    </cfRule>
  </conditionalFormatting>
  <dataValidations count="3">
    <dataValidation type="list" allowBlank="1" showInputMessage="1" showErrorMessage="1" sqref="B5" xr:uid="{3A3C226A-EA9C-41B4-A9B9-8221B14CFE84}">
      <formula1>"Nominal, Robustness, Endurance, Qualification"</formula1>
    </dataValidation>
    <dataValidation type="list" allowBlank="1" showInputMessage="1" showErrorMessage="1" sqref="B9" xr:uid="{79514B4A-7124-44D3-B477-0DEC69A51191}">
      <formula1>"Ok, Nok, Not run, NA"</formula1>
    </dataValidation>
    <dataValidation type="list" allowBlank="1" showInputMessage="1" showErrorMessage="1" sqref="P22:P30" xr:uid="{8D25E97D-250A-4F6E-A31E-C63873669B6D}">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A5D58-93BA-413B-9F27-839491D0705B}">
  <sheetPr codeName="Sheet12"/>
  <dimension ref="A1:P32"/>
  <sheetViews>
    <sheetView workbookViewId="0">
      <selection activeCell="D15" sqref="D15"/>
    </sheetView>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195" t="s">
        <v>249</v>
      </c>
      <c r="C1" s="196"/>
      <c r="D1" s="196"/>
      <c r="E1" s="196"/>
      <c r="F1" s="196"/>
      <c r="G1" s="197"/>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266</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145</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40.5" customHeight="1" x14ac:dyDescent="0.25">
      <c r="A22" s="103" t="s">
        <v>49</v>
      </c>
      <c r="B22" s="222" t="s">
        <v>146</v>
      </c>
      <c r="C22" s="223"/>
      <c r="D22" s="223"/>
      <c r="E22" s="223"/>
      <c r="F22" s="223"/>
      <c r="G22" s="224"/>
      <c r="H22" s="222" t="s">
        <v>134</v>
      </c>
      <c r="I22" s="223"/>
      <c r="J22" s="223"/>
      <c r="K22" s="224"/>
      <c r="L22" s="222" t="s">
        <v>134</v>
      </c>
      <c r="M22" s="223"/>
      <c r="N22" s="223"/>
      <c r="O22" s="224"/>
      <c r="P22" s="97" t="s">
        <v>128</v>
      </c>
    </row>
    <row r="23" spans="1:16" x14ac:dyDescent="0.25">
      <c r="A23" s="103" t="s">
        <v>50</v>
      </c>
      <c r="B23" s="222"/>
      <c r="C23" s="223"/>
      <c r="D23" s="223"/>
      <c r="E23" s="223"/>
      <c r="F23" s="223"/>
      <c r="G23" s="224"/>
      <c r="H23" s="193"/>
      <c r="I23" s="193"/>
      <c r="J23" s="193"/>
      <c r="K23" s="193"/>
      <c r="L23" s="193"/>
      <c r="M23" s="193"/>
      <c r="N23" s="193"/>
      <c r="O23" s="193"/>
      <c r="P23" s="97"/>
    </row>
    <row r="24" spans="1:16" x14ac:dyDescent="0.25">
      <c r="A24" s="103" t="s">
        <v>51</v>
      </c>
      <c r="B24" s="201"/>
      <c r="C24" s="202"/>
      <c r="D24" s="202"/>
      <c r="E24" s="202"/>
      <c r="F24" s="202"/>
      <c r="G24" s="203"/>
      <c r="H24" s="201"/>
      <c r="I24" s="202"/>
      <c r="J24" s="202"/>
      <c r="K24" s="203"/>
      <c r="L24" s="201"/>
      <c r="M24" s="202"/>
      <c r="N24" s="202"/>
      <c r="O24" s="203"/>
      <c r="P24" s="97"/>
    </row>
    <row r="25" spans="1:16" x14ac:dyDescent="0.25">
      <c r="A25" s="103" t="s">
        <v>52</v>
      </c>
      <c r="B25" s="225"/>
      <c r="C25" s="226"/>
      <c r="D25" s="226"/>
      <c r="E25" s="226"/>
      <c r="F25" s="226"/>
      <c r="G25" s="227"/>
      <c r="H25" s="201"/>
      <c r="I25" s="202"/>
      <c r="J25" s="202"/>
      <c r="K25" s="203"/>
      <c r="L25" s="201"/>
      <c r="M25" s="202"/>
      <c r="N25" s="202"/>
      <c r="O25" s="203"/>
      <c r="P25" s="97"/>
    </row>
    <row r="26" spans="1:16" x14ac:dyDescent="0.25">
      <c r="A26" s="103" t="s">
        <v>53</v>
      </c>
      <c r="B26" s="225"/>
      <c r="C26" s="226"/>
      <c r="D26" s="226"/>
      <c r="E26" s="226"/>
      <c r="F26" s="226"/>
      <c r="G26" s="227"/>
      <c r="H26" s="201"/>
      <c r="I26" s="202"/>
      <c r="J26" s="202"/>
      <c r="K26" s="203"/>
      <c r="L26" s="201"/>
      <c r="M26" s="202"/>
      <c r="N26" s="202"/>
      <c r="O26" s="203"/>
      <c r="P26" s="97"/>
    </row>
    <row r="27" spans="1:16" x14ac:dyDescent="0.25">
      <c r="A27" s="103" t="s">
        <v>54</v>
      </c>
      <c r="B27" s="225"/>
      <c r="C27" s="226"/>
      <c r="D27" s="226"/>
      <c r="E27" s="226"/>
      <c r="F27" s="226"/>
      <c r="G27" s="227"/>
      <c r="H27" s="201"/>
      <c r="I27" s="202"/>
      <c r="J27" s="202"/>
      <c r="K27" s="203"/>
      <c r="L27" s="201"/>
      <c r="M27" s="202"/>
      <c r="N27" s="202"/>
      <c r="O27" s="203"/>
      <c r="P27" s="97"/>
    </row>
    <row r="28" spans="1:16" x14ac:dyDescent="0.25">
      <c r="A28" s="103" t="s">
        <v>55</v>
      </c>
      <c r="B28" s="225"/>
      <c r="C28" s="226"/>
      <c r="D28" s="226"/>
      <c r="E28" s="226"/>
      <c r="F28" s="226"/>
      <c r="G28" s="227"/>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7">
    <mergeCell ref="B28:G28"/>
    <mergeCell ref="H28:K28"/>
    <mergeCell ref="L28:O28"/>
    <mergeCell ref="L27:O27"/>
    <mergeCell ref="H27:K27"/>
    <mergeCell ref="B27:G27"/>
    <mergeCell ref="B30:G30"/>
    <mergeCell ref="H30:K30"/>
    <mergeCell ref="L30:O30"/>
    <mergeCell ref="B29:G29"/>
    <mergeCell ref="H29:K29"/>
    <mergeCell ref="L29:O29"/>
    <mergeCell ref="B25:G25"/>
    <mergeCell ref="H25:K25"/>
    <mergeCell ref="L25:O25"/>
    <mergeCell ref="B26:G26"/>
    <mergeCell ref="H26:K26"/>
    <mergeCell ref="L26:O26"/>
    <mergeCell ref="B22:G22"/>
    <mergeCell ref="H23:K23"/>
    <mergeCell ref="L23:O23"/>
    <mergeCell ref="B24:G24"/>
    <mergeCell ref="H24:K24"/>
    <mergeCell ref="L24:O24"/>
    <mergeCell ref="B23:G23"/>
    <mergeCell ref="H22:K22"/>
    <mergeCell ref="L22:O22"/>
    <mergeCell ref="A21:G21"/>
    <mergeCell ref="H21:K21"/>
    <mergeCell ref="L21:O21"/>
    <mergeCell ref="A16:A19"/>
    <mergeCell ref="B16:G19"/>
    <mergeCell ref="B1:G1"/>
    <mergeCell ref="B3:G3"/>
    <mergeCell ref="B7:G7"/>
    <mergeCell ref="A11:A14"/>
    <mergeCell ref="B11:G14"/>
  </mergeCells>
  <phoneticPr fontId="42" type="noConversion"/>
  <conditionalFormatting sqref="B9:B10">
    <cfRule type="cellIs" dxfId="203" priority="19" operator="equal">
      <formula>"Nok"</formula>
    </cfRule>
    <cfRule type="cellIs" dxfId="202" priority="20" operator="equal">
      <formula>"Ok"</formula>
    </cfRule>
  </conditionalFormatting>
  <conditionalFormatting sqref="P29:P30">
    <cfRule type="cellIs" dxfId="201" priority="17" operator="equal">
      <formula>"Nok"</formula>
    </cfRule>
    <cfRule type="cellIs" dxfId="200" priority="18" operator="equal">
      <formula>"Ok"</formula>
    </cfRule>
  </conditionalFormatting>
  <conditionalFormatting sqref="P28">
    <cfRule type="cellIs" dxfId="199" priority="15" operator="equal">
      <formula>"Nok"</formula>
    </cfRule>
    <cfRule type="cellIs" dxfId="198" priority="16" operator="equal">
      <formula>"Ok"</formula>
    </cfRule>
  </conditionalFormatting>
  <conditionalFormatting sqref="P22">
    <cfRule type="cellIs" dxfId="197" priority="5" operator="equal">
      <formula>"Nok"</formula>
    </cfRule>
    <cfRule type="cellIs" dxfId="196" priority="6" operator="equal">
      <formula>"Ok"</formula>
    </cfRule>
  </conditionalFormatting>
  <conditionalFormatting sqref="P24:P27">
    <cfRule type="cellIs" dxfId="195" priority="3" operator="equal">
      <formula>"Nok"</formula>
    </cfRule>
    <cfRule type="cellIs" dxfId="194" priority="4" operator="equal">
      <formula>"Ok"</formula>
    </cfRule>
  </conditionalFormatting>
  <conditionalFormatting sqref="P23">
    <cfRule type="cellIs" dxfId="193" priority="1" operator="equal">
      <formula>"Nok"</formula>
    </cfRule>
    <cfRule type="cellIs" dxfId="192" priority="2" operator="equal">
      <formula>"Ok"</formula>
    </cfRule>
  </conditionalFormatting>
  <dataValidations count="3">
    <dataValidation type="list" allowBlank="1" showInputMessage="1" showErrorMessage="1" sqref="B9" xr:uid="{2788F234-6FFF-439C-963D-EB3793585000}">
      <formula1>"Ok, Nok, Not run, NA"</formula1>
    </dataValidation>
    <dataValidation type="list" allowBlank="1" showInputMessage="1" showErrorMessage="1" sqref="B5" xr:uid="{3F341500-6ABF-4B48-B0CF-6CBB59B99875}">
      <formula1>"Nominal, Robustness, Endurance, Qualification"</formula1>
    </dataValidation>
    <dataValidation type="list" allowBlank="1" showInputMessage="1" showErrorMessage="1" sqref="P22:P30" xr:uid="{58CF8AB5-B7E0-44CB-B046-9946A651B110}">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83927-3F69-42AD-B1C8-5CE470149887}">
  <sheetPr codeName="Sheet13"/>
  <dimension ref="A1:P32"/>
  <sheetViews>
    <sheetView workbookViewId="0">
      <selection activeCell="B22" sqref="B22:G22"/>
    </sheetView>
  </sheetViews>
  <sheetFormatPr defaultColWidth="9.33203125" defaultRowHeight="13.2" x14ac:dyDescent="0.25"/>
  <cols>
    <col min="1" max="1" width="20.33203125" style="99" customWidth="1"/>
    <col min="2" max="2" width="18.44140625" style="95" customWidth="1"/>
    <col min="3" max="6" width="9.33203125" style="95"/>
    <col min="7" max="7" width="12" style="95" customWidth="1"/>
    <col min="8" max="15" width="9.5546875" style="95" customWidth="1"/>
    <col min="16" max="16384" width="9.33203125" style="95"/>
  </cols>
  <sheetData>
    <row r="1" spans="1:15" ht="13.8" thickBot="1" x14ac:dyDescent="0.3">
      <c r="A1" s="100" t="s">
        <v>40</v>
      </c>
      <c r="B1" s="195" t="s">
        <v>250</v>
      </c>
      <c r="C1" s="231"/>
      <c r="D1" s="231"/>
      <c r="E1" s="231"/>
      <c r="F1" s="231"/>
      <c r="G1" s="232"/>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147</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151</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144</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ht="13.2" customHeight="1" x14ac:dyDescent="0.25">
      <c r="A16" s="204" t="s">
        <v>43</v>
      </c>
      <c r="B16" s="209" t="s">
        <v>209</v>
      </c>
      <c r="C16" s="210"/>
      <c r="D16" s="210"/>
      <c r="E16" s="210"/>
      <c r="F16" s="210"/>
      <c r="G16" s="211"/>
      <c r="H16" s="73"/>
      <c r="I16" s="73"/>
      <c r="J16" s="73"/>
      <c r="K16" s="73"/>
      <c r="L16" s="73"/>
      <c r="M16" s="73"/>
      <c r="N16" s="73"/>
      <c r="O16" s="73"/>
    </row>
    <row r="17" spans="1:16" ht="13.2" customHeight="1"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41.25" customHeight="1" x14ac:dyDescent="0.25">
      <c r="A22" s="103" t="s">
        <v>49</v>
      </c>
      <c r="B22" s="222" t="s">
        <v>149</v>
      </c>
      <c r="C22" s="223"/>
      <c r="D22" s="223"/>
      <c r="E22" s="223"/>
      <c r="F22" s="223"/>
      <c r="G22" s="224"/>
      <c r="H22" s="222" t="s">
        <v>134</v>
      </c>
      <c r="I22" s="223"/>
      <c r="J22" s="223"/>
      <c r="K22" s="224"/>
      <c r="L22" s="201" t="s">
        <v>150</v>
      </c>
      <c r="M22" s="202"/>
      <c r="N22" s="202"/>
      <c r="O22" s="203"/>
      <c r="P22" s="97" t="s">
        <v>144</v>
      </c>
    </row>
    <row r="23" spans="1:16" x14ac:dyDescent="0.25">
      <c r="A23" s="103" t="s">
        <v>50</v>
      </c>
      <c r="B23" s="228"/>
      <c r="C23" s="229"/>
      <c r="D23" s="229"/>
      <c r="E23" s="229"/>
      <c r="F23" s="229"/>
      <c r="G23" s="230"/>
      <c r="H23" s="194"/>
      <c r="I23" s="194"/>
      <c r="J23" s="194"/>
      <c r="K23" s="194"/>
      <c r="L23" s="194"/>
      <c r="M23" s="194"/>
      <c r="N23" s="194"/>
      <c r="O23" s="194"/>
      <c r="P23" s="97"/>
    </row>
    <row r="24" spans="1:16" x14ac:dyDescent="0.25">
      <c r="A24" s="103" t="s">
        <v>51</v>
      </c>
      <c r="B24" s="201"/>
      <c r="C24" s="202"/>
      <c r="D24" s="202"/>
      <c r="E24" s="202"/>
      <c r="F24" s="202"/>
      <c r="G24" s="203"/>
      <c r="H24" s="107"/>
      <c r="I24" s="108"/>
      <c r="J24" s="108"/>
      <c r="K24" s="109"/>
      <c r="O24" s="109"/>
      <c r="P24" s="97"/>
    </row>
    <row r="25" spans="1:16" x14ac:dyDescent="0.25">
      <c r="A25" s="103" t="s">
        <v>52</v>
      </c>
      <c r="B25" s="201"/>
      <c r="C25" s="202"/>
      <c r="D25" s="202"/>
      <c r="E25" s="202"/>
      <c r="F25" s="202"/>
      <c r="G25" s="203"/>
      <c r="H25" s="201"/>
      <c r="I25" s="202"/>
      <c r="J25" s="202"/>
      <c r="K25" s="203"/>
      <c r="L25" s="201"/>
      <c r="M25" s="202"/>
      <c r="N25" s="202"/>
      <c r="O25" s="203"/>
      <c r="P25" s="97"/>
    </row>
    <row r="26" spans="1:16" x14ac:dyDescent="0.25">
      <c r="A26" s="103" t="s">
        <v>53</v>
      </c>
      <c r="B26" s="225"/>
      <c r="C26" s="226"/>
      <c r="D26" s="226"/>
      <c r="E26" s="226"/>
      <c r="F26" s="226"/>
      <c r="G26" s="227"/>
      <c r="H26" s="201"/>
      <c r="I26" s="202"/>
      <c r="J26" s="202"/>
      <c r="K26" s="203"/>
      <c r="L26" s="201"/>
      <c r="M26" s="202"/>
      <c r="N26" s="202"/>
      <c r="O26" s="203"/>
      <c r="P26" s="97"/>
    </row>
    <row r="27" spans="1:16" x14ac:dyDescent="0.25">
      <c r="A27" s="103" t="s">
        <v>54</v>
      </c>
      <c r="B27" s="201"/>
      <c r="C27" s="202"/>
      <c r="D27" s="202"/>
      <c r="E27" s="202"/>
      <c r="F27" s="202"/>
      <c r="G27" s="203"/>
      <c r="H27" s="201"/>
      <c r="I27" s="202"/>
      <c r="J27" s="202"/>
      <c r="K27" s="203"/>
      <c r="L27" s="201"/>
      <c r="M27" s="202"/>
      <c r="N27" s="202"/>
      <c r="O27" s="203"/>
      <c r="P27" s="97"/>
    </row>
    <row r="28" spans="1:16" ht="13.2" customHeight="1" x14ac:dyDescent="0.25">
      <c r="A28" s="103" t="s">
        <v>55</v>
      </c>
      <c r="B28" s="201"/>
      <c r="C28" s="202"/>
      <c r="D28" s="202"/>
      <c r="E28" s="202"/>
      <c r="F28" s="202"/>
      <c r="G28" s="203"/>
      <c r="H28" s="201"/>
      <c r="I28" s="202"/>
      <c r="J28" s="202"/>
      <c r="K28" s="203"/>
      <c r="L28" s="201"/>
      <c r="M28" s="202"/>
      <c r="N28" s="202"/>
      <c r="O28" s="203"/>
      <c r="P28" s="97"/>
    </row>
    <row r="29" spans="1:16" ht="13.2" customHeight="1" x14ac:dyDescent="0.25">
      <c r="A29" s="103" t="s">
        <v>220</v>
      </c>
      <c r="B29" s="201"/>
      <c r="C29" s="202"/>
      <c r="D29" s="202"/>
      <c r="E29" s="202"/>
      <c r="F29" s="202"/>
      <c r="G29" s="203"/>
      <c r="H29" s="201"/>
      <c r="I29" s="202"/>
      <c r="J29" s="202"/>
      <c r="K29" s="203"/>
      <c r="L29" s="201"/>
      <c r="M29" s="202"/>
      <c r="N29" s="202"/>
      <c r="O29" s="203"/>
      <c r="P29" s="97"/>
    </row>
    <row r="30" spans="1:16" ht="13.2" customHeight="1" thickBot="1" x14ac:dyDescent="0.3">
      <c r="A30" s="103" t="s">
        <v>221</v>
      </c>
      <c r="B30" s="218"/>
      <c r="C30" s="219"/>
      <c r="D30" s="219"/>
      <c r="E30" s="219"/>
      <c r="F30" s="219"/>
      <c r="G30" s="220"/>
      <c r="H30" s="218"/>
      <c r="I30" s="219"/>
      <c r="J30" s="219"/>
      <c r="K30" s="220"/>
      <c r="L30" s="218"/>
      <c r="M30" s="219"/>
      <c r="N30" s="219"/>
      <c r="O30" s="220"/>
      <c r="P30" s="98"/>
    </row>
    <row r="31" spans="1:16" ht="13.2" customHeight="1" x14ac:dyDescent="0.25">
      <c r="B31" s="99"/>
      <c r="C31" s="99"/>
      <c r="D31" s="99"/>
      <c r="E31" s="99"/>
      <c r="F31" s="99"/>
      <c r="G31" s="99"/>
      <c r="H31" s="99"/>
    </row>
    <row r="32" spans="1:16" ht="13.2" customHeight="1" x14ac:dyDescent="0.25">
      <c r="B32" s="99"/>
      <c r="C32" s="99"/>
      <c r="D32" s="99"/>
      <c r="E32" s="99"/>
      <c r="F32" s="99"/>
      <c r="G32" s="99"/>
      <c r="H32" s="99"/>
    </row>
  </sheetData>
  <mergeCells count="35">
    <mergeCell ref="B26:G26"/>
    <mergeCell ref="H26:K26"/>
    <mergeCell ref="L26:O26"/>
    <mergeCell ref="B30:G30"/>
    <mergeCell ref="H30:K30"/>
    <mergeCell ref="L30:O30"/>
    <mergeCell ref="B27:G27"/>
    <mergeCell ref="H27:K27"/>
    <mergeCell ref="L27:O27"/>
    <mergeCell ref="B28:G28"/>
    <mergeCell ref="H28:K28"/>
    <mergeCell ref="L28:O28"/>
    <mergeCell ref="B29:G29"/>
    <mergeCell ref="H29:K29"/>
    <mergeCell ref="L29:O29"/>
    <mergeCell ref="A11:A14"/>
    <mergeCell ref="B11:G14"/>
    <mergeCell ref="A21:G21"/>
    <mergeCell ref="H21:K21"/>
    <mergeCell ref="L21:O21"/>
    <mergeCell ref="A16:A19"/>
    <mergeCell ref="B16:G19"/>
    <mergeCell ref="L25:O25"/>
    <mergeCell ref="H25:K25"/>
    <mergeCell ref="B25:G25"/>
    <mergeCell ref="B23:G23"/>
    <mergeCell ref="B1:G1"/>
    <mergeCell ref="B3:G3"/>
    <mergeCell ref="B7:G7"/>
    <mergeCell ref="B22:G22"/>
    <mergeCell ref="H22:K22"/>
    <mergeCell ref="L22:O22"/>
    <mergeCell ref="B24:G24"/>
    <mergeCell ref="H23:K23"/>
    <mergeCell ref="L23:O23"/>
  </mergeCells>
  <phoneticPr fontId="42" type="noConversion"/>
  <conditionalFormatting sqref="B9:B10">
    <cfRule type="cellIs" dxfId="191" priority="13" operator="equal">
      <formula>"Nok"</formula>
    </cfRule>
    <cfRule type="cellIs" dxfId="190" priority="14" operator="equal">
      <formula>"Ok"</formula>
    </cfRule>
  </conditionalFormatting>
  <conditionalFormatting sqref="P26:P30">
    <cfRule type="cellIs" dxfId="189" priority="11" operator="equal">
      <formula>"Nok"</formula>
    </cfRule>
    <cfRule type="cellIs" dxfId="188" priority="12" operator="equal">
      <formula>"Ok"</formula>
    </cfRule>
  </conditionalFormatting>
  <conditionalFormatting sqref="P22:P23 P25">
    <cfRule type="cellIs" dxfId="187" priority="3" operator="equal">
      <formula>"Nok"</formula>
    </cfRule>
    <cfRule type="cellIs" dxfId="186" priority="4" operator="equal">
      <formula>"Ok"</formula>
    </cfRule>
  </conditionalFormatting>
  <conditionalFormatting sqref="P24">
    <cfRule type="cellIs" dxfId="185" priority="1" operator="equal">
      <formula>"Nok"</formula>
    </cfRule>
    <cfRule type="cellIs" dxfId="184" priority="2" operator="equal">
      <formula>"Ok"</formula>
    </cfRule>
  </conditionalFormatting>
  <dataValidations count="3">
    <dataValidation type="list" allowBlank="1" showInputMessage="1" showErrorMessage="1" sqref="B5" xr:uid="{50247EC4-B133-4102-AFF5-0C6878F537FB}">
      <formula1>"Nominal, Robustness, Endurance, Qualification"</formula1>
    </dataValidation>
    <dataValidation type="list" allowBlank="1" showInputMessage="1" showErrorMessage="1" sqref="B9" xr:uid="{6BC5609D-7A46-4B37-88DE-7001C937A95E}">
      <formula1>"Ok, Nok, Not run, NA"</formula1>
    </dataValidation>
    <dataValidation type="list" allowBlank="1" showInputMessage="1" showErrorMessage="1" sqref="P22:P30" xr:uid="{0D43A695-4655-4FE5-BFF4-99DA0F2BBE9E}">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2F99B-5BD3-48D3-9C40-E07CFB3C1219}">
  <sheetPr codeName="Sheet14"/>
  <dimension ref="A1:P32"/>
  <sheetViews>
    <sheetView workbookViewId="0">
      <selection activeCell="B3" sqref="B3:G3"/>
    </sheetView>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195" t="s">
        <v>251</v>
      </c>
      <c r="C1" s="231"/>
      <c r="D1" s="231"/>
      <c r="E1" s="231"/>
      <c r="F1" s="231"/>
      <c r="G1" s="232"/>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152</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5" t="s">
        <v>148</v>
      </c>
      <c r="C7" s="231"/>
      <c r="D7" s="231"/>
      <c r="E7" s="231"/>
      <c r="F7" s="231"/>
      <c r="G7" s="232"/>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42" customHeight="1" x14ac:dyDescent="0.25">
      <c r="A22" s="103" t="s">
        <v>49</v>
      </c>
      <c r="B22" s="222" t="s">
        <v>157</v>
      </c>
      <c r="C22" s="223"/>
      <c r="D22" s="223"/>
      <c r="E22" s="223"/>
      <c r="F22" s="223"/>
      <c r="G22" s="224"/>
      <c r="H22" s="222" t="s">
        <v>134</v>
      </c>
      <c r="I22" s="223"/>
      <c r="J22" s="223"/>
      <c r="K22" s="224"/>
      <c r="L22" s="222" t="s">
        <v>134</v>
      </c>
      <c r="M22" s="223"/>
      <c r="N22" s="223"/>
      <c r="O22" s="224"/>
      <c r="P22" s="97" t="s">
        <v>128</v>
      </c>
    </row>
    <row r="23" spans="1:16" x14ac:dyDescent="0.25">
      <c r="A23" s="103" t="s">
        <v>50</v>
      </c>
      <c r="B23" s="228"/>
      <c r="C23" s="229"/>
      <c r="D23" s="229"/>
      <c r="E23" s="229"/>
      <c r="F23" s="229"/>
      <c r="G23" s="230"/>
      <c r="H23" s="194"/>
      <c r="I23" s="194"/>
      <c r="J23" s="194"/>
      <c r="K23" s="194"/>
      <c r="L23" s="194"/>
      <c r="M23" s="194"/>
      <c r="N23" s="194"/>
      <c r="O23" s="194"/>
      <c r="P23" s="97"/>
    </row>
    <row r="24" spans="1:16" x14ac:dyDescent="0.25">
      <c r="A24" s="103" t="s">
        <v>51</v>
      </c>
      <c r="B24" s="201"/>
      <c r="C24" s="202"/>
      <c r="D24" s="202"/>
      <c r="E24" s="202"/>
      <c r="F24" s="202"/>
      <c r="G24" s="203"/>
      <c r="H24" s="201"/>
      <c r="I24" s="202"/>
      <c r="J24" s="202"/>
      <c r="K24" s="203"/>
      <c r="L24" s="201"/>
      <c r="M24" s="202"/>
      <c r="N24" s="202"/>
      <c r="O24" s="203"/>
      <c r="P24" s="97"/>
    </row>
    <row r="25" spans="1:16" x14ac:dyDescent="0.25">
      <c r="A25" s="103" t="s">
        <v>52</v>
      </c>
      <c r="B25" s="201"/>
      <c r="C25" s="202"/>
      <c r="D25" s="202"/>
      <c r="E25" s="202"/>
      <c r="F25" s="202"/>
      <c r="G25" s="203"/>
      <c r="H25" s="201"/>
      <c r="I25" s="202"/>
      <c r="J25" s="202"/>
      <c r="K25" s="203"/>
      <c r="L25" s="201"/>
      <c r="M25" s="202"/>
      <c r="N25" s="202"/>
      <c r="O25" s="203"/>
      <c r="P25" s="97"/>
    </row>
    <row r="26" spans="1:16" x14ac:dyDescent="0.25">
      <c r="A26" s="103" t="s">
        <v>53</v>
      </c>
      <c r="B26" s="225"/>
      <c r="C26" s="226"/>
      <c r="D26" s="226"/>
      <c r="E26" s="226"/>
      <c r="F26" s="226"/>
      <c r="G26" s="227"/>
      <c r="H26" s="194"/>
      <c r="I26" s="194"/>
      <c r="J26" s="194"/>
      <c r="K26" s="194"/>
      <c r="L26" s="201"/>
      <c r="M26" s="202"/>
      <c r="N26" s="202"/>
      <c r="O26" s="203"/>
      <c r="P26" s="97"/>
    </row>
    <row r="27" spans="1:16" x14ac:dyDescent="0.25">
      <c r="A27" s="103" t="s">
        <v>54</v>
      </c>
      <c r="B27" s="201"/>
      <c r="C27" s="202"/>
      <c r="D27" s="202"/>
      <c r="E27" s="202"/>
      <c r="F27" s="202"/>
      <c r="G27" s="203"/>
      <c r="H27" s="201"/>
      <c r="I27" s="202"/>
      <c r="J27" s="202"/>
      <c r="K27" s="203"/>
      <c r="L27" s="201"/>
      <c r="M27" s="202"/>
      <c r="N27" s="202"/>
      <c r="O27" s="203"/>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7">
    <mergeCell ref="B30:G30"/>
    <mergeCell ref="H30:K30"/>
    <mergeCell ref="L30:O30"/>
    <mergeCell ref="B28:G28"/>
    <mergeCell ref="H28:K28"/>
    <mergeCell ref="L28:O28"/>
    <mergeCell ref="B29:G29"/>
    <mergeCell ref="H29:K29"/>
    <mergeCell ref="L29:O29"/>
    <mergeCell ref="B26:G26"/>
    <mergeCell ref="H26:K26"/>
    <mergeCell ref="L26:O26"/>
    <mergeCell ref="B27:G27"/>
    <mergeCell ref="H27:K27"/>
    <mergeCell ref="L27:O27"/>
    <mergeCell ref="B22:G22"/>
    <mergeCell ref="H22:K22"/>
    <mergeCell ref="L22:O22"/>
    <mergeCell ref="B25:G25"/>
    <mergeCell ref="H24:K24"/>
    <mergeCell ref="L24:O24"/>
    <mergeCell ref="B24:G24"/>
    <mergeCell ref="H23:K23"/>
    <mergeCell ref="L23:O23"/>
    <mergeCell ref="B23:G23"/>
    <mergeCell ref="H25:K25"/>
    <mergeCell ref="L25:O25"/>
    <mergeCell ref="A21:G21"/>
    <mergeCell ref="H21:K21"/>
    <mergeCell ref="L21:O21"/>
    <mergeCell ref="A16:A19"/>
    <mergeCell ref="B16:G19"/>
    <mergeCell ref="B1:G1"/>
    <mergeCell ref="B3:G3"/>
    <mergeCell ref="B7:G7"/>
    <mergeCell ref="A11:A14"/>
    <mergeCell ref="B11:G14"/>
  </mergeCells>
  <phoneticPr fontId="42" type="noConversion"/>
  <conditionalFormatting sqref="B9:B10">
    <cfRule type="cellIs" dxfId="183" priority="21" operator="equal">
      <formula>"Nok"</formula>
    </cfRule>
    <cfRule type="cellIs" dxfId="182" priority="22" operator="equal">
      <formula>"Ok"</formula>
    </cfRule>
  </conditionalFormatting>
  <conditionalFormatting sqref="P26:P30">
    <cfRule type="cellIs" dxfId="181" priority="19" operator="equal">
      <formula>"Nok"</formula>
    </cfRule>
    <cfRule type="cellIs" dxfId="180" priority="20" operator="equal">
      <formula>"Ok"</formula>
    </cfRule>
  </conditionalFormatting>
  <conditionalFormatting sqref="P22">
    <cfRule type="cellIs" dxfId="179" priority="11" operator="equal">
      <formula>"Nok"</formula>
    </cfRule>
    <cfRule type="cellIs" dxfId="178" priority="12" operator="equal">
      <formula>"Ok"</formula>
    </cfRule>
  </conditionalFormatting>
  <conditionalFormatting sqref="P25">
    <cfRule type="cellIs" dxfId="177" priority="7" operator="equal">
      <formula>"Nok"</formula>
    </cfRule>
    <cfRule type="cellIs" dxfId="176" priority="8" operator="equal">
      <formula>"Ok"</formula>
    </cfRule>
  </conditionalFormatting>
  <conditionalFormatting sqref="P23">
    <cfRule type="cellIs" dxfId="175" priority="5" operator="equal">
      <formula>"Nok"</formula>
    </cfRule>
    <cfRule type="cellIs" dxfId="174" priority="6" operator="equal">
      <formula>"Ok"</formula>
    </cfRule>
  </conditionalFormatting>
  <conditionalFormatting sqref="P24">
    <cfRule type="cellIs" dxfId="173" priority="1" operator="equal">
      <formula>"Nok"</formula>
    </cfRule>
    <cfRule type="cellIs" dxfId="172" priority="2" operator="equal">
      <formula>"Ok"</formula>
    </cfRule>
  </conditionalFormatting>
  <dataValidations count="3">
    <dataValidation type="list" allowBlank="1" showInputMessage="1" showErrorMessage="1" sqref="B9" xr:uid="{E43B832A-3E8E-422B-A972-230FB1127667}">
      <formula1>"Ok, Nok, Not run, NA"</formula1>
    </dataValidation>
    <dataValidation type="list" allowBlank="1" showInputMessage="1" showErrorMessage="1" sqref="B5" xr:uid="{0EF50487-A696-468F-BBAE-A6117BE4AD45}">
      <formula1>"Nominal, Robustness, Endurance, Qualification"</formula1>
    </dataValidation>
    <dataValidation type="list" allowBlank="1" showInputMessage="1" showErrorMessage="1" sqref="P22:P30" xr:uid="{00108437-E203-48EA-8F5B-1FF3A2A0772F}">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15819-1A82-417B-A739-3F62BEC4034C}">
  <sheetPr codeName="Sheet15"/>
  <dimension ref="A1:P32"/>
  <sheetViews>
    <sheetView workbookViewId="0">
      <selection activeCell="B22" sqref="B22:G22"/>
    </sheetView>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195" t="s">
        <v>252</v>
      </c>
      <c r="C1" s="231"/>
      <c r="D1" s="231"/>
      <c r="E1" s="231"/>
      <c r="F1" s="231"/>
      <c r="G1" s="232"/>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153</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154</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144</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48.75" customHeight="1" x14ac:dyDescent="0.25">
      <c r="A22" s="103" t="s">
        <v>49</v>
      </c>
      <c r="B22" s="222" t="s">
        <v>155</v>
      </c>
      <c r="C22" s="223"/>
      <c r="D22" s="223"/>
      <c r="E22" s="223"/>
      <c r="F22" s="223"/>
      <c r="G22" s="224"/>
      <c r="H22" s="222" t="s">
        <v>134</v>
      </c>
      <c r="I22" s="223"/>
      <c r="J22" s="223"/>
      <c r="K22" s="224"/>
      <c r="L22" s="201" t="s">
        <v>150</v>
      </c>
      <c r="M22" s="202"/>
      <c r="N22" s="202"/>
      <c r="O22" s="203"/>
      <c r="P22" s="97" t="s">
        <v>144</v>
      </c>
    </row>
    <row r="23" spans="1:16" ht="42" customHeight="1" x14ac:dyDescent="0.25">
      <c r="A23" s="103" t="s">
        <v>50</v>
      </c>
      <c r="B23" s="222" t="s">
        <v>156</v>
      </c>
      <c r="C23" s="223"/>
      <c r="D23" s="223"/>
      <c r="E23" s="223"/>
      <c r="F23" s="223"/>
      <c r="G23" s="224"/>
      <c r="H23" s="222" t="s">
        <v>134</v>
      </c>
      <c r="I23" s="223"/>
      <c r="J23" s="223"/>
      <c r="K23" s="224"/>
      <c r="L23" s="201" t="s">
        <v>150</v>
      </c>
      <c r="M23" s="202"/>
      <c r="N23" s="202"/>
      <c r="O23" s="203"/>
      <c r="P23" s="97" t="s">
        <v>144</v>
      </c>
    </row>
    <row r="24" spans="1:16" x14ac:dyDescent="0.25">
      <c r="A24" s="103" t="s">
        <v>51</v>
      </c>
      <c r="B24" s="201"/>
      <c r="C24" s="202"/>
      <c r="D24" s="202"/>
      <c r="E24" s="202"/>
      <c r="F24" s="202"/>
      <c r="G24" s="203"/>
      <c r="K24" s="109"/>
      <c r="O24" s="109"/>
      <c r="P24" s="97"/>
    </row>
    <row r="25" spans="1:16" x14ac:dyDescent="0.25">
      <c r="A25" s="103" t="s">
        <v>52</v>
      </c>
      <c r="B25" s="201"/>
      <c r="C25" s="202"/>
      <c r="D25" s="202"/>
      <c r="E25" s="202"/>
      <c r="F25" s="202"/>
      <c r="G25" s="203"/>
      <c r="H25" s="201"/>
      <c r="I25" s="202"/>
      <c r="J25" s="202"/>
      <c r="K25" s="203"/>
      <c r="L25" s="201"/>
      <c r="M25" s="202"/>
      <c r="N25" s="202"/>
      <c r="O25" s="203"/>
      <c r="P25" s="97"/>
    </row>
    <row r="26" spans="1:16" x14ac:dyDescent="0.25">
      <c r="A26" s="103" t="s">
        <v>53</v>
      </c>
      <c r="B26" s="225"/>
      <c r="C26" s="226"/>
      <c r="D26" s="226"/>
      <c r="E26" s="226"/>
      <c r="F26" s="226"/>
      <c r="G26" s="227"/>
      <c r="H26" s="194"/>
      <c r="I26" s="194"/>
      <c r="J26" s="194"/>
      <c r="K26" s="194"/>
      <c r="L26" s="201"/>
      <c r="M26" s="202"/>
      <c r="N26" s="202"/>
      <c r="O26" s="203"/>
      <c r="P26" s="97"/>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5">
    <mergeCell ref="B30:G30"/>
    <mergeCell ref="H30:K30"/>
    <mergeCell ref="L30:O30"/>
    <mergeCell ref="B28:G28"/>
    <mergeCell ref="H28:K28"/>
    <mergeCell ref="L28:O28"/>
    <mergeCell ref="B29:G29"/>
    <mergeCell ref="H29:K29"/>
    <mergeCell ref="L29:O29"/>
    <mergeCell ref="B26:G26"/>
    <mergeCell ref="H26:K26"/>
    <mergeCell ref="L26:O26"/>
    <mergeCell ref="B27:G27"/>
    <mergeCell ref="H27:K27"/>
    <mergeCell ref="L27:O27"/>
    <mergeCell ref="B22:G22"/>
    <mergeCell ref="H22:K22"/>
    <mergeCell ref="L22:O22"/>
    <mergeCell ref="B25:G25"/>
    <mergeCell ref="H25:K25"/>
    <mergeCell ref="L25:O25"/>
    <mergeCell ref="B24:G24"/>
    <mergeCell ref="H23:K23"/>
    <mergeCell ref="L23:O23"/>
    <mergeCell ref="B23:G23"/>
    <mergeCell ref="A21:G21"/>
    <mergeCell ref="H21:K21"/>
    <mergeCell ref="L21:O21"/>
    <mergeCell ref="A16:A19"/>
    <mergeCell ref="B16:G19"/>
    <mergeCell ref="B1:G1"/>
    <mergeCell ref="B3:G3"/>
    <mergeCell ref="B7:G7"/>
    <mergeCell ref="A11:A14"/>
    <mergeCell ref="B11:G14"/>
  </mergeCells>
  <phoneticPr fontId="42" type="noConversion"/>
  <conditionalFormatting sqref="B9:B10">
    <cfRule type="cellIs" dxfId="171" priority="21" operator="equal">
      <formula>"Nok"</formula>
    </cfRule>
    <cfRule type="cellIs" dxfId="170" priority="22" operator="equal">
      <formula>"Ok"</formula>
    </cfRule>
  </conditionalFormatting>
  <conditionalFormatting sqref="P26:P30">
    <cfRule type="cellIs" dxfId="169" priority="19" operator="equal">
      <formula>"Nok"</formula>
    </cfRule>
    <cfRule type="cellIs" dxfId="168" priority="20" operator="equal">
      <formula>"Ok"</formula>
    </cfRule>
  </conditionalFormatting>
  <conditionalFormatting sqref="P22">
    <cfRule type="cellIs" dxfId="167" priority="11" operator="equal">
      <formula>"Nok"</formula>
    </cfRule>
    <cfRule type="cellIs" dxfId="166" priority="12" operator="equal">
      <formula>"Ok"</formula>
    </cfRule>
  </conditionalFormatting>
  <conditionalFormatting sqref="P25">
    <cfRule type="cellIs" dxfId="165" priority="7" operator="equal">
      <formula>"Nok"</formula>
    </cfRule>
    <cfRule type="cellIs" dxfId="164" priority="8" operator="equal">
      <formula>"Ok"</formula>
    </cfRule>
  </conditionalFormatting>
  <conditionalFormatting sqref="P23">
    <cfRule type="cellIs" dxfId="163" priority="5" operator="equal">
      <formula>"Nok"</formula>
    </cfRule>
    <cfRule type="cellIs" dxfId="162" priority="6" operator="equal">
      <formula>"Ok"</formula>
    </cfRule>
  </conditionalFormatting>
  <conditionalFormatting sqref="P24">
    <cfRule type="cellIs" dxfId="161" priority="1" operator="equal">
      <formula>"Nok"</formula>
    </cfRule>
    <cfRule type="cellIs" dxfId="160" priority="2" operator="equal">
      <formula>"Ok"</formula>
    </cfRule>
  </conditionalFormatting>
  <dataValidations count="3">
    <dataValidation type="list" allowBlank="1" showInputMessage="1" showErrorMessage="1" sqref="B5" xr:uid="{9EE6E12E-CC70-44D1-97B4-2271FFC5A830}">
      <formula1>"Nominal, Robustness, Endurance, Qualification"</formula1>
    </dataValidation>
    <dataValidation type="list" allowBlank="1" showInputMessage="1" showErrorMessage="1" sqref="B9" xr:uid="{C102A559-E6DB-4B4E-9F6F-4DD74BA70834}">
      <formula1>"Ok, Nok, Not run, NA"</formula1>
    </dataValidation>
    <dataValidation type="list" allowBlank="1" showInputMessage="1" showErrorMessage="1" sqref="P22:P30" xr:uid="{ED85DD66-2218-41FB-9F7D-F3F129406B90}">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D1B0B-82B6-473F-8CAD-C41EA4BBE0AD}">
  <sheetPr codeName="Sheet16"/>
  <dimension ref="A1:P32"/>
  <sheetViews>
    <sheetView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195" t="s">
        <v>253</v>
      </c>
      <c r="C1" s="231"/>
      <c r="D1" s="231"/>
      <c r="E1" s="231"/>
      <c r="F1" s="231"/>
      <c r="G1" s="232"/>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158</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159</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41.25" customHeight="1" x14ac:dyDescent="0.25">
      <c r="A22" s="103" t="s">
        <v>49</v>
      </c>
      <c r="B22" s="201" t="s">
        <v>162</v>
      </c>
      <c r="C22" s="202"/>
      <c r="D22" s="202"/>
      <c r="E22" s="202"/>
      <c r="F22" s="202"/>
      <c r="G22" s="203"/>
      <c r="H22" s="222" t="s">
        <v>134</v>
      </c>
      <c r="I22" s="223"/>
      <c r="J22" s="223"/>
      <c r="K22" s="224"/>
      <c r="L22" s="222" t="s">
        <v>134</v>
      </c>
      <c r="M22" s="223"/>
      <c r="N22" s="223"/>
      <c r="O22" s="224"/>
      <c r="P22" s="97" t="s">
        <v>128</v>
      </c>
    </row>
    <row r="23" spans="1:16" ht="58.5" customHeight="1" x14ac:dyDescent="0.25">
      <c r="A23" s="103" t="s">
        <v>50</v>
      </c>
      <c r="B23" s="233" t="s">
        <v>163</v>
      </c>
      <c r="C23" s="234"/>
      <c r="D23" s="234"/>
      <c r="E23" s="234"/>
      <c r="F23" s="234"/>
      <c r="G23" s="235"/>
      <c r="H23" s="222" t="s">
        <v>164</v>
      </c>
      <c r="I23" s="223"/>
      <c r="J23" s="223"/>
      <c r="K23" s="224"/>
      <c r="L23" s="222" t="s">
        <v>164</v>
      </c>
      <c r="M23" s="223"/>
      <c r="N23" s="223"/>
      <c r="O23" s="224"/>
      <c r="P23" s="97" t="s">
        <v>128</v>
      </c>
    </row>
    <row r="24" spans="1:16" ht="37.5" customHeight="1" x14ac:dyDescent="0.25">
      <c r="A24" s="103" t="s">
        <v>51</v>
      </c>
      <c r="B24" s="233" t="s">
        <v>165</v>
      </c>
      <c r="C24" s="234"/>
      <c r="D24" s="234"/>
      <c r="E24" s="234"/>
      <c r="F24" s="234"/>
      <c r="G24" s="235"/>
      <c r="H24" s="222" t="s">
        <v>134</v>
      </c>
      <c r="I24" s="223"/>
      <c r="J24" s="223"/>
      <c r="K24" s="224"/>
      <c r="L24" s="222" t="s">
        <v>134</v>
      </c>
      <c r="M24" s="223"/>
      <c r="N24" s="223"/>
      <c r="O24" s="224"/>
      <c r="P24" s="97" t="s">
        <v>128</v>
      </c>
    </row>
    <row r="25" spans="1:16" ht="53.25" customHeight="1" x14ac:dyDescent="0.25">
      <c r="A25" s="103" t="s">
        <v>52</v>
      </c>
      <c r="B25" s="222" t="s">
        <v>166</v>
      </c>
      <c r="C25" s="223"/>
      <c r="D25" s="223"/>
      <c r="E25" s="223"/>
      <c r="F25" s="223"/>
      <c r="G25" s="224"/>
      <c r="H25" s="222" t="s">
        <v>134</v>
      </c>
      <c r="I25" s="223"/>
      <c r="J25" s="223"/>
      <c r="K25" s="224"/>
      <c r="L25" s="222" t="s">
        <v>143</v>
      </c>
      <c r="M25" s="223"/>
      <c r="N25" s="223"/>
      <c r="O25" s="224"/>
      <c r="P25" s="97" t="s">
        <v>128</v>
      </c>
    </row>
    <row r="26" spans="1:16" ht="54" customHeight="1" x14ac:dyDescent="0.25">
      <c r="A26" s="103" t="s">
        <v>53</v>
      </c>
      <c r="B26" s="222" t="s">
        <v>167</v>
      </c>
      <c r="C26" s="223"/>
      <c r="D26" s="223"/>
      <c r="E26" s="223"/>
      <c r="F26" s="223"/>
      <c r="G26" s="224"/>
      <c r="H26" s="222" t="s">
        <v>134</v>
      </c>
      <c r="I26" s="223"/>
      <c r="J26" s="223"/>
      <c r="K26" s="224"/>
      <c r="L26" s="222" t="s">
        <v>143</v>
      </c>
      <c r="M26" s="223"/>
      <c r="N26" s="223"/>
      <c r="O26" s="224"/>
      <c r="P26" s="97" t="s">
        <v>128</v>
      </c>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7">
    <mergeCell ref="B30:G30"/>
    <mergeCell ref="H30:K30"/>
    <mergeCell ref="L30:O30"/>
    <mergeCell ref="H22:K22"/>
    <mergeCell ref="L24:O24"/>
    <mergeCell ref="B28:G28"/>
    <mergeCell ref="H28:K28"/>
    <mergeCell ref="L28:O28"/>
    <mergeCell ref="B29:G29"/>
    <mergeCell ref="H29:K29"/>
    <mergeCell ref="L29:O29"/>
    <mergeCell ref="B27:G27"/>
    <mergeCell ref="H27:K27"/>
    <mergeCell ref="L27:O27"/>
    <mergeCell ref="B26:G26"/>
    <mergeCell ref="H26:K26"/>
    <mergeCell ref="L26:O26"/>
    <mergeCell ref="B22:G22"/>
    <mergeCell ref="A21:G21"/>
    <mergeCell ref="H21:K21"/>
    <mergeCell ref="L21:O21"/>
    <mergeCell ref="B25:G25"/>
    <mergeCell ref="H25:K25"/>
    <mergeCell ref="L25:O25"/>
    <mergeCell ref="L22:O22"/>
    <mergeCell ref="L23:O23"/>
    <mergeCell ref="H23:K23"/>
    <mergeCell ref="B23:G23"/>
    <mergeCell ref="H24:K24"/>
    <mergeCell ref="B24:G24"/>
    <mergeCell ref="A16:A19"/>
    <mergeCell ref="B16:G19"/>
    <mergeCell ref="B1:G1"/>
    <mergeCell ref="B3:G3"/>
    <mergeCell ref="B7:G7"/>
    <mergeCell ref="A11:A14"/>
    <mergeCell ref="B11:G14"/>
  </mergeCells>
  <phoneticPr fontId="42" type="noConversion"/>
  <conditionalFormatting sqref="B9:B10">
    <cfRule type="cellIs" dxfId="159" priority="17" operator="equal">
      <formula>"Nok"</formula>
    </cfRule>
    <cfRule type="cellIs" dxfId="158" priority="18" operator="equal">
      <formula>"Ok"</formula>
    </cfRule>
  </conditionalFormatting>
  <conditionalFormatting sqref="P27:P30">
    <cfRule type="cellIs" dxfId="157" priority="15" operator="equal">
      <formula>"Nok"</formula>
    </cfRule>
    <cfRule type="cellIs" dxfId="156" priority="16" operator="equal">
      <formula>"Ok"</formula>
    </cfRule>
  </conditionalFormatting>
  <conditionalFormatting sqref="P25">
    <cfRule type="cellIs" dxfId="155" priority="13" operator="equal">
      <formula>"Nok"</formula>
    </cfRule>
    <cfRule type="cellIs" dxfId="154" priority="14" operator="equal">
      <formula>"Ok"</formula>
    </cfRule>
  </conditionalFormatting>
  <conditionalFormatting sqref="P26">
    <cfRule type="cellIs" dxfId="153" priority="9" operator="equal">
      <formula>"Nok"</formula>
    </cfRule>
    <cfRule type="cellIs" dxfId="152" priority="10" operator="equal">
      <formula>"Ok"</formula>
    </cfRule>
  </conditionalFormatting>
  <conditionalFormatting sqref="P23">
    <cfRule type="cellIs" dxfId="151" priority="5" operator="equal">
      <formula>"Nok"</formula>
    </cfRule>
    <cfRule type="cellIs" dxfId="150" priority="6" operator="equal">
      <formula>"Ok"</formula>
    </cfRule>
  </conditionalFormatting>
  <conditionalFormatting sqref="P22">
    <cfRule type="cellIs" dxfId="149" priority="3" operator="equal">
      <formula>"Nok"</formula>
    </cfRule>
    <cfRule type="cellIs" dxfId="148" priority="4" operator="equal">
      <formula>"Ok"</formula>
    </cfRule>
  </conditionalFormatting>
  <conditionalFormatting sqref="P24">
    <cfRule type="cellIs" dxfId="147" priority="1" operator="equal">
      <formula>"Nok"</formula>
    </cfRule>
    <cfRule type="cellIs" dxfId="146" priority="2" operator="equal">
      <formula>"Ok"</formula>
    </cfRule>
  </conditionalFormatting>
  <dataValidations count="3">
    <dataValidation type="list" allowBlank="1" showInputMessage="1" showErrorMessage="1" sqref="B9" xr:uid="{FED2F9CA-C752-43B3-BFAF-8FA4417A6095}">
      <formula1>"Ok, Nok, Not run, NA"</formula1>
    </dataValidation>
    <dataValidation type="list" allowBlank="1" showInputMessage="1" showErrorMessage="1" sqref="B5" xr:uid="{A4FA3BBB-9855-4B53-9B72-2BC34CCB1BA0}">
      <formula1>"Nominal, Robustness, Endurance, Qualification"</formula1>
    </dataValidation>
    <dataValidation type="list" allowBlank="1" showInputMessage="1" showErrorMessage="1" sqref="P22:P30" xr:uid="{8DE7607C-4702-44B9-93D5-69774D702BCD}">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2DA28-DDA3-42C8-8AAC-A1250A77F5BD}">
  <sheetPr codeName="Sheet17"/>
  <dimension ref="A1:P32"/>
  <sheetViews>
    <sheetView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36" t="s">
        <v>254</v>
      </c>
      <c r="C1" s="237"/>
      <c r="D1" s="237"/>
      <c r="E1" s="237"/>
      <c r="F1" s="237"/>
      <c r="G1" s="238"/>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160</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161</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39.75" customHeight="1" x14ac:dyDescent="0.25">
      <c r="A22" s="103" t="s">
        <v>49</v>
      </c>
      <c r="B22" s="201" t="s">
        <v>162</v>
      </c>
      <c r="C22" s="202"/>
      <c r="D22" s="202"/>
      <c r="E22" s="202"/>
      <c r="F22" s="202"/>
      <c r="G22" s="203"/>
      <c r="H22" s="222" t="s">
        <v>134</v>
      </c>
      <c r="I22" s="223"/>
      <c r="J22" s="223"/>
      <c r="K22" s="224"/>
      <c r="L22" s="222" t="s">
        <v>134</v>
      </c>
      <c r="M22" s="223"/>
      <c r="N22" s="223"/>
      <c r="O22" s="224"/>
      <c r="P22" s="97" t="s">
        <v>128</v>
      </c>
    </row>
    <row r="23" spans="1:16" ht="51.75" customHeight="1" x14ac:dyDescent="0.25">
      <c r="A23" s="103" t="s">
        <v>50</v>
      </c>
      <c r="B23" s="233" t="s">
        <v>168</v>
      </c>
      <c r="C23" s="234"/>
      <c r="D23" s="234"/>
      <c r="E23" s="234"/>
      <c r="F23" s="234"/>
      <c r="G23" s="235"/>
      <c r="H23" s="222" t="s">
        <v>164</v>
      </c>
      <c r="I23" s="223"/>
      <c r="J23" s="223"/>
      <c r="K23" s="224"/>
      <c r="L23" s="222" t="s">
        <v>164</v>
      </c>
      <c r="M23" s="223"/>
      <c r="N23" s="223"/>
      <c r="O23" s="224"/>
      <c r="P23" s="97" t="s">
        <v>128</v>
      </c>
    </row>
    <row r="24" spans="1:16" ht="41.25" customHeight="1" x14ac:dyDescent="0.25">
      <c r="A24" s="103" t="s">
        <v>51</v>
      </c>
      <c r="B24" s="233" t="s">
        <v>169</v>
      </c>
      <c r="C24" s="234"/>
      <c r="D24" s="234"/>
      <c r="E24" s="234"/>
      <c r="F24" s="234"/>
      <c r="G24" s="235"/>
      <c r="H24" s="222" t="s">
        <v>134</v>
      </c>
      <c r="I24" s="223"/>
      <c r="J24" s="223"/>
      <c r="K24" s="224"/>
      <c r="L24" s="222" t="s">
        <v>134</v>
      </c>
      <c r="M24" s="223"/>
      <c r="N24" s="223"/>
      <c r="O24" s="224"/>
      <c r="P24" s="97" t="s">
        <v>128</v>
      </c>
    </row>
    <row r="25" spans="1:16" x14ac:dyDescent="0.25">
      <c r="A25" s="103" t="s">
        <v>52</v>
      </c>
      <c r="B25" s="222" t="s">
        <v>170</v>
      </c>
      <c r="C25" s="223"/>
      <c r="D25" s="223"/>
      <c r="E25" s="223"/>
      <c r="F25" s="223"/>
      <c r="G25" s="224"/>
      <c r="H25" s="222" t="s">
        <v>171</v>
      </c>
      <c r="I25" s="223"/>
      <c r="J25" s="223"/>
      <c r="K25" s="224"/>
      <c r="L25" s="222" t="s">
        <v>171</v>
      </c>
      <c r="M25" s="223"/>
      <c r="N25" s="223"/>
      <c r="O25" s="224"/>
      <c r="P25" s="97" t="s">
        <v>128</v>
      </c>
    </row>
    <row r="26" spans="1:16" x14ac:dyDescent="0.25">
      <c r="A26" s="103" t="s">
        <v>53</v>
      </c>
      <c r="B26" s="222"/>
      <c r="C26" s="223"/>
      <c r="D26" s="223"/>
      <c r="E26" s="223"/>
      <c r="F26" s="223"/>
      <c r="G26" s="224"/>
      <c r="H26" s="222"/>
      <c r="I26" s="223"/>
      <c r="J26" s="223"/>
      <c r="K26" s="224"/>
      <c r="L26" s="222"/>
      <c r="M26" s="223"/>
      <c r="N26" s="223"/>
      <c r="O26" s="224"/>
      <c r="P26" s="97"/>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7">
    <mergeCell ref="B30:G30"/>
    <mergeCell ref="H30:K30"/>
    <mergeCell ref="L30:O30"/>
    <mergeCell ref="H24:K24"/>
    <mergeCell ref="L24:O24"/>
    <mergeCell ref="B28:G28"/>
    <mergeCell ref="H28:K28"/>
    <mergeCell ref="L28:O28"/>
    <mergeCell ref="B29:G29"/>
    <mergeCell ref="H29:K29"/>
    <mergeCell ref="L29:O29"/>
    <mergeCell ref="B26:G26"/>
    <mergeCell ref="H26:K26"/>
    <mergeCell ref="L26:O26"/>
    <mergeCell ref="B27:G27"/>
    <mergeCell ref="H27:K27"/>
    <mergeCell ref="L27:O27"/>
    <mergeCell ref="B23:G23"/>
    <mergeCell ref="H23:K23"/>
    <mergeCell ref="L23:O23"/>
    <mergeCell ref="B24:G24"/>
    <mergeCell ref="B25:G25"/>
    <mergeCell ref="H25:K25"/>
    <mergeCell ref="L25:O25"/>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45" priority="21" operator="equal">
      <formula>"Nok"</formula>
    </cfRule>
    <cfRule type="cellIs" dxfId="144" priority="22" operator="equal">
      <formula>"Ok"</formula>
    </cfRule>
  </conditionalFormatting>
  <conditionalFormatting sqref="P27:P30">
    <cfRule type="cellIs" dxfId="143" priority="19" operator="equal">
      <formula>"Nok"</formula>
    </cfRule>
    <cfRule type="cellIs" dxfId="142" priority="20" operator="equal">
      <formula>"Ok"</formula>
    </cfRule>
  </conditionalFormatting>
  <conditionalFormatting sqref="P25">
    <cfRule type="cellIs" dxfId="141" priority="9" operator="equal">
      <formula>"Nok"</formula>
    </cfRule>
    <cfRule type="cellIs" dxfId="140" priority="10" operator="equal">
      <formula>"Ok"</formula>
    </cfRule>
  </conditionalFormatting>
  <conditionalFormatting sqref="P26">
    <cfRule type="cellIs" dxfId="139" priority="7" operator="equal">
      <formula>"Nok"</formula>
    </cfRule>
    <cfRule type="cellIs" dxfId="138" priority="8" operator="equal">
      <formula>"Ok"</formula>
    </cfRule>
  </conditionalFormatting>
  <conditionalFormatting sqref="P23">
    <cfRule type="cellIs" dxfId="137" priority="5" operator="equal">
      <formula>"Nok"</formula>
    </cfRule>
    <cfRule type="cellIs" dxfId="136" priority="6" operator="equal">
      <formula>"Ok"</formula>
    </cfRule>
  </conditionalFormatting>
  <conditionalFormatting sqref="P22">
    <cfRule type="cellIs" dxfId="135" priority="3" operator="equal">
      <formula>"Nok"</formula>
    </cfRule>
    <cfRule type="cellIs" dxfId="134" priority="4" operator="equal">
      <formula>"Ok"</formula>
    </cfRule>
  </conditionalFormatting>
  <conditionalFormatting sqref="P24">
    <cfRule type="cellIs" dxfId="133" priority="1" operator="equal">
      <formula>"Nok"</formula>
    </cfRule>
    <cfRule type="cellIs" dxfId="132" priority="2" operator="equal">
      <formula>"Ok"</formula>
    </cfRule>
  </conditionalFormatting>
  <dataValidations count="3">
    <dataValidation type="list" allowBlank="1" showInputMessage="1" showErrorMessage="1" sqref="B5" xr:uid="{100EC65E-CDCB-465D-B86C-E9184CD56DD9}">
      <formula1>"Nominal, Robustness, Endurance, Qualification"</formula1>
    </dataValidation>
    <dataValidation type="list" allowBlank="1" showInputMessage="1" showErrorMessage="1" sqref="B9" xr:uid="{9255110D-5937-4B04-89CB-10260846FE94}">
      <formula1>"Ok, Nok, Not run, NA"</formula1>
    </dataValidation>
    <dataValidation type="list" allowBlank="1" showInputMessage="1" showErrorMessage="1" sqref="P22:P30" xr:uid="{98893F96-7041-4DFC-A991-5EBD1CDDA4F4}">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AE841-0AF3-4A18-81AB-6FE1A6C0E6C6}">
  <sheetPr codeName="Sheet18"/>
  <dimension ref="A1:P32"/>
  <sheetViews>
    <sheetView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36" t="s">
        <v>255</v>
      </c>
      <c r="C1" s="237"/>
      <c r="D1" s="237"/>
      <c r="E1" s="237"/>
      <c r="F1" s="237"/>
      <c r="G1" s="238"/>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172</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173</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42.75" customHeight="1" x14ac:dyDescent="0.25">
      <c r="A22" s="103" t="s">
        <v>49</v>
      </c>
      <c r="B22" s="201" t="s">
        <v>174</v>
      </c>
      <c r="C22" s="202"/>
      <c r="D22" s="202"/>
      <c r="E22" s="202"/>
      <c r="F22" s="202"/>
      <c r="G22" s="203"/>
      <c r="H22" s="222" t="s">
        <v>134</v>
      </c>
      <c r="I22" s="223"/>
      <c r="J22" s="223"/>
      <c r="K22" s="224"/>
      <c r="L22" s="222" t="s">
        <v>134</v>
      </c>
      <c r="M22" s="223"/>
      <c r="N22" s="223"/>
      <c r="O22" s="224"/>
      <c r="P22" s="97" t="s">
        <v>128</v>
      </c>
    </row>
    <row r="23" spans="1:16" ht="29.25" customHeight="1" x14ac:dyDescent="0.25">
      <c r="A23" s="103" t="s">
        <v>50</v>
      </c>
      <c r="B23" s="201" t="s">
        <v>175</v>
      </c>
      <c r="C23" s="202"/>
      <c r="D23" s="202"/>
      <c r="E23" s="202"/>
      <c r="F23" s="202"/>
      <c r="G23" s="203"/>
      <c r="H23" s="222" t="s">
        <v>134</v>
      </c>
      <c r="I23" s="223"/>
      <c r="J23" s="223"/>
      <c r="K23" s="224"/>
      <c r="L23" s="222" t="s">
        <v>134</v>
      </c>
      <c r="M23" s="223"/>
      <c r="N23" s="223"/>
      <c r="O23" s="224"/>
      <c r="P23" s="97" t="s">
        <v>128</v>
      </c>
    </row>
    <row r="24" spans="1:16" x14ac:dyDescent="0.25">
      <c r="A24" s="103" t="s">
        <v>51</v>
      </c>
      <c r="B24" s="233"/>
      <c r="C24" s="234"/>
      <c r="D24" s="234"/>
      <c r="E24" s="234"/>
      <c r="F24" s="234"/>
      <c r="G24" s="235"/>
      <c r="H24" s="222"/>
      <c r="I24" s="223"/>
      <c r="J24" s="223"/>
      <c r="K24" s="224"/>
      <c r="L24" s="222"/>
      <c r="M24" s="223"/>
      <c r="N24" s="223"/>
      <c r="O24" s="224"/>
      <c r="P24" s="97"/>
    </row>
    <row r="25" spans="1:16" x14ac:dyDescent="0.25">
      <c r="A25" s="103" t="s">
        <v>52</v>
      </c>
      <c r="B25" s="222"/>
      <c r="C25" s="223"/>
      <c r="D25" s="223"/>
      <c r="E25" s="223"/>
      <c r="F25" s="223"/>
      <c r="G25" s="224"/>
      <c r="H25" s="222"/>
      <c r="I25" s="223"/>
      <c r="J25" s="223"/>
      <c r="K25" s="224"/>
      <c r="L25" s="222"/>
      <c r="M25" s="223"/>
      <c r="N25" s="223"/>
      <c r="O25" s="224"/>
      <c r="P25" s="97"/>
    </row>
    <row r="26" spans="1:16" x14ac:dyDescent="0.25">
      <c r="A26" s="103" t="s">
        <v>53</v>
      </c>
      <c r="B26" s="225"/>
      <c r="C26" s="226"/>
      <c r="D26" s="226"/>
      <c r="E26" s="226"/>
      <c r="F26" s="226"/>
      <c r="G26" s="227"/>
      <c r="H26" s="194"/>
      <c r="I26" s="194"/>
      <c r="J26" s="194"/>
      <c r="K26" s="194"/>
      <c r="L26" s="201"/>
      <c r="M26" s="202"/>
      <c r="N26" s="202"/>
      <c r="O26" s="203"/>
      <c r="P26" s="97"/>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7">
    <mergeCell ref="B30:G30"/>
    <mergeCell ref="H30:K30"/>
    <mergeCell ref="L30:O30"/>
    <mergeCell ref="H24:K24"/>
    <mergeCell ref="L24:O24"/>
    <mergeCell ref="B28:G28"/>
    <mergeCell ref="H28:K28"/>
    <mergeCell ref="L28:O28"/>
    <mergeCell ref="B29:G29"/>
    <mergeCell ref="H29:K29"/>
    <mergeCell ref="L29:O29"/>
    <mergeCell ref="B26:G26"/>
    <mergeCell ref="H26:K26"/>
    <mergeCell ref="L26:O26"/>
    <mergeCell ref="B27:G27"/>
    <mergeCell ref="H27:K27"/>
    <mergeCell ref="L27:O27"/>
    <mergeCell ref="B23:G23"/>
    <mergeCell ref="H23:K23"/>
    <mergeCell ref="L23:O23"/>
    <mergeCell ref="B24:G24"/>
    <mergeCell ref="B25:G25"/>
    <mergeCell ref="H25:K25"/>
    <mergeCell ref="L25:O25"/>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31" priority="19" operator="equal">
      <formula>"Nok"</formula>
    </cfRule>
    <cfRule type="cellIs" dxfId="130" priority="20" operator="equal">
      <formula>"Ok"</formula>
    </cfRule>
  </conditionalFormatting>
  <conditionalFormatting sqref="P26:P30">
    <cfRule type="cellIs" dxfId="129" priority="17" operator="equal">
      <formula>"Nok"</formula>
    </cfRule>
    <cfRule type="cellIs" dxfId="128" priority="18" operator="equal">
      <formula>"Ok"</formula>
    </cfRule>
  </conditionalFormatting>
  <conditionalFormatting sqref="P25">
    <cfRule type="cellIs" dxfId="127" priority="7" operator="equal">
      <formula>"Nok"</formula>
    </cfRule>
    <cfRule type="cellIs" dxfId="126" priority="8" operator="equal">
      <formula>"Ok"</formula>
    </cfRule>
  </conditionalFormatting>
  <conditionalFormatting sqref="P23">
    <cfRule type="cellIs" dxfId="125" priority="5" operator="equal">
      <formula>"Nok"</formula>
    </cfRule>
    <cfRule type="cellIs" dxfId="124" priority="6" operator="equal">
      <formula>"Ok"</formula>
    </cfRule>
  </conditionalFormatting>
  <conditionalFormatting sqref="P22">
    <cfRule type="cellIs" dxfId="123" priority="3" operator="equal">
      <formula>"Nok"</formula>
    </cfRule>
    <cfRule type="cellIs" dxfId="122" priority="4" operator="equal">
      <formula>"Ok"</formula>
    </cfRule>
  </conditionalFormatting>
  <conditionalFormatting sqref="P24">
    <cfRule type="cellIs" dxfId="121" priority="1" operator="equal">
      <formula>"Nok"</formula>
    </cfRule>
    <cfRule type="cellIs" dxfId="120" priority="2" operator="equal">
      <formula>"Ok"</formula>
    </cfRule>
  </conditionalFormatting>
  <dataValidations count="3">
    <dataValidation type="list" allowBlank="1" showInputMessage="1" showErrorMessage="1" sqref="P22:P30" xr:uid="{62ABE892-78A4-4B23-A710-243D3E4BB91A}">
      <formula1>"Ok, Nok, Not run, ,"</formula1>
    </dataValidation>
    <dataValidation type="list" allowBlank="1" showInputMessage="1" showErrorMessage="1" sqref="B9" xr:uid="{69885385-D146-4464-A298-792742CD768D}">
      <formula1>"Ok, Nok, Not run, NA"</formula1>
    </dataValidation>
    <dataValidation type="list" allowBlank="1" showInputMessage="1" showErrorMessage="1" sqref="B5" xr:uid="{37573522-8090-429F-A47A-1CC5FFBADB3B}">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EF231-0F64-4C81-B4B6-CB37C4FF2125}">
  <sheetPr codeName="Sheet19"/>
  <dimension ref="A1:P32"/>
  <sheetViews>
    <sheetView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36" t="s">
        <v>256</v>
      </c>
      <c r="C1" s="237"/>
      <c r="D1" s="237"/>
      <c r="E1" s="237"/>
      <c r="F1" s="237"/>
      <c r="G1" s="238"/>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176</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177</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35.25" customHeight="1" x14ac:dyDescent="0.25">
      <c r="A22" s="103" t="s">
        <v>49</v>
      </c>
      <c r="B22" s="201" t="s">
        <v>178</v>
      </c>
      <c r="C22" s="202"/>
      <c r="D22" s="202"/>
      <c r="E22" s="202"/>
      <c r="F22" s="202"/>
      <c r="G22" s="203"/>
      <c r="H22" s="222" t="s">
        <v>134</v>
      </c>
      <c r="I22" s="223"/>
      <c r="J22" s="223"/>
      <c r="K22" s="224"/>
      <c r="L22" s="222" t="s">
        <v>134</v>
      </c>
      <c r="M22" s="223"/>
      <c r="N22" s="223"/>
      <c r="O22" s="224"/>
      <c r="P22" s="97" t="s">
        <v>128</v>
      </c>
    </row>
    <row r="23" spans="1:16" ht="67.5" customHeight="1" x14ac:dyDescent="0.25">
      <c r="A23" s="103" t="s">
        <v>50</v>
      </c>
      <c r="B23" s="201" t="s">
        <v>179</v>
      </c>
      <c r="C23" s="202"/>
      <c r="D23" s="202"/>
      <c r="E23" s="202"/>
      <c r="F23" s="202"/>
      <c r="G23" s="203"/>
      <c r="H23" s="222" t="s">
        <v>134</v>
      </c>
      <c r="I23" s="223"/>
      <c r="J23" s="223"/>
      <c r="K23" s="224"/>
      <c r="L23" s="222" t="s">
        <v>134</v>
      </c>
      <c r="M23" s="223"/>
      <c r="N23" s="223"/>
      <c r="O23" s="224"/>
      <c r="P23" s="97" t="s">
        <v>128</v>
      </c>
    </row>
    <row r="24" spans="1:16" x14ac:dyDescent="0.25">
      <c r="A24" s="103" t="s">
        <v>51</v>
      </c>
      <c r="B24" s="201"/>
      <c r="C24" s="202"/>
      <c r="D24" s="202"/>
      <c r="E24" s="202"/>
      <c r="F24" s="202"/>
      <c r="G24" s="203"/>
      <c r="K24" s="109"/>
      <c r="O24" s="109"/>
      <c r="P24" s="97"/>
    </row>
    <row r="25" spans="1:16" x14ac:dyDescent="0.25">
      <c r="A25" s="103" t="s">
        <v>52</v>
      </c>
      <c r="B25" s="201"/>
      <c r="C25" s="202"/>
      <c r="D25" s="202"/>
      <c r="E25" s="202"/>
      <c r="F25" s="202"/>
      <c r="G25" s="203"/>
      <c r="H25" s="201"/>
      <c r="I25" s="202"/>
      <c r="J25" s="202"/>
      <c r="K25" s="203"/>
      <c r="L25" s="201"/>
      <c r="M25" s="202"/>
      <c r="N25" s="202"/>
      <c r="O25" s="203"/>
      <c r="P25" s="97"/>
    </row>
    <row r="26" spans="1:16" x14ac:dyDescent="0.25">
      <c r="A26" s="103" t="s">
        <v>53</v>
      </c>
      <c r="B26" s="225"/>
      <c r="C26" s="226"/>
      <c r="D26" s="226"/>
      <c r="E26" s="226"/>
      <c r="F26" s="226"/>
      <c r="G26" s="227"/>
      <c r="H26" s="194"/>
      <c r="I26" s="194"/>
      <c r="J26" s="194"/>
      <c r="K26" s="194"/>
      <c r="L26" s="201"/>
      <c r="M26" s="202"/>
      <c r="N26" s="202"/>
      <c r="O26" s="203"/>
      <c r="P26" s="97"/>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5">
    <mergeCell ref="B30:G30"/>
    <mergeCell ref="H30:K30"/>
    <mergeCell ref="L30:O30"/>
    <mergeCell ref="B28:G28"/>
    <mergeCell ref="H28:K28"/>
    <mergeCell ref="L28:O28"/>
    <mergeCell ref="B29:G29"/>
    <mergeCell ref="H29:K29"/>
    <mergeCell ref="L29:O29"/>
    <mergeCell ref="B26:G26"/>
    <mergeCell ref="H26:K26"/>
    <mergeCell ref="L26:O26"/>
    <mergeCell ref="B27:G27"/>
    <mergeCell ref="H27:K27"/>
    <mergeCell ref="L27:O27"/>
    <mergeCell ref="B23:G23"/>
    <mergeCell ref="H23:K23"/>
    <mergeCell ref="L23:O23"/>
    <mergeCell ref="B24:G24"/>
    <mergeCell ref="B25:G25"/>
    <mergeCell ref="H25:K25"/>
    <mergeCell ref="L25:O25"/>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19" priority="11" operator="equal">
      <formula>"Nok"</formula>
    </cfRule>
    <cfRule type="cellIs" dxfId="118" priority="12" operator="equal">
      <formula>"Ok"</formula>
    </cfRule>
  </conditionalFormatting>
  <conditionalFormatting sqref="P26:P30">
    <cfRule type="cellIs" dxfId="117" priority="9" operator="equal">
      <formula>"Nok"</formula>
    </cfRule>
    <cfRule type="cellIs" dxfId="116" priority="10" operator="equal">
      <formula>"Ok"</formula>
    </cfRule>
  </conditionalFormatting>
  <conditionalFormatting sqref="P22">
    <cfRule type="cellIs" dxfId="115" priority="7" operator="equal">
      <formula>"Nok"</formula>
    </cfRule>
    <cfRule type="cellIs" dxfId="114" priority="8" operator="equal">
      <formula>"Ok"</formula>
    </cfRule>
  </conditionalFormatting>
  <conditionalFormatting sqref="P25">
    <cfRule type="cellIs" dxfId="113" priority="5" operator="equal">
      <formula>"Nok"</formula>
    </cfRule>
    <cfRule type="cellIs" dxfId="112" priority="6" operator="equal">
      <formula>"Ok"</formula>
    </cfRule>
  </conditionalFormatting>
  <conditionalFormatting sqref="P23">
    <cfRule type="cellIs" dxfId="111" priority="3" operator="equal">
      <formula>"Nok"</formula>
    </cfRule>
    <cfRule type="cellIs" dxfId="110" priority="4" operator="equal">
      <formula>"Ok"</formula>
    </cfRule>
  </conditionalFormatting>
  <conditionalFormatting sqref="P24">
    <cfRule type="cellIs" dxfId="109" priority="1" operator="equal">
      <formula>"Nok"</formula>
    </cfRule>
    <cfRule type="cellIs" dxfId="108" priority="2" operator="equal">
      <formula>"Ok"</formula>
    </cfRule>
  </conditionalFormatting>
  <dataValidations count="3">
    <dataValidation type="list" allowBlank="1" showInputMessage="1" showErrorMessage="1" sqref="B5" xr:uid="{0A48E544-C920-437D-97E3-4A9AA40F6F1F}">
      <formula1>"Nominal, Robustness, Endurance, Qualification"</formula1>
    </dataValidation>
    <dataValidation type="list" allowBlank="1" showInputMessage="1" showErrorMessage="1" sqref="B9" xr:uid="{640E1CA3-3F7A-492D-AFE9-F7255E83F766}">
      <formula1>"Ok, Nok, Not run, NA"</formula1>
    </dataValidation>
    <dataValidation type="list" allowBlank="1" showInputMessage="1" showErrorMessage="1" sqref="P22:P30" xr:uid="{19CCA7B4-79B0-47A8-AE7B-DF2168AE65B6}">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F8275-E259-4E59-B30D-946B1A616FEA}">
  <sheetPr codeName="Sheet20"/>
  <dimension ref="A1:P32"/>
  <sheetViews>
    <sheetView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36" t="s">
        <v>257</v>
      </c>
      <c r="C1" s="237"/>
      <c r="D1" s="237"/>
      <c r="E1" s="237"/>
      <c r="F1" s="237"/>
      <c r="G1" s="238"/>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180</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181</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57.75" customHeight="1" x14ac:dyDescent="0.25">
      <c r="A22" s="103" t="s">
        <v>49</v>
      </c>
      <c r="B22" s="201" t="s">
        <v>182</v>
      </c>
      <c r="C22" s="202"/>
      <c r="D22" s="202"/>
      <c r="E22" s="202"/>
      <c r="F22" s="202"/>
      <c r="G22" s="203"/>
      <c r="H22" s="222" t="s">
        <v>134</v>
      </c>
      <c r="I22" s="223"/>
      <c r="J22" s="223"/>
      <c r="K22" s="224"/>
      <c r="L22" s="222" t="s">
        <v>134</v>
      </c>
      <c r="M22" s="223"/>
      <c r="N22" s="223"/>
      <c r="O22" s="224"/>
      <c r="P22" s="97" t="s">
        <v>128</v>
      </c>
    </row>
    <row r="23" spans="1:16" ht="30" customHeight="1" x14ac:dyDescent="0.25">
      <c r="A23" s="103" t="s">
        <v>50</v>
      </c>
      <c r="B23" s="233" t="s">
        <v>183</v>
      </c>
      <c r="C23" s="234"/>
      <c r="D23" s="234"/>
      <c r="E23" s="234"/>
      <c r="F23" s="234"/>
      <c r="G23" s="235"/>
      <c r="H23" s="194"/>
      <c r="I23" s="194"/>
      <c r="J23" s="194"/>
      <c r="K23" s="194"/>
      <c r="L23" s="194"/>
      <c r="M23" s="194"/>
      <c r="N23" s="194"/>
      <c r="O23" s="194"/>
      <c r="P23" s="97"/>
    </row>
    <row r="24" spans="1:16" ht="42" customHeight="1" x14ac:dyDescent="0.25">
      <c r="A24" s="103" t="s">
        <v>51</v>
      </c>
      <c r="B24" s="201" t="s">
        <v>184</v>
      </c>
      <c r="C24" s="202"/>
      <c r="D24" s="202"/>
      <c r="E24" s="202"/>
      <c r="F24" s="202"/>
      <c r="G24" s="203"/>
      <c r="H24" s="222" t="s">
        <v>134</v>
      </c>
      <c r="I24" s="223"/>
      <c r="J24" s="223"/>
      <c r="K24" s="224"/>
      <c r="L24" s="222" t="s">
        <v>134</v>
      </c>
      <c r="M24" s="223"/>
      <c r="N24" s="223"/>
      <c r="O24" s="224"/>
      <c r="P24" s="97" t="s">
        <v>128</v>
      </c>
    </row>
    <row r="25" spans="1:16" ht="39" customHeight="1" x14ac:dyDescent="0.25">
      <c r="A25" s="103" t="s">
        <v>52</v>
      </c>
      <c r="B25" s="201" t="s">
        <v>185</v>
      </c>
      <c r="C25" s="202"/>
      <c r="D25" s="202"/>
      <c r="E25" s="202"/>
      <c r="F25" s="202"/>
      <c r="G25" s="203"/>
      <c r="H25" s="222" t="s">
        <v>134</v>
      </c>
      <c r="I25" s="223"/>
      <c r="J25" s="223"/>
      <c r="K25" s="224"/>
      <c r="L25" s="222" t="s">
        <v>134</v>
      </c>
      <c r="M25" s="223"/>
      <c r="N25" s="223"/>
      <c r="O25" s="224"/>
      <c r="P25" s="97" t="s">
        <v>128</v>
      </c>
    </row>
    <row r="26" spans="1:16" x14ac:dyDescent="0.25">
      <c r="A26" s="103" t="s">
        <v>53</v>
      </c>
      <c r="B26" s="225"/>
      <c r="C26" s="226"/>
      <c r="D26" s="226"/>
      <c r="E26" s="226"/>
      <c r="F26" s="226"/>
      <c r="G26" s="227"/>
      <c r="H26" s="194"/>
      <c r="I26" s="194"/>
      <c r="J26" s="194"/>
      <c r="K26" s="194"/>
      <c r="L26" s="201"/>
      <c r="M26" s="202"/>
      <c r="N26" s="202"/>
      <c r="O26" s="203"/>
      <c r="P26" s="97"/>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7">
    <mergeCell ref="B30:G30"/>
    <mergeCell ref="H30:K30"/>
    <mergeCell ref="L30:O30"/>
    <mergeCell ref="H24:K24"/>
    <mergeCell ref="L24:O24"/>
    <mergeCell ref="B28:G28"/>
    <mergeCell ref="H28:K28"/>
    <mergeCell ref="L28:O28"/>
    <mergeCell ref="B29:G29"/>
    <mergeCell ref="H29:K29"/>
    <mergeCell ref="L29:O29"/>
    <mergeCell ref="B26:G26"/>
    <mergeCell ref="H26:K26"/>
    <mergeCell ref="L26:O26"/>
    <mergeCell ref="B27:G27"/>
    <mergeCell ref="H27:K27"/>
    <mergeCell ref="L27:O27"/>
    <mergeCell ref="B23:G23"/>
    <mergeCell ref="H23:K23"/>
    <mergeCell ref="L23:O23"/>
    <mergeCell ref="B24:G24"/>
    <mergeCell ref="B25:G25"/>
    <mergeCell ref="H25:K25"/>
    <mergeCell ref="L25:O25"/>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07" priority="11" operator="equal">
      <formula>"Nok"</formula>
    </cfRule>
    <cfRule type="cellIs" dxfId="106" priority="12" operator="equal">
      <formula>"Ok"</formula>
    </cfRule>
  </conditionalFormatting>
  <conditionalFormatting sqref="P26:P30">
    <cfRule type="cellIs" dxfId="105" priority="9" operator="equal">
      <formula>"Nok"</formula>
    </cfRule>
    <cfRule type="cellIs" dxfId="104" priority="10" operator="equal">
      <formula>"Ok"</formula>
    </cfRule>
  </conditionalFormatting>
  <conditionalFormatting sqref="P22">
    <cfRule type="cellIs" dxfId="103" priority="7" operator="equal">
      <formula>"Nok"</formula>
    </cfRule>
    <cfRule type="cellIs" dxfId="102" priority="8" operator="equal">
      <formula>"Ok"</formula>
    </cfRule>
  </conditionalFormatting>
  <conditionalFormatting sqref="P25">
    <cfRule type="cellIs" dxfId="101" priority="5" operator="equal">
      <formula>"Nok"</formula>
    </cfRule>
    <cfRule type="cellIs" dxfId="100" priority="6" operator="equal">
      <formula>"Ok"</formula>
    </cfRule>
  </conditionalFormatting>
  <conditionalFormatting sqref="P23">
    <cfRule type="cellIs" dxfId="99" priority="3" operator="equal">
      <formula>"Nok"</formula>
    </cfRule>
    <cfRule type="cellIs" dxfId="98" priority="4" operator="equal">
      <formula>"Ok"</formula>
    </cfRule>
  </conditionalFormatting>
  <conditionalFormatting sqref="P24">
    <cfRule type="cellIs" dxfId="97" priority="1" operator="equal">
      <formula>"Nok"</formula>
    </cfRule>
    <cfRule type="cellIs" dxfId="96" priority="2" operator="equal">
      <formula>"Ok"</formula>
    </cfRule>
  </conditionalFormatting>
  <dataValidations count="3">
    <dataValidation type="list" allowBlank="1" showInputMessage="1" showErrorMessage="1" sqref="P22:P30" xr:uid="{733CC407-6F43-47B4-9985-49D8BA3EC23E}">
      <formula1>"Ok, Nok, Not run, ,"</formula1>
    </dataValidation>
    <dataValidation type="list" allowBlank="1" showInputMessage="1" showErrorMessage="1" sqref="B9" xr:uid="{E8BFDD9C-C6BA-42E3-BDD4-C6FC21FAE4E2}">
      <formula1>"Ok, Nok, Not run, NA"</formula1>
    </dataValidation>
    <dataValidation type="list" allowBlank="1" showInputMessage="1" showErrorMessage="1" sqref="B5" xr:uid="{24522A5E-D3DC-45A8-B905-D3222810E914}">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B85F8-47FF-4A3D-90C5-ED09D1B6D83D}">
  <sheetPr codeName="Sheet21"/>
  <dimension ref="A1:P32"/>
  <sheetViews>
    <sheetView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36" t="s">
        <v>258</v>
      </c>
      <c r="C1" s="237"/>
      <c r="D1" s="237"/>
      <c r="E1" s="237"/>
      <c r="F1" s="237"/>
      <c r="G1" s="238"/>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186</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187</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58.5" customHeight="1" x14ac:dyDescent="0.25">
      <c r="A22" s="103" t="s">
        <v>49</v>
      </c>
      <c r="B22" s="201" t="s">
        <v>188</v>
      </c>
      <c r="C22" s="202"/>
      <c r="D22" s="202"/>
      <c r="E22" s="202"/>
      <c r="F22" s="202"/>
      <c r="G22" s="203"/>
      <c r="H22" s="222" t="s">
        <v>134</v>
      </c>
      <c r="I22" s="223"/>
      <c r="J22" s="223"/>
      <c r="K22" s="224"/>
      <c r="L22" s="222" t="s">
        <v>134</v>
      </c>
      <c r="M22" s="223"/>
      <c r="N22" s="223"/>
      <c r="O22" s="224"/>
      <c r="P22" s="97" t="s">
        <v>128</v>
      </c>
    </row>
    <row r="23" spans="1:16" ht="42.75" customHeight="1" x14ac:dyDescent="0.25">
      <c r="A23" s="103" t="s">
        <v>50</v>
      </c>
      <c r="B23" s="201" t="s">
        <v>189</v>
      </c>
      <c r="C23" s="202"/>
      <c r="D23" s="202"/>
      <c r="E23" s="202"/>
      <c r="F23" s="202"/>
      <c r="G23" s="203"/>
      <c r="H23" s="222" t="s">
        <v>190</v>
      </c>
      <c r="I23" s="223"/>
      <c r="J23" s="223"/>
      <c r="K23" s="224"/>
      <c r="L23" s="222" t="s">
        <v>190</v>
      </c>
      <c r="M23" s="223"/>
      <c r="N23" s="223"/>
      <c r="O23" s="224"/>
      <c r="P23" s="97" t="s">
        <v>128</v>
      </c>
    </row>
    <row r="24" spans="1:16" x14ac:dyDescent="0.25">
      <c r="A24" s="103" t="s">
        <v>51</v>
      </c>
      <c r="B24" s="201"/>
      <c r="C24" s="202"/>
      <c r="D24" s="202"/>
      <c r="E24" s="202"/>
      <c r="F24" s="202"/>
      <c r="G24" s="203"/>
      <c r="H24" s="222"/>
      <c r="I24" s="223"/>
      <c r="J24" s="223"/>
      <c r="K24" s="224"/>
      <c r="L24" s="222"/>
      <c r="M24" s="223"/>
      <c r="N24" s="223"/>
      <c r="O24" s="224"/>
      <c r="P24" s="97"/>
    </row>
    <row r="25" spans="1:16" x14ac:dyDescent="0.25">
      <c r="A25" s="103" t="s">
        <v>52</v>
      </c>
      <c r="B25" s="201"/>
      <c r="C25" s="202"/>
      <c r="D25" s="202"/>
      <c r="E25" s="202"/>
      <c r="F25" s="202"/>
      <c r="G25" s="203"/>
      <c r="H25" s="222"/>
      <c r="I25" s="223"/>
      <c r="J25" s="223"/>
      <c r="K25" s="224"/>
      <c r="L25" s="222"/>
      <c r="M25" s="223"/>
      <c r="N25" s="223"/>
      <c r="O25" s="224"/>
      <c r="P25" s="97"/>
    </row>
    <row r="26" spans="1:16" x14ac:dyDescent="0.25">
      <c r="A26" s="103" t="s">
        <v>53</v>
      </c>
      <c r="B26" s="225"/>
      <c r="C26" s="226"/>
      <c r="D26" s="226"/>
      <c r="E26" s="226"/>
      <c r="F26" s="226"/>
      <c r="G26" s="227"/>
      <c r="H26" s="194"/>
      <c r="I26" s="194"/>
      <c r="J26" s="194"/>
      <c r="K26" s="194"/>
      <c r="L26" s="201"/>
      <c r="M26" s="202"/>
      <c r="N26" s="202"/>
      <c r="O26" s="203"/>
      <c r="P26" s="97"/>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7">
    <mergeCell ref="B30:G30"/>
    <mergeCell ref="H30:K30"/>
    <mergeCell ref="L30:O30"/>
    <mergeCell ref="H24:K24"/>
    <mergeCell ref="L24:O24"/>
    <mergeCell ref="B28:G28"/>
    <mergeCell ref="H28:K28"/>
    <mergeCell ref="L28:O28"/>
    <mergeCell ref="B29:G29"/>
    <mergeCell ref="H29:K29"/>
    <mergeCell ref="L29:O29"/>
    <mergeCell ref="B26:G26"/>
    <mergeCell ref="H26:K26"/>
    <mergeCell ref="L26:O26"/>
    <mergeCell ref="B27:G27"/>
    <mergeCell ref="H27:K27"/>
    <mergeCell ref="L27:O27"/>
    <mergeCell ref="B23:G23"/>
    <mergeCell ref="H23:K23"/>
    <mergeCell ref="L23:O23"/>
    <mergeCell ref="B24:G24"/>
    <mergeCell ref="B25:G25"/>
    <mergeCell ref="H25:K25"/>
    <mergeCell ref="L25:O25"/>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95" priority="21" operator="equal">
      <formula>"Nok"</formula>
    </cfRule>
    <cfRule type="cellIs" dxfId="94" priority="22" operator="equal">
      <formula>"Ok"</formula>
    </cfRule>
  </conditionalFormatting>
  <conditionalFormatting sqref="P26:P30">
    <cfRule type="cellIs" dxfId="93" priority="19" operator="equal">
      <formula>"Nok"</formula>
    </cfRule>
    <cfRule type="cellIs" dxfId="92" priority="20" operator="equal">
      <formula>"Ok"</formula>
    </cfRule>
  </conditionalFormatting>
  <conditionalFormatting sqref="P22">
    <cfRule type="cellIs" dxfId="91" priority="9" operator="equal">
      <formula>"Nok"</formula>
    </cfRule>
    <cfRule type="cellIs" dxfId="90" priority="10" operator="equal">
      <formula>"Ok"</formula>
    </cfRule>
  </conditionalFormatting>
  <conditionalFormatting sqref="P25">
    <cfRule type="cellIs" dxfId="89" priority="7" operator="equal">
      <formula>"Nok"</formula>
    </cfRule>
    <cfRule type="cellIs" dxfId="88" priority="8" operator="equal">
      <formula>"Ok"</formula>
    </cfRule>
  </conditionalFormatting>
  <conditionalFormatting sqref="P24">
    <cfRule type="cellIs" dxfId="87" priority="3" operator="equal">
      <formula>"Nok"</formula>
    </cfRule>
    <cfRule type="cellIs" dxfId="86" priority="4" operator="equal">
      <formula>"Ok"</formula>
    </cfRule>
  </conditionalFormatting>
  <conditionalFormatting sqref="P23">
    <cfRule type="cellIs" dxfId="85" priority="1" operator="equal">
      <formula>"Nok"</formula>
    </cfRule>
    <cfRule type="cellIs" dxfId="84" priority="2" operator="equal">
      <formula>"Ok"</formula>
    </cfRule>
  </conditionalFormatting>
  <dataValidations count="3">
    <dataValidation type="list" allowBlank="1" showInputMessage="1" showErrorMessage="1" sqref="B5" xr:uid="{5D1997F6-3594-4627-850A-A0D9C0137D0D}">
      <formula1>"Nominal, Robustness, Endurance, Qualification"</formula1>
    </dataValidation>
    <dataValidation type="list" allowBlank="1" showInputMessage="1" showErrorMessage="1" sqref="B9" xr:uid="{3DFDB489-0A45-4356-93BA-400E0472D709}">
      <formula1>"Ok, Nok, Not run, NA"</formula1>
    </dataValidation>
    <dataValidation type="list" allowBlank="1" showInputMessage="1" showErrorMessage="1" sqref="P22:P30" xr:uid="{66E22276-AA16-4A2F-87F6-9CE2B0DA72C6}">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1ABD9-D3AB-4B36-8E68-A4946B104580}">
  <sheetPr codeName="Sheet22"/>
  <dimension ref="A1:P32"/>
  <sheetViews>
    <sheetView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36" t="s">
        <v>259</v>
      </c>
      <c r="C1" s="237"/>
      <c r="D1" s="237"/>
      <c r="E1" s="237"/>
      <c r="F1" s="237"/>
      <c r="G1" s="238"/>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191</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192</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40.5" customHeight="1" x14ac:dyDescent="0.25">
      <c r="A22" s="103" t="s">
        <v>49</v>
      </c>
      <c r="B22" s="201" t="s">
        <v>211</v>
      </c>
      <c r="C22" s="202"/>
      <c r="D22" s="202"/>
      <c r="E22" s="202"/>
      <c r="F22" s="202"/>
      <c r="G22" s="203"/>
      <c r="H22" s="222" t="s">
        <v>134</v>
      </c>
      <c r="I22" s="223"/>
      <c r="J22" s="223"/>
      <c r="K22" s="224"/>
      <c r="L22" s="222" t="s">
        <v>134</v>
      </c>
      <c r="M22" s="223"/>
      <c r="N22" s="223"/>
      <c r="O22" s="224"/>
      <c r="P22" s="97" t="s">
        <v>128</v>
      </c>
    </row>
    <row r="23" spans="1:16" ht="39.75" customHeight="1" x14ac:dyDescent="0.25">
      <c r="A23" s="103" t="s">
        <v>50</v>
      </c>
      <c r="B23" s="201" t="s">
        <v>212</v>
      </c>
      <c r="C23" s="202"/>
      <c r="D23" s="202"/>
      <c r="E23" s="202"/>
      <c r="F23" s="202"/>
      <c r="G23" s="203"/>
      <c r="H23" s="222" t="s">
        <v>134</v>
      </c>
      <c r="I23" s="223"/>
      <c r="J23" s="223"/>
      <c r="K23" s="224"/>
      <c r="L23" s="222" t="s">
        <v>134</v>
      </c>
      <c r="M23" s="223"/>
      <c r="N23" s="223"/>
      <c r="O23" s="224"/>
      <c r="P23" s="97" t="s">
        <v>128</v>
      </c>
    </row>
    <row r="24" spans="1:16" x14ac:dyDescent="0.25">
      <c r="A24" s="103" t="s">
        <v>51</v>
      </c>
      <c r="B24" s="201"/>
      <c r="C24" s="202"/>
      <c r="D24" s="202"/>
      <c r="E24" s="202"/>
      <c r="F24" s="202"/>
      <c r="G24" s="203"/>
      <c r="H24" s="222"/>
      <c r="I24" s="223"/>
      <c r="J24" s="223"/>
      <c r="K24" s="224"/>
      <c r="L24" s="222"/>
      <c r="M24" s="223"/>
      <c r="N24" s="223"/>
      <c r="O24" s="224"/>
      <c r="P24" s="97"/>
    </row>
    <row r="25" spans="1:16" x14ac:dyDescent="0.25">
      <c r="A25" s="103" t="s">
        <v>52</v>
      </c>
      <c r="B25" s="228"/>
      <c r="C25" s="229"/>
      <c r="D25" s="229"/>
      <c r="E25" s="229"/>
      <c r="F25" s="229"/>
      <c r="G25" s="230"/>
      <c r="H25" s="201"/>
      <c r="I25" s="202"/>
      <c r="J25" s="202"/>
      <c r="K25" s="203"/>
      <c r="L25" s="201"/>
      <c r="M25" s="202"/>
      <c r="N25" s="202"/>
      <c r="O25" s="203"/>
      <c r="P25" s="97"/>
    </row>
    <row r="26" spans="1:16" x14ac:dyDescent="0.25">
      <c r="A26" s="103" t="s">
        <v>53</v>
      </c>
      <c r="B26" s="225"/>
      <c r="C26" s="226"/>
      <c r="D26" s="226"/>
      <c r="E26" s="226"/>
      <c r="F26" s="226"/>
      <c r="G26" s="227"/>
      <c r="H26" s="194"/>
      <c r="I26" s="194"/>
      <c r="J26" s="194"/>
      <c r="K26" s="194"/>
      <c r="L26" s="201"/>
      <c r="M26" s="202"/>
      <c r="N26" s="202"/>
      <c r="O26" s="203"/>
      <c r="P26" s="97"/>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7">
    <mergeCell ref="B30:G30"/>
    <mergeCell ref="H30:K30"/>
    <mergeCell ref="L30:O30"/>
    <mergeCell ref="H24:K24"/>
    <mergeCell ref="L24:O24"/>
    <mergeCell ref="B28:G28"/>
    <mergeCell ref="H28:K28"/>
    <mergeCell ref="L28:O28"/>
    <mergeCell ref="B29:G29"/>
    <mergeCell ref="H29:K29"/>
    <mergeCell ref="L29:O29"/>
    <mergeCell ref="B26:G26"/>
    <mergeCell ref="H26:K26"/>
    <mergeCell ref="L26:O26"/>
    <mergeCell ref="B27:G27"/>
    <mergeCell ref="H27:K27"/>
    <mergeCell ref="L27:O27"/>
    <mergeCell ref="B23:G23"/>
    <mergeCell ref="H23:K23"/>
    <mergeCell ref="L23:O23"/>
    <mergeCell ref="B24:G24"/>
    <mergeCell ref="B25:G25"/>
    <mergeCell ref="H25:K25"/>
    <mergeCell ref="L25:O25"/>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83" priority="15" operator="equal">
      <formula>"Nok"</formula>
    </cfRule>
    <cfRule type="cellIs" dxfId="82" priority="16" operator="equal">
      <formula>"Ok"</formula>
    </cfRule>
  </conditionalFormatting>
  <conditionalFormatting sqref="P26:P30">
    <cfRule type="cellIs" dxfId="81" priority="13" operator="equal">
      <formula>"Nok"</formula>
    </cfRule>
    <cfRule type="cellIs" dxfId="80" priority="14" operator="equal">
      <formula>"Ok"</formula>
    </cfRule>
  </conditionalFormatting>
  <conditionalFormatting sqref="P25">
    <cfRule type="cellIs" dxfId="79" priority="9" operator="equal">
      <formula>"Nok"</formula>
    </cfRule>
    <cfRule type="cellIs" dxfId="78" priority="10" operator="equal">
      <formula>"Ok"</formula>
    </cfRule>
  </conditionalFormatting>
  <conditionalFormatting sqref="P24">
    <cfRule type="cellIs" dxfId="77" priority="5" operator="equal">
      <formula>"Nok"</formula>
    </cfRule>
    <cfRule type="cellIs" dxfId="76" priority="6" operator="equal">
      <formula>"Ok"</formula>
    </cfRule>
  </conditionalFormatting>
  <conditionalFormatting sqref="P23">
    <cfRule type="cellIs" dxfId="75" priority="3" operator="equal">
      <formula>"Nok"</formula>
    </cfRule>
    <cfRule type="cellIs" dxfId="74" priority="4" operator="equal">
      <formula>"Ok"</formula>
    </cfRule>
  </conditionalFormatting>
  <conditionalFormatting sqref="P22">
    <cfRule type="cellIs" dxfId="73" priority="1" operator="equal">
      <formula>"Nok"</formula>
    </cfRule>
    <cfRule type="cellIs" dxfId="72" priority="2" operator="equal">
      <formula>"Ok"</formula>
    </cfRule>
  </conditionalFormatting>
  <dataValidations count="3">
    <dataValidation type="list" allowBlank="1" showInputMessage="1" showErrorMessage="1" sqref="P22:P30" xr:uid="{F2E78906-D6E9-4876-B599-CFA0B5DF8DA7}">
      <formula1>"Ok, Nok, Not run, ,"</formula1>
    </dataValidation>
    <dataValidation type="list" allowBlank="1" showInputMessage="1" showErrorMessage="1" sqref="B9" xr:uid="{F52D55C1-8527-4480-8A96-A9298BDBBF87}">
      <formula1>"Ok, Nok, Not run, NA"</formula1>
    </dataValidation>
    <dataValidation type="list" allowBlank="1" showInputMessage="1" showErrorMessage="1" sqref="B5" xr:uid="{4DA15725-F7A7-4104-AF49-DB1ABF75196F}">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53EA2-E9AE-49AA-893B-EC76AC04FE3C}">
  <sheetPr codeName="Sheet23"/>
  <dimension ref="A1:P32"/>
  <sheetViews>
    <sheetView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36" t="s">
        <v>260</v>
      </c>
      <c r="C1" s="237"/>
      <c r="D1" s="237"/>
      <c r="E1" s="237"/>
      <c r="F1" s="237"/>
      <c r="G1" s="238"/>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193</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194</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30" customHeight="1" x14ac:dyDescent="0.25">
      <c r="A22" s="103" t="s">
        <v>49</v>
      </c>
      <c r="B22" s="201" t="s">
        <v>195</v>
      </c>
      <c r="C22" s="202"/>
      <c r="D22" s="202"/>
      <c r="E22" s="202"/>
      <c r="F22" s="202"/>
      <c r="G22" s="203"/>
      <c r="H22" s="222" t="s">
        <v>134</v>
      </c>
      <c r="I22" s="223"/>
      <c r="J22" s="223"/>
      <c r="K22" s="224"/>
      <c r="L22" s="222" t="s">
        <v>134</v>
      </c>
      <c r="M22" s="223"/>
      <c r="N22" s="223"/>
      <c r="O22" s="224"/>
      <c r="P22" s="97" t="s">
        <v>128</v>
      </c>
    </row>
    <row r="23" spans="1:16" x14ac:dyDescent="0.25">
      <c r="A23" s="103" t="s">
        <v>50</v>
      </c>
      <c r="B23" s="201"/>
      <c r="C23" s="202"/>
      <c r="D23" s="202"/>
      <c r="E23" s="202"/>
      <c r="F23" s="202"/>
      <c r="G23" s="203"/>
      <c r="H23" s="222"/>
      <c r="I23" s="223"/>
      <c r="J23" s="223"/>
      <c r="K23" s="224"/>
      <c r="L23" s="222"/>
      <c r="M23" s="223"/>
      <c r="N23" s="223"/>
      <c r="O23" s="224"/>
      <c r="P23" s="97"/>
    </row>
    <row r="24" spans="1:16" x14ac:dyDescent="0.25">
      <c r="A24" s="103" t="s">
        <v>51</v>
      </c>
      <c r="B24" s="201"/>
      <c r="C24" s="202"/>
      <c r="D24" s="202"/>
      <c r="E24" s="202"/>
      <c r="F24" s="202"/>
      <c r="G24" s="203"/>
      <c r="K24" s="109"/>
      <c r="O24" s="109"/>
      <c r="P24" s="97"/>
    </row>
    <row r="25" spans="1:16" x14ac:dyDescent="0.25">
      <c r="A25" s="103" t="s">
        <v>52</v>
      </c>
      <c r="B25" s="201"/>
      <c r="C25" s="202"/>
      <c r="D25" s="202"/>
      <c r="E25" s="202"/>
      <c r="F25" s="202"/>
      <c r="G25" s="203"/>
      <c r="H25" s="201"/>
      <c r="I25" s="202"/>
      <c r="J25" s="202"/>
      <c r="K25" s="203"/>
      <c r="L25" s="201"/>
      <c r="M25" s="202"/>
      <c r="N25" s="202"/>
      <c r="O25" s="203"/>
      <c r="P25" s="97"/>
    </row>
    <row r="26" spans="1:16" x14ac:dyDescent="0.25">
      <c r="A26" s="103" t="s">
        <v>53</v>
      </c>
      <c r="B26" s="225"/>
      <c r="C26" s="226"/>
      <c r="D26" s="226"/>
      <c r="E26" s="226"/>
      <c r="F26" s="226"/>
      <c r="G26" s="227"/>
      <c r="H26" s="194"/>
      <c r="I26" s="194"/>
      <c r="J26" s="194"/>
      <c r="K26" s="194"/>
      <c r="L26" s="201"/>
      <c r="M26" s="202"/>
      <c r="N26" s="202"/>
      <c r="O26" s="203"/>
      <c r="P26" s="97"/>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5">
    <mergeCell ref="B30:G30"/>
    <mergeCell ref="H30:K30"/>
    <mergeCell ref="L30:O30"/>
    <mergeCell ref="B23:G23"/>
    <mergeCell ref="B28:G28"/>
    <mergeCell ref="H28:K28"/>
    <mergeCell ref="L28:O28"/>
    <mergeCell ref="B29:G29"/>
    <mergeCell ref="H29:K29"/>
    <mergeCell ref="L29:O29"/>
    <mergeCell ref="B26:G26"/>
    <mergeCell ref="H26:K26"/>
    <mergeCell ref="L26:O26"/>
    <mergeCell ref="B27:G27"/>
    <mergeCell ref="H27:K27"/>
    <mergeCell ref="L27:O27"/>
    <mergeCell ref="H23:K23"/>
    <mergeCell ref="L23:O23"/>
    <mergeCell ref="B24:G24"/>
    <mergeCell ref="B25:G25"/>
    <mergeCell ref="H25:K25"/>
    <mergeCell ref="L25:O25"/>
    <mergeCell ref="A21:G21"/>
    <mergeCell ref="H21:K21"/>
    <mergeCell ref="L21:O21"/>
    <mergeCell ref="H22:K22"/>
    <mergeCell ref="L22:O22"/>
    <mergeCell ref="B22:G22"/>
    <mergeCell ref="A16:A19"/>
    <mergeCell ref="B16:G19"/>
    <mergeCell ref="B1:G1"/>
    <mergeCell ref="B3:G3"/>
    <mergeCell ref="B7:G7"/>
    <mergeCell ref="A11:A14"/>
    <mergeCell ref="B11:G14"/>
  </mergeCells>
  <phoneticPr fontId="42" type="noConversion"/>
  <conditionalFormatting sqref="B9:B10">
    <cfRule type="cellIs" dxfId="71" priority="13" operator="equal">
      <formula>"Nok"</formula>
    </cfRule>
    <cfRule type="cellIs" dxfId="70" priority="14" operator="equal">
      <formula>"Ok"</formula>
    </cfRule>
  </conditionalFormatting>
  <conditionalFormatting sqref="P26:P30">
    <cfRule type="cellIs" dxfId="69" priority="11" operator="equal">
      <formula>"Nok"</formula>
    </cfRule>
    <cfRule type="cellIs" dxfId="68" priority="12" operator="equal">
      <formula>"Ok"</formula>
    </cfRule>
  </conditionalFormatting>
  <conditionalFormatting sqref="P25">
    <cfRule type="cellIs" dxfId="67" priority="7" operator="equal">
      <formula>"Nok"</formula>
    </cfRule>
    <cfRule type="cellIs" dxfId="66" priority="8" operator="equal">
      <formula>"Ok"</formula>
    </cfRule>
  </conditionalFormatting>
  <conditionalFormatting sqref="P23">
    <cfRule type="cellIs" dxfId="65" priority="5" operator="equal">
      <formula>"Nok"</formula>
    </cfRule>
    <cfRule type="cellIs" dxfId="64" priority="6" operator="equal">
      <formula>"Ok"</formula>
    </cfRule>
  </conditionalFormatting>
  <conditionalFormatting sqref="P24">
    <cfRule type="cellIs" dxfId="63" priority="3" operator="equal">
      <formula>"Nok"</formula>
    </cfRule>
    <cfRule type="cellIs" dxfId="62" priority="4" operator="equal">
      <formula>"Ok"</formula>
    </cfRule>
  </conditionalFormatting>
  <conditionalFormatting sqref="P22">
    <cfRule type="cellIs" dxfId="61" priority="1" operator="equal">
      <formula>"Nok"</formula>
    </cfRule>
    <cfRule type="cellIs" dxfId="60" priority="2" operator="equal">
      <formula>"Ok"</formula>
    </cfRule>
  </conditionalFormatting>
  <dataValidations count="3">
    <dataValidation type="list" allowBlank="1" showInputMessage="1" showErrorMessage="1" sqref="B5" xr:uid="{BE320758-E359-4A9C-9229-89BD73EBBC69}">
      <formula1>"Nominal, Robustness, Endurance, Qualification"</formula1>
    </dataValidation>
    <dataValidation type="list" allowBlank="1" showInputMessage="1" showErrorMessage="1" sqref="B9" xr:uid="{9CFB098F-7D3E-478B-B5D5-DE5ABFC3D150}">
      <formula1>"Ok, Nok, Not run, NA"</formula1>
    </dataValidation>
    <dataValidation type="list" allowBlank="1" showInputMessage="1" showErrorMessage="1" sqref="P22:P30" xr:uid="{BE9C6B8E-BE00-4E0B-8A28-19CB3CB101CB}">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78EE4-CC55-4535-B335-3F3C4AC7A8DC}">
  <sheetPr codeName="Sheet25"/>
  <dimension ref="A1:P32"/>
  <sheetViews>
    <sheetView workbookViewId="0">
      <selection activeCell="L38" sqref="L38"/>
    </sheetView>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36" t="s">
        <v>262</v>
      </c>
      <c r="C1" s="237"/>
      <c r="D1" s="237"/>
      <c r="E1" s="237"/>
      <c r="F1" s="237"/>
      <c r="G1" s="238"/>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202</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196</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55.5" customHeight="1" x14ac:dyDescent="0.25">
      <c r="A22" s="103" t="s">
        <v>49</v>
      </c>
      <c r="B22" s="201" t="s">
        <v>197</v>
      </c>
      <c r="C22" s="202"/>
      <c r="D22" s="202"/>
      <c r="E22" s="202"/>
      <c r="F22" s="202"/>
      <c r="G22" s="203"/>
      <c r="H22" s="222" t="s">
        <v>134</v>
      </c>
      <c r="I22" s="223"/>
      <c r="J22" s="223"/>
      <c r="K22" s="224"/>
      <c r="L22" s="222" t="s">
        <v>134</v>
      </c>
      <c r="M22" s="223"/>
      <c r="N22" s="223"/>
      <c r="O22" s="224"/>
      <c r="P22" s="97" t="s">
        <v>128</v>
      </c>
    </row>
    <row r="23" spans="1:16" ht="51.75" customHeight="1" x14ac:dyDescent="0.25">
      <c r="A23" s="103" t="s">
        <v>50</v>
      </c>
      <c r="B23" s="233" t="s">
        <v>198</v>
      </c>
      <c r="C23" s="234"/>
      <c r="D23" s="234"/>
      <c r="E23" s="234"/>
      <c r="F23" s="234"/>
      <c r="G23" s="235"/>
      <c r="H23" s="222" t="s">
        <v>134</v>
      </c>
      <c r="I23" s="223"/>
      <c r="J23" s="223"/>
      <c r="K23" s="224"/>
      <c r="L23" s="222" t="s">
        <v>134</v>
      </c>
      <c r="M23" s="223"/>
      <c r="N23" s="223"/>
      <c r="O23" s="224"/>
      <c r="P23" s="97" t="s">
        <v>128</v>
      </c>
    </row>
    <row r="24" spans="1:16" x14ac:dyDescent="0.25">
      <c r="A24" s="103" t="s">
        <v>51</v>
      </c>
      <c r="B24" s="201"/>
      <c r="C24" s="202"/>
      <c r="D24" s="202"/>
      <c r="E24" s="202"/>
      <c r="F24" s="202"/>
      <c r="G24" s="203"/>
      <c r="K24" s="109"/>
      <c r="O24" s="109"/>
      <c r="P24" s="97"/>
    </row>
    <row r="25" spans="1:16" x14ac:dyDescent="0.25">
      <c r="A25" s="103" t="s">
        <v>52</v>
      </c>
      <c r="B25" s="201"/>
      <c r="C25" s="202"/>
      <c r="D25" s="202"/>
      <c r="E25" s="202"/>
      <c r="F25" s="202"/>
      <c r="G25" s="203"/>
      <c r="H25" s="201"/>
      <c r="I25" s="202"/>
      <c r="J25" s="202"/>
      <c r="K25" s="203"/>
      <c r="L25" s="201"/>
      <c r="M25" s="202"/>
      <c r="N25" s="202"/>
      <c r="O25" s="203"/>
      <c r="P25" s="97"/>
    </row>
    <row r="26" spans="1:16" x14ac:dyDescent="0.25">
      <c r="A26" s="103" t="s">
        <v>53</v>
      </c>
      <c r="B26" s="225"/>
      <c r="C26" s="226"/>
      <c r="D26" s="226"/>
      <c r="E26" s="226"/>
      <c r="F26" s="226"/>
      <c r="G26" s="227"/>
      <c r="H26" s="194"/>
      <c r="I26" s="194"/>
      <c r="J26" s="194"/>
      <c r="K26" s="194"/>
      <c r="L26" s="201"/>
      <c r="M26" s="202"/>
      <c r="N26" s="202"/>
      <c r="O26" s="203"/>
      <c r="P26" s="97"/>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5">
    <mergeCell ref="B30:G30"/>
    <mergeCell ref="H30:K30"/>
    <mergeCell ref="L30:O30"/>
    <mergeCell ref="B28:G28"/>
    <mergeCell ref="H28:K28"/>
    <mergeCell ref="L28:O28"/>
    <mergeCell ref="B29:G29"/>
    <mergeCell ref="H29:K29"/>
    <mergeCell ref="L29:O29"/>
    <mergeCell ref="B26:G26"/>
    <mergeCell ref="H26:K26"/>
    <mergeCell ref="L26:O26"/>
    <mergeCell ref="B27:G27"/>
    <mergeCell ref="H27:K27"/>
    <mergeCell ref="L27:O27"/>
    <mergeCell ref="B23:G23"/>
    <mergeCell ref="H23:K23"/>
    <mergeCell ref="L23:O23"/>
    <mergeCell ref="B24:G24"/>
    <mergeCell ref="B25:G25"/>
    <mergeCell ref="H25:K25"/>
    <mergeCell ref="L25:O25"/>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59" priority="13" operator="equal">
      <formula>"Nok"</formula>
    </cfRule>
    <cfRule type="cellIs" dxfId="58" priority="14" operator="equal">
      <formula>"Ok"</formula>
    </cfRule>
  </conditionalFormatting>
  <conditionalFormatting sqref="P26:P30">
    <cfRule type="cellIs" dxfId="57" priority="11" operator="equal">
      <formula>"Nok"</formula>
    </cfRule>
    <cfRule type="cellIs" dxfId="56" priority="12" operator="equal">
      <formula>"Ok"</formula>
    </cfRule>
  </conditionalFormatting>
  <conditionalFormatting sqref="P22">
    <cfRule type="cellIs" dxfId="55" priority="9" operator="equal">
      <formula>"Nok"</formula>
    </cfRule>
    <cfRule type="cellIs" dxfId="54" priority="10" operator="equal">
      <formula>"Ok"</formula>
    </cfRule>
  </conditionalFormatting>
  <conditionalFormatting sqref="P25">
    <cfRule type="cellIs" dxfId="53" priority="7" operator="equal">
      <formula>"Nok"</formula>
    </cfRule>
    <cfRule type="cellIs" dxfId="52" priority="8" operator="equal">
      <formula>"Ok"</formula>
    </cfRule>
  </conditionalFormatting>
  <conditionalFormatting sqref="P24">
    <cfRule type="cellIs" dxfId="51" priority="3" operator="equal">
      <formula>"Nok"</formula>
    </cfRule>
    <cfRule type="cellIs" dxfId="50" priority="4" operator="equal">
      <formula>"Ok"</formula>
    </cfRule>
  </conditionalFormatting>
  <conditionalFormatting sqref="P23">
    <cfRule type="cellIs" dxfId="49" priority="1" operator="equal">
      <formula>"Nok"</formula>
    </cfRule>
    <cfRule type="cellIs" dxfId="48" priority="2" operator="equal">
      <formula>"Ok"</formula>
    </cfRule>
  </conditionalFormatting>
  <dataValidations count="3">
    <dataValidation type="list" allowBlank="1" showInputMessage="1" showErrorMessage="1" sqref="B5" xr:uid="{A34D4182-1CEF-406C-99DB-068DB0EA30B6}">
      <formula1>"Nominal, Robustness, Endurance, Qualification"</formula1>
    </dataValidation>
    <dataValidation type="list" allowBlank="1" showInputMessage="1" showErrorMessage="1" sqref="B9" xr:uid="{E0D331FC-C5B2-4CA0-A211-021C65C3FCFD}">
      <formula1>"Ok, Nok, Not run, NA"</formula1>
    </dataValidation>
    <dataValidation type="list" allowBlank="1" showInputMessage="1" showErrorMessage="1" sqref="P22:P30" xr:uid="{8AB69C1C-FE84-4F04-BBAB-4E40E971313A}">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F2160-B320-47D4-8BD4-81516418EE92}">
  <sheetPr codeName="Sheet24"/>
  <dimension ref="A1:P32"/>
  <sheetViews>
    <sheetView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36" t="s">
        <v>261</v>
      </c>
      <c r="C1" s="237"/>
      <c r="D1" s="237"/>
      <c r="E1" s="237"/>
      <c r="F1" s="237"/>
      <c r="G1" s="238"/>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203</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198" t="s">
        <v>199</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63" customHeight="1" x14ac:dyDescent="0.25">
      <c r="A22" s="103" t="s">
        <v>49</v>
      </c>
      <c r="B22" s="201" t="s">
        <v>222</v>
      </c>
      <c r="C22" s="202"/>
      <c r="D22" s="202"/>
      <c r="E22" s="202"/>
      <c r="F22" s="202"/>
      <c r="G22" s="203"/>
      <c r="H22" s="222" t="s">
        <v>134</v>
      </c>
      <c r="I22" s="223"/>
      <c r="J22" s="223"/>
      <c r="K22" s="224"/>
      <c r="L22" s="222" t="s">
        <v>134</v>
      </c>
      <c r="M22" s="223"/>
      <c r="N22" s="223"/>
      <c r="O22" s="224"/>
      <c r="P22" s="97" t="s">
        <v>128</v>
      </c>
    </row>
    <row r="23" spans="1:16" ht="53.25" customHeight="1" x14ac:dyDescent="0.25">
      <c r="A23" s="103" t="s">
        <v>50</v>
      </c>
      <c r="B23" s="233" t="s">
        <v>200</v>
      </c>
      <c r="C23" s="234"/>
      <c r="D23" s="234"/>
      <c r="E23" s="234"/>
      <c r="F23" s="234"/>
      <c r="G23" s="235"/>
      <c r="H23" s="222" t="s">
        <v>134</v>
      </c>
      <c r="I23" s="223"/>
      <c r="J23" s="223"/>
      <c r="K23" s="224"/>
      <c r="L23" s="222" t="s">
        <v>134</v>
      </c>
      <c r="M23" s="223"/>
      <c r="N23" s="223"/>
      <c r="O23" s="224"/>
      <c r="P23" s="97" t="s">
        <v>128</v>
      </c>
    </row>
    <row r="24" spans="1:16" x14ac:dyDescent="0.25">
      <c r="A24" s="103" t="s">
        <v>51</v>
      </c>
      <c r="B24" s="201"/>
      <c r="C24" s="202"/>
      <c r="D24" s="202"/>
      <c r="E24" s="202"/>
      <c r="F24" s="202"/>
      <c r="G24" s="203"/>
      <c r="K24" s="109"/>
      <c r="O24" s="109"/>
      <c r="P24" s="97"/>
    </row>
    <row r="25" spans="1:16" x14ac:dyDescent="0.25">
      <c r="A25" s="103" t="s">
        <v>52</v>
      </c>
      <c r="B25" s="201"/>
      <c r="C25" s="202"/>
      <c r="D25" s="202"/>
      <c r="E25" s="202"/>
      <c r="F25" s="202"/>
      <c r="G25" s="203"/>
      <c r="H25" s="201"/>
      <c r="I25" s="202"/>
      <c r="J25" s="202"/>
      <c r="K25" s="203"/>
      <c r="L25" s="201"/>
      <c r="M25" s="202"/>
      <c r="N25" s="202"/>
      <c r="O25" s="203"/>
      <c r="P25" s="97"/>
    </row>
    <row r="26" spans="1:16" x14ac:dyDescent="0.25">
      <c r="A26" s="103" t="s">
        <v>53</v>
      </c>
      <c r="B26" s="225"/>
      <c r="C26" s="226"/>
      <c r="D26" s="226"/>
      <c r="E26" s="226"/>
      <c r="F26" s="226"/>
      <c r="G26" s="227"/>
      <c r="H26" s="194"/>
      <c r="I26" s="194"/>
      <c r="J26" s="194"/>
      <c r="K26" s="194"/>
      <c r="L26" s="201"/>
      <c r="M26" s="202"/>
      <c r="N26" s="202"/>
      <c r="O26" s="203"/>
      <c r="P26" s="97"/>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5">
    <mergeCell ref="B30:G30"/>
    <mergeCell ref="H30:K30"/>
    <mergeCell ref="L30:O30"/>
    <mergeCell ref="B28:G28"/>
    <mergeCell ref="H28:K28"/>
    <mergeCell ref="L28:O28"/>
    <mergeCell ref="B29:G29"/>
    <mergeCell ref="H29:K29"/>
    <mergeCell ref="L29:O29"/>
    <mergeCell ref="B26:G26"/>
    <mergeCell ref="H26:K26"/>
    <mergeCell ref="L26:O26"/>
    <mergeCell ref="B27:G27"/>
    <mergeCell ref="H27:K27"/>
    <mergeCell ref="L27:O27"/>
    <mergeCell ref="B23:G23"/>
    <mergeCell ref="H23:K23"/>
    <mergeCell ref="L23:O23"/>
    <mergeCell ref="B24:G24"/>
    <mergeCell ref="B25:G25"/>
    <mergeCell ref="H25:K25"/>
    <mergeCell ref="L25:O25"/>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47" priority="15" operator="equal">
      <formula>"Nok"</formula>
    </cfRule>
    <cfRule type="cellIs" dxfId="46" priority="16" operator="equal">
      <formula>"Ok"</formula>
    </cfRule>
  </conditionalFormatting>
  <conditionalFormatting sqref="P26:P30">
    <cfRule type="cellIs" dxfId="45" priority="13" operator="equal">
      <formula>"Nok"</formula>
    </cfRule>
    <cfRule type="cellIs" dxfId="44" priority="14" operator="equal">
      <formula>"Ok"</formula>
    </cfRule>
  </conditionalFormatting>
  <conditionalFormatting sqref="P25">
    <cfRule type="cellIs" dxfId="43" priority="9" operator="equal">
      <formula>"Nok"</formula>
    </cfRule>
    <cfRule type="cellIs" dxfId="42" priority="10" operator="equal">
      <formula>"Ok"</formula>
    </cfRule>
  </conditionalFormatting>
  <conditionalFormatting sqref="P24">
    <cfRule type="cellIs" dxfId="41" priority="5" operator="equal">
      <formula>"Nok"</formula>
    </cfRule>
    <cfRule type="cellIs" dxfId="40" priority="6" operator="equal">
      <formula>"Ok"</formula>
    </cfRule>
  </conditionalFormatting>
  <conditionalFormatting sqref="P22">
    <cfRule type="cellIs" dxfId="39" priority="3" operator="equal">
      <formula>"Nok"</formula>
    </cfRule>
    <cfRule type="cellIs" dxfId="38" priority="4" operator="equal">
      <formula>"Ok"</formula>
    </cfRule>
  </conditionalFormatting>
  <conditionalFormatting sqref="P23">
    <cfRule type="cellIs" dxfId="37" priority="1" operator="equal">
      <formula>"Nok"</formula>
    </cfRule>
    <cfRule type="cellIs" dxfId="36" priority="2" operator="equal">
      <formula>"Ok"</formula>
    </cfRule>
  </conditionalFormatting>
  <dataValidations count="3">
    <dataValidation type="list" allowBlank="1" showInputMessage="1" showErrorMessage="1" sqref="P22:P30" xr:uid="{5CA62539-A74F-4037-BE97-FF2DCCBDF1AB}">
      <formula1>"Ok, Nok, Not run, ,"</formula1>
    </dataValidation>
    <dataValidation type="list" allowBlank="1" showInputMessage="1" showErrorMessage="1" sqref="B9" xr:uid="{2A0CA721-249B-456C-AA00-7823C9F97310}">
      <formula1>"Ok, Nok, Not run, NA"</formula1>
    </dataValidation>
    <dataValidation type="list" allowBlank="1" showInputMessage="1" showErrorMessage="1" sqref="B5" xr:uid="{85DC4BEA-61CD-4F4E-911D-293DDA1D1422}">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EAD33-32F6-4A12-AE33-D5EDEF48DA34}">
  <sheetPr codeName="Sheet26"/>
  <dimension ref="A1:P32"/>
  <sheetViews>
    <sheetView workbookViewId="0"/>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36" t="s">
        <v>263</v>
      </c>
      <c r="C1" s="237"/>
      <c r="D1" s="237"/>
      <c r="E1" s="237"/>
      <c r="F1" s="237"/>
      <c r="G1" s="238"/>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201</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239" t="s">
        <v>210</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128</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42.75" customHeight="1" x14ac:dyDescent="0.25">
      <c r="A22" s="103" t="s">
        <v>49</v>
      </c>
      <c r="B22" s="201" t="s">
        <v>219</v>
      </c>
      <c r="C22" s="202"/>
      <c r="D22" s="202"/>
      <c r="E22" s="202"/>
      <c r="F22" s="202"/>
      <c r="G22" s="203"/>
      <c r="H22" s="194" t="s">
        <v>134</v>
      </c>
      <c r="I22" s="194"/>
      <c r="J22" s="194"/>
      <c r="K22" s="194"/>
      <c r="L22" s="194" t="s">
        <v>134</v>
      </c>
      <c r="M22" s="194"/>
      <c r="N22" s="194"/>
      <c r="O22" s="194"/>
      <c r="P22" s="97" t="s">
        <v>128</v>
      </c>
    </row>
    <row r="23" spans="1:16" x14ac:dyDescent="0.25">
      <c r="A23" s="103" t="s">
        <v>50</v>
      </c>
      <c r="B23" s="228"/>
      <c r="C23" s="229"/>
      <c r="D23" s="229"/>
      <c r="E23" s="229"/>
      <c r="F23" s="229"/>
      <c r="G23" s="230"/>
      <c r="H23" s="194"/>
      <c r="I23" s="194"/>
      <c r="J23" s="194"/>
      <c r="K23" s="194"/>
      <c r="L23" s="194"/>
      <c r="M23" s="194"/>
      <c r="N23" s="194"/>
      <c r="O23" s="194"/>
      <c r="P23" s="97"/>
    </row>
    <row r="24" spans="1:16" x14ac:dyDescent="0.25">
      <c r="A24" s="103" t="s">
        <v>51</v>
      </c>
      <c r="B24" s="201"/>
      <c r="C24" s="202"/>
      <c r="D24" s="202"/>
      <c r="E24" s="202"/>
      <c r="F24" s="202"/>
      <c r="G24" s="203"/>
      <c r="K24" s="109"/>
      <c r="O24" s="109"/>
      <c r="P24" s="97"/>
    </row>
    <row r="25" spans="1:16" x14ac:dyDescent="0.25">
      <c r="A25" s="103" t="s">
        <v>52</v>
      </c>
      <c r="B25" s="201"/>
      <c r="C25" s="202"/>
      <c r="D25" s="202"/>
      <c r="E25" s="202"/>
      <c r="F25" s="202"/>
      <c r="G25" s="203"/>
      <c r="H25" s="201"/>
      <c r="I25" s="202"/>
      <c r="J25" s="202"/>
      <c r="K25" s="203"/>
      <c r="L25" s="201"/>
      <c r="M25" s="202"/>
      <c r="N25" s="202"/>
      <c r="O25" s="203"/>
      <c r="P25" s="97"/>
    </row>
    <row r="26" spans="1:16" x14ac:dyDescent="0.25">
      <c r="A26" s="103" t="s">
        <v>53</v>
      </c>
      <c r="B26" s="225"/>
      <c r="C26" s="226"/>
      <c r="D26" s="226"/>
      <c r="E26" s="226"/>
      <c r="F26" s="226"/>
      <c r="G26" s="227"/>
      <c r="H26" s="194"/>
      <c r="I26" s="194"/>
      <c r="J26" s="194"/>
      <c r="K26" s="194"/>
      <c r="L26" s="201"/>
      <c r="M26" s="202"/>
      <c r="N26" s="202"/>
      <c r="O26" s="203"/>
      <c r="P26" s="97"/>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5">
    <mergeCell ref="B30:G30"/>
    <mergeCell ref="H30:K30"/>
    <mergeCell ref="L30:O30"/>
    <mergeCell ref="B28:G28"/>
    <mergeCell ref="H28:K28"/>
    <mergeCell ref="L28:O28"/>
    <mergeCell ref="B29:G29"/>
    <mergeCell ref="H29:K29"/>
    <mergeCell ref="L29:O29"/>
    <mergeCell ref="B26:G26"/>
    <mergeCell ref="H26:K26"/>
    <mergeCell ref="L26:O26"/>
    <mergeCell ref="B27:G27"/>
    <mergeCell ref="H27:K27"/>
    <mergeCell ref="L27:O27"/>
    <mergeCell ref="B23:G23"/>
    <mergeCell ref="H23:K23"/>
    <mergeCell ref="L23:O23"/>
    <mergeCell ref="B24:G24"/>
    <mergeCell ref="B25:G25"/>
    <mergeCell ref="H25:K25"/>
    <mergeCell ref="L25:O25"/>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35" priority="11" operator="equal">
      <formula>"Nok"</formula>
    </cfRule>
    <cfRule type="cellIs" dxfId="34" priority="12" operator="equal">
      <formula>"Ok"</formula>
    </cfRule>
  </conditionalFormatting>
  <conditionalFormatting sqref="P26:P30">
    <cfRule type="cellIs" dxfId="33" priority="9" operator="equal">
      <formula>"Nok"</formula>
    </cfRule>
    <cfRule type="cellIs" dxfId="32" priority="10" operator="equal">
      <formula>"Ok"</formula>
    </cfRule>
  </conditionalFormatting>
  <conditionalFormatting sqref="P22">
    <cfRule type="cellIs" dxfId="31" priority="7" operator="equal">
      <formula>"Nok"</formula>
    </cfRule>
    <cfRule type="cellIs" dxfId="30" priority="8" operator="equal">
      <formula>"Ok"</formula>
    </cfRule>
  </conditionalFormatting>
  <conditionalFormatting sqref="P25">
    <cfRule type="cellIs" dxfId="29" priority="5" operator="equal">
      <formula>"Nok"</formula>
    </cfRule>
    <cfRule type="cellIs" dxfId="28" priority="6" operator="equal">
      <formula>"Ok"</formula>
    </cfRule>
  </conditionalFormatting>
  <conditionalFormatting sqref="P23">
    <cfRule type="cellIs" dxfId="27" priority="3" operator="equal">
      <formula>"Nok"</formula>
    </cfRule>
    <cfRule type="cellIs" dxfId="26" priority="4" operator="equal">
      <formula>"Ok"</formula>
    </cfRule>
  </conditionalFormatting>
  <conditionalFormatting sqref="P24">
    <cfRule type="cellIs" dxfId="25" priority="1" operator="equal">
      <formula>"Nok"</formula>
    </cfRule>
    <cfRule type="cellIs" dxfId="24" priority="2" operator="equal">
      <formula>"Ok"</formula>
    </cfRule>
  </conditionalFormatting>
  <dataValidations count="3">
    <dataValidation type="list" allowBlank="1" showInputMessage="1" showErrorMessage="1" sqref="B5" xr:uid="{26F8ACE8-5EC1-4997-9541-CA9C606D19C4}">
      <formula1>"Nominal, Robustness, Endurance, Qualification"</formula1>
    </dataValidation>
    <dataValidation type="list" allowBlank="1" showInputMessage="1" showErrorMessage="1" sqref="B9" xr:uid="{1929B1AF-94A5-4FDD-BD0F-CFFA6B30055D}">
      <formula1>"Ok, Nok, Not run, NA"</formula1>
    </dataValidation>
    <dataValidation type="list" allowBlank="1" showInputMessage="1" showErrorMessage="1" sqref="P22:P30" xr:uid="{64278635-82DC-4D68-988B-92B4BB905A66}">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0B730-E50A-4696-A695-C7E91EB0EFC2}">
  <sheetPr codeName="Sheet27"/>
  <dimension ref="A1:P32"/>
  <sheetViews>
    <sheetView workbookViewId="0">
      <selection activeCell="H26" sqref="H26:K26"/>
    </sheetView>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36" t="s">
        <v>264</v>
      </c>
      <c r="C1" s="237"/>
      <c r="D1" s="237"/>
      <c r="E1" s="237"/>
      <c r="F1" s="237"/>
      <c r="G1" s="238"/>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204</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239" t="s">
        <v>205</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144</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54.75" customHeight="1" x14ac:dyDescent="0.25">
      <c r="A22" s="103" t="s">
        <v>49</v>
      </c>
      <c r="B22" s="201" t="s">
        <v>215</v>
      </c>
      <c r="C22" s="202"/>
      <c r="D22" s="202"/>
      <c r="E22" s="202"/>
      <c r="F22" s="202"/>
      <c r="G22" s="203"/>
      <c r="H22" s="194" t="s">
        <v>213</v>
      </c>
      <c r="I22" s="194"/>
      <c r="J22" s="194"/>
      <c r="K22" s="194"/>
      <c r="L22" s="194" t="s">
        <v>214</v>
      </c>
      <c r="M22" s="194"/>
      <c r="N22" s="194"/>
      <c r="O22" s="194"/>
      <c r="P22" s="97" t="s">
        <v>144</v>
      </c>
    </row>
    <row r="23" spans="1:16" x14ac:dyDescent="0.25">
      <c r="A23" s="103" t="s">
        <v>50</v>
      </c>
      <c r="B23" s="201"/>
      <c r="C23" s="202"/>
      <c r="D23" s="202"/>
      <c r="E23" s="202"/>
      <c r="F23" s="202"/>
      <c r="G23" s="203"/>
      <c r="H23" s="194"/>
      <c r="I23" s="194"/>
      <c r="J23" s="194"/>
      <c r="K23" s="194"/>
      <c r="L23" s="194"/>
      <c r="M23" s="194"/>
      <c r="N23" s="194"/>
      <c r="O23" s="194"/>
      <c r="P23" s="97"/>
    </row>
    <row r="24" spans="1:16" x14ac:dyDescent="0.25">
      <c r="A24" s="103" t="s">
        <v>51</v>
      </c>
      <c r="B24" s="201"/>
      <c r="C24" s="202"/>
      <c r="D24" s="202"/>
      <c r="E24" s="202"/>
      <c r="F24" s="202"/>
      <c r="G24" s="203"/>
      <c r="K24" s="109"/>
      <c r="O24" s="109"/>
      <c r="P24" s="97"/>
    </row>
    <row r="25" spans="1:16" x14ac:dyDescent="0.25">
      <c r="A25" s="103" t="s">
        <v>52</v>
      </c>
      <c r="B25" s="201"/>
      <c r="C25" s="202"/>
      <c r="D25" s="202"/>
      <c r="E25" s="202"/>
      <c r="F25" s="202"/>
      <c r="G25" s="203"/>
      <c r="H25" s="201"/>
      <c r="I25" s="202"/>
      <c r="J25" s="202"/>
      <c r="K25" s="203"/>
      <c r="L25" s="201"/>
      <c r="M25" s="202"/>
      <c r="N25" s="202"/>
      <c r="O25" s="203"/>
      <c r="P25" s="97"/>
    </row>
    <row r="26" spans="1:16" x14ac:dyDescent="0.25">
      <c r="A26" s="103" t="s">
        <v>53</v>
      </c>
      <c r="B26" s="225"/>
      <c r="C26" s="226"/>
      <c r="D26" s="226"/>
      <c r="E26" s="226"/>
      <c r="F26" s="226"/>
      <c r="G26" s="227"/>
      <c r="H26" s="194"/>
      <c r="I26" s="194"/>
      <c r="J26" s="194"/>
      <c r="K26" s="194"/>
      <c r="L26" s="201"/>
      <c r="M26" s="202"/>
      <c r="N26" s="202"/>
      <c r="O26" s="203"/>
      <c r="P26" s="97"/>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5">
    <mergeCell ref="B30:G30"/>
    <mergeCell ref="H30:K30"/>
    <mergeCell ref="L30:O30"/>
    <mergeCell ref="B28:G28"/>
    <mergeCell ref="H28:K28"/>
    <mergeCell ref="L28:O28"/>
    <mergeCell ref="B29:G29"/>
    <mergeCell ref="H29:K29"/>
    <mergeCell ref="L29:O29"/>
    <mergeCell ref="B26:G26"/>
    <mergeCell ref="H26:K26"/>
    <mergeCell ref="L26:O26"/>
    <mergeCell ref="B27:G27"/>
    <mergeCell ref="H27:K27"/>
    <mergeCell ref="L27:O27"/>
    <mergeCell ref="B23:G23"/>
    <mergeCell ref="H23:K23"/>
    <mergeCell ref="L23:O23"/>
    <mergeCell ref="B24:G24"/>
    <mergeCell ref="B25:G25"/>
    <mergeCell ref="H25:K25"/>
    <mergeCell ref="L25:O25"/>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23" priority="11" operator="equal">
      <formula>"Nok"</formula>
    </cfRule>
    <cfRule type="cellIs" dxfId="22" priority="12" operator="equal">
      <formula>"Ok"</formula>
    </cfRule>
  </conditionalFormatting>
  <conditionalFormatting sqref="P26:P30">
    <cfRule type="cellIs" dxfId="21" priority="9" operator="equal">
      <formula>"Nok"</formula>
    </cfRule>
    <cfRule type="cellIs" dxfId="20" priority="10" operator="equal">
      <formula>"Ok"</formula>
    </cfRule>
  </conditionalFormatting>
  <conditionalFormatting sqref="P22">
    <cfRule type="cellIs" dxfId="19" priority="7" operator="equal">
      <formula>"Nok"</formula>
    </cfRule>
    <cfRule type="cellIs" dxfId="18" priority="8" operator="equal">
      <formula>"Ok"</formula>
    </cfRule>
  </conditionalFormatting>
  <conditionalFormatting sqref="P25">
    <cfRule type="cellIs" dxfId="17" priority="5" operator="equal">
      <formula>"Nok"</formula>
    </cfRule>
    <cfRule type="cellIs" dxfId="16" priority="6" operator="equal">
      <formula>"Ok"</formula>
    </cfRule>
  </conditionalFormatting>
  <conditionalFormatting sqref="P23">
    <cfRule type="cellIs" dxfId="15" priority="3" operator="equal">
      <formula>"Nok"</formula>
    </cfRule>
    <cfRule type="cellIs" dxfId="14" priority="4" operator="equal">
      <formula>"Ok"</formula>
    </cfRule>
  </conditionalFormatting>
  <conditionalFormatting sqref="P24">
    <cfRule type="cellIs" dxfId="13" priority="1" operator="equal">
      <formula>"Nok"</formula>
    </cfRule>
    <cfRule type="cellIs" dxfId="12" priority="2" operator="equal">
      <formula>"Ok"</formula>
    </cfRule>
  </conditionalFormatting>
  <dataValidations count="3">
    <dataValidation type="list" allowBlank="1" showInputMessage="1" showErrorMessage="1" sqref="P22:P30" xr:uid="{E51FBB10-8032-4F38-89D4-2639DC458543}">
      <formula1>"Ok, Nok, Not run, ,"</formula1>
    </dataValidation>
    <dataValidation type="list" allowBlank="1" showInputMessage="1" showErrorMessage="1" sqref="B9" xr:uid="{031E2575-B4B4-4138-9820-5160C7FA810E}">
      <formula1>"Ok, Nok, Not run, NA"</formula1>
    </dataValidation>
    <dataValidation type="list" allowBlank="1" showInputMessage="1" showErrorMessage="1" sqref="B5" xr:uid="{AD396202-95BD-4141-BB48-BD55251914FB}">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F5FFA-6185-48E4-8E34-5F39FA5DF97F}">
  <sheetPr codeName="Sheet28"/>
  <dimension ref="A1:P32"/>
  <sheetViews>
    <sheetView workbookViewId="0">
      <selection activeCell="B9" sqref="B9"/>
    </sheetView>
  </sheetViews>
  <sheetFormatPr defaultColWidth="9.33203125" defaultRowHeight="13.2" x14ac:dyDescent="0.25"/>
  <cols>
    <col min="1" max="1" width="20.33203125" style="99" customWidth="1"/>
    <col min="2" max="2" width="18.44140625" style="95" customWidth="1"/>
    <col min="3" max="7" width="9.33203125" style="95"/>
    <col min="8" max="15" width="9.5546875" style="95" customWidth="1"/>
    <col min="16" max="16384" width="9.33203125" style="95"/>
  </cols>
  <sheetData>
    <row r="1" spans="1:15" ht="13.8" thickBot="1" x14ac:dyDescent="0.3">
      <c r="A1" s="100" t="s">
        <v>40</v>
      </c>
      <c r="B1" s="236" t="s">
        <v>265</v>
      </c>
      <c r="C1" s="237"/>
      <c r="D1" s="237"/>
      <c r="E1" s="237"/>
      <c r="F1" s="237"/>
      <c r="G1" s="238"/>
      <c r="H1" s="73"/>
      <c r="I1" s="73"/>
      <c r="J1" s="73"/>
      <c r="K1" s="73"/>
      <c r="L1" s="73"/>
      <c r="M1" s="73"/>
      <c r="N1" s="73"/>
      <c r="O1" s="73"/>
    </row>
    <row r="2" spans="1:15" ht="13.8" thickBot="1" x14ac:dyDescent="0.3">
      <c r="A2" s="71"/>
      <c r="B2" s="72"/>
      <c r="C2" s="72"/>
      <c r="D2" s="73"/>
      <c r="E2" s="73"/>
      <c r="F2" s="73"/>
      <c r="G2" s="73"/>
      <c r="H2" s="73"/>
      <c r="I2" s="73"/>
      <c r="J2" s="73"/>
      <c r="K2" s="73"/>
      <c r="L2" s="73"/>
      <c r="M2" s="73"/>
      <c r="N2" s="73"/>
      <c r="O2" s="73"/>
    </row>
    <row r="3" spans="1:15" ht="27" thickBot="1" x14ac:dyDescent="0.3">
      <c r="A3" s="101" t="s">
        <v>45</v>
      </c>
      <c r="B3" s="198" t="s">
        <v>206</v>
      </c>
      <c r="C3" s="199"/>
      <c r="D3" s="199"/>
      <c r="E3" s="199"/>
      <c r="F3" s="199"/>
      <c r="G3" s="200"/>
      <c r="H3" s="73"/>
      <c r="I3" s="73"/>
      <c r="J3" s="73"/>
      <c r="K3" s="73"/>
      <c r="L3" s="73"/>
      <c r="M3" s="73"/>
      <c r="N3" s="73"/>
      <c r="O3" s="73"/>
    </row>
    <row r="4" spans="1:15" ht="13.8" thickBot="1" x14ac:dyDescent="0.3">
      <c r="A4" s="71"/>
      <c r="B4" s="72"/>
      <c r="C4" s="72"/>
      <c r="D4" s="73"/>
      <c r="E4" s="73"/>
      <c r="F4" s="73"/>
      <c r="G4" s="73"/>
      <c r="H4" s="73"/>
      <c r="I4" s="73"/>
      <c r="J4" s="73"/>
      <c r="K4" s="73"/>
      <c r="L4" s="73"/>
      <c r="M4" s="73"/>
      <c r="N4" s="73"/>
      <c r="O4" s="73"/>
    </row>
    <row r="5" spans="1:15" ht="13.8" thickBot="1" x14ac:dyDescent="0.3">
      <c r="A5" s="100" t="s">
        <v>107</v>
      </c>
      <c r="B5" s="76" t="s">
        <v>129</v>
      </c>
      <c r="C5" s="72"/>
      <c r="D5" s="73"/>
      <c r="E5" s="73"/>
      <c r="F5" s="73"/>
      <c r="G5" s="73"/>
      <c r="H5" s="73"/>
      <c r="I5" s="73"/>
      <c r="J5" s="73"/>
      <c r="K5" s="73"/>
      <c r="L5" s="73"/>
      <c r="M5" s="73"/>
      <c r="N5" s="73"/>
      <c r="O5" s="73"/>
    </row>
    <row r="6" spans="1:15" ht="13.8" thickBot="1" x14ac:dyDescent="0.3">
      <c r="A6" s="71"/>
      <c r="B6" s="72"/>
      <c r="C6" s="72"/>
      <c r="D6" s="73"/>
      <c r="E6" s="73"/>
      <c r="F6" s="73"/>
      <c r="G6" s="73"/>
      <c r="H6" s="73"/>
      <c r="I6" s="73"/>
      <c r="J6" s="73"/>
      <c r="K6" s="73"/>
      <c r="L6" s="73"/>
      <c r="M6" s="73"/>
      <c r="N6" s="73"/>
      <c r="O6" s="73"/>
    </row>
    <row r="7" spans="1:15" ht="13.8" thickBot="1" x14ac:dyDescent="0.3">
      <c r="A7" s="100" t="s">
        <v>41</v>
      </c>
      <c r="B7" s="239" t="s">
        <v>207</v>
      </c>
      <c r="C7" s="199"/>
      <c r="D7" s="199"/>
      <c r="E7" s="199"/>
      <c r="F7" s="199"/>
      <c r="G7" s="200"/>
      <c r="H7" s="73"/>
      <c r="I7" s="73"/>
      <c r="J7" s="73"/>
      <c r="K7" s="73"/>
      <c r="L7" s="73"/>
      <c r="M7" s="73"/>
      <c r="N7" s="73"/>
      <c r="O7" s="73"/>
    </row>
    <row r="8" spans="1:15" ht="13.8" thickBot="1" x14ac:dyDescent="0.3">
      <c r="A8" s="75"/>
      <c r="B8" s="74"/>
      <c r="C8" s="74"/>
      <c r="D8" s="74"/>
      <c r="E8" s="74"/>
      <c r="F8" s="74"/>
      <c r="G8" s="74"/>
      <c r="H8" s="73"/>
      <c r="I8" s="73"/>
      <c r="J8" s="73"/>
      <c r="K8" s="73"/>
      <c r="L8" s="73"/>
      <c r="M8" s="73"/>
      <c r="N8" s="73"/>
      <c r="O8" s="73"/>
    </row>
    <row r="9" spans="1:15" ht="13.8" thickBot="1" x14ac:dyDescent="0.3">
      <c r="A9" s="100" t="s">
        <v>42</v>
      </c>
      <c r="B9" s="104" t="s">
        <v>144</v>
      </c>
      <c r="C9" s="72"/>
      <c r="D9" s="73"/>
      <c r="E9" s="73"/>
      <c r="F9" s="73"/>
      <c r="G9" s="73"/>
      <c r="H9" s="73"/>
      <c r="I9" s="73"/>
      <c r="J9" s="73"/>
      <c r="K9" s="73"/>
      <c r="L9" s="73"/>
      <c r="M9" s="73"/>
      <c r="N9" s="73"/>
      <c r="O9" s="73"/>
    </row>
    <row r="10" spans="1:15" ht="13.8" thickBot="1" x14ac:dyDescent="0.3">
      <c r="A10" s="75"/>
      <c r="B10" s="96"/>
      <c r="C10" s="72"/>
      <c r="D10" s="73"/>
      <c r="E10" s="73"/>
      <c r="F10" s="73"/>
      <c r="G10" s="73"/>
      <c r="H10" s="73"/>
      <c r="I10" s="73"/>
      <c r="J10" s="73"/>
      <c r="K10" s="73"/>
      <c r="L10" s="73"/>
      <c r="M10" s="73"/>
      <c r="N10" s="73"/>
      <c r="O10" s="73"/>
    </row>
    <row r="11" spans="1:15" ht="12" customHeight="1" x14ac:dyDescent="0.25">
      <c r="A11" s="204" t="s">
        <v>109</v>
      </c>
      <c r="B11" s="209" t="s">
        <v>208</v>
      </c>
      <c r="C11" s="210"/>
      <c r="D11" s="210"/>
      <c r="E11" s="210"/>
      <c r="F11" s="210"/>
      <c r="G11" s="211"/>
      <c r="H11" s="73"/>
      <c r="I11" s="73"/>
      <c r="J11" s="73"/>
      <c r="K11" s="73"/>
      <c r="L11" s="73"/>
      <c r="M11" s="73"/>
      <c r="N11" s="73"/>
      <c r="O11" s="73"/>
    </row>
    <row r="12" spans="1:15" x14ac:dyDescent="0.25">
      <c r="A12" s="205"/>
      <c r="B12" s="212"/>
      <c r="C12" s="213"/>
      <c r="D12" s="213"/>
      <c r="E12" s="213"/>
      <c r="F12" s="213"/>
      <c r="G12" s="214"/>
      <c r="H12" s="73"/>
      <c r="I12" s="73"/>
      <c r="J12" s="73"/>
      <c r="K12" s="73"/>
      <c r="L12" s="73"/>
      <c r="M12" s="73"/>
      <c r="N12" s="73"/>
      <c r="O12" s="73"/>
    </row>
    <row r="13" spans="1:15" x14ac:dyDescent="0.25">
      <c r="A13" s="205"/>
      <c r="B13" s="212"/>
      <c r="C13" s="213"/>
      <c r="D13" s="213"/>
      <c r="E13" s="213"/>
      <c r="F13" s="213"/>
      <c r="G13" s="214"/>
      <c r="H13" s="71"/>
      <c r="I13" s="73"/>
      <c r="J13" s="73"/>
      <c r="K13" s="73"/>
      <c r="L13" s="73"/>
      <c r="M13" s="73"/>
      <c r="N13" s="73"/>
      <c r="O13" s="73"/>
    </row>
    <row r="14" spans="1:15" ht="13.8" thickBot="1" x14ac:dyDescent="0.3">
      <c r="A14" s="205"/>
      <c r="B14" s="215"/>
      <c r="C14" s="216"/>
      <c r="D14" s="216"/>
      <c r="E14" s="216"/>
      <c r="F14" s="216"/>
      <c r="G14" s="217"/>
      <c r="H14" s="77"/>
      <c r="I14" s="73"/>
      <c r="J14" s="73"/>
      <c r="K14" s="73"/>
      <c r="L14" s="73"/>
      <c r="M14" s="73"/>
      <c r="N14" s="73"/>
      <c r="O14" s="73"/>
    </row>
    <row r="15" spans="1:15" ht="13.8" thickBot="1" x14ac:dyDescent="0.3">
      <c r="A15" s="71"/>
      <c r="B15" s="71"/>
      <c r="C15" s="71"/>
      <c r="D15" s="71"/>
      <c r="E15" s="71"/>
      <c r="F15" s="71"/>
      <c r="G15" s="71"/>
      <c r="H15" s="77"/>
      <c r="I15" s="73"/>
      <c r="J15" s="73"/>
      <c r="K15" s="73"/>
      <c r="L15" s="73"/>
      <c r="M15" s="73"/>
      <c r="N15" s="73"/>
      <c r="O15" s="73"/>
    </row>
    <row r="16" spans="1:15" x14ac:dyDescent="0.25">
      <c r="A16" s="204" t="s">
        <v>43</v>
      </c>
      <c r="B16" s="209" t="s">
        <v>209</v>
      </c>
      <c r="C16" s="210"/>
      <c r="D16" s="210"/>
      <c r="E16" s="210"/>
      <c r="F16" s="210"/>
      <c r="G16" s="211"/>
      <c r="H16" s="73"/>
      <c r="I16" s="73"/>
      <c r="J16" s="73"/>
      <c r="K16" s="73"/>
      <c r="L16" s="73"/>
      <c r="M16" s="73"/>
      <c r="N16" s="73"/>
      <c r="O16" s="73"/>
    </row>
    <row r="17" spans="1:16" x14ac:dyDescent="0.25">
      <c r="A17" s="205"/>
      <c r="B17" s="212"/>
      <c r="C17" s="213"/>
      <c r="D17" s="213"/>
      <c r="E17" s="213"/>
      <c r="F17" s="213"/>
      <c r="G17" s="214"/>
      <c r="H17" s="73"/>
      <c r="I17" s="73"/>
      <c r="J17" s="73"/>
      <c r="K17" s="73"/>
      <c r="L17" s="73"/>
      <c r="M17" s="73"/>
      <c r="N17" s="73"/>
      <c r="O17" s="73"/>
    </row>
    <row r="18" spans="1:16" x14ac:dyDescent="0.25">
      <c r="A18" s="205"/>
      <c r="B18" s="212"/>
      <c r="C18" s="213"/>
      <c r="D18" s="213"/>
      <c r="E18" s="213"/>
      <c r="F18" s="213"/>
      <c r="G18" s="214"/>
      <c r="H18" s="71"/>
      <c r="I18" s="73"/>
      <c r="J18" s="73"/>
      <c r="K18" s="73"/>
      <c r="L18" s="73"/>
      <c r="M18" s="73"/>
      <c r="N18" s="73"/>
      <c r="O18" s="73"/>
    </row>
    <row r="19" spans="1:16" ht="13.8" thickBot="1" x14ac:dyDescent="0.3">
      <c r="A19" s="205"/>
      <c r="B19" s="215"/>
      <c r="C19" s="216"/>
      <c r="D19" s="216"/>
      <c r="E19" s="216"/>
      <c r="F19" s="216"/>
      <c r="G19" s="217"/>
      <c r="H19" s="77"/>
      <c r="I19" s="73"/>
      <c r="J19" s="73"/>
      <c r="K19" s="73"/>
      <c r="L19" s="73"/>
      <c r="M19" s="73"/>
      <c r="N19" s="73"/>
      <c r="O19" s="73"/>
    </row>
    <row r="20" spans="1:16" ht="13.8" thickBot="1" x14ac:dyDescent="0.3">
      <c r="A20" s="71"/>
      <c r="B20" s="71"/>
      <c r="C20" s="71"/>
      <c r="D20" s="71"/>
      <c r="E20" s="71"/>
      <c r="F20" s="71"/>
      <c r="G20" s="71"/>
      <c r="H20" s="77"/>
      <c r="I20" s="73"/>
      <c r="J20" s="73"/>
      <c r="K20" s="73"/>
      <c r="L20" s="73"/>
      <c r="M20" s="73"/>
      <c r="N20" s="73"/>
      <c r="O20" s="73"/>
    </row>
    <row r="21" spans="1:16" ht="12.75" customHeight="1" x14ac:dyDescent="0.25">
      <c r="A21" s="190" t="s">
        <v>47</v>
      </c>
      <c r="B21" s="191"/>
      <c r="C21" s="191"/>
      <c r="D21" s="191"/>
      <c r="E21" s="191"/>
      <c r="F21" s="191"/>
      <c r="G21" s="192"/>
      <c r="H21" s="190" t="s">
        <v>48</v>
      </c>
      <c r="I21" s="191"/>
      <c r="J21" s="191"/>
      <c r="K21" s="192"/>
      <c r="L21" s="190" t="s">
        <v>57</v>
      </c>
      <c r="M21" s="191"/>
      <c r="N21" s="191"/>
      <c r="O21" s="192"/>
      <c r="P21" s="102" t="s">
        <v>46</v>
      </c>
    </row>
    <row r="22" spans="1:16" ht="54" customHeight="1" x14ac:dyDescent="0.25">
      <c r="A22" s="103" t="s">
        <v>49</v>
      </c>
      <c r="B22" s="201" t="s">
        <v>216</v>
      </c>
      <c r="C22" s="202"/>
      <c r="D22" s="202"/>
      <c r="E22" s="202"/>
      <c r="F22" s="202"/>
      <c r="G22" s="203"/>
      <c r="H22" s="194" t="s">
        <v>217</v>
      </c>
      <c r="I22" s="194"/>
      <c r="J22" s="194"/>
      <c r="K22" s="194"/>
      <c r="L22" s="194" t="s">
        <v>218</v>
      </c>
      <c r="M22" s="194"/>
      <c r="N22" s="194"/>
      <c r="O22" s="194"/>
      <c r="P22" s="97" t="s">
        <v>144</v>
      </c>
    </row>
    <row r="23" spans="1:16" x14ac:dyDescent="0.25">
      <c r="A23" s="103" t="s">
        <v>50</v>
      </c>
      <c r="B23" s="228"/>
      <c r="C23" s="229"/>
      <c r="D23" s="229"/>
      <c r="E23" s="229"/>
      <c r="F23" s="229"/>
      <c r="G23" s="230"/>
      <c r="H23" s="194"/>
      <c r="I23" s="194"/>
      <c r="J23" s="194"/>
      <c r="K23" s="194"/>
      <c r="L23" s="194"/>
      <c r="M23" s="194"/>
      <c r="N23" s="194"/>
      <c r="O23" s="194"/>
      <c r="P23" s="97"/>
    </row>
    <row r="24" spans="1:16" x14ac:dyDescent="0.25">
      <c r="A24" s="103" t="s">
        <v>51</v>
      </c>
      <c r="B24" s="201"/>
      <c r="C24" s="202"/>
      <c r="D24" s="202"/>
      <c r="E24" s="202"/>
      <c r="F24" s="202"/>
      <c r="G24" s="203"/>
      <c r="K24" s="109"/>
      <c r="O24" s="109"/>
      <c r="P24" s="97"/>
    </row>
    <row r="25" spans="1:16" x14ac:dyDescent="0.25">
      <c r="A25" s="103" t="s">
        <v>52</v>
      </c>
      <c r="B25" s="201"/>
      <c r="C25" s="202"/>
      <c r="D25" s="202"/>
      <c r="E25" s="202"/>
      <c r="F25" s="202"/>
      <c r="G25" s="203"/>
      <c r="H25" s="201"/>
      <c r="I25" s="202"/>
      <c r="J25" s="202"/>
      <c r="K25" s="203"/>
      <c r="L25" s="201"/>
      <c r="M25" s="202"/>
      <c r="N25" s="202"/>
      <c r="O25" s="203"/>
      <c r="P25" s="97"/>
    </row>
    <row r="26" spans="1:16" x14ac:dyDescent="0.25">
      <c r="A26" s="103" t="s">
        <v>53</v>
      </c>
      <c r="B26" s="225"/>
      <c r="C26" s="226"/>
      <c r="D26" s="226"/>
      <c r="E26" s="226"/>
      <c r="F26" s="226"/>
      <c r="G26" s="227"/>
      <c r="H26" s="194"/>
      <c r="I26" s="194"/>
      <c r="J26" s="194"/>
      <c r="K26" s="194"/>
      <c r="L26" s="201"/>
      <c r="M26" s="202"/>
      <c r="N26" s="202"/>
      <c r="O26" s="203"/>
      <c r="P26" s="97"/>
    </row>
    <row r="27" spans="1:16" x14ac:dyDescent="0.25">
      <c r="A27" s="103" t="s">
        <v>54</v>
      </c>
      <c r="B27" s="201"/>
      <c r="C27" s="202"/>
      <c r="D27" s="202"/>
      <c r="E27" s="202"/>
      <c r="F27" s="202"/>
      <c r="G27" s="203"/>
      <c r="H27" s="194"/>
      <c r="I27" s="194"/>
      <c r="J27" s="194"/>
      <c r="K27" s="194"/>
      <c r="L27" s="194"/>
      <c r="M27" s="194"/>
      <c r="N27" s="194"/>
      <c r="O27" s="194"/>
      <c r="P27" s="97"/>
    </row>
    <row r="28" spans="1:16" x14ac:dyDescent="0.25">
      <c r="A28" s="103" t="s">
        <v>55</v>
      </c>
      <c r="B28" s="201"/>
      <c r="C28" s="202"/>
      <c r="D28" s="202"/>
      <c r="E28" s="202"/>
      <c r="F28" s="202"/>
      <c r="G28" s="203"/>
      <c r="H28" s="194"/>
      <c r="I28" s="194"/>
      <c r="J28" s="194"/>
      <c r="K28" s="194"/>
      <c r="L28" s="194"/>
      <c r="M28" s="194"/>
      <c r="N28" s="194"/>
      <c r="O28" s="194"/>
      <c r="P28" s="97"/>
    </row>
    <row r="29" spans="1:16" x14ac:dyDescent="0.25">
      <c r="A29" s="103" t="s">
        <v>220</v>
      </c>
      <c r="B29" s="201"/>
      <c r="C29" s="202"/>
      <c r="D29" s="202"/>
      <c r="E29" s="202"/>
      <c r="F29" s="202"/>
      <c r="G29" s="203"/>
      <c r="H29" s="194"/>
      <c r="I29" s="194"/>
      <c r="J29" s="194"/>
      <c r="K29" s="194"/>
      <c r="L29" s="194"/>
      <c r="M29" s="194"/>
      <c r="N29" s="194"/>
      <c r="O29" s="194"/>
      <c r="P29" s="97"/>
    </row>
    <row r="30" spans="1:16" ht="13.8" thickBot="1" x14ac:dyDescent="0.3">
      <c r="A30" s="103" t="s">
        <v>221</v>
      </c>
      <c r="B30" s="218"/>
      <c r="C30" s="219"/>
      <c r="D30" s="219"/>
      <c r="E30" s="219"/>
      <c r="F30" s="219"/>
      <c r="G30" s="220"/>
      <c r="H30" s="221"/>
      <c r="I30" s="221"/>
      <c r="J30" s="221"/>
      <c r="K30" s="221"/>
      <c r="L30" s="221"/>
      <c r="M30" s="221"/>
      <c r="N30" s="221"/>
      <c r="O30" s="221"/>
      <c r="P30" s="98"/>
    </row>
    <row r="31" spans="1:16" x14ac:dyDescent="0.25">
      <c r="B31" s="99"/>
      <c r="C31" s="99"/>
      <c r="D31" s="99"/>
      <c r="E31" s="99"/>
      <c r="F31" s="99"/>
      <c r="G31" s="99"/>
      <c r="H31" s="99"/>
    </row>
    <row r="32" spans="1:16" x14ac:dyDescent="0.25">
      <c r="B32" s="99"/>
      <c r="C32" s="99"/>
      <c r="D32" s="99"/>
      <c r="E32" s="99"/>
      <c r="F32" s="99"/>
      <c r="G32" s="99"/>
      <c r="H32" s="99"/>
    </row>
  </sheetData>
  <mergeCells count="35">
    <mergeCell ref="B30:G30"/>
    <mergeCell ref="H30:K30"/>
    <mergeCell ref="L30:O30"/>
    <mergeCell ref="B28:G28"/>
    <mergeCell ref="H28:K28"/>
    <mergeCell ref="L28:O28"/>
    <mergeCell ref="B29:G29"/>
    <mergeCell ref="H29:K29"/>
    <mergeCell ref="L29:O29"/>
    <mergeCell ref="B26:G26"/>
    <mergeCell ref="H26:K26"/>
    <mergeCell ref="L26:O26"/>
    <mergeCell ref="B27:G27"/>
    <mergeCell ref="H27:K27"/>
    <mergeCell ref="L27:O27"/>
    <mergeCell ref="B23:G23"/>
    <mergeCell ref="H23:K23"/>
    <mergeCell ref="L23:O23"/>
    <mergeCell ref="B24:G24"/>
    <mergeCell ref="B25:G25"/>
    <mergeCell ref="H25:K25"/>
    <mergeCell ref="L25:O25"/>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1" priority="11" operator="equal">
      <formula>"Nok"</formula>
    </cfRule>
    <cfRule type="cellIs" dxfId="10" priority="12" operator="equal">
      <formula>"Ok"</formula>
    </cfRule>
  </conditionalFormatting>
  <conditionalFormatting sqref="P26:P30">
    <cfRule type="cellIs" dxfId="9" priority="9" operator="equal">
      <formula>"Nok"</formula>
    </cfRule>
    <cfRule type="cellIs" dxfId="8" priority="10" operator="equal">
      <formula>"Ok"</formula>
    </cfRule>
  </conditionalFormatting>
  <conditionalFormatting sqref="P22">
    <cfRule type="cellIs" dxfId="7" priority="7" operator="equal">
      <formula>"Nok"</formula>
    </cfRule>
    <cfRule type="cellIs" dxfId="6" priority="8" operator="equal">
      <formula>"Ok"</formula>
    </cfRule>
  </conditionalFormatting>
  <conditionalFormatting sqref="P25">
    <cfRule type="cellIs" dxfId="5" priority="5" operator="equal">
      <formula>"Nok"</formula>
    </cfRule>
    <cfRule type="cellIs" dxfId="4" priority="6" operator="equal">
      <formula>"Ok"</formula>
    </cfRule>
  </conditionalFormatting>
  <conditionalFormatting sqref="P23">
    <cfRule type="cellIs" dxfId="3" priority="3" operator="equal">
      <formula>"Nok"</formula>
    </cfRule>
    <cfRule type="cellIs" dxfId="2" priority="4" operator="equal">
      <formula>"Ok"</formula>
    </cfRule>
  </conditionalFormatting>
  <conditionalFormatting sqref="P24">
    <cfRule type="cellIs" dxfId="1" priority="1" operator="equal">
      <formula>"Nok"</formula>
    </cfRule>
    <cfRule type="cellIs" dxfId="0" priority="2" operator="equal">
      <formula>"Ok"</formula>
    </cfRule>
  </conditionalFormatting>
  <dataValidations count="3">
    <dataValidation type="list" allowBlank="1" showInputMessage="1" showErrorMessage="1" sqref="B5" xr:uid="{FE9EB19A-47EC-44FD-959C-7C181C3CA2B8}">
      <formula1>"Nominal, Robustness, Endurance, Qualification"</formula1>
    </dataValidation>
    <dataValidation type="list" allowBlank="1" showInputMessage="1" showErrorMessage="1" sqref="B9" xr:uid="{CD85463E-A20E-440A-80A0-8D938020CFFE}">
      <formula1>"Ok, Nok, Not run, NA"</formula1>
    </dataValidation>
    <dataValidation type="list" allowBlank="1" showInputMessage="1" showErrorMessage="1" sqref="P22:P30" xr:uid="{171A64D3-0CB0-4AE9-BFAC-226F4BA6E606}">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F6"/>
  <sheetViews>
    <sheetView workbookViewId="0">
      <selection activeCell="C4" sqref="C4"/>
    </sheetView>
  </sheetViews>
  <sheetFormatPr defaultColWidth="9.33203125" defaultRowHeight="14.4" x14ac:dyDescent="0.3"/>
  <cols>
    <col min="1" max="1" width="4.33203125" style="78" customWidth="1"/>
    <col min="2" max="2" width="24.6640625" style="78" customWidth="1"/>
    <col min="3" max="3" width="4.5546875" style="78" customWidth="1"/>
    <col min="4" max="4" width="4.44140625" style="78" customWidth="1"/>
    <col min="5" max="5" width="29.6640625" style="78" bestFit="1" customWidth="1"/>
    <col min="6" max="6" width="7.6640625" style="78" bestFit="1" customWidth="1"/>
    <col min="7" max="16384" width="9.33203125" style="78"/>
  </cols>
  <sheetData>
    <row r="2" spans="2:6" x14ac:dyDescent="0.3">
      <c r="B2" s="79" t="s">
        <v>58</v>
      </c>
      <c r="C2" s="79">
        <f ca="1">COUNTIF('Tests Synthesis'!K3:K44, "Ok")</f>
        <v>15</v>
      </c>
      <c r="E2" s="80" t="s">
        <v>59</v>
      </c>
      <c r="F2" s="81">
        <f ca="1">IF(C6=0,0,C2/C6)</f>
        <v>0.78947368421052633</v>
      </c>
    </row>
    <row r="3" spans="2:6" x14ac:dyDescent="0.3">
      <c r="B3" s="79" t="s">
        <v>60</v>
      </c>
      <c r="C3" s="79">
        <f ca="1">COUNTIF('Tests Synthesis'!K3:K44, "Nok")</f>
        <v>4</v>
      </c>
      <c r="E3" s="80" t="s">
        <v>61</v>
      </c>
      <c r="F3" s="81">
        <f ca="1">IF(C6=0,0,C3/C6)</f>
        <v>0.21052631578947367</v>
      </c>
    </row>
    <row r="4" spans="2:6" x14ac:dyDescent="0.3">
      <c r="B4" s="79" t="s">
        <v>62</v>
      </c>
      <c r="C4" s="79">
        <f ca="1">COUNTIF('Tests Synthesis'!K3:K44, "not run")</f>
        <v>0</v>
      </c>
      <c r="E4" s="79" t="s">
        <v>63</v>
      </c>
      <c r="F4" s="81">
        <f ca="1">IF(C6=0,0,C4/C6)</f>
        <v>0</v>
      </c>
    </row>
    <row r="5" spans="2:6" x14ac:dyDescent="0.3">
      <c r="B5" s="79" t="s">
        <v>114</v>
      </c>
      <c r="C5" s="79">
        <f ca="1">COUNTIF('Tests Synthesis'!K4:K45, "NA")</f>
        <v>0</v>
      </c>
      <c r="E5" s="79" t="s">
        <v>115</v>
      </c>
      <c r="F5" s="81">
        <f>IF(C7=0,0,C5/C7)</f>
        <v>0</v>
      </c>
    </row>
    <row r="6" spans="2:6" x14ac:dyDescent="0.3">
      <c r="B6" s="79" t="s">
        <v>64</v>
      </c>
      <c r="C6" s="79">
        <f ca="1">SUM(C2:C4)</f>
        <v>19</v>
      </c>
    </row>
  </sheetData>
  <pageMargins left="0.7" right="0.7" top="0.75" bottom="0.75" header="0.3" footer="0.3"/>
  <pageSetup paperSize="9" orientation="portrait" r:id="rId1"/>
  <headerFooter>
    <oddFooter>&amp;LNA ver 1.3&amp;R&amp;P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12</vt:i4>
      </vt:variant>
    </vt:vector>
  </HeadingPairs>
  <TitlesOfParts>
    <vt:vector size="36" baseType="lpstr">
      <vt:lpstr>FrontPage</vt:lpstr>
      <vt:lpstr>General info</vt:lpstr>
      <vt:lpstr>Guide (help)</vt:lpstr>
      <vt:lpstr>Tests Synthesis</vt:lpstr>
      <vt:lpstr>SW_IT_BMM_0001</vt:lpstr>
      <vt:lpstr>SW_IT_BMM_0002</vt:lpstr>
      <vt:lpstr>SW_IT_BMM_0003</vt:lpstr>
      <vt:lpstr>SW_IT_BMM_0004</vt:lpstr>
      <vt:lpstr>SW_IT_BMM_0005</vt:lpstr>
      <vt:lpstr>SW_IT_BMM_0006</vt:lpstr>
      <vt:lpstr>SW_IT_BMM_0007</vt:lpstr>
      <vt:lpstr>SW_IT_BMM_0008</vt:lpstr>
      <vt:lpstr>SW_IT_BMM_0009</vt:lpstr>
      <vt:lpstr>SW_IT_BMM_0010</vt:lpstr>
      <vt:lpstr>SW_IT_BMM_0011</vt:lpstr>
      <vt:lpstr>SW_IT_BMM_0012</vt:lpstr>
      <vt:lpstr>SW_IT_BMM_0013</vt:lpstr>
      <vt:lpstr>SW_IT_BMM_0014</vt:lpstr>
      <vt:lpstr>SW_IT_BMM_0015</vt:lpstr>
      <vt:lpstr>SW_IT_BMM_0016</vt:lpstr>
      <vt:lpstr>SW_IT_BMM_0017</vt:lpstr>
      <vt:lpstr>SW_IT_BMM_0018</vt:lpstr>
      <vt:lpstr>SW_IT_BMM_0019</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Kask</dc:creator>
  <cp:lastModifiedBy>Mihai Ianos</cp:lastModifiedBy>
  <cp:lastPrinted>2011-11-28T23:54:39Z</cp:lastPrinted>
  <dcterms:created xsi:type="dcterms:W3CDTF">2008-08-11T11:06:44Z</dcterms:created>
  <dcterms:modified xsi:type="dcterms:W3CDTF">2022-10-27T13:58:12Z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Document created</vt:lpwstr>
  </property>
  <property fmtid="{D5CDD505-2E9C-101B-9397-08002B2CF9AE}" pid="8" name="MXAuthority_BusinessUnit">
    <vt:lpwstr/>
  </property>
  <property fmtid="{D5CDD505-2E9C-101B-9397-08002B2CF9AE}" pid="9" name="MXAuthority_Description">
    <vt:lpwstr>Process documents etc</vt:lpwstr>
  </property>
  <property fmtid="{D5CDD505-2E9C-101B-9397-08002B2CF9AE}" pid="10" name="MXAuthority_Owner">
    <vt:lpwstr>Marcus Klomark</vt:lpwstr>
  </property>
  <property fmtid="{D5CDD505-2E9C-101B-9397-08002B2CF9AE}" pid="11" name="MXAuthority_Program">
    <vt:lpwstr/>
  </property>
  <property fmtid="{D5CDD505-2E9C-101B-9397-08002B2CF9AE}" pid="12" name="MXCheckin Date">
    <vt:lpwstr>12/22/2010 8:58:03 AM</vt:lpwstr>
  </property>
  <property fmtid="{D5CDD505-2E9C-101B-9397-08002B2CF9AE}" pid="13" name="MXCheckin Reason">
    <vt:lpwstr>Revised by Johannes Kask</vt:lpwstr>
  </property>
  <property fmtid="{D5CDD505-2E9C-101B-9397-08002B2CF9AE}" pid="14" name="MXCheckin User" linkTarget="PLMDocAuthor">
    <vt:lpwstr>Ciprian Galbau</vt:lpwstr>
  </property>
  <property fmtid="{D5CDD505-2E9C-101B-9397-08002B2CF9AE}" pid="15" name="MXCurrent">
    <vt:lpwstr>Preliminary</vt:lpwstr>
  </property>
  <property fmtid="{D5CDD505-2E9C-101B-9397-08002B2CF9AE}" pid="16" name="MXDescription">
    <vt:lpwstr/>
  </property>
  <property fmtid="{D5CDD505-2E9C-101B-9397-08002B2CF9AE}" pid="17" name="MXDesignated User">
    <vt:lpwstr>Unassigned</vt:lpwstr>
  </property>
  <property fmtid="{D5CDD505-2E9C-101B-9397-08002B2CF9AE}" pid="18" name="MXEmail">
    <vt:lpwstr>johannes.kask@autoliv.com</vt:lpwstr>
  </property>
  <property fmtid="{D5CDD505-2E9C-101B-9397-08002B2CF9AE}" pid="19" name="MXFirstName">
    <vt:lpwstr>Johannes</vt:lpwstr>
  </property>
  <property fmtid="{D5CDD505-2E9C-101B-9397-08002B2CF9AE}" pid="20" name="MXIs Version Object">
    <vt:lpwstr>False</vt:lpwstr>
  </property>
  <property fmtid="{D5CDD505-2E9C-101B-9397-08002B2CF9AE}" pid="21" name="MXLanguage">
    <vt:lpwstr>English</vt:lpwstr>
  </property>
  <property fmtid="{D5CDD505-2E9C-101B-9397-08002B2CF9AE}" pid="22" name="MXLastName">
    <vt:lpwstr>Kask</vt:lpwstr>
  </property>
  <property fmtid="{D5CDD505-2E9C-101B-9397-08002B2CF9AE}" pid="23" name="MXLatestVersion">
    <vt:lpwstr>3</vt:lpwstr>
  </property>
  <property fmtid="{D5CDD505-2E9C-101B-9397-08002B2CF9AE}" pid="24" name="MXMiddleName">
    <vt:lpwstr/>
  </property>
  <property fmtid="{D5CDD505-2E9C-101B-9397-08002B2CF9AE}" pid="25" name="MXMove Files To Version">
    <vt:lpwstr>False</vt:lpwstr>
  </property>
  <property fmtid="{D5CDD505-2E9C-101B-9397-08002B2CF9AE}" pid="26" name="MXOriginator">
    <vt:lpwstr>Mats Sundin</vt:lpwstr>
  </property>
  <property fmtid="{D5CDD505-2E9C-101B-9397-08002B2CF9AE}" pid="27" name="MXPolicy" linkTarget="MXPolicy">
    <vt:lpwstr>#REF!</vt:lpwstr>
  </property>
  <property fmtid="{D5CDD505-2E9C-101B-9397-08002B2CF9AE}" pid="28" name="MXPolicy.Localized">
    <vt:lpwstr>NoReview Document</vt:lpwstr>
  </property>
  <property fmtid="{D5CDD505-2E9C-101B-9397-08002B2CF9AE}" pid="29" name="MXRoute_In-Work_date">
    <vt:lpwstr/>
  </property>
  <property fmtid="{D5CDD505-2E9C-101B-9397-08002B2CF9AE}" pid="30" name="MXRoute_In-Work_name">
    <vt:lpwstr/>
  </property>
  <property fmtid="{D5CDD505-2E9C-101B-9397-08002B2CF9AE}" pid="31" name="MXRoute_Released_date">
    <vt:lpwstr/>
  </property>
  <property fmtid="{D5CDD505-2E9C-101B-9397-08002B2CF9AE}" pid="32" name="MXRoute_Released_name">
    <vt:lpwstr/>
  </property>
  <property fmtid="{D5CDD505-2E9C-101B-9397-08002B2CF9AE}" pid="33" name="MXRoute_Superseded_date">
    <vt:lpwstr/>
  </property>
  <property fmtid="{D5CDD505-2E9C-101B-9397-08002B2CF9AE}" pid="34" name="MXRoute_Superseded_name">
    <vt:lpwstr/>
  </property>
  <property fmtid="{D5CDD505-2E9C-101B-9397-08002B2CF9AE}" pid="35" name="MXSignatures_state_Preliminary">
    <vt:lpwstr/>
  </property>
  <property fmtid="{D5CDD505-2E9C-101B-9397-08002B2CF9AE}" pid="36" name="MXSignatures_state_Released">
    <vt:lpwstr/>
  </property>
  <property fmtid="{D5CDD505-2E9C-101B-9397-08002B2CF9AE}" pid="37" name="MXSignatures_state_Superceded">
    <vt:lpwstr/>
  </property>
  <property fmtid="{D5CDD505-2E9C-101B-9397-08002B2CF9AE}" pid="38" name="MXSuspend Versioning">
    <vt:lpwstr>False</vt:lpwstr>
  </property>
  <property fmtid="{D5CDD505-2E9C-101B-9397-08002B2CF9AE}" pid="39" name="MXType">
    <vt:lpwstr>alvProjectManagement</vt:lpwstr>
  </property>
  <property fmtid="{D5CDD505-2E9C-101B-9397-08002B2CF9AE}" pid="40" name="MXType.Localized" linkTarget="MXType.Localized">
    <vt:lpwstr>#REF!</vt:lpwstr>
  </property>
  <property fmtid="{D5CDD505-2E9C-101B-9397-08002B2CF9AE}" pid="41" name="MXDocTemplate_Name">
    <vt:lpwstr>SW04TEM001</vt:lpwstr>
  </property>
</Properties>
</file>