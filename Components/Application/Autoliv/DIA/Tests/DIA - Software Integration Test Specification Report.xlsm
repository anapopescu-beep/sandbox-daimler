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comments4.xml" ContentType="application/vnd.openxmlformats-officedocument.spreadsheetml.comments+xml"/>
  <Override PartName="/xl/drawings/drawing4.xml" ContentType="application/vnd.openxmlformats-officedocument.drawing+xml"/>
  <Override PartName="/xl/embeddings/oleObject2.bin" ContentType="application/vnd.openxmlformats-officedocument.oleObject"/>
  <Override PartName="/xl/comments5.xml" ContentType="application/vnd.openxmlformats-officedocument.spreadsheetml.comments+xml"/>
  <Override PartName="/xl/drawings/drawing5.xml" ContentType="application/vnd.openxmlformats-officedocument.drawing+xml"/>
  <Override PartName="/xl/embeddings/oleObject3.bin" ContentType="application/vnd.openxmlformats-officedocument.oleObject"/>
  <Override PartName="/xl/comments6.xml" ContentType="application/vnd.openxmlformats-officedocument.spreadsheetml.comments+xml"/>
  <Override PartName="/xl/drawings/drawing6.xml" ContentType="application/vnd.openxmlformats-officedocument.drawing+xml"/>
  <Override PartName="/xl/embeddings/oleObject4.bin" ContentType="application/vnd.openxmlformats-officedocument.oleObject"/>
  <Override PartName="/xl/comments7.xml" ContentType="application/vnd.openxmlformats-officedocument.spreadsheetml.comments+xml"/>
  <Override PartName="/xl/drawings/drawing7.xml" ContentType="application/vnd.openxmlformats-officedocument.drawing+xml"/>
  <Override PartName="/xl/embeddings/oleObject5.bin" ContentType="application/vnd.openxmlformats-officedocument.oleObject"/>
  <Override PartName="/xl/comments8.xml" ContentType="application/vnd.openxmlformats-officedocument.spreadsheetml.comments+xml"/>
  <Override PartName="/xl/drawings/drawing8.xml" ContentType="application/vnd.openxmlformats-officedocument.drawing+xml"/>
  <Override PartName="/xl/embeddings/oleObject6.bin" ContentType="application/vnd.openxmlformats-officedocument.oleObject"/>
  <Override PartName="/xl/comments9.xml" ContentType="application/vnd.openxmlformats-officedocument.spreadsheetml.comments+xml"/>
  <Override PartName="/xl/drawings/drawing9.xml" ContentType="application/vnd.openxmlformats-officedocument.drawing+xml"/>
  <Override PartName="/xl/embeddings/oleObject7.bin" ContentType="application/vnd.openxmlformats-officedocument.oleObject"/>
  <Override PartName="/xl/comments10.xml" ContentType="application/vnd.openxmlformats-officedocument.spreadsheetml.comments+xml"/>
  <Override PartName="/xl/drawings/drawing10.xml" ContentType="application/vnd.openxmlformats-officedocument.drawing+xml"/>
  <Override PartName="/xl/embeddings/oleObject8.bin" ContentType="application/vnd.openxmlformats-officedocument.oleObject"/>
  <Override PartName="/xl/comments11.xml" ContentType="application/vnd.openxmlformats-officedocument.spreadsheetml.comments+xml"/>
  <Override PartName="/xl/drawings/drawing11.xml" ContentType="application/vnd.openxmlformats-officedocument.drawing+xml"/>
  <Override PartName="/xl/embeddings/oleObject9.bin" ContentType="application/vnd.openxmlformats-officedocument.oleObject"/>
  <Override PartName="/xl/comments12.xml" ContentType="application/vnd.openxmlformats-officedocument.spreadsheetml.comments+xml"/>
  <Override PartName="/xl/drawings/drawing12.xml" ContentType="application/vnd.openxmlformats-officedocument.drawing+xml"/>
  <Override PartName="/xl/embeddings/oleObject10.bin" ContentType="application/vnd.openxmlformats-officedocument.oleObject"/>
  <Override PartName="/xl/comments13.xml" ContentType="application/vnd.openxmlformats-officedocument.spreadsheetml.comments+xml"/>
  <Override PartName="/xl/drawings/drawing13.xml" ContentType="application/vnd.openxmlformats-officedocument.drawing+xml"/>
  <Override PartName="/xl/embeddings/oleObject11.bin" ContentType="application/vnd.openxmlformats-officedocument.oleObject"/>
  <Override PartName="/xl/comments14.xml" ContentType="application/vnd.openxmlformats-officedocument.spreadsheetml.comments+xml"/>
  <Override PartName="/xl/drawings/drawing14.xml" ContentType="application/vnd.openxmlformats-officedocument.drawing+xml"/>
  <Override PartName="/xl/embeddings/oleObject12.bin" ContentType="application/vnd.openxmlformats-officedocument.oleObject"/>
  <Override PartName="/xl/comments15.xml" ContentType="application/vnd.openxmlformats-officedocument.spreadsheetml.comments+xml"/>
  <Override PartName="/xl/drawings/drawing15.xml" ContentType="application/vnd.openxmlformats-officedocument.drawing+xml"/>
  <Override PartName="/xl/embeddings/oleObject13.bin" ContentType="application/vnd.openxmlformats-officedocument.oleObject"/>
  <Override PartName="/xl/comments16.xml" ContentType="application/vnd.openxmlformats-officedocument.spreadsheetml.comments+xml"/>
  <Override PartName="/xl/drawings/drawing16.xml" ContentType="application/vnd.openxmlformats-officedocument.drawing+xml"/>
  <Override PartName="/xl/embeddings/oleObject14.bin" ContentType="application/vnd.openxmlformats-officedocument.oleObject"/>
  <Override PartName="/xl/comments17.xml" ContentType="application/vnd.openxmlformats-officedocument.spreadsheetml.comments+xml"/>
  <Override PartName="/xl/drawings/drawing17.xml" ContentType="application/vnd.openxmlformats-officedocument.drawing+xml"/>
  <Override PartName="/xl/embeddings/oleObject15.bin" ContentType="application/vnd.openxmlformats-officedocument.oleObject"/>
  <Override PartName="/xl/comments18.xml" ContentType="application/vnd.openxmlformats-officedocument.spreadsheetml.comments+xml"/>
  <Override PartName="/xl/drawings/drawing18.xml" ContentType="application/vnd.openxmlformats-officedocument.drawing+xml"/>
  <Override PartName="/xl/embeddings/oleObject16.bin" ContentType="application/vnd.openxmlformats-officedocument.oleObject"/>
  <Override PartName="/xl/comments19.xml" ContentType="application/vnd.openxmlformats-officedocument.spreadsheetml.comments+xml"/>
  <Override PartName="/xl/drawings/drawing19.xml" ContentType="application/vnd.openxmlformats-officedocument.drawing+xml"/>
  <Override PartName="/xl/embeddings/oleObject17.bin" ContentType="application/vnd.openxmlformats-officedocument.oleObject"/>
  <Override PartName="/xl/comments20.xml" ContentType="application/vnd.openxmlformats-officedocument.spreadsheetml.comments+xml"/>
  <Override PartName="/xl/drawings/drawing20.xml" ContentType="application/vnd.openxmlformats-officedocument.drawing+xml"/>
  <Override PartName="/xl/embeddings/oleObject18.bin" ContentType="application/vnd.openxmlformats-officedocument.oleObject"/>
  <Override PartName="/xl/comments21.xml" ContentType="application/vnd.openxmlformats-officedocument.spreadsheetml.comments+xml"/>
  <Override PartName="/xl/drawings/drawing21.xml" ContentType="application/vnd.openxmlformats-officedocument.drawing+xml"/>
  <Override PartName="/xl/embeddings/oleObject19.bin" ContentType="application/vnd.openxmlformats-officedocument.oleObject"/>
  <Override PartName="/xl/comments22.xml" ContentType="application/vnd.openxmlformats-officedocument.spreadsheetml.comments+xml"/>
  <Override PartName="/xl/drawings/drawing22.xml" ContentType="application/vnd.openxmlformats-officedocument.drawing+xml"/>
  <Override PartName="/xl/embeddings/oleObject20.bin" ContentType="application/vnd.openxmlformats-officedocument.oleObject"/>
  <Override PartName="/xl/comments23.xml" ContentType="application/vnd.openxmlformats-officedocument.spreadsheetml.comments+xml"/>
  <Override PartName="/xl/drawings/drawing23.xml" ContentType="application/vnd.openxmlformats-officedocument.drawing+xml"/>
  <Override PartName="/xl/embeddings/oleObject21.bin" ContentType="application/vnd.openxmlformats-officedocument.oleObject"/>
  <Override PartName="/xl/comments24.xml" ContentType="application/vnd.openxmlformats-officedocument.spreadsheetml.comments+xml"/>
  <Override PartName="/xl/drawings/drawing24.xml" ContentType="application/vnd.openxmlformats-officedocument.drawing+xml"/>
  <Override PartName="/xl/embeddings/oleObject22.bin" ContentType="application/vnd.openxmlformats-officedocument.oleObject"/>
  <Override PartName="/xl/comments25.xml" ContentType="application/vnd.openxmlformats-officedocument.spreadsheetml.comments+xml"/>
  <Override PartName="/xl/drawings/drawing25.xml" ContentType="application/vnd.openxmlformats-officedocument.drawing+xml"/>
  <Override PartName="/xl/embeddings/oleObject23.bin" ContentType="application/vnd.openxmlformats-officedocument.oleObject"/>
  <Override PartName="/xl/comments26.xml" ContentType="application/vnd.openxmlformats-officedocument.spreadsheetml.comments+xml"/>
  <Override PartName="/xl/comments27.xml" ContentType="application/vnd.openxmlformats-officedocument.spreadsheetml.comments+xml"/>
  <Override PartName="/xl/drawings/drawing2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DIA\Tests\"/>
    </mc:Choice>
  </mc:AlternateContent>
  <xr:revisionPtr revIDLastSave="0" documentId="13_ncr:1_{CFF70A37-43A6-4B2C-9744-188839B7C856}" xr6:coauthVersionLast="47" xr6:coauthVersionMax="47" xr10:uidLastSave="{00000000-0000-0000-0000-000000000000}"/>
  <bookViews>
    <workbookView xWindow="57480" yWindow="-120" windowWidth="29040" windowHeight="15840" tabRatio="574" activeTab="3" xr2:uid="{00000000-000D-0000-FFFF-FFFF00000000}"/>
  </bookViews>
  <sheets>
    <sheet name="FrontPage" sheetId="4" r:id="rId1"/>
    <sheet name="General info" sheetId="11" r:id="rId2"/>
    <sheet name="Guide (help)" sheetId="18" r:id="rId3"/>
    <sheet name="Tests Synthesis" sheetId="13" r:id="rId4"/>
    <sheet name="SW_IT_DIA_001" sheetId="20" r:id="rId5"/>
    <sheet name="SW_IT_DIA_002" sheetId="21" r:id="rId6"/>
    <sheet name="SW_IT_DIA_003" sheetId="24" r:id="rId7"/>
    <sheet name="SW_IT_DIA_004" sheetId="23" r:id="rId8"/>
    <sheet name="SW_IT_DIA_005" sheetId="25" r:id="rId9"/>
    <sheet name="SW_IT_DIA_006" sheetId="26" r:id="rId10"/>
    <sheet name="SW_IT_DIA_007" sheetId="27" r:id="rId11"/>
    <sheet name="SW_IT_DIA_008" sheetId="28" r:id="rId12"/>
    <sheet name="SW_IT_DIA_009" sheetId="32" r:id="rId13"/>
    <sheet name="SW_IT_DIA_010" sheetId="33" r:id="rId14"/>
    <sheet name="SW_IT_DIA_011" sheetId="34" r:id="rId15"/>
    <sheet name="SW_IT_DIA_012" sheetId="35" r:id="rId16"/>
    <sheet name="SW_IT_DIA_013" sheetId="36" r:id="rId17"/>
    <sheet name="SW_IT_DIA_014" sheetId="37" r:id="rId18"/>
    <sheet name="SW_IT_DIA_015" sheetId="38" r:id="rId19"/>
    <sheet name="SW_IT_DIA_016" sheetId="39" r:id="rId20"/>
    <sheet name="SW_IT_DIA_017" sheetId="42" r:id="rId21"/>
    <sheet name="SW_IT_DIA_018" sheetId="43" r:id="rId22"/>
    <sheet name="SW_IT_DIA_019" sheetId="44" r:id="rId23"/>
    <sheet name="SW_IT_DIA_020" sheetId="45" r:id="rId24"/>
    <sheet name="SW_IT_DIA_021" sheetId="47" r:id="rId25"/>
    <sheet name="SW_IT_DIA_022" sheetId="48" r:id="rId26"/>
    <sheet name="SW_IT_DIA_023" sheetId="49" r:id="rId27"/>
    <sheet name="SW_IT_DIA_024" sheetId="50" r:id="rId28"/>
    <sheet name="Metrics" sheetId="16" r:id="rId29"/>
  </sheet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16" l="1"/>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AD3" i="4"/>
  <c r="AD3" i="11" s="1"/>
  <c r="AB5" i="4"/>
  <c r="AE7" i="4"/>
  <c r="W5" i="4"/>
  <c r="AB7" i="4"/>
  <c r="W7" i="4"/>
  <c r="A5" i="4"/>
  <c r="A7" i="4"/>
  <c r="F12" i="13"/>
  <c r="K4" i="13"/>
  <c r="D24" i="13"/>
  <c r="D18" i="13"/>
  <c r="F24" i="13"/>
  <c r="D8" i="13"/>
  <c r="F8" i="13"/>
  <c r="K3" i="13"/>
  <c r="D23" i="13"/>
  <c r="D10" i="13"/>
  <c r="F16" i="13"/>
  <c r="F22" i="13"/>
  <c r="D21" i="13"/>
  <c r="E19" i="13"/>
  <c r="E11" i="13"/>
  <c r="D22" i="13"/>
  <c r="D14" i="13"/>
  <c r="K16" i="13"/>
  <c r="D19" i="13"/>
  <c r="E10" i="13"/>
  <c r="F23" i="13"/>
  <c r="E3" i="13"/>
  <c r="E23" i="13"/>
  <c r="F21" i="13"/>
  <c r="D13" i="13"/>
  <c r="E22" i="13"/>
  <c r="F6" i="13"/>
  <c r="E12" i="13"/>
  <c r="D4" i="13"/>
  <c r="F15" i="13"/>
  <c r="F17" i="13"/>
  <c r="K23" i="13"/>
  <c r="K26" i="13"/>
  <c r="D3" i="13"/>
  <c r="E7" i="13"/>
  <c r="F14" i="13"/>
  <c r="E14" i="13"/>
  <c r="K11" i="13"/>
  <c r="K7" i="13"/>
  <c r="K15" i="13"/>
  <c r="E6" i="13"/>
  <c r="E20" i="13"/>
  <c r="E4" i="13"/>
  <c r="D20" i="13"/>
  <c r="K12" i="13"/>
  <c r="F25" i="13"/>
  <c r="F18" i="13"/>
  <c r="D15" i="13"/>
  <c r="K5" i="13"/>
  <c r="K9" i="13"/>
  <c r="K25" i="13"/>
  <c r="E25" i="13"/>
  <c r="E24" i="13"/>
  <c r="K21" i="13"/>
  <c r="K13" i="13"/>
  <c r="F9" i="13"/>
  <c r="K19" i="13"/>
  <c r="F11" i="13"/>
  <c r="D12" i="13"/>
  <c r="F26" i="13"/>
  <c r="K24" i="13"/>
  <c r="E21" i="13"/>
  <c r="K6" i="13"/>
  <c r="E18" i="13"/>
  <c r="K18" i="13"/>
  <c r="F10" i="13"/>
  <c r="K10" i="13"/>
  <c r="F7" i="13"/>
  <c r="D25" i="13"/>
  <c r="E17" i="13"/>
  <c r="D26" i="13"/>
  <c r="K14" i="13"/>
  <c r="E16" i="13"/>
  <c r="D16" i="13"/>
  <c r="E26" i="13"/>
  <c r="K20" i="13"/>
  <c r="K8" i="13"/>
  <c r="D5" i="13"/>
  <c r="D17" i="13"/>
  <c r="D6" i="13"/>
  <c r="D11" i="13"/>
  <c r="E8" i="13"/>
  <c r="F13" i="13"/>
  <c r="E13" i="13"/>
  <c r="F20" i="13"/>
  <c r="F5" i="13"/>
  <c r="D7" i="13"/>
  <c r="D9" i="13"/>
  <c r="F19" i="13"/>
  <c r="K22" i="13"/>
  <c r="F4" i="13"/>
  <c r="E5" i="13"/>
  <c r="E15" i="13"/>
  <c r="E9" i="13"/>
  <c r="K17" i="13"/>
  <c r="F3" i="13"/>
  <c r="W7" i="11" l="1"/>
  <c r="AE7" i="11"/>
  <c r="A7" i="11"/>
  <c r="W5" i="11"/>
  <c r="A5" i="11"/>
  <c r="E7" i="11"/>
  <c r="A23" i="4"/>
  <c r="AB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00000000-0006-0000-0000-000001000000}">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40" authorId="1" shapeId="0" xr:uid="{00000000-0006-0000-0100-000007000000}">
      <text>
        <r>
          <rPr>
            <sz val="9"/>
            <color indexed="81"/>
            <rFont val="Tahoma"/>
            <family val="2"/>
          </rPr>
          <t>The referenced documents correspond to the customer or standard documents to be applied for the integration.</t>
        </r>
      </text>
    </comment>
    <comment ref="B41"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41" authorId="0" shapeId="0" xr:uid="{00000000-0006-0000-0100-000009000000}">
      <text>
        <r>
          <rPr>
            <sz val="8"/>
            <color indexed="81"/>
            <rFont val="Tahoma"/>
            <family val="2"/>
          </rPr>
          <t>Title of reference documents.</t>
        </r>
      </text>
    </comment>
    <comment ref="Y41" authorId="0" shapeId="0" xr:uid="{00000000-0006-0000-0100-00000A000000}">
      <text>
        <r>
          <rPr>
            <sz val="8"/>
            <color indexed="81"/>
            <rFont val="Tahoma"/>
            <family val="2"/>
          </rPr>
          <t>Reference number, e.g. E123456 and revision of the reference.</t>
        </r>
      </text>
    </comment>
    <comment ref="N46"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7"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7" authorId="0" shapeId="0" xr:uid="{00000000-0006-0000-0100-00000D000000}">
      <text>
        <r>
          <rPr>
            <sz val="8"/>
            <color indexed="81"/>
            <rFont val="Tahoma"/>
            <family val="2"/>
          </rPr>
          <t>Title of reference documents.</t>
        </r>
      </text>
    </comment>
    <comment ref="Y47"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29E0CD3E-ADCD-49F0-B160-A368672D3FAB}">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500-000001000000}">
      <text>
        <r>
          <rPr>
            <b/>
            <sz val="9"/>
            <color indexed="81"/>
            <rFont val="Tahoma"/>
            <family val="2"/>
          </rPr>
          <t xml:space="preserve">See Guide (help)
</t>
        </r>
        <r>
          <rPr>
            <sz val="9"/>
            <color indexed="81"/>
            <rFont val="Tahoma"/>
            <family val="2"/>
          </rPr>
          <t xml:space="preserve">
</t>
        </r>
      </text>
    </comment>
    <comment ref="A3" authorId="0" shapeId="0" xr:uid="{00000000-0006-0000-0500-000002000000}">
      <text>
        <r>
          <rPr>
            <b/>
            <sz val="9"/>
            <color indexed="81"/>
            <rFont val="Tahoma"/>
            <family val="2"/>
          </rPr>
          <t xml:space="preserve">See Guide (help)
</t>
        </r>
        <r>
          <rPr>
            <sz val="9"/>
            <color indexed="81"/>
            <rFont val="Tahoma"/>
            <family val="2"/>
          </rPr>
          <t xml:space="preserve">
</t>
        </r>
      </text>
    </comment>
    <comment ref="A5" authorId="0" shapeId="0" xr:uid="{00000000-0006-0000-0500-000003000000}">
      <text>
        <r>
          <rPr>
            <sz val="9"/>
            <color indexed="81"/>
            <rFont val="Tahoma"/>
            <family val="2"/>
          </rPr>
          <t>Definition is in the "General info" tab.
Use the dropdown list.</t>
        </r>
      </text>
    </comment>
    <comment ref="A9" authorId="0" shapeId="0" xr:uid="{00000000-0006-0000-0500-000004000000}">
      <text>
        <r>
          <rPr>
            <b/>
            <sz val="9"/>
            <color indexed="81"/>
            <rFont val="Tahoma"/>
            <family val="2"/>
          </rPr>
          <t>See Guide (help)</t>
        </r>
        <r>
          <rPr>
            <sz val="9"/>
            <color indexed="81"/>
            <rFont val="Tahoma"/>
            <family val="2"/>
          </rPr>
          <t xml:space="preserve">
</t>
        </r>
      </text>
    </comment>
    <comment ref="A11" authorId="0" shapeId="0" xr:uid="{00000000-0006-0000-05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5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600-000001000000}">
      <text>
        <r>
          <rPr>
            <b/>
            <sz val="9"/>
            <color indexed="81"/>
            <rFont val="Tahoma"/>
            <family val="2"/>
          </rPr>
          <t xml:space="preserve">See Guide (help)
</t>
        </r>
        <r>
          <rPr>
            <sz val="9"/>
            <color indexed="81"/>
            <rFont val="Tahoma"/>
            <family val="2"/>
          </rPr>
          <t xml:space="preserve">
</t>
        </r>
      </text>
    </comment>
    <comment ref="A3" authorId="0" shapeId="0" xr:uid="{00000000-0006-0000-0600-000002000000}">
      <text>
        <r>
          <rPr>
            <b/>
            <sz val="9"/>
            <color indexed="81"/>
            <rFont val="Tahoma"/>
            <family val="2"/>
          </rPr>
          <t xml:space="preserve">See Guide (help)
</t>
        </r>
        <r>
          <rPr>
            <sz val="9"/>
            <color indexed="81"/>
            <rFont val="Tahoma"/>
            <family val="2"/>
          </rPr>
          <t xml:space="preserve">
</t>
        </r>
      </text>
    </comment>
    <comment ref="A5" authorId="0" shapeId="0" xr:uid="{00000000-0006-0000-0600-000003000000}">
      <text>
        <r>
          <rPr>
            <sz val="9"/>
            <color indexed="81"/>
            <rFont val="Tahoma"/>
            <family val="2"/>
          </rPr>
          <t>Definition is in the "General info" tab.
Use the dropdown list.</t>
        </r>
      </text>
    </comment>
    <comment ref="A9" authorId="0" shapeId="0" xr:uid="{00000000-0006-0000-0600-000004000000}">
      <text>
        <r>
          <rPr>
            <b/>
            <sz val="9"/>
            <color indexed="81"/>
            <rFont val="Tahoma"/>
            <family val="2"/>
          </rPr>
          <t>See Guide (help)</t>
        </r>
        <r>
          <rPr>
            <sz val="9"/>
            <color indexed="81"/>
            <rFont val="Tahoma"/>
            <family val="2"/>
          </rPr>
          <t xml:space="preserve">
</t>
        </r>
      </text>
    </comment>
    <comment ref="A11" authorId="0" shapeId="0" xr:uid="{00000000-0006-0000-06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6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700-000001000000}">
      <text>
        <r>
          <rPr>
            <b/>
            <sz val="9"/>
            <color indexed="81"/>
            <rFont val="Tahoma"/>
            <family val="2"/>
          </rPr>
          <t xml:space="preserve">See Guide (help)
</t>
        </r>
        <r>
          <rPr>
            <sz val="9"/>
            <color indexed="81"/>
            <rFont val="Tahoma"/>
            <family val="2"/>
          </rPr>
          <t xml:space="preserve">
</t>
        </r>
      </text>
    </comment>
    <comment ref="A3" authorId="0" shapeId="0" xr:uid="{00000000-0006-0000-0700-000002000000}">
      <text>
        <r>
          <rPr>
            <b/>
            <sz val="9"/>
            <color indexed="81"/>
            <rFont val="Tahoma"/>
            <family val="2"/>
          </rPr>
          <t xml:space="preserve">See Guide (help)
</t>
        </r>
        <r>
          <rPr>
            <sz val="9"/>
            <color indexed="81"/>
            <rFont val="Tahoma"/>
            <family val="2"/>
          </rPr>
          <t xml:space="preserve">
</t>
        </r>
      </text>
    </comment>
    <comment ref="A5" authorId="0" shapeId="0" xr:uid="{00000000-0006-0000-0700-000003000000}">
      <text>
        <r>
          <rPr>
            <sz val="9"/>
            <color indexed="81"/>
            <rFont val="Tahoma"/>
            <family val="2"/>
          </rPr>
          <t>Definition is in the "General info" tab.
Use the dropdown list.</t>
        </r>
      </text>
    </comment>
    <comment ref="A9" authorId="0" shapeId="0" xr:uid="{00000000-0006-0000-0700-000004000000}">
      <text>
        <r>
          <rPr>
            <b/>
            <sz val="9"/>
            <color indexed="81"/>
            <rFont val="Tahoma"/>
            <family val="2"/>
          </rPr>
          <t>See Guide (help)</t>
        </r>
        <r>
          <rPr>
            <sz val="9"/>
            <color indexed="81"/>
            <rFont val="Tahoma"/>
            <family val="2"/>
          </rPr>
          <t xml:space="preserve">
</t>
        </r>
      </text>
    </comment>
    <comment ref="A11" authorId="0" shapeId="0" xr:uid="{00000000-0006-0000-07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7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800-000001000000}">
      <text>
        <r>
          <rPr>
            <b/>
            <sz val="9"/>
            <color indexed="81"/>
            <rFont val="Tahoma"/>
            <family val="2"/>
          </rPr>
          <t xml:space="preserve">See Guide (help)
</t>
        </r>
        <r>
          <rPr>
            <sz val="9"/>
            <color indexed="81"/>
            <rFont val="Tahoma"/>
            <family val="2"/>
          </rPr>
          <t xml:space="preserve">
</t>
        </r>
      </text>
    </comment>
    <comment ref="A3" authorId="0" shapeId="0" xr:uid="{00000000-0006-0000-0800-000002000000}">
      <text>
        <r>
          <rPr>
            <b/>
            <sz val="9"/>
            <color indexed="81"/>
            <rFont val="Tahoma"/>
            <family val="2"/>
          </rPr>
          <t xml:space="preserve">See Guide (help)
</t>
        </r>
        <r>
          <rPr>
            <sz val="9"/>
            <color indexed="81"/>
            <rFont val="Tahoma"/>
            <family val="2"/>
          </rPr>
          <t xml:space="preserve">
</t>
        </r>
      </text>
    </comment>
    <comment ref="A5" authorId="0" shapeId="0" xr:uid="{00000000-0006-0000-0800-000003000000}">
      <text>
        <r>
          <rPr>
            <sz val="9"/>
            <color indexed="81"/>
            <rFont val="Tahoma"/>
            <family val="2"/>
          </rPr>
          <t>Definition is in the "General info" tab.
Use the dropdown list.</t>
        </r>
      </text>
    </comment>
    <comment ref="A9" authorId="0" shapeId="0" xr:uid="{00000000-0006-0000-0800-000004000000}">
      <text>
        <r>
          <rPr>
            <b/>
            <sz val="9"/>
            <color indexed="81"/>
            <rFont val="Tahoma"/>
            <family val="2"/>
          </rPr>
          <t>See Guide (help)</t>
        </r>
        <r>
          <rPr>
            <sz val="9"/>
            <color indexed="81"/>
            <rFont val="Tahoma"/>
            <family val="2"/>
          </rPr>
          <t xml:space="preserve">
</t>
        </r>
      </text>
    </comment>
    <comment ref="A11" authorId="0" shapeId="0" xr:uid="{00000000-0006-0000-08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8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900-000001000000}">
      <text>
        <r>
          <rPr>
            <b/>
            <sz val="9"/>
            <color indexed="81"/>
            <rFont val="Tahoma"/>
            <family val="2"/>
          </rPr>
          <t xml:space="preserve">See Guide (help)
</t>
        </r>
        <r>
          <rPr>
            <sz val="9"/>
            <color indexed="81"/>
            <rFont val="Tahoma"/>
            <family val="2"/>
          </rPr>
          <t xml:space="preserve">
</t>
        </r>
      </text>
    </comment>
    <comment ref="A3" authorId="0" shapeId="0" xr:uid="{00000000-0006-0000-0900-000002000000}">
      <text>
        <r>
          <rPr>
            <b/>
            <sz val="9"/>
            <color indexed="81"/>
            <rFont val="Tahoma"/>
            <family val="2"/>
          </rPr>
          <t xml:space="preserve">See Guide (help)
</t>
        </r>
        <r>
          <rPr>
            <sz val="9"/>
            <color indexed="81"/>
            <rFont val="Tahoma"/>
            <family val="2"/>
          </rPr>
          <t xml:space="preserve">
</t>
        </r>
      </text>
    </comment>
    <comment ref="A5" authorId="0" shapeId="0" xr:uid="{00000000-0006-0000-0900-000003000000}">
      <text>
        <r>
          <rPr>
            <sz val="9"/>
            <color indexed="81"/>
            <rFont val="Tahoma"/>
            <family val="2"/>
          </rPr>
          <t>Definition is in the "General info" tab.
Use the dropdown list.</t>
        </r>
      </text>
    </comment>
    <comment ref="A9" authorId="0" shapeId="0" xr:uid="{00000000-0006-0000-0900-000004000000}">
      <text>
        <r>
          <rPr>
            <b/>
            <sz val="9"/>
            <color indexed="81"/>
            <rFont val="Tahoma"/>
            <family val="2"/>
          </rPr>
          <t>See Guide (help)</t>
        </r>
        <r>
          <rPr>
            <sz val="9"/>
            <color indexed="81"/>
            <rFont val="Tahoma"/>
            <family val="2"/>
          </rPr>
          <t xml:space="preserve">
</t>
        </r>
      </text>
    </comment>
    <comment ref="A11" authorId="0" shapeId="0" xr:uid="{00000000-0006-0000-09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9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A00-000001000000}">
      <text>
        <r>
          <rPr>
            <b/>
            <sz val="9"/>
            <color indexed="81"/>
            <rFont val="Tahoma"/>
            <family val="2"/>
          </rPr>
          <t xml:space="preserve">See Guide (help)
</t>
        </r>
        <r>
          <rPr>
            <sz val="9"/>
            <color indexed="81"/>
            <rFont val="Tahoma"/>
            <family val="2"/>
          </rPr>
          <t xml:space="preserve">
</t>
        </r>
      </text>
    </comment>
    <comment ref="A3" authorId="0" shapeId="0" xr:uid="{00000000-0006-0000-0A00-000002000000}">
      <text>
        <r>
          <rPr>
            <b/>
            <sz val="9"/>
            <color indexed="81"/>
            <rFont val="Tahoma"/>
            <family val="2"/>
          </rPr>
          <t xml:space="preserve">See Guide (help)
</t>
        </r>
        <r>
          <rPr>
            <sz val="9"/>
            <color indexed="81"/>
            <rFont val="Tahoma"/>
            <family val="2"/>
          </rPr>
          <t xml:space="preserve">
</t>
        </r>
      </text>
    </comment>
    <comment ref="A5" authorId="0" shapeId="0" xr:uid="{00000000-0006-0000-0A00-000003000000}">
      <text>
        <r>
          <rPr>
            <sz val="9"/>
            <color indexed="81"/>
            <rFont val="Tahoma"/>
            <family val="2"/>
          </rPr>
          <t>Definition is in the "General info" tab.
Use the dropdown list.</t>
        </r>
      </text>
    </comment>
    <comment ref="A9" authorId="0" shapeId="0" xr:uid="{00000000-0006-0000-0A00-000004000000}">
      <text>
        <r>
          <rPr>
            <b/>
            <sz val="9"/>
            <color indexed="81"/>
            <rFont val="Tahoma"/>
            <family val="2"/>
          </rPr>
          <t>See Guide (help)</t>
        </r>
        <r>
          <rPr>
            <sz val="9"/>
            <color indexed="81"/>
            <rFont val="Tahoma"/>
            <family val="2"/>
          </rPr>
          <t xml:space="preserve">
</t>
        </r>
      </text>
    </comment>
    <comment ref="A11" authorId="0" shapeId="0" xr:uid="{00000000-0006-0000-0A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A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B00-000001000000}">
      <text>
        <r>
          <rPr>
            <b/>
            <sz val="9"/>
            <color indexed="81"/>
            <rFont val="Tahoma"/>
            <family val="2"/>
          </rPr>
          <t xml:space="preserve">See Guide (help)
</t>
        </r>
        <r>
          <rPr>
            <sz val="9"/>
            <color indexed="81"/>
            <rFont val="Tahoma"/>
            <family val="2"/>
          </rPr>
          <t xml:space="preserve">
</t>
        </r>
      </text>
    </comment>
    <comment ref="A3" authorId="0" shapeId="0" xr:uid="{00000000-0006-0000-0B00-000002000000}">
      <text>
        <r>
          <rPr>
            <b/>
            <sz val="9"/>
            <color indexed="81"/>
            <rFont val="Tahoma"/>
            <family val="2"/>
          </rPr>
          <t xml:space="preserve">See Guide (help)
</t>
        </r>
        <r>
          <rPr>
            <sz val="9"/>
            <color indexed="81"/>
            <rFont val="Tahoma"/>
            <family val="2"/>
          </rPr>
          <t xml:space="preserve">
</t>
        </r>
      </text>
    </comment>
    <comment ref="A5" authorId="0" shapeId="0" xr:uid="{00000000-0006-0000-0B00-000003000000}">
      <text>
        <r>
          <rPr>
            <sz val="9"/>
            <color indexed="81"/>
            <rFont val="Tahoma"/>
            <family val="2"/>
          </rPr>
          <t>Definition is in the "General info" tab.
Use the dropdown list.</t>
        </r>
      </text>
    </comment>
    <comment ref="A9" authorId="0" shapeId="0" xr:uid="{00000000-0006-0000-0B00-000004000000}">
      <text>
        <r>
          <rPr>
            <b/>
            <sz val="9"/>
            <color indexed="81"/>
            <rFont val="Tahoma"/>
            <family val="2"/>
          </rPr>
          <t>See Guide (help)</t>
        </r>
        <r>
          <rPr>
            <sz val="9"/>
            <color indexed="81"/>
            <rFont val="Tahoma"/>
            <family val="2"/>
          </rPr>
          <t xml:space="preserve">
</t>
        </r>
      </text>
    </comment>
    <comment ref="A11" authorId="0" shapeId="0" xr:uid="{00000000-0006-0000-0B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B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B4906C0-B980-4AB0-8DEB-A9208D473641}">
      <text>
        <r>
          <rPr>
            <b/>
            <sz val="9"/>
            <color indexed="81"/>
            <rFont val="Tahoma"/>
            <family val="2"/>
          </rPr>
          <t xml:space="preserve">See Guide (help)
</t>
        </r>
        <r>
          <rPr>
            <sz val="9"/>
            <color indexed="81"/>
            <rFont val="Tahoma"/>
            <family val="2"/>
          </rPr>
          <t xml:space="preserve">
</t>
        </r>
      </text>
    </comment>
    <comment ref="A3" authorId="0" shapeId="0" xr:uid="{3CED1B25-9829-46C3-8591-B5835046C220}">
      <text>
        <r>
          <rPr>
            <b/>
            <sz val="9"/>
            <color indexed="81"/>
            <rFont val="Tahoma"/>
            <family val="2"/>
          </rPr>
          <t xml:space="preserve">See Guide (help)
</t>
        </r>
        <r>
          <rPr>
            <sz val="9"/>
            <color indexed="81"/>
            <rFont val="Tahoma"/>
            <family val="2"/>
          </rPr>
          <t xml:space="preserve">
</t>
        </r>
      </text>
    </comment>
    <comment ref="A5" authorId="0" shapeId="0" xr:uid="{BCD5983B-4E5A-449C-9D6C-B3F33CEA32B5}">
      <text>
        <r>
          <rPr>
            <sz val="9"/>
            <color indexed="81"/>
            <rFont val="Tahoma"/>
            <family val="2"/>
          </rPr>
          <t>Definition is in the "General info" tab.
Use the dropdown list.</t>
        </r>
      </text>
    </comment>
    <comment ref="A9" authorId="0" shapeId="0" xr:uid="{B05D1C98-38B3-46BB-8E5E-4B16999BC197}">
      <text>
        <r>
          <rPr>
            <b/>
            <sz val="9"/>
            <color indexed="81"/>
            <rFont val="Tahoma"/>
            <family val="2"/>
          </rPr>
          <t>See Guide (help)</t>
        </r>
        <r>
          <rPr>
            <sz val="9"/>
            <color indexed="81"/>
            <rFont val="Tahoma"/>
            <family val="2"/>
          </rPr>
          <t xml:space="preserve">
</t>
        </r>
      </text>
    </comment>
    <comment ref="A11" authorId="0" shapeId="0" xr:uid="{C6D3D557-19E3-45C1-85FC-AA801780CE33}">
      <text>
        <r>
          <rPr>
            <b/>
            <sz val="9"/>
            <color indexed="81"/>
            <rFont val="Tahoma"/>
            <family val="2"/>
          </rPr>
          <t xml:space="preserve">Describe the test environment and setup.
</t>
        </r>
        <r>
          <rPr>
            <sz val="9"/>
            <color indexed="81"/>
            <rFont val="Tahoma"/>
            <family val="2"/>
          </rPr>
          <t xml:space="preserve">
</t>
        </r>
      </text>
    </comment>
    <comment ref="A16" authorId="0" shapeId="0" xr:uid="{9425C03F-FC32-4D65-A6AD-6C94C37D252D}">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ADF3474-2052-4EEB-A5AC-B8019878750B}">
      <text>
        <r>
          <rPr>
            <b/>
            <sz val="9"/>
            <color indexed="81"/>
            <rFont val="Tahoma"/>
            <family val="2"/>
          </rPr>
          <t xml:space="preserve">See Guide (help)
</t>
        </r>
        <r>
          <rPr>
            <sz val="9"/>
            <color indexed="81"/>
            <rFont val="Tahoma"/>
            <family val="2"/>
          </rPr>
          <t xml:space="preserve">
</t>
        </r>
      </text>
    </comment>
    <comment ref="A3" authorId="0" shapeId="0" xr:uid="{C9E718BE-0882-458A-9D8A-278D539F8BCF}">
      <text>
        <r>
          <rPr>
            <b/>
            <sz val="9"/>
            <color indexed="81"/>
            <rFont val="Tahoma"/>
            <family val="2"/>
          </rPr>
          <t xml:space="preserve">See Guide (help)
</t>
        </r>
        <r>
          <rPr>
            <sz val="9"/>
            <color indexed="81"/>
            <rFont val="Tahoma"/>
            <family val="2"/>
          </rPr>
          <t xml:space="preserve">
</t>
        </r>
      </text>
    </comment>
    <comment ref="A5" authorId="0" shapeId="0" xr:uid="{72827D2F-B48E-401C-B48E-88A22D482447}">
      <text>
        <r>
          <rPr>
            <sz val="9"/>
            <color indexed="81"/>
            <rFont val="Tahoma"/>
            <family val="2"/>
          </rPr>
          <t>Definition is in the "General info" tab.
Use the dropdown list.</t>
        </r>
      </text>
    </comment>
    <comment ref="A9" authorId="0" shapeId="0" xr:uid="{99EED6C1-8BB4-481E-8BC8-BC2923AFA8BC}">
      <text>
        <r>
          <rPr>
            <b/>
            <sz val="9"/>
            <color indexed="81"/>
            <rFont val="Tahoma"/>
            <family val="2"/>
          </rPr>
          <t>See Guide (help)</t>
        </r>
        <r>
          <rPr>
            <sz val="9"/>
            <color indexed="81"/>
            <rFont val="Tahoma"/>
            <family val="2"/>
          </rPr>
          <t xml:space="preserve">
</t>
        </r>
      </text>
    </comment>
    <comment ref="A11" authorId="0" shapeId="0" xr:uid="{06033089-C6E7-4F73-9D7A-CF4457897B67}">
      <text>
        <r>
          <rPr>
            <b/>
            <sz val="9"/>
            <color indexed="81"/>
            <rFont val="Tahoma"/>
            <family val="2"/>
          </rPr>
          <t xml:space="preserve">Describe the test environment and setup.
</t>
        </r>
        <r>
          <rPr>
            <sz val="9"/>
            <color indexed="81"/>
            <rFont val="Tahoma"/>
            <family val="2"/>
          </rPr>
          <t xml:space="preserve">
</t>
        </r>
      </text>
    </comment>
    <comment ref="A16" authorId="0" shapeId="0" xr:uid="{D3C10AC7-3367-496F-846A-234A9DB2B9C7}">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EF80187A-A76F-4031-8648-3A8014A260C9}">
      <text>
        <r>
          <rPr>
            <b/>
            <sz val="9"/>
            <color indexed="81"/>
            <rFont val="Tahoma"/>
            <family val="2"/>
          </rPr>
          <t xml:space="preserve">See Guide (help)
</t>
        </r>
        <r>
          <rPr>
            <sz val="9"/>
            <color indexed="81"/>
            <rFont val="Tahoma"/>
            <family val="2"/>
          </rPr>
          <t xml:space="preserve">
</t>
        </r>
      </text>
    </comment>
    <comment ref="A3" authorId="0" shapeId="0" xr:uid="{1D9E7CE4-6694-4C85-B0E7-3229909A24FF}">
      <text>
        <r>
          <rPr>
            <b/>
            <sz val="9"/>
            <color indexed="81"/>
            <rFont val="Tahoma"/>
            <family val="2"/>
          </rPr>
          <t xml:space="preserve">See Guide (help)
</t>
        </r>
        <r>
          <rPr>
            <sz val="9"/>
            <color indexed="81"/>
            <rFont val="Tahoma"/>
            <family val="2"/>
          </rPr>
          <t xml:space="preserve">
</t>
        </r>
      </text>
    </comment>
    <comment ref="A5" authorId="0" shapeId="0" xr:uid="{DC54FF7A-1D9D-471B-973F-41A34DAB4A0F}">
      <text>
        <r>
          <rPr>
            <sz val="9"/>
            <color indexed="81"/>
            <rFont val="Tahoma"/>
            <family val="2"/>
          </rPr>
          <t>Definition is in the "General info" tab.
Use the dropdown list.</t>
        </r>
      </text>
    </comment>
    <comment ref="A9" authorId="0" shapeId="0" xr:uid="{E2520227-23FA-4430-AF40-6B169CEC878D}">
      <text>
        <r>
          <rPr>
            <b/>
            <sz val="9"/>
            <color indexed="81"/>
            <rFont val="Tahoma"/>
            <family val="2"/>
          </rPr>
          <t>See Guide (help)</t>
        </r>
        <r>
          <rPr>
            <sz val="9"/>
            <color indexed="81"/>
            <rFont val="Tahoma"/>
            <family val="2"/>
          </rPr>
          <t xml:space="preserve">
</t>
        </r>
      </text>
    </comment>
    <comment ref="A11" authorId="0" shapeId="0" xr:uid="{1719D7AA-252E-4554-A720-FCCD9B24A32C}">
      <text>
        <r>
          <rPr>
            <b/>
            <sz val="9"/>
            <color indexed="81"/>
            <rFont val="Tahoma"/>
            <family val="2"/>
          </rPr>
          <t xml:space="preserve">Describe the test environment and setup.
</t>
        </r>
        <r>
          <rPr>
            <sz val="9"/>
            <color indexed="81"/>
            <rFont val="Tahoma"/>
            <family val="2"/>
          </rPr>
          <t xml:space="preserve">
</t>
        </r>
      </text>
    </comment>
    <comment ref="A16" authorId="0" shapeId="0" xr:uid="{BEAF1C14-EEC5-4D13-B374-49F4446F8663}">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6A6E2848-357D-40A8-9EBE-ED2EDEE3761E}">
      <text>
        <r>
          <rPr>
            <b/>
            <sz val="9"/>
            <color indexed="81"/>
            <rFont val="Tahoma"/>
            <family val="2"/>
          </rPr>
          <t xml:space="preserve">See Guide (help)
</t>
        </r>
        <r>
          <rPr>
            <sz val="9"/>
            <color indexed="81"/>
            <rFont val="Tahoma"/>
            <family val="2"/>
          </rPr>
          <t xml:space="preserve">
</t>
        </r>
      </text>
    </comment>
    <comment ref="A3" authorId="0" shapeId="0" xr:uid="{6667AE8A-74D1-4CAF-93E6-00CAC3E7212D}">
      <text>
        <r>
          <rPr>
            <b/>
            <sz val="9"/>
            <color indexed="81"/>
            <rFont val="Tahoma"/>
            <family val="2"/>
          </rPr>
          <t xml:space="preserve">See Guide (help)
</t>
        </r>
        <r>
          <rPr>
            <sz val="9"/>
            <color indexed="81"/>
            <rFont val="Tahoma"/>
            <family val="2"/>
          </rPr>
          <t xml:space="preserve">
</t>
        </r>
      </text>
    </comment>
    <comment ref="A5" authorId="0" shapeId="0" xr:uid="{46BF3FD3-B6A9-4D20-957A-1D726917715C}">
      <text>
        <r>
          <rPr>
            <sz val="9"/>
            <color indexed="81"/>
            <rFont val="Tahoma"/>
            <family val="2"/>
          </rPr>
          <t>Definition is in the "General info" tab.
Use the dropdown list.</t>
        </r>
      </text>
    </comment>
    <comment ref="A9" authorId="0" shapeId="0" xr:uid="{CA3AA7E1-E67D-4C65-85CE-50DAC3C8F165}">
      <text>
        <r>
          <rPr>
            <b/>
            <sz val="9"/>
            <color indexed="81"/>
            <rFont val="Tahoma"/>
            <family val="2"/>
          </rPr>
          <t>See Guide (help)</t>
        </r>
        <r>
          <rPr>
            <sz val="9"/>
            <color indexed="81"/>
            <rFont val="Tahoma"/>
            <family val="2"/>
          </rPr>
          <t xml:space="preserve">
</t>
        </r>
      </text>
    </comment>
    <comment ref="A11" authorId="0" shapeId="0" xr:uid="{D33EAFB5-FD18-4A96-9DCC-1FCD08C4A9CE}">
      <text>
        <r>
          <rPr>
            <b/>
            <sz val="9"/>
            <color indexed="81"/>
            <rFont val="Tahoma"/>
            <family val="2"/>
          </rPr>
          <t xml:space="preserve">Describe the test environment and setup.
</t>
        </r>
        <r>
          <rPr>
            <sz val="9"/>
            <color indexed="81"/>
            <rFont val="Tahoma"/>
            <family val="2"/>
          </rPr>
          <t xml:space="preserve">
</t>
        </r>
      </text>
    </comment>
    <comment ref="A16" authorId="0" shapeId="0" xr:uid="{768C4A38-5349-47F2-8C59-0B3CF51511A1}">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6C678806-0017-42E1-B288-1DF5506B85ED}">
      <text>
        <r>
          <rPr>
            <b/>
            <sz val="9"/>
            <color indexed="81"/>
            <rFont val="Tahoma"/>
            <family val="2"/>
          </rPr>
          <t xml:space="preserve">See Guide (help)
</t>
        </r>
        <r>
          <rPr>
            <sz val="9"/>
            <color indexed="81"/>
            <rFont val="Tahoma"/>
            <family val="2"/>
          </rPr>
          <t xml:space="preserve">
</t>
        </r>
      </text>
    </comment>
    <comment ref="A3" authorId="0" shapeId="0" xr:uid="{3546B36B-FFCF-49B8-ADF3-A9AA7805374F}">
      <text>
        <r>
          <rPr>
            <b/>
            <sz val="9"/>
            <color indexed="81"/>
            <rFont val="Tahoma"/>
            <family val="2"/>
          </rPr>
          <t xml:space="preserve">See Guide (help)
</t>
        </r>
        <r>
          <rPr>
            <sz val="9"/>
            <color indexed="81"/>
            <rFont val="Tahoma"/>
            <family val="2"/>
          </rPr>
          <t xml:space="preserve">
</t>
        </r>
      </text>
    </comment>
    <comment ref="A5" authorId="0" shapeId="0" xr:uid="{A3C8450E-57FD-4101-8524-49AD0B28D54C}">
      <text>
        <r>
          <rPr>
            <sz val="9"/>
            <color indexed="81"/>
            <rFont val="Tahoma"/>
            <family val="2"/>
          </rPr>
          <t>Definition is in the "General info" tab.
Use the dropdown list.</t>
        </r>
      </text>
    </comment>
    <comment ref="A9" authorId="0" shapeId="0" xr:uid="{729D9222-A0EC-4741-8F22-7D9FF73B7E0C}">
      <text>
        <r>
          <rPr>
            <b/>
            <sz val="9"/>
            <color indexed="81"/>
            <rFont val="Tahoma"/>
            <family val="2"/>
          </rPr>
          <t>See Guide (help)</t>
        </r>
        <r>
          <rPr>
            <sz val="9"/>
            <color indexed="81"/>
            <rFont val="Tahoma"/>
            <family val="2"/>
          </rPr>
          <t xml:space="preserve">
</t>
        </r>
      </text>
    </comment>
    <comment ref="A11" authorId="0" shapeId="0" xr:uid="{5A4C5894-D6F4-461B-A818-3D6E004CD240}">
      <text>
        <r>
          <rPr>
            <b/>
            <sz val="9"/>
            <color indexed="81"/>
            <rFont val="Tahoma"/>
            <family val="2"/>
          </rPr>
          <t xml:space="preserve">Describe the test environment and setup.
</t>
        </r>
        <r>
          <rPr>
            <sz val="9"/>
            <color indexed="81"/>
            <rFont val="Tahoma"/>
            <family val="2"/>
          </rPr>
          <t xml:space="preserve">
</t>
        </r>
      </text>
    </comment>
    <comment ref="A16" authorId="0" shapeId="0" xr:uid="{7E3E21CB-6DD2-4557-AA39-E542DCBD6CC5}">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0BAE5C2-4604-4AFD-8CC4-E9422856F4DE}">
      <text>
        <r>
          <rPr>
            <b/>
            <sz val="9"/>
            <color indexed="81"/>
            <rFont val="Tahoma"/>
            <family val="2"/>
          </rPr>
          <t xml:space="preserve">See Guide (help)
</t>
        </r>
        <r>
          <rPr>
            <sz val="9"/>
            <color indexed="81"/>
            <rFont val="Tahoma"/>
            <family val="2"/>
          </rPr>
          <t xml:space="preserve">
</t>
        </r>
      </text>
    </comment>
    <comment ref="A3" authorId="0" shapeId="0" xr:uid="{16ACD442-9965-47D9-9FE9-EA784282C640}">
      <text>
        <r>
          <rPr>
            <b/>
            <sz val="9"/>
            <color indexed="81"/>
            <rFont val="Tahoma"/>
            <family val="2"/>
          </rPr>
          <t xml:space="preserve">See Guide (help)
</t>
        </r>
        <r>
          <rPr>
            <sz val="9"/>
            <color indexed="81"/>
            <rFont val="Tahoma"/>
            <family val="2"/>
          </rPr>
          <t xml:space="preserve">
</t>
        </r>
      </text>
    </comment>
    <comment ref="A5" authorId="0" shapeId="0" xr:uid="{2536BA84-AD36-4276-A00F-F88DB4668895}">
      <text>
        <r>
          <rPr>
            <sz val="9"/>
            <color indexed="81"/>
            <rFont val="Tahoma"/>
            <family val="2"/>
          </rPr>
          <t>Definition is in the "General info" tab.
Use the dropdown list.</t>
        </r>
      </text>
    </comment>
    <comment ref="A9" authorId="0" shapeId="0" xr:uid="{6B020421-D4AF-4F44-BE9F-021B91B588C6}">
      <text>
        <r>
          <rPr>
            <b/>
            <sz val="9"/>
            <color indexed="81"/>
            <rFont val="Tahoma"/>
            <family val="2"/>
          </rPr>
          <t>See Guide (help)</t>
        </r>
        <r>
          <rPr>
            <sz val="9"/>
            <color indexed="81"/>
            <rFont val="Tahoma"/>
            <family val="2"/>
          </rPr>
          <t xml:space="preserve">
</t>
        </r>
      </text>
    </comment>
    <comment ref="A11" authorId="0" shapeId="0" xr:uid="{497182B9-6EA1-4C51-B763-144194E985F4}">
      <text>
        <r>
          <rPr>
            <b/>
            <sz val="9"/>
            <color indexed="81"/>
            <rFont val="Tahoma"/>
            <family val="2"/>
          </rPr>
          <t xml:space="preserve">Describe the test environment and setup.
</t>
        </r>
        <r>
          <rPr>
            <sz val="9"/>
            <color indexed="81"/>
            <rFont val="Tahoma"/>
            <family val="2"/>
          </rPr>
          <t xml:space="preserve">
</t>
        </r>
      </text>
    </comment>
    <comment ref="A16" authorId="0" shapeId="0" xr:uid="{280FC697-55DC-4C8B-9EDF-9B50E5AC4445}">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F6A90E5-1B3A-4D8B-80F1-D80672421E20}">
      <text>
        <r>
          <rPr>
            <b/>
            <sz val="9"/>
            <color indexed="81"/>
            <rFont val="Tahoma"/>
            <family val="2"/>
          </rPr>
          <t xml:space="preserve">See Guide (help)
</t>
        </r>
        <r>
          <rPr>
            <sz val="9"/>
            <color indexed="81"/>
            <rFont val="Tahoma"/>
            <family val="2"/>
          </rPr>
          <t xml:space="preserve">
</t>
        </r>
      </text>
    </comment>
    <comment ref="A3" authorId="0" shapeId="0" xr:uid="{3ECE4699-593A-432D-9ACD-4A39FAFCB8CD}">
      <text>
        <r>
          <rPr>
            <b/>
            <sz val="9"/>
            <color indexed="81"/>
            <rFont val="Tahoma"/>
            <family val="2"/>
          </rPr>
          <t xml:space="preserve">See Guide (help)
</t>
        </r>
        <r>
          <rPr>
            <sz val="9"/>
            <color indexed="81"/>
            <rFont val="Tahoma"/>
            <family val="2"/>
          </rPr>
          <t xml:space="preserve">
</t>
        </r>
      </text>
    </comment>
    <comment ref="A5" authorId="0" shapeId="0" xr:uid="{6A76D83E-2E45-4F3D-BA98-9503D4FB2DDD}">
      <text>
        <r>
          <rPr>
            <sz val="9"/>
            <color indexed="81"/>
            <rFont val="Tahoma"/>
            <family val="2"/>
          </rPr>
          <t>Definition is in the "General info" tab.
Use the dropdown list.</t>
        </r>
      </text>
    </comment>
    <comment ref="A9" authorId="0" shapeId="0" xr:uid="{960EB269-6E03-4CB6-B4FC-51859F9B07B3}">
      <text>
        <r>
          <rPr>
            <b/>
            <sz val="9"/>
            <color indexed="81"/>
            <rFont val="Tahoma"/>
            <family val="2"/>
          </rPr>
          <t>See Guide (help)</t>
        </r>
        <r>
          <rPr>
            <sz val="9"/>
            <color indexed="81"/>
            <rFont val="Tahoma"/>
            <family val="2"/>
          </rPr>
          <t xml:space="preserve">
</t>
        </r>
      </text>
    </comment>
    <comment ref="A11" authorId="0" shapeId="0" xr:uid="{03639E10-1940-4155-B0A8-E14AAC2F0A42}">
      <text>
        <r>
          <rPr>
            <b/>
            <sz val="9"/>
            <color indexed="81"/>
            <rFont val="Tahoma"/>
            <family val="2"/>
          </rPr>
          <t xml:space="preserve">Describe the test environment and setup.
</t>
        </r>
        <r>
          <rPr>
            <sz val="9"/>
            <color indexed="81"/>
            <rFont val="Tahoma"/>
            <family val="2"/>
          </rPr>
          <t xml:space="preserve">
</t>
        </r>
      </text>
    </comment>
    <comment ref="A16" authorId="0" shapeId="0" xr:uid="{EC528E00-7B4E-497F-AA14-84925E3EA9E8}">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6380DCE3-8B18-4C8F-9A94-7E8A8F98F063}">
      <text>
        <r>
          <rPr>
            <b/>
            <sz val="9"/>
            <color indexed="81"/>
            <rFont val="Tahoma"/>
            <family val="2"/>
          </rPr>
          <t xml:space="preserve">See Guide (help)
</t>
        </r>
        <r>
          <rPr>
            <sz val="9"/>
            <color indexed="81"/>
            <rFont val="Tahoma"/>
            <family val="2"/>
          </rPr>
          <t xml:space="preserve">
</t>
        </r>
      </text>
    </comment>
    <comment ref="A3" authorId="0" shapeId="0" xr:uid="{9F8006A8-82C1-4FEE-ACCF-F99AD941F7F8}">
      <text>
        <r>
          <rPr>
            <b/>
            <sz val="9"/>
            <color indexed="81"/>
            <rFont val="Tahoma"/>
            <family val="2"/>
          </rPr>
          <t xml:space="preserve">See Guide (help)
</t>
        </r>
        <r>
          <rPr>
            <sz val="9"/>
            <color indexed="81"/>
            <rFont val="Tahoma"/>
            <family val="2"/>
          </rPr>
          <t xml:space="preserve">
</t>
        </r>
      </text>
    </comment>
    <comment ref="A5" authorId="0" shapeId="0" xr:uid="{45A08EC5-24EC-48A9-B713-CCE13705DA2F}">
      <text>
        <r>
          <rPr>
            <sz val="9"/>
            <color indexed="81"/>
            <rFont val="Tahoma"/>
            <family val="2"/>
          </rPr>
          <t>Definition is in the "General info" tab.
Use the dropdown list.</t>
        </r>
      </text>
    </comment>
    <comment ref="A9" authorId="0" shapeId="0" xr:uid="{64459FE9-482D-4221-AD86-2FD4E97A4A13}">
      <text>
        <r>
          <rPr>
            <b/>
            <sz val="9"/>
            <color indexed="81"/>
            <rFont val="Tahoma"/>
            <family val="2"/>
          </rPr>
          <t>See Guide (help)</t>
        </r>
        <r>
          <rPr>
            <sz val="9"/>
            <color indexed="81"/>
            <rFont val="Tahoma"/>
            <family val="2"/>
          </rPr>
          <t xml:space="preserve">
</t>
        </r>
      </text>
    </comment>
    <comment ref="A11" authorId="0" shapeId="0" xr:uid="{6EFAE499-6DF5-430D-BB07-5B056FC74F73}">
      <text>
        <r>
          <rPr>
            <b/>
            <sz val="9"/>
            <color indexed="81"/>
            <rFont val="Tahoma"/>
            <family val="2"/>
          </rPr>
          <t xml:space="preserve">Describe the test environment and setup.
</t>
        </r>
        <r>
          <rPr>
            <sz val="9"/>
            <color indexed="81"/>
            <rFont val="Tahoma"/>
            <family val="2"/>
          </rPr>
          <t xml:space="preserve">
</t>
        </r>
      </text>
    </comment>
    <comment ref="A16" authorId="0" shapeId="0" xr:uid="{285C02F0-2B11-4293-BBB7-51E911AF6C33}">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C10840C-ABC1-445F-9BC3-84D2A4A646AC}">
      <text>
        <r>
          <rPr>
            <b/>
            <sz val="9"/>
            <color indexed="81"/>
            <rFont val="Tahoma"/>
            <family val="2"/>
          </rPr>
          <t xml:space="preserve">See Guide (help)
</t>
        </r>
        <r>
          <rPr>
            <sz val="9"/>
            <color indexed="81"/>
            <rFont val="Tahoma"/>
            <family val="2"/>
          </rPr>
          <t xml:space="preserve">
</t>
        </r>
      </text>
    </comment>
    <comment ref="A3" authorId="0" shapeId="0" xr:uid="{FACA094D-A3B4-4E8F-8666-86C7EE489724}">
      <text>
        <r>
          <rPr>
            <b/>
            <sz val="9"/>
            <color indexed="81"/>
            <rFont val="Tahoma"/>
            <family val="2"/>
          </rPr>
          <t xml:space="preserve">See Guide (help)
</t>
        </r>
        <r>
          <rPr>
            <sz val="9"/>
            <color indexed="81"/>
            <rFont val="Tahoma"/>
            <family val="2"/>
          </rPr>
          <t xml:space="preserve">
</t>
        </r>
      </text>
    </comment>
    <comment ref="A5" authorId="0" shapeId="0" xr:uid="{C851729A-191E-4766-A44F-3A63C16481ED}">
      <text>
        <r>
          <rPr>
            <sz val="9"/>
            <color indexed="81"/>
            <rFont val="Tahoma"/>
            <family val="2"/>
          </rPr>
          <t>Definition is in the "General info" tab.
Use the dropdown list.</t>
        </r>
      </text>
    </comment>
    <comment ref="A9" authorId="0" shapeId="0" xr:uid="{10743D86-E1A7-4081-BCAB-07ADCDA380A8}">
      <text>
        <r>
          <rPr>
            <b/>
            <sz val="9"/>
            <color indexed="81"/>
            <rFont val="Tahoma"/>
            <family val="2"/>
          </rPr>
          <t>See Guide (help)</t>
        </r>
        <r>
          <rPr>
            <sz val="9"/>
            <color indexed="81"/>
            <rFont val="Tahoma"/>
            <family val="2"/>
          </rPr>
          <t xml:space="preserve">
</t>
        </r>
      </text>
    </comment>
    <comment ref="A11" authorId="0" shapeId="0" xr:uid="{8A2E28CE-C7FF-489C-B994-4DC5C5EEC3C8}">
      <text>
        <r>
          <rPr>
            <b/>
            <sz val="9"/>
            <color indexed="81"/>
            <rFont val="Tahoma"/>
            <family val="2"/>
          </rPr>
          <t xml:space="preserve">Describe the test environment and setup.
</t>
        </r>
        <r>
          <rPr>
            <sz val="9"/>
            <color indexed="81"/>
            <rFont val="Tahoma"/>
            <family val="2"/>
          </rPr>
          <t xml:space="preserve">
</t>
        </r>
      </text>
    </comment>
    <comment ref="A16" authorId="0" shapeId="0" xr:uid="{7A4C2E91-A486-4E1E-AC34-686F27B95819}">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F5361C6-9AD0-480D-95CA-28BED9E99D00}">
      <text>
        <r>
          <rPr>
            <b/>
            <sz val="9"/>
            <color indexed="81"/>
            <rFont val="Tahoma"/>
            <family val="2"/>
          </rPr>
          <t xml:space="preserve">See Guide (help)
</t>
        </r>
        <r>
          <rPr>
            <sz val="9"/>
            <color indexed="81"/>
            <rFont val="Tahoma"/>
            <family val="2"/>
          </rPr>
          <t xml:space="preserve">
</t>
        </r>
      </text>
    </comment>
    <comment ref="A3" authorId="0" shapeId="0" xr:uid="{E2E6764A-A7B1-42EF-BF6D-82241E7CBC6D}">
      <text>
        <r>
          <rPr>
            <b/>
            <sz val="9"/>
            <color indexed="81"/>
            <rFont val="Tahoma"/>
            <family val="2"/>
          </rPr>
          <t xml:space="preserve">See Guide (help)
</t>
        </r>
        <r>
          <rPr>
            <sz val="9"/>
            <color indexed="81"/>
            <rFont val="Tahoma"/>
            <family val="2"/>
          </rPr>
          <t xml:space="preserve">
</t>
        </r>
      </text>
    </comment>
    <comment ref="A5" authorId="0" shapeId="0" xr:uid="{DE674B15-B78A-41FA-B4FE-E9E651AC62F6}">
      <text>
        <r>
          <rPr>
            <sz val="9"/>
            <color indexed="81"/>
            <rFont val="Tahoma"/>
            <family val="2"/>
          </rPr>
          <t>Definition is in the "General info" tab.
Use the dropdown list.</t>
        </r>
      </text>
    </comment>
    <comment ref="A9" authorId="0" shapeId="0" xr:uid="{B80CD68C-25FC-4BDA-BF42-2E82F37B33D0}">
      <text>
        <r>
          <rPr>
            <b/>
            <sz val="9"/>
            <color indexed="81"/>
            <rFont val="Tahoma"/>
            <family val="2"/>
          </rPr>
          <t>See Guide (help)</t>
        </r>
        <r>
          <rPr>
            <sz val="9"/>
            <color indexed="81"/>
            <rFont val="Tahoma"/>
            <family val="2"/>
          </rPr>
          <t xml:space="preserve">
</t>
        </r>
      </text>
    </comment>
    <comment ref="A11" authorId="0" shapeId="0" xr:uid="{59B8B9C5-8320-4FB2-BFAC-4663B6FA9537}">
      <text>
        <r>
          <rPr>
            <b/>
            <sz val="9"/>
            <color indexed="81"/>
            <rFont val="Tahoma"/>
            <family val="2"/>
          </rPr>
          <t xml:space="preserve">Describe the test environment and setup.
</t>
        </r>
        <r>
          <rPr>
            <sz val="9"/>
            <color indexed="81"/>
            <rFont val="Tahoma"/>
            <family val="2"/>
          </rPr>
          <t xml:space="preserve">
</t>
        </r>
      </text>
    </comment>
    <comment ref="A16" authorId="0" shapeId="0" xr:uid="{CC563405-0BA1-4BBE-8F84-140D533AFF61}">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C2B74BE-E4D1-4697-8A37-9911F24CD09A}">
      <text>
        <r>
          <rPr>
            <b/>
            <sz val="9"/>
            <color indexed="81"/>
            <rFont val="Tahoma"/>
            <family val="2"/>
          </rPr>
          <t xml:space="preserve">See Guide (help)
</t>
        </r>
        <r>
          <rPr>
            <sz val="9"/>
            <color indexed="81"/>
            <rFont val="Tahoma"/>
            <family val="2"/>
          </rPr>
          <t xml:space="preserve">
</t>
        </r>
      </text>
    </comment>
    <comment ref="A3" authorId="0" shapeId="0" xr:uid="{D12B8517-EFEA-4BAA-857A-42BFC3447EEF}">
      <text>
        <r>
          <rPr>
            <b/>
            <sz val="9"/>
            <color indexed="81"/>
            <rFont val="Tahoma"/>
            <family val="2"/>
          </rPr>
          <t xml:space="preserve">See Guide (help)
</t>
        </r>
        <r>
          <rPr>
            <sz val="9"/>
            <color indexed="81"/>
            <rFont val="Tahoma"/>
            <family val="2"/>
          </rPr>
          <t xml:space="preserve">
</t>
        </r>
      </text>
    </comment>
    <comment ref="A5" authorId="0" shapeId="0" xr:uid="{6B001543-2DF6-4088-BE82-855DA51F1427}">
      <text>
        <r>
          <rPr>
            <sz val="9"/>
            <color indexed="81"/>
            <rFont val="Tahoma"/>
            <family val="2"/>
          </rPr>
          <t>Definition is in the "General info" tab.
Use the dropdown list.</t>
        </r>
      </text>
    </comment>
    <comment ref="A9" authorId="0" shapeId="0" xr:uid="{AC3FCC2F-E9C7-429B-8F1D-1EE75C5C3BF2}">
      <text>
        <r>
          <rPr>
            <b/>
            <sz val="9"/>
            <color indexed="81"/>
            <rFont val="Tahoma"/>
            <family val="2"/>
          </rPr>
          <t>See Guide (help)</t>
        </r>
        <r>
          <rPr>
            <sz val="9"/>
            <color indexed="81"/>
            <rFont val="Tahoma"/>
            <family val="2"/>
          </rPr>
          <t xml:space="preserve">
</t>
        </r>
      </text>
    </comment>
    <comment ref="A11" authorId="0" shapeId="0" xr:uid="{BBCB7F8D-D00A-4D91-B97F-AA7AC34FDB23}">
      <text>
        <r>
          <rPr>
            <b/>
            <sz val="9"/>
            <color indexed="81"/>
            <rFont val="Tahoma"/>
            <family val="2"/>
          </rPr>
          <t xml:space="preserve">Describe the test environment and setup.
</t>
        </r>
        <r>
          <rPr>
            <sz val="9"/>
            <color indexed="81"/>
            <rFont val="Tahoma"/>
            <family val="2"/>
          </rPr>
          <t xml:space="preserve">
</t>
        </r>
      </text>
    </comment>
    <comment ref="A16" authorId="0" shapeId="0" xr:uid="{EFC52041-804B-4830-8126-3F9F43DF7120}">
      <text>
        <r>
          <rPr>
            <b/>
            <sz val="9"/>
            <color indexed="81"/>
            <rFont val="Tahoma"/>
            <family val="2"/>
          </rPr>
          <t>Give the initial state before beginning the test.</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4107057-C45E-4AD0-B970-6CF09CF21023}">
      <text>
        <r>
          <rPr>
            <b/>
            <sz val="9"/>
            <color indexed="81"/>
            <rFont val="Tahoma"/>
            <family val="2"/>
          </rPr>
          <t xml:space="preserve">See Guide (help)
</t>
        </r>
        <r>
          <rPr>
            <sz val="9"/>
            <color indexed="81"/>
            <rFont val="Tahoma"/>
            <family val="2"/>
          </rPr>
          <t xml:space="preserve">
</t>
        </r>
      </text>
    </comment>
    <comment ref="A3" authorId="0" shapeId="0" xr:uid="{E487696E-03CB-46BA-B457-BFE1AF600840}">
      <text>
        <r>
          <rPr>
            <b/>
            <sz val="9"/>
            <color indexed="81"/>
            <rFont val="Tahoma"/>
            <family val="2"/>
          </rPr>
          <t xml:space="preserve">See Guide (help)
</t>
        </r>
        <r>
          <rPr>
            <sz val="9"/>
            <color indexed="81"/>
            <rFont val="Tahoma"/>
            <family val="2"/>
          </rPr>
          <t xml:space="preserve">
</t>
        </r>
      </text>
    </comment>
    <comment ref="A5" authorId="0" shapeId="0" xr:uid="{9EF6E28E-6AB3-469C-9632-15E712BC0037}">
      <text>
        <r>
          <rPr>
            <sz val="9"/>
            <color indexed="81"/>
            <rFont val="Tahoma"/>
            <family val="2"/>
          </rPr>
          <t>Definition is in the "General info" tab.
Use the dropdown list.</t>
        </r>
      </text>
    </comment>
    <comment ref="A9" authorId="0" shapeId="0" xr:uid="{0726F29F-8AC7-4A32-A772-409A72016F94}">
      <text>
        <r>
          <rPr>
            <b/>
            <sz val="9"/>
            <color indexed="81"/>
            <rFont val="Tahoma"/>
            <family val="2"/>
          </rPr>
          <t>See Guide (help)</t>
        </r>
        <r>
          <rPr>
            <sz val="9"/>
            <color indexed="81"/>
            <rFont val="Tahoma"/>
            <family val="2"/>
          </rPr>
          <t xml:space="preserve">
</t>
        </r>
      </text>
    </comment>
    <comment ref="A11" authorId="0" shapeId="0" xr:uid="{3C1D3142-206D-4F82-8685-D194E7675A6B}">
      <text>
        <r>
          <rPr>
            <b/>
            <sz val="9"/>
            <color indexed="81"/>
            <rFont val="Tahoma"/>
            <family val="2"/>
          </rPr>
          <t xml:space="preserve">Describe the test environment and setup.
</t>
        </r>
        <r>
          <rPr>
            <sz val="9"/>
            <color indexed="81"/>
            <rFont val="Tahoma"/>
            <family val="2"/>
          </rPr>
          <t xml:space="preserve">
</t>
        </r>
      </text>
    </comment>
    <comment ref="A16" authorId="0" shapeId="0" xr:uid="{65D7CB1F-7CAB-483C-ABCF-2328452688E8}">
      <text>
        <r>
          <rPr>
            <b/>
            <sz val="9"/>
            <color indexed="81"/>
            <rFont val="Tahoma"/>
            <family val="2"/>
          </rPr>
          <t>Give the initial state before beginning the test.</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F326AF9-7ED7-4415-B673-F5F100BA492A}">
      <text>
        <r>
          <rPr>
            <b/>
            <sz val="9"/>
            <color indexed="81"/>
            <rFont val="Tahoma"/>
            <family val="2"/>
          </rPr>
          <t xml:space="preserve">See Guide (help)
</t>
        </r>
        <r>
          <rPr>
            <sz val="9"/>
            <color indexed="81"/>
            <rFont val="Tahoma"/>
            <family val="2"/>
          </rPr>
          <t xml:space="preserve">
</t>
        </r>
      </text>
    </comment>
    <comment ref="A3" authorId="0" shapeId="0" xr:uid="{B9DD6700-4293-4313-AA9B-F2612663B9C3}">
      <text>
        <r>
          <rPr>
            <b/>
            <sz val="9"/>
            <color indexed="81"/>
            <rFont val="Tahoma"/>
            <family val="2"/>
          </rPr>
          <t xml:space="preserve">See Guide (help)
</t>
        </r>
        <r>
          <rPr>
            <sz val="9"/>
            <color indexed="81"/>
            <rFont val="Tahoma"/>
            <family val="2"/>
          </rPr>
          <t xml:space="preserve">
</t>
        </r>
      </text>
    </comment>
    <comment ref="A5" authorId="0" shapeId="0" xr:uid="{3861DB95-00B7-46AA-A341-F6050C9C3019}">
      <text>
        <r>
          <rPr>
            <sz val="9"/>
            <color indexed="81"/>
            <rFont val="Tahoma"/>
            <family val="2"/>
          </rPr>
          <t>Definition is in the "General info" tab.
Use the dropdown list.</t>
        </r>
      </text>
    </comment>
    <comment ref="A9" authorId="0" shapeId="0" xr:uid="{68943730-66CE-4399-802B-D42354B3B055}">
      <text>
        <r>
          <rPr>
            <b/>
            <sz val="9"/>
            <color indexed="81"/>
            <rFont val="Tahoma"/>
            <family val="2"/>
          </rPr>
          <t>See Guide (help)</t>
        </r>
        <r>
          <rPr>
            <sz val="9"/>
            <color indexed="81"/>
            <rFont val="Tahoma"/>
            <family val="2"/>
          </rPr>
          <t xml:space="preserve">
</t>
        </r>
      </text>
    </comment>
    <comment ref="A11" authorId="0" shapeId="0" xr:uid="{D1209533-3D36-425C-BA82-F2D87AD7ABB2}">
      <text>
        <r>
          <rPr>
            <b/>
            <sz val="9"/>
            <color indexed="81"/>
            <rFont val="Tahoma"/>
            <family val="2"/>
          </rPr>
          <t xml:space="preserve">Describe the test environment and setup.
</t>
        </r>
        <r>
          <rPr>
            <sz val="9"/>
            <color indexed="81"/>
            <rFont val="Tahoma"/>
            <family val="2"/>
          </rPr>
          <t xml:space="preserve">
</t>
        </r>
      </text>
    </comment>
    <comment ref="A16" authorId="0" shapeId="0" xr:uid="{E80B5936-358E-409C-80BF-CA684E444E87}">
      <text>
        <r>
          <rPr>
            <b/>
            <sz val="9"/>
            <color indexed="81"/>
            <rFont val="Tahoma"/>
            <family val="2"/>
          </rPr>
          <t>Give the initial state before beginning the test.</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16EC317-E857-4C67-A799-96D3439EF664}">
      <text>
        <r>
          <rPr>
            <b/>
            <sz val="9"/>
            <color indexed="81"/>
            <rFont val="Tahoma"/>
            <family val="2"/>
          </rPr>
          <t xml:space="preserve">See Guide (help)
</t>
        </r>
        <r>
          <rPr>
            <sz val="9"/>
            <color indexed="81"/>
            <rFont val="Tahoma"/>
            <family val="2"/>
          </rPr>
          <t xml:space="preserve">
</t>
        </r>
      </text>
    </comment>
    <comment ref="A3" authorId="0" shapeId="0" xr:uid="{6A59E29A-9DFD-45B1-83CA-F07841972A61}">
      <text>
        <r>
          <rPr>
            <b/>
            <sz val="9"/>
            <color indexed="81"/>
            <rFont val="Tahoma"/>
            <family val="2"/>
          </rPr>
          <t xml:space="preserve">See Guide (help)
</t>
        </r>
        <r>
          <rPr>
            <sz val="9"/>
            <color indexed="81"/>
            <rFont val="Tahoma"/>
            <family val="2"/>
          </rPr>
          <t xml:space="preserve">
</t>
        </r>
      </text>
    </comment>
    <comment ref="A5" authorId="0" shapeId="0" xr:uid="{650B4133-BC3A-4F65-AEBA-FA3383051D11}">
      <text>
        <r>
          <rPr>
            <sz val="9"/>
            <color indexed="81"/>
            <rFont val="Tahoma"/>
            <family val="2"/>
          </rPr>
          <t>Definition is in the "General info" tab.
Use the dropdown list.</t>
        </r>
      </text>
    </comment>
    <comment ref="A9" authorId="0" shapeId="0" xr:uid="{869FC6F9-7F4C-4F7B-B0DE-A70EE52B9B98}">
      <text>
        <r>
          <rPr>
            <b/>
            <sz val="9"/>
            <color indexed="81"/>
            <rFont val="Tahoma"/>
            <family val="2"/>
          </rPr>
          <t>See Guide (help)</t>
        </r>
        <r>
          <rPr>
            <sz val="9"/>
            <color indexed="81"/>
            <rFont val="Tahoma"/>
            <family val="2"/>
          </rPr>
          <t xml:space="preserve">
</t>
        </r>
      </text>
    </comment>
    <comment ref="A11" authorId="0" shapeId="0" xr:uid="{BF4B8A06-A6DA-424E-B817-D743DB8EB553}">
      <text>
        <r>
          <rPr>
            <b/>
            <sz val="9"/>
            <color indexed="81"/>
            <rFont val="Tahoma"/>
            <family val="2"/>
          </rPr>
          <t xml:space="preserve">Describe the test environment and setup.
</t>
        </r>
        <r>
          <rPr>
            <sz val="9"/>
            <color indexed="81"/>
            <rFont val="Tahoma"/>
            <family val="2"/>
          </rPr>
          <t xml:space="preserve">
</t>
        </r>
      </text>
    </comment>
    <comment ref="A16" authorId="0" shapeId="0" xr:uid="{E46586CD-CD19-433D-82E8-6E16D290AFD2}">
      <text>
        <r>
          <rPr>
            <b/>
            <sz val="9"/>
            <color indexed="81"/>
            <rFont val="Tahoma"/>
            <family val="2"/>
          </rPr>
          <t>Give the initial state before beginning the test.</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2E9E831-280F-4D4D-A9C1-3FD5A1291A0E}">
      <text>
        <r>
          <rPr>
            <b/>
            <sz val="9"/>
            <color indexed="81"/>
            <rFont val="Tahoma"/>
            <family val="2"/>
          </rPr>
          <t xml:space="preserve">See Guide (help)
</t>
        </r>
        <r>
          <rPr>
            <sz val="9"/>
            <color indexed="81"/>
            <rFont val="Tahoma"/>
            <family val="2"/>
          </rPr>
          <t xml:space="preserve">
</t>
        </r>
      </text>
    </comment>
    <comment ref="A3" authorId="0" shapeId="0" xr:uid="{1F29012D-44D0-46B2-9D2E-1F71BA70A0CA}">
      <text>
        <r>
          <rPr>
            <b/>
            <sz val="9"/>
            <color indexed="81"/>
            <rFont val="Tahoma"/>
            <family val="2"/>
          </rPr>
          <t xml:space="preserve">See Guide (help)
</t>
        </r>
        <r>
          <rPr>
            <sz val="9"/>
            <color indexed="81"/>
            <rFont val="Tahoma"/>
            <family val="2"/>
          </rPr>
          <t xml:space="preserve">
</t>
        </r>
      </text>
    </comment>
    <comment ref="A5" authorId="0" shapeId="0" xr:uid="{AF62B33B-E582-4464-A80F-8595E7FA87EB}">
      <text>
        <r>
          <rPr>
            <sz val="9"/>
            <color indexed="81"/>
            <rFont val="Tahoma"/>
            <family val="2"/>
          </rPr>
          <t>Definition is in the "General info" tab.
Use the dropdown list.</t>
        </r>
      </text>
    </comment>
    <comment ref="A9" authorId="0" shapeId="0" xr:uid="{ED5FD2E9-64FF-4B73-ADDE-48CDB38A32BF}">
      <text>
        <r>
          <rPr>
            <b/>
            <sz val="9"/>
            <color indexed="81"/>
            <rFont val="Tahoma"/>
            <family val="2"/>
          </rPr>
          <t>See Guide (help)</t>
        </r>
        <r>
          <rPr>
            <sz val="9"/>
            <color indexed="81"/>
            <rFont val="Tahoma"/>
            <family val="2"/>
          </rPr>
          <t xml:space="preserve">
</t>
        </r>
      </text>
    </comment>
    <comment ref="A11" authorId="0" shapeId="0" xr:uid="{346A7043-F95D-49E1-941A-6C65543926B6}">
      <text>
        <r>
          <rPr>
            <b/>
            <sz val="9"/>
            <color indexed="81"/>
            <rFont val="Tahoma"/>
            <family val="2"/>
          </rPr>
          <t xml:space="preserve">Describe the test environment and setup.
</t>
        </r>
        <r>
          <rPr>
            <sz val="9"/>
            <color indexed="81"/>
            <rFont val="Tahoma"/>
            <family val="2"/>
          </rPr>
          <t xml:space="preserve">
</t>
        </r>
      </text>
    </comment>
    <comment ref="A16" authorId="0" shapeId="0" xr:uid="{5D9E23AE-0E6F-4192-B8D1-A109995C1FFC}">
      <text>
        <r>
          <rPr>
            <b/>
            <sz val="9"/>
            <color indexed="81"/>
            <rFont val="Tahoma"/>
            <family val="2"/>
          </rPr>
          <t>Give the initial state before beginning the test.</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B3536A2-2A63-457A-AB7B-FC19B88E3A27}">
      <text>
        <r>
          <rPr>
            <b/>
            <sz val="9"/>
            <color indexed="81"/>
            <rFont val="Tahoma"/>
            <family val="2"/>
          </rPr>
          <t xml:space="preserve">See Guide (help)
</t>
        </r>
        <r>
          <rPr>
            <sz val="9"/>
            <color indexed="81"/>
            <rFont val="Tahoma"/>
            <family val="2"/>
          </rPr>
          <t xml:space="preserve">
</t>
        </r>
      </text>
    </comment>
    <comment ref="A3" authorId="0" shapeId="0" xr:uid="{01D9C065-74D0-4BAD-8EBD-A42AA09021EE}">
      <text>
        <r>
          <rPr>
            <b/>
            <sz val="9"/>
            <color indexed="81"/>
            <rFont val="Tahoma"/>
            <family val="2"/>
          </rPr>
          <t xml:space="preserve">See Guide (help)
</t>
        </r>
        <r>
          <rPr>
            <sz val="9"/>
            <color indexed="81"/>
            <rFont val="Tahoma"/>
            <family val="2"/>
          </rPr>
          <t xml:space="preserve">
</t>
        </r>
      </text>
    </comment>
    <comment ref="A5" authorId="0" shapeId="0" xr:uid="{5643E53B-B71B-4D6B-94CD-33B182D64CBB}">
      <text>
        <r>
          <rPr>
            <sz val="9"/>
            <color indexed="81"/>
            <rFont val="Tahoma"/>
            <family val="2"/>
          </rPr>
          <t>Definition is in the "General info" tab.
Use the dropdown list.</t>
        </r>
      </text>
    </comment>
    <comment ref="A9" authorId="0" shapeId="0" xr:uid="{1B1A3C49-A71F-4A50-8D0A-3975DEC8E493}">
      <text>
        <r>
          <rPr>
            <b/>
            <sz val="9"/>
            <color indexed="81"/>
            <rFont val="Tahoma"/>
            <family val="2"/>
          </rPr>
          <t>See Guide (help)</t>
        </r>
        <r>
          <rPr>
            <sz val="9"/>
            <color indexed="81"/>
            <rFont val="Tahoma"/>
            <family val="2"/>
          </rPr>
          <t xml:space="preserve">
</t>
        </r>
      </text>
    </comment>
    <comment ref="A11" authorId="0" shapeId="0" xr:uid="{804464E6-155E-49F4-95C4-7A51B6A21ADF}">
      <text>
        <r>
          <rPr>
            <b/>
            <sz val="9"/>
            <color indexed="81"/>
            <rFont val="Tahoma"/>
            <family val="2"/>
          </rPr>
          <t xml:space="preserve">Describe the test environment and setup.
</t>
        </r>
        <r>
          <rPr>
            <sz val="9"/>
            <color indexed="81"/>
            <rFont val="Tahoma"/>
            <family val="2"/>
          </rPr>
          <t xml:space="preserve">
</t>
        </r>
      </text>
    </comment>
    <comment ref="A16" authorId="0" shapeId="0" xr:uid="{4F02A2BF-A733-468F-947D-4CA4D2F9597E}">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<sst xmlns="http://schemas.openxmlformats.org/spreadsheetml/2006/main" count="1723" uniqueCount="432">
  <si>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</si>
  <si>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</si>
  <si>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</si>
  <si>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</si>
  <si>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</si>
  <si>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</si>
  <si>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</si>
  <si>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</si>
  <si>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</si>
  <si>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</si>
  <si>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</si>
  <si>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</si>
  <si>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</si>
  <si>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</si>
  <si>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</si>
  <si>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</si>
  <si>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</si>
  <si>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</si>
  <si>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</si>
  <si>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</si>
  <si>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</si>
  <si>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</si>
  <si>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</si>
  <si>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</si>
  <si>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</si>
  <si>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</si>
  <si>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</si>
  <si>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</si>
  <si>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</si>
  <si>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</si>
  <si>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</si>
  <si>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</si>
  <si>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</si>
  <si>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</si>
  <si>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</si>
  <si>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</si>
  <si>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</si>
  <si>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</si>
  <si>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</si>
  <si>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</si>
  <si>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</si>
  <si>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</si>
  <si>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</si>
  <si>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</si>
  <si>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</si>
  <si>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</si>
  <si>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</si>
  <si>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</si>
  <si>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</si>
  <si>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</si>
  <si>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</si>
  <si>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</si>
  <si>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</si>
  <si>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</si>
  <si>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</si>
  <si>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</si>
  <si>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</si>
  <si>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</si>
  <si>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</si>
  <si>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</si>
  <si>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</si>
  <si>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</si>
  <si>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</si>
  <si>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</si>
  <si>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</si>
  <si>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</si>
  <si>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</si>
  <si>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</si>
  <si>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</si>
  <si>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</si>
  <si>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</si>
  <si>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</si>
  <si>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</si>
  <si>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</si>
  <si>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</si>
  <si>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</si>
  <si>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</si>
  <si>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</si>
  <si>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</si>
  <si>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</si>
  <si>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</si>
  <si>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</si>
  <si>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</si>
  <si>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</si>
  <si>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</si>
  <si>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</si>
  <si>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</si>
  <si>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</si>
  <si>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</si>
  <si>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</si>
  <si>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</si>
  <si>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</si>
  <si>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</si>
  <si>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</si>
  <si>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</si>
  <si>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</si>
  <si>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</si>
  <si>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</si>
  <si>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</si>
  <si>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</si>
  <si>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</si>
  <si>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</si>
  <si>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</si>
  <si>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</si>
  <si>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</si>
  <si>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</si>
  <si>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</si>
  <si>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</si>
  <si>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</si>
  <si>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</si>
  <si>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</si>
  <si>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</si>
  <si>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</si>
  <si>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</si>
  <si>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</si>
  <si>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</si>
  <si>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</si>
  <si>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</si>
  <si>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</si>
  <si>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</si>
  <si>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</si>
  <si>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</si>
  <si>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</si>
  <si>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</si>
  <si>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</si>
  <si>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</si>
  <si>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Emanuel Jivan</t>
  </si>
  <si>
    <t>Side allocation test</t>
  </si>
  <si>
    <t>Nominal</t>
  </si>
  <si>
    <t>Ok</t>
  </si>
  <si>
    <t>Functionality of side allocation based on NVM ECU ID block</t>
  </si>
  <si>
    <t>Running software (hsm+bm+fbl+app), no DET, traps, etc</t>
  </si>
  <si>
    <t>Shutdown application (stop canoe), in order to write block into NVM</t>
  </si>
  <si>
    <t>Modify ID_ECU_LOCATION to 0x99 (any way possible; hijack application, nvblock write, ram mirror write, diagnostics)</t>
  </si>
  <si>
    <t>Value written into NV block</t>
  </si>
  <si>
    <t>NV block read 0x99 at app startup</t>
  </si>
  <si>
    <t>Step 10</t>
  </si>
  <si>
    <t>Step 11</t>
  </si>
  <si>
    <t>Read DID FD2F</t>
  </si>
  <si>
    <t>Authenticate with Developer_Enhanced user role</t>
  </si>
  <si>
    <t>71 01 02 60 00 01 00 00 00 00 00 00</t>
  </si>
  <si>
    <t>Start Development Session (0x7E)</t>
  </si>
  <si>
    <t>50 7E 00 14 00 C8</t>
  </si>
  <si>
    <t xml:space="preserve">ECU_Stat_RBTM_FL_ST3 is sent
RBTM_FL_Stat_ST3 is sent
BeltAdj_FL_Stat_ST3 is sent 
NM_RBTM_FL_ST3 is sent
</t>
  </si>
  <si>
    <t>Check if RBTM_FL's PDUS are sent(PN activated)</t>
  </si>
  <si>
    <t>ECU_Stat_RBTM_FL_ST3 is sent
RBTM_FL_Stat_ST3 is sent
BeltAdj_FL_Stat_ST3 is sent 
NM_RBTM_FL_ST3 is sent</t>
  </si>
  <si>
    <t>Start sending NM frame to wake up the DUT</t>
  </si>
  <si>
    <t>DUT is alive; responds to any diagnostic command</t>
  </si>
  <si>
    <t>62 F2 DF 99</t>
  </si>
  <si>
    <t xml:space="preserve">ECU_Stat_RBTM_FR_ST3 is sent
RBTM_FR_Stat_ST3 is sent
BeltAdj_FR_Stat_ST3 is sent 
NM_RBTM_FR_ST3 is sent
</t>
  </si>
  <si>
    <t>ECU_Stat_RBTM_FR_ST3 is sent
RBTM_FR_Stat_ST3 is sent
BeltAdj_FR_Stat_ST3 is sent 
NM_RBTM_FR_ST3 is sent</t>
  </si>
  <si>
    <t>26.01.2022</t>
  </si>
  <si>
    <t>Shutdown application (stop canoe), in order to write block into NVM; start ECU</t>
  </si>
  <si>
    <t>ECU restarts</t>
  </si>
  <si>
    <t>Initial revision, test for App side allocation</t>
  </si>
  <si>
    <t>1.1</t>
  </si>
  <si>
    <t>27.01.2022</t>
  </si>
  <si>
    <t>Roberto Cirstoi</t>
  </si>
  <si>
    <t>1.2</t>
  </si>
  <si>
    <t>Interna UDS test specification</t>
  </si>
  <si>
    <t>1.3</t>
  </si>
  <si>
    <t>Identification UDS test specification</t>
  </si>
  <si>
    <t>6E FD 03</t>
  </si>
  <si>
    <t>62 F1 8C 00 01 02 03 04 05 06 07 08 09 0A 0B</t>
  </si>
  <si>
    <t>WinIdea + IC5000
Canoe + CANcase VN1160</t>
  </si>
  <si>
    <t>62 FD 2F 9C</t>
  </si>
  <si>
    <t>1.4</t>
  </si>
  <si>
    <t>02.03.2022</t>
  </si>
  <si>
    <t>Update after review</t>
  </si>
  <si>
    <t>Functionality of identification diagnostic services (22/2E 03 40)</t>
  </si>
  <si>
    <t>ARCH_SW_DIA_0002, ARCH_SW_DIA_0003, ARCH_SW_NVP_0000, ARCH_SW_DIA_0062, ARCH_SW_DIA_0063, ARCH_SW_DIA_0060, ARCH_SW_DIA_0061</t>
  </si>
  <si>
    <t>ARCH_SW_DIA_0001, ARCH_SW_DIA_0008, ARCH_SW_NVP_0001, ARCH_SW_DIA_0054, ARCH_SW_DIA_0055, ARCH_SW_DIA_0056,  ARCH_SW_DIA_0057</t>
  </si>
  <si>
    <t>ARCH_SW_DIA_0010</t>
  </si>
  <si>
    <t>Read DTC test</t>
  </si>
  <si>
    <t>Start Extended Diagnostic Session (0x7E)</t>
  </si>
  <si>
    <t>Start Default Session (0x7E)</t>
  </si>
  <si>
    <t>Step 12</t>
  </si>
  <si>
    <t>Read F1 8C (22 F1 8C)</t>
  </si>
  <si>
    <t>Write F1 8C (2E FD 03 00 01 02 03 04 05 06 07 08 09 0A 0B)</t>
  </si>
  <si>
    <t>Report DTC by Status Mask (19 02 0C)</t>
  </si>
  <si>
    <t>59 02 39</t>
  </si>
  <si>
    <t>Test functionality of service 19, subfunction 02</t>
  </si>
  <si>
    <t>Go to Programming session (10 02)</t>
  </si>
  <si>
    <t>Go to Default Session (10 01)</t>
  </si>
  <si>
    <t xml:space="preserve">50 02 </t>
  </si>
  <si>
    <t>50 02</t>
  </si>
  <si>
    <t xml:space="preserve">50 01
</t>
  </si>
  <si>
    <t>50 01</t>
  </si>
  <si>
    <t>Step 13</t>
  </si>
  <si>
    <t xml:space="preserve">See Project Master Document for the roles and Project Members List for the name of people </t>
  </si>
  <si>
    <t>DIA - Software Integration Test Specification Report.xls</t>
  </si>
  <si>
    <t>1.10</t>
  </si>
  <si>
    <t>1.9</t>
  </si>
  <si>
    <t>R1.1 testing</t>
  </si>
  <si>
    <t>SW_IT_DIA_001</t>
  </si>
  <si>
    <t>SW_IT_DIA_002</t>
  </si>
  <si>
    <t>SW_IT_DIA_003</t>
  </si>
  <si>
    <t>SW_IT_DIA_004</t>
  </si>
  <si>
    <t>SW_IT_DIA_005</t>
  </si>
  <si>
    <t>SW_IT_DIA_006</t>
  </si>
  <si>
    <t>1.11</t>
  </si>
  <si>
    <t>Functionality of identification diagnostic services (22 02 43)</t>
  </si>
  <si>
    <t>ARCH_SW_DIA_0012, ARCH_SW_DIA_0079, ARCH_SW_DIA_0080, ARCH_SW_DIA_0081, ARCH_SW_NVP_0004</t>
  </si>
  <si>
    <t>Start Extended Diagnostic Session (0x03)</t>
  </si>
  <si>
    <t>ARCH_SW_DIA_0006, ARCH_SW_DIA_0007, ARCH_SW_NVP_0007, ARCH_SW_DIA_0068, ARCH_SW_DIA_0069, ARCH_SW_DIA_0070, ARCH_SW_DIA_0071, ARCH_SW_DIA_0083, ARCH_SW_DIA_0085</t>
  </si>
  <si>
    <t>SW_IT_DIA_007</t>
  </si>
  <si>
    <t>SW_IT_DIA_008</t>
  </si>
  <si>
    <t>22.06.2022</t>
  </si>
  <si>
    <t>62 FD 2A 00 00 00 00 00 00 00 01 00 00 00 00 00 00 00 02 00 00 00 00 00 00 00 03 00 00 00 00 00 00 00 04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01 00 00 00 00 00 00 00 02 00 00 00 00 00 00 00 03 00 00 00 00 00 00 00 04</t>
  </si>
  <si>
    <t>50 01 00 14 00 C8</t>
  </si>
  <si>
    <t>50 03 00 14 00 C8</t>
  </si>
  <si>
    <t>62 02 44 08 07 02 01 04 03 06 05</t>
  </si>
  <si>
    <t>Use debugger to modify NVP_BLOCK_ID_EXECUTION_COUNTERS_RamBlockData to  (0x00000000,0x00000102,0x00000304,0x00000506,0x00000708)</t>
  </si>
  <si>
    <t>NVP_BLOCK_ID_EXECUTION_COUNTERS_RamBlockData, now has the value: (0x00000000,0x00000102,0x00000304,0x00000506,0x00000708)</t>
  </si>
  <si>
    <t>NVP_BLOCK_ID_EXECUTION_COUNTERS_RamBlockData, now has the value: (0x00A1A2A3,0x00000000,0x00000000,0x00000000,0x00000000)</t>
  </si>
  <si>
    <t>Use debugger to modify NVP_BLOCK_ID_EXECUTION_COUNTERS_RamBlockData to  (0x00A1A2A3,0x00000000,0x00000000,0x00000000,0x00000000)</t>
  </si>
  <si>
    <t xml:space="preserve">62 02 43 A3 A2 A1 </t>
  </si>
  <si>
    <t>R2.05 testing</t>
  </si>
  <si>
    <t>1.12</t>
  </si>
  <si>
    <t>1.13</t>
  </si>
  <si>
    <t>Added trace files</t>
  </si>
  <si>
    <t>ARCH_SW_DIA_0011, ARCH_SW_DIA_0076, ARCH_SW_DIA_0077, ARCH_SW_DIA_0078, ARCH_SW_NVP_0004</t>
  </si>
  <si>
    <t>In CANoe, authenticate with Developer_Enhanced user role.</t>
  </si>
  <si>
    <t>In winIDEA, set a breakpoint at line 948 in the NVM_WriteBlock function and Add Watch for "returnValue".</t>
  </si>
  <si>
    <t>Positive Response (50 7E 00 14 00 C8)</t>
  </si>
  <si>
    <t>In CANoe, start Development Session (0x7E).</t>
  </si>
  <si>
    <t>Stop CANoe, in order to write block into NVM; start ECU</t>
  </si>
  <si>
    <t>In winIDEA, Add Watch for NVP_BLOCK_ID_CYCLE_0_RamBlockData and substract the adress of the last byte with the adress of the first byte.</t>
  </si>
  <si>
    <t>Difference is equal to 420U (data length)</t>
  </si>
  <si>
    <t>ARCH_SW_DIA_0004, ARCH_SW_DIA_0005, ARCH_SW_DIA_0064, ARCH_SW_DIA_0065, ARCH_SW_DIA_0066, ARCH_SW_DIA_0067, ARCH_SW_DIA_0082, ARCH_SW_DIA_0084</t>
  </si>
  <si>
    <t>In CANoe, write FD 2A (2E FD 2A 0x00 0x00 0x00 0x00 0x00 0x00 0x00 0x01 0x00 0x00 0x00 0x00 0x00 0x00 0x00 0x02 0x00 0x00 0x00 0x00 0x00 0x00 0x00 0x03 0x00 0x00 0x00 0x00 0x00 0x00 0x00 0x04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0x01 0x00 0x00 0x00 0x00 0x00 0x00 0x00 0x02 0x00 0x00 0x00 0x00 0x00 0x00 0x00 0x03 0x00 0x00 0x00 0x00 0x00 0x00 0x00 0x04)</t>
  </si>
  <si>
    <t>In CANoe, read FD 2A (22 FD 2A)</t>
  </si>
  <si>
    <t>In winIDEA, Add Watch for NVP_BLOCK_ID_STEP_0_RamBlockData and substract the adress of the last byte with the adress of the first byte.</t>
  </si>
  <si>
    <t>Difference is equal to 1160U (data length)</t>
  </si>
  <si>
    <t>Positive Response (6E FD 2A)
Breakpoint is reached and returnValue = E_OK (0U)</t>
  </si>
  <si>
    <t>In CANoe, start Extended Session (0x03).</t>
  </si>
  <si>
    <t>Positive Response (6E FD 03)
Breakpoint is reached and returnValue = E_OK (0U)</t>
  </si>
  <si>
    <r>
      <t xml:space="preserve">In CANoe, write FD 03 (2E FD 03 00 01 02 03 04 05 06 07 08 09 0A </t>
    </r>
    <r>
      <rPr>
        <b/>
        <sz val="10"/>
        <rFont val="Arial"/>
        <family val="2"/>
      </rPr>
      <t>0C</t>
    </r>
    <r>
      <rPr>
        <sz val="10"/>
        <rFont val="Arial"/>
        <family val="2"/>
      </rPr>
      <t>)</t>
    </r>
  </si>
  <si>
    <r>
      <t xml:space="preserve">In CANoe, write FD 03 (2E FD 03 00 01 02 03 04 05 06 07 08 09 0A </t>
    </r>
    <r>
      <rPr>
        <b/>
        <sz val="10"/>
        <rFont val="Arial"/>
        <family val="2"/>
      </rPr>
      <t>0B</t>
    </r>
    <r>
      <rPr>
        <sz val="10"/>
        <rFont val="Arial"/>
        <family val="2"/>
      </rPr>
      <t>)</t>
    </r>
  </si>
  <si>
    <t>In CANoe, read F1 8C (22 F1 8C)</t>
  </si>
  <si>
    <t>Positive Response (62 F1 8C 00 01 02 03 04 05 06 07 08 09 0A 0C)</t>
  </si>
  <si>
    <t>In CANoe, start Default Session (0x01).</t>
  </si>
  <si>
    <t>Positive Response (50 01 00 14 00 C8)</t>
  </si>
  <si>
    <t>Nok</t>
  </si>
  <si>
    <t>Negative Response (7F 2E 31)
Request out of range.</t>
  </si>
  <si>
    <t>Value before write.</t>
  </si>
  <si>
    <t>Positive Response (62 F1 8C 00 01 02 03 04 05 06 07 08 09 0A 0B)</t>
  </si>
  <si>
    <t>Step 14</t>
  </si>
  <si>
    <t>Step 15</t>
  </si>
  <si>
    <t>In winIDEA, Add Watch for NVP_BLOCK_ID_AEE_TRACEABILITY_RamBlockData and substract the adress of the last byte with the adress of the first byte.</t>
  </si>
  <si>
    <t>Difference is equal to 12U (data length)</t>
  </si>
  <si>
    <t>Positive Response (62 03 40 00 01 02 03 04 05 06 07 08 09 00 01 02 03 04 05 06 07 08 09 00 01 02 03 04 05 06 07)</t>
  </si>
  <si>
    <t>Positive Response (6E 03 40)
Breakpoint is reached and returnValue = E_OK (0U)</t>
  </si>
  <si>
    <r>
      <t xml:space="preserve">In CANoe, write 03 40 (62 03 40 00 01 02 03 04 05 06 07 08 09 00 01 02 03 04 05 06 07 08 09 00 01 02 03 04 05 06 </t>
    </r>
    <r>
      <rPr>
        <b/>
        <sz val="10"/>
        <rFont val="Arial"/>
        <family val="2"/>
      </rPr>
      <t>08</t>
    </r>
    <r>
      <rPr>
        <sz val="10"/>
        <rFont val="Arial"/>
        <family val="2"/>
      </rPr>
      <t>)</t>
    </r>
  </si>
  <si>
    <r>
      <t xml:space="preserve">In CANoe, write 03 40 (2E 03 40 00 01 02 03 04 05 06 07 08 09 00 01 02 03 04 05 06 07 08 09 00 01 02 03 04 05 06 </t>
    </r>
    <r>
      <rPr>
        <b/>
        <sz val="10"/>
        <rFont val="Arial"/>
        <family val="2"/>
      </rPr>
      <t>07</t>
    </r>
    <r>
      <rPr>
        <sz val="10"/>
        <rFont val="Arial"/>
        <family val="2"/>
      </rPr>
      <t>)</t>
    </r>
  </si>
  <si>
    <t>In CANoe, read 03 40 (22 03 40)</t>
  </si>
  <si>
    <t>Start Default Session (0x01)</t>
  </si>
  <si>
    <t>In CANoe, read 03 00 (22 03 00)</t>
  </si>
  <si>
    <t>Positive Response (6E 03 00)
Breakpoint is reached and returnValue = E_OK (0U)</t>
  </si>
  <si>
    <t>Read 02 44 (22 02 44)</t>
  </si>
  <si>
    <t>Read 02 43 (22 02 43)</t>
  </si>
  <si>
    <t>Difference is equal to 4U (data length)</t>
  </si>
  <si>
    <t>Read FE 00 (22 FE 00)</t>
  </si>
  <si>
    <t>62 FE 00 01 00 04 02 00 04 03 00 04 04 00 04 05 00 04 06 00 04 07 00 04 08 00 04 09 00 00 0A 00 16 0B 00 04 0C 00 00 0D 00 04 0E 00 04 0F 00 00 10 00 17 11 00 04 12 00 04 13 00 04</t>
  </si>
  <si>
    <t>ARCH_SW_DIA_0035, ARCH_SW_DIA_0165, ARCH_SW_DIA_0166, ARCH_SW_DIA_0167</t>
  </si>
  <si>
    <t>In winIDEA, Add Watch for NVP_BLOCK_ID_MEASUREMENT_FRAME_CONFIG_RamBlockData and substract the adress of the last byte with the adress of the first byte.</t>
  </si>
  <si>
    <t>Difference is equal to 5U (data length)</t>
  </si>
  <si>
    <t>In winIDEA, Add Watch for NVP_BLOCK_ID_MEASUREMENT_FRAME_12_CONFIG_RamBlockData and substract the adress of the last byte with the adress of the first byte.</t>
  </si>
  <si>
    <t>ARCH_SW_DIA_0037, ARCH_SW_DIA_0039, ARCH_SW_DIA_0171, ARCH_SW_DIA_0172, ARCH_SW_DIA_0173, ARCH_SW_DIA_0174, ARCH_SW_DIA_0175, ARCH_SW_DIA_0176</t>
  </si>
  <si>
    <t>In winIDEA, set a breakpoint at line 1210 in the DataServices_PreSafe_Cycles_Level_1_8_CombinedSignal_WriteData function</t>
  </si>
  <si>
    <t>In CANoe, write 03 00 (2E 03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t>
  </si>
  <si>
    <t>Negative Response (7F 2E 24)
Breakpoint is not reached</t>
  </si>
  <si>
    <t>62 03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t>
  </si>
  <si>
    <t>Positive Response (50 03 00 14 00 C8)</t>
  </si>
  <si>
    <t>In CANoe, start Default Session(0x01).</t>
  </si>
  <si>
    <t>In CANoe, write 03 01 (2E 03 01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t>
  </si>
  <si>
    <t>Positive Response (6E 03 01)
Breakpoint is reached and returnValue = E_OK (0U)</t>
  </si>
  <si>
    <t>In CANoe, read 03 01 (22 03 01)</t>
  </si>
  <si>
    <t>62 03 01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t>
  </si>
  <si>
    <t>Positive Response (50 03 01 14 00 C8)</t>
  </si>
  <si>
    <t>In winIDEA, set a breakpoint at line 1394 in the DataServices_Release_Cycles_BSR_and_PreSafe_CombinedSignal_ReadData_WriteData</t>
  </si>
  <si>
    <t>ARCH_SW_DIA_0023, ARCH_SW_DIA_0024, ARCH_SW_DIA_0090, ARCH_SW_DIA_0091, ARCH_SW_DIA_0092, ARCH_SW_DIA_0093, ARCH_SW_DIA_0094, ARCH_SW_DIA_0095</t>
  </si>
  <si>
    <t>In winIDEA, set a breakpoint at line 1587 in the DataServices_Tensioning_Cycle_BSR_CombinedSignal_WriteData</t>
  </si>
  <si>
    <t>In CANoe, write 03 02 (2E 03 02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t>
  </si>
  <si>
    <t>Positive Response (6E 03 02)
Breakpoint is reached and returnValue = E_OK (0U)</t>
  </si>
  <si>
    <t>In CANoe, read 03 02 (22 03 02)</t>
  </si>
  <si>
    <t>62 03 02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t>
  </si>
  <si>
    <t>Positive Response (50 03 02 14 00 C8)</t>
  </si>
  <si>
    <t>ARCH_SW_DIA_0025, ARCH_SW_DIA_0026, ARCH_SW_DIA_0099, ARCH_SW_DIA_0100, ARCH_SW_DIA_0101, ARCH_SW_DIA_0096, ARCH_SW_DIA_0097, ARCH_SW_DIA_0098</t>
  </si>
  <si>
    <t>Positive Response (6E 03 10)
Breakpoint is reached and returnValue = E_OK (0U)</t>
  </si>
  <si>
    <t>In CANoe, read 03 10 (22 03 10)</t>
  </si>
  <si>
    <t>Positive Response (50 03 10 14 00 C8)</t>
  </si>
  <si>
    <t>In CANoe, write 03 10 (2E 03 10 25 00 00 01 05 05 FB 06 B2 0D 65 0E 5A)</t>
  </si>
  <si>
    <t>62 03 10 00 00 00 00 00 00 00 00 00 00 00 00 00 00 00 00</t>
  </si>
  <si>
    <t>In winIDEA, set a breakpoint at line any of the Write functions DataServices_Vehicle_Equipment_Read_Equipment_X_WriteData , x = [1, 6]</t>
  </si>
  <si>
    <t>ARCH_SW_DIA_0027, ARCH_SW_DIA_0045, ARCH_SW_DIA_0028, ARCH_SW_DIA_0046, ARCH_SW_DIA_0105, ARCH_SW_DIA_0106, ARCH_SW_DIA_0107, ARCH_SW_DIA_0110, ARCH_SW_DIA_0111,  ARCH_SW_DIA_0114, ARCH_SW_DIA_0115, ARCH_SW_DIA_0118, ARCH_SW_DIA_0119, ARCH_SW_DIA_0122, ARCH_SW_DIA_0123, ARCH_SW_DIA_0126, ARCH_SW_DIA_0127, ARCH_SW_DIA_0130, ARCH_SW_DIA_0131, ARCH_SW_DIA_0138, ARCH_SW_DIA_0139, ARCH_SW_DIA_0134, ARCH_SW_DIA_0135, ARCH_SW_DIA_0142, ARCH_SW_DIA_0143, ARCH_SW_DIA_0102, ARCH_SW_DIA_0103, ARCH_SW_DIA_0104, ARCH_SW_DIA_0108, ARCH_SW_DIA_0109, ARCH_SW_DIA_0112, ARCH_SW_DIA_0113, ARCH_SW_DIA_0116, ARCH_SW_DIA_0117, ARCH_SW_DIA_0120, ARCH_SW_DIA_0121, ARCH_SW_DIA_0124, ARCH_SW_DIA_0125, ARCH_SW_DIA_0128, ARCH_SW_DIA_0129, ARCH_SW_DIA_0132, ARCH_SW_DIA_0133, ARCH_SW_DIA_0136, ARCH_SW_DIA_0137, ARCH_SW_DIA_0140, ARCH_SW_DIA_0141</t>
  </si>
  <si>
    <t>Positive Response (6E 03 11)
Breakpoint is reached and returnValue = E_OK (0U)</t>
  </si>
  <si>
    <t>In CANoe, read 03 11 (22 03 11)</t>
  </si>
  <si>
    <t>Positive Response (50 03 11 14 00 C8)</t>
  </si>
  <si>
    <t>62 03 11 00 00 00</t>
  </si>
  <si>
    <t>In CANoe, write 03 11 (2E 03 11 FF 00 0A)</t>
  </si>
  <si>
    <t>In winIDEA, set a breakpoint at line 3617 DataServices_ZZZ_Vehicle_Equipment_Development_Read_Bitfield_WriteData, and a breakpoint at line 3805 DataServices_ZZZ_Vehicle_Equipment_Development_Read_Zykluszeit_Messtechnik_WriteData</t>
  </si>
  <si>
    <t>ARCH_SW_DIA_0147, ARCH_SW_DIA_0148, ARCH_SW_DIA_0149, ARCH_SW_DIA_0152, ARCH_SW_DIA_0153, ARCH_SW_DIA_0150, ARCH_SW_DIA_0151, ARCH_SW_DIA_0144, ARCH_SW_DIA_0145, ARCH_SW_DIA_0146, ARCH_SW_DIA_0029, ARCH_SW_DIA_0030</t>
  </si>
  <si>
    <t>In CANoe, write FD 10 (2E FD 10 0x00 0x00 0x00 0x00 0x00 0x00 0x00 0x00 0x00 0x00 0x01 0x00 0x00 0x00 0x00 0x00 0x00 0x00 0x00 0x00 0x00 0x00 0x02 0x00 0x00 0x00 0x00 0x00 0x00 0x00 0x00 0x00 0x00 0x00 0x03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0x00 0x01 0x00 0x00 0x00 0x00 0x00 0x00 0x00 0x00 0x00 0x00 0x00 0x02 0x00 0x00 0x00 0x00 0x00 0x00 0x00 0x00 0x00 0x00 0x00 0x00 0x03)</t>
  </si>
  <si>
    <t>Positive Response (6E FD 10)
Breakpoint is reached and returnValue = E_OK (0U)</t>
  </si>
  <si>
    <t>In CANoe, read FD 10 (22 FD 10)</t>
  </si>
  <si>
    <t>62 FD 10 00 00 00 00 00 00 00 00 00 00 01 00 00 00 00 00 00 00 00 00 00 00 02 00 00 00 00 00 00 00 00 00 00 00 FD 10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01 00 00 00 00 00 00 00 00 00 00 00 02 00 00 00 00 00 00 00 00 00 00 00 03</t>
  </si>
  <si>
    <t>62 FD 10 00 00 00 00 00 00 00 00 00 00 01 00 00 00 00 00 00 00 00 00 00 00 02 00 00 00 00 00 00 00 00 00 00 00 FD 10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00 01 00 00 00 00 00 00 00 00 00 00 00 02 00 00 00 00 00 00 00 00 00 00 00 FD 10</t>
  </si>
  <si>
    <t>Functionality of internal diagnostic services (22/2E FD 2A) StepsLibrary</t>
  </si>
  <si>
    <t>Functionality of internal diagnostic services (22/2E FD 10) CycleConfiguration</t>
  </si>
  <si>
    <t>Functionality of identification diagnostic services (22/2E F1 8C, FD 03) EcuSerialNumber</t>
  </si>
  <si>
    <t>Functionality of identification diagnostic services (22 02 44) PresafeCounter</t>
  </si>
  <si>
    <t>NVP_BLOCK_ID_EXECUTION_COUNTERS_RamBlockData, now has the value: (0x00000000,0x00000000,0x00000000,0x00000000,0x00000000)</t>
  </si>
  <si>
    <t>62 02 43 00 00 00</t>
  </si>
  <si>
    <t>In winIDEA, Add Watch for ret in DIA_runDidFE00_AECStatusReadDataLength, and place BP at line 759</t>
  </si>
  <si>
    <t>Breakpoint is reached and ret = E_OK</t>
  </si>
  <si>
    <t>Functionality of identification diagnostic services (22 FE 00) AEC Status read</t>
  </si>
  <si>
    <t>In CANoe, write FE FF (2E FE FF 04 00 00 0A)</t>
  </si>
  <si>
    <t>Positive Response (6E FE FF)
Breakpoint is reached and returnValue = E_OK (0U)</t>
  </si>
  <si>
    <t>In CANoe, read FE FF (22 FE FF)</t>
  </si>
  <si>
    <t>62 FE FF 04 00 00 0A</t>
  </si>
  <si>
    <t>Functionality of internal diagnostic services (22/2E FE FF) MeasurementFrameConfig</t>
  </si>
  <si>
    <t>In CANoe, write FD FF (2E FD FF 70 00 00 01 00)</t>
  </si>
  <si>
    <t>Positive Response (6E FD FF)
Breakpoint is reached and returnValue = E_OK (0U)</t>
  </si>
  <si>
    <t>In CANoe, read FD FF (22 FD FF)</t>
  </si>
  <si>
    <t>62 FD FF 70 00 00 01 00</t>
  </si>
  <si>
    <t>SW_IT_DIA_009</t>
  </si>
  <si>
    <t>SW_IT_DIA_010</t>
  </si>
  <si>
    <t>SW_IT_DIA_011</t>
  </si>
  <si>
    <t>SW_IT_DIA_012</t>
  </si>
  <si>
    <t>SW_IT_DIA_013</t>
  </si>
  <si>
    <t>SW_IT_DIA_014</t>
  </si>
  <si>
    <t>SW_IT_DIA_015</t>
  </si>
  <si>
    <t>SW_IT_DIA_016</t>
  </si>
  <si>
    <t>SW_IT_DIA_017</t>
  </si>
  <si>
    <t>SW_IT_DIA_018</t>
  </si>
  <si>
    <t>Internal UDS - FE FF</t>
  </si>
  <si>
    <t>Internal UDS - FD FF</t>
  </si>
  <si>
    <t>Internal UDS - 03 00</t>
  </si>
  <si>
    <t>Internal UDS - FD 10</t>
  </si>
  <si>
    <t>Internal UDS - FD 2A</t>
  </si>
  <si>
    <t>Identification DIDs - FD 03</t>
  </si>
  <si>
    <t>Identification DIDs - 03 40</t>
  </si>
  <si>
    <t>PreSafe Counter read - 02 44</t>
  </si>
  <si>
    <t>BSR Counter read - 02 43</t>
  </si>
  <si>
    <t>AEC Status Read - FE 00</t>
  </si>
  <si>
    <t>Internal UDS - 03 01</t>
  </si>
  <si>
    <t>Internal UDS - 03 02</t>
  </si>
  <si>
    <t>Internal UDS - 03 10</t>
  </si>
  <si>
    <t>Internal UDS -  03 11</t>
  </si>
  <si>
    <t>Internal UDS - FD 08</t>
  </si>
  <si>
    <t>Positive Response (6E FD 08)
Breakpoint is reached and returnValue = E_OK (0U)</t>
  </si>
  <si>
    <t>In CANoe, read FD 08 (22 FD 08)</t>
  </si>
  <si>
    <t>In CANoe, write FD 08 (2E FD 08 70 00 00 01 00)</t>
  </si>
  <si>
    <t>62 FD 08 70 00 00 01 00</t>
  </si>
  <si>
    <t>ARCH_SW_DIA_0031, ARCH_SW_DIA_0032, ARCH_SW_DIA_0154, ARCH_SW_DIA_0155, ARCH_SW_DIA_0156, ARCH_SW_DIA_0157, ARCH_SW_DIA_0158, ARCH_SW_DIA_0159, ARCH_SW_DIA_0160, ARCH_SW_DIA_0161</t>
  </si>
  <si>
    <t>Functionality of identification diagnostic services (22 FD 08, FD 09)</t>
  </si>
  <si>
    <t>In winIDEA, modifiy NVP_BLOCK_ID_WARM_RESET_RamBlockData to (0x0200, 0x0800)</t>
  </si>
  <si>
    <t>Read 22 FD 08</t>
  </si>
  <si>
    <t>62 FD 09 00 02 00 00 00 08 00 00</t>
  </si>
  <si>
    <t>Reset ECU</t>
  </si>
  <si>
    <t>ECU Reset</t>
  </si>
  <si>
    <t>In CANoe, Read 22 FD 08</t>
  </si>
  <si>
    <t>62 FD 08 84</t>
  </si>
  <si>
    <t>In CANoe, Read 22 FD 09</t>
  </si>
  <si>
    <t>Reset, Last Reset Read - FD 08 , FD 09</t>
  </si>
  <si>
    <t>Internal UDS - FD 31</t>
  </si>
  <si>
    <t>Functionality of internal diagnostic services (22/2E FD 31) Cycle Configuration</t>
  </si>
  <si>
    <t>Positive Response (6E FD 31)
Breakpoint is reached and returnValue = E_OK (0U)</t>
  </si>
  <si>
    <t>In CANoe, read FD 31 (22 FD 31)</t>
  </si>
  <si>
    <t>In CANoe, write FD 31 (2E FD 31 00 00 00 01 00 02 00 03 00 04 00 05 00 06 00 07 00 08 00 09 00 01 00 02 00 03 00 04 00 05 00 06 00 07 00 08 00 09 00 0A)</t>
  </si>
  <si>
    <t>62 FD 31 00 00 00 01 00 02 00 03 00 04 00 05 00 06 00 07 00 08 00 09 00 01 00 02 00 03 00 04 00 05 00 06 00 07 00 08 00 09 00 0A</t>
  </si>
  <si>
    <t>In winIDEA, Add Watch for NVP_BLOCK_ID_HB_CALIBRATION_RamBlockData and substract the adress of the last byte with the adress of the first byte.</t>
  </si>
  <si>
    <t>Difference is equal to 40U (data length)</t>
  </si>
  <si>
    <t xml:space="preserve">ARCH_SW_DIA_0033, ARCH_SW_DIA_0034, ARCH_SW_DIA_0162, ARCH_SW_DIA_0163, ARCH_SW_DIA_0164, </t>
  </si>
  <si>
    <t>Functionality of routine control services ((31 01, 02) F7 03)</t>
  </si>
  <si>
    <t>In winIDEA, set breakpoint at line 171 in function DIA_runRidF703_CycleExecutionStart, and start Routine 31 01 F7 03</t>
  </si>
  <si>
    <t>Add Watch for routineInfo and check the routine status (0x00 OR 0x01 OR 0x02 OR 0xFF)</t>
  </si>
  <si>
    <t>Breakpoint is reached</t>
  </si>
  <si>
    <t>routineInfo is (0x00 OR 0x01 OR 0x02 OR 0xFF)</t>
  </si>
  <si>
    <t>routineInfo is 0x01</t>
  </si>
  <si>
    <t>Breakpoint is not reached</t>
  </si>
  <si>
    <t>ARCH_SW_DIA_0013, ARCH_SW_DIA_0014, ARCH_SW_DIA_0188, ARCH_SW_DIA_0189, ARCH_SW_DIA_0190, ARCH_SW_DIA_0192, ARCH_SW_DIA_0193</t>
  </si>
  <si>
    <t>Functionality of routine control services ((31 01, 02, 03) 03 29)</t>
  </si>
  <si>
    <t>In winIDEA, set breakpoint at line 171 in function DIA_runRidF703_CycleExecutionStop, and stop Routine 31 02 F7 03</t>
  </si>
  <si>
    <t>In winIDEA, set breakpoint at line 508 in function DIA_runRid0329_TriggerBSRStart, and start Routine 31 01 03 29</t>
  </si>
  <si>
    <t>Stop Routine 31 02 03 29</t>
  </si>
  <si>
    <t>Negative Response</t>
  </si>
  <si>
    <t>ARCH_SW_DIA_0015, ARCH_SW_DIA_0016, ARCH_SW_DIA_0017, ARCH_SW_DIA_0192, ARCH_SW_DIA_0193, ARCH_SW_DIA_0194, ARCH_SW_DIA_0195, ARCH_SW_DIA_0196</t>
  </si>
  <si>
    <t>Positive Response</t>
  </si>
  <si>
    <t>Functionality of routine control services ((31 01, 02, 03) 03 30)</t>
  </si>
  <si>
    <t>In winIDEA, set breakpoint at line 724 in function DIA_runRid0330_TriggerTensioningCycleStart, and start Routine 31 01 03 30</t>
  </si>
  <si>
    <t>In winIDEA, set breakpoint at line 413 in function DDIA_runRid0329_TriggerBSRRequestResults, and request Routine results 31 03 03 29</t>
  </si>
  <si>
    <t>Request Routine Results 31 02 03 30</t>
  </si>
  <si>
    <t>In winIDEA, set breakpoint at line 413 in functionDIA_runRid0330_TriggerTensioningCycleStop, and stop routine 31 02 03 30</t>
  </si>
  <si>
    <t>ARCH_SW_DIA_0018, ARCH_SW_DIA_0019, ARCH_SW_DIA_0020, ARCH_SW_DIA_0197, ARCH_SW_DIA_0198, ARCH_SW_DIA_0199, ARCH_SW_DIA_0200, ARCH_SW_DIA_0201, ARCH_SW_DIA_0204, ARCH_SW_DIA_0205</t>
  </si>
  <si>
    <t>Internal UDS - Routine Control F7 03</t>
  </si>
  <si>
    <t>Internal UDS - Routine Control 03 29</t>
  </si>
  <si>
    <t>Internal UDS - Routine Control 03 30</t>
  </si>
  <si>
    <t>ARCH_SW_DIA_0021, ARCH_SW_DIA_0022, ARCH_SW_DIA_0089, ARCH_SW_DIA_0088, ARCH_SW_DIA_0203, ARCH_SW_DIA_0086, ARCH_SW_DIA_0087, ARCH_SW_DIA_0202</t>
  </si>
  <si>
    <t>ARCH_SW_DIA_0036, ARCH_SW_DIA_0038, ARCH_SW_DIA_0168, ARCH_SW_DIA_0169, ARCH_SW_DIA_0170</t>
  </si>
  <si>
    <t>In CANoe, start Development Session (0x03).</t>
  </si>
  <si>
    <t>Functionality of sessions</t>
  </si>
  <si>
    <t>Internal UDS - Session transition</t>
  </si>
  <si>
    <t>SW_IT_DIA_019</t>
  </si>
  <si>
    <t>SW_IT_DIA_020</t>
  </si>
  <si>
    <t>SW_IT_DIA_021</t>
  </si>
  <si>
    <t>SW_IT_DIA_022</t>
  </si>
  <si>
    <t>SW_IT_DIA_023</t>
  </si>
  <si>
    <t xml:space="preserve">ARCH_SW_DIA_0009, ARCH_SW_DIA_0000, ARCH_SW_NVP_0003, ARCH_SW_DIA_0051, ARCH_SW_DIA_0052, ARCH_SW_DIA_0072, ARCH_SW_DIA_0073, ARCH_SW_DIA_0074, ARCH_SW_DIA_0075, </t>
  </si>
  <si>
    <t>ARCH_SW_DIA_0040, ARCH_SW_DIA_0041, ARCH_SW_DIA_0177, ARCH_SW_DIA_0178, ARCH_SW_DIA_0179, ARCH_SW_DIA_0180, ARCH_SW_DIA_0181</t>
  </si>
  <si>
    <t>Internal UDS - Untestable requirements</t>
  </si>
  <si>
    <t>SW_IT_DIA_024</t>
  </si>
  <si>
    <t>08.09.2022</t>
  </si>
  <si>
    <t>08.09.2023</t>
  </si>
  <si>
    <t>V. Popina</t>
  </si>
  <si>
    <t>Victor Popina</t>
  </si>
  <si>
    <t>Applied from SW R3.0 release</t>
  </si>
  <si>
    <t>1.14</t>
  </si>
  <si>
    <t>23.06.2022</t>
  </si>
  <si>
    <t>Perform IT for R3.0</t>
  </si>
  <si>
    <t>Timeout
Breakpoint is reached and returnValue = E_NOK (1U)</t>
  </si>
  <si>
    <t>Functionality of internal diagnostic services (22/2E FD FF)</t>
  </si>
  <si>
    <t>Functionality of internal diagnostic services (22/2E 03 00)</t>
  </si>
  <si>
    <t xml:space="preserve">Functionality of internal diagnostic services (22/2E 03 01) </t>
  </si>
  <si>
    <t>Functionality of internal diagnostic services (22/2E 03 02)</t>
  </si>
  <si>
    <t xml:space="preserve">Functionality of internal diagnostic services (22/2E 03 10) </t>
  </si>
  <si>
    <t xml:space="preserve">Functionality of internal diagnostic services (22/2E 03 11) </t>
  </si>
  <si>
    <t xml:space="preserve">Functionality of internal diagnostic services (22/2E FD 08) </t>
  </si>
  <si>
    <r>
      <t xml:space="preserve">Comment
</t>
    </r>
    <r>
      <rPr>
        <i/>
        <sz val="11"/>
        <rFont val="Calibri"/>
        <family val="2"/>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</si>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</sst>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6"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amily val="2"/>
    </font>
    <font>
      <sz val="8"/>
      <name val="Arial"/>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1">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s>
  <cellStyleXfs count="3">
    <xf numFmtId="0" fontId="0" fillId="0" borderId="0"/>
    <xf numFmtId="0" fontId="23" fillId="0" borderId="0" applyNumberFormat="0" applyFill="0" applyBorder="0" applyAlignment="0" applyProtection="0"/>
    <xf numFmtId="0" fontId="1" fillId="0" borderId="0"/>
  </cellStyleXfs>
  <cellXfs count="217">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0" xfId="0" applyFont="1" applyBorder="1" applyAlignment="1" applyProtection="1">
      <alignment vertical="center"/>
      <protection locked="0"/>
    </xf>
    <xf numFmtId="0" fontId="0" fillId="0" borderId="40"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pplyProtection="1">
      <alignment horizontal="left" vertical="center" wrapText="1"/>
      <protection locked="0"/>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5" fillId="0" borderId="17" xfId="0" applyFont="1" applyBorder="1" applyAlignment="1">
      <alignment horizontal="center" vertical="center"/>
    </xf>
    <xf numFmtId="0" fontId="35" fillId="0" borderId="10" xfId="0" applyFont="1" applyBorder="1" applyAlignment="1">
      <alignment horizontal="center" vertical="center"/>
    </xf>
    <xf numFmtId="0" fontId="31" fillId="0" borderId="11" xfId="0" applyFont="1" applyFill="1" applyBorder="1" applyAlignment="1">
      <alignment vertical="top"/>
    </xf>
    <xf numFmtId="0" fontId="0" fillId="5" borderId="0" xfId="0" applyFill="1"/>
    <xf numFmtId="0" fontId="35" fillId="5" borderId="0" xfId="0" applyFont="1" applyFill="1" applyBorder="1" applyAlignment="1">
      <alignment horizontal="center" vertical="center"/>
    </xf>
    <xf numFmtId="0" fontId="35" fillId="5" borderId="18"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9" xfId="0" applyFont="1" applyFill="1" applyBorder="1" applyAlignment="1">
      <alignment vertical="center" wrapText="1"/>
    </xf>
    <xf numFmtId="0" fontId="37" fillId="7" borderId="20" xfId="0" applyFont="1" applyFill="1" applyBorder="1" applyAlignment="1">
      <alignment horizontal="center" wrapText="1"/>
    </xf>
    <xf numFmtId="0" fontId="1" fillId="8" borderId="9" xfId="2" applyFont="1" applyFill="1" applyBorder="1" applyAlignment="1">
      <alignment wrapText="1"/>
    </xf>
    <xf numFmtId="0" fontId="35" fillId="5" borderId="7" xfId="0" applyFont="1" applyFill="1" applyBorder="1" applyAlignment="1">
      <alignment horizontal="left" vertical="center"/>
    </xf>
    <xf numFmtId="0" fontId="23" fillId="6" borderId="11" xfId="1" applyFill="1" applyBorder="1" applyAlignment="1">
      <alignment vertical="top"/>
    </xf>
    <xf numFmtId="0" fontId="36" fillId="0" borderId="11" xfId="0" applyFont="1" applyFill="1" applyBorder="1" applyAlignment="1">
      <alignment vertical="top" wrapText="1"/>
    </xf>
    <xf numFmtId="0" fontId="44" fillId="10" borderId="7" xfId="0" applyFont="1" applyFill="1" applyBorder="1" applyAlignment="1">
      <alignment horizontal="center" vertical="center" wrapTex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38" fillId="0" borderId="15"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21" xfId="0" applyFont="1" applyBorder="1" applyAlignment="1" applyProtection="1">
      <alignment horizontal="left" vertical="center" shrinkToFit="1"/>
    </xf>
    <xf numFmtId="0" fontId="1" fillId="0" borderId="15" xfId="0" applyFont="1" applyBorder="1" applyAlignment="1" applyProtection="1">
      <alignment horizontal="left" vertical="top" wrapText="1" shrinkToFit="1"/>
      <protection locked="0"/>
    </xf>
    <xf numFmtId="0" fontId="2" fillId="0" borderId="1" xfId="0" applyFont="1" applyBorder="1" applyAlignment="1" applyProtection="1">
      <alignment horizontal="left" vertical="top" shrinkToFit="1"/>
      <protection locked="0"/>
    </xf>
    <xf numFmtId="0" fontId="2" fillId="0" borderId="21" xfId="0" applyFont="1" applyBorder="1" applyAlignment="1" applyProtection="1">
      <alignment horizontal="left" vertical="top"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39" fillId="9" borderId="2" xfId="0" applyFont="1" applyFill="1" applyBorder="1" applyAlignment="1" applyProtection="1">
      <alignment horizontal="center" vertical="center" shrinkToFit="1"/>
      <protection locked="0"/>
    </xf>
    <xf numFmtId="0" fontId="39" fillId="9" borderId="0" xfId="0" applyFont="1" applyFill="1" applyBorder="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22" xfId="0" applyFont="1" applyBorder="1" applyAlignment="1" applyProtection="1">
      <alignment horizontal="left" vertical="top"/>
      <protection locked="0"/>
    </xf>
    <xf numFmtId="0" fontId="1" fillId="0" borderId="23" xfId="0" applyFont="1" applyBorder="1" applyAlignment="1" applyProtection="1">
      <alignment horizontal="left" vertical="top"/>
      <protection locked="0"/>
    </xf>
    <xf numFmtId="0" fontId="1" fillId="0" borderId="24" xfId="0" applyFont="1" applyBorder="1" applyAlignment="1" applyProtection="1">
      <alignment horizontal="left" vertical="top"/>
      <protection locked="0"/>
    </xf>
    <xf numFmtId="0" fontId="39" fillId="9" borderId="23" xfId="0" applyFont="1" applyFill="1" applyBorder="1" applyAlignment="1" applyProtection="1">
      <alignment horizontal="center" vertical="center" wrapText="1"/>
      <protection locked="0"/>
    </xf>
    <xf numFmtId="0" fontId="39"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1"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21" xfId="0" applyFont="1" applyFill="1" applyBorder="1" applyAlignment="1" applyProtection="1">
      <alignment horizontal="left" vertical="top" wrapText="1" shrinkToFit="1"/>
      <protection locked="0"/>
    </xf>
    <xf numFmtId="0" fontId="39" fillId="9" borderId="22" xfId="0" applyFont="1" applyFill="1" applyBorder="1" applyAlignment="1" applyProtection="1">
      <alignment horizontal="center" vertical="center" shrinkToFit="1"/>
      <protection locked="0"/>
    </xf>
    <xf numFmtId="0" fontId="39" fillId="9" borderId="23" xfId="0" applyFont="1" applyFill="1" applyBorder="1" applyAlignment="1" applyProtection="1">
      <alignment horizontal="center" vertical="center" shrinkToFit="1"/>
      <protection locked="0"/>
    </xf>
    <xf numFmtId="0" fontId="39" fillId="9" borderId="24" xfId="0" applyFont="1" applyFill="1" applyBorder="1" applyAlignment="1" applyProtection="1">
      <alignment horizontal="center" vertical="center" shrinkToFit="1"/>
      <protection locked="0"/>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4"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1" fillId="0" borderId="1" xfId="0" applyFont="1" applyBorder="1" applyAlignment="1" applyProtection="1">
      <alignment horizontal="left" vertical="top" wrapText="1" shrinkToFit="1"/>
      <protection locked="0"/>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38" fillId="3" borderId="15"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8" fillId="2" borderId="10" xfId="0" applyFont="1" applyFill="1" applyBorder="1" applyAlignment="1" applyProtection="1">
      <alignment horizontal="center" vertical="center" wrapText="1"/>
      <protection locked="0"/>
    </xf>
    <xf numFmtId="0" fontId="0" fillId="2" borderId="10" xfId="0" applyFill="1" applyBorder="1" applyAlignment="1" applyProtection="1">
      <alignment horizontal="center" vertical="center" wrapText="1"/>
      <protection locked="0"/>
    </xf>
    <xf numFmtId="0" fontId="0" fillId="0" borderId="10" xfId="0" applyBorder="1" applyAlignment="1">
      <alignment horizontal="center" vertical="center" wrapText="1"/>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pplyProtection="1">
      <alignment horizontal="left" vertical="center" wrapText="1"/>
      <protection locked="0"/>
    </xf>
    <xf numFmtId="49" fontId="1" fillId="0" borderId="25" xfId="0" applyNumberFormat="1" applyFont="1" applyFill="1" applyBorder="1" applyAlignment="1" applyProtection="1">
      <alignment horizontal="center" vertical="center" wrapText="1"/>
      <protection locked="0"/>
    </xf>
    <xf numFmtId="49" fontId="4" fillId="0" borderId="26" xfId="0" applyNumberFormat="1" applyFont="1" applyFill="1" applyBorder="1" applyAlignment="1" applyProtection="1">
      <alignment horizontal="center" vertical="center" wrapText="1"/>
      <protection locked="0"/>
    </xf>
    <xf numFmtId="49" fontId="4" fillId="0" borderId="16" xfId="0" applyNumberFormat="1" applyFont="1" applyFill="1" applyBorder="1" applyAlignment="1" applyProtection="1">
      <alignment horizontal="center" vertical="center" wrapText="1"/>
      <protection locked="0"/>
    </xf>
    <xf numFmtId="49" fontId="1" fillId="0" borderId="25"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49" fontId="1" fillId="0" borderId="26" xfId="0" applyNumberFormat="1" applyFont="1" applyFill="1" applyBorder="1" applyAlignment="1" applyProtection="1">
      <alignment horizontal="left" vertical="center" wrapText="1"/>
      <protection locked="0"/>
    </xf>
    <xf numFmtId="49" fontId="1" fillId="0" borderId="16"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center" vertical="center" wrapText="1"/>
    </xf>
    <xf numFmtId="49" fontId="4" fillId="0" borderId="10" xfId="0" applyNumberFormat="1" applyFont="1" applyFill="1" applyBorder="1" applyAlignment="1">
      <alignment horizontal="left" vertical="center" wrapText="1"/>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49" fontId="1" fillId="0" borderId="26" xfId="0" applyNumberFormat="1" applyFont="1" applyFill="1" applyBorder="1" applyAlignment="1" applyProtection="1">
      <alignment horizontal="center" vertical="center" wrapText="1"/>
      <protection locked="0"/>
    </xf>
    <xf numFmtId="49" fontId="1" fillId="0" borderId="16" xfId="0" applyNumberFormat="1" applyFont="1" applyFill="1" applyBorder="1" applyAlignment="1" applyProtection="1">
      <alignment horizontal="center" vertical="center" wrapText="1"/>
      <protection locked="0"/>
    </xf>
    <xf numFmtId="49" fontId="5" fillId="0" borderId="0" xfId="0" applyNumberFormat="1" applyFont="1" applyFill="1" applyAlignment="1" applyProtection="1">
      <alignment horizontal="left" vertical="top" wrapText="1"/>
      <protection locked="0"/>
    </xf>
    <xf numFmtId="0" fontId="37" fillId="7" borderId="10" xfId="0" applyFont="1" applyFill="1" applyBorder="1" applyAlignment="1">
      <alignment horizontal="center"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5" xfId="0" applyFont="1" applyBorder="1" applyAlignment="1">
      <alignment horizontal="left" vertical="center" wrapText="1"/>
    </xf>
    <xf numFmtId="0" fontId="8" fillId="2" borderId="25" xfId="0" applyFont="1" applyFill="1" applyBorder="1" applyAlignment="1" applyProtection="1">
      <alignment horizontal="center" vertical="center" wrapText="1"/>
      <protection locked="0"/>
    </xf>
    <xf numFmtId="0" fontId="8" fillId="2" borderId="26" xfId="0" applyFont="1" applyFill="1" applyBorder="1" applyAlignment="1" applyProtection="1">
      <alignment horizontal="center" vertical="center" wrapText="1"/>
      <protection locked="0"/>
    </xf>
    <xf numFmtId="0" fontId="8" fillId="2" borderId="16" xfId="0" applyFont="1"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1" xfId="0" applyFont="1" applyFill="1" applyBorder="1" applyAlignment="1" applyProtection="1">
      <alignment horizontal="left" vertical="center" shrinkToFit="1"/>
    </xf>
    <xf numFmtId="49" fontId="1" fillId="0" borderId="0" xfId="0" applyNumberFormat="1" applyFont="1" applyFill="1" applyBorder="1" applyAlignment="1" applyProtection="1">
      <alignment horizontal="left" vertical="top" wrapText="1"/>
      <protection locked="0"/>
    </xf>
    <xf numFmtId="0" fontId="1" fillId="5" borderId="25"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10" xfId="2" applyFont="1" applyFill="1" applyBorder="1" applyAlignment="1">
      <alignment horizontal="left" vertical="top" wrapText="1" shrinkToFit="1"/>
    </xf>
    <xf numFmtId="0" fontId="37" fillId="7" borderId="29" xfId="0" applyFont="1" applyFill="1" applyBorder="1" applyAlignment="1">
      <alignment horizontal="center" wrapText="1"/>
    </xf>
    <xf numFmtId="0" fontId="37" fillId="7" borderId="30" xfId="0" applyFont="1" applyFill="1" applyBorder="1" applyAlignment="1">
      <alignment horizontal="center" wrapText="1"/>
    </xf>
    <xf numFmtId="0" fontId="37" fillId="7" borderId="31" xfId="0" applyFont="1" applyFill="1" applyBorder="1" applyAlignment="1">
      <alignment horizontal="center" wrapText="1"/>
    </xf>
    <xf numFmtId="0" fontId="37" fillId="7" borderId="34" xfId="0" applyFont="1" applyFill="1" applyBorder="1" applyAlignment="1">
      <alignment horizontal="left" vertical="center" wrapText="1"/>
    </xf>
    <xf numFmtId="0" fontId="37" fillId="7" borderId="36" xfId="0" applyFont="1" applyFill="1" applyBorder="1" applyAlignment="1">
      <alignment horizontal="left" vertical="center" wrapTex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27" xfId="0" applyFont="1" applyFill="1" applyBorder="1" applyAlignment="1">
      <alignment horizontal="left"/>
    </xf>
    <xf numFmtId="0" fontId="1" fillId="5" borderId="28" xfId="0" applyFont="1" applyFill="1" applyBorder="1" applyAlignment="1">
      <alignment horizontal="left"/>
    </xf>
    <xf numFmtId="0" fontId="1" fillId="5" borderId="6" xfId="0" applyFont="1" applyFill="1" applyBorder="1" applyAlignment="1">
      <alignment horizontal="left" vertical="top" wrapText="1"/>
    </xf>
    <xf numFmtId="0" fontId="1" fillId="5" borderId="27" xfId="0" applyFont="1" applyFill="1" applyBorder="1" applyAlignment="1">
      <alignment horizontal="left" vertical="top" wrapText="1"/>
    </xf>
    <xf numFmtId="0" fontId="1" fillId="5" borderId="28" xfId="0" applyFont="1" applyFill="1" applyBorder="1" applyAlignment="1">
      <alignment horizontal="left" vertical="top" wrapText="1"/>
    </xf>
    <xf numFmtId="0" fontId="1" fillId="5" borderId="6" xfId="0" applyFont="1" applyFill="1" applyBorder="1" applyAlignment="1">
      <alignment horizontal="left" vertical="top"/>
    </xf>
    <xf numFmtId="0" fontId="1" fillId="5" borderId="27" xfId="0" applyFont="1" applyFill="1" applyBorder="1" applyAlignment="1">
      <alignment horizontal="left" vertical="top"/>
    </xf>
    <xf numFmtId="0" fontId="1" fillId="5" borderId="28" xfId="0" applyFont="1" applyFill="1" applyBorder="1" applyAlignment="1">
      <alignment horizontal="left" vertical="top"/>
    </xf>
    <xf numFmtId="0" fontId="1" fillId="5" borderId="25" xfId="2" applyFont="1" applyFill="1" applyBorder="1" applyAlignment="1">
      <alignment vertical="top" wrapText="1" shrinkToFit="1"/>
    </xf>
    <xf numFmtId="0" fontId="1" fillId="5" borderId="26" xfId="2" applyFont="1" applyFill="1" applyBorder="1" applyAlignment="1">
      <alignment vertical="top" wrapText="1" shrinkToFit="1"/>
    </xf>
    <xf numFmtId="0" fontId="1" fillId="5" borderId="16" xfId="2" applyFont="1" applyFill="1" applyBorder="1" applyAlignment="1">
      <alignment vertical="top" wrapText="1" shrinkToFit="1"/>
    </xf>
  </cellXfs>
  <cellStyles count="3">
    <cellStyle name="Hyperlink" xfId="1" builtinId="8"/>
    <cellStyle name="Normal" xfId="0" builtinId="0"/>
    <cellStyle name="Normal 2" xfId="2" xr:uid="{00000000-0005-0000-0000-000002000000}"/>
  </cellStyles>
  <dxfs count="314">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0.45833333333333331</c:v>
                </c:pt>
                <c:pt idx="1">
                  <c:v>0.54166666666666663</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00000000-0008-0000-0000-0000D5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00000000-0008-0000-0000-0000D604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00000000-0008-0000-0100-0000EB3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00000000-0008-0000-0100-0000EC3C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xdr:row>
          <xdr:rowOff>152400</xdr:rowOff>
        </xdr:from>
        <xdr:to>
          <xdr:col>8</xdr:col>
          <xdr:colOff>502920</xdr:colOff>
          <xdr:row>3</xdr:row>
          <xdr:rowOff>7620</xdr:rowOff>
        </xdr:to>
        <xdr:sp macro="" textlink="">
          <xdr:nvSpPr>
            <xdr:cNvPr id="22535" name="Object 7" hidden="1">
              <a:extLst>
                <a:ext uri="{63B3BB69-23CF-44E3-9099-C40C66FF867C}">
                  <a14:compatExt spid="_x0000_s22535"/>
                </a:ext>
                <a:ext uri="{FF2B5EF4-FFF2-40B4-BE49-F238E27FC236}">
                  <a16:creationId xmlns:a16="http://schemas.microsoft.com/office/drawing/2014/main" id="{00000000-0008-0000-0400-0000075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05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2</xdr:row>
          <xdr:rowOff>0</xdr:rowOff>
        </xdr:from>
        <xdr:to>
          <xdr:col>8</xdr:col>
          <xdr:colOff>502920</xdr:colOff>
          <xdr:row>3</xdr:row>
          <xdr:rowOff>22860</xdr:rowOff>
        </xdr:to>
        <xdr:sp macro="" textlink="">
          <xdr:nvSpPr>
            <xdr:cNvPr id="30727" name="Object 7"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xdr:row>
          <xdr:rowOff>160020</xdr:rowOff>
        </xdr:from>
        <xdr:to>
          <xdr:col>8</xdr:col>
          <xdr:colOff>502920</xdr:colOff>
          <xdr:row>3</xdr:row>
          <xdr:rowOff>7620</xdr:rowOff>
        </xdr:to>
        <xdr:sp macro="" textlink="">
          <xdr:nvSpPr>
            <xdr:cNvPr id="27655" name="Object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xdr:colOff>
          <xdr:row>2</xdr:row>
          <xdr:rowOff>0</xdr:rowOff>
        </xdr:from>
        <xdr:to>
          <xdr:col>8</xdr:col>
          <xdr:colOff>533400</xdr:colOff>
          <xdr:row>3</xdr:row>
          <xdr:rowOff>22860</xdr:rowOff>
        </xdr:to>
        <xdr:sp macro="" textlink="">
          <xdr:nvSpPr>
            <xdr:cNvPr id="31751" name="Object 7" hidden="1">
              <a:extLst>
                <a:ext uri="{63B3BB69-23CF-44E3-9099-C40C66FF867C}">
                  <a14:compatExt spid="_x0000_s31751"/>
                </a:ext>
                <a:ext uri="{FF2B5EF4-FFF2-40B4-BE49-F238E27FC236}">
                  <a16:creationId xmlns:a16="http://schemas.microsoft.com/office/drawing/2014/main" id="{00000000-0008-0000-0800-000007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1</xdr:row>
          <xdr:rowOff>160020</xdr:rowOff>
        </xdr:from>
        <xdr:to>
          <xdr:col>8</xdr:col>
          <xdr:colOff>518160</xdr:colOff>
          <xdr:row>3</xdr:row>
          <xdr:rowOff>7620</xdr:rowOff>
        </xdr:to>
        <xdr:sp macro="" textlink="">
          <xdr:nvSpPr>
            <xdr:cNvPr id="32775" name="Object 7" hidden="1">
              <a:extLst>
                <a:ext uri="{63B3BB69-23CF-44E3-9099-C40C66FF867C}">
                  <a14:compatExt spid="_x0000_s32775"/>
                </a:ext>
                <a:ext uri="{FF2B5EF4-FFF2-40B4-BE49-F238E27FC236}">
                  <a16:creationId xmlns:a16="http://schemas.microsoft.com/office/drawing/2014/main" id="{00000000-0008-0000-0900-0000078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1</xdr:row>
          <xdr:rowOff>144780</xdr:rowOff>
        </xdr:from>
        <xdr:to>
          <xdr:col>8</xdr:col>
          <xdr:colOff>518160</xdr:colOff>
          <xdr:row>2</xdr:row>
          <xdr:rowOff>487680</xdr:rowOff>
        </xdr:to>
        <xdr:sp macro="" textlink="">
          <xdr:nvSpPr>
            <xdr:cNvPr id="35847" name="Object 7" hidden="1">
              <a:extLst>
                <a:ext uri="{63B3BB69-23CF-44E3-9099-C40C66FF867C}">
                  <a14:compatExt spid="_x0000_s35847"/>
                </a:ext>
                <a:ext uri="{FF2B5EF4-FFF2-40B4-BE49-F238E27FC236}">
                  <a16:creationId xmlns:a16="http://schemas.microsoft.com/office/drawing/2014/main" id="{00000000-0008-0000-0A00-0000078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xdr:row>
          <xdr:rowOff>160020</xdr:rowOff>
        </xdr:from>
        <xdr:to>
          <xdr:col>8</xdr:col>
          <xdr:colOff>502920</xdr:colOff>
          <xdr:row>3</xdr:row>
          <xdr:rowOff>7620</xdr:rowOff>
        </xdr:to>
        <xdr:sp macro="" textlink="">
          <xdr:nvSpPr>
            <xdr:cNvPr id="36871" name="Object 7" hidden="1">
              <a:extLst>
                <a:ext uri="{63B3BB69-23CF-44E3-9099-C40C66FF867C}">
                  <a14:compatExt spid="_x0000_s36871"/>
                </a:ext>
                <a:ext uri="{FF2B5EF4-FFF2-40B4-BE49-F238E27FC236}">
                  <a16:creationId xmlns:a16="http://schemas.microsoft.com/office/drawing/2014/main" id="{00000000-0008-0000-0B00-0000079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1</xdr:row>
          <xdr:rowOff>144780</xdr:rowOff>
        </xdr:from>
        <xdr:to>
          <xdr:col>8</xdr:col>
          <xdr:colOff>518160</xdr:colOff>
          <xdr:row>2</xdr:row>
          <xdr:rowOff>487680</xdr:rowOff>
        </xdr:to>
        <xdr:sp macro="" textlink="">
          <xdr:nvSpPr>
            <xdr:cNvPr id="43009" name="Object 1" hidden="1">
              <a:extLst>
                <a:ext uri="{63B3BB69-23CF-44E3-9099-C40C66FF867C}">
                  <a14:compatExt spid="_x0000_s43009"/>
                </a:ext>
                <a:ext uri="{FF2B5EF4-FFF2-40B4-BE49-F238E27FC236}">
                  <a16:creationId xmlns:a16="http://schemas.microsoft.com/office/drawing/2014/main" id="{00000000-0008-0000-0C00-000001A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D00-000001A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45057" name="Object 1" hidden="1">
              <a:extLst>
                <a:ext uri="{63B3BB69-23CF-44E3-9099-C40C66FF867C}">
                  <a14:compatExt spid="_x0000_s45057"/>
                </a:ext>
                <a:ext uri="{FF2B5EF4-FFF2-40B4-BE49-F238E27FC236}">
                  <a16:creationId xmlns:a16="http://schemas.microsoft.com/office/drawing/2014/main" id="{00000000-0008-0000-0E00-000001B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46081" name="Object 1" hidden="1">
              <a:extLst>
                <a:ext uri="{63B3BB69-23CF-44E3-9099-C40C66FF867C}">
                  <a14:compatExt spid="_x0000_s46081"/>
                </a:ext>
                <a:ext uri="{FF2B5EF4-FFF2-40B4-BE49-F238E27FC236}">
                  <a16:creationId xmlns:a16="http://schemas.microsoft.com/office/drawing/2014/main" id="{00000000-0008-0000-0F00-000001B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48129" name="Object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49153" name="Object 1" hidden="1">
              <a:extLst>
                <a:ext uri="{63B3BB69-23CF-44E3-9099-C40C66FF867C}">
                  <a14:compatExt spid="_x0000_s49153"/>
                </a:ext>
                <a:ext uri="{FF2B5EF4-FFF2-40B4-BE49-F238E27FC236}">
                  <a16:creationId xmlns:a16="http://schemas.microsoft.com/office/drawing/2014/main" id="{00000000-0008-0000-1100-000001C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2</xdr:row>
          <xdr:rowOff>487680</xdr:rowOff>
        </xdr:to>
        <xdr:sp macro="" textlink="">
          <xdr:nvSpPr>
            <xdr:cNvPr id="51201" name="Object 1" hidden="1">
              <a:extLst>
                <a:ext uri="{63B3BB69-23CF-44E3-9099-C40C66FF867C}">
                  <a14:compatExt spid="_x0000_s51201"/>
                </a:ext>
                <a:ext uri="{FF2B5EF4-FFF2-40B4-BE49-F238E27FC236}">
                  <a16:creationId xmlns:a16="http://schemas.microsoft.com/office/drawing/2014/main" id="{00000000-0008-0000-1200-000001C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52225" name="Object 1" hidden="1">
              <a:extLst>
                <a:ext uri="{63B3BB69-23CF-44E3-9099-C40C66FF867C}">
                  <a14:compatExt spid="_x0000_s52225"/>
                </a:ext>
                <a:ext uri="{FF2B5EF4-FFF2-40B4-BE49-F238E27FC236}">
                  <a16:creationId xmlns:a16="http://schemas.microsoft.com/office/drawing/2014/main" id="{00000000-0008-0000-1300-000001C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56321" name="Object 1"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57345" name="Object 1" hidden="1">
              <a:extLst>
                <a:ext uri="{63B3BB69-23CF-44E3-9099-C40C66FF867C}">
                  <a14:compatExt spid="_x0000_s57345"/>
                </a:ext>
                <a:ext uri="{FF2B5EF4-FFF2-40B4-BE49-F238E27FC236}">
                  <a16:creationId xmlns:a16="http://schemas.microsoft.com/office/drawing/2014/main" id="{00000000-0008-0000-1500-000001E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1</xdr:row>
          <xdr:rowOff>144780</xdr:rowOff>
        </xdr:from>
        <xdr:to>
          <xdr:col>8</xdr:col>
          <xdr:colOff>518160</xdr:colOff>
          <xdr:row>2</xdr:row>
          <xdr:rowOff>487680</xdr:rowOff>
        </xdr:to>
        <xdr:sp macro="" textlink="">
          <xdr:nvSpPr>
            <xdr:cNvPr id="60417" name="Object 1" hidden="1">
              <a:extLst>
                <a:ext uri="{63B3BB69-23CF-44E3-9099-C40C66FF867C}">
                  <a14:compatExt spid="_x0000_s60417"/>
                </a:ext>
                <a:ext uri="{FF2B5EF4-FFF2-40B4-BE49-F238E27FC236}">
                  <a16:creationId xmlns:a16="http://schemas.microsoft.com/office/drawing/2014/main" id="{00000000-0008-0000-1600-000001E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61441" name="Object 1" hidden="1">
              <a:extLst>
                <a:ext uri="{63B3BB69-23CF-44E3-9099-C40C66FF867C}">
                  <a14:compatExt spid="_x0000_s61441"/>
                </a:ext>
                <a:ext uri="{FF2B5EF4-FFF2-40B4-BE49-F238E27FC236}">
                  <a16:creationId xmlns:a16="http://schemas.microsoft.com/office/drawing/2014/main" id="{00000000-0008-0000-1700-000001F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63489" name="Object 1" hidden="1">
              <a:extLst>
                <a:ext uri="{63B3BB69-23CF-44E3-9099-C40C66FF867C}">
                  <a14:compatExt spid="_x0000_s63489"/>
                </a:ext>
                <a:ext uri="{FF2B5EF4-FFF2-40B4-BE49-F238E27FC236}">
                  <a16:creationId xmlns:a16="http://schemas.microsoft.com/office/drawing/2014/main" id="{00000000-0008-0000-1800-000001F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64513" name="Object 1" hidden="1">
              <a:extLst>
                <a:ext uri="{63B3BB69-23CF-44E3-9099-C40C66FF867C}">
                  <a14:compatExt spid="_x0000_s64513"/>
                </a:ext>
                <a:ext uri="{FF2B5EF4-FFF2-40B4-BE49-F238E27FC236}">
                  <a16:creationId xmlns:a16="http://schemas.microsoft.com/office/drawing/2014/main" id="{00000000-0008-0000-1900-000001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22860</xdr:colOff>
          <xdr:row>1</xdr:row>
          <xdr:rowOff>144780</xdr:rowOff>
        </xdr:from>
        <xdr:to>
          <xdr:col>8</xdr:col>
          <xdr:colOff>525780</xdr:colOff>
          <xdr:row>3</xdr:row>
          <xdr:rowOff>0</xdr:rowOff>
        </xdr:to>
        <xdr:sp macro="" textlink="">
          <xdr:nvSpPr>
            <xdr:cNvPr id="66561" name="Object 1" hidden="1">
              <a:extLst>
                <a:ext uri="{63B3BB69-23CF-44E3-9099-C40C66FF867C}">
                  <a14:compatExt spid="_x0000_s66561"/>
                </a:ext>
                <a:ext uri="{FF2B5EF4-FFF2-40B4-BE49-F238E27FC236}">
                  <a16:creationId xmlns:a16="http://schemas.microsoft.com/office/drawing/2014/main" id="{00000000-0008-0000-1A00-00000104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00000000-0008-0000-1C00-0000475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4.emf"/><Relationship Id="rId4" Type="http://schemas.openxmlformats.org/officeDocument/2006/relationships/oleObject" Target="../embeddings/oleObject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image" Target="../media/image5.emf"/><Relationship Id="rId4" Type="http://schemas.openxmlformats.org/officeDocument/2006/relationships/oleObject" Target="../embeddings/oleObject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image" Target="../media/image6.emf"/><Relationship Id="rId4" Type="http://schemas.openxmlformats.org/officeDocument/2006/relationships/oleObject" Target="../embeddings/oleObject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image" Target="../media/image7.emf"/><Relationship Id="rId4" Type="http://schemas.openxmlformats.org/officeDocument/2006/relationships/oleObject" Target="../embeddings/oleObject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image" Target="../media/image8.emf"/><Relationship Id="rId4" Type="http://schemas.openxmlformats.org/officeDocument/2006/relationships/oleObject" Target="../embeddings/oleObject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image" Target="../media/image9.emf"/><Relationship Id="rId4" Type="http://schemas.openxmlformats.org/officeDocument/2006/relationships/oleObject" Target="../embeddings/oleObject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image" Target="../media/image10.emf"/><Relationship Id="rId4" Type="http://schemas.openxmlformats.org/officeDocument/2006/relationships/oleObject" Target="../embeddings/oleObject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image" Target="../media/image11.emf"/><Relationship Id="rId4" Type="http://schemas.openxmlformats.org/officeDocument/2006/relationships/oleObject" Target="../embeddings/oleObject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image" Target="../media/image12.emf"/><Relationship Id="rId4" Type="http://schemas.openxmlformats.org/officeDocument/2006/relationships/oleObject" Target="../embeddings/oleObject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image" Target="../media/image12.emf"/><Relationship Id="rId4" Type="http://schemas.openxmlformats.org/officeDocument/2006/relationships/oleObject" Target="../embeddings/oleObject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image" Target="../media/image13.emf"/><Relationship Id="rId4" Type="http://schemas.openxmlformats.org/officeDocument/2006/relationships/oleObject" Target="../embeddings/oleObject12.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image" Target="../media/image14.emf"/><Relationship Id="rId4" Type="http://schemas.openxmlformats.org/officeDocument/2006/relationships/oleObject" Target="../embeddings/oleObject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omments" Target="../comments17.xml"/><Relationship Id="rId5" Type="http://schemas.openxmlformats.org/officeDocument/2006/relationships/image" Target="../media/image14.emf"/><Relationship Id="rId4" Type="http://schemas.openxmlformats.org/officeDocument/2006/relationships/oleObject" Target="../embeddings/oleObject14.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omments" Target="../comments18.xml"/><Relationship Id="rId5" Type="http://schemas.openxmlformats.org/officeDocument/2006/relationships/image" Target="../media/image15.emf"/><Relationship Id="rId4" Type="http://schemas.openxmlformats.org/officeDocument/2006/relationships/oleObject" Target="../embeddings/oleObject15.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mments" Target="../comments19.xml"/><Relationship Id="rId5" Type="http://schemas.openxmlformats.org/officeDocument/2006/relationships/image" Target="../media/image16.emf"/><Relationship Id="rId4" Type="http://schemas.openxmlformats.org/officeDocument/2006/relationships/oleObject" Target="../embeddings/oleObject16.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mments" Target="../comments20.xml"/><Relationship Id="rId5" Type="http://schemas.openxmlformats.org/officeDocument/2006/relationships/image" Target="../media/image17.emf"/><Relationship Id="rId4" Type="http://schemas.openxmlformats.org/officeDocument/2006/relationships/oleObject" Target="../embeddings/oleObject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mments" Target="../comments21.xml"/><Relationship Id="rId5" Type="http://schemas.openxmlformats.org/officeDocument/2006/relationships/image" Target="../media/image18.emf"/><Relationship Id="rId4" Type="http://schemas.openxmlformats.org/officeDocument/2006/relationships/oleObject" Target="../embeddings/oleObject1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mments" Target="../comments22.xml"/><Relationship Id="rId5" Type="http://schemas.openxmlformats.org/officeDocument/2006/relationships/image" Target="../media/image19.emf"/><Relationship Id="rId4" Type="http://schemas.openxmlformats.org/officeDocument/2006/relationships/oleObject" Target="../embeddings/oleObject19.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omments" Target="../comments23.xml"/><Relationship Id="rId5" Type="http://schemas.openxmlformats.org/officeDocument/2006/relationships/image" Target="../media/image20.emf"/><Relationship Id="rId4" Type="http://schemas.openxmlformats.org/officeDocument/2006/relationships/oleObject" Target="../embeddings/oleObject20.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omments" Target="../comments24.xml"/><Relationship Id="rId5" Type="http://schemas.openxmlformats.org/officeDocument/2006/relationships/image" Target="../media/image21.emf"/><Relationship Id="rId4" Type="http://schemas.openxmlformats.org/officeDocument/2006/relationships/oleObject" Target="../embeddings/oleObject2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mments" Target="../comments25.xml"/><Relationship Id="rId5" Type="http://schemas.openxmlformats.org/officeDocument/2006/relationships/image" Target="../media/image22.emf"/><Relationship Id="rId4" Type="http://schemas.openxmlformats.org/officeDocument/2006/relationships/oleObject" Target="../embeddings/oleObject22.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omments" Target="../comments26.xml"/><Relationship Id="rId5" Type="http://schemas.openxmlformats.org/officeDocument/2006/relationships/image" Target="../media/image23.emf"/><Relationship Id="rId4" Type="http://schemas.openxmlformats.org/officeDocument/2006/relationships/oleObject" Target="../embeddings/oleObject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G19" sqref="AG19"/>
    </sheetView>
  </sheetViews>
  <sheetFormatPr defaultColWidth="0" defaultRowHeight="13.2" zeroHeight="1" x14ac:dyDescent="0.25"/>
  <cols>
    <col min="1" max="33" width="2.8867187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6" t="str">
        <f ca="1">MID(CELL("filename"),FIND("[",CELL("filename"))+1,FIND("]",CELL("filename"))-FIND("[",CELL("filename"))-1)</f>
        <v>DIA - Software Integration Test Specification Report.xlsm</v>
      </c>
      <c r="AE3" s="8"/>
      <c r="AF3" s="8"/>
      <c r="AG3" s="8"/>
      <c r="AH3" s="8"/>
      <c r="AI3" s="8"/>
      <c r="AJ3" s="8"/>
      <c r="AK3" s="8"/>
    </row>
    <row r="4" spans="1:37" s="7" customFormat="1" ht="11.1" customHeight="1" x14ac:dyDescent="0.25">
      <c r="A4" s="135" t="s">
        <v>0</v>
      </c>
      <c r="B4" s="136"/>
      <c r="C4" s="136"/>
      <c r="D4" s="136"/>
      <c r="E4" s="136"/>
      <c r="F4" s="136"/>
      <c r="G4" s="136"/>
      <c r="H4" s="136"/>
      <c r="I4" s="136"/>
      <c r="J4" s="136"/>
      <c r="K4" s="136"/>
      <c r="L4" s="136"/>
      <c r="M4" s="136"/>
      <c r="N4" s="136"/>
      <c r="O4" s="136"/>
      <c r="P4" s="136"/>
      <c r="Q4" s="136"/>
      <c r="R4" s="136"/>
      <c r="S4" s="136"/>
      <c r="T4" s="136"/>
      <c r="U4" s="136"/>
      <c r="V4" s="137"/>
      <c r="W4" s="108" t="s">
        <v>1</v>
      </c>
      <c r="X4" s="109"/>
      <c r="Y4" s="109"/>
      <c r="Z4" s="109"/>
      <c r="AA4" s="110"/>
      <c r="AB4" s="141" t="s">
        <v>20</v>
      </c>
      <c r="AC4" s="142"/>
      <c r="AD4" s="142"/>
      <c r="AE4" s="142"/>
      <c r="AF4" s="142"/>
      <c r="AG4" s="143"/>
      <c r="AH4" s="10"/>
      <c r="AI4" s="10"/>
      <c r="AJ4" s="10"/>
      <c r="AK4" s="8"/>
    </row>
    <row r="5" spans="1:37" s="12" customFormat="1" ht="12.75" customHeight="1" x14ac:dyDescent="0.25">
      <c r="A5" s="111" t="str">
        <f ca="1" xml:space="preserve"> IFERROR(IF(alvDocProperty("MXAuthority")="","Process and method",alvDocProperty("MXAuthority")),"Process and method")</f>
        <v>Process and method</v>
      </c>
      <c r="B5" s="112"/>
      <c r="C5" s="112"/>
      <c r="D5" s="112"/>
      <c r="E5" s="112"/>
      <c r="F5" s="112"/>
      <c r="G5" s="112"/>
      <c r="H5" s="112"/>
      <c r="I5" s="112"/>
      <c r="J5" s="112"/>
      <c r="K5" s="112"/>
      <c r="L5" s="112"/>
      <c r="M5" s="112"/>
      <c r="N5" s="112"/>
      <c r="O5" s="112"/>
      <c r="P5" s="112"/>
      <c r="Q5" s="112"/>
      <c r="R5" s="112"/>
      <c r="S5" s="112"/>
      <c r="T5" s="112"/>
      <c r="U5" s="112"/>
      <c r="V5" s="113"/>
      <c r="W5" s="111" t="str">
        <f ca="1" xml:space="preserve"> IFERROR(IF(alvDocProperty("MXCurrent.Localized")="","Template released",alvDocProperty("MXCurrent.Localized")),"Template released")</f>
        <v>Template released</v>
      </c>
      <c r="X5" s="112"/>
      <c r="Y5" s="112"/>
      <c r="Z5" s="112"/>
      <c r="AA5" s="113"/>
      <c r="AB5" s="111" t="str">
        <f ca="1" xml:space="preserve"> IFERROR(IF(alvDocProperty("MXActual_state_Released")="","2021-10",alvDocProperty("MXActual_state_Released")),"2021-10")</f>
        <v>2021-10</v>
      </c>
      <c r="AC5" s="112"/>
      <c r="AD5" s="112"/>
      <c r="AE5" s="112"/>
      <c r="AF5" s="112"/>
      <c r="AG5" s="113"/>
      <c r="AH5" s="11"/>
      <c r="AI5" s="11"/>
      <c r="AJ5" s="11"/>
      <c r="AK5" s="11"/>
    </row>
    <row r="6" spans="1:37" s="43" customFormat="1" ht="11.1" customHeight="1" x14ac:dyDescent="0.25">
      <c r="A6" s="108" t="s">
        <v>2</v>
      </c>
      <c r="B6" s="109"/>
      <c r="C6" s="109"/>
      <c r="D6" s="110"/>
      <c r="E6" s="108" t="s">
        <v>3</v>
      </c>
      <c r="F6" s="109"/>
      <c r="G6" s="109"/>
      <c r="H6" s="109"/>
      <c r="I6" s="109"/>
      <c r="J6" s="109"/>
      <c r="K6" s="109"/>
      <c r="L6" s="109"/>
      <c r="M6" s="109"/>
      <c r="N6" s="109"/>
      <c r="O6" s="109"/>
      <c r="P6" s="109"/>
      <c r="Q6" s="109"/>
      <c r="R6" s="109"/>
      <c r="S6" s="109"/>
      <c r="T6" s="109"/>
      <c r="U6" s="109"/>
      <c r="V6" s="110"/>
      <c r="W6" s="135" t="s">
        <v>15</v>
      </c>
      <c r="X6" s="136"/>
      <c r="Y6" s="136"/>
      <c r="Z6" s="136"/>
      <c r="AA6" s="137"/>
      <c r="AB6" s="108"/>
      <c r="AC6" s="109"/>
      <c r="AD6" s="110"/>
      <c r="AE6" s="108" t="s">
        <v>4</v>
      </c>
      <c r="AF6" s="109"/>
      <c r="AG6" s="110"/>
      <c r="AH6" s="42"/>
      <c r="AI6" s="42"/>
      <c r="AJ6" s="42"/>
      <c r="AK6" s="42"/>
    </row>
    <row r="7" spans="1:37" s="14" customFormat="1" ht="12.75" customHeight="1" x14ac:dyDescent="0.25">
      <c r="A7" s="111" t="str">
        <f ca="1" xml:space="preserve"> IFERROR(IF(alvDocProperty("MXName")="","TBD",alvDocProperty("MXName")),"TBD")</f>
        <v>TBD</v>
      </c>
      <c r="B7" s="112"/>
      <c r="C7" s="112"/>
      <c r="D7" s="113"/>
      <c r="E7" s="111" t="s">
        <v>190</v>
      </c>
      <c r="F7" s="112"/>
      <c r="G7" s="112"/>
      <c r="H7" s="112"/>
      <c r="I7" s="112"/>
      <c r="J7" s="112"/>
      <c r="K7" s="112"/>
      <c r="L7" s="112"/>
      <c r="M7" s="112"/>
      <c r="N7" s="112"/>
      <c r="O7" s="112"/>
      <c r="P7" s="112"/>
      <c r="Q7" s="112"/>
      <c r="R7" s="112"/>
      <c r="S7" s="112"/>
      <c r="T7" s="112"/>
      <c r="U7" s="112"/>
      <c r="V7" s="113"/>
      <c r="W7" s="111" t="str">
        <f ca="1" xml:space="preserve"> IFERROR(IF(alvDocProperty("MXDocTemplate_Name")="","SW04TEM001",alvDocProperty("MXDocTemplate_Name")),"SW04TEM001")</f>
        <v>SW04TEM001</v>
      </c>
      <c r="X7" s="112"/>
      <c r="Y7" s="112"/>
      <c r="Z7" s="112"/>
      <c r="AA7" s="113"/>
      <c r="AB7" s="111" t="str">
        <f ca="1" xml:space="preserve"> IFERROR(IF(alvDocProperty("MXRevision")="","TBD",alvDocProperty("MXRevision")),"TBD")</f>
        <v>TBD</v>
      </c>
      <c r="AC7" s="112"/>
      <c r="AD7" s="113"/>
      <c r="AE7" s="111" t="str">
        <f ca="1" xml:space="preserve"> IFERROR(IF(alvDocProperty("MXVersion")="","TBD",alvDocProperty("MXVersion")),"TBD")</f>
        <v>TBD</v>
      </c>
      <c r="AF7" s="112"/>
      <c r="AG7" s="113"/>
      <c r="AH7" s="13"/>
      <c r="AI7" s="13"/>
      <c r="AJ7" s="13"/>
      <c r="AK7" s="13"/>
    </row>
    <row r="8" spans="1:37" s="12" customFormat="1" x14ac:dyDescent="0.25">
      <c r="A8" s="44"/>
      <c r="B8" s="44"/>
      <c r="C8" s="44"/>
      <c r="D8" s="44"/>
      <c r="E8" s="44"/>
      <c r="F8" s="44"/>
      <c r="G8" s="44"/>
      <c r="H8" s="44"/>
      <c r="I8" s="44"/>
      <c r="J8" s="44"/>
      <c r="K8" s="44"/>
      <c r="L8" s="44"/>
      <c r="M8" s="44"/>
      <c r="N8" s="44"/>
      <c r="O8" s="44"/>
      <c r="P8" s="44"/>
      <c r="Q8" s="44"/>
      <c r="R8" s="44"/>
      <c r="S8" s="44"/>
      <c r="T8" s="44"/>
      <c r="U8" s="44"/>
      <c r="V8" s="44"/>
      <c r="W8" s="45"/>
      <c r="X8" s="45"/>
      <c r="Y8" s="45"/>
      <c r="Z8" s="45"/>
      <c r="AA8" s="45"/>
      <c r="AB8" s="44"/>
      <c r="AC8" s="44"/>
      <c r="AD8" s="44"/>
      <c r="AE8" s="44"/>
      <c r="AF8" s="44"/>
      <c r="AG8" s="44"/>
      <c r="AH8" s="11"/>
      <c r="AI8" s="11"/>
      <c r="AJ8" s="11"/>
      <c r="AK8" s="11"/>
    </row>
    <row r="9" spans="1:37" ht="11.1" customHeight="1" x14ac:dyDescent="0.25">
      <c r="A9" s="119" t="s">
        <v>21</v>
      </c>
      <c r="B9" s="120"/>
      <c r="C9" s="120"/>
      <c r="D9" s="120"/>
      <c r="E9" s="120"/>
      <c r="F9" s="120"/>
      <c r="G9" s="120"/>
      <c r="H9" s="120"/>
      <c r="I9" s="120"/>
      <c r="J9" s="120"/>
      <c r="K9" s="121"/>
      <c r="L9" s="119" t="s">
        <v>22</v>
      </c>
      <c r="M9" s="120"/>
      <c r="N9" s="120"/>
      <c r="O9" s="120"/>
      <c r="P9" s="120"/>
      <c r="Q9" s="120"/>
      <c r="R9" s="120"/>
      <c r="S9" s="120"/>
      <c r="T9" s="120"/>
      <c r="U9" s="120"/>
      <c r="V9" s="121"/>
      <c r="W9" s="119" t="s">
        <v>23</v>
      </c>
      <c r="X9" s="120"/>
      <c r="Y9" s="120"/>
      <c r="Z9" s="120"/>
      <c r="AA9" s="120"/>
      <c r="AB9" s="120"/>
      <c r="AC9" s="120"/>
      <c r="AD9" s="120"/>
      <c r="AE9" s="120"/>
      <c r="AF9" s="120"/>
      <c r="AG9" s="121"/>
      <c r="AH9" s="15"/>
      <c r="AI9" s="15"/>
    </row>
    <row r="10" spans="1:37" s="47" customFormat="1" ht="28.5" customHeight="1" x14ac:dyDescent="0.25">
      <c r="A10" s="138" t="s">
        <v>33</v>
      </c>
      <c r="B10" s="139"/>
      <c r="C10" s="139"/>
      <c r="D10" s="139"/>
      <c r="E10" s="139"/>
      <c r="F10" s="130" t="s">
        <v>416</v>
      </c>
      <c r="G10" s="130"/>
      <c r="H10" s="130"/>
      <c r="I10" s="130"/>
      <c r="J10" s="130"/>
      <c r="K10" s="131"/>
      <c r="L10" s="140" t="s">
        <v>189</v>
      </c>
      <c r="M10" s="115"/>
      <c r="N10" s="115"/>
      <c r="O10" s="115"/>
      <c r="P10" s="115"/>
      <c r="Q10" s="115"/>
      <c r="R10" s="115"/>
      <c r="S10" s="115"/>
      <c r="T10" s="115"/>
      <c r="U10" s="115"/>
      <c r="V10" s="116"/>
      <c r="W10" s="114" t="s">
        <v>189</v>
      </c>
      <c r="X10" s="115"/>
      <c r="Y10" s="115"/>
      <c r="Z10" s="115"/>
      <c r="AA10" s="115"/>
      <c r="AB10" s="115"/>
      <c r="AC10" s="115"/>
      <c r="AD10" s="115"/>
      <c r="AE10" s="115"/>
      <c r="AF10" s="115"/>
      <c r="AG10" s="116"/>
      <c r="AH10" s="46"/>
      <c r="AI10" s="46"/>
    </row>
    <row r="11" spans="1:37" s="53" customFormat="1" ht="4.5" customHeight="1" x14ac:dyDescent="0.25">
      <c r="A11" s="48"/>
      <c r="B11" s="49"/>
      <c r="C11" s="49"/>
      <c r="D11" s="49"/>
      <c r="E11" s="49"/>
      <c r="F11" s="49"/>
      <c r="G11" s="49"/>
      <c r="H11" s="49"/>
      <c r="I11" s="49"/>
      <c r="J11" s="49"/>
      <c r="K11" s="49"/>
      <c r="L11" s="50"/>
      <c r="M11" s="49"/>
      <c r="N11" s="49"/>
      <c r="O11" s="49"/>
      <c r="P11" s="49"/>
      <c r="Q11" s="49"/>
      <c r="R11" s="49"/>
      <c r="S11" s="49"/>
      <c r="T11" s="49"/>
      <c r="U11" s="49"/>
      <c r="V11" s="49"/>
      <c r="W11" s="50"/>
      <c r="X11" s="49"/>
      <c r="Y11" s="49"/>
      <c r="Z11" s="49"/>
      <c r="AA11" s="49"/>
      <c r="AB11" s="49"/>
      <c r="AC11" s="49"/>
      <c r="AD11" s="49"/>
      <c r="AE11" s="49"/>
      <c r="AF11" s="49"/>
      <c r="AG11" s="51"/>
      <c r="AH11" s="52"/>
      <c r="AI11" s="52"/>
    </row>
    <row r="12" spans="1:37" s="54" customFormat="1" ht="11.1" customHeight="1" x14ac:dyDescent="0.25">
      <c r="A12" s="132" t="s">
        <v>24</v>
      </c>
      <c r="B12" s="133"/>
      <c r="C12" s="133"/>
      <c r="D12" s="133"/>
      <c r="E12" s="133"/>
      <c r="F12" s="133"/>
      <c r="G12" s="133"/>
      <c r="H12" s="133"/>
      <c r="I12" s="133"/>
      <c r="J12" s="133"/>
      <c r="K12" s="133"/>
      <c r="L12" s="133"/>
      <c r="M12" s="133"/>
      <c r="N12" s="133"/>
      <c r="O12" s="133"/>
      <c r="P12" s="133"/>
      <c r="Q12" s="133"/>
      <c r="R12" s="133"/>
      <c r="S12" s="133"/>
      <c r="T12" s="133"/>
      <c r="U12" s="133"/>
      <c r="V12" s="133"/>
      <c r="W12" s="133"/>
      <c r="X12" s="133"/>
      <c r="Y12" s="133"/>
      <c r="Z12" s="133"/>
      <c r="AA12" s="133"/>
      <c r="AB12" s="133"/>
      <c r="AC12" s="133"/>
      <c r="AD12" s="133"/>
      <c r="AE12" s="133"/>
      <c r="AF12" s="133"/>
      <c r="AG12" s="134"/>
      <c r="AH12" s="15"/>
      <c r="AI12" s="15"/>
      <c r="AJ12" s="15"/>
      <c r="AK12" s="15"/>
    </row>
    <row r="13" spans="1:37" s="47" customFormat="1" ht="28.5" customHeight="1" x14ac:dyDescent="0.25">
      <c r="A13" s="114" t="s">
        <v>189</v>
      </c>
      <c r="B13" s="115"/>
      <c r="C13" s="115"/>
      <c r="D13" s="115"/>
      <c r="E13" s="115"/>
      <c r="F13" s="115"/>
      <c r="G13" s="115"/>
      <c r="H13" s="115"/>
      <c r="I13" s="115"/>
      <c r="J13" s="115"/>
      <c r="K13" s="116"/>
      <c r="L13" s="114" t="s">
        <v>189</v>
      </c>
      <c r="M13" s="115"/>
      <c r="N13" s="115"/>
      <c r="O13" s="115"/>
      <c r="P13" s="115"/>
      <c r="Q13" s="115"/>
      <c r="R13" s="115"/>
      <c r="S13" s="115"/>
      <c r="T13" s="115"/>
      <c r="U13" s="115"/>
      <c r="V13" s="116"/>
      <c r="W13" s="114" t="s">
        <v>189</v>
      </c>
      <c r="X13" s="115"/>
      <c r="Y13" s="115"/>
      <c r="Z13" s="115"/>
      <c r="AA13" s="115"/>
      <c r="AB13" s="115"/>
      <c r="AC13" s="115"/>
      <c r="AD13" s="115"/>
      <c r="AE13" s="115"/>
      <c r="AF13" s="115"/>
      <c r="AG13" s="116"/>
      <c r="AH13" s="46"/>
      <c r="AI13" s="46"/>
      <c r="AJ13" s="46"/>
      <c r="AK13" s="46"/>
    </row>
    <row r="14" spans="1:37" s="53" customFormat="1" ht="4.5" customHeight="1" x14ac:dyDescent="0.25">
      <c r="A14" s="50"/>
      <c r="B14" s="49"/>
      <c r="C14" s="49"/>
      <c r="D14" s="49"/>
      <c r="E14" s="49"/>
      <c r="F14" s="49"/>
      <c r="G14" s="49"/>
      <c r="H14" s="49"/>
      <c r="I14" s="49"/>
      <c r="J14" s="49"/>
      <c r="K14" s="49"/>
      <c r="L14" s="50"/>
      <c r="M14" s="49"/>
      <c r="N14" s="49"/>
      <c r="O14" s="49"/>
      <c r="P14" s="49"/>
      <c r="Q14" s="49"/>
      <c r="R14" s="49"/>
      <c r="S14" s="49"/>
      <c r="T14" s="49"/>
      <c r="U14" s="49"/>
      <c r="V14" s="49"/>
      <c r="W14" s="50"/>
      <c r="X14" s="49"/>
      <c r="Y14" s="49"/>
      <c r="Z14" s="49"/>
      <c r="AA14" s="49"/>
      <c r="AB14" s="49"/>
      <c r="AC14" s="49"/>
      <c r="AD14" s="49"/>
      <c r="AE14" s="49"/>
      <c r="AF14" s="49"/>
      <c r="AG14" s="49"/>
      <c r="AH14" s="52"/>
      <c r="AI14" s="52"/>
    </row>
    <row r="15" spans="1:37" s="18" customFormat="1" ht="37.5" customHeight="1" x14ac:dyDescent="0.25">
      <c r="A15" s="125" t="s">
        <v>25</v>
      </c>
      <c r="B15" s="125"/>
      <c r="C15" s="125"/>
      <c r="D15" s="125"/>
      <c r="E15" s="122" t="s">
        <v>417</v>
      </c>
      <c r="F15" s="123"/>
      <c r="G15" s="123"/>
      <c r="H15" s="123"/>
      <c r="I15" s="123"/>
      <c r="J15" s="123"/>
      <c r="K15" s="123"/>
      <c r="L15" s="123"/>
      <c r="M15" s="123"/>
      <c r="N15" s="123"/>
      <c r="O15" s="123"/>
      <c r="P15" s="123"/>
      <c r="Q15" s="123"/>
      <c r="R15" s="123"/>
      <c r="S15" s="123"/>
      <c r="T15" s="123"/>
      <c r="U15" s="123"/>
      <c r="V15" s="123"/>
      <c r="W15" s="123"/>
      <c r="X15" s="123"/>
      <c r="Y15" s="123"/>
      <c r="Z15" s="123"/>
      <c r="AA15" s="123"/>
      <c r="AB15" s="123"/>
      <c r="AC15" s="123"/>
      <c r="AD15" s="123"/>
      <c r="AE15" s="123"/>
      <c r="AF15" s="123"/>
      <c r="AG15" s="124"/>
      <c r="AH15" s="17"/>
      <c r="AI15" s="17"/>
      <c r="AJ15" s="17"/>
      <c r="AK15" s="17"/>
    </row>
    <row r="16" spans="1:37" s="18" customFormat="1" ht="37.5" customHeight="1" x14ac:dyDescent="0.25">
      <c r="A16" s="126"/>
      <c r="B16" s="126"/>
      <c r="C16" s="126"/>
      <c r="D16" s="126"/>
      <c r="E16" s="127"/>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9"/>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5"/>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5"/>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17" t="str">
        <f>MXTitle</f>
        <v>DIA - Software Integration Test Specification Report.xls</v>
      </c>
      <c r="B23" s="118"/>
      <c r="C23" s="118"/>
      <c r="D23" s="118"/>
      <c r="E23" s="118"/>
      <c r="F23" s="118"/>
      <c r="G23" s="118"/>
      <c r="H23" s="118"/>
      <c r="I23" s="118"/>
      <c r="J23" s="118"/>
      <c r="K23" s="118"/>
      <c r="L23" s="118"/>
      <c r="M23" s="118"/>
      <c r="N23" s="118"/>
      <c r="O23" s="118"/>
      <c r="P23" s="118"/>
      <c r="Q23" s="118"/>
      <c r="R23" s="118"/>
      <c r="S23" s="118"/>
      <c r="T23" s="118"/>
      <c r="U23" s="118"/>
      <c r="V23" s="118"/>
      <c r="W23" s="118"/>
      <c r="X23" s="118"/>
      <c r="Y23" s="118"/>
      <c r="Z23" s="118"/>
      <c r="AA23" s="118"/>
      <c r="AB23" s="118"/>
      <c r="AC23" s="118"/>
      <c r="AD23" s="118"/>
      <c r="AE23" s="118"/>
      <c r="AF23" s="118"/>
      <c r="AG23" s="118"/>
      <c r="AH23" s="17"/>
      <c r="AI23" s="17"/>
      <c r="AJ23" s="17"/>
      <c r="AK23" s="17"/>
    </row>
    <row r="24" spans="1:37" s="18" customFormat="1" ht="24.6" x14ac:dyDescent="0.25">
      <c r="C24" s="17"/>
      <c r="D24" s="17"/>
      <c r="E24" s="17"/>
      <c r="F24" s="17"/>
      <c r="G24" s="17"/>
      <c r="H24" s="17"/>
      <c r="I24" s="17"/>
      <c r="J24" s="17"/>
      <c r="K24" s="17"/>
      <c r="L24" s="17"/>
      <c r="M24" s="17"/>
      <c r="N24" s="17"/>
      <c r="O24" s="17"/>
      <c r="P24" s="17"/>
      <c r="Q24" s="55"/>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s>
  <phoneticPr fontId="3" type="noConversion"/>
  <conditionalFormatting sqref="W5:AA5">
    <cfRule type="cellIs" dxfId="313" priority="1" operator="equal">
      <formula>"In-Work"</formula>
    </cfRule>
    <cfRule type="cellIs" dxfId="312" priority="2" stopIfTrue="1" operator="equal">
      <formula>"draft"</formula>
    </cfRule>
    <cfRule type="cellIs" dxfId="311" priority="3" operator="equal">
      <formula>"In-Work"</formula>
    </cfRule>
    <cfRule type="cellIs" dxfId="310" priority="4" stopIfTrue="1" operator="equal">
      <formula>"draft"</formula>
    </cfRule>
    <cfRule type="cellIs" dxfId="309" priority="5" operator="equal">
      <formula>"In-Work"</formula>
    </cfRule>
    <cfRule type="cellIs" dxfId="308" priority="6" stopIfTrue="1" operator="equal">
      <formula>"draft"</formula>
    </cfRule>
    <cfRule type="cellIs" dxfId="307" priority="7" operator="equal">
      <formula>"In-Work"</formula>
    </cfRule>
    <cfRule type="cellIs" dxfId="306" priority="8" stopIfTrue="1" operator="equal">
      <formula>"draft"</formula>
    </cfRule>
    <cfRule type="cellIs" dxfId="305" priority="9" operator="equal">
      <formula>"In-Work"</formula>
    </cfRule>
    <cfRule type="cellIs" dxfId="304" priority="10" stopIfTrue="1" operator="equal">
      <formula>"draft"</formula>
    </cfRule>
    <cfRule type="cellIs" dxfId="303" priority="11" operator="equal">
      <formula>"In-Work"</formula>
    </cfRule>
    <cfRule type="cellIs" dxfId="302" priority="12" stopIfTrue="1" operator="equal">
      <formula>"draft"</formula>
    </cfRule>
    <cfRule type="cellIs" dxfId="301" priority="13" operator="equal">
      <formula>"In-Work"</formula>
    </cfRule>
    <cfRule type="cellIs" dxfId="300" priority="14" stopIfTrue="1" operator="equal">
      <formula>"draft"</formula>
    </cfRule>
    <cfRule type="cellIs" dxfId="299" priority="15" operator="equal">
      <formula>"In-Work"</formula>
    </cfRule>
    <cfRule type="cellIs" dxfId="298" priority="16" stopIfTrue="1" operator="equal">
      <formula>"draft"</formula>
    </cfRule>
    <cfRule type="cellIs" dxfId="297" priority="17" operator="equal">
      <formula>"In-Work"</formula>
    </cfRule>
    <cfRule type="cellIs" dxfId="296" priority="18" stopIfTrue="1" operator="equal">
      <formula>"draft"</formula>
    </cfRule>
    <cfRule type="cellIs" dxfId="295" priority="19" operator="equal">
      <formula>"In-Work"</formula>
    </cfRule>
    <cfRule type="cellIs" dxfId="294" priority="20" stopIfTrue="1" operator="equal">
      <formula>"draft"</formula>
    </cfRule>
    <cfRule type="cellIs" dxfId="293" priority="21" operator="equal">
      <formula>"In-Work"</formula>
    </cfRule>
    <cfRule type="cellIs" dxfId="292" priority="22" stopIfTrue="1" operator="equal">
      <formula>"draft"</formula>
    </cfRule>
    <cfRule type="cellIs" dxfId="291" priority="23" operator="equal">
      <formula>"In-Work"</formula>
    </cfRule>
    <cfRule type="cellIs" dxfId="290" priority="24" stopIfTrue="1" operator="equal">
      <formula>"draft"</formula>
    </cfRule>
    <cfRule type="cellIs" dxfId="289" priority="25" operator="equal">
      <formula>"In-Work"</formula>
    </cfRule>
    <cfRule type="cellIs" dxfId="288" priority="26" stopIfTrue="1" operator="equal">
      <formula>"draft"</formula>
    </cfRule>
    <cfRule type="cellIs" dxfId="287" priority="27" operator="equal">
      <formula>"In-Work"</formula>
    </cfRule>
    <cfRule type="cellIs" dxfId="286" priority="28" stopIfTrue="1" operator="equal">
      <formula>"draft"</formula>
    </cfRule>
    <cfRule type="cellIs" dxfId="285" priority="29" operator="equal">
      <formula>"In-Work"</formula>
    </cfRule>
    <cfRule type="cellIs" dxfId="284" priority="30" stopIfTrue="1" operator="equal">
      <formula>"draft"</formula>
    </cfRule>
    <cfRule type="cellIs" dxfId="283" priority="31" operator="equal">
      <formula>"In-Work"</formula>
    </cfRule>
    <cfRule type="cellIs" dxfId="282" priority="32" stopIfTrue="1" operator="equal">
      <formula>"draft"</formula>
    </cfRule>
    <cfRule type="cellIs" dxfId="281" priority="33" operator="equal">
      <formula>"In-Work"</formula>
    </cfRule>
    <cfRule type="cellIs" dxfId="280" priority="34" stopIfTrue="1" operator="equal">
      <formula>"draft"</formula>
    </cfRule>
    <cfRule type="cellIs" dxfId="279" priority="35" operator="equal">
      <formula>"In-Work"</formula>
    </cfRule>
    <cfRule type="cellIs" dxfId="278"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6"/>
  <sheetViews>
    <sheetView showGridLines="0" topLeftCell="A18" zoomScaleNormal="100" workbookViewId="0">
      <selection activeCell="R34" sqref="R34:AF34"/>
    </sheetView>
  </sheetViews>
  <sheetFormatPr defaultColWidth="0" defaultRowHeight="13.2" zeroHeight="1" x14ac:dyDescent="0.25"/>
  <cols>
    <col min="1" max="33" width="2.8867187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DIA - Software Integration Test Specification Report.xlsm</v>
      </c>
      <c r="AE3" s="8"/>
      <c r="AF3" s="8"/>
      <c r="AG3" s="8"/>
      <c r="AH3" s="8"/>
      <c r="AI3" s="8"/>
      <c r="AJ3" s="8"/>
      <c r="AK3" s="8"/>
    </row>
    <row r="4" spans="1:37" s="7" customFormat="1" ht="11.1" customHeight="1" x14ac:dyDescent="0.25">
      <c r="A4" s="135" t="s">
        <v>0</v>
      </c>
      <c r="B4" s="136"/>
      <c r="C4" s="136"/>
      <c r="D4" s="136"/>
      <c r="E4" s="136"/>
      <c r="F4" s="136"/>
      <c r="G4" s="136"/>
      <c r="H4" s="136"/>
      <c r="I4" s="136"/>
      <c r="J4" s="136"/>
      <c r="K4" s="136"/>
      <c r="L4" s="136"/>
      <c r="M4" s="136"/>
      <c r="N4" s="136"/>
      <c r="O4" s="136"/>
      <c r="P4" s="136"/>
      <c r="Q4" s="136"/>
      <c r="R4" s="136"/>
      <c r="S4" s="136"/>
      <c r="T4" s="136"/>
      <c r="U4" s="136"/>
      <c r="V4" s="137"/>
      <c r="W4" s="144" t="s">
        <v>1</v>
      </c>
      <c r="X4" s="145"/>
      <c r="Y4" s="145"/>
      <c r="Z4" s="145"/>
      <c r="AA4" s="146"/>
      <c r="AB4" s="141" t="s">
        <v>20</v>
      </c>
      <c r="AC4" s="142"/>
      <c r="AD4" s="142"/>
      <c r="AE4" s="142"/>
      <c r="AF4" s="142"/>
      <c r="AG4" s="143"/>
      <c r="AH4" s="10"/>
      <c r="AI4" s="10"/>
      <c r="AJ4" s="10"/>
      <c r="AK4" s="8"/>
    </row>
    <row r="5" spans="1:37" s="12" customFormat="1" x14ac:dyDescent="0.25">
      <c r="A5" s="111" t="str">
        <f ca="1">MXAuthority</f>
        <v>Process and method</v>
      </c>
      <c r="B5" s="112"/>
      <c r="C5" s="112"/>
      <c r="D5" s="112"/>
      <c r="E5" s="112"/>
      <c r="F5" s="112"/>
      <c r="G5" s="112"/>
      <c r="H5" s="112"/>
      <c r="I5" s="112"/>
      <c r="J5" s="112"/>
      <c r="K5" s="112"/>
      <c r="L5" s="112"/>
      <c r="M5" s="112"/>
      <c r="N5" s="112"/>
      <c r="O5" s="112"/>
      <c r="P5" s="112"/>
      <c r="Q5" s="112"/>
      <c r="R5" s="112"/>
      <c r="S5" s="112"/>
      <c r="T5" s="112"/>
      <c r="U5" s="112"/>
      <c r="V5" s="113"/>
      <c r="W5" s="147" t="str">
        <f ca="1">MXCurrent.Localized</f>
        <v>Template released</v>
      </c>
      <c r="X5" s="148"/>
      <c r="Y5" s="148"/>
      <c r="Z5" s="148"/>
      <c r="AA5" s="149"/>
      <c r="AB5" s="111" t="str">
        <f ca="1">MXActual_state_Released</f>
        <v>2021-10</v>
      </c>
      <c r="AC5" s="112"/>
      <c r="AD5" s="112"/>
      <c r="AE5" s="112"/>
      <c r="AF5" s="112"/>
      <c r="AG5" s="113"/>
      <c r="AH5" s="11"/>
      <c r="AI5" s="11"/>
      <c r="AJ5" s="11"/>
      <c r="AK5" s="11"/>
    </row>
    <row r="6" spans="1:37" s="1" customFormat="1" ht="11.1" customHeight="1" x14ac:dyDescent="0.25">
      <c r="A6" s="150" t="s">
        <v>2</v>
      </c>
      <c r="B6" s="151"/>
      <c r="C6" s="151"/>
      <c r="D6" s="152"/>
      <c r="E6" s="150" t="s">
        <v>3</v>
      </c>
      <c r="F6" s="151"/>
      <c r="G6" s="151"/>
      <c r="H6" s="151"/>
      <c r="I6" s="151"/>
      <c r="J6" s="151"/>
      <c r="K6" s="151"/>
      <c r="L6" s="151"/>
      <c r="M6" s="151"/>
      <c r="N6" s="151"/>
      <c r="O6" s="151"/>
      <c r="P6" s="151"/>
      <c r="Q6" s="151"/>
      <c r="R6" s="151"/>
      <c r="S6" s="151"/>
      <c r="T6" s="151"/>
      <c r="U6" s="151"/>
      <c r="V6" s="152"/>
      <c r="W6" s="135" t="s">
        <v>15</v>
      </c>
      <c r="X6" s="136"/>
      <c r="Y6" s="136"/>
      <c r="Z6" s="136"/>
      <c r="AA6" s="137"/>
      <c r="AB6" s="144"/>
      <c r="AC6" s="145"/>
      <c r="AD6" s="146"/>
      <c r="AE6" s="144" t="s">
        <v>4</v>
      </c>
      <c r="AF6" s="145"/>
      <c r="AG6" s="146"/>
      <c r="AH6" s="6"/>
      <c r="AI6" s="6"/>
      <c r="AJ6" s="6"/>
      <c r="AK6" s="6"/>
    </row>
    <row r="7" spans="1:37" s="14" customFormat="1" x14ac:dyDescent="0.25">
      <c r="A7" s="147" t="str">
        <f ca="1">MXName</f>
        <v>TBD</v>
      </c>
      <c r="B7" s="148"/>
      <c r="C7" s="148"/>
      <c r="D7" s="149"/>
      <c r="E7" s="147" t="str">
        <f>MXTitle</f>
        <v>DIA - Software Integration Test Specification Report.xls</v>
      </c>
      <c r="F7" s="148"/>
      <c r="G7" s="148"/>
      <c r="H7" s="148"/>
      <c r="I7" s="148"/>
      <c r="J7" s="148"/>
      <c r="K7" s="148"/>
      <c r="L7" s="148"/>
      <c r="M7" s="148"/>
      <c r="N7" s="148"/>
      <c r="O7" s="148"/>
      <c r="P7" s="148"/>
      <c r="Q7" s="148"/>
      <c r="R7" s="148"/>
      <c r="S7" s="148"/>
      <c r="T7" s="148"/>
      <c r="U7" s="148"/>
      <c r="V7" s="149"/>
      <c r="W7" s="147" t="str">
        <f ca="1">TemplateRef</f>
        <v>SW04TEM001</v>
      </c>
      <c r="X7" s="148"/>
      <c r="Y7" s="148"/>
      <c r="Z7" s="148"/>
      <c r="AA7" s="149"/>
      <c r="AB7" s="147"/>
      <c r="AC7" s="148"/>
      <c r="AD7" s="149"/>
      <c r="AE7" s="147" t="str">
        <f ca="1">MXVersion</f>
        <v>TBD</v>
      </c>
      <c r="AF7" s="148"/>
      <c r="AG7" s="149"/>
      <c r="AH7" s="13"/>
      <c r="AI7" s="13"/>
      <c r="AJ7" s="13"/>
      <c r="AK7" s="13"/>
    </row>
    <row r="8" spans="1:37" ht="11.1" customHeight="1" x14ac:dyDescent="0.25">
      <c r="A8" s="150" t="s">
        <v>10</v>
      </c>
      <c r="B8" s="151"/>
      <c r="C8" s="151"/>
      <c r="D8" s="151"/>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1"/>
      <c r="AG8" s="152"/>
      <c r="AH8" s="15"/>
      <c r="AI8" s="15"/>
      <c r="AJ8" s="15"/>
      <c r="AK8" s="15"/>
    </row>
    <row r="9" spans="1:37" s="18" customFormat="1" x14ac:dyDescent="0.25">
      <c r="A9" s="183" t="s">
        <v>14</v>
      </c>
      <c r="B9" s="184"/>
      <c r="C9" s="184"/>
      <c r="D9" s="184"/>
      <c r="E9" s="184"/>
      <c r="F9" s="184"/>
      <c r="G9" s="184"/>
      <c r="H9" s="184"/>
      <c r="I9" s="184"/>
      <c r="J9" s="184"/>
      <c r="K9" s="184"/>
      <c r="L9" s="184"/>
      <c r="M9" s="184"/>
      <c r="N9" s="184"/>
      <c r="O9" s="184"/>
      <c r="P9" s="184"/>
      <c r="Q9" s="184"/>
      <c r="R9" s="184"/>
      <c r="S9" s="184"/>
      <c r="T9" s="184"/>
      <c r="U9" s="184"/>
      <c r="V9" s="184"/>
      <c r="W9" s="184"/>
      <c r="X9" s="184"/>
      <c r="Y9" s="184"/>
      <c r="Z9" s="184"/>
      <c r="AA9" s="184"/>
      <c r="AB9" s="184"/>
      <c r="AC9" s="184"/>
      <c r="AD9" s="184"/>
      <c r="AE9" s="184"/>
      <c r="AF9" s="184"/>
      <c r="AG9" s="185"/>
      <c r="AH9" s="17"/>
      <c r="AI9" s="17"/>
      <c r="AJ9" s="17"/>
    </row>
    <row r="10" spans="1:37" x14ac:dyDescent="0.25"/>
    <row r="11" spans="1:37" x14ac:dyDescent="0.25"/>
    <row r="12" spans="1:37" ht="24.6" x14ac:dyDescent="0.25">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17</v>
      </c>
      <c r="C14" s="22"/>
    </row>
    <row r="15" spans="1:37" x14ac:dyDescent="0.25">
      <c r="B15" s="153" t="s">
        <v>6</v>
      </c>
      <c r="C15" s="154"/>
      <c r="D15" s="154"/>
      <c r="E15" s="154"/>
      <c r="F15" s="154"/>
      <c r="G15" s="153" t="s">
        <v>5</v>
      </c>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row>
    <row r="16" spans="1:37" ht="24" customHeight="1" x14ac:dyDescent="0.25">
      <c r="B16" s="157" t="s">
        <v>34</v>
      </c>
      <c r="C16" s="157"/>
      <c r="D16" s="157"/>
      <c r="E16" s="157"/>
      <c r="F16" s="157"/>
      <c r="G16" s="159" t="s">
        <v>36</v>
      </c>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row>
    <row r="17" spans="1:45" ht="24" customHeight="1" x14ac:dyDescent="0.25">
      <c r="B17" s="157" t="s">
        <v>35</v>
      </c>
      <c r="C17" s="157"/>
      <c r="D17" s="157"/>
      <c r="E17" s="157"/>
      <c r="F17" s="157"/>
      <c r="G17" s="158" t="s">
        <v>119</v>
      </c>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row>
    <row r="18" spans="1:45" ht="24" customHeight="1" x14ac:dyDescent="0.25">
      <c r="B18" s="156" t="s">
        <v>114</v>
      </c>
      <c r="C18" s="157"/>
      <c r="D18" s="157"/>
      <c r="E18" s="157"/>
      <c r="F18" s="157"/>
      <c r="G18" s="158" t="s">
        <v>125</v>
      </c>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row>
    <row r="19" spans="1:45" ht="24" customHeight="1" x14ac:dyDescent="0.25">
      <c r="B19" s="156" t="s">
        <v>115</v>
      </c>
      <c r="C19" s="157"/>
      <c r="D19" s="157"/>
      <c r="E19" s="157"/>
      <c r="F19" s="157"/>
      <c r="G19" s="158" t="s">
        <v>121</v>
      </c>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S19" s="23"/>
    </row>
    <row r="20" spans="1:45" ht="24" customHeight="1" x14ac:dyDescent="0.25">
      <c r="B20" s="156" t="s">
        <v>45</v>
      </c>
      <c r="C20" s="157"/>
      <c r="D20" s="157"/>
      <c r="E20" s="157"/>
      <c r="F20" s="157"/>
      <c r="G20" s="158" t="s">
        <v>122</v>
      </c>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S20" s="23"/>
    </row>
    <row r="21" spans="1:45" ht="24" customHeight="1" x14ac:dyDescent="0.25">
      <c r="B21" s="156" t="s">
        <v>116</v>
      </c>
      <c r="C21" s="157"/>
      <c r="D21" s="157"/>
      <c r="E21" s="157"/>
      <c r="F21" s="157"/>
      <c r="G21" s="158" t="s">
        <v>120</v>
      </c>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S21" s="23"/>
    </row>
    <row r="22" spans="1:45" x14ac:dyDescent="0.25">
      <c r="C22" s="24"/>
      <c r="I22" s="25"/>
    </row>
    <row r="23" spans="1:45" ht="20.399999999999999" x14ac:dyDescent="0.25">
      <c r="A23" s="21"/>
      <c r="B23" s="21" t="s">
        <v>27</v>
      </c>
      <c r="C23" s="24"/>
      <c r="I23" s="25"/>
    </row>
    <row r="24" spans="1:45" x14ac:dyDescent="0.25">
      <c r="B24" s="153" t="s">
        <v>4</v>
      </c>
      <c r="C24" s="155"/>
      <c r="D24" s="155"/>
      <c r="E24" s="153" t="s">
        <v>11</v>
      </c>
      <c r="F24" s="153"/>
      <c r="G24" s="153"/>
      <c r="H24" s="153"/>
      <c r="I24" s="153" t="s">
        <v>12</v>
      </c>
      <c r="J24" s="155"/>
      <c r="K24" s="155"/>
      <c r="L24" s="155"/>
      <c r="M24" s="155"/>
      <c r="N24" s="155"/>
      <c r="O24" s="155"/>
      <c r="P24" s="155"/>
      <c r="Q24" s="155"/>
      <c r="R24" s="153" t="s">
        <v>13</v>
      </c>
      <c r="S24" s="153"/>
      <c r="T24" s="153"/>
      <c r="U24" s="153"/>
      <c r="V24" s="153"/>
      <c r="W24" s="153"/>
      <c r="X24" s="153"/>
      <c r="Y24" s="153"/>
      <c r="Z24" s="153"/>
      <c r="AA24" s="153"/>
      <c r="AB24" s="153"/>
      <c r="AC24" s="153"/>
      <c r="AD24" s="153"/>
      <c r="AE24" s="153"/>
      <c r="AF24" s="153"/>
    </row>
    <row r="25" spans="1:45" x14ac:dyDescent="0.25">
      <c r="B25" s="156" t="s">
        <v>155</v>
      </c>
      <c r="C25" s="168"/>
      <c r="D25" s="168"/>
      <c r="E25" s="158" t="s">
        <v>151</v>
      </c>
      <c r="F25" s="159"/>
      <c r="G25" s="159"/>
      <c r="H25" s="159"/>
      <c r="I25" s="158" t="s">
        <v>157</v>
      </c>
      <c r="J25" s="169"/>
      <c r="K25" s="169"/>
      <c r="L25" s="169"/>
      <c r="M25" s="169"/>
      <c r="N25" s="169"/>
      <c r="O25" s="169"/>
      <c r="P25" s="169"/>
      <c r="Q25" s="169"/>
      <c r="R25" s="158" t="s">
        <v>154</v>
      </c>
      <c r="S25" s="159"/>
      <c r="T25" s="159"/>
      <c r="U25" s="159"/>
      <c r="V25" s="159"/>
      <c r="W25" s="159"/>
      <c r="X25" s="159"/>
      <c r="Y25" s="159"/>
      <c r="Z25" s="159"/>
      <c r="AA25" s="159"/>
      <c r="AB25" s="159"/>
      <c r="AC25" s="159"/>
      <c r="AD25" s="159"/>
      <c r="AE25" s="159"/>
      <c r="AF25" s="159"/>
    </row>
    <row r="26" spans="1:45" x14ac:dyDescent="0.25">
      <c r="B26" s="156" t="s">
        <v>158</v>
      </c>
      <c r="C26" s="168"/>
      <c r="D26" s="168"/>
      <c r="E26" s="158" t="s">
        <v>156</v>
      </c>
      <c r="F26" s="159"/>
      <c r="G26" s="159"/>
      <c r="H26" s="159"/>
      <c r="I26" s="158" t="s">
        <v>126</v>
      </c>
      <c r="J26" s="169"/>
      <c r="K26" s="169"/>
      <c r="L26" s="169"/>
      <c r="M26" s="169"/>
      <c r="N26" s="169"/>
      <c r="O26" s="169"/>
      <c r="P26" s="169"/>
      <c r="Q26" s="169"/>
      <c r="R26" s="158" t="s">
        <v>159</v>
      </c>
      <c r="S26" s="159"/>
      <c r="T26" s="159"/>
      <c r="U26" s="159"/>
      <c r="V26" s="159"/>
      <c r="W26" s="159"/>
      <c r="X26" s="159"/>
      <c r="Y26" s="159"/>
      <c r="Z26" s="159"/>
      <c r="AA26" s="159"/>
      <c r="AB26" s="159"/>
      <c r="AC26" s="159"/>
      <c r="AD26" s="159"/>
      <c r="AE26" s="159"/>
      <c r="AF26" s="159"/>
    </row>
    <row r="27" spans="1:45" ht="12.75" customHeight="1" x14ac:dyDescent="0.25">
      <c r="B27" s="156" t="s">
        <v>160</v>
      </c>
      <c r="C27" s="168"/>
      <c r="D27" s="168"/>
      <c r="E27" s="158" t="s">
        <v>156</v>
      </c>
      <c r="F27" s="159"/>
      <c r="G27" s="159"/>
      <c r="H27" s="159"/>
      <c r="I27" s="158" t="s">
        <v>126</v>
      </c>
      <c r="J27" s="169"/>
      <c r="K27" s="169"/>
      <c r="L27" s="169"/>
      <c r="M27" s="169"/>
      <c r="N27" s="169"/>
      <c r="O27" s="169"/>
      <c r="P27" s="169"/>
      <c r="Q27" s="169"/>
      <c r="R27" s="158" t="s">
        <v>161</v>
      </c>
      <c r="S27" s="159"/>
      <c r="T27" s="159"/>
      <c r="U27" s="159"/>
      <c r="V27" s="159"/>
      <c r="W27" s="159"/>
      <c r="X27" s="159"/>
      <c r="Y27" s="159"/>
      <c r="Z27" s="159"/>
      <c r="AA27" s="159"/>
      <c r="AB27" s="159"/>
      <c r="AC27" s="159"/>
      <c r="AD27" s="159"/>
      <c r="AE27" s="159"/>
      <c r="AF27" s="159"/>
    </row>
    <row r="28" spans="1:45" ht="12.75" customHeight="1" x14ac:dyDescent="0.25">
      <c r="B28" s="160" t="s">
        <v>166</v>
      </c>
      <c r="C28" s="161"/>
      <c r="D28" s="162"/>
      <c r="E28" s="163" t="s">
        <v>167</v>
      </c>
      <c r="F28" s="164"/>
      <c r="G28" s="164"/>
      <c r="H28" s="165"/>
      <c r="I28" s="163" t="s">
        <v>126</v>
      </c>
      <c r="J28" s="164"/>
      <c r="K28" s="164"/>
      <c r="L28" s="164"/>
      <c r="M28" s="164"/>
      <c r="N28" s="164"/>
      <c r="O28" s="164"/>
      <c r="P28" s="164"/>
      <c r="Q28" s="165"/>
      <c r="R28" s="163" t="s">
        <v>168</v>
      </c>
      <c r="S28" s="164"/>
      <c r="T28" s="164"/>
      <c r="U28" s="164"/>
      <c r="V28" s="164"/>
      <c r="W28" s="164"/>
      <c r="X28" s="164"/>
      <c r="Y28" s="164"/>
      <c r="Z28" s="164"/>
      <c r="AA28" s="164"/>
      <c r="AB28" s="164"/>
      <c r="AC28" s="164"/>
      <c r="AD28" s="164"/>
      <c r="AE28" s="164"/>
      <c r="AF28" s="165"/>
    </row>
    <row r="29" spans="1:45" x14ac:dyDescent="0.25">
      <c r="B29" s="160" t="s">
        <v>192</v>
      </c>
      <c r="C29" s="161"/>
      <c r="D29" s="162"/>
      <c r="E29" s="163" t="s">
        <v>167</v>
      </c>
      <c r="F29" s="164"/>
      <c r="G29" s="164"/>
      <c r="H29" s="165"/>
      <c r="I29" s="163" t="s">
        <v>126</v>
      </c>
      <c r="J29" s="164"/>
      <c r="K29" s="164"/>
      <c r="L29" s="164"/>
      <c r="M29" s="164"/>
      <c r="N29" s="164"/>
      <c r="O29" s="164"/>
      <c r="P29" s="164"/>
      <c r="Q29" s="165"/>
      <c r="R29" s="163" t="s">
        <v>193</v>
      </c>
      <c r="S29" s="164"/>
      <c r="T29" s="164"/>
      <c r="U29" s="164"/>
      <c r="V29" s="164"/>
      <c r="W29" s="164"/>
      <c r="X29" s="164"/>
      <c r="Y29" s="164"/>
      <c r="Z29" s="164"/>
      <c r="AA29" s="164"/>
      <c r="AB29" s="164"/>
      <c r="AC29" s="164"/>
      <c r="AD29" s="164"/>
      <c r="AE29" s="164"/>
      <c r="AF29" s="165"/>
    </row>
    <row r="30" spans="1:45" ht="12.75" customHeight="1" x14ac:dyDescent="0.25">
      <c r="B30" s="160" t="s">
        <v>191</v>
      </c>
      <c r="C30" s="172"/>
      <c r="D30" s="173"/>
      <c r="E30" s="163" t="s">
        <v>167</v>
      </c>
      <c r="F30" s="166"/>
      <c r="G30" s="166"/>
      <c r="H30" s="167"/>
      <c r="I30" s="163" t="s">
        <v>126</v>
      </c>
      <c r="J30" s="166"/>
      <c r="K30" s="166"/>
      <c r="L30" s="166"/>
      <c r="M30" s="166"/>
      <c r="N30" s="166"/>
      <c r="O30" s="166"/>
      <c r="P30" s="166"/>
      <c r="Q30" s="167"/>
      <c r="R30" s="163" t="s">
        <v>168</v>
      </c>
      <c r="S30" s="166"/>
      <c r="T30" s="166"/>
      <c r="U30" s="166"/>
      <c r="V30" s="166"/>
      <c r="W30" s="166"/>
      <c r="X30" s="166"/>
      <c r="Y30" s="166"/>
      <c r="Z30" s="166"/>
      <c r="AA30" s="166"/>
      <c r="AB30" s="166"/>
      <c r="AC30" s="166"/>
      <c r="AD30" s="166"/>
      <c r="AE30" s="166"/>
      <c r="AF30" s="167"/>
    </row>
    <row r="31" spans="1:45" ht="12.75" customHeight="1" x14ac:dyDescent="0.25">
      <c r="B31" s="160" t="s">
        <v>200</v>
      </c>
      <c r="C31" s="172"/>
      <c r="D31" s="173"/>
      <c r="E31" s="163" t="s">
        <v>207</v>
      </c>
      <c r="F31" s="166"/>
      <c r="G31" s="166"/>
      <c r="H31" s="167"/>
      <c r="I31" s="163" t="s">
        <v>126</v>
      </c>
      <c r="J31" s="166"/>
      <c r="K31" s="166"/>
      <c r="L31" s="166"/>
      <c r="M31" s="166"/>
      <c r="N31" s="166"/>
      <c r="O31" s="166"/>
      <c r="P31" s="166"/>
      <c r="Q31" s="167"/>
      <c r="R31" s="163" t="s">
        <v>217</v>
      </c>
      <c r="S31" s="166"/>
      <c r="T31" s="166"/>
      <c r="U31" s="166"/>
      <c r="V31" s="166"/>
      <c r="W31" s="166"/>
      <c r="X31" s="166"/>
      <c r="Y31" s="166"/>
      <c r="Z31" s="166"/>
      <c r="AA31" s="166"/>
      <c r="AB31" s="166"/>
      <c r="AC31" s="166"/>
      <c r="AD31" s="166"/>
      <c r="AE31" s="166"/>
      <c r="AF31" s="167"/>
    </row>
    <row r="32" spans="1:45" ht="12.75" customHeight="1" x14ac:dyDescent="0.25">
      <c r="B32" s="160" t="s">
        <v>218</v>
      </c>
      <c r="C32" s="172"/>
      <c r="D32" s="173"/>
      <c r="E32" s="163" t="s">
        <v>419</v>
      </c>
      <c r="F32" s="166"/>
      <c r="G32" s="166"/>
      <c r="H32" s="167"/>
      <c r="I32" s="163" t="s">
        <v>126</v>
      </c>
      <c r="J32" s="166"/>
      <c r="K32" s="166"/>
      <c r="L32" s="166"/>
      <c r="M32" s="166"/>
      <c r="N32" s="166"/>
      <c r="O32" s="166"/>
      <c r="P32" s="166"/>
      <c r="Q32" s="167"/>
      <c r="R32" s="163" t="s">
        <v>168</v>
      </c>
      <c r="S32" s="166"/>
      <c r="T32" s="166"/>
      <c r="U32" s="166"/>
      <c r="V32" s="166"/>
      <c r="W32" s="166"/>
      <c r="X32" s="166"/>
      <c r="Y32" s="166"/>
      <c r="Z32" s="166"/>
      <c r="AA32" s="166"/>
      <c r="AB32" s="166"/>
      <c r="AC32" s="166"/>
      <c r="AD32" s="166"/>
      <c r="AE32" s="166"/>
      <c r="AF32" s="167"/>
    </row>
    <row r="33" spans="2:33" ht="12.75" customHeight="1" x14ac:dyDescent="0.25">
      <c r="B33" s="160" t="s">
        <v>219</v>
      </c>
      <c r="C33" s="172"/>
      <c r="D33" s="173"/>
      <c r="E33" s="163" t="s">
        <v>419</v>
      </c>
      <c r="F33" s="166"/>
      <c r="G33" s="166"/>
      <c r="H33" s="167"/>
      <c r="I33" s="163" t="s">
        <v>126</v>
      </c>
      <c r="J33" s="166"/>
      <c r="K33" s="166"/>
      <c r="L33" s="166"/>
      <c r="M33" s="166"/>
      <c r="N33" s="166"/>
      <c r="O33" s="166"/>
      <c r="P33" s="166"/>
      <c r="Q33" s="167"/>
      <c r="R33" s="163" t="s">
        <v>220</v>
      </c>
      <c r="S33" s="166"/>
      <c r="T33" s="166"/>
      <c r="U33" s="166"/>
      <c r="V33" s="166"/>
      <c r="W33" s="166"/>
      <c r="X33" s="166"/>
      <c r="Y33" s="166"/>
      <c r="Z33" s="166"/>
      <c r="AA33" s="166"/>
      <c r="AB33" s="166"/>
      <c r="AC33" s="166"/>
      <c r="AD33" s="166"/>
      <c r="AE33" s="166"/>
      <c r="AF33" s="167"/>
    </row>
    <row r="34" spans="2:33" ht="12.75" customHeight="1" x14ac:dyDescent="0.25">
      <c r="B34" s="160" t="s">
        <v>418</v>
      </c>
      <c r="C34" s="172"/>
      <c r="D34" s="173"/>
      <c r="E34" s="163" t="s">
        <v>414</v>
      </c>
      <c r="F34" s="166"/>
      <c r="G34" s="166"/>
      <c r="H34" s="167"/>
      <c r="I34" s="163" t="s">
        <v>416</v>
      </c>
      <c r="J34" s="166"/>
      <c r="K34" s="166"/>
      <c r="L34" s="166"/>
      <c r="M34" s="166"/>
      <c r="N34" s="166"/>
      <c r="O34" s="166"/>
      <c r="P34" s="166"/>
      <c r="Q34" s="167"/>
      <c r="R34" s="163" t="s">
        <v>420</v>
      </c>
      <c r="S34" s="166"/>
      <c r="T34" s="166"/>
      <c r="U34" s="166"/>
      <c r="V34" s="166"/>
      <c r="W34" s="166"/>
      <c r="X34" s="166"/>
      <c r="Y34" s="166"/>
      <c r="Z34" s="166"/>
      <c r="AA34" s="166"/>
      <c r="AB34" s="166"/>
      <c r="AC34" s="166"/>
      <c r="AD34" s="166"/>
      <c r="AE34" s="166"/>
      <c r="AF34" s="167"/>
    </row>
    <row r="35" spans="2:33" ht="66.75" customHeight="1" x14ac:dyDescent="0.25">
      <c r="B35" s="26" t="s">
        <v>26</v>
      </c>
      <c r="C35" s="24"/>
      <c r="I35" s="25"/>
      <c r="AG35" s="28"/>
    </row>
    <row r="36" spans="2:33" ht="12.75" customHeight="1" x14ac:dyDescent="0.25">
      <c r="B36" s="21" t="s">
        <v>18</v>
      </c>
      <c r="I36" s="25"/>
    </row>
    <row r="37" spans="2:33" x14ac:dyDescent="0.25">
      <c r="B37" s="174" t="s">
        <v>124</v>
      </c>
      <c r="C37" s="174"/>
      <c r="D37" s="174"/>
      <c r="E37" s="174"/>
      <c r="F37" s="174"/>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row>
    <row r="38" spans="2:33" ht="24.75" customHeight="1" x14ac:dyDescent="0.25">
      <c r="J38" s="29"/>
    </row>
    <row r="39" spans="2:33" ht="12.75" customHeight="1" x14ac:dyDescent="0.25">
      <c r="B39" s="21" t="s">
        <v>19</v>
      </c>
      <c r="C39" s="22"/>
      <c r="I39" s="25"/>
    </row>
    <row r="40" spans="2:33" ht="18" x14ac:dyDescent="0.25">
      <c r="B40" s="30" t="s">
        <v>28</v>
      </c>
      <c r="C40" s="22"/>
      <c r="I40" s="25"/>
    </row>
    <row r="41" spans="2:33" x14ac:dyDescent="0.25">
      <c r="B41" s="153" t="s">
        <v>7</v>
      </c>
      <c r="C41" s="153"/>
      <c r="D41" s="153"/>
      <c r="E41" s="153" t="s">
        <v>8</v>
      </c>
      <c r="F41" s="155"/>
      <c r="G41" s="155"/>
      <c r="H41" s="155"/>
      <c r="I41" s="155"/>
      <c r="J41" s="155"/>
      <c r="K41" s="155"/>
      <c r="L41" s="155"/>
      <c r="M41" s="155"/>
      <c r="N41" s="155"/>
      <c r="O41" s="155"/>
      <c r="P41" s="155"/>
      <c r="Q41" s="155"/>
      <c r="R41" s="155"/>
      <c r="S41" s="155"/>
      <c r="T41" s="155"/>
      <c r="U41" s="155"/>
      <c r="V41" s="155"/>
      <c r="W41" s="155"/>
      <c r="X41" s="155"/>
      <c r="Y41" s="153" t="s">
        <v>9</v>
      </c>
      <c r="Z41" s="153"/>
      <c r="AA41" s="153"/>
      <c r="AB41" s="153"/>
      <c r="AC41" s="153"/>
      <c r="AD41" s="153"/>
      <c r="AE41" s="153"/>
      <c r="AF41" s="153"/>
    </row>
    <row r="42" spans="2:33" x14ac:dyDescent="0.25">
      <c r="B42" s="171"/>
      <c r="C42" s="171"/>
      <c r="D42" s="171"/>
      <c r="E42" s="159"/>
      <c r="F42" s="170"/>
      <c r="G42" s="170"/>
      <c r="H42" s="170"/>
      <c r="I42" s="170"/>
      <c r="J42" s="170"/>
      <c r="K42" s="170"/>
      <c r="L42" s="170"/>
      <c r="M42" s="170"/>
      <c r="N42" s="170"/>
      <c r="O42" s="170"/>
      <c r="P42" s="170"/>
      <c r="Q42" s="170"/>
      <c r="R42" s="170"/>
      <c r="S42" s="170"/>
      <c r="T42" s="170"/>
      <c r="U42" s="170"/>
      <c r="V42" s="170"/>
      <c r="W42" s="170"/>
      <c r="X42" s="170"/>
      <c r="Y42" s="159"/>
      <c r="Z42" s="170"/>
      <c r="AA42" s="170"/>
      <c r="AB42" s="170"/>
      <c r="AC42" s="170"/>
      <c r="AD42" s="170"/>
      <c r="AE42" s="170"/>
      <c r="AF42" s="170"/>
    </row>
    <row r="43" spans="2:33" x14ac:dyDescent="0.25">
      <c r="B43" s="171"/>
      <c r="C43" s="171"/>
      <c r="D43" s="171"/>
      <c r="E43" s="159"/>
      <c r="F43" s="170"/>
      <c r="G43" s="170"/>
      <c r="H43" s="170"/>
      <c r="I43" s="170"/>
      <c r="J43" s="170"/>
      <c r="K43" s="170"/>
      <c r="L43" s="170"/>
      <c r="M43" s="170"/>
      <c r="N43" s="170"/>
      <c r="O43" s="170"/>
      <c r="P43" s="170"/>
      <c r="Q43" s="170"/>
      <c r="R43" s="170"/>
      <c r="S43" s="170"/>
      <c r="T43" s="170"/>
      <c r="U43" s="170"/>
      <c r="V43" s="170"/>
      <c r="W43" s="170"/>
      <c r="X43" s="170"/>
      <c r="Y43" s="159"/>
      <c r="Z43" s="170"/>
      <c r="AA43" s="170"/>
      <c r="AB43" s="170"/>
      <c r="AC43" s="170"/>
      <c r="AD43" s="170"/>
      <c r="AE43" s="170"/>
      <c r="AF43" s="170"/>
    </row>
    <row r="44" spans="2:33" ht="24.75" customHeight="1" x14ac:dyDescent="0.25">
      <c r="B44" s="171"/>
      <c r="C44" s="171"/>
      <c r="D44" s="171"/>
      <c r="E44" s="159"/>
      <c r="F44" s="170"/>
      <c r="G44" s="170"/>
      <c r="H44" s="170"/>
      <c r="I44" s="170"/>
      <c r="J44" s="170"/>
      <c r="K44" s="170"/>
      <c r="L44" s="170"/>
      <c r="M44" s="170"/>
      <c r="N44" s="170"/>
      <c r="O44" s="170"/>
      <c r="P44" s="170"/>
      <c r="Q44" s="170"/>
      <c r="R44" s="170"/>
      <c r="S44" s="170"/>
      <c r="T44" s="170"/>
      <c r="U44" s="170"/>
      <c r="V44" s="170"/>
      <c r="W44" s="170"/>
      <c r="X44" s="170"/>
      <c r="Y44" s="159"/>
      <c r="Z44" s="170"/>
      <c r="AA44" s="170"/>
      <c r="AB44" s="170"/>
      <c r="AC44" s="170"/>
      <c r="AD44" s="170"/>
      <c r="AE44" s="170"/>
      <c r="AF44" s="170"/>
    </row>
    <row r="45" spans="2:33" ht="12.75" customHeight="1" x14ac:dyDescent="0.25">
      <c r="B45" s="171"/>
      <c r="C45" s="171"/>
      <c r="D45" s="171"/>
      <c r="E45" s="159"/>
      <c r="F45" s="170"/>
      <c r="G45" s="170"/>
      <c r="H45" s="170"/>
      <c r="I45" s="170"/>
      <c r="J45" s="170"/>
      <c r="K45" s="170"/>
      <c r="L45" s="170"/>
      <c r="M45" s="170"/>
      <c r="N45" s="170"/>
      <c r="O45" s="170"/>
      <c r="P45" s="170"/>
      <c r="Q45" s="170"/>
      <c r="R45" s="170"/>
      <c r="S45" s="170"/>
      <c r="T45" s="170"/>
      <c r="U45" s="170"/>
      <c r="V45" s="170"/>
      <c r="W45" s="170"/>
      <c r="X45" s="170"/>
      <c r="Y45" s="159"/>
      <c r="Z45" s="170"/>
      <c r="AA45" s="170"/>
      <c r="AB45" s="170"/>
      <c r="AC45" s="170"/>
      <c r="AD45" s="170"/>
      <c r="AE45" s="170"/>
      <c r="AF45" s="170"/>
    </row>
    <row r="46" spans="2:33" ht="18" x14ac:dyDescent="0.25">
      <c r="B46" s="30" t="s">
        <v>29</v>
      </c>
      <c r="C46" s="22"/>
      <c r="I46" s="25"/>
    </row>
    <row r="47" spans="2:33" x14ac:dyDescent="0.25">
      <c r="B47" s="153" t="s">
        <v>7</v>
      </c>
      <c r="C47" s="153"/>
      <c r="D47" s="153"/>
      <c r="E47" s="153" t="s">
        <v>8</v>
      </c>
      <c r="F47" s="155"/>
      <c r="G47" s="155"/>
      <c r="H47" s="155"/>
      <c r="I47" s="155"/>
      <c r="J47" s="155"/>
      <c r="K47" s="155"/>
      <c r="L47" s="155"/>
      <c r="M47" s="155"/>
      <c r="N47" s="155"/>
      <c r="O47" s="155"/>
      <c r="P47" s="155"/>
      <c r="Q47" s="155"/>
      <c r="R47" s="155"/>
      <c r="S47" s="155"/>
      <c r="T47" s="155"/>
      <c r="U47" s="155"/>
      <c r="V47" s="155"/>
      <c r="W47" s="155"/>
      <c r="X47" s="155"/>
      <c r="Y47" s="153" t="s">
        <v>9</v>
      </c>
      <c r="Z47" s="153"/>
      <c r="AA47" s="153"/>
      <c r="AB47" s="153"/>
      <c r="AC47" s="153"/>
      <c r="AD47" s="153"/>
      <c r="AE47" s="153"/>
      <c r="AF47" s="153"/>
    </row>
    <row r="48" spans="2:33" x14ac:dyDescent="0.25">
      <c r="B48" s="171"/>
      <c r="C48" s="171"/>
      <c r="D48" s="171"/>
      <c r="E48" s="159"/>
      <c r="F48" s="170"/>
      <c r="G48" s="170"/>
      <c r="H48" s="170"/>
      <c r="I48" s="170"/>
      <c r="J48" s="170"/>
      <c r="K48" s="170"/>
      <c r="L48" s="170"/>
      <c r="M48" s="170"/>
      <c r="N48" s="170"/>
      <c r="O48" s="170"/>
      <c r="P48" s="170"/>
      <c r="Q48" s="170"/>
      <c r="R48" s="170"/>
      <c r="S48" s="170"/>
      <c r="T48" s="170"/>
      <c r="U48" s="170"/>
      <c r="V48" s="170"/>
      <c r="W48" s="170"/>
      <c r="X48" s="170"/>
      <c r="Y48" s="159"/>
      <c r="Z48" s="170"/>
      <c r="AA48" s="170"/>
      <c r="AB48" s="170"/>
      <c r="AC48" s="170"/>
      <c r="AD48" s="170"/>
      <c r="AE48" s="170"/>
      <c r="AF48" s="170"/>
    </row>
    <row r="49" spans="2:32" x14ac:dyDescent="0.25">
      <c r="B49" s="171"/>
      <c r="C49" s="171"/>
      <c r="D49" s="171"/>
      <c r="E49" s="159"/>
      <c r="F49" s="170"/>
      <c r="G49" s="170"/>
      <c r="H49" s="170"/>
      <c r="I49" s="170"/>
      <c r="J49" s="170"/>
      <c r="K49" s="170"/>
      <c r="L49" s="170"/>
      <c r="M49" s="170"/>
      <c r="N49" s="170"/>
      <c r="O49" s="170"/>
      <c r="P49" s="170"/>
      <c r="Q49" s="170"/>
      <c r="R49" s="170"/>
      <c r="S49" s="170"/>
      <c r="T49" s="170"/>
      <c r="U49" s="170"/>
      <c r="V49" s="170"/>
      <c r="W49" s="170"/>
      <c r="X49" s="170"/>
      <c r="Y49" s="159"/>
      <c r="Z49" s="170"/>
      <c r="AA49" s="170"/>
      <c r="AB49" s="170"/>
      <c r="AC49" s="170"/>
      <c r="AD49" s="170"/>
      <c r="AE49" s="170"/>
      <c r="AF49" s="170"/>
    </row>
    <row r="50" spans="2:32" x14ac:dyDescent="0.25">
      <c r="B50" s="171"/>
      <c r="C50" s="171"/>
      <c r="D50" s="171"/>
      <c r="E50" s="159"/>
      <c r="F50" s="170"/>
      <c r="G50" s="170"/>
      <c r="H50" s="170"/>
      <c r="I50" s="170"/>
      <c r="J50" s="170"/>
      <c r="K50" s="170"/>
      <c r="L50" s="170"/>
      <c r="M50" s="170"/>
      <c r="N50" s="170"/>
      <c r="O50" s="170"/>
      <c r="P50" s="170"/>
      <c r="Q50" s="170"/>
      <c r="R50" s="170"/>
      <c r="S50" s="170"/>
      <c r="T50" s="170"/>
      <c r="U50" s="170"/>
      <c r="V50" s="170"/>
      <c r="W50" s="170"/>
      <c r="X50" s="170"/>
      <c r="Y50" s="159"/>
      <c r="Z50" s="170"/>
      <c r="AA50" s="170"/>
      <c r="AB50" s="170"/>
      <c r="AC50" s="170"/>
      <c r="AD50" s="170"/>
      <c r="AE50" s="170"/>
      <c r="AF50" s="170"/>
    </row>
    <row r="51" spans="2:32" x14ac:dyDescent="0.25">
      <c r="B51" s="171"/>
      <c r="C51" s="171"/>
      <c r="D51" s="171"/>
      <c r="E51" s="159"/>
      <c r="F51" s="170"/>
      <c r="G51" s="170"/>
      <c r="H51" s="170"/>
      <c r="I51" s="170"/>
      <c r="J51" s="170"/>
      <c r="K51" s="170"/>
      <c r="L51" s="170"/>
      <c r="M51" s="170"/>
      <c r="N51" s="170"/>
      <c r="O51" s="170"/>
      <c r="P51" s="170"/>
      <c r="Q51" s="170"/>
      <c r="R51" s="170"/>
      <c r="S51" s="170"/>
      <c r="T51" s="170"/>
      <c r="U51" s="170"/>
      <c r="V51" s="170"/>
      <c r="W51" s="170"/>
      <c r="X51" s="170"/>
      <c r="Y51" s="159"/>
      <c r="Z51" s="170"/>
      <c r="AA51" s="170"/>
      <c r="AB51" s="170"/>
      <c r="AC51" s="170"/>
      <c r="AD51" s="170"/>
      <c r="AE51" s="170"/>
      <c r="AF51" s="170"/>
    </row>
    <row r="52" spans="2:32" ht="12.75" customHeight="1" x14ac:dyDescent="0.25">
      <c r="C52" s="24"/>
      <c r="I52" s="25"/>
    </row>
    <row r="53" spans="2:32" ht="33.75" customHeight="1" x14ac:dyDescent="0.25">
      <c r="B53" s="21" t="s">
        <v>31</v>
      </c>
      <c r="C53" s="22"/>
      <c r="I53" s="25"/>
    </row>
    <row r="54" spans="2:32" ht="36.75" customHeight="1" x14ac:dyDescent="0.25">
      <c r="B54" s="180" t="s">
        <v>30</v>
      </c>
      <c r="C54" s="181"/>
      <c r="D54" s="181"/>
      <c r="E54" s="181"/>
      <c r="F54" s="181"/>
      <c r="G54" s="182"/>
      <c r="H54" s="175"/>
      <c r="I54" s="175"/>
      <c r="J54" s="175"/>
      <c r="K54" s="175"/>
      <c r="L54" s="175"/>
      <c r="M54" s="175"/>
      <c r="N54" s="175"/>
      <c r="O54" s="175"/>
      <c r="P54" s="175"/>
      <c r="Q54" s="175"/>
      <c r="R54" s="175"/>
      <c r="S54" s="175"/>
      <c r="T54" s="175"/>
      <c r="U54" s="175"/>
      <c r="V54" s="175"/>
      <c r="W54" s="175"/>
      <c r="X54" s="175"/>
      <c r="Y54" s="175"/>
      <c r="Z54" s="175"/>
      <c r="AA54" s="175"/>
      <c r="AB54" s="175"/>
      <c r="AC54" s="175"/>
      <c r="AD54" s="175"/>
      <c r="AE54" s="175"/>
      <c r="AF54" s="175"/>
    </row>
    <row r="55" spans="2:32" ht="45.75" customHeight="1" x14ac:dyDescent="0.25">
      <c r="B55" s="163" t="s">
        <v>109</v>
      </c>
      <c r="C55" s="166"/>
      <c r="D55" s="166"/>
      <c r="E55" s="166"/>
      <c r="F55" s="166"/>
      <c r="G55" s="167"/>
      <c r="H55" s="179" t="s">
        <v>113</v>
      </c>
      <c r="I55" s="177"/>
      <c r="J55" s="177"/>
      <c r="K55" s="177"/>
      <c r="L55" s="177"/>
      <c r="M55" s="177"/>
      <c r="N55" s="177"/>
      <c r="O55" s="177"/>
      <c r="P55" s="177"/>
      <c r="Q55" s="177"/>
      <c r="R55" s="177"/>
      <c r="S55" s="177"/>
      <c r="T55" s="177"/>
      <c r="U55" s="177"/>
      <c r="V55" s="177"/>
      <c r="W55" s="177"/>
      <c r="X55" s="177"/>
      <c r="Y55" s="177"/>
      <c r="Z55" s="177"/>
      <c r="AA55" s="177"/>
      <c r="AB55" s="177"/>
      <c r="AC55" s="177"/>
      <c r="AD55" s="177"/>
      <c r="AE55" s="177"/>
      <c r="AF55" s="178"/>
    </row>
    <row r="56" spans="2:32" ht="45.75" customHeight="1" x14ac:dyDescent="0.25">
      <c r="B56" s="163" t="s">
        <v>72</v>
      </c>
      <c r="C56" s="166"/>
      <c r="D56" s="166"/>
      <c r="E56" s="166"/>
      <c r="F56" s="166"/>
      <c r="G56" s="167"/>
      <c r="H56" s="176" t="s">
        <v>73</v>
      </c>
      <c r="I56" s="177"/>
      <c r="J56" s="177"/>
      <c r="K56" s="177"/>
      <c r="L56" s="177"/>
      <c r="M56" s="177"/>
      <c r="N56" s="177"/>
      <c r="O56" s="177"/>
      <c r="P56" s="177"/>
      <c r="Q56" s="177"/>
      <c r="R56" s="177"/>
      <c r="S56" s="177"/>
      <c r="T56" s="177"/>
      <c r="U56" s="177"/>
      <c r="V56" s="177"/>
      <c r="W56" s="177"/>
      <c r="X56" s="177"/>
      <c r="Y56" s="177"/>
      <c r="Z56" s="177"/>
      <c r="AA56" s="177"/>
      <c r="AB56" s="177"/>
      <c r="AC56" s="177"/>
      <c r="AD56" s="177"/>
      <c r="AE56" s="177"/>
      <c r="AF56" s="178"/>
    </row>
    <row r="57" spans="2:32" ht="37.5" customHeight="1" x14ac:dyDescent="0.25">
      <c r="B57" s="163" t="s">
        <v>74</v>
      </c>
      <c r="C57" s="166"/>
      <c r="D57" s="166"/>
      <c r="E57" s="166"/>
      <c r="F57" s="166"/>
      <c r="G57" s="167"/>
      <c r="H57" s="176" t="s">
        <v>79</v>
      </c>
      <c r="I57" s="177"/>
      <c r="J57" s="177"/>
      <c r="K57" s="177"/>
      <c r="L57" s="177"/>
      <c r="M57" s="177"/>
      <c r="N57" s="177"/>
      <c r="O57" s="177"/>
      <c r="P57" s="177"/>
      <c r="Q57" s="177"/>
      <c r="R57" s="177"/>
      <c r="S57" s="177"/>
      <c r="T57" s="177"/>
      <c r="U57" s="177"/>
      <c r="V57" s="177"/>
      <c r="W57" s="177"/>
      <c r="X57" s="177"/>
      <c r="Y57" s="177"/>
      <c r="Z57" s="177"/>
      <c r="AA57" s="177"/>
      <c r="AB57" s="177"/>
      <c r="AC57" s="177"/>
      <c r="AD57" s="177"/>
      <c r="AE57" s="177"/>
      <c r="AF57" s="178"/>
    </row>
    <row r="58" spans="2:32" ht="12.75" customHeight="1" x14ac:dyDescent="0.25">
      <c r="B58" s="163" t="s">
        <v>75</v>
      </c>
      <c r="C58" s="166"/>
      <c r="D58" s="166"/>
      <c r="E58" s="166"/>
      <c r="F58" s="166"/>
      <c r="G58" s="167"/>
      <c r="H58" s="176" t="s">
        <v>78</v>
      </c>
      <c r="I58" s="177"/>
      <c r="J58" s="177"/>
      <c r="K58" s="177"/>
      <c r="L58" s="177"/>
      <c r="M58" s="177"/>
      <c r="N58" s="177"/>
      <c r="O58" s="177"/>
      <c r="P58" s="177"/>
      <c r="Q58" s="177"/>
      <c r="R58" s="177"/>
      <c r="S58" s="177"/>
      <c r="T58" s="177"/>
      <c r="U58" s="177"/>
      <c r="V58" s="177"/>
      <c r="W58" s="177"/>
      <c r="X58" s="177"/>
      <c r="Y58" s="177"/>
      <c r="Z58" s="177"/>
      <c r="AA58" s="177"/>
      <c r="AB58" s="177"/>
      <c r="AC58" s="177"/>
      <c r="AD58" s="177"/>
      <c r="AE58" s="177"/>
      <c r="AF58" s="178"/>
    </row>
    <row r="59" spans="2:32" x14ac:dyDescent="0.25">
      <c r="B59" s="163" t="s">
        <v>76</v>
      </c>
      <c r="C59" s="166"/>
      <c r="D59" s="166"/>
      <c r="E59" s="166"/>
      <c r="F59" s="166"/>
      <c r="G59" s="167"/>
      <c r="H59" s="176" t="s">
        <v>77</v>
      </c>
      <c r="I59" s="177"/>
      <c r="J59" s="177"/>
      <c r="K59" s="177"/>
      <c r="L59" s="177"/>
      <c r="M59" s="177"/>
      <c r="N59" s="177"/>
      <c r="O59" s="177"/>
      <c r="P59" s="177"/>
      <c r="Q59" s="177"/>
      <c r="R59" s="177"/>
      <c r="S59" s="177"/>
      <c r="T59" s="177"/>
      <c r="U59" s="177"/>
      <c r="V59" s="177"/>
      <c r="W59" s="177"/>
      <c r="X59" s="177"/>
      <c r="Y59" s="177"/>
      <c r="Z59" s="177"/>
      <c r="AA59" s="177"/>
      <c r="AB59" s="177"/>
      <c r="AC59" s="177"/>
      <c r="AD59" s="177"/>
      <c r="AE59" s="177"/>
      <c r="AF59" s="178"/>
    </row>
    <row r="60" spans="2:32" x14ac:dyDescent="0.25">
      <c r="B60" s="27"/>
      <c r="C60" s="27"/>
      <c r="D60" s="27"/>
      <c r="E60" s="27"/>
      <c r="F60" s="27"/>
      <c r="G60" s="27"/>
      <c r="H60" s="31"/>
      <c r="I60" s="31"/>
      <c r="J60" s="31"/>
      <c r="K60" s="31"/>
      <c r="L60" s="31"/>
      <c r="M60" s="31"/>
      <c r="N60" s="31"/>
      <c r="O60" s="31"/>
      <c r="P60" s="31"/>
      <c r="Q60" s="31"/>
      <c r="R60" s="31"/>
      <c r="S60" s="31"/>
      <c r="T60" s="31"/>
      <c r="U60" s="31"/>
      <c r="V60" s="31"/>
      <c r="W60" s="31"/>
      <c r="X60" s="31"/>
      <c r="Y60" s="31"/>
      <c r="Z60" s="31"/>
      <c r="AA60" s="31"/>
      <c r="AB60" s="31"/>
      <c r="AC60" s="31"/>
      <c r="AD60" s="31"/>
      <c r="AE60" s="31"/>
      <c r="AF60" s="31"/>
    </row>
    <row r="61" spans="2:32" ht="15.75" customHeight="1" x14ac:dyDescent="0.25">
      <c r="B61" s="27"/>
      <c r="C61" s="27"/>
      <c r="D61" s="27"/>
      <c r="E61" s="27"/>
      <c r="F61" s="27"/>
      <c r="G61" s="27"/>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row>
    <row r="62" spans="2:32" ht="24.6" x14ac:dyDescent="0.25">
      <c r="B62" s="32" t="s">
        <v>32</v>
      </c>
      <c r="C62" s="33"/>
      <c r="D62" s="33"/>
      <c r="E62" s="33"/>
      <c r="F62" s="33"/>
      <c r="G62" s="33"/>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row>
    <row r="63" spans="2:32" ht="24.6" x14ac:dyDescent="0.25">
      <c r="B63" s="35"/>
      <c r="C63" s="27"/>
      <c r="D63" s="27"/>
      <c r="E63" s="27"/>
      <c r="F63" s="27"/>
      <c r="G63" s="27"/>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row>
    <row r="64" spans="2:32" x14ac:dyDescent="0.25">
      <c r="B64" s="90" t="s">
        <v>80</v>
      </c>
      <c r="C64" s="36"/>
      <c r="D64" s="36"/>
      <c r="E64" s="36"/>
      <c r="F64" s="36"/>
      <c r="G64" s="36"/>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row>
    <row r="65" spans="2:34" x14ac:dyDescent="0.25">
      <c r="B65" s="90" t="s">
        <v>111</v>
      </c>
      <c r="C65" s="36"/>
      <c r="D65" s="36"/>
      <c r="E65" s="36"/>
      <c r="F65" s="36"/>
      <c r="G65" s="36"/>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row>
    <row r="66" spans="2:34" x14ac:dyDescent="0.25">
      <c r="B66" s="36"/>
      <c r="C66" s="36"/>
      <c r="D66" s="36"/>
      <c r="E66" s="36"/>
      <c r="F66" s="36"/>
      <c r="G66" s="36"/>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row>
    <row r="67" spans="2:34" x14ac:dyDescent="0.25">
      <c r="B67" s="36"/>
      <c r="C67" s="36"/>
      <c r="D67" s="36"/>
      <c r="E67" s="36"/>
      <c r="F67" s="36"/>
      <c r="G67" s="36"/>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row>
    <row r="68" spans="2:34" x14ac:dyDescent="0.25">
      <c r="B68" s="36"/>
      <c r="C68" s="36"/>
      <c r="D68" s="36"/>
      <c r="E68" s="36"/>
      <c r="F68" s="36"/>
      <c r="G68" s="36"/>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row>
    <row r="69" spans="2:34" x14ac:dyDescent="0.25">
      <c r="B69" s="36"/>
      <c r="C69" s="36"/>
      <c r="D69" s="36"/>
      <c r="E69" s="36"/>
      <c r="F69" s="36"/>
      <c r="G69" s="36"/>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row>
    <row r="70" spans="2:34" x14ac:dyDescent="0.25">
      <c r="B70" s="36"/>
      <c r="C70" s="36"/>
      <c r="D70" s="36"/>
      <c r="E70" s="36"/>
      <c r="F70" s="36"/>
      <c r="G70" s="36"/>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row>
    <row r="71" spans="2:34" x14ac:dyDescent="0.25">
      <c r="B71" s="36"/>
      <c r="C71" s="36"/>
      <c r="D71" s="36"/>
      <c r="E71" s="36"/>
      <c r="F71" s="36"/>
      <c r="G71" s="36"/>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row>
    <row r="72" spans="2:34" x14ac:dyDescent="0.25">
      <c r="B72" s="36"/>
      <c r="C72" s="36"/>
      <c r="D72" s="36"/>
      <c r="E72" s="36"/>
      <c r="F72" s="36"/>
      <c r="G72" s="36"/>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row>
    <row r="73" spans="2:34" x14ac:dyDescent="0.25">
      <c r="B73" s="36"/>
      <c r="C73" s="36"/>
      <c r="D73" s="36"/>
      <c r="E73" s="36"/>
      <c r="F73" s="36"/>
      <c r="G73" s="36"/>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row>
    <row r="74" spans="2:34" x14ac:dyDescent="0.25">
      <c r="B74" s="36"/>
      <c r="C74" s="36"/>
      <c r="D74" s="36"/>
      <c r="E74" s="36"/>
      <c r="F74" s="36"/>
      <c r="G74" s="36"/>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row>
    <row r="75" spans="2:34" ht="12" customHeight="1" x14ac:dyDescent="0.25">
      <c r="B75" s="36"/>
      <c r="C75" s="36"/>
      <c r="D75" s="36"/>
      <c r="E75" s="36"/>
      <c r="F75" s="36"/>
      <c r="G75" s="36"/>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row>
    <row r="76" spans="2:34" ht="12.75" hidden="1" customHeight="1" x14ac:dyDescent="0.25">
      <c r="B76" s="36"/>
      <c r="C76" s="36"/>
      <c r="D76" s="36"/>
      <c r="E76" s="36"/>
      <c r="F76" s="36"/>
      <c r="G76" s="36"/>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8"/>
      <c r="AH76" s="38"/>
    </row>
    <row r="77" spans="2:34" ht="12.75" hidden="1" customHeight="1" x14ac:dyDescent="0.25">
      <c r="AG77" s="39"/>
      <c r="AH77" s="38"/>
    </row>
    <row r="78" spans="2:34" ht="12.75" hidden="1" customHeight="1" x14ac:dyDescent="0.25">
      <c r="B78" s="16" t="s">
        <v>81</v>
      </c>
      <c r="F78" s="38"/>
      <c r="G78" s="38"/>
      <c r="H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6"/>
      <c r="AH78" s="38"/>
    </row>
    <row r="79" spans="2:34" ht="12.75" hidden="1" customHeight="1" x14ac:dyDescent="0.25">
      <c r="B79" s="16" t="s">
        <v>82</v>
      </c>
      <c r="F79" s="38"/>
      <c r="G79" s="39"/>
      <c r="H79" s="39"/>
      <c r="I79" s="39"/>
      <c r="J79" s="39"/>
      <c r="K79" s="39"/>
      <c r="L79" s="39"/>
      <c r="M79" s="39"/>
      <c r="N79" s="39"/>
      <c r="O79" s="39"/>
      <c r="P79" s="39"/>
      <c r="Q79" s="39"/>
      <c r="R79" s="39"/>
      <c r="S79" s="39"/>
      <c r="T79" s="39"/>
      <c r="U79" s="39"/>
      <c r="V79" s="39"/>
      <c r="W79" s="39"/>
      <c r="X79" s="39"/>
      <c r="Y79" s="39"/>
      <c r="Z79" s="39"/>
      <c r="AA79" s="39"/>
      <c r="AB79" s="39"/>
      <c r="AC79" s="39"/>
      <c r="AD79" s="39"/>
      <c r="AE79" s="39"/>
      <c r="AF79" s="39"/>
      <c r="AG79" s="36"/>
      <c r="AH79" s="38"/>
    </row>
    <row r="80" spans="2:34" ht="12.75" hidden="1" customHeight="1" x14ac:dyDescent="0.25">
      <c r="B80" s="16" t="s">
        <v>83</v>
      </c>
      <c r="F80" s="38"/>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40"/>
      <c r="AH80" s="38"/>
    </row>
    <row r="81" spans="2:34" ht="12.75" hidden="1" customHeight="1" x14ac:dyDescent="0.25">
      <c r="B81" s="16" t="s">
        <v>84</v>
      </c>
      <c r="F81" s="38"/>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40"/>
      <c r="AH81" s="38"/>
    </row>
    <row r="82" spans="2:34" ht="12.75" hidden="1" customHeight="1" x14ac:dyDescent="0.25">
      <c r="B82" s="16" t="s">
        <v>85</v>
      </c>
      <c r="F82" s="40"/>
      <c r="G82" s="40"/>
      <c r="H82" s="40"/>
      <c r="I82" s="40"/>
      <c r="J82" s="38"/>
      <c r="K82" s="38"/>
      <c r="L82" s="38"/>
      <c r="M82" s="38"/>
      <c r="N82" s="38"/>
      <c r="O82" s="38"/>
      <c r="P82" s="38"/>
      <c r="Q82" s="38"/>
      <c r="R82" s="38"/>
      <c r="S82" s="40"/>
      <c r="T82" s="40"/>
      <c r="U82" s="40"/>
      <c r="V82" s="40"/>
      <c r="W82" s="40"/>
      <c r="X82" s="40"/>
      <c r="Y82" s="40"/>
      <c r="Z82" s="40"/>
      <c r="AA82" s="40"/>
      <c r="AB82" s="40"/>
      <c r="AC82" s="40"/>
      <c r="AD82" s="40"/>
      <c r="AE82" s="40"/>
      <c r="AF82" s="40"/>
      <c r="AG82" s="40"/>
      <c r="AH82" s="41"/>
    </row>
    <row r="83" spans="2:34" ht="12.75" hidden="1" customHeight="1" x14ac:dyDescent="0.25">
      <c r="B83" s="16" t="s">
        <v>86</v>
      </c>
      <c r="F83" s="40"/>
      <c r="G83" s="40"/>
      <c r="H83" s="40"/>
      <c r="I83" s="40"/>
      <c r="J83" s="38"/>
      <c r="K83" s="38"/>
      <c r="L83" s="38"/>
      <c r="M83" s="38"/>
      <c r="N83" s="38"/>
      <c r="O83" s="38"/>
      <c r="P83" s="38"/>
      <c r="Q83" s="38"/>
      <c r="R83" s="38"/>
      <c r="S83" s="40"/>
      <c r="T83" s="40"/>
      <c r="U83" s="40"/>
      <c r="V83" s="40"/>
      <c r="W83" s="40"/>
      <c r="X83" s="40"/>
      <c r="Y83" s="40"/>
      <c r="Z83" s="40"/>
      <c r="AA83" s="40"/>
      <c r="AB83" s="40"/>
      <c r="AC83" s="40"/>
      <c r="AD83" s="40"/>
      <c r="AE83" s="40"/>
      <c r="AF83" s="40"/>
      <c r="AG83" s="41"/>
      <c r="AH83" s="41"/>
    </row>
    <row r="84" spans="2:34" ht="12.75" hidden="1" customHeight="1" x14ac:dyDescent="0.25">
      <c r="B84" s="16" t="s">
        <v>87</v>
      </c>
      <c r="F84" s="41"/>
      <c r="G84" s="41"/>
      <c r="H84" s="41"/>
      <c r="I84" s="41"/>
      <c r="J84" s="41"/>
      <c r="K84" s="41"/>
      <c r="R84" s="41"/>
      <c r="S84" s="40"/>
      <c r="T84" s="40"/>
      <c r="U84" s="40"/>
      <c r="V84" s="40"/>
      <c r="W84" s="40"/>
      <c r="X84" s="40"/>
      <c r="Y84" s="40"/>
      <c r="Z84" s="40"/>
      <c r="AA84" s="40"/>
      <c r="AB84" s="40"/>
      <c r="AC84" s="40"/>
      <c r="AD84" s="40"/>
      <c r="AE84" s="40"/>
      <c r="AF84" s="40"/>
      <c r="AG84" s="41"/>
      <c r="AH84" s="41"/>
    </row>
    <row r="85" spans="2:34" ht="12.75" hidden="1" customHeight="1" x14ac:dyDescent="0.25">
      <c r="B85" s="16" t="s">
        <v>88</v>
      </c>
      <c r="R85" s="41"/>
      <c r="S85" s="41"/>
      <c r="T85" s="41"/>
      <c r="U85" s="41"/>
      <c r="V85" s="41"/>
      <c r="W85" s="41"/>
      <c r="X85" s="41"/>
      <c r="Y85" s="41"/>
      <c r="Z85" s="41"/>
      <c r="AA85" s="41"/>
      <c r="AB85" s="41"/>
      <c r="AC85" s="41"/>
      <c r="AD85" s="41"/>
      <c r="AE85" s="41"/>
      <c r="AF85" s="41"/>
    </row>
    <row r="86" spans="2:34" ht="12.75" hidden="1" customHeight="1" x14ac:dyDescent="0.25">
      <c r="B86" s="16" t="s">
        <v>89</v>
      </c>
      <c r="R86" s="41"/>
      <c r="S86" s="41"/>
      <c r="T86" s="41"/>
      <c r="U86" s="41"/>
      <c r="V86" s="41"/>
      <c r="W86" s="41"/>
      <c r="X86" s="41"/>
      <c r="Y86" s="41"/>
      <c r="Z86" s="41"/>
      <c r="AA86" s="41"/>
      <c r="AB86" s="41"/>
      <c r="AC86" s="41"/>
      <c r="AD86" s="41"/>
      <c r="AE86" s="41"/>
      <c r="AF86" s="41"/>
    </row>
    <row r="87" spans="2:34" ht="12.75" hidden="1" customHeight="1" x14ac:dyDescent="0.25">
      <c r="B87" s="16" t="s">
        <v>90</v>
      </c>
    </row>
    <row r="88" spans="2:34" ht="12.75" hidden="1" customHeight="1" x14ac:dyDescent="0.25">
      <c r="B88" s="16" t="s">
        <v>91</v>
      </c>
    </row>
    <row r="89" spans="2:34" ht="12.75" hidden="1" customHeight="1" x14ac:dyDescent="0.25">
      <c r="B89" s="16" t="s">
        <v>92</v>
      </c>
    </row>
    <row r="90" spans="2:34" ht="12.75" hidden="1" customHeight="1" x14ac:dyDescent="0.25">
      <c r="B90" s="16" t="s">
        <v>93</v>
      </c>
    </row>
    <row r="91" spans="2:34" ht="12.75" hidden="1" customHeight="1" x14ac:dyDescent="0.25">
      <c r="B91" s="16" t="s">
        <v>94</v>
      </c>
    </row>
    <row r="92" spans="2:34" ht="12.75" hidden="1" customHeight="1" x14ac:dyDescent="0.25">
      <c r="B92" s="16" t="s">
        <v>95</v>
      </c>
    </row>
    <row r="93" spans="2:34" ht="12.75" hidden="1" customHeight="1" x14ac:dyDescent="0.25">
      <c r="B93" s="16" t="s">
        <v>96</v>
      </c>
    </row>
    <row r="94" spans="2:34" ht="12.75" hidden="1" customHeight="1" x14ac:dyDescent="0.25">
      <c r="B94" s="16" t="s">
        <v>97</v>
      </c>
    </row>
    <row r="95" spans="2:34" ht="12.75" hidden="1" customHeight="1" x14ac:dyDescent="0.25">
      <c r="B95" s="16" t="s">
        <v>98</v>
      </c>
    </row>
    <row r="96" spans="2:34" ht="12.75" hidden="1" customHeight="1" x14ac:dyDescent="0.25">
      <c r="B96" s="16" t="s">
        <v>99</v>
      </c>
    </row>
    <row r="97" spans="2:2" ht="12.75" hidden="1" customHeight="1" x14ac:dyDescent="0.25">
      <c r="B97" s="16" t="s">
        <v>100</v>
      </c>
    </row>
    <row r="98" spans="2:2" ht="12.75" hidden="1" customHeight="1" x14ac:dyDescent="0.25">
      <c r="B98" s="16" t="s">
        <v>101</v>
      </c>
    </row>
    <row r="99" spans="2:2" ht="12.75" hidden="1" customHeight="1" x14ac:dyDescent="0.25">
      <c r="B99" s="16" t="s">
        <v>102</v>
      </c>
    </row>
    <row r="100" spans="2:2" ht="12.75" hidden="1" customHeight="1" x14ac:dyDescent="0.25">
      <c r="B100" s="16" t="s">
        <v>103</v>
      </c>
    </row>
    <row r="101" spans="2:2" ht="12.75" hidden="1" customHeight="1" x14ac:dyDescent="0.25">
      <c r="B101" s="16" t="s">
        <v>104</v>
      </c>
    </row>
    <row r="102" spans="2:2" ht="12.75" hidden="1" customHeight="1" x14ac:dyDescent="0.25">
      <c r="B102" s="16" t="s">
        <v>105</v>
      </c>
    </row>
    <row r="103" spans="2:2" ht="12.75" hidden="1" customHeight="1" x14ac:dyDescent="0.25">
      <c r="B103" s="16" t="s">
        <v>106</v>
      </c>
    </row>
    <row r="104" spans="2:2" hidden="1" x14ac:dyDescent="0.25">
      <c r="B104" s="16" t="s">
        <v>107</v>
      </c>
    </row>
    <row r="105" spans="2:2" hidden="1" x14ac:dyDescent="0.25">
      <c r="B105" s="16" t="s">
        <v>108</v>
      </c>
    </row>
    <row r="161" x14ac:dyDescent="0.25"/>
    <row r="162" x14ac:dyDescent="0.25"/>
    <row r="163" x14ac:dyDescent="0.25"/>
    <row r="174" x14ac:dyDescent="0.25"/>
    <row r="175" x14ac:dyDescent="0.25"/>
    <row r="176" x14ac:dyDescent="0.25"/>
  </sheetData>
  <sheetProtection formatCells="0" formatRows="0" insertColumns="0" insertRows="0" insertHyperlinks="0" deleteRows="0" selectLockedCells="1" sort="0" autoFilter="0" pivotTables="0"/>
  <mergeCells count="119">
    <mergeCell ref="A4:V4"/>
    <mergeCell ref="A5:V5"/>
    <mergeCell ref="W4:AA4"/>
    <mergeCell ref="W5:AA5"/>
    <mergeCell ref="A6:D6"/>
    <mergeCell ref="A7:D7"/>
    <mergeCell ref="W6:AA6"/>
    <mergeCell ref="I25:Q25"/>
    <mergeCell ref="I24:Q24"/>
    <mergeCell ref="R24:AF24"/>
    <mergeCell ref="G16:AF16"/>
    <mergeCell ref="G21:AF21"/>
    <mergeCell ref="B21:F21"/>
    <mergeCell ref="G17:AF17"/>
    <mergeCell ref="A9:AG9"/>
    <mergeCell ref="B17:F17"/>
    <mergeCell ref="B16:F16"/>
    <mergeCell ref="B20:F20"/>
    <mergeCell ref="G20:AF20"/>
    <mergeCell ref="B19:F19"/>
    <mergeCell ref="AB4:AG4"/>
    <mergeCell ref="AB5:AG5"/>
    <mergeCell ref="AE6:AG6"/>
    <mergeCell ref="E24:H24"/>
    <mergeCell ref="B59:G59"/>
    <mergeCell ref="H54:AF54"/>
    <mergeCell ref="H59:AF59"/>
    <mergeCell ref="B57:G57"/>
    <mergeCell ref="H57:AF57"/>
    <mergeCell ref="B56:G56"/>
    <mergeCell ref="H56:AF56"/>
    <mergeCell ref="H58:AF58"/>
    <mergeCell ref="B58:G58"/>
    <mergeCell ref="B55:G55"/>
    <mergeCell ref="H55:AF55"/>
    <mergeCell ref="B54:G54"/>
    <mergeCell ref="Y50:AF50"/>
    <mergeCell ref="Y51:AF51"/>
    <mergeCell ref="B49:D49"/>
    <mergeCell ref="B51:D51"/>
    <mergeCell ref="B48:D48"/>
    <mergeCell ref="B50:D50"/>
    <mergeCell ref="Y49:AF49"/>
    <mergeCell ref="E49:X49"/>
    <mergeCell ref="B34:D34"/>
    <mergeCell ref="E51:X51"/>
    <mergeCell ref="Y48:AF48"/>
    <mergeCell ref="E50:X50"/>
    <mergeCell ref="E48:X48"/>
    <mergeCell ref="Y47:AF47"/>
    <mergeCell ref="Y45:AF45"/>
    <mergeCell ref="B47:D47"/>
    <mergeCell ref="B45:D45"/>
    <mergeCell ref="E45:X45"/>
    <mergeCell ref="E47:X47"/>
    <mergeCell ref="B33:D33"/>
    <mergeCell ref="E33:H33"/>
    <mergeCell ref="I33:Q33"/>
    <mergeCell ref="B37:AF37"/>
    <mergeCell ref="R33:AF33"/>
    <mergeCell ref="B31:D31"/>
    <mergeCell ref="E31:H31"/>
    <mergeCell ref="I31:Q31"/>
    <mergeCell ref="R31:AF31"/>
    <mergeCell ref="B32:D32"/>
    <mergeCell ref="Y41:AF41"/>
    <mergeCell ref="B41:D41"/>
    <mergeCell ref="E41:X41"/>
    <mergeCell ref="E44:X44"/>
    <mergeCell ref="E43:X43"/>
    <mergeCell ref="E42:X42"/>
    <mergeCell ref="B43:D43"/>
    <mergeCell ref="Y42:AF42"/>
    <mergeCell ref="Y43:AF43"/>
    <mergeCell ref="Y44:AF44"/>
    <mergeCell ref="B44:D44"/>
    <mergeCell ref="B42:D42"/>
    <mergeCell ref="E32:H32"/>
    <mergeCell ref="I32:Q32"/>
    <mergeCell ref="R32:AF32"/>
    <mergeCell ref="E34:H34"/>
    <mergeCell ref="I34:Q34"/>
    <mergeCell ref="R34:AF34"/>
    <mergeCell ref="E29:H29"/>
    <mergeCell ref="I29:Q29"/>
    <mergeCell ref="R29:AF29"/>
    <mergeCell ref="R30:AF30"/>
    <mergeCell ref="E30:H30"/>
    <mergeCell ref="B29:D29"/>
    <mergeCell ref="B25:D25"/>
    <mergeCell ref="I30:Q30"/>
    <mergeCell ref="B26:D26"/>
    <mergeCell ref="I26:Q26"/>
    <mergeCell ref="B27:D27"/>
    <mergeCell ref="E27:H27"/>
    <mergeCell ref="I27:Q27"/>
    <mergeCell ref="B30:D30"/>
    <mergeCell ref="R25:AF25"/>
    <mergeCell ref="R26:AF26"/>
    <mergeCell ref="R27:AF27"/>
    <mergeCell ref="B28:D28"/>
    <mergeCell ref="E28:H28"/>
    <mergeCell ref="I28:Q28"/>
    <mergeCell ref="R28:AF28"/>
    <mergeCell ref="AE7:AG7"/>
    <mergeCell ref="A8:AG8"/>
    <mergeCell ref="E25:H25"/>
    <mergeCell ref="E26:H26"/>
    <mergeCell ref="AB6:AD6"/>
    <mergeCell ref="AB7:AD7"/>
    <mergeCell ref="E6:V6"/>
    <mergeCell ref="B15:F15"/>
    <mergeCell ref="B24:D24"/>
    <mergeCell ref="B18:F18"/>
    <mergeCell ref="G18:AF18"/>
    <mergeCell ref="W7:AA7"/>
    <mergeCell ref="G15:AF15"/>
    <mergeCell ref="E7:V7"/>
    <mergeCell ref="G19:AF19"/>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G45" sqref="G45"/>
    </sheetView>
  </sheetViews>
  <sheetFormatPr defaultColWidth="0" defaultRowHeight="12.75" customHeight="1" zeroHeight="1" x14ac:dyDescent="0.25"/>
  <cols>
    <col min="1" max="33" width="2.88671875" style="16" customWidth="1"/>
    <col min="34" max="34" width="1.33203125" style="16" customWidth="1"/>
    <col min="35" max="60" width="3.33203125" style="16" hidden="1" customWidth="1"/>
    <col min="61" max="16384" width="0" style="16" hidden="1"/>
  </cols>
  <sheetData>
    <row r="1" spans="2:34" ht="13.2" x14ac:dyDescent="0.25">
      <c r="B1" s="186" t="s">
        <v>123</v>
      </c>
      <c r="C1" s="186"/>
      <c r="D1" s="186"/>
      <c r="E1" s="186"/>
      <c r="F1" s="186"/>
      <c r="G1" s="186"/>
      <c r="H1" s="186"/>
      <c r="I1" s="186"/>
      <c r="J1" s="186"/>
      <c r="K1" s="186"/>
      <c r="L1" s="186"/>
      <c r="M1" s="186"/>
      <c r="N1" s="186"/>
      <c r="O1" s="186"/>
      <c r="P1" s="186"/>
      <c r="Q1" s="186"/>
      <c r="R1" s="186"/>
      <c r="S1" s="186"/>
      <c r="T1" s="186"/>
      <c r="U1" s="186"/>
      <c r="V1" s="186"/>
      <c r="W1" s="186"/>
      <c r="X1" s="186"/>
      <c r="Y1" s="186"/>
      <c r="Z1" s="186"/>
      <c r="AA1" s="186"/>
      <c r="AB1" s="186"/>
      <c r="AC1" s="186"/>
      <c r="AD1" s="186"/>
      <c r="AE1" s="186"/>
      <c r="AF1" s="186"/>
      <c r="AG1" s="186"/>
    </row>
    <row r="2" spans="2:34" ht="20.25" customHeight="1" x14ac:dyDescent="0.25">
      <c r="B2" s="186"/>
      <c r="C2" s="186"/>
      <c r="D2" s="186"/>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row>
    <row r="3" spans="2:34" ht="13.2" x14ac:dyDescent="0.25">
      <c r="B3" s="186"/>
      <c r="C3" s="186"/>
      <c r="D3" s="186"/>
      <c r="E3" s="186"/>
      <c r="F3" s="186"/>
      <c r="G3" s="186"/>
      <c r="H3" s="186"/>
      <c r="I3" s="186"/>
      <c r="J3" s="186"/>
      <c r="K3" s="186"/>
      <c r="L3" s="186"/>
      <c r="M3" s="186"/>
      <c r="N3" s="186"/>
      <c r="O3" s="186"/>
      <c r="P3" s="186"/>
      <c r="Q3" s="186"/>
      <c r="R3" s="186"/>
      <c r="S3" s="186"/>
      <c r="T3" s="186"/>
      <c r="U3" s="186"/>
      <c r="V3" s="186"/>
      <c r="W3" s="186"/>
      <c r="X3" s="186"/>
      <c r="Y3" s="186"/>
      <c r="Z3" s="186"/>
      <c r="AA3" s="186"/>
      <c r="AB3" s="186"/>
      <c r="AC3" s="186"/>
      <c r="AD3" s="186"/>
      <c r="AE3" s="186"/>
      <c r="AF3" s="186"/>
      <c r="AG3" s="186"/>
    </row>
    <row r="4" spans="2:34" ht="13.2" x14ac:dyDescent="0.25">
      <c r="B4" s="186"/>
      <c r="C4" s="186"/>
      <c r="D4" s="186"/>
      <c r="E4" s="186"/>
      <c r="F4" s="186"/>
      <c r="G4" s="186"/>
      <c r="H4" s="186"/>
      <c r="I4" s="186"/>
      <c r="J4" s="186"/>
      <c r="K4" s="186"/>
      <c r="L4" s="186"/>
      <c r="M4" s="186"/>
      <c r="N4" s="186"/>
      <c r="O4" s="186"/>
      <c r="P4" s="186"/>
      <c r="Q4" s="186"/>
      <c r="R4" s="186"/>
      <c r="S4" s="186"/>
      <c r="T4" s="186"/>
      <c r="U4" s="186"/>
      <c r="V4" s="186"/>
      <c r="W4" s="186"/>
      <c r="X4" s="186"/>
      <c r="Y4" s="186"/>
      <c r="Z4" s="186"/>
      <c r="AA4" s="186"/>
      <c r="AB4" s="186"/>
      <c r="AC4" s="186"/>
      <c r="AD4" s="186"/>
      <c r="AE4" s="186"/>
      <c r="AF4" s="186"/>
      <c r="AG4" s="186"/>
    </row>
    <row r="5" spans="2:34" ht="13.2" x14ac:dyDescent="0.25">
      <c r="B5" s="186"/>
      <c r="C5" s="186"/>
      <c r="D5" s="186"/>
      <c r="E5" s="186"/>
      <c r="F5" s="186"/>
      <c r="G5" s="186"/>
      <c r="H5" s="186"/>
      <c r="I5" s="186"/>
      <c r="J5" s="186"/>
      <c r="K5" s="186"/>
      <c r="L5" s="186"/>
      <c r="M5" s="186"/>
      <c r="N5" s="186"/>
      <c r="O5" s="186"/>
      <c r="P5" s="186"/>
      <c r="Q5" s="186"/>
      <c r="R5" s="186"/>
      <c r="S5" s="186"/>
      <c r="T5" s="186"/>
      <c r="U5" s="186"/>
      <c r="V5" s="186"/>
      <c r="W5" s="186"/>
      <c r="X5" s="186"/>
      <c r="Y5" s="186"/>
      <c r="Z5" s="186"/>
      <c r="AA5" s="186"/>
      <c r="AB5" s="186"/>
      <c r="AC5" s="186"/>
      <c r="AD5" s="186"/>
      <c r="AE5" s="186"/>
      <c r="AF5" s="186"/>
      <c r="AG5" s="186"/>
    </row>
    <row r="6" spans="2:34" ht="13.2" x14ac:dyDescent="0.25">
      <c r="B6" s="186"/>
      <c r="C6" s="186"/>
      <c r="D6" s="186"/>
      <c r="E6" s="186"/>
      <c r="F6" s="186"/>
      <c r="G6" s="186"/>
      <c r="H6" s="186"/>
      <c r="I6" s="186"/>
      <c r="J6" s="186"/>
      <c r="K6" s="186"/>
      <c r="L6" s="186"/>
      <c r="M6" s="186"/>
      <c r="N6" s="186"/>
      <c r="O6" s="186"/>
      <c r="P6" s="186"/>
      <c r="Q6" s="186"/>
      <c r="R6" s="186"/>
      <c r="S6" s="186"/>
      <c r="T6" s="186"/>
      <c r="U6" s="186"/>
      <c r="V6" s="186"/>
      <c r="W6" s="186"/>
      <c r="X6" s="186"/>
      <c r="Y6" s="186"/>
      <c r="Z6" s="186"/>
      <c r="AA6" s="186"/>
      <c r="AB6" s="186"/>
      <c r="AC6" s="186"/>
      <c r="AD6" s="186"/>
      <c r="AE6" s="186"/>
      <c r="AF6" s="186"/>
      <c r="AG6" s="186"/>
    </row>
    <row r="7" spans="2:34" ht="13.2" x14ac:dyDescent="0.25">
      <c r="B7" s="186"/>
      <c r="C7" s="186"/>
      <c r="D7" s="186"/>
      <c r="E7" s="186"/>
      <c r="F7" s="186"/>
      <c r="G7" s="186"/>
      <c r="H7" s="186"/>
      <c r="I7" s="186"/>
      <c r="J7" s="186"/>
      <c r="K7" s="186"/>
      <c r="L7" s="186"/>
      <c r="M7" s="186"/>
      <c r="N7" s="186"/>
      <c r="O7" s="186"/>
      <c r="P7" s="186"/>
      <c r="Q7" s="186"/>
      <c r="R7" s="186"/>
      <c r="S7" s="186"/>
      <c r="T7" s="186"/>
      <c r="U7" s="186"/>
      <c r="V7" s="186"/>
      <c r="W7" s="186"/>
      <c r="X7" s="186"/>
      <c r="Y7" s="186"/>
      <c r="Z7" s="186"/>
      <c r="AA7" s="186"/>
      <c r="AB7" s="186"/>
      <c r="AC7" s="186"/>
      <c r="AD7" s="186"/>
      <c r="AE7" s="186"/>
      <c r="AF7" s="186"/>
      <c r="AG7" s="186"/>
    </row>
    <row r="8" spans="2:34" ht="13.2" x14ac:dyDescent="0.25">
      <c r="B8" s="186"/>
      <c r="C8" s="186"/>
      <c r="D8" s="186"/>
      <c r="E8" s="186"/>
      <c r="F8" s="186"/>
      <c r="G8" s="186"/>
      <c r="H8" s="186"/>
      <c r="I8" s="186"/>
      <c r="J8" s="186"/>
      <c r="K8" s="186"/>
      <c r="L8" s="186"/>
      <c r="M8" s="186"/>
      <c r="N8" s="186"/>
      <c r="O8" s="186"/>
      <c r="P8" s="186"/>
      <c r="Q8" s="186"/>
      <c r="R8" s="186"/>
      <c r="S8" s="186"/>
      <c r="T8" s="186"/>
      <c r="U8" s="186"/>
      <c r="V8" s="186"/>
      <c r="W8" s="186"/>
      <c r="X8" s="186"/>
      <c r="Y8" s="186"/>
      <c r="Z8" s="186"/>
      <c r="AA8" s="186"/>
      <c r="AB8" s="186"/>
      <c r="AC8" s="186"/>
      <c r="AD8" s="186"/>
      <c r="AE8" s="186"/>
      <c r="AF8" s="186"/>
      <c r="AG8" s="186"/>
    </row>
    <row r="9" spans="2:34" ht="13.2" x14ac:dyDescent="0.25">
      <c r="B9" s="186"/>
      <c r="C9" s="186"/>
      <c r="D9" s="186"/>
      <c r="E9" s="186"/>
      <c r="F9" s="186"/>
      <c r="G9" s="186"/>
      <c r="H9" s="186"/>
      <c r="I9" s="186"/>
      <c r="J9" s="186"/>
      <c r="K9" s="186"/>
      <c r="L9" s="186"/>
      <c r="M9" s="186"/>
      <c r="N9" s="186"/>
      <c r="O9" s="186"/>
      <c r="P9" s="186"/>
      <c r="Q9" s="186"/>
      <c r="R9" s="186"/>
      <c r="S9" s="186"/>
      <c r="T9" s="186"/>
      <c r="U9" s="186"/>
      <c r="V9" s="186"/>
      <c r="W9" s="186"/>
      <c r="X9" s="186"/>
      <c r="Y9" s="186"/>
      <c r="Z9" s="186"/>
      <c r="AA9" s="186"/>
      <c r="AB9" s="186"/>
      <c r="AC9" s="186"/>
      <c r="AD9" s="186"/>
      <c r="AE9" s="186"/>
      <c r="AF9" s="186"/>
      <c r="AG9" s="186"/>
    </row>
    <row r="10" spans="2:34" ht="13.2" x14ac:dyDescent="0.25">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row>
    <row r="11" spans="2:34" ht="13.2" x14ac:dyDescent="0.25">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row>
    <row r="12" spans="2:34" ht="13.2" x14ac:dyDescent="0.25">
      <c r="B12" s="186"/>
      <c r="C12" s="186"/>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row>
    <row r="13" spans="2:34" ht="13.2" x14ac:dyDescent="0.25">
      <c r="B13" s="186"/>
      <c r="C13" s="186"/>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86"/>
      <c r="AB13" s="186"/>
      <c r="AC13" s="186"/>
      <c r="AD13" s="186"/>
      <c r="AE13" s="186"/>
      <c r="AF13" s="186"/>
      <c r="AG13" s="186"/>
    </row>
    <row r="14" spans="2:34" ht="13.2" x14ac:dyDescent="0.25">
      <c r="B14" s="186"/>
      <c r="C14" s="186"/>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86"/>
      <c r="AB14" s="186"/>
      <c r="AC14" s="186"/>
      <c r="AD14" s="186"/>
      <c r="AE14" s="186"/>
      <c r="AF14" s="186"/>
      <c r="AG14" s="186"/>
      <c r="AH14" s="38"/>
    </row>
    <row r="15" spans="2:34" ht="13.2" x14ac:dyDescent="0.25">
      <c r="B15" s="186"/>
      <c r="C15" s="186"/>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86"/>
      <c r="AB15" s="186"/>
      <c r="AC15" s="186"/>
      <c r="AD15" s="186"/>
      <c r="AE15" s="186"/>
      <c r="AF15" s="186"/>
      <c r="AG15" s="186"/>
      <c r="AH15" s="38"/>
    </row>
    <row r="16" spans="2:34" ht="13.2" x14ac:dyDescent="0.25">
      <c r="B16" s="186"/>
      <c r="C16" s="186"/>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86"/>
      <c r="AB16" s="186"/>
      <c r="AC16" s="186"/>
      <c r="AD16" s="186"/>
      <c r="AE16" s="186"/>
      <c r="AF16" s="186"/>
      <c r="AG16" s="186"/>
      <c r="AH16" s="38"/>
    </row>
    <row r="17" spans="2:34" ht="13.2" x14ac:dyDescent="0.25">
      <c r="B17" s="186"/>
      <c r="C17" s="186"/>
      <c r="D17" s="186"/>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38"/>
    </row>
    <row r="18" spans="2:34" ht="13.2" x14ac:dyDescent="0.25">
      <c r="B18" s="186"/>
      <c r="C18" s="186"/>
      <c r="D18" s="186"/>
      <c r="E18" s="186"/>
      <c r="F18" s="186"/>
      <c r="G18" s="186"/>
      <c r="H18" s="186"/>
      <c r="I18" s="186"/>
      <c r="J18" s="186"/>
      <c r="K18" s="186"/>
      <c r="L18" s="186"/>
      <c r="M18" s="186"/>
      <c r="N18" s="186"/>
      <c r="O18" s="186"/>
      <c r="P18" s="186"/>
      <c r="Q18" s="186"/>
      <c r="R18" s="186"/>
      <c r="S18" s="186"/>
      <c r="T18" s="186"/>
      <c r="U18" s="186"/>
      <c r="V18" s="186"/>
      <c r="W18" s="186"/>
      <c r="X18" s="186"/>
      <c r="Y18" s="186"/>
      <c r="Z18" s="186"/>
      <c r="AA18" s="186"/>
      <c r="AB18" s="186"/>
      <c r="AC18" s="186"/>
      <c r="AD18" s="186"/>
      <c r="AE18" s="186"/>
      <c r="AF18" s="186"/>
      <c r="AG18" s="186"/>
      <c r="AH18" s="38"/>
    </row>
    <row r="19" spans="2:34" ht="13.2" x14ac:dyDescent="0.25">
      <c r="B19" s="186"/>
      <c r="C19" s="186"/>
      <c r="D19" s="186"/>
      <c r="E19" s="186"/>
      <c r="F19" s="186"/>
      <c r="G19" s="186"/>
      <c r="H19" s="186"/>
      <c r="I19" s="186"/>
      <c r="J19" s="186"/>
      <c r="K19" s="186"/>
      <c r="L19" s="186"/>
      <c r="M19" s="186"/>
      <c r="N19" s="186"/>
      <c r="O19" s="186"/>
      <c r="P19" s="186"/>
      <c r="Q19" s="186"/>
      <c r="R19" s="186"/>
      <c r="S19" s="186"/>
      <c r="T19" s="186"/>
      <c r="U19" s="186"/>
      <c r="V19" s="186"/>
      <c r="W19" s="186"/>
      <c r="X19" s="186"/>
      <c r="Y19" s="186"/>
      <c r="Z19" s="186"/>
      <c r="AA19" s="186"/>
      <c r="AB19" s="186"/>
      <c r="AC19" s="186"/>
      <c r="AD19" s="186"/>
      <c r="AE19" s="186"/>
      <c r="AF19" s="186"/>
      <c r="AG19" s="186"/>
      <c r="AH19" s="38"/>
    </row>
    <row r="20" spans="2:34" ht="13.2" x14ac:dyDescent="0.25">
      <c r="B20" s="186"/>
      <c r="C20" s="186"/>
      <c r="D20" s="186"/>
      <c r="E20" s="186"/>
      <c r="F20" s="186"/>
      <c r="G20" s="186"/>
      <c r="H20" s="186"/>
      <c r="I20" s="186"/>
      <c r="J20" s="186"/>
      <c r="K20" s="186"/>
      <c r="L20" s="186"/>
      <c r="M20" s="186"/>
      <c r="N20" s="186"/>
      <c r="O20" s="186"/>
      <c r="P20" s="186"/>
      <c r="Q20" s="186"/>
      <c r="R20" s="186"/>
      <c r="S20" s="186"/>
      <c r="T20" s="186"/>
      <c r="U20" s="186"/>
      <c r="V20" s="186"/>
      <c r="W20" s="186"/>
      <c r="X20" s="186"/>
      <c r="Y20" s="186"/>
      <c r="Z20" s="186"/>
      <c r="AA20" s="186"/>
      <c r="AB20" s="186"/>
      <c r="AC20" s="186"/>
      <c r="AD20" s="186"/>
      <c r="AE20" s="186"/>
      <c r="AF20" s="186"/>
      <c r="AG20" s="186"/>
      <c r="AH20" s="41"/>
    </row>
    <row r="21" spans="2:34" ht="13.2" x14ac:dyDescent="0.25">
      <c r="B21" s="186"/>
      <c r="C21" s="186"/>
      <c r="D21" s="186"/>
      <c r="E21" s="186"/>
      <c r="F21" s="186"/>
      <c r="G21" s="186"/>
      <c r="H21" s="186"/>
      <c r="I21" s="186"/>
      <c r="J21" s="186"/>
      <c r="K21" s="186"/>
      <c r="L21" s="186"/>
      <c r="M21" s="186"/>
      <c r="N21" s="186"/>
      <c r="O21" s="186"/>
      <c r="P21" s="186"/>
      <c r="Q21" s="186"/>
      <c r="R21" s="186"/>
      <c r="S21" s="186"/>
      <c r="T21" s="186"/>
      <c r="U21" s="186"/>
      <c r="V21" s="186"/>
      <c r="W21" s="186"/>
      <c r="X21" s="186"/>
      <c r="Y21" s="186"/>
      <c r="Z21" s="186"/>
      <c r="AA21" s="186"/>
      <c r="AB21" s="186"/>
      <c r="AC21" s="186"/>
      <c r="AD21" s="186"/>
      <c r="AE21" s="186"/>
      <c r="AF21" s="186"/>
      <c r="AG21" s="186"/>
      <c r="AH21" s="41"/>
    </row>
    <row r="22" spans="2:34" ht="13.2" x14ac:dyDescent="0.25">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41"/>
    </row>
    <row r="23" spans="2:34" ht="13.2" x14ac:dyDescent="0.25">
      <c r="B23" s="186"/>
      <c r="C23" s="186"/>
      <c r="D23" s="186"/>
      <c r="E23" s="186"/>
      <c r="F23" s="186"/>
      <c r="G23" s="186"/>
      <c r="H23" s="186"/>
      <c r="I23" s="186"/>
      <c r="J23" s="186"/>
      <c r="K23" s="186"/>
      <c r="L23" s="186"/>
      <c r="M23" s="186"/>
      <c r="N23" s="186"/>
      <c r="O23" s="186"/>
      <c r="P23" s="186"/>
      <c r="Q23" s="186"/>
      <c r="R23" s="186"/>
      <c r="S23" s="186"/>
      <c r="T23" s="186"/>
      <c r="U23" s="186"/>
      <c r="V23" s="186"/>
      <c r="W23" s="186"/>
      <c r="X23" s="186"/>
      <c r="Y23" s="186"/>
      <c r="Z23" s="186"/>
      <c r="AA23" s="186"/>
      <c r="AB23" s="186"/>
      <c r="AC23" s="186"/>
      <c r="AD23" s="186"/>
      <c r="AE23" s="186"/>
      <c r="AF23" s="186"/>
      <c r="AG23" s="186"/>
    </row>
    <row r="24" spans="2:34" ht="13.2" x14ac:dyDescent="0.25">
      <c r="B24" s="186"/>
      <c r="C24" s="186"/>
      <c r="D24" s="186"/>
      <c r="E24" s="186"/>
      <c r="F24" s="186"/>
      <c r="G24" s="186"/>
      <c r="H24" s="186"/>
      <c r="I24" s="186"/>
      <c r="J24" s="186"/>
      <c r="K24" s="186"/>
      <c r="L24" s="186"/>
      <c r="M24" s="186"/>
      <c r="N24" s="186"/>
      <c r="O24" s="186"/>
      <c r="P24" s="186"/>
      <c r="Q24" s="186"/>
      <c r="R24" s="186"/>
      <c r="S24" s="186"/>
      <c r="T24" s="186"/>
      <c r="U24" s="186"/>
      <c r="V24" s="186"/>
      <c r="W24" s="186"/>
      <c r="X24" s="186"/>
      <c r="Y24" s="186"/>
      <c r="Z24" s="186"/>
      <c r="AA24" s="186"/>
      <c r="AB24" s="186"/>
      <c r="AC24" s="186"/>
      <c r="AD24" s="186"/>
      <c r="AE24" s="186"/>
      <c r="AF24" s="186"/>
      <c r="AG24" s="186"/>
    </row>
    <row r="25" spans="2:34" ht="13.2" x14ac:dyDescent="0.25">
      <c r="B25" s="186"/>
      <c r="C25" s="186"/>
      <c r="D25" s="186"/>
      <c r="E25" s="186"/>
      <c r="F25" s="186"/>
      <c r="G25" s="186"/>
      <c r="H25" s="186"/>
      <c r="I25" s="186"/>
      <c r="J25" s="186"/>
      <c r="K25" s="186"/>
      <c r="L25" s="186"/>
      <c r="M25" s="186"/>
      <c r="N25" s="186"/>
      <c r="O25" s="186"/>
      <c r="P25" s="186"/>
      <c r="Q25" s="186"/>
      <c r="R25" s="186"/>
      <c r="S25" s="186"/>
      <c r="T25" s="186"/>
      <c r="U25" s="186"/>
      <c r="V25" s="186"/>
      <c r="W25" s="186"/>
      <c r="X25" s="186"/>
      <c r="Y25" s="186"/>
      <c r="Z25" s="186"/>
      <c r="AA25" s="186"/>
      <c r="AB25" s="186"/>
      <c r="AC25" s="186"/>
      <c r="AD25" s="186"/>
      <c r="AE25" s="186"/>
      <c r="AF25" s="186"/>
      <c r="AG25" s="186"/>
    </row>
    <row r="26" spans="2:34" ht="13.2" x14ac:dyDescent="0.25">
      <c r="B26" s="186"/>
      <c r="C26" s="186"/>
      <c r="D26" s="186"/>
      <c r="E26" s="186"/>
      <c r="F26" s="186"/>
      <c r="G26" s="186"/>
      <c r="H26" s="186"/>
      <c r="I26" s="186"/>
      <c r="J26" s="186"/>
      <c r="K26" s="186"/>
      <c r="L26" s="186"/>
      <c r="M26" s="186"/>
      <c r="N26" s="186"/>
      <c r="O26" s="186"/>
      <c r="P26" s="186"/>
      <c r="Q26" s="186"/>
      <c r="R26" s="186"/>
      <c r="S26" s="186"/>
      <c r="T26" s="186"/>
      <c r="U26" s="186"/>
      <c r="V26" s="186"/>
      <c r="W26" s="186"/>
      <c r="X26" s="186"/>
      <c r="Y26" s="186"/>
      <c r="Z26" s="186"/>
      <c r="AA26" s="186"/>
      <c r="AB26" s="186"/>
      <c r="AC26" s="186"/>
      <c r="AD26" s="186"/>
      <c r="AE26" s="186"/>
      <c r="AF26" s="186"/>
      <c r="AG26" s="186"/>
    </row>
    <row r="27" spans="2:34" ht="13.2" x14ac:dyDescent="0.25">
      <c r="B27" s="186"/>
      <c r="C27" s="186"/>
      <c r="D27" s="186"/>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row>
    <row r="28" spans="2:34" ht="13.2" x14ac:dyDescent="0.25">
      <c r="B28" s="186"/>
      <c r="C28" s="186"/>
      <c r="D28" s="186"/>
      <c r="E28" s="186"/>
      <c r="F28" s="186"/>
      <c r="G28" s="186"/>
      <c r="H28" s="186"/>
      <c r="I28" s="186"/>
      <c r="J28" s="186"/>
      <c r="K28" s="186"/>
      <c r="L28" s="186"/>
      <c r="M28" s="186"/>
      <c r="N28" s="186"/>
      <c r="O28" s="186"/>
      <c r="P28" s="186"/>
      <c r="Q28" s="186"/>
      <c r="R28" s="186"/>
      <c r="S28" s="186"/>
      <c r="T28" s="186"/>
      <c r="U28" s="186"/>
      <c r="V28" s="186"/>
      <c r="W28" s="186"/>
      <c r="X28" s="186"/>
      <c r="Y28" s="186"/>
      <c r="Z28" s="186"/>
      <c r="AA28" s="186"/>
      <c r="AB28" s="186"/>
      <c r="AC28" s="186"/>
      <c r="AD28" s="186"/>
      <c r="AE28" s="186"/>
      <c r="AF28" s="186"/>
      <c r="AG28" s="186"/>
    </row>
    <row r="29" spans="2:34" ht="13.2" x14ac:dyDescent="0.25">
      <c r="B29" s="186"/>
      <c r="C29" s="186"/>
      <c r="D29" s="186"/>
      <c r="E29" s="186"/>
      <c r="F29" s="186"/>
      <c r="G29" s="186"/>
      <c r="H29" s="186"/>
      <c r="I29" s="186"/>
      <c r="J29" s="186"/>
      <c r="K29" s="186"/>
      <c r="L29" s="186"/>
      <c r="M29" s="186"/>
      <c r="N29" s="186"/>
      <c r="O29" s="186"/>
      <c r="P29" s="186"/>
      <c r="Q29" s="186"/>
      <c r="R29" s="186"/>
      <c r="S29" s="186"/>
      <c r="T29" s="186"/>
      <c r="U29" s="186"/>
      <c r="V29" s="186"/>
      <c r="W29" s="186"/>
      <c r="X29" s="186"/>
      <c r="Y29" s="186"/>
      <c r="Z29" s="186"/>
      <c r="AA29" s="186"/>
      <c r="AB29" s="186"/>
      <c r="AC29" s="186"/>
      <c r="AD29" s="186"/>
      <c r="AE29" s="186"/>
      <c r="AF29" s="186"/>
      <c r="AG29" s="186"/>
    </row>
    <row r="30" spans="2:34" ht="13.2" x14ac:dyDescent="0.25">
      <c r="B30" s="186"/>
      <c r="C30" s="186"/>
      <c r="D30" s="186"/>
      <c r="E30" s="186"/>
      <c r="F30" s="186"/>
      <c r="G30" s="186"/>
      <c r="H30" s="186"/>
      <c r="I30" s="186"/>
      <c r="J30" s="186"/>
      <c r="K30" s="186"/>
      <c r="L30" s="186"/>
      <c r="M30" s="186"/>
      <c r="N30" s="186"/>
      <c r="O30" s="186"/>
      <c r="P30" s="186"/>
      <c r="Q30" s="186"/>
      <c r="R30" s="186"/>
      <c r="S30" s="186"/>
      <c r="T30" s="186"/>
      <c r="U30" s="186"/>
      <c r="V30" s="186"/>
      <c r="W30" s="186"/>
      <c r="X30" s="186"/>
      <c r="Y30" s="186"/>
      <c r="Z30" s="186"/>
      <c r="AA30" s="186"/>
      <c r="AB30" s="186"/>
      <c r="AC30" s="186"/>
      <c r="AD30" s="186"/>
      <c r="AE30" s="186"/>
      <c r="AF30" s="186"/>
      <c r="AG30" s="186"/>
    </row>
    <row r="31" spans="2:34" ht="13.2" x14ac:dyDescent="0.25">
      <c r="B31" s="186"/>
      <c r="C31" s="186"/>
      <c r="D31" s="186"/>
      <c r="E31" s="186"/>
      <c r="F31" s="186"/>
      <c r="G31" s="186"/>
      <c r="H31" s="186"/>
      <c r="I31" s="186"/>
      <c r="J31" s="186"/>
      <c r="K31" s="186"/>
      <c r="L31" s="186"/>
      <c r="M31" s="186"/>
      <c r="N31" s="186"/>
      <c r="O31" s="186"/>
      <c r="P31" s="186"/>
      <c r="Q31" s="186"/>
      <c r="R31" s="186"/>
      <c r="S31" s="186"/>
      <c r="T31" s="186"/>
      <c r="U31" s="186"/>
      <c r="V31" s="186"/>
      <c r="W31" s="186"/>
      <c r="X31" s="186"/>
      <c r="Y31" s="186"/>
      <c r="Z31" s="186"/>
      <c r="AA31" s="186"/>
      <c r="AB31" s="186"/>
      <c r="AC31" s="186"/>
      <c r="AD31" s="186"/>
      <c r="AE31" s="186"/>
      <c r="AF31" s="186"/>
      <c r="AG31" s="186"/>
    </row>
    <row r="32" spans="2:34" ht="13.2" x14ac:dyDescent="0.25">
      <c r="B32" s="186"/>
      <c r="C32" s="186"/>
      <c r="D32" s="186"/>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row>
    <row r="33" spans="2:33" ht="13.2" x14ac:dyDescent="0.25">
      <c r="B33" s="186"/>
      <c r="C33" s="186"/>
      <c r="D33" s="186"/>
      <c r="E33" s="186"/>
      <c r="F33" s="186"/>
      <c r="G33" s="186"/>
      <c r="H33" s="186"/>
      <c r="I33" s="186"/>
      <c r="J33" s="186"/>
      <c r="K33" s="186"/>
      <c r="L33" s="186"/>
      <c r="M33" s="186"/>
      <c r="N33" s="186"/>
      <c r="O33" s="186"/>
      <c r="P33" s="186"/>
      <c r="Q33" s="186"/>
      <c r="R33" s="186"/>
      <c r="S33" s="186"/>
      <c r="T33" s="186"/>
      <c r="U33" s="186"/>
      <c r="V33" s="186"/>
      <c r="W33" s="186"/>
      <c r="X33" s="186"/>
      <c r="Y33" s="186"/>
      <c r="Z33" s="186"/>
      <c r="AA33" s="186"/>
      <c r="AB33" s="186"/>
      <c r="AC33" s="186"/>
      <c r="AD33" s="186"/>
      <c r="AE33" s="186"/>
      <c r="AF33" s="186"/>
      <c r="AG33" s="186"/>
    </row>
    <row r="34" spans="2:33" ht="13.2" x14ac:dyDescent="0.25">
      <c r="B34" s="186"/>
      <c r="C34" s="186"/>
      <c r="D34" s="186"/>
      <c r="E34" s="186"/>
      <c r="F34" s="186"/>
      <c r="G34" s="186"/>
      <c r="H34" s="186"/>
      <c r="I34" s="186"/>
      <c r="J34" s="186"/>
      <c r="K34" s="186"/>
      <c r="L34" s="186"/>
      <c r="M34" s="186"/>
      <c r="N34" s="186"/>
      <c r="O34" s="186"/>
      <c r="P34" s="186"/>
      <c r="Q34" s="186"/>
      <c r="R34" s="186"/>
      <c r="S34" s="186"/>
      <c r="T34" s="186"/>
      <c r="U34" s="186"/>
      <c r="V34" s="186"/>
      <c r="W34" s="186"/>
      <c r="X34" s="186"/>
      <c r="Y34" s="186"/>
      <c r="Z34" s="186"/>
      <c r="AA34" s="186"/>
      <c r="AB34" s="186"/>
      <c r="AC34" s="186"/>
      <c r="AD34" s="186"/>
      <c r="AE34" s="186"/>
      <c r="AF34" s="186"/>
      <c r="AG34" s="186"/>
    </row>
    <row r="35" spans="2:33" ht="12.75" customHeight="1" x14ac:dyDescent="0.25">
      <c r="B35" s="186"/>
      <c r="C35" s="186"/>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c r="AB35" s="186"/>
      <c r="AC35" s="186"/>
      <c r="AD35" s="186"/>
      <c r="AE35" s="186"/>
      <c r="AF35" s="186"/>
      <c r="AG35" s="186"/>
    </row>
    <row r="36" spans="2:33" ht="12.75" customHeight="1" x14ac:dyDescent="0.25">
      <c r="B36" s="186"/>
      <c r="C36" s="186"/>
      <c r="D36" s="186"/>
      <c r="E36" s="186"/>
      <c r="F36" s="186"/>
      <c r="G36" s="186"/>
      <c r="H36" s="186"/>
      <c r="I36" s="186"/>
      <c r="J36" s="186"/>
      <c r="K36" s="186"/>
      <c r="L36" s="186"/>
      <c r="M36" s="186"/>
      <c r="N36" s="186"/>
      <c r="O36" s="186"/>
      <c r="P36" s="186"/>
      <c r="Q36" s="186"/>
      <c r="R36" s="186"/>
      <c r="S36" s="186"/>
      <c r="T36" s="186"/>
      <c r="U36" s="186"/>
      <c r="V36" s="186"/>
      <c r="W36" s="186"/>
      <c r="X36" s="186"/>
      <c r="Y36" s="186"/>
      <c r="Z36" s="186"/>
      <c r="AA36" s="186"/>
      <c r="AB36" s="186"/>
      <c r="AC36" s="186"/>
      <c r="AD36" s="186"/>
      <c r="AE36" s="186"/>
      <c r="AF36" s="186"/>
      <c r="AG36" s="186"/>
    </row>
    <row r="37" spans="2:33" ht="12.75" customHeight="1" x14ac:dyDescent="0.25">
      <c r="B37" s="186"/>
      <c r="C37" s="186"/>
      <c r="D37" s="186"/>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Q47"/>
  <sheetViews>
    <sheetView tabSelected="1" zoomScaleNormal="100" workbookViewId="0">
      <selection activeCell="G4" sqref="G4"/>
    </sheetView>
  </sheetViews>
  <sheetFormatPr defaultRowHeight="13.2" x14ac:dyDescent="0.25"/>
  <cols>
    <col min="1" max="1" width="2.5546875" customWidth="1"/>
    <col min="2" max="2" width="5.33203125" customWidth="1"/>
    <col min="3" max="3" width="19.5546875" customWidth="1"/>
    <col min="4" max="4" width="24.33203125" customWidth="1"/>
    <col min="5" max="5" width="14" customWidth="1"/>
    <col min="6" max="6" width="24" bestFit="1" customWidth="1"/>
    <col min="7" max="7" width="11.6640625" customWidth="1"/>
    <col min="8" max="8" width="7.5546875" bestFit="1" customWidth="1"/>
    <col min="9" max="9" width="10.109375" customWidth="1"/>
    <col min="10" max="10" width="18.44140625" customWidth="1"/>
    <col min="12" max="13" width="11.44140625" customWidth="1"/>
    <col min="14" max="14" width="18.33203125" customWidth="1"/>
  </cols>
  <sheetData>
    <row r="1" spans="2:17" ht="13.8" thickBot="1" x14ac:dyDescent="0.3"/>
    <row r="2" spans="2:17" ht="43.8" thickBot="1" x14ac:dyDescent="0.3">
      <c r="B2" s="57" t="s">
        <v>37</v>
      </c>
      <c r="C2" s="58" t="s">
        <v>38</v>
      </c>
      <c r="D2" s="59" t="s">
        <v>68</v>
      </c>
      <c r="E2" s="59" t="s">
        <v>109</v>
      </c>
      <c r="F2" s="59" t="s">
        <v>39</v>
      </c>
      <c r="G2" s="59" t="s">
        <v>430</v>
      </c>
      <c r="H2" s="59" t="s">
        <v>70</v>
      </c>
      <c r="I2" s="58" t="s">
        <v>11</v>
      </c>
      <c r="J2" s="58" t="s">
        <v>69</v>
      </c>
      <c r="K2" s="58" t="s">
        <v>59</v>
      </c>
      <c r="L2" s="60" t="s">
        <v>40</v>
      </c>
      <c r="M2" s="60" t="s">
        <v>71</v>
      </c>
      <c r="N2" s="107" t="s">
        <v>429</v>
      </c>
    </row>
    <row r="3" spans="2:17" s="83" customFormat="1" ht="101.4" thickBot="1" x14ac:dyDescent="0.3">
      <c r="B3" s="82">
        <v>1</v>
      </c>
      <c r="C3" s="105" t="s">
        <v>194</v>
      </c>
      <c r="D3" s="106" t="str">
        <f ca="1">IF(C3&lt;&gt;"",INDIRECT(C3&amp;"!B3"),"")</f>
        <v>ARCH_SW_DIA_0002, ARCH_SW_DIA_0003, ARCH_SW_NVP_0000, ARCH_SW_DIA_0062, ARCH_SW_DIA_0063, ARCH_SW_DIA_0060, ARCH_SW_DIA_0061</v>
      </c>
      <c r="E3" s="95" t="str">
        <f ca="1">IF(C3&lt;&gt;"",INDIRECT(C3&amp;"!B5"),"")</f>
        <v>Nominal</v>
      </c>
      <c r="F3" s="95" t="str">
        <f ca="1">IF(C3&lt;&gt;"",INDIRECT(C3&amp;"!B1"),"")</f>
        <v>Side allocation test</v>
      </c>
      <c r="G3" s="84" t="s">
        <v>431</v>
      </c>
      <c r="H3" s="85">
        <v>1</v>
      </c>
      <c r="I3" s="86" t="s">
        <v>413</v>
      </c>
      <c r="J3" s="87"/>
      <c r="K3" s="93" t="str">
        <f ca="1">IF(C3&lt;&gt;"",INDIRECT(C3&amp;"!B9"),"")</f>
        <v>Ok</v>
      </c>
      <c r="L3" s="91" t="s">
        <v>415</v>
      </c>
      <c r="M3" s="88"/>
      <c r="N3" s="89"/>
      <c r="Q3"/>
    </row>
    <row r="4" spans="2:17" ht="115.8" thickBot="1" x14ac:dyDescent="0.3">
      <c r="B4" s="62">
        <v>2</v>
      </c>
      <c r="C4" s="105" t="s">
        <v>195</v>
      </c>
      <c r="D4" s="106" t="str">
        <f t="shared" ref="D4:D25" ca="1" si="0">IF(C4&lt;&gt;"",INDIRECT(C4&amp;"!B3"),"")</f>
        <v>ARCH_SW_DIA_0004, ARCH_SW_DIA_0005, ARCH_SW_DIA_0064, ARCH_SW_DIA_0065, ARCH_SW_DIA_0066, ARCH_SW_DIA_0067, ARCH_SW_DIA_0082, ARCH_SW_DIA_0084</v>
      </c>
      <c r="E4" s="95" t="str">
        <f t="shared" ref="E4:E25" ca="1" si="1">IF(C4&lt;&gt;"",INDIRECT(C4&amp;"!B5"),"")</f>
        <v>Nominal</v>
      </c>
      <c r="F4" s="95" t="str">
        <f t="shared" ref="F4:F25" ca="1" si="2">IF(C4&lt;&gt;"",INDIRECT(C4&amp;"!B1"),"")</f>
        <v>Internal UDS - FD 10</v>
      </c>
      <c r="G4" s="84" t="s">
        <v>431</v>
      </c>
      <c r="H4" s="85">
        <v>1</v>
      </c>
      <c r="I4" s="86" t="s">
        <v>413</v>
      </c>
      <c r="J4" s="87"/>
      <c r="K4" s="93" t="str">
        <f t="shared" ref="K4:K25" ca="1" si="3">IF(C4&lt;&gt;"",INDIRECT(C4&amp;"!B9"),"")</f>
        <v>Ok</v>
      </c>
      <c r="L4" s="91" t="s">
        <v>415</v>
      </c>
      <c r="M4" s="88"/>
      <c r="N4" s="89"/>
    </row>
    <row r="5" spans="2:17" ht="130.19999999999999" thickBot="1" x14ac:dyDescent="0.3">
      <c r="B5" s="62">
        <v>3</v>
      </c>
      <c r="C5" s="105" t="s">
        <v>196</v>
      </c>
      <c r="D5" s="106" t="str">
        <f t="shared" ca="1" si="0"/>
        <v>ARCH_SW_DIA_0006, ARCH_SW_DIA_0007, ARCH_SW_NVP_0007, ARCH_SW_DIA_0068, ARCH_SW_DIA_0069, ARCH_SW_DIA_0070, ARCH_SW_DIA_0071, ARCH_SW_DIA_0083, ARCH_SW_DIA_0085</v>
      </c>
      <c r="E5" s="95" t="str">
        <f t="shared" ca="1" si="1"/>
        <v>Nominal</v>
      </c>
      <c r="F5" s="95" t="str">
        <f t="shared" ca="1" si="2"/>
        <v>Internal UDS - FD 2A</v>
      </c>
      <c r="G5" s="84"/>
      <c r="H5" s="85">
        <v>1</v>
      </c>
      <c r="I5" s="86" t="s">
        <v>413</v>
      </c>
      <c r="J5" s="87"/>
      <c r="K5" s="93" t="str">
        <f t="shared" ca="1" si="3"/>
        <v>Ok</v>
      </c>
      <c r="L5" s="91" t="s">
        <v>415</v>
      </c>
      <c r="M5" s="88"/>
      <c r="N5" s="89"/>
    </row>
    <row r="6" spans="2:17" ht="137.25" customHeight="1" thickBot="1" x14ac:dyDescent="0.3">
      <c r="B6" s="62">
        <v>4</v>
      </c>
      <c r="C6" s="105" t="s">
        <v>197</v>
      </c>
      <c r="D6" s="106" t="str">
        <f t="shared" ca="1" si="0"/>
        <v xml:space="preserve">ARCH_SW_DIA_0009, ARCH_SW_DIA_0000, ARCH_SW_NVP_0003, ARCH_SW_DIA_0051, ARCH_SW_DIA_0052, ARCH_SW_DIA_0072, ARCH_SW_DIA_0073, ARCH_SW_DIA_0074, ARCH_SW_DIA_0075, </v>
      </c>
      <c r="E6" s="95" t="str">
        <f t="shared" ca="1" si="1"/>
        <v>Nominal</v>
      </c>
      <c r="F6" s="95" t="str">
        <f t="shared" ca="1" si="2"/>
        <v>Identification DIDs - FD 03</v>
      </c>
      <c r="G6" s="84"/>
      <c r="H6" s="85">
        <v>1</v>
      </c>
      <c r="I6" s="86" t="s">
        <v>413</v>
      </c>
      <c r="J6" s="87"/>
      <c r="K6" s="93" t="str">
        <f t="shared" ca="1" si="3"/>
        <v>Nok</v>
      </c>
      <c r="L6" s="91" t="s">
        <v>415</v>
      </c>
      <c r="M6" s="88">
        <v>814546</v>
      </c>
      <c r="N6" s="89"/>
    </row>
    <row r="7" spans="2:17" ht="101.4" thickBot="1" x14ac:dyDescent="0.3">
      <c r="B7" s="62">
        <v>5</v>
      </c>
      <c r="C7" s="105" t="s">
        <v>198</v>
      </c>
      <c r="D7" s="106" t="str">
        <f t="shared" ca="1" si="0"/>
        <v>ARCH_SW_DIA_0001, ARCH_SW_DIA_0008, ARCH_SW_NVP_0001, ARCH_SW_DIA_0054, ARCH_SW_DIA_0055, ARCH_SW_DIA_0056,  ARCH_SW_DIA_0057</v>
      </c>
      <c r="E7" s="95" t="str">
        <f t="shared" ca="1" si="1"/>
        <v>Nominal</v>
      </c>
      <c r="F7" s="95" t="str">
        <f t="shared" ca="1" si="2"/>
        <v>Identification DIDs - 03 40</v>
      </c>
      <c r="G7" s="84"/>
      <c r="H7" s="85">
        <v>1</v>
      </c>
      <c r="I7" s="86" t="s">
        <v>413</v>
      </c>
      <c r="J7" s="87"/>
      <c r="K7" s="93" t="str">
        <f t="shared" ca="1" si="3"/>
        <v>Nok</v>
      </c>
      <c r="L7" s="91" t="s">
        <v>415</v>
      </c>
      <c r="M7" s="88">
        <v>814546</v>
      </c>
      <c r="N7" s="89"/>
    </row>
    <row r="8" spans="2:17" ht="29.4" thickBot="1" x14ac:dyDescent="0.3">
      <c r="B8" s="62">
        <v>6</v>
      </c>
      <c r="C8" s="105" t="s">
        <v>199</v>
      </c>
      <c r="D8" s="106" t="str">
        <f t="shared" ca="1" si="0"/>
        <v>ARCH_SW_DIA_0010</v>
      </c>
      <c r="E8" s="95" t="str">
        <f t="shared" ca="1" si="1"/>
        <v>Nominal</v>
      </c>
      <c r="F8" s="95" t="str">
        <f t="shared" ca="1" si="2"/>
        <v>Read DTC test</v>
      </c>
      <c r="G8" s="84"/>
      <c r="H8" s="85">
        <v>1</v>
      </c>
      <c r="I8" s="86" t="s">
        <v>413</v>
      </c>
      <c r="J8" s="87"/>
      <c r="K8" s="93" t="str">
        <f t="shared" ca="1" si="3"/>
        <v>Ok</v>
      </c>
      <c r="L8" s="91" t="s">
        <v>415</v>
      </c>
      <c r="M8" s="88"/>
      <c r="N8" s="89"/>
    </row>
    <row r="9" spans="2:17" ht="72.599999999999994" thickBot="1" x14ac:dyDescent="0.3">
      <c r="B9" s="62">
        <v>7</v>
      </c>
      <c r="C9" s="105" t="s">
        <v>205</v>
      </c>
      <c r="D9" s="106" t="str">
        <f t="shared" ca="1" si="0"/>
        <v>ARCH_SW_DIA_0011, ARCH_SW_DIA_0076, ARCH_SW_DIA_0077, ARCH_SW_DIA_0078, ARCH_SW_NVP_0004</v>
      </c>
      <c r="E9" s="95" t="str">
        <f t="shared" ca="1" si="1"/>
        <v>Nominal</v>
      </c>
      <c r="F9" s="95" t="str">
        <f t="shared" ca="1" si="2"/>
        <v>PreSafe Counter read - 02 44</v>
      </c>
      <c r="G9" s="84"/>
      <c r="H9" s="85">
        <v>1</v>
      </c>
      <c r="I9" s="86" t="s">
        <v>413</v>
      </c>
      <c r="J9" s="87"/>
      <c r="K9" s="93" t="str">
        <f t="shared" ca="1" si="3"/>
        <v>Ok</v>
      </c>
      <c r="L9" s="91" t="s">
        <v>415</v>
      </c>
      <c r="M9" s="88"/>
      <c r="N9" s="89"/>
    </row>
    <row r="10" spans="2:17" ht="72.599999999999994" thickBot="1" x14ac:dyDescent="0.3">
      <c r="B10" s="62">
        <v>8</v>
      </c>
      <c r="C10" s="105" t="s">
        <v>206</v>
      </c>
      <c r="D10" s="106" t="str">
        <f t="shared" ca="1" si="0"/>
        <v>ARCH_SW_DIA_0012, ARCH_SW_DIA_0079, ARCH_SW_DIA_0080, ARCH_SW_DIA_0081, ARCH_SW_NVP_0004</v>
      </c>
      <c r="E10" s="95" t="str">
        <f t="shared" ca="1" si="1"/>
        <v>Nominal</v>
      </c>
      <c r="F10" s="95" t="str">
        <f t="shared" ca="1" si="2"/>
        <v>BSR Counter read - 02 43</v>
      </c>
      <c r="G10" s="84"/>
      <c r="H10" s="85">
        <v>1</v>
      </c>
      <c r="I10" s="86" t="s">
        <v>413</v>
      </c>
      <c r="J10" s="87"/>
      <c r="K10" s="93" t="str">
        <f t="shared" ca="1" si="3"/>
        <v>Nok</v>
      </c>
      <c r="L10" s="91" t="s">
        <v>415</v>
      </c>
      <c r="M10" s="88">
        <v>814546</v>
      </c>
      <c r="N10" s="89"/>
    </row>
    <row r="11" spans="2:17" ht="58.2" thickBot="1" x14ac:dyDescent="0.3">
      <c r="B11" s="62">
        <v>9</v>
      </c>
      <c r="C11" s="105" t="s">
        <v>326</v>
      </c>
      <c r="D11" s="106" t="str">
        <f t="shared" ca="1" si="0"/>
        <v>ARCH_SW_DIA_0035, ARCH_SW_DIA_0165, ARCH_SW_DIA_0166, ARCH_SW_DIA_0167</v>
      </c>
      <c r="E11" s="95" t="str">
        <f t="shared" ca="1" si="1"/>
        <v>Nominal</v>
      </c>
      <c r="F11" s="95" t="str">
        <f t="shared" ca="1" si="2"/>
        <v>AEC Status Read - FE 00</v>
      </c>
      <c r="G11" s="84"/>
      <c r="H11" s="85">
        <v>1</v>
      </c>
      <c r="I11" s="86" t="s">
        <v>413</v>
      </c>
      <c r="J11" s="87"/>
      <c r="K11" s="93" t="str">
        <f t="shared" ca="1" si="3"/>
        <v>Ok</v>
      </c>
      <c r="L11" s="91" t="s">
        <v>415</v>
      </c>
      <c r="M11" s="88"/>
      <c r="N11" s="89"/>
    </row>
    <row r="12" spans="2:17" ht="72.599999999999994" thickBot="1" x14ac:dyDescent="0.3">
      <c r="B12" s="62">
        <v>10</v>
      </c>
      <c r="C12" s="105" t="s">
        <v>327</v>
      </c>
      <c r="D12" s="106" t="str">
        <f t="shared" ca="1" si="0"/>
        <v>ARCH_SW_DIA_0036, ARCH_SW_DIA_0038, ARCH_SW_DIA_0168, ARCH_SW_DIA_0169, ARCH_SW_DIA_0170</v>
      </c>
      <c r="E12" s="95" t="str">
        <f t="shared" ca="1" si="1"/>
        <v>Nominal</v>
      </c>
      <c r="F12" s="95" t="str">
        <f t="shared" ca="1" si="2"/>
        <v>Internal UDS - FE FF</v>
      </c>
      <c r="G12" s="84"/>
      <c r="H12" s="85">
        <v>1</v>
      </c>
      <c r="I12" s="86" t="s">
        <v>413</v>
      </c>
      <c r="J12" s="87"/>
      <c r="K12" s="93" t="str">
        <f t="shared" ca="1" si="3"/>
        <v>Nok</v>
      </c>
      <c r="L12" s="91" t="s">
        <v>415</v>
      </c>
      <c r="M12" s="88">
        <v>814546</v>
      </c>
      <c r="N12" s="89"/>
    </row>
    <row r="13" spans="2:17" ht="115.8" thickBot="1" x14ac:dyDescent="0.3">
      <c r="B13" s="62">
        <v>11</v>
      </c>
      <c r="C13" s="105" t="s">
        <v>328</v>
      </c>
      <c r="D13" s="106" t="str">
        <f t="shared" ca="1" si="0"/>
        <v>ARCH_SW_DIA_0037, ARCH_SW_DIA_0039, ARCH_SW_DIA_0171, ARCH_SW_DIA_0172, ARCH_SW_DIA_0173, ARCH_SW_DIA_0174, ARCH_SW_DIA_0175, ARCH_SW_DIA_0176</v>
      </c>
      <c r="E13" s="95" t="str">
        <f t="shared" ca="1" si="1"/>
        <v>Nominal</v>
      </c>
      <c r="F13" s="95" t="str">
        <f t="shared" ca="1" si="2"/>
        <v>Internal UDS - FD FF</v>
      </c>
      <c r="G13" s="84"/>
      <c r="H13" s="85">
        <v>1</v>
      </c>
      <c r="I13" s="86" t="s">
        <v>413</v>
      </c>
      <c r="J13" s="87"/>
      <c r="K13" s="93" t="str">
        <f t="shared" ca="1" si="3"/>
        <v>Ok</v>
      </c>
      <c r="L13" s="91" t="s">
        <v>415</v>
      </c>
      <c r="M13" s="88"/>
      <c r="N13" s="89"/>
    </row>
    <row r="14" spans="2:17" ht="115.8" thickBot="1" x14ac:dyDescent="0.3">
      <c r="B14" s="62">
        <v>12</v>
      </c>
      <c r="C14" s="105" t="s">
        <v>329</v>
      </c>
      <c r="D14" s="106" t="str">
        <f t="shared" ca="1" si="0"/>
        <v>ARCH_SW_DIA_0021, ARCH_SW_DIA_0022, ARCH_SW_DIA_0089, ARCH_SW_DIA_0088, ARCH_SW_DIA_0203, ARCH_SW_DIA_0086, ARCH_SW_DIA_0087, ARCH_SW_DIA_0202</v>
      </c>
      <c r="E14" s="95" t="str">
        <f t="shared" ca="1" si="1"/>
        <v>Nominal</v>
      </c>
      <c r="F14" s="95" t="str">
        <f t="shared" ca="1" si="2"/>
        <v>Internal UDS - 03 00</v>
      </c>
      <c r="G14" s="84"/>
      <c r="H14" s="85">
        <v>1</v>
      </c>
      <c r="I14" s="86" t="s">
        <v>413</v>
      </c>
      <c r="J14" s="87"/>
      <c r="K14" s="93" t="str">
        <f t="shared" ca="1" si="3"/>
        <v>Nok</v>
      </c>
      <c r="L14" s="91" t="s">
        <v>415</v>
      </c>
      <c r="M14" s="88">
        <v>814546</v>
      </c>
      <c r="N14" s="89"/>
    </row>
    <row r="15" spans="2:17" ht="115.8" thickBot="1" x14ac:dyDescent="0.3">
      <c r="B15" s="62">
        <v>13</v>
      </c>
      <c r="C15" s="105" t="s">
        <v>330</v>
      </c>
      <c r="D15" s="106" t="str">
        <f t="shared" ca="1" si="0"/>
        <v>ARCH_SW_DIA_0023, ARCH_SW_DIA_0024, ARCH_SW_DIA_0090, ARCH_SW_DIA_0091, ARCH_SW_DIA_0092, ARCH_SW_DIA_0093, ARCH_SW_DIA_0094, ARCH_SW_DIA_0095</v>
      </c>
      <c r="E15" s="95" t="str">
        <f t="shared" ca="1" si="1"/>
        <v>Nominal</v>
      </c>
      <c r="F15" s="95" t="str">
        <f t="shared" ca="1" si="2"/>
        <v>Internal UDS - 03 01</v>
      </c>
      <c r="G15" s="84"/>
      <c r="H15" s="85">
        <v>1</v>
      </c>
      <c r="I15" s="86" t="s">
        <v>413</v>
      </c>
      <c r="J15" s="87"/>
      <c r="K15" s="93" t="str">
        <f t="shared" ca="1" si="3"/>
        <v>Nok</v>
      </c>
      <c r="L15" s="91" t="s">
        <v>415</v>
      </c>
      <c r="M15" s="88">
        <v>814546</v>
      </c>
      <c r="N15" s="89"/>
    </row>
    <row r="16" spans="2:17" ht="115.8" thickBot="1" x14ac:dyDescent="0.3">
      <c r="B16" s="62">
        <v>14</v>
      </c>
      <c r="C16" s="105" t="s">
        <v>331</v>
      </c>
      <c r="D16" s="106" t="str">
        <f t="shared" ca="1" si="0"/>
        <v>ARCH_SW_DIA_0025, ARCH_SW_DIA_0026, ARCH_SW_DIA_0099, ARCH_SW_DIA_0100, ARCH_SW_DIA_0101, ARCH_SW_DIA_0096, ARCH_SW_DIA_0097, ARCH_SW_DIA_0098</v>
      </c>
      <c r="E16" s="95" t="str">
        <f t="shared" ca="1" si="1"/>
        <v>Nominal</v>
      </c>
      <c r="F16" s="95" t="str">
        <f t="shared" ca="1" si="2"/>
        <v>Internal UDS - 03 02</v>
      </c>
      <c r="G16" s="84"/>
      <c r="H16" s="85">
        <v>1</v>
      </c>
      <c r="I16" s="86" t="s">
        <v>413</v>
      </c>
      <c r="J16" s="87"/>
      <c r="K16" s="93" t="str">
        <f t="shared" ca="1" si="3"/>
        <v>Nok</v>
      </c>
      <c r="L16" s="91" t="s">
        <v>415</v>
      </c>
      <c r="M16" s="88">
        <v>814546</v>
      </c>
      <c r="N16" s="89"/>
    </row>
    <row r="17" spans="2:14" ht="409.6" thickBot="1" x14ac:dyDescent="0.3">
      <c r="B17" s="62">
        <v>15</v>
      </c>
      <c r="C17" s="105" t="s">
        <v>332</v>
      </c>
      <c r="D17" s="106" t="str">
        <f t="shared" ca="1" si="0"/>
        <v>ARCH_SW_DIA_0027, ARCH_SW_DIA_0045, ARCH_SW_DIA_0028, ARCH_SW_DIA_0046, ARCH_SW_DIA_0105, ARCH_SW_DIA_0106, ARCH_SW_DIA_0107, ARCH_SW_DIA_0110, ARCH_SW_DIA_0111,  ARCH_SW_DIA_0114, ARCH_SW_DIA_0115, ARCH_SW_DIA_0118, ARCH_SW_DIA_0119, ARCH_SW_DIA_0122, ARCH_SW_DIA_0123, ARCH_SW_DIA_0126, ARCH_SW_DIA_0127, ARCH_SW_DIA_0130, ARCH_SW_DIA_0131, ARCH_SW_DIA_0138, ARCH_SW_DIA_0139, ARCH_SW_DIA_0134, ARCH_SW_DIA_0135, ARCH_SW_DIA_0142, ARCH_SW_DIA_0143, ARCH_SW_DIA_0102, ARCH_SW_DIA_0103, ARCH_SW_DIA_0104, ARCH_SW_DIA_0108, ARCH_SW_DIA_0109, ARCH_SW_DIA_0112, ARCH_SW_DIA_0113, ARCH_SW_DIA_0116, ARCH_SW_DIA_0117, ARCH_SW_DIA_0120, ARCH_SW_DIA_0121, ARCH_SW_DIA_0124, ARCH_SW_DIA_0125, ARCH_SW_DIA_0128, ARCH_SW_DIA_0129, ARCH_SW_DIA_0132, ARCH_SW_DIA_0133, ARCH_SW_DIA_0136, ARCH_SW_DIA_0137, ARCH_SW_DIA_0140, ARCH_SW_DIA_0141</v>
      </c>
      <c r="E17" s="95" t="str">
        <f t="shared" ca="1" si="1"/>
        <v>Nominal</v>
      </c>
      <c r="F17" s="95" t="str">
        <f t="shared" ca="1" si="2"/>
        <v>Internal UDS - 03 10</v>
      </c>
      <c r="G17" s="84"/>
      <c r="H17" s="85">
        <v>1</v>
      </c>
      <c r="I17" s="86" t="s">
        <v>413</v>
      </c>
      <c r="J17" s="87"/>
      <c r="K17" s="93" t="str">
        <f t="shared" ca="1" si="3"/>
        <v>Nok</v>
      </c>
      <c r="L17" s="91" t="s">
        <v>415</v>
      </c>
      <c r="M17" s="88">
        <v>814546</v>
      </c>
      <c r="N17" s="89"/>
    </row>
    <row r="18" spans="2:14" ht="173.4" thickBot="1" x14ac:dyDescent="0.3">
      <c r="B18" s="62">
        <v>16</v>
      </c>
      <c r="C18" s="105" t="s">
        <v>333</v>
      </c>
      <c r="D18" s="106" t="str">
        <f t="shared" ca="1" si="0"/>
        <v>ARCH_SW_DIA_0147, ARCH_SW_DIA_0148, ARCH_SW_DIA_0149, ARCH_SW_DIA_0152, ARCH_SW_DIA_0153, ARCH_SW_DIA_0150, ARCH_SW_DIA_0151, ARCH_SW_DIA_0144, ARCH_SW_DIA_0145, ARCH_SW_DIA_0146, ARCH_SW_DIA_0029, ARCH_SW_DIA_0030</v>
      </c>
      <c r="E18" s="95" t="str">
        <f t="shared" ca="1" si="1"/>
        <v>Nominal</v>
      </c>
      <c r="F18" s="95" t="str">
        <f t="shared" ca="1" si="2"/>
        <v>Internal UDS -  03 11</v>
      </c>
      <c r="G18" s="84"/>
      <c r="H18" s="85">
        <v>1</v>
      </c>
      <c r="I18" s="86" t="s">
        <v>413</v>
      </c>
      <c r="J18" s="87"/>
      <c r="K18" s="93" t="str">
        <f t="shared" ca="1" si="3"/>
        <v>Nok</v>
      </c>
      <c r="L18" s="91" t="s">
        <v>415</v>
      </c>
      <c r="M18" s="88"/>
      <c r="N18" s="89"/>
    </row>
    <row r="19" spans="2:14" ht="173.4" thickBot="1" x14ac:dyDescent="0.3">
      <c r="B19" s="62">
        <v>17</v>
      </c>
      <c r="C19" s="105" t="s">
        <v>334</v>
      </c>
      <c r="D19" s="106" t="str">
        <f t="shared" ca="1" si="0"/>
        <v>ARCH_SW_DIA_0147, ARCH_SW_DIA_0148, ARCH_SW_DIA_0149, ARCH_SW_DIA_0152, ARCH_SW_DIA_0153, ARCH_SW_DIA_0150, ARCH_SW_DIA_0151, ARCH_SW_DIA_0144, ARCH_SW_DIA_0145, ARCH_SW_DIA_0146, ARCH_SW_DIA_0029, ARCH_SW_DIA_0030</v>
      </c>
      <c r="E19" s="95" t="str">
        <f t="shared" ca="1" si="1"/>
        <v>Nominal</v>
      </c>
      <c r="F19" s="95" t="str">
        <f t="shared" ca="1" si="2"/>
        <v>Internal UDS - FD 08</v>
      </c>
      <c r="G19" s="84"/>
      <c r="H19" s="85">
        <v>1</v>
      </c>
      <c r="I19" s="86" t="s">
        <v>413</v>
      </c>
      <c r="J19" s="87"/>
      <c r="K19" s="93" t="str">
        <f t="shared" ca="1" si="3"/>
        <v>Ok</v>
      </c>
      <c r="L19" s="91" t="s">
        <v>415</v>
      </c>
      <c r="M19" s="88"/>
      <c r="N19" s="89"/>
    </row>
    <row r="20" spans="2:14" ht="101.4" thickBot="1" x14ac:dyDescent="0.3">
      <c r="B20" s="62">
        <v>18</v>
      </c>
      <c r="C20" s="105" t="s">
        <v>335</v>
      </c>
      <c r="D20" s="106" t="str">
        <f t="shared" ca="1" si="0"/>
        <v>ARCH_SW_DIA_0013, ARCH_SW_DIA_0014, ARCH_SW_DIA_0188, ARCH_SW_DIA_0189, ARCH_SW_DIA_0190, ARCH_SW_DIA_0192, ARCH_SW_DIA_0193</v>
      </c>
      <c r="E20" s="95" t="str">
        <f t="shared" ca="1" si="1"/>
        <v>Nominal</v>
      </c>
      <c r="F20" s="95" t="str">
        <f t="shared" ca="1" si="2"/>
        <v>Internal UDS - Routine Control F7 03</v>
      </c>
      <c r="G20" s="84"/>
      <c r="H20" s="85">
        <v>1</v>
      </c>
      <c r="I20" s="86" t="s">
        <v>413</v>
      </c>
      <c r="J20" s="87"/>
      <c r="K20" s="93" t="str">
        <f t="shared" ca="1" si="3"/>
        <v>Nok</v>
      </c>
      <c r="L20" s="91" t="s">
        <v>415</v>
      </c>
      <c r="M20" s="88">
        <v>814546</v>
      </c>
      <c r="N20" s="89"/>
    </row>
    <row r="21" spans="2:14" ht="144.6" thickBot="1" x14ac:dyDescent="0.3">
      <c r="B21" s="61">
        <v>19</v>
      </c>
      <c r="C21" s="105" t="s">
        <v>404</v>
      </c>
      <c r="D21" s="106" t="str">
        <f t="shared" ca="1" si="0"/>
        <v>ARCH_SW_DIA_0031, ARCH_SW_DIA_0032, ARCH_SW_DIA_0154, ARCH_SW_DIA_0155, ARCH_SW_DIA_0156, ARCH_SW_DIA_0157, ARCH_SW_DIA_0158, ARCH_SW_DIA_0159, ARCH_SW_DIA_0160, ARCH_SW_DIA_0161</v>
      </c>
      <c r="E21" s="95" t="str">
        <f t="shared" ca="1" si="1"/>
        <v>Nominal</v>
      </c>
      <c r="F21" s="95" t="str">
        <f t="shared" ca="1" si="2"/>
        <v>Reset, Last Reset Read - FD 08 , FD 09</v>
      </c>
      <c r="G21" s="84"/>
      <c r="H21" s="85">
        <v>1</v>
      </c>
      <c r="I21" s="86" t="s">
        <v>413</v>
      </c>
      <c r="J21" s="87"/>
      <c r="K21" s="93" t="str">
        <f t="shared" ca="1" si="3"/>
        <v>Ok</v>
      </c>
      <c r="L21" s="91" t="s">
        <v>415</v>
      </c>
      <c r="M21" s="88"/>
      <c r="N21" s="89"/>
    </row>
    <row r="22" spans="2:14" ht="72.599999999999994" thickBot="1" x14ac:dyDescent="0.3">
      <c r="B22" s="62">
        <v>20</v>
      </c>
      <c r="C22" s="105" t="s">
        <v>405</v>
      </c>
      <c r="D22" s="106" t="str">
        <f t="shared" ca="1" si="0"/>
        <v xml:space="preserve">ARCH_SW_DIA_0033, ARCH_SW_DIA_0034, ARCH_SW_DIA_0162, ARCH_SW_DIA_0163, ARCH_SW_DIA_0164, </v>
      </c>
      <c r="E22" s="95" t="str">
        <f t="shared" ca="1" si="1"/>
        <v>Nominal</v>
      </c>
      <c r="F22" s="95" t="str">
        <f t="shared" ca="1" si="2"/>
        <v>Internal UDS - FD 31</v>
      </c>
      <c r="G22" s="84"/>
      <c r="H22" s="85">
        <v>1</v>
      </c>
      <c r="I22" s="86" t="s">
        <v>413</v>
      </c>
      <c r="J22" s="87"/>
      <c r="K22" s="93" t="str">
        <f t="shared" ca="1" si="3"/>
        <v>Ok</v>
      </c>
      <c r="L22" s="91" t="s">
        <v>415</v>
      </c>
      <c r="M22" s="88"/>
      <c r="N22" s="89"/>
    </row>
    <row r="23" spans="2:14" ht="115.8" thickBot="1" x14ac:dyDescent="0.3">
      <c r="B23" s="62">
        <v>21</v>
      </c>
      <c r="C23" s="105" t="s">
        <v>406</v>
      </c>
      <c r="D23" s="106" t="str">
        <f t="shared" ca="1" si="0"/>
        <v>ARCH_SW_DIA_0015, ARCH_SW_DIA_0016, ARCH_SW_DIA_0017, ARCH_SW_DIA_0192, ARCH_SW_DIA_0193, ARCH_SW_DIA_0194, ARCH_SW_DIA_0195, ARCH_SW_DIA_0196</v>
      </c>
      <c r="E23" s="95" t="str">
        <f t="shared" ca="1" si="1"/>
        <v>Nominal</v>
      </c>
      <c r="F23" s="95" t="str">
        <f t="shared" ca="1" si="2"/>
        <v>Internal UDS - Routine Control 03 29</v>
      </c>
      <c r="G23" s="84"/>
      <c r="H23" s="85">
        <v>1</v>
      </c>
      <c r="I23" s="86" t="s">
        <v>413</v>
      </c>
      <c r="J23" s="87"/>
      <c r="K23" s="93" t="str">
        <f t="shared" ca="1" si="3"/>
        <v>Nok</v>
      </c>
      <c r="L23" s="91" t="s">
        <v>415</v>
      </c>
      <c r="M23" s="88">
        <v>814546</v>
      </c>
      <c r="N23" s="89"/>
    </row>
    <row r="24" spans="2:14" ht="144.6" thickBot="1" x14ac:dyDescent="0.3">
      <c r="B24" s="62">
        <v>22</v>
      </c>
      <c r="C24" s="105" t="s">
        <v>407</v>
      </c>
      <c r="D24" s="106" t="str">
        <f t="shared" ca="1" si="0"/>
        <v>ARCH_SW_DIA_0018, ARCH_SW_DIA_0019, ARCH_SW_DIA_0020, ARCH_SW_DIA_0197, ARCH_SW_DIA_0198, ARCH_SW_DIA_0199, ARCH_SW_DIA_0200, ARCH_SW_DIA_0201, ARCH_SW_DIA_0204, ARCH_SW_DIA_0205</v>
      </c>
      <c r="E24" s="95" t="str">
        <f t="shared" ca="1" si="1"/>
        <v>Nominal</v>
      </c>
      <c r="F24" s="95" t="str">
        <f t="shared" ca="1" si="2"/>
        <v>Internal UDS - Routine Control 03 30</v>
      </c>
      <c r="G24" s="84"/>
      <c r="H24" s="85">
        <v>1</v>
      </c>
      <c r="I24" s="86" t="s">
        <v>413</v>
      </c>
      <c r="J24" s="87"/>
      <c r="K24" s="93" t="str">
        <f t="shared" ca="1" si="3"/>
        <v>Nok</v>
      </c>
      <c r="L24" s="91" t="s">
        <v>415</v>
      </c>
      <c r="M24" s="88">
        <v>814546</v>
      </c>
      <c r="N24" s="89"/>
    </row>
    <row r="25" spans="2:14" ht="144.6" thickBot="1" x14ac:dyDescent="0.3">
      <c r="B25" s="62">
        <v>23</v>
      </c>
      <c r="C25" s="105" t="s">
        <v>408</v>
      </c>
      <c r="D25" s="106" t="str">
        <f t="shared" ca="1" si="0"/>
        <v>ARCH_SW_DIA_0018, ARCH_SW_DIA_0019, ARCH_SW_DIA_0020, ARCH_SW_DIA_0197, ARCH_SW_DIA_0198, ARCH_SW_DIA_0199, ARCH_SW_DIA_0200, ARCH_SW_DIA_0201, ARCH_SW_DIA_0204, ARCH_SW_DIA_0205</v>
      </c>
      <c r="E25" s="95" t="str">
        <f t="shared" ca="1" si="1"/>
        <v>Nominal</v>
      </c>
      <c r="F25" s="95" t="str">
        <f t="shared" ca="1" si="2"/>
        <v>Internal UDS - Session transition</v>
      </c>
      <c r="G25" s="84"/>
      <c r="H25" s="85">
        <v>1</v>
      </c>
      <c r="I25" s="86" t="s">
        <v>413</v>
      </c>
      <c r="J25" s="87"/>
      <c r="K25" s="93" t="str">
        <f t="shared" ca="1" si="3"/>
        <v>Ok</v>
      </c>
      <c r="L25" s="91" t="s">
        <v>415</v>
      </c>
      <c r="M25" s="88"/>
      <c r="N25" s="89"/>
    </row>
    <row r="26" spans="2:14" ht="100.8" x14ac:dyDescent="0.25">
      <c r="B26" s="62">
        <v>24</v>
      </c>
      <c r="C26" s="105" t="s">
        <v>412</v>
      </c>
      <c r="D26" s="106" t="str">
        <f ca="1">IF(C26&lt;&gt;"",INDIRECT(C26&amp;"!B3"),"")</f>
        <v>ARCH_SW_DIA_0040, ARCH_SW_DIA_0041, ARCH_SW_DIA_0177, ARCH_SW_DIA_0178, ARCH_SW_DIA_0179, ARCH_SW_DIA_0180, ARCH_SW_DIA_0181</v>
      </c>
      <c r="E26" s="95" t="str">
        <f t="shared" ref="E26" ca="1" si="4">IF(C26&lt;&gt;"",INDIRECT(C26&amp;"!B5"),"")</f>
        <v>Nominal</v>
      </c>
      <c r="F26" s="95" t="str">
        <f t="shared" ref="F26" ca="1" si="5">IF(C26&lt;&gt;"",INDIRECT(C26&amp;"!B1"),"")</f>
        <v>Internal UDS - Untestable requirements</v>
      </c>
      <c r="G26" s="84"/>
      <c r="H26" s="85">
        <v>1</v>
      </c>
      <c r="I26" s="86" t="s">
        <v>413</v>
      </c>
      <c r="J26" s="87"/>
      <c r="K26" s="93" t="str">
        <f t="shared" ref="K26" ca="1" si="6">IF(C26&lt;&gt;"",INDIRECT(C26&amp;"!B9"),"")</f>
        <v>Nok</v>
      </c>
      <c r="L26" s="91" t="s">
        <v>415</v>
      </c>
      <c r="M26" s="88">
        <v>814546</v>
      </c>
      <c r="N26" s="89"/>
    </row>
    <row r="27" spans="2:14" ht="14.4" x14ac:dyDescent="0.25">
      <c r="B27" s="62">
        <v>25</v>
      </c>
      <c r="C27" s="63"/>
      <c r="D27" s="64" t="str">
        <f t="shared" ref="D27:D47" ca="1" si="7">IF(C27&lt;&gt;"",INDIRECT(C27&amp;"!B5"),"")</f>
        <v/>
      </c>
      <c r="E27" s="64" t="str">
        <f t="shared" ref="E27:E47" ca="1" si="8">IF(C27&lt;&gt;"",INDIRECT(C27&amp;"!B7"),"")</f>
        <v/>
      </c>
      <c r="F27" s="64" t="str">
        <f t="shared" ref="F27:F47" ca="1" si="9">IF(C27&lt;&gt;"",INDIRECT(C27&amp;"!B1"),"")</f>
        <v/>
      </c>
      <c r="G27" s="64"/>
      <c r="H27" s="64"/>
      <c r="I27" s="65"/>
      <c r="J27" s="66"/>
      <c r="K27" s="94" t="str">
        <f t="shared" ref="K27:K47" ca="1" si="10">IF(C27&lt;&gt;"",INDIRECT(C27&amp;"!B11"),"")</f>
        <v/>
      </c>
      <c r="L27" s="92"/>
      <c r="M27" s="81"/>
      <c r="N27" s="67"/>
    </row>
    <row r="28" spans="2:14" ht="14.4" x14ac:dyDescent="0.25">
      <c r="B28" s="62">
        <v>26</v>
      </c>
      <c r="C28" s="63"/>
      <c r="D28" s="64" t="str">
        <f t="shared" ca="1" si="7"/>
        <v/>
      </c>
      <c r="E28" s="64" t="str">
        <f t="shared" ca="1" si="8"/>
        <v/>
      </c>
      <c r="F28" s="64" t="str">
        <f t="shared" ca="1" si="9"/>
        <v/>
      </c>
      <c r="G28" s="64"/>
      <c r="H28" s="64"/>
      <c r="I28" s="65"/>
      <c r="J28" s="66"/>
      <c r="K28" s="94" t="str">
        <f t="shared" ca="1" si="10"/>
        <v/>
      </c>
      <c r="L28" s="92"/>
      <c r="M28" s="81"/>
      <c r="N28" s="67"/>
    </row>
    <row r="29" spans="2:14" ht="14.4" x14ac:dyDescent="0.25">
      <c r="B29" s="62">
        <v>27</v>
      </c>
      <c r="C29" s="63"/>
      <c r="D29" s="64" t="str">
        <f t="shared" ca="1" si="7"/>
        <v/>
      </c>
      <c r="E29" s="64" t="str">
        <f t="shared" ca="1" si="8"/>
        <v/>
      </c>
      <c r="F29" s="64" t="str">
        <f t="shared" ca="1" si="9"/>
        <v/>
      </c>
      <c r="G29" s="64"/>
      <c r="H29" s="64"/>
      <c r="I29" s="65"/>
      <c r="J29" s="66"/>
      <c r="K29" s="94" t="str">
        <f t="shared" ca="1" si="10"/>
        <v/>
      </c>
      <c r="L29" s="92"/>
      <c r="M29" s="81"/>
      <c r="N29" s="67"/>
    </row>
    <row r="30" spans="2:14" ht="14.4" x14ac:dyDescent="0.25">
      <c r="B30" s="61">
        <v>28</v>
      </c>
      <c r="C30" s="63"/>
      <c r="D30" s="64" t="str">
        <f t="shared" ca="1" si="7"/>
        <v/>
      </c>
      <c r="E30" s="64" t="str">
        <f t="shared" ca="1" si="8"/>
        <v/>
      </c>
      <c r="F30" s="64" t="str">
        <f t="shared" ca="1" si="9"/>
        <v/>
      </c>
      <c r="G30" s="64"/>
      <c r="H30" s="64"/>
      <c r="I30" s="65"/>
      <c r="J30" s="66"/>
      <c r="K30" s="94" t="str">
        <f t="shared" ca="1" si="10"/>
        <v/>
      </c>
      <c r="L30" s="92"/>
      <c r="M30" s="81"/>
      <c r="N30" s="67"/>
    </row>
    <row r="31" spans="2:14" ht="14.4" x14ac:dyDescent="0.25">
      <c r="B31" s="62">
        <v>29</v>
      </c>
      <c r="C31" s="63"/>
      <c r="D31" s="64" t="str">
        <f t="shared" ca="1" si="7"/>
        <v/>
      </c>
      <c r="E31" s="64" t="str">
        <f t="shared" ca="1" si="8"/>
        <v/>
      </c>
      <c r="F31" s="64" t="str">
        <f t="shared" ca="1" si="9"/>
        <v/>
      </c>
      <c r="G31" s="64"/>
      <c r="H31" s="64"/>
      <c r="I31" s="65"/>
      <c r="J31" s="66"/>
      <c r="K31" s="94" t="str">
        <f t="shared" ca="1" si="10"/>
        <v/>
      </c>
      <c r="L31" s="92"/>
      <c r="M31" s="81"/>
      <c r="N31" s="67"/>
    </row>
    <row r="32" spans="2:14" ht="14.4" x14ac:dyDescent="0.25">
      <c r="B32" s="62">
        <v>30</v>
      </c>
      <c r="C32" s="63"/>
      <c r="D32" s="64" t="str">
        <f t="shared" ca="1" si="7"/>
        <v/>
      </c>
      <c r="E32" s="64" t="str">
        <f t="shared" ca="1" si="8"/>
        <v/>
      </c>
      <c r="F32" s="64" t="str">
        <f t="shared" ca="1" si="9"/>
        <v/>
      </c>
      <c r="G32" s="64"/>
      <c r="H32" s="64"/>
      <c r="I32" s="65"/>
      <c r="J32" s="66"/>
      <c r="K32" s="94" t="str">
        <f t="shared" ca="1" si="10"/>
        <v/>
      </c>
      <c r="L32" s="92"/>
      <c r="M32" s="81"/>
      <c r="N32" s="67"/>
    </row>
    <row r="33" spans="2:14" ht="14.4" x14ac:dyDescent="0.25">
      <c r="B33" s="62">
        <v>31</v>
      </c>
      <c r="C33" s="63"/>
      <c r="D33" s="64" t="str">
        <f t="shared" ca="1" si="7"/>
        <v/>
      </c>
      <c r="E33" s="64" t="str">
        <f t="shared" ca="1" si="8"/>
        <v/>
      </c>
      <c r="F33" s="64" t="str">
        <f t="shared" ca="1" si="9"/>
        <v/>
      </c>
      <c r="G33" s="64"/>
      <c r="H33" s="64"/>
      <c r="I33" s="65"/>
      <c r="J33" s="66"/>
      <c r="K33" s="94" t="str">
        <f t="shared" ca="1" si="10"/>
        <v/>
      </c>
      <c r="L33" s="92"/>
      <c r="M33" s="81"/>
      <c r="N33" s="67"/>
    </row>
    <row r="34" spans="2:14" ht="14.4" x14ac:dyDescent="0.25">
      <c r="B34" s="62">
        <v>32</v>
      </c>
      <c r="C34" s="63"/>
      <c r="D34" s="64" t="str">
        <f t="shared" ca="1" si="7"/>
        <v/>
      </c>
      <c r="E34" s="64" t="str">
        <f t="shared" ca="1" si="8"/>
        <v/>
      </c>
      <c r="F34" s="64" t="str">
        <f t="shared" ca="1" si="9"/>
        <v/>
      </c>
      <c r="G34" s="64"/>
      <c r="H34" s="64"/>
      <c r="I34" s="65"/>
      <c r="J34" s="66"/>
      <c r="K34" s="94" t="str">
        <f t="shared" ca="1" si="10"/>
        <v/>
      </c>
      <c r="L34" s="92"/>
      <c r="M34" s="81"/>
      <c r="N34" s="67"/>
    </row>
    <row r="35" spans="2:14" ht="14.4" x14ac:dyDescent="0.25">
      <c r="B35" s="62">
        <v>33</v>
      </c>
      <c r="C35" s="63"/>
      <c r="D35" s="64" t="str">
        <f t="shared" ca="1" si="7"/>
        <v/>
      </c>
      <c r="E35" s="64" t="str">
        <f t="shared" ca="1" si="8"/>
        <v/>
      </c>
      <c r="F35" s="64" t="str">
        <f t="shared" ca="1" si="9"/>
        <v/>
      </c>
      <c r="G35" s="64"/>
      <c r="H35" s="64"/>
      <c r="I35" s="65"/>
      <c r="J35" s="66"/>
      <c r="K35" s="94" t="str">
        <f t="shared" ca="1" si="10"/>
        <v/>
      </c>
      <c r="L35" s="92"/>
      <c r="M35" s="81"/>
      <c r="N35" s="67"/>
    </row>
    <row r="36" spans="2:14" ht="14.4" x14ac:dyDescent="0.25">
      <c r="B36" s="62">
        <v>34</v>
      </c>
      <c r="C36" s="63"/>
      <c r="D36" s="64" t="str">
        <f t="shared" ca="1" si="7"/>
        <v/>
      </c>
      <c r="E36" s="64" t="str">
        <f t="shared" ca="1" si="8"/>
        <v/>
      </c>
      <c r="F36" s="64" t="str">
        <f t="shared" ca="1" si="9"/>
        <v/>
      </c>
      <c r="G36" s="64"/>
      <c r="H36" s="64"/>
      <c r="I36" s="65"/>
      <c r="J36" s="66"/>
      <c r="K36" s="94" t="str">
        <f t="shared" ca="1" si="10"/>
        <v/>
      </c>
      <c r="L36" s="92"/>
      <c r="M36" s="81"/>
      <c r="N36" s="67"/>
    </row>
    <row r="37" spans="2:14" ht="14.4" x14ac:dyDescent="0.25">
      <c r="B37" s="62">
        <v>35</v>
      </c>
      <c r="C37" s="63"/>
      <c r="D37" s="64" t="str">
        <f t="shared" ca="1" si="7"/>
        <v/>
      </c>
      <c r="E37" s="64" t="str">
        <f t="shared" ca="1" si="8"/>
        <v/>
      </c>
      <c r="F37" s="64" t="str">
        <f t="shared" ca="1" si="9"/>
        <v/>
      </c>
      <c r="G37" s="64"/>
      <c r="H37" s="64"/>
      <c r="I37" s="65"/>
      <c r="J37" s="66"/>
      <c r="K37" s="94" t="str">
        <f t="shared" ca="1" si="10"/>
        <v/>
      </c>
      <c r="L37" s="92"/>
      <c r="M37" s="81"/>
      <c r="N37" s="67"/>
    </row>
    <row r="38" spans="2:14" ht="14.4" x14ac:dyDescent="0.25">
      <c r="B38" s="62">
        <v>36</v>
      </c>
      <c r="C38" s="63"/>
      <c r="D38" s="64" t="str">
        <f t="shared" ca="1" si="7"/>
        <v/>
      </c>
      <c r="E38" s="64" t="str">
        <f t="shared" ca="1" si="8"/>
        <v/>
      </c>
      <c r="F38" s="64" t="str">
        <f t="shared" ca="1" si="9"/>
        <v/>
      </c>
      <c r="G38" s="64"/>
      <c r="H38" s="64"/>
      <c r="I38" s="65"/>
      <c r="J38" s="66"/>
      <c r="K38" s="94" t="str">
        <f t="shared" ca="1" si="10"/>
        <v/>
      </c>
      <c r="L38" s="92"/>
      <c r="M38" s="81"/>
      <c r="N38" s="67"/>
    </row>
    <row r="39" spans="2:14" ht="14.4" x14ac:dyDescent="0.25">
      <c r="B39" s="61">
        <v>37</v>
      </c>
      <c r="C39" s="63"/>
      <c r="D39" s="64" t="str">
        <f t="shared" ca="1" si="7"/>
        <v/>
      </c>
      <c r="E39" s="64" t="str">
        <f t="shared" ca="1" si="8"/>
        <v/>
      </c>
      <c r="F39" s="64" t="str">
        <f t="shared" ca="1" si="9"/>
        <v/>
      </c>
      <c r="G39" s="64"/>
      <c r="H39" s="64"/>
      <c r="I39" s="65"/>
      <c r="J39" s="66"/>
      <c r="K39" s="94" t="str">
        <f t="shared" ca="1" si="10"/>
        <v/>
      </c>
      <c r="L39" s="92"/>
      <c r="M39" s="81"/>
      <c r="N39" s="67"/>
    </row>
    <row r="40" spans="2:14" ht="14.4" x14ac:dyDescent="0.25">
      <c r="B40" s="62">
        <v>38</v>
      </c>
      <c r="C40" s="63"/>
      <c r="D40" s="64" t="str">
        <f t="shared" ca="1" si="7"/>
        <v/>
      </c>
      <c r="E40" s="64" t="str">
        <f t="shared" ca="1" si="8"/>
        <v/>
      </c>
      <c r="F40" s="64" t="str">
        <f t="shared" ca="1" si="9"/>
        <v/>
      </c>
      <c r="G40" s="64"/>
      <c r="H40" s="64"/>
      <c r="I40" s="65"/>
      <c r="J40" s="66"/>
      <c r="K40" s="94" t="str">
        <f t="shared" ca="1" si="10"/>
        <v/>
      </c>
      <c r="L40" s="92"/>
      <c r="M40" s="81"/>
      <c r="N40" s="67"/>
    </row>
    <row r="41" spans="2:14" ht="14.4" x14ac:dyDescent="0.25">
      <c r="B41" s="62">
        <v>39</v>
      </c>
      <c r="C41" s="63"/>
      <c r="D41" s="64" t="str">
        <f t="shared" ca="1" si="7"/>
        <v/>
      </c>
      <c r="E41" s="64" t="str">
        <f t="shared" ca="1" si="8"/>
        <v/>
      </c>
      <c r="F41" s="64" t="str">
        <f t="shared" ca="1" si="9"/>
        <v/>
      </c>
      <c r="G41" s="64"/>
      <c r="H41" s="64"/>
      <c r="I41" s="65"/>
      <c r="J41" s="66"/>
      <c r="K41" s="94" t="str">
        <f t="shared" ca="1" si="10"/>
        <v/>
      </c>
      <c r="L41" s="92"/>
      <c r="M41" s="81"/>
      <c r="N41" s="67"/>
    </row>
    <row r="42" spans="2:14" ht="14.4" x14ac:dyDescent="0.25">
      <c r="B42" s="62">
        <v>40</v>
      </c>
      <c r="C42" s="63"/>
      <c r="D42" s="64" t="str">
        <f t="shared" ca="1" si="7"/>
        <v/>
      </c>
      <c r="E42" s="64" t="str">
        <f t="shared" ca="1" si="8"/>
        <v/>
      </c>
      <c r="F42" s="64" t="str">
        <f t="shared" ca="1" si="9"/>
        <v/>
      </c>
      <c r="G42" s="64"/>
      <c r="H42" s="64"/>
      <c r="I42" s="65"/>
      <c r="J42" s="66"/>
      <c r="K42" s="94" t="str">
        <f t="shared" ca="1" si="10"/>
        <v/>
      </c>
      <c r="L42" s="92"/>
      <c r="M42" s="81"/>
      <c r="N42" s="67"/>
    </row>
    <row r="43" spans="2:14" ht="14.4" x14ac:dyDescent="0.25">
      <c r="B43" s="62">
        <v>41</v>
      </c>
      <c r="C43" s="63"/>
      <c r="D43" s="64" t="str">
        <f t="shared" ca="1" si="7"/>
        <v/>
      </c>
      <c r="E43" s="64" t="str">
        <f t="shared" ca="1" si="8"/>
        <v/>
      </c>
      <c r="F43" s="64" t="str">
        <f t="shared" ca="1" si="9"/>
        <v/>
      </c>
      <c r="G43" s="64"/>
      <c r="H43" s="64"/>
      <c r="I43" s="65"/>
      <c r="J43" s="66"/>
      <c r="K43" s="94" t="str">
        <f t="shared" ca="1" si="10"/>
        <v/>
      </c>
      <c r="L43" s="92"/>
      <c r="M43" s="81"/>
      <c r="N43" s="67"/>
    </row>
    <row r="44" spans="2:14" ht="14.4" x14ac:dyDescent="0.25">
      <c r="B44" s="62">
        <v>42</v>
      </c>
      <c r="C44" s="63"/>
      <c r="D44" s="64" t="str">
        <f t="shared" ca="1" si="7"/>
        <v/>
      </c>
      <c r="E44" s="64" t="str">
        <f t="shared" ca="1" si="8"/>
        <v/>
      </c>
      <c r="F44" s="64" t="str">
        <f t="shared" ca="1" si="9"/>
        <v/>
      </c>
      <c r="G44" s="64"/>
      <c r="H44" s="64"/>
      <c r="I44" s="65"/>
      <c r="J44" s="66"/>
      <c r="K44" s="94" t="str">
        <f t="shared" ca="1" si="10"/>
        <v/>
      </c>
      <c r="L44" s="92"/>
      <c r="M44" s="81"/>
      <c r="N44" s="67"/>
    </row>
    <row r="45" spans="2:14" ht="14.4" x14ac:dyDescent="0.25">
      <c r="B45" s="62">
        <v>43</v>
      </c>
      <c r="C45" s="63"/>
      <c r="D45" s="64" t="str">
        <f t="shared" ca="1" si="7"/>
        <v/>
      </c>
      <c r="E45" s="64" t="str">
        <f t="shared" ca="1" si="8"/>
        <v/>
      </c>
      <c r="F45" s="64" t="str">
        <f t="shared" ca="1" si="9"/>
        <v/>
      </c>
      <c r="G45" s="64"/>
      <c r="H45" s="64"/>
      <c r="I45" s="65"/>
      <c r="J45" s="66"/>
      <c r="K45" s="94" t="str">
        <f t="shared" ca="1" si="10"/>
        <v/>
      </c>
      <c r="L45" s="92"/>
      <c r="M45" s="81"/>
      <c r="N45" s="67"/>
    </row>
    <row r="46" spans="2:14" ht="14.4" x14ac:dyDescent="0.25">
      <c r="B46" s="62">
        <v>44</v>
      </c>
      <c r="C46" s="63"/>
      <c r="D46" s="64" t="str">
        <f t="shared" ca="1" si="7"/>
        <v/>
      </c>
      <c r="E46" s="64" t="str">
        <f t="shared" ca="1" si="8"/>
        <v/>
      </c>
      <c r="F46" s="64" t="str">
        <f t="shared" ca="1" si="9"/>
        <v/>
      </c>
      <c r="G46" s="64"/>
      <c r="H46" s="64"/>
      <c r="I46" s="65"/>
      <c r="J46" s="66"/>
      <c r="K46" s="94" t="str">
        <f t="shared" ca="1" si="10"/>
        <v/>
      </c>
      <c r="L46" s="92"/>
      <c r="M46" s="81"/>
      <c r="N46" s="67"/>
    </row>
    <row r="47" spans="2:14" ht="15" thickBot="1" x14ac:dyDescent="0.3">
      <c r="B47" s="68">
        <v>45</v>
      </c>
      <c r="C47" s="69"/>
      <c r="D47" s="64" t="str">
        <f t="shared" ca="1" si="7"/>
        <v/>
      </c>
      <c r="E47" s="64" t="str">
        <f t="shared" ca="1" si="8"/>
        <v/>
      </c>
      <c r="F47" s="64" t="str">
        <f t="shared" ca="1" si="9"/>
        <v/>
      </c>
      <c r="G47" s="64"/>
      <c r="H47" s="64"/>
      <c r="I47" s="65"/>
      <c r="J47" s="66"/>
      <c r="K47" s="94" t="str">
        <f t="shared" ca="1" si="10"/>
        <v/>
      </c>
      <c r="L47" s="92"/>
      <c r="M47" s="81"/>
      <c r="N47" s="67"/>
    </row>
  </sheetData>
  <phoneticPr fontId="42" type="noConversion"/>
  <conditionalFormatting sqref="K3:K47">
    <cfRule type="cellIs" dxfId="277" priority="9" operator="equal">
      <formula>"Nok"</formula>
    </cfRule>
    <cfRule type="cellIs" dxfId="276" priority="10" operator="equal">
      <formula>"Ok"</formula>
    </cfRule>
  </conditionalFormatting>
  <dataValidations count="3">
    <dataValidation type="list" allowBlank="1" showInputMessage="1" showErrorMessage="1" sqref="E27:E47" xr:uid="{00000000-0002-0000-0300-000000000000}">
      <formula1>"Nominal, Robustness, Endurance, Qualification, Other"</formula1>
    </dataValidation>
    <dataValidation type="list" allowBlank="1" showInputMessage="1" showErrorMessage="1" sqref="G3:G26" xr:uid="{00000000-0002-0000-0300-000001000000}">
      <formula1>",X,"</formula1>
    </dataValidation>
    <dataValidation type="list" allowBlank="1" showInputMessage="1" showErrorMessage="1" sqref="H3:H26" xr:uid="{00000000-0002-0000-0300-000002000000}">
      <formula1>"1,2,3,"</formula1>
    </dataValidation>
  </dataValidations>
  <hyperlinks>
    <hyperlink ref="C3" location="SW_IT_DIA_001!A1" display="SW_IT_APP_001" xr:uid="{00000000-0004-0000-0300-000000000000}"/>
    <hyperlink ref="C4" location="SW_IT_DIA_001!A1" display="SW_IT_APP_001" xr:uid="{20F5F16B-F34B-4160-BD44-70D16FFC90BE}"/>
    <hyperlink ref="C5" location="SW_IT_DIA_001!A1" display="SW_IT_APP_001" xr:uid="{B0DBBD54-407B-41DA-9750-9D824A1FF587}"/>
    <hyperlink ref="C6" location="SW_IT_DIA_004!A1" display="SW_IT_DIA_004" xr:uid="{BA948DE8-A92D-47C3-A37C-62BCF4AEF8CE}"/>
    <hyperlink ref="C7" location="SW_IT_DIA_001!A1" display="SW_IT_APP_001" xr:uid="{6B215634-6966-443C-ABD9-42DDA7A5C788}"/>
    <hyperlink ref="C8" location="SW_IT_DIA_001!A1" display="SW_IT_APP_001" xr:uid="{AEBE02A3-5B2C-4632-96F0-9207C3AF558C}"/>
    <hyperlink ref="C9" location="SW_IT_DIA_001!A1" display="SW_IT_APP_001" xr:uid="{BED6C5DC-8D34-441A-B5BD-9960756F85ED}"/>
    <hyperlink ref="C10" location="SW_IT_DIA_001!A1" display="SW_IT_APP_001" xr:uid="{B502A4AF-1F26-45D9-92F6-C1600237ACD4}"/>
    <hyperlink ref="C11" location="SW_IT_DIA_009!A1" display="SW_IT_DIA_009" xr:uid="{7CEE78C3-8D17-4AE4-BFF9-9CBB178D76B0}"/>
    <hyperlink ref="C12" location="SW_IT_DIA_001!A1" display="SW_IT_APP_001" xr:uid="{02CDE9E6-1DA7-435E-B61B-52F4E2AA2D84}"/>
    <hyperlink ref="C13" location="SW_IT_DIA_001!A1" display="SW_IT_APP_001" xr:uid="{D7EB03EE-C6E0-4E51-B70F-A5056F1A7EBD}"/>
    <hyperlink ref="C14" location="SW_IT_DIA_001!A1" display="SW_IT_APP_001" xr:uid="{CD31ED45-976B-414D-92F8-BC33744387CD}"/>
    <hyperlink ref="C15" location="SW_IT_DIA_001!A1" display="SW_IT_APP_001" xr:uid="{4B7DE328-B4DE-46B7-8B04-027B3BDDC786}"/>
    <hyperlink ref="C16" location="SW_IT_DIA_001!A1" display="SW_IT_APP_001" xr:uid="{380B4657-2E03-448E-877E-69AA2453274D}"/>
    <hyperlink ref="C17" location="SW_IT_DIA_001!A1" display="SW_IT_APP_001" xr:uid="{D07DAC74-5CAA-4373-A0E4-0BD43DABC0FD}"/>
    <hyperlink ref="C18" location="SW_IT_DIA_001!A1" display="SW_IT_APP_001" xr:uid="{F6BF4393-5ACF-4566-B5FB-DF6F5CDB67D1}"/>
    <hyperlink ref="C19" location="SW_IT_DIA_001!A1" display="SW_IT_APP_001" xr:uid="{D19394B7-2EF6-45FF-9C3E-9EC93E5503D6}"/>
    <hyperlink ref="C20" location="SW_IT_DIA_001!A1" display="SW_IT_APP_001" xr:uid="{4FBCC906-A832-488E-8BE5-4110929E32F3}"/>
    <hyperlink ref="C21" location="SW_IT_DIA_001!A1" display="SW_IT_APP_001" xr:uid="{4B058144-914C-4C09-A66D-C688A3A38D1C}"/>
    <hyperlink ref="C22" location="SW_IT_DIA_001!A1" display="SW_IT_APP_001" xr:uid="{9E6C987D-938C-4CD9-9C3B-0C5919C264B4}"/>
    <hyperlink ref="C23" location="SW_IT_DIA_001!A1" display="SW_IT_APP_001" xr:uid="{6439049B-077E-4380-8567-F47BF1542F02}"/>
    <hyperlink ref="C24" location="SW_IT_DIA_001!A1" display="SW_IT_APP_001" xr:uid="{5140E909-35C1-4B64-A175-98DBDE3195CE}"/>
    <hyperlink ref="C25" location="SW_IT_DIA_001!A1" display="SW_IT_APP_001" xr:uid="{DFF8699E-C78F-4006-A738-E97F423E7DDD}"/>
    <hyperlink ref="C26" location="SW_IT_DIA_001!A1" display="SW_IT_APP_001" xr:uid="{411E5DD3-262C-4DD9-AE65-E6FD5C786DB1}"/>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rev TBD ver TBD&amp;R&amp;P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P34"/>
  <sheetViews>
    <sheetView topLeftCell="A7" workbookViewId="0"/>
  </sheetViews>
  <sheetFormatPr defaultColWidth="9.109375" defaultRowHeight="13.2" x14ac:dyDescent="0.25"/>
  <cols>
    <col min="1" max="1" width="20.109375" style="99" customWidth="1"/>
    <col min="2" max="2" width="18.44140625" style="96" customWidth="1"/>
    <col min="3" max="7" width="9.109375" style="96"/>
    <col min="8" max="15" width="9.5546875" style="96" customWidth="1"/>
    <col min="16" max="16384" width="9.109375" style="96"/>
  </cols>
  <sheetData>
    <row r="1" spans="1:15" ht="13.8" thickBot="1" x14ac:dyDescent="0.3">
      <c r="A1" s="100" t="s">
        <v>41</v>
      </c>
      <c r="B1" s="205" t="s">
        <v>127</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170</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130</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50</v>
      </c>
      <c r="B22" s="187" t="s">
        <v>139</v>
      </c>
      <c r="C22" s="188"/>
      <c r="D22" s="188"/>
      <c r="E22" s="188"/>
      <c r="F22" s="188"/>
      <c r="G22" s="189"/>
      <c r="H22" s="190" t="s">
        <v>140</v>
      </c>
      <c r="I22" s="190"/>
      <c r="J22" s="190"/>
      <c r="K22" s="190"/>
      <c r="L22" s="190" t="s">
        <v>140</v>
      </c>
      <c r="M22" s="190"/>
      <c r="N22" s="190"/>
      <c r="O22" s="190"/>
      <c r="P22" s="98" t="s">
        <v>129</v>
      </c>
    </row>
    <row r="23" spans="1:16" x14ac:dyDescent="0.25">
      <c r="A23" s="103" t="s">
        <v>51</v>
      </c>
      <c r="B23" s="187" t="s">
        <v>141</v>
      </c>
      <c r="C23" s="188"/>
      <c r="D23" s="188"/>
      <c r="E23" s="188"/>
      <c r="F23" s="188"/>
      <c r="G23" s="189"/>
      <c r="H23" s="190" t="s">
        <v>142</v>
      </c>
      <c r="I23" s="190"/>
      <c r="J23" s="190"/>
      <c r="K23" s="190"/>
      <c r="L23" s="190" t="s">
        <v>142</v>
      </c>
      <c r="M23" s="190"/>
      <c r="N23" s="190"/>
      <c r="O23" s="190"/>
      <c r="P23" s="98" t="s">
        <v>129</v>
      </c>
    </row>
    <row r="24" spans="1:16" ht="13.5" customHeight="1" x14ac:dyDescent="0.25">
      <c r="A24" s="103" t="s">
        <v>52</v>
      </c>
      <c r="B24" s="187" t="s">
        <v>138</v>
      </c>
      <c r="C24" s="188"/>
      <c r="D24" s="188"/>
      <c r="E24" s="188"/>
      <c r="F24" s="188"/>
      <c r="G24" s="189"/>
      <c r="H24" s="190" t="s">
        <v>165</v>
      </c>
      <c r="I24" s="190"/>
      <c r="J24" s="190"/>
      <c r="K24" s="190"/>
      <c r="L24" s="190" t="s">
        <v>165</v>
      </c>
      <c r="M24" s="190"/>
      <c r="N24" s="190"/>
      <c r="O24" s="190"/>
      <c r="P24" s="98" t="s">
        <v>129</v>
      </c>
    </row>
    <row r="25" spans="1:16" ht="66" customHeight="1" x14ac:dyDescent="0.25">
      <c r="A25" s="103" t="s">
        <v>53</v>
      </c>
      <c r="B25" s="187" t="s">
        <v>144</v>
      </c>
      <c r="C25" s="188"/>
      <c r="D25" s="188"/>
      <c r="E25" s="188"/>
      <c r="F25" s="188"/>
      <c r="G25" s="189"/>
      <c r="H25" s="190" t="s">
        <v>143</v>
      </c>
      <c r="I25" s="190"/>
      <c r="J25" s="190"/>
      <c r="K25" s="190"/>
      <c r="L25" s="190" t="s">
        <v>145</v>
      </c>
      <c r="M25" s="190"/>
      <c r="N25" s="190"/>
      <c r="O25" s="190"/>
      <c r="P25" s="98" t="s">
        <v>129</v>
      </c>
    </row>
    <row r="26" spans="1:16" ht="26.25" customHeight="1" x14ac:dyDescent="0.25">
      <c r="A26" s="103" t="s">
        <v>54</v>
      </c>
      <c r="B26" s="187" t="s">
        <v>133</v>
      </c>
      <c r="C26" s="188"/>
      <c r="D26" s="188"/>
      <c r="E26" s="188"/>
      <c r="F26" s="188"/>
      <c r="G26" s="189"/>
      <c r="H26" s="190" t="s">
        <v>134</v>
      </c>
      <c r="I26" s="190"/>
      <c r="J26" s="190"/>
      <c r="K26" s="190"/>
      <c r="L26" s="190" t="s">
        <v>134</v>
      </c>
      <c r="M26" s="190"/>
      <c r="N26" s="190"/>
      <c r="O26" s="190"/>
      <c r="P26" s="98" t="s">
        <v>129</v>
      </c>
    </row>
    <row r="27" spans="1:16" x14ac:dyDescent="0.25">
      <c r="A27" s="103" t="s">
        <v>55</v>
      </c>
      <c r="B27" s="187" t="s">
        <v>132</v>
      </c>
      <c r="C27" s="188"/>
      <c r="D27" s="188"/>
      <c r="E27" s="188"/>
      <c r="F27" s="188"/>
      <c r="G27" s="189"/>
      <c r="H27" s="190" t="s">
        <v>135</v>
      </c>
      <c r="I27" s="190"/>
      <c r="J27" s="190"/>
      <c r="K27" s="190"/>
      <c r="L27" s="190" t="s">
        <v>135</v>
      </c>
      <c r="M27" s="190"/>
      <c r="N27" s="190"/>
      <c r="O27" s="190"/>
      <c r="P27" s="98" t="s">
        <v>129</v>
      </c>
    </row>
    <row r="28" spans="1:16" ht="12.75" customHeight="1" x14ac:dyDescent="0.25">
      <c r="A28" s="103" t="s">
        <v>56</v>
      </c>
      <c r="B28" s="187" t="s">
        <v>146</v>
      </c>
      <c r="C28" s="188"/>
      <c r="D28" s="188"/>
      <c r="E28" s="188"/>
      <c r="F28" s="188"/>
      <c r="G28" s="189"/>
      <c r="H28" s="190" t="s">
        <v>147</v>
      </c>
      <c r="I28" s="190"/>
      <c r="J28" s="190"/>
      <c r="K28" s="190"/>
      <c r="L28" s="190" t="s">
        <v>147</v>
      </c>
      <c r="M28" s="190"/>
      <c r="N28" s="190"/>
      <c r="O28" s="190"/>
      <c r="P28" s="98" t="s">
        <v>129</v>
      </c>
    </row>
    <row r="29" spans="1:16" ht="12.75" customHeight="1" x14ac:dyDescent="0.25">
      <c r="A29" s="103" t="s">
        <v>57</v>
      </c>
      <c r="B29" s="187" t="s">
        <v>139</v>
      </c>
      <c r="C29" s="188"/>
      <c r="D29" s="188"/>
      <c r="E29" s="188"/>
      <c r="F29" s="188"/>
      <c r="G29" s="189"/>
      <c r="H29" s="190" t="s">
        <v>140</v>
      </c>
      <c r="I29" s="190"/>
      <c r="J29" s="190"/>
      <c r="K29" s="190"/>
      <c r="L29" s="190" t="s">
        <v>140</v>
      </c>
      <c r="M29" s="190"/>
      <c r="N29" s="190"/>
      <c r="O29" s="190"/>
      <c r="P29" s="98" t="s">
        <v>129</v>
      </c>
    </row>
    <row r="30" spans="1:16" ht="12.75" customHeight="1" x14ac:dyDescent="0.25">
      <c r="A30" s="103" t="s">
        <v>58</v>
      </c>
      <c r="B30" s="187" t="s">
        <v>141</v>
      </c>
      <c r="C30" s="188"/>
      <c r="D30" s="188"/>
      <c r="E30" s="188"/>
      <c r="F30" s="188"/>
      <c r="G30" s="189"/>
      <c r="H30" s="190" t="s">
        <v>142</v>
      </c>
      <c r="I30" s="190"/>
      <c r="J30" s="190"/>
      <c r="K30" s="190"/>
      <c r="L30" s="190" t="s">
        <v>142</v>
      </c>
      <c r="M30" s="190"/>
      <c r="N30" s="190"/>
      <c r="O30" s="190"/>
      <c r="P30" s="98" t="s">
        <v>129</v>
      </c>
    </row>
    <row r="31" spans="1:16" ht="12.75" customHeight="1" x14ac:dyDescent="0.25">
      <c r="A31" s="103" t="s">
        <v>136</v>
      </c>
      <c r="B31" s="187" t="s">
        <v>138</v>
      </c>
      <c r="C31" s="188"/>
      <c r="D31" s="188"/>
      <c r="E31" s="188"/>
      <c r="F31" s="188"/>
      <c r="G31" s="189"/>
      <c r="H31" s="190" t="s">
        <v>148</v>
      </c>
      <c r="I31" s="190"/>
      <c r="J31" s="190"/>
      <c r="K31" s="190"/>
      <c r="L31" s="190" t="s">
        <v>148</v>
      </c>
      <c r="M31" s="190"/>
      <c r="N31" s="190"/>
      <c r="O31" s="190"/>
      <c r="P31" s="98" t="s">
        <v>129</v>
      </c>
    </row>
    <row r="32" spans="1:16" ht="59.25" customHeight="1" x14ac:dyDescent="0.25">
      <c r="A32" s="103" t="s">
        <v>137</v>
      </c>
      <c r="B32" s="187" t="s">
        <v>144</v>
      </c>
      <c r="C32" s="188"/>
      <c r="D32" s="188"/>
      <c r="E32" s="188"/>
      <c r="F32" s="188"/>
      <c r="G32" s="189"/>
      <c r="H32" s="187" t="s">
        <v>149</v>
      </c>
      <c r="I32" s="188"/>
      <c r="J32" s="188"/>
      <c r="K32" s="189"/>
      <c r="L32" s="187" t="s">
        <v>150</v>
      </c>
      <c r="M32" s="188"/>
      <c r="N32" s="188"/>
      <c r="O32" s="189"/>
      <c r="P32" s="98" t="s">
        <v>129</v>
      </c>
    </row>
    <row r="33" spans="1:16" x14ac:dyDescent="0.25">
      <c r="A33" s="103" t="s">
        <v>176</v>
      </c>
      <c r="B33" s="187" t="s">
        <v>182</v>
      </c>
      <c r="C33" s="188"/>
      <c r="D33" s="188"/>
      <c r="E33" s="188"/>
      <c r="F33" s="188"/>
      <c r="G33" s="189"/>
      <c r="H33" s="187" t="s">
        <v>184</v>
      </c>
      <c r="I33" s="188"/>
      <c r="J33" s="188"/>
      <c r="K33" s="189"/>
      <c r="L33" s="187" t="s">
        <v>185</v>
      </c>
      <c r="M33" s="188"/>
      <c r="N33" s="188"/>
      <c r="O33" s="189"/>
      <c r="P33" s="98" t="s">
        <v>129</v>
      </c>
    </row>
    <row r="34" spans="1:16" x14ac:dyDescent="0.25">
      <c r="A34" s="103" t="s">
        <v>188</v>
      </c>
      <c r="B34" s="187" t="s">
        <v>183</v>
      </c>
      <c r="C34" s="188"/>
      <c r="D34" s="188"/>
      <c r="E34" s="188"/>
      <c r="F34" s="188"/>
      <c r="G34" s="189"/>
      <c r="H34" s="187" t="s">
        <v>186</v>
      </c>
      <c r="I34" s="188"/>
      <c r="J34" s="188"/>
      <c r="K34" s="189"/>
      <c r="L34" s="187" t="s">
        <v>187</v>
      </c>
      <c r="M34" s="188"/>
      <c r="N34" s="188"/>
      <c r="O34" s="189"/>
      <c r="P34" s="98" t="s">
        <v>129</v>
      </c>
    </row>
  </sheetData>
  <mergeCells count="49">
    <mergeCell ref="B33:G33"/>
    <mergeCell ref="H33:K33"/>
    <mergeCell ref="L33:O33"/>
    <mergeCell ref="B34:G34"/>
    <mergeCell ref="H34:K34"/>
    <mergeCell ref="L34:O34"/>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H26:K26"/>
    <mergeCell ref="L26:O26"/>
    <mergeCell ref="B27:G27"/>
    <mergeCell ref="H27:K27"/>
    <mergeCell ref="L27:O27"/>
    <mergeCell ref="B26:G26"/>
    <mergeCell ref="H28:K28"/>
    <mergeCell ref="L28:O28"/>
    <mergeCell ref="B28:G28"/>
    <mergeCell ref="B29:G29"/>
    <mergeCell ref="H29:K29"/>
    <mergeCell ref="L29:O29"/>
    <mergeCell ref="B30:G30"/>
    <mergeCell ref="H30:K30"/>
    <mergeCell ref="L30:O30"/>
    <mergeCell ref="B31:G31"/>
    <mergeCell ref="H31:K31"/>
    <mergeCell ref="L31:O31"/>
    <mergeCell ref="B32:G32"/>
    <mergeCell ref="H32:K32"/>
    <mergeCell ref="L32:O32"/>
  </mergeCells>
  <phoneticPr fontId="41" type="noConversion"/>
  <conditionalFormatting sqref="B9:B10">
    <cfRule type="cellIs" dxfId="275" priority="17" operator="equal">
      <formula>"Nok"</formula>
    </cfRule>
    <cfRule type="cellIs" dxfId="274" priority="18" operator="equal">
      <formula>"Ok"</formula>
    </cfRule>
  </conditionalFormatting>
  <conditionalFormatting sqref="P22:P27">
    <cfRule type="cellIs" dxfId="273" priority="15" operator="equal">
      <formula>"Nok"</formula>
    </cfRule>
    <cfRule type="cellIs" dxfId="272" priority="16" operator="equal">
      <formula>"Ok"</formula>
    </cfRule>
  </conditionalFormatting>
  <conditionalFormatting sqref="P29">
    <cfRule type="cellIs" dxfId="271" priority="11" operator="equal">
      <formula>"Nok"</formula>
    </cfRule>
    <cfRule type="cellIs" dxfId="270" priority="12" operator="equal">
      <formula>"Ok"</formula>
    </cfRule>
  </conditionalFormatting>
  <conditionalFormatting sqref="P28">
    <cfRule type="cellIs" dxfId="269" priority="13" operator="equal">
      <formula>"Nok"</formula>
    </cfRule>
    <cfRule type="cellIs" dxfId="268" priority="14" operator="equal">
      <formula>"Ok"</formula>
    </cfRule>
  </conditionalFormatting>
  <conditionalFormatting sqref="P30">
    <cfRule type="cellIs" dxfId="267" priority="9" operator="equal">
      <formula>"Nok"</formula>
    </cfRule>
    <cfRule type="cellIs" dxfId="266" priority="10" operator="equal">
      <formula>"Ok"</formula>
    </cfRule>
  </conditionalFormatting>
  <conditionalFormatting sqref="P31">
    <cfRule type="cellIs" dxfId="265" priority="7" operator="equal">
      <formula>"Nok"</formula>
    </cfRule>
    <cfRule type="cellIs" dxfId="264" priority="8" operator="equal">
      <formula>"Ok"</formula>
    </cfRule>
  </conditionalFormatting>
  <conditionalFormatting sqref="P32">
    <cfRule type="cellIs" dxfId="263" priority="5" operator="equal">
      <formula>"Nok"</formula>
    </cfRule>
    <cfRule type="cellIs" dxfId="262" priority="6" operator="equal">
      <formula>"Ok"</formula>
    </cfRule>
  </conditionalFormatting>
  <conditionalFormatting sqref="P33">
    <cfRule type="cellIs" dxfId="261" priority="3" operator="equal">
      <formula>"Nok"</formula>
    </cfRule>
    <cfRule type="cellIs" dxfId="260" priority="4" operator="equal">
      <formula>"Ok"</formula>
    </cfRule>
  </conditionalFormatting>
  <conditionalFormatting sqref="P34">
    <cfRule type="cellIs" dxfId="259" priority="1" operator="equal">
      <formula>"Nok"</formula>
    </cfRule>
    <cfRule type="cellIs" dxfId="258" priority="2" operator="equal">
      <formula>"Ok"</formula>
    </cfRule>
  </conditionalFormatting>
  <dataValidations count="3">
    <dataValidation type="list" allowBlank="1" showInputMessage="1" showErrorMessage="1" sqref="P22:P34" xr:uid="{00000000-0002-0000-0400-000000000000}">
      <formula1>"Ok, Nok, Not run, ,"</formula1>
    </dataValidation>
    <dataValidation type="list" allowBlank="1" showInputMessage="1" showErrorMessage="1" sqref="B9" xr:uid="{00000000-0002-0000-0400-000001000000}">
      <formula1>"Ok, Nok, Not run, NA"</formula1>
    </dataValidation>
    <dataValidation type="list" allowBlank="1" showInputMessage="1" showErrorMessage="1" sqref="B5" xr:uid="{00000000-0002-0000-0400-000002000000}">
      <formula1>"Nominal, Robustness, Endurance, Qualification"</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22535" r:id="rId4">
          <objectPr defaultSize="0" r:id="rId5">
            <anchor moveWithCells="1">
              <from>
                <xdr:col>7</xdr:col>
                <xdr:colOff>0</xdr:colOff>
                <xdr:row>1</xdr:row>
                <xdr:rowOff>152400</xdr:rowOff>
              </from>
              <to>
                <xdr:col>8</xdr:col>
                <xdr:colOff>502920</xdr:colOff>
                <xdr:row>3</xdr:row>
                <xdr:rowOff>7620</xdr:rowOff>
              </to>
            </anchor>
          </objectPr>
        </oleObject>
      </mc:Choice>
      <mc:Fallback>
        <oleObject progId="Packager Shell Object" shapeId="22535" r:id="rId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P33"/>
  <sheetViews>
    <sheetView workbookViewId="0">
      <selection activeCell="G9" sqref="G9"/>
    </sheetView>
  </sheetViews>
  <sheetFormatPr defaultColWidth="9.109375" defaultRowHeight="13.2" x14ac:dyDescent="0.25"/>
  <cols>
    <col min="1" max="1" width="20.109375" style="99" customWidth="1"/>
    <col min="2" max="2" width="18.44140625" style="96" customWidth="1"/>
    <col min="3" max="6" width="9.109375" style="96"/>
    <col min="7" max="7" width="24" style="96" customWidth="1"/>
    <col min="8" max="15" width="9.5546875" style="96" customWidth="1"/>
    <col min="16" max="16384" width="9.109375" style="96"/>
  </cols>
  <sheetData>
    <row r="1" spans="1:15" ht="13.8" thickBot="1" x14ac:dyDescent="0.3">
      <c r="A1" s="100" t="s">
        <v>41</v>
      </c>
      <c r="B1" s="205" t="s">
        <v>339</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229</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309</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26.25" customHeight="1" x14ac:dyDescent="0.25">
      <c r="A25" s="103" t="s">
        <v>53</v>
      </c>
      <c r="B25" s="187" t="s">
        <v>303</v>
      </c>
      <c r="C25" s="188"/>
      <c r="D25" s="188"/>
      <c r="E25" s="188"/>
      <c r="F25" s="188"/>
      <c r="G25" s="189"/>
      <c r="H25" s="190" t="s">
        <v>304</v>
      </c>
      <c r="I25" s="190"/>
      <c r="J25" s="190"/>
      <c r="K25" s="190"/>
      <c r="L25" s="190" t="s">
        <v>304</v>
      </c>
      <c r="M25" s="190"/>
      <c r="N25" s="190"/>
      <c r="O25" s="190"/>
      <c r="P25" s="98" t="s">
        <v>129</v>
      </c>
    </row>
    <row r="26" spans="1:16" ht="13.5" customHeight="1" x14ac:dyDescent="0.25">
      <c r="A26" s="103" t="s">
        <v>54</v>
      </c>
      <c r="B26" s="187" t="s">
        <v>305</v>
      </c>
      <c r="C26" s="188"/>
      <c r="D26" s="188"/>
      <c r="E26" s="188"/>
      <c r="F26" s="188"/>
      <c r="G26" s="189"/>
      <c r="H26" s="190" t="s">
        <v>306</v>
      </c>
      <c r="I26" s="190"/>
      <c r="J26" s="190"/>
      <c r="K26" s="190"/>
      <c r="L26" s="190" t="s">
        <v>306</v>
      </c>
      <c r="M26" s="190"/>
      <c r="N26" s="190"/>
      <c r="O26" s="190"/>
      <c r="P26" s="98" t="s">
        <v>129</v>
      </c>
    </row>
    <row r="27" spans="1:16" ht="12.75" customHeight="1" x14ac:dyDescent="0.25">
      <c r="A27" s="103" t="s">
        <v>55</v>
      </c>
      <c r="B27" s="187" t="s">
        <v>226</v>
      </c>
      <c r="C27" s="188"/>
      <c r="D27" s="188"/>
      <c r="E27" s="188"/>
      <c r="F27" s="188"/>
      <c r="G27" s="189"/>
      <c r="H27" s="190" t="s">
        <v>153</v>
      </c>
      <c r="I27" s="190"/>
      <c r="J27" s="190"/>
      <c r="K27" s="190"/>
      <c r="L27" s="190" t="s">
        <v>153</v>
      </c>
      <c r="M27" s="190"/>
      <c r="N27" s="190"/>
      <c r="O27" s="190"/>
      <c r="P27" s="98" t="s">
        <v>129</v>
      </c>
    </row>
    <row r="28" spans="1:16" ht="12.75" customHeight="1" x14ac:dyDescent="0.25">
      <c r="A28" s="103" t="s">
        <v>56</v>
      </c>
      <c r="B28" s="187" t="s">
        <v>222</v>
      </c>
      <c r="C28" s="188"/>
      <c r="D28" s="188"/>
      <c r="E28" s="188"/>
      <c r="F28" s="188"/>
      <c r="G28" s="189"/>
      <c r="H28" s="190" t="s">
        <v>140</v>
      </c>
      <c r="I28" s="190"/>
      <c r="J28" s="190"/>
      <c r="K28" s="190"/>
      <c r="L28" s="190" t="s">
        <v>140</v>
      </c>
      <c r="M28" s="190"/>
      <c r="N28" s="190"/>
      <c r="O28" s="190"/>
      <c r="P28" s="98" t="s">
        <v>129</v>
      </c>
    </row>
    <row r="29" spans="1:16" ht="12.75" customHeight="1" x14ac:dyDescent="0.25">
      <c r="A29" s="103" t="s">
        <v>57</v>
      </c>
      <c r="B29" s="187" t="s">
        <v>225</v>
      </c>
      <c r="C29" s="188"/>
      <c r="D29" s="188"/>
      <c r="E29" s="188"/>
      <c r="F29" s="188"/>
      <c r="G29" s="189"/>
      <c r="H29" s="190" t="s">
        <v>142</v>
      </c>
      <c r="I29" s="190"/>
      <c r="J29" s="190"/>
      <c r="K29" s="190"/>
      <c r="L29" s="190" t="s">
        <v>142</v>
      </c>
      <c r="M29" s="190"/>
      <c r="N29" s="190"/>
      <c r="O29" s="190"/>
      <c r="P29" s="98" t="s">
        <v>129</v>
      </c>
    </row>
    <row r="30" spans="1:16" ht="12.75" customHeight="1" x14ac:dyDescent="0.25">
      <c r="A30" s="103" t="s">
        <v>58</v>
      </c>
      <c r="B30" s="187" t="s">
        <v>305</v>
      </c>
      <c r="C30" s="188"/>
      <c r="D30" s="188"/>
      <c r="E30" s="188"/>
      <c r="F30" s="188"/>
      <c r="G30" s="189"/>
      <c r="H30" s="190" t="s">
        <v>307</v>
      </c>
      <c r="I30" s="190"/>
      <c r="J30" s="190"/>
      <c r="K30" s="190"/>
      <c r="L30" s="190" t="s">
        <v>307</v>
      </c>
      <c r="M30" s="190"/>
      <c r="N30" s="190"/>
      <c r="O30" s="190"/>
      <c r="P30" s="98" t="s">
        <v>129</v>
      </c>
    </row>
    <row r="31" spans="1:16" ht="28.5" customHeight="1" x14ac:dyDescent="0.25">
      <c r="A31" s="103" t="s">
        <v>136</v>
      </c>
      <c r="B31" s="187" t="s">
        <v>227</v>
      </c>
      <c r="C31" s="188"/>
      <c r="D31" s="188"/>
      <c r="E31" s="188"/>
      <c r="F31" s="188"/>
      <c r="G31" s="189"/>
      <c r="H31" s="190" t="s">
        <v>228</v>
      </c>
      <c r="I31" s="190"/>
      <c r="J31" s="190"/>
      <c r="K31" s="190"/>
      <c r="L31" s="190" t="s">
        <v>228</v>
      </c>
      <c r="M31" s="190"/>
      <c r="N31" s="190"/>
      <c r="O31" s="190"/>
      <c r="P31" s="98" t="s">
        <v>129</v>
      </c>
    </row>
    <row r="32" spans="1:16" ht="12.75" customHeight="1" x14ac:dyDescent="0.25">
      <c r="A32" s="96"/>
    </row>
    <row r="33" ht="12.75" customHeight="1" x14ac:dyDescent="0.25"/>
  </sheetData>
  <mergeCells count="40">
    <mergeCell ref="A16:A19"/>
    <mergeCell ref="B16:G19"/>
    <mergeCell ref="B1:G1"/>
    <mergeCell ref="B3:G3"/>
    <mergeCell ref="B7:G7"/>
    <mergeCell ref="A11:A14"/>
    <mergeCell ref="B11:G14"/>
    <mergeCell ref="B24:G24"/>
    <mergeCell ref="H24:K24"/>
    <mergeCell ref="L24:O24"/>
    <mergeCell ref="B25:G25"/>
    <mergeCell ref="A21:G21"/>
    <mergeCell ref="H21:K21"/>
    <mergeCell ref="L21:O21"/>
    <mergeCell ref="B23:G23"/>
    <mergeCell ref="H23:K23"/>
    <mergeCell ref="L23:O23"/>
    <mergeCell ref="B22:G22"/>
    <mergeCell ref="H22:K22"/>
    <mergeCell ref="L22:O22"/>
    <mergeCell ref="H25:K25"/>
    <mergeCell ref="L25:O25"/>
    <mergeCell ref="B31:G31"/>
    <mergeCell ref="H31:K31"/>
    <mergeCell ref="L31:O31"/>
    <mergeCell ref="B30:G30"/>
    <mergeCell ref="H30:K30"/>
    <mergeCell ref="L30:O30"/>
    <mergeCell ref="B29:G29"/>
    <mergeCell ref="H29:K29"/>
    <mergeCell ref="L29:O29"/>
    <mergeCell ref="H28:K28"/>
    <mergeCell ref="L28:O28"/>
    <mergeCell ref="B28:G28"/>
    <mergeCell ref="B26:G26"/>
    <mergeCell ref="H26:K26"/>
    <mergeCell ref="L26:O26"/>
    <mergeCell ref="B27:G27"/>
    <mergeCell ref="H27:K27"/>
    <mergeCell ref="L27:O27"/>
  </mergeCells>
  <phoneticPr fontId="3" type="noConversion"/>
  <conditionalFormatting sqref="B9:B10">
    <cfRule type="cellIs" dxfId="257" priority="19" operator="equal">
      <formula>"Nok"</formula>
    </cfRule>
    <cfRule type="cellIs" dxfId="256" priority="20" operator="equal">
      <formula>"Ok"</formula>
    </cfRule>
  </conditionalFormatting>
  <conditionalFormatting sqref="P23:P27">
    <cfRule type="cellIs" dxfId="255" priority="17" operator="equal">
      <formula>"Nok"</formula>
    </cfRule>
    <cfRule type="cellIs" dxfId="254" priority="18" operator="equal">
      <formula>"Ok"</formula>
    </cfRule>
  </conditionalFormatting>
  <conditionalFormatting sqref="P31">
    <cfRule type="cellIs" dxfId="253" priority="11" operator="equal">
      <formula>"Nok"</formula>
    </cfRule>
    <cfRule type="cellIs" dxfId="252" priority="12" operator="equal">
      <formula>"Ok"</formula>
    </cfRule>
  </conditionalFormatting>
  <conditionalFormatting sqref="P28:P30">
    <cfRule type="cellIs" dxfId="251" priority="5" operator="equal">
      <formula>"Nok"</formula>
    </cfRule>
    <cfRule type="cellIs" dxfId="250" priority="6" operator="equal">
      <formula>"Ok"</formula>
    </cfRule>
  </conditionalFormatting>
  <conditionalFormatting sqref="P22">
    <cfRule type="cellIs" dxfId="249" priority="1" operator="equal">
      <formula>"Nok"</formula>
    </cfRule>
    <cfRule type="cellIs" dxfId="248" priority="2" operator="equal">
      <formula>"Ok"</formula>
    </cfRule>
  </conditionalFormatting>
  <dataValidations count="3">
    <dataValidation type="list" allowBlank="1" showInputMessage="1" showErrorMessage="1" sqref="B5" xr:uid="{00000000-0002-0000-0500-000000000000}">
      <formula1>"Nominal, Robustness, Endurance, Qualification"</formula1>
    </dataValidation>
    <dataValidation type="list" allowBlank="1" showInputMessage="1" showErrorMessage="1" sqref="B9" xr:uid="{00000000-0002-0000-0500-000001000000}">
      <formula1>"Ok, Nok, Not run, NA"</formula1>
    </dataValidation>
    <dataValidation type="list" allowBlank="1" showInputMessage="1" showErrorMessage="1" sqref="P22:P31" xr:uid="{00000000-0002-0000-0500-000002000000}">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24583"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24583"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P31"/>
  <sheetViews>
    <sheetView workbookViewId="0">
      <selection activeCell="B22" sqref="B22:G22"/>
    </sheetView>
  </sheetViews>
  <sheetFormatPr defaultColWidth="9.109375" defaultRowHeight="13.2" x14ac:dyDescent="0.25"/>
  <cols>
    <col min="1" max="1" width="20.109375" style="99" customWidth="1"/>
    <col min="2" max="2" width="18.44140625" style="96" customWidth="1"/>
    <col min="3" max="7" width="9.109375" style="96"/>
    <col min="8" max="15" width="9.5546875" style="96" customWidth="1"/>
    <col min="16" max="16384" width="9.109375" style="96"/>
  </cols>
  <sheetData>
    <row r="1" spans="1:15" ht="13.8" thickBot="1" x14ac:dyDescent="0.3">
      <c r="A1" s="100" t="s">
        <v>41</v>
      </c>
      <c r="B1" s="205" t="s">
        <v>340</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9" customHeight="1" thickBot="1" x14ac:dyDescent="0.3">
      <c r="A3" s="101" t="s">
        <v>46</v>
      </c>
      <c r="B3" s="208" t="s">
        <v>204</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308</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75"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39.75" customHeight="1" x14ac:dyDescent="0.25">
      <c r="A25" s="103" t="s">
        <v>53</v>
      </c>
      <c r="B25" s="187" t="s">
        <v>230</v>
      </c>
      <c r="C25" s="188"/>
      <c r="D25" s="188"/>
      <c r="E25" s="188"/>
      <c r="F25" s="188"/>
      <c r="G25" s="189"/>
      <c r="H25" s="190" t="s">
        <v>234</v>
      </c>
      <c r="I25" s="190"/>
      <c r="J25" s="190"/>
      <c r="K25" s="190"/>
      <c r="L25" s="190" t="s">
        <v>234</v>
      </c>
      <c r="M25" s="190"/>
      <c r="N25" s="190"/>
      <c r="O25" s="190"/>
      <c r="P25" s="98" t="s">
        <v>129</v>
      </c>
    </row>
    <row r="26" spans="1:16" ht="12.75" customHeight="1" x14ac:dyDescent="0.25">
      <c r="A26" s="103" t="s">
        <v>54</v>
      </c>
      <c r="B26" s="187" t="s">
        <v>231</v>
      </c>
      <c r="C26" s="188"/>
      <c r="D26" s="188"/>
      <c r="E26" s="188"/>
      <c r="F26" s="188"/>
      <c r="G26" s="189"/>
      <c r="H26" s="190" t="s">
        <v>208</v>
      </c>
      <c r="I26" s="190"/>
      <c r="J26" s="190"/>
      <c r="K26" s="190"/>
      <c r="L26" s="190" t="s">
        <v>208</v>
      </c>
      <c r="M26" s="190"/>
      <c r="N26" s="190"/>
      <c r="O26" s="190"/>
      <c r="P26" s="98" t="s">
        <v>129</v>
      </c>
    </row>
    <row r="27" spans="1:16" ht="12.75" customHeight="1" x14ac:dyDescent="0.25">
      <c r="A27" s="103" t="s">
        <v>55</v>
      </c>
      <c r="B27" s="187" t="s">
        <v>226</v>
      </c>
      <c r="C27" s="188"/>
      <c r="D27" s="188"/>
      <c r="E27" s="188"/>
      <c r="F27" s="188"/>
      <c r="G27" s="189"/>
      <c r="H27" s="190" t="s">
        <v>153</v>
      </c>
      <c r="I27" s="190"/>
      <c r="J27" s="190"/>
      <c r="K27" s="190"/>
      <c r="L27" s="190" t="s">
        <v>153</v>
      </c>
      <c r="M27" s="190"/>
      <c r="N27" s="190"/>
      <c r="O27" s="190"/>
      <c r="P27" s="98" t="s">
        <v>129</v>
      </c>
    </row>
    <row r="28" spans="1:16" ht="12.75" customHeight="1" x14ac:dyDescent="0.25">
      <c r="A28" s="103" t="s">
        <v>56</v>
      </c>
      <c r="B28" s="187" t="s">
        <v>222</v>
      </c>
      <c r="C28" s="188"/>
      <c r="D28" s="188"/>
      <c r="E28" s="188"/>
      <c r="F28" s="188"/>
      <c r="G28" s="189"/>
      <c r="H28" s="190" t="s">
        <v>140</v>
      </c>
      <c r="I28" s="190"/>
      <c r="J28" s="190"/>
      <c r="K28" s="190"/>
      <c r="L28" s="190" t="s">
        <v>140</v>
      </c>
      <c r="M28" s="190"/>
      <c r="N28" s="190"/>
      <c r="O28" s="190"/>
      <c r="P28" s="98" t="s">
        <v>129</v>
      </c>
    </row>
    <row r="29" spans="1:16" ht="12.75" customHeight="1" x14ac:dyDescent="0.25">
      <c r="A29" s="103" t="s">
        <v>57</v>
      </c>
      <c r="B29" s="187" t="s">
        <v>225</v>
      </c>
      <c r="C29" s="188"/>
      <c r="D29" s="188"/>
      <c r="E29" s="188"/>
      <c r="F29" s="188"/>
      <c r="G29" s="189"/>
      <c r="H29" s="190" t="s">
        <v>142</v>
      </c>
      <c r="I29" s="190"/>
      <c r="J29" s="190"/>
      <c r="K29" s="190"/>
      <c r="L29" s="190" t="s">
        <v>142</v>
      </c>
      <c r="M29" s="190"/>
      <c r="N29" s="190"/>
      <c r="O29" s="190"/>
      <c r="P29" s="98" t="s">
        <v>129</v>
      </c>
    </row>
    <row r="30" spans="1:16" ht="12.75" customHeight="1" x14ac:dyDescent="0.25">
      <c r="A30" s="103" t="s">
        <v>58</v>
      </c>
      <c r="B30" s="187" t="s">
        <v>231</v>
      </c>
      <c r="C30" s="188"/>
      <c r="D30" s="188"/>
      <c r="E30" s="188"/>
      <c r="F30" s="188"/>
      <c r="G30" s="189"/>
      <c r="H30" s="190" t="s">
        <v>208</v>
      </c>
      <c r="I30" s="190"/>
      <c r="J30" s="190"/>
      <c r="K30" s="190"/>
      <c r="L30" s="190" t="s">
        <v>208</v>
      </c>
      <c r="M30" s="190"/>
      <c r="N30" s="190"/>
      <c r="O30" s="190"/>
      <c r="P30" s="98" t="s">
        <v>129</v>
      </c>
    </row>
    <row r="31" spans="1:16" ht="27.75" customHeight="1" x14ac:dyDescent="0.25">
      <c r="A31" s="103" t="s">
        <v>136</v>
      </c>
      <c r="B31" s="187" t="s">
        <v>232</v>
      </c>
      <c r="C31" s="188"/>
      <c r="D31" s="188"/>
      <c r="E31" s="188"/>
      <c r="F31" s="188"/>
      <c r="G31" s="189"/>
      <c r="H31" s="190" t="s">
        <v>233</v>
      </c>
      <c r="I31" s="190"/>
      <c r="J31" s="190"/>
      <c r="K31" s="190"/>
      <c r="L31" s="190" t="s">
        <v>233</v>
      </c>
      <c r="M31" s="190"/>
      <c r="N31" s="190"/>
      <c r="O31" s="190"/>
      <c r="P31" s="98" t="s">
        <v>129</v>
      </c>
    </row>
  </sheetData>
  <mergeCells count="40">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9:G29"/>
    <mergeCell ref="H29:K29"/>
    <mergeCell ref="L29:O29"/>
    <mergeCell ref="B27:G27"/>
    <mergeCell ref="H27:K27"/>
    <mergeCell ref="L27:O27"/>
    <mergeCell ref="B28:G28"/>
    <mergeCell ref="H28:K28"/>
    <mergeCell ref="L28:O28"/>
    <mergeCell ref="B30:G30"/>
    <mergeCell ref="H30:K30"/>
    <mergeCell ref="L30:O30"/>
    <mergeCell ref="B31:G31"/>
    <mergeCell ref="H31:K31"/>
    <mergeCell ref="L31:O31"/>
  </mergeCells>
  <phoneticPr fontId="42" type="noConversion"/>
  <conditionalFormatting sqref="B9:B10">
    <cfRule type="cellIs" dxfId="247" priority="49" operator="equal">
      <formula>"Nok"</formula>
    </cfRule>
    <cfRule type="cellIs" dxfId="246" priority="50" operator="equal">
      <formula>"Ok"</formula>
    </cfRule>
  </conditionalFormatting>
  <conditionalFormatting sqref="P23:P27">
    <cfRule type="cellIs" dxfId="245" priority="7" operator="equal">
      <formula>"Nok"</formula>
    </cfRule>
    <cfRule type="cellIs" dxfId="244" priority="8" operator="equal">
      <formula>"Ok"</formula>
    </cfRule>
  </conditionalFormatting>
  <conditionalFormatting sqref="P31">
    <cfRule type="cellIs" dxfId="243" priority="5" operator="equal">
      <formula>"Nok"</formula>
    </cfRule>
    <cfRule type="cellIs" dxfId="242" priority="6" operator="equal">
      <formula>"Ok"</formula>
    </cfRule>
  </conditionalFormatting>
  <conditionalFormatting sqref="P28:P30">
    <cfRule type="cellIs" dxfId="241" priority="3" operator="equal">
      <formula>"Nok"</formula>
    </cfRule>
    <cfRule type="cellIs" dxfId="240" priority="4" operator="equal">
      <formula>"Ok"</formula>
    </cfRule>
  </conditionalFormatting>
  <conditionalFormatting sqref="P22">
    <cfRule type="cellIs" dxfId="239" priority="1" operator="equal">
      <formula>"Nok"</formula>
    </cfRule>
    <cfRule type="cellIs" dxfId="238" priority="2" operator="equal">
      <formula>"Ok"</formula>
    </cfRule>
  </conditionalFormatting>
  <dataValidations count="3">
    <dataValidation type="list" allowBlank="1" showInputMessage="1" showErrorMessage="1" sqref="B9" xr:uid="{00000000-0002-0000-0600-000000000000}">
      <formula1>"Ok, Nok, Not run, NA"</formula1>
    </dataValidation>
    <dataValidation type="list" allowBlank="1" showInputMessage="1" showErrorMessage="1" sqref="B5" xr:uid="{00000000-0002-0000-0600-000001000000}">
      <formula1>"Nominal, Robustness, Endurance, Qualification"</formula1>
    </dataValidation>
    <dataValidation type="list" allowBlank="1" showInputMessage="1" showErrorMessage="1" sqref="P22:P31" xr:uid="{9673407E-9E74-4670-B11C-0B162054D38C}">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30727" r:id="rId4">
          <objectPr defaultSize="0" r:id="rId5">
            <anchor moveWithCells="1">
              <from>
                <xdr:col>7</xdr:col>
                <xdr:colOff>0</xdr:colOff>
                <xdr:row>2</xdr:row>
                <xdr:rowOff>0</xdr:rowOff>
              </from>
              <to>
                <xdr:col>8</xdr:col>
                <xdr:colOff>502920</xdr:colOff>
                <xdr:row>3</xdr:row>
                <xdr:rowOff>22860</xdr:rowOff>
              </to>
            </anchor>
          </objectPr>
        </oleObject>
      </mc:Choice>
      <mc:Fallback>
        <oleObject progId="Packager Shell Object" shapeId="30727"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P60"/>
  <sheetViews>
    <sheetView topLeftCell="A10" workbookViewId="0">
      <selection activeCell="L9" sqref="L9"/>
    </sheetView>
  </sheetViews>
  <sheetFormatPr defaultColWidth="9.109375" defaultRowHeight="13.2" x14ac:dyDescent="0.25"/>
  <cols>
    <col min="1" max="1" width="20.109375" style="99" customWidth="1"/>
    <col min="2" max="2" width="18.44140625" style="96" customWidth="1"/>
    <col min="3" max="6" width="9.109375" style="96"/>
    <col min="7" max="7" width="24.88671875" style="96" customWidth="1"/>
    <col min="8" max="10" width="9.5546875" style="96" customWidth="1"/>
    <col min="11" max="11" width="13" style="96" customWidth="1"/>
    <col min="12" max="14" width="9.5546875" style="96" customWidth="1"/>
    <col min="15" max="15" width="13.44140625" style="96" customWidth="1"/>
    <col min="16" max="16384" width="9.109375" style="96"/>
  </cols>
  <sheetData>
    <row r="1" spans="1:15" ht="13.8" thickBot="1" x14ac:dyDescent="0.3">
      <c r="A1" s="100" t="s">
        <v>41</v>
      </c>
      <c r="B1" s="205" t="s">
        <v>341</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9" customHeight="1" thickBot="1" x14ac:dyDescent="0.3">
      <c r="A3" s="101" t="s">
        <v>46</v>
      </c>
      <c r="B3" s="208" t="s">
        <v>409</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310</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8.5"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3.5" customHeight="1" x14ac:dyDescent="0.25">
      <c r="A24" s="103" t="s">
        <v>52</v>
      </c>
      <c r="B24" s="187" t="s">
        <v>241</v>
      </c>
      <c r="C24" s="188"/>
      <c r="D24" s="188"/>
      <c r="E24" s="188"/>
      <c r="F24" s="188"/>
      <c r="G24" s="189"/>
      <c r="H24" s="190" t="s">
        <v>242</v>
      </c>
      <c r="I24" s="190"/>
      <c r="J24" s="190"/>
      <c r="K24" s="190"/>
      <c r="L24" s="190" t="s">
        <v>242</v>
      </c>
      <c r="M24" s="190"/>
      <c r="N24" s="190"/>
      <c r="O24" s="190"/>
      <c r="P24" s="98" t="s">
        <v>129</v>
      </c>
    </row>
    <row r="25" spans="1:16" ht="41.25" customHeight="1" x14ac:dyDescent="0.25">
      <c r="A25" s="103" t="s">
        <v>53</v>
      </c>
      <c r="B25" s="187" t="s">
        <v>238</v>
      </c>
      <c r="C25" s="188"/>
      <c r="D25" s="188"/>
      <c r="E25" s="188"/>
      <c r="F25" s="188"/>
      <c r="G25" s="189"/>
      <c r="H25" s="190" t="s">
        <v>236</v>
      </c>
      <c r="I25" s="190"/>
      <c r="J25" s="190"/>
      <c r="K25" s="190"/>
      <c r="L25" s="190" t="s">
        <v>244</v>
      </c>
      <c r="M25" s="190"/>
      <c r="N25" s="190"/>
      <c r="O25" s="190"/>
      <c r="P25" s="98" t="s">
        <v>243</v>
      </c>
    </row>
    <row r="26" spans="1:16" ht="27" customHeight="1" x14ac:dyDescent="0.25">
      <c r="A26" s="103" t="s">
        <v>54</v>
      </c>
      <c r="B26" s="187" t="s">
        <v>239</v>
      </c>
      <c r="C26" s="188"/>
      <c r="D26" s="188"/>
      <c r="E26" s="188"/>
      <c r="F26" s="188"/>
      <c r="G26" s="189"/>
      <c r="H26" s="190" t="s">
        <v>246</v>
      </c>
      <c r="I26" s="190"/>
      <c r="J26" s="190"/>
      <c r="K26" s="190"/>
      <c r="L26" s="190" t="s">
        <v>245</v>
      </c>
      <c r="M26" s="190"/>
      <c r="N26" s="190"/>
      <c r="O26" s="190"/>
      <c r="P26" s="98" t="s">
        <v>243</v>
      </c>
    </row>
    <row r="27" spans="1:16" ht="13.5" customHeight="1" x14ac:dyDescent="0.25">
      <c r="A27" s="103" t="s">
        <v>55</v>
      </c>
      <c r="B27" s="187" t="s">
        <v>235</v>
      </c>
      <c r="C27" s="188"/>
      <c r="D27" s="188"/>
      <c r="E27" s="188"/>
      <c r="F27" s="188"/>
      <c r="G27" s="189"/>
      <c r="H27" s="190" t="s">
        <v>224</v>
      </c>
      <c r="I27" s="190"/>
      <c r="J27" s="190"/>
      <c r="K27" s="190"/>
      <c r="L27" s="190" t="s">
        <v>224</v>
      </c>
      <c r="M27" s="190"/>
      <c r="N27" s="190"/>
      <c r="O27" s="190"/>
      <c r="P27" s="98" t="s">
        <v>129</v>
      </c>
    </row>
    <row r="28" spans="1:16" ht="41.25" customHeight="1" x14ac:dyDescent="0.25">
      <c r="A28" s="103" t="s">
        <v>56</v>
      </c>
      <c r="B28" s="187" t="s">
        <v>237</v>
      </c>
      <c r="C28" s="188"/>
      <c r="D28" s="188"/>
      <c r="E28" s="188"/>
      <c r="F28" s="188"/>
      <c r="G28" s="189"/>
      <c r="H28" s="190" t="s">
        <v>236</v>
      </c>
      <c r="I28" s="190"/>
      <c r="J28" s="190"/>
      <c r="K28" s="190"/>
      <c r="L28" s="190" t="s">
        <v>244</v>
      </c>
      <c r="M28" s="190"/>
      <c r="N28" s="190"/>
      <c r="O28" s="190"/>
      <c r="P28" s="98" t="s">
        <v>243</v>
      </c>
    </row>
    <row r="29" spans="1:16" ht="27" customHeight="1" x14ac:dyDescent="0.25">
      <c r="A29" s="103" t="s">
        <v>57</v>
      </c>
      <c r="B29" s="187" t="s">
        <v>239</v>
      </c>
      <c r="C29" s="188"/>
      <c r="D29" s="188"/>
      <c r="E29" s="188"/>
      <c r="F29" s="188"/>
      <c r="G29" s="189"/>
      <c r="H29" s="190" t="s">
        <v>240</v>
      </c>
      <c r="I29" s="190"/>
      <c r="J29" s="190"/>
      <c r="K29" s="190"/>
      <c r="L29" s="190" t="s">
        <v>245</v>
      </c>
      <c r="M29" s="190"/>
      <c r="N29" s="190"/>
      <c r="O29" s="190"/>
      <c r="P29" s="98" t="s">
        <v>243</v>
      </c>
    </row>
    <row r="30" spans="1:16" ht="12.75" customHeight="1" x14ac:dyDescent="0.25">
      <c r="A30" s="103" t="s">
        <v>58</v>
      </c>
      <c r="B30" s="187" t="s">
        <v>226</v>
      </c>
      <c r="C30" s="188"/>
      <c r="D30" s="188"/>
      <c r="E30" s="188"/>
      <c r="F30" s="188"/>
      <c r="G30" s="189"/>
      <c r="H30" s="190" t="s">
        <v>153</v>
      </c>
      <c r="I30" s="190"/>
      <c r="J30" s="190"/>
      <c r="K30" s="190"/>
      <c r="L30" s="190" t="s">
        <v>153</v>
      </c>
      <c r="M30" s="190"/>
      <c r="N30" s="190"/>
      <c r="O30" s="190"/>
      <c r="P30" s="98" t="s">
        <v>129</v>
      </c>
    </row>
    <row r="31" spans="1:16" ht="12.75" customHeight="1" x14ac:dyDescent="0.25">
      <c r="A31" s="103" t="s">
        <v>136</v>
      </c>
      <c r="B31" s="187" t="s">
        <v>222</v>
      </c>
      <c r="C31" s="188"/>
      <c r="D31" s="188"/>
      <c r="E31" s="188"/>
      <c r="F31" s="188"/>
      <c r="G31" s="189"/>
      <c r="H31" s="190" t="s">
        <v>140</v>
      </c>
      <c r="I31" s="190"/>
      <c r="J31" s="190"/>
      <c r="K31" s="190"/>
      <c r="L31" s="190" t="s">
        <v>140</v>
      </c>
      <c r="M31" s="190"/>
      <c r="N31" s="190"/>
      <c r="O31" s="190"/>
      <c r="P31" s="98" t="s">
        <v>129</v>
      </c>
    </row>
    <row r="32" spans="1:16" ht="12.75" customHeight="1" x14ac:dyDescent="0.25">
      <c r="A32" s="103" t="s">
        <v>137</v>
      </c>
      <c r="B32" s="187" t="s">
        <v>225</v>
      </c>
      <c r="C32" s="188"/>
      <c r="D32" s="188"/>
      <c r="E32" s="188"/>
      <c r="F32" s="188"/>
      <c r="G32" s="189"/>
      <c r="H32" s="190" t="s">
        <v>142</v>
      </c>
      <c r="I32" s="190"/>
      <c r="J32" s="190"/>
      <c r="K32" s="190"/>
      <c r="L32" s="190" t="s">
        <v>142</v>
      </c>
      <c r="M32" s="190"/>
      <c r="N32" s="190"/>
      <c r="O32" s="190"/>
      <c r="P32" s="98" t="s">
        <v>129</v>
      </c>
    </row>
    <row r="33" spans="1:16" ht="33" customHeight="1" x14ac:dyDescent="0.25">
      <c r="A33" s="103" t="s">
        <v>176</v>
      </c>
      <c r="B33" s="187" t="s">
        <v>239</v>
      </c>
      <c r="C33" s="188"/>
      <c r="D33" s="188"/>
      <c r="E33" s="188"/>
      <c r="F33" s="188"/>
      <c r="G33" s="189"/>
      <c r="H33" s="190" t="s">
        <v>240</v>
      </c>
      <c r="I33" s="190"/>
      <c r="J33" s="190"/>
      <c r="K33" s="190"/>
      <c r="L33" s="190" t="s">
        <v>245</v>
      </c>
      <c r="M33" s="190"/>
      <c r="N33" s="190"/>
      <c r="O33" s="190"/>
      <c r="P33" s="98" t="s">
        <v>243</v>
      </c>
    </row>
    <row r="34" spans="1:16" ht="13.5" customHeight="1" x14ac:dyDescent="0.25">
      <c r="A34" s="103" t="s">
        <v>188</v>
      </c>
      <c r="B34" s="187" t="s">
        <v>235</v>
      </c>
      <c r="C34" s="188"/>
      <c r="D34" s="188"/>
      <c r="E34" s="188"/>
      <c r="F34" s="188"/>
      <c r="G34" s="189"/>
      <c r="H34" s="190" t="s">
        <v>224</v>
      </c>
      <c r="I34" s="190"/>
      <c r="J34" s="190"/>
      <c r="K34" s="190"/>
      <c r="L34" s="190" t="s">
        <v>224</v>
      </c>
      <c r="M34" s="190"/>
      <c r="N34" s="190"/>
      <c r="O34" s="190"/>
      <c r="P34" s="98" t="s">
        <v>129</v>
      </c>
    </row>
    <row r="35" spans="1:16" ht="30.75" customHeight="1" x14ac:dyDescent="0.25">
      <c r="A35" s="103" t="s">
        <v>247</v>
      </c>
      <c r="B35" s="187" t="s">
        <v>239</v>
      </c>
      <c r="C35" s="188"/>
      <c r="D35" s="188"/>
      <c r="E35" s="188"/>
      <c r="F35" s="188"/>
      <c r="G35" s="189"/>
      <c r="H35" s="190" t="s">
        <v>240</v>
      </c>
      <c r="I35" s="190"/>
      <c r="J35" s="190"/>
      <c r="K35" s="190"/>
      <c r="L35" s="187" t="s">
        <v>245</v>
      </c>
      <c r="M35" s="188"/>
      <c r="N35" s="188"/>
      <c r="O35" s="189"/>
      <c r="P35" s="98" t="s">
        <v>243</v>
      </c>
    </row>
    <row r="36" spans="1:16" ht="41.25" customHeight="1" x14ac:dyDescent="0.25">
      <c r="A36" s="103" t="s">
        <v>248</v>
      </c>
      <c r="B36" s="187" t="s">
        <v>249</v>
      </c>
      <c r="C36" s="188"/>
      <c r="D36" s="188"/>
      <c r="E36" s="188"/>
      <c r="F36" s="188"/>
      <c r="G36" s="189"/>
      <c r="H36" s="190" t="s">
        <v>250</v>
      </c>
      <c r="I36" s="190"/>
      <c r="J36" s="190"/>
      <c r="K36" s="190"/>
      <c r="L36" s="190" t="s">
        <v>250</v>
      </c>
      <c r="M36" s="190"/>
      <c r="N36" s="190"/>
      <c r="O36" s="190"/>
      <c r="P36" s="98" t="s">
        <v>129</v>
      </c>
    </row>
    <row r="49" spans="1:16" ht="13.8" thickBot="1" x14ac:dyDescent="0.3"/>
    <row r="50" spans="1:16" x14ac:dyDescent="0.25">
      <c r="A50" s="191" t="s">
        <v>48</v>
      </c>
      <c r="B50" s="192"/>
      <c r="C50" s="192"/>
      <c r="D50" s="192"/>
      <c r="E50" s="192"/>
      <c r="F50" s="192"/>
      <c r="G50" s="193"/>
      <c r="H50" s="191" t="s">
        <v>49</v>
      </c>
      <c r="I50" s="192"/>
      <c r="J50" s="192"/>
      <c r="K50" s="193"/>
      <c r="L50" s="191" t="s">
        <v>60</v>
      </c>
      <c r="M50" s="192"/>
      <c r="N50" s="192"/>
      <c r="O50" s="193"/>
      <c r="P50" s="102" t="s">
        <v>47</v>
      </c>
    </row>
    <row r="51" spans="1:16" x14ac:dyDescent="0.25">
      <c r="A51" s="103" t="s">
        <v>50</v>
      </c>
      <c r="B51" s="187" t="s">
        <v>139</v>
      </c>
      <c r="C51" s="188"/>
      <c r="D51" s="188"/>
      <c r="E51" s="188"/>
      <c r="F51" s="188"/>
      <c r="G51" s="189"/>
      <c r="H51" s="190" t="s">
        <v>140</v>
      </c>
      <c r="I51" s="190"/>
      <c r="J51" s="190"/>
      <c r="K51" s="190"/>
      <c r="L51" s="190" t="s">
        <v>140</v>
      </c>
      <c r="M51" s="190"/>
      <c r="N51" s="190"/>
      <c r="O51" s="190"/>
      <c r="P51" s="98" t="s">
        <v>129</v>
      </c>
    </row>
    <row r="52" spans="1:16" x14ac:dyDescent="0.25">
      <c r="A52" s="103" t="s">
        <v>51</v>
      </c>
      <c r="B52" s="187" t="s">
        <v>141</v>
      </c>
      <c r="C52" s="188"/>
      <c r="D52" s="188"/>
      <c r="E52" s="188"/>
      <c r="F52" s="188"/>
      <c r="G52" s="189"/>
      <c r="H52" s="190" t="s">
        <v>142</v>
      </c>
      <c r="I52" s="190"/>
      <c r="J52" s="190"/>
      <c r="K52" s="190"/>
      <c r="L52" s="190" t="s">
        <v>142</v>
      </c>
      <c r="M52" s="190"/>
      <c r="N52" s="190"/>
      <c r="O52" s="190"/>
      <c r="P52" s="98" t="s">
        <v>129</v>
      </c>
    </row>
    <row r="53" spans="1:16" x14ac:dyDescent="0.25">
      <c r="A53" s="103" t="s">
        <v>52</v>
      </c>
      <c r="B53" s="187" t="s">
        <v>178</v>
      </c>
      <c r="C53" s="188"/>
      <c r="D53" s="188"/>
      <c r="E53" s="188"/>
      <c r="F53" s="188"/>
      <c r="G53" s="189"/>
      <c r="H53" s="190" t="s">
        <v>162</v>
      </c>
      <c r="I53" s="190"/>
      <c r="J53" s="190"/>
      <c r="K53" s="190"/>
      <c r="L53" s="190" t="s">
        <v>162</v>
      </c>
      <c r="M53" s="190"/>
      <c r="N53" s="190"/>
      <c r="O53" s="190"/>
      <c r="P53" s="98" t="s">
        <v>129</v>
      </c>
    </row>
    <row r="54" spans="1:16" x14ac:dyDescent="0.25">
      <c r="A54" s="103" t="s">
        <v>53</v>
      </c>
      <c r="B54" s="187" t="s">
        <v>177</v>
      </c>
      <c r="C54" s="188"/>
      <c r="D54" s="188"/>
      <c r="E54" s="188"/>
      <c r="F54" s="188"/>
      <c r="G54" s="189"/>
      <c r="H54" s="190" t="s">
        <v>163</v>
      </c>
      <c r="I54" s="190"/>
      <c r="J54" s="190"/>
      <c r="K54" s="190"/>
      <c r="L54" s="190" t="s">
        <v>163</v>
      </c>
      <c r="M54" s="190"/>
      <c r="N54" s="190"/>
      <c r="O54" s="190"/>
      <c r="P54" s="98" t="s">
        <v>129</v>
      </c>
    </row>
    <row r="55" spans="1:16" x14ac:dyDescent="0.25">
      <c r="A55" s="103" t="s">
        <v>54</v>
      </c>
      <c r="B55" s="187" t="s">
        <v>152</v>
      </c>
      <c r="C55" s="188"/>
      <c r="D55" s="188"/>
      <c r="E55" s="188"/>
      <c r="F55" s="188"/>
      <c r="G55" s="189"/>
      <c r="H55" s="190" t="s">
        <v>153</v>
      </c>
      <c r="I55" s="190"/>
      <c r="J55" s="190"/>
      <c r="K55" s="190"/>
      <c r="L55" s="190" t="s">
        <v>153</v>
      </c>
      <c r="M55" s="190"/>
      <c r="N55" s="190"/>
      <c r="O55" s="190"/>
      <c r="P55" s="98" t="s">
        <v>129</v>
      </c>
    </row>
    <row r="56" spans="1:16" x14ac:dyDescent="0.25">
      <c r="A56" s="103" t="s">
        <v>55</v>
      </c>
      <c r="B56" s="187" t="s">
        <v>139</v>
      </c>
      <c r="C56" s="188"/>
      <c r="D56" s="188"/>
      <c r="E56" s="188"/>
      <c r="F56" s="188"/>
      <c r="G56" s="189"/>
      <c r="H56" s="190" t="s">
        <v>140</v>
      </c>
      <c r="I56" s="190"/>
      <c r="J56" s="190"/>
      <c r="K56" s="190"/>
      <c r="L56" s="190" t="s">
        <v>140</v>
      </c>
      <c r="M56" s="190"/>
      <c r="N56" s="190"/>
      <c r="O56" s="190"/>
      <c r="P56" s="98" t="s">
        <v>129</v>
      </c>
    </row>
    <row r="57" spans="1:16" x14ac:dyDescent="0.25">
      <c r="A57" s="103" t="s">
        <v>56</v>
      </c>
      <c r="B57" s="187" t="s">
        <v>174</v>
      </c>
      <c r="C57" s="188"/>
      <c r="D57" s="188"/>
      <c r="E57" s="188"/>
      <c r="F57" s="188"/>
      <c r="G57" s="189"/>
      <c r="H57" s="190" t="s">
        <v>210</v>
      </c>
      <c r="I57" s="190"/>
      <c r="J57" s="190"/>
      <c r="K57" s="190"/>
      <c r="L57" s="190" t="s">
        <v>210</v>
      </c>
      <c r="M57" s="190"/>
      <c r="N57" s="190"/>
      <c r="O57" s="190"/>
      <c r="P57" s="98" t="s">
        <v>129</v>
      </c>
    </row>
    <row r="58" spans="1:16" x14ac:dyDescent="0.25">
      <c r="A58" s="103" t="s">
        <v>57</v>
      </c>
      <c r="B58" s="187" t="s">
        <v>177</v>
      </c>
      <c r="C58" s="188"/>
      <c r="D58" s="188"/>
      <c r="E58" s="188"/>
      <c r="F58" s="188"/>
      <c r="G58" s="189"/>
      <c r="H58" s="190" t="s">
        <v>163</v>
      </c>
      <c r="I58" s="190"/>
      <c r="J58" s="190"/>
      <c r="K58" s="190"/>
      <c r="L58" s="190" t="s">
        <v>163</v>
      </c>
      <c r="M58" s="190"/>
      <c r="N58" s="190"/>
      <c r="O58" s="190"/>
      <c r="P58" s="98" t="s">
        <v>129</v>
      </c>
    </row>
    <row r="59" spans="1:16" x14ac:dyDescent="0.25">
      <c r="A59" s="103" t="s">
        <v>58</v>
      </c>
      <c r="B59" s="187" t="s">
        <v>175</v>
      </c>
      <c r="C59" s="188"/>
      <c r="D59" s="188"/>
      <c r="E59" s="188"/>
      <c r="F59" s="188"/>
      <c r="G59" s="189"/>
      <c r="H59" s="190" t="s">
        <v>209</v>
      </c>
      <c r="I59" s="190"/>
      <c r="J59" s="190"/>
      <c r="K59" s="190"/>
      <c r="L59" s="190" t="s">
        <v>209</v>
      </c>
      <c r="M59" s="190"/>
      <c r="N59" s="190"/>
      <c r="O59" s="190"/>
      <c r="P59" s="98" t="s">
        <v>129</v>
      </c>
    </row>
    <row r="60" spans="1:16" x14ac:dyDescent="0.25">
      <c r="A60" s="103" t="s">
        <v>136</v>
      </c>
      <c r="B60" s="187" t="s">
        <v>177</v>
      </c>
      <c r="C60" s="188"/>
      <c r="D60" s="188"/>
      <c r="E60" s="188"/>
      <c r="F60" s="188"/>
      <c r="G60" s="189"/>
      <c r="H60" s="190" t="s">
        <v>163</v>
      </c>
      <c r="I60" s="190"/>
      <c r="J60" s="190"/>
      <c r="K60" s="190"/>
      <c r="L60" s="190" t="s">
        <v>163</v>
      </c>
      <c r="M60" s="190"/>
      <c r="N60" s="190"/>
      <c r="O60" s="190"/>
      <c r="P60" s="98" t="s">
        <v>129</v>
      </c>
    </row>
  </sheetData>
  <mergeCells count="88">
    <mergeCell ref="B33:G33"/>
    <mergeCell ref="H33:K33"/>
    <mergeCell ref="L33:O33"/>
    <mergeCell ref="A16:A19"/>
    <mergeCell ref="B16:G19"/>
    <mergeCell ref="A21:G21"/>
    <mergeCell ref="H21:K21"/>
    <mergeCell ref="L21:O21"/>
    <mergeCell ref="B22:G22"/>
    <mergeCell ref="H22:K22"/>
    <mergeCell ref="L22:O22"/>
    <mergeCell ref="B23:G23"/>
    <mergeCell ref="H23:K23"/>
    <mergeCell ref="L23:O23"/>
    <mergeCell ref="B24:G24"/>
    <mergeCell ref="H24:K24"/>
    <mergeCell ref="B1:G1"/>
    <mergeCell ref="B3:G3"/>
    <mergeCell ref="B7:G7"/>
    <mergeCell ref="A11:A14"/>
    <mergeCell ref="B11:G14"/>
    <mergeCell ref="L24:O24"/>
    <mergeCell ref="B29:G29"/>
    <mergeCell ref="H29:K29"/>
    <mergeCell ref="L29:O29"/>
    <mergeCell ref="B25:G25"/>
    <mergeCell ref="H25:K25"/>
    <mergeCell ref="L25:O25"/>
    <mergeCell ref="B27:G27"/>
    <mergeCell ref="H27:K27"/>
    <mergeCell ref="L27:O27"/>
    <mergeCell ref="B28:G28"/>
    <mergeCell ref="H28:K28"/>
    <mergeCell ref="L28:O28"/>
    <mergeCell ref="B26:G26"/>
    <mergeCell ref="H26:K26"/>
    <mergeCell ref="L26:O26"/>
    <mergeCell ref="B32:G32"/>
    <mergeCell ref="H32:K32"/>
    <mergeCell ref="L32:O32"/>
    <mergeCell ref="B30:G30"/>
    <mergeCell ref="H30:K30"/>
    <mergeCell ref="L30:O30"/>
    <mergeCell ref="B31:G31"/>
    <mergeCell ref="H31:K31"/>
    <mergeCell ref="L31:O31"/>
    <mergeCell ref="H34:K34"/>
    <mergeCell ref="L34:O34"/>
    <mergeCell ref="B35:G35"/>
    <mergeCell ref="H35:K35"/>
    <mergeCell ref="B34:G34"/>
    <mergeCell ref="A50:G50"/>
    <mergeCell ref="H50:K50"/>
    <mergeCell ref="L50:O50"/>
    <mergeCell ref="L35:O35"/>
    <mergeCell ref="B36:G36"/>
    <mergeCell ref="H36:K36"/>
    <mergeCell ref="L36:O36"/>
    <mergeCell ref="B51:G51"/>
    <mergeCell ref="H51:K51"/>
    <mergeCell ref="L51:O51"/>
    <mergeCell ref="B52:G52"/>
    <mergeCell ref="H52:K52"/>
    <mergeCell ref="L52:O52"/>
    <mergeCell ref="B53:G53"/>
    <mergeCell ref="H53:K53"/>
    <mergeCell ref="L53:O53"/>
    <mergeCell ref="B54:G54"/>
    <mergeCell ref="H54:K54"/>
    <mergeCell ref="L54:O54"/>
    <mergeCell ref="B55:G55"/>
    <mergeCell ref="H55:K55"/>
    <mergeCell ref="L55:O55"/>
    <mergeCell ref="B56:G56"/>
    <mergeCell ref="H56:K56"/>
    <mergeCell ref="L56:O56"/>
    <mergeCell ref="B57:G57"/>
    <mergeCell ref="H57:K57"/>
    <mergeCell ref="L57:O57"/>
    <mergeCell ref="B58:G58"/>
    <mergeCell ref="H58:K58"/>
    <mergeCell ref="L58:O58"/>
    <mergeCell ref="B59:G59"/>
    <mergeCell ref="H59:K59"/>
    <mergeCell ref="L59:O59"/>
    <mergeCell ref="B60:G60"/>
    <mergeCell ref="H60:K60"/>
    <mergeCell ref="L60:O60"/>
  </mergeCells>
  <phoneticPr fontId="42" type="noConversion"/>
  <conditionalFormatting sqref="B9:B10">
    <cfRule type="cellIs" dxfId="237" priority="43" operator="equal">
      <formula>"Nok"</formula>
    </cfRule>
    <cfRule type="cellIs" dxfId="236" priority="44" operator="equal">
      <formula>"Ok"</formula>
    </cfRule>
  </conditionalFormatting>
  <conditionalFormatting sqref="P51:P55">
    <cfRule type="cellIs" dxfId="235" priority="29" operator="equal">
      <formula>"Nok"</formula>
    </cfRule>
    <cfRule type="cellIs" dxfId="234" priority="30" operator="equal">
      <formula>"Ok"</formula>
    </cfRule>
  </conditionalFormatting>
  <conditionalFormatting sqref="P58">
    <cfRule type="cellIs" dxfId="233" priority="27" operator="equal">
      <formula>"Nok"</formula>
    </cfRule>
    <cfRule type="cellIs" dxfId="232" priority="28" operator="equal">
      <formula>"Ok"</formula>
    </cfRule>
  </conditionalFormatting>
  <conditionalFormatting sqref="P56:P57">
    <cfRule type="cellIs" dxfId="231" priority="25" operator="equal">
      <formula>"Nok"</formula>
    </cfRule>
    <cfRule type="cellIs" dxfId="230" priority="26" operator="equal">
      <formula>"Ok"</formula>
    </cfRule>
  </conditionalFormatting>
  <conditionalFormatting sqref="P60">
    <cfRule type="cellIs" dxfId="229" priority="23" operator="equal">
      <formula>"Nok"</formula>
    </cfRule>
    <cfRule type="cellIs" dxfId="228" priority="24" operator="equal">
      <formula>"Ok"</formula>
    </cfRule>
  </conditionalFormatting>
  <conditionalFormatting sqref="P59">
    <cfRule type="cellIs" dxfId="227" priority="21" operator="equal">
      <formula>"Nok"</formula>
    </cfRule>
    <cfRule type="cellIs" dxfId="226" priority="22" operator="equal">
      <formula>"Ok"</formula>
    </cfRule>
  </conditionalFormatting>
  <conditionalFormatting sqref="P23:P25 P29:P30">
    <cfRule type="cellIs" dxfId="225" priority="19" operator="equal">
      <formula>"Nok"</formula>
    </cfRule>
    <cfRule type="cellIs" dxfId="224" priority="20" operator="equal">
      <formula>"Ok"</formula>
    </cfRule>
  </conditionalFormatting>
  <conditionalFormatting sqref="P31:P33">
    <cfRule type="cellIs" dxfId="223" priority="15" operator="equal">
      <formula>"Nok"</formula>
    </cfRule>
    <cfRule type="cellIs" dxfId="222" priority="16" operator="equal">
      <formula>"Ok"</formula>
    </cfRule>
  </conditionalFormatting>
  <conditionalFormatting sqref="P22">
    <cfRule type="cellIs" dxfId="221" priority="13" operator="equal">
      <formula>"Nok"</formula>
    </cfRule>
    <cfRule type="cellIs" dxfId="220" priority="14" operator="equal">
      <formula>"Ok"</formula>
    </cfRule>
  </conditionalFormatting>
  <conditionalFormatting sqref="P27">
    <cfRule type="cellIs" dxfId="219" priority="11" operator="equal">
      <formula>"Nok"</formula>
    </cfRule>
    <cfRule type="cellIs" dxfId="218" priority="12" operator="equal">
      <formula>"Ok"</formula>
    </cfRule>
  </conditionalFormatting>
  <conditionalFormatting sqref="P28">
    <cfRule type="cellIs" dxfId="217" priority="9" operator="equal">
      <formula>"Nok"</formula>
    </cfRule>
    <cfRule type="cellIs" dxfId="216" priority="10" operator="equal">
      <formula>"Ok"</formula>
    </cfRule>
  </conditionalFormatting>
  <conditionalFormatting sqref="P34">
    <cfRule type="cellIs" dxfId="215" priority="7" operator="equal">
      <formula>"Nok"</formula>
    </cfRule>
    <cfRule type="cellIs" dxfId="214" priority="8" operator="equal">
      <formula>"Ok"</formula>
    </cfRule>
  </conditionalFormatting>
  <conditionalFormatting sqref="P35">
    <cfRule type="cellIs" dxfId="213" priority="5" operator="equal">
      <formula>"Nok"</formula>
    </cfRule>
    <cfRule type="cellIs" dxfId="212" priority="6" operator="equal">
      <formula>"Ok"</formula>
    </cfRule>
  </conditionalFormatting>
  <conditionalFormatting sqref="P26">
    <cfRule type="cellIs" dxfId="211" priority="3" operator="equal">
      <formula>"Nok"</formula>
    </cfRule>
    <cfRule type="cellIs" dxfId="210" priority="4" operator="equal">
      <formula>"Ok"</formula>
    </cfRule>
  </conditionalFormatting>
  <conditionalFormatting sqref="P36">
    <cfRule type="cellIs" dxfId="209" priority="1" operator="equal">
      <formula>"Nok"</formula>
    </cfRule>
    <cfRule type="cellIs" dxfId="208" priority="2" operator="equal">
      <formula>"Ok"</formula>
    </cfRule>
  </conditionalFormatting>
  <dataValidations count="3">
    <dataValidation type="list" allowBlank="1" showInputMessage="1" showErrorMessage="1" sqref="B9" xr:uid="{00000000-0002-0000-0700-000000000000}">
      <formula1>"Ok, Nok, Not run, NA"</formula1>
    </dataValidation>
    <dataValidation type="list" allowBlank="1" showInputMessage="1" showErrorMessage="1" sqref="B5" xr:uid="{00000000-0002-0000-0700-000001000000}">
      <formula1>"Nominal, Robustness, Endurance, Qualification"</formula1>
    </dataValidation>
    <dataValidation type="list" allowBlank="1" showInputMessage="1" showErrorMessage="1" sqref="P51:P60 P22:P36" xr:uid="{00000000-0002-0000-0700-000002000000}">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27655" r:id="rId4">
          <objectPr defaultSize="0" r:id="rId5">
            <anchor moveWithCells="1">
              <from>
                <xdr:col>7</xdr:col>
                <xdr:colOff>0</xdr:colOff>
                <xdr:row>1</xdr:row>
                <xdr:rowOff>160020</xdr:rowOff>
              </from>
              <to>
                <xdr:col>8</xdr:col>
                <xdr:colOff>502920</xdr:colOff>
                <xdr:row>3</xdr:row>
                <xdr:rowOff>7620</xdr:rowOff>
              </to>
            </anchor>
          </objectPr>
        </oleObject>
      </mc:Choice>
      <mc:Fallback>
        <oleObject progId="Packager Shell Object" shapeId="27655"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P35"/>
  <sheetViews>
    <sheetView workbookViewId="0">
      <selection activeCell="B1" sqref="B1:G1"/>
    </sheetView>
  </sheetViews>
  <sheetFormatPr defaultColWidth="9.109375" defaultRowHeight="13.2" x14ac:dyDescent="0.25"/>
  <cols>
    <col min="1" max="1" width="20.109375" style="99" customWidth="1"/>
    <col min="2" max="2" width="18.44140625" style="96" customWidth="1"/>
    <col min="3" max="6" width="9.109375" style="96"/>
    <col min="7" max="7" width="10.5546875" style="96" customWidth="1"/>
    <col min="8" max="10" width="9.5546875" style="96" customWidth="1"/>
    <col min="11" max="11" width="15.6640625" style="96" customWidth="1"/>
    <col min="12" max="15" width="9.5546875" style="96" customWidth="1"/>
    <col min="16" max="16384" width="9.109375" style="96"/>
  </cols>
  <sheetData>
    <row r="1" spans="1:15" ht="13.8" thickBot="1" x14ac:dyDescent="0.3">
      <c r="A1" s="100" t="s">
        <v>41</v>
      </c>
      <c r="B1" s="205" t="s">
        <v>342</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9" customHeight="1" thickBot="1" x14ac:dyDescent="0.3">
      <c r="A3" s="101" t="s">
        <v>46</v>
      </c>
      <c r="B3" s="208" t="s">
        <v>171</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169</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75"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241</v>
      </c>
      <c r="C24" s="188"/>
      <c r="D24" s="188"/>
      <c r="E24" s="188"/>
      <c r="F24" s="188"/>
      <c r="G24" s="189"/>
      <c r="H24" s="190" t="s">
        <v>242</v>
      </c>
      <c r="I24" s="190"/>
      <c r="J24" s="190"/>
      <c r="K24" s="190"/>
      <c r="L24" s="190" t="s">
        <v>242</v>
      </c>
      <c r="M24" s="190"/>
      <c r="N24" s="190"/>
      <c r="O24" s="190"/>
      <c r="P24" s="98" t="s">
        <v>129</v>
      </c>
    </row>
    <row r="25" spans="1:16" ht="26.25" customHeight="1" x14ac:dyDescent="0.25">
      <c r="A25" s="103" t="s">
        <v>53</v>
      </c>
      <c r="B25" s="187" t="s">
        <v>254</v>
      </c>
      <c r="C25" s="188"/>
      <c r="D25" s="188"/>
      <c r="E25" s="188"/>
      <c r="F25" s="188"/>
      <c r="G25" s="189"/>
      <c r="H25" s="190" t="s">
        <v>252</v>
      </c>
      <c r="I25" s="190"/>
      <c r="J25" s="190"/>
      <c r="K25" s="190"/>
      <c r="L25" s="190" t="s">
        <v>244</v>
      </c>
      <c r="M25" s="190"/>
      <c r="N25" s="190"/>
      <c r="O25" s="190"/>
      <c r="P25" s="98" t="s">
        <v>243</v>
      </c>
    </row>
    <row r="26" spans="1:16" ht="12.75" customHeight="1" x14ac:dyDescent="0.25">
      <c r="A26" s="103" t="s">
        <v>54</v>
      </c>
      <c r="B26" s="187" t="s">
        <v>255</v>
      </c>
      <c r="C26" s="188"/>
      <c r="D26" s="188"/>
      <c r="E26" s="188"/>
      <c r="F26" s="188"/>
      <c r="G26" s="189"/>
      <c r="H26" s="190" t="s">
        <v>251</v>
      </c>
      <c r="I26" s="190"/>
      <c r="J26" s="190"/>
      <c r="K26" s="190"/>
      <c r="L26" s="190" t="s">
        <v>245</v>
      </c>
      <c r="M26" s="190"/>
      <c r="N26" s="190"/>
      <c r="O26" s="190"/>
      <c r="P26" s="98" t="s">
        <v>243</v>
      </c>
    </row>
    <row r="27" spans="1:16" ht="12.75" customHeight="1" x14ac:dyDescent="0.25">
      <c r="A27" s="103" t="s">
        <v>55</v>
      </c>
      <c r="B27" s="187" t="s">
        <v>235</v>
      </c>
      <c r="C27" s="188"/>
      <c r="D27" s="188"/>
      <c r="E27" s="188"/>
      <c r="F27" s="188"/>
      <c r="G27" s="189"/>
      <c r="H27" s="190" t="s">
        <v>273</v>
      </c>
      <c r="I27" s="190"/>
      <c r="J27" s="190"/>
      <c r="K27" s="190"/>
      <c r="L27" s="190" t="s">
        <v>273</v>
      </c>
      <c r="M27" s="190"/>
      <c r="N27" s="190"/>
      <c r="O27" s="190"/>
      <c r="P27" s="98" t="s">
        <v>129</v>
      </c>
    </row>
    <row r="28" spans="1:16" ht="27.75" customHeight="1" x14ac:dyDescent="0.25">
      <c r="A28" s="103" t="s">
        <v>56</v>
      </c>
      <c r="B28" s="187" t="s">
        <v>253</v>
      </c>
      <c r="C28" s="188"/>
      <c r="D28" s="188"/>
      <c r="E28" s="188"/>
      <c r="F28" s="188"/>
      <c r="G28" s="189"/>
      <c r="H28" s="190" t="s">
        <v>252</v>
      </c>
      <c r="I28" s="190"/>
      <c r="J28" s="190"/>
      <c r="K28" s="190"/>
      <c r="L28" s="190" t="s">
        <v>244</v>
      </c>
      <c r="M28" s="190"/>
      <c r="N28" s="190"/>
      <c r="O28" s="190"/>
      <c r="P28" s="98" t="s">
        <v>243</v>
      </c>
    </row>
    <row r="29" spans="1:16" ht="12.75" customHeight="1" x14ac:dyDescent="0.25">
      <c r="A29" s="103" t="s">
        <v>57</v>
      </c>
      <c r="B29" s="187" t="s">
        <v>255</v>
      </c>
      <c r="C29" s="188"/>
      <c r="D29" s="188"/>
      <c r="E29" s="188"/>
      <c r="F29" s="188"/>
      <c r="G29" s="189"/>
      <c r="H29" s="190" t="s">
        <v>251</v>
      </c>
      <c r="I29" s="190"/>
      <c r="J29" s="190"/>
      <c r="K29" s="190"/>
      <c r="L29" s="190" t="s">
        <v>245</v>
      </c>
      <c r="M29" s="190"/>
      <c r="N29" s="190"/>
      <c r="O29" s="190"/>
      <c r="P29" s="98" t="s">
        <v>243</v>
      </c>
    </row>
    <row r="30" spans="1:16" ht="12.75" customHeight="1" x14ac:dyDescent="0.25">
      <c r="A30" s="103" t="s">
        <v>58</v>
      </c>
      <c r="B30" s="187" t="s">
        <v>226</v>
      </c>
      <c r="C30" s="188"/>
      <c r="D30" s="188"/>
      <c r="E30" s="188"/>
      <c r="F30" s="188"/>
      <c r="G30" s="189"/>
      <c r="H30" s="190" t="s">
        <v>153</v>
      </c>
      <c r="I30" s="190"/>
      <c r="J30" s="190"/>
      <c r="K30" s="190"/>
      <c r="L30" s="190" t="s">
        <v>153</v>
      </c>
      <c r="M30" s="190"/>
      <c r="N30" s="190"/>
      <c r="O30" s="190"/>
      <c r="P30" s="98" t="s">
        <v>129</v>
      </c>
    </row>
    <row r="31" spans="1:16" ht="34.5" customHeight="1" x14ac:dyDescent="0.25">
      <c r="A31" s="103" t="s">
        <v>136</v>
      </c>
      <c r="B31" s="187" t="s">
        <v>222</v>
      </c>
      <c r="C31" s="188"/>
      <c r="D31" s="188"/>
      <c r="E31" s="188"/>
      <c r="F31" s="188"/>
      <c r="G31" s="189"/>
      <c r="H31" s="190" t="s">
        <v>140</v>
      </c>
      <c r="I31" s="190"/>
      <c r="J31" s="190"/>
      <c r="K31" s="190"/>
      <c r="L31" s="190" t="s">
        <v>140</v>
      </c>
      <c r="M31" s="190"/>
      <c r="N31" s="190"/>
      <c r="O31" s="190"/>
      <c r="P31" s="98" t="s">
        <v>129</v>
      </c>
    </row>
    <row r="32" spans="1:16" ht="12.75" customHeight="1" x14ac:dyDescent="0.25">
      <c r="A32" s="103" t="s">
        <v>137</v>
      </c>
      <c r="B32" s="187" t="s">
        <v>241</v>
      </c>
      <c r="C32" s="188"/>
      <c r="D32" s="188"/>
      <c r="E32" s="188"/>
      <c r="F32" s="188"/>
      <c r="G32" s="189"/>
      <c r="H32" s="190" t="s">
        <v>209</v>
      </c>
      <c r="I32" s="190"/>
      <c r="J32" s="190"/>
      <c r="K32" s="190"/>
      <c r="L32" s="190" t="s">
        <v>209</v>
      </c>
      <c r="M32" s="190"/>
      <c r="N32" s="190"/>
      <c r="O32" s="190"/>
      <c r="P32" s="98" t="s">
        <v>129</v>
      </c>
    </row>
    <row r="33" spans="1:16" ht="12.75" customHeight="1" x14ac:dyDescent="0.25">
      <c r="A33" s="103" t="s">
        <v>176</v>
      </c>
      <c r="B33" s="187" t="s">
        <v>255</v>
      </c>
      <c r="C33" s="188"/>
      <c r="D33" s="188"/>
      <c r="E33" s="188"/>
      <c r="F33" s="188"/>
      <c r="G33" s="189"/>
      <c r="H33" s="190" t="s">
        <v>251</v>
      </c>
      <c r="I33" s="190"/>
      <c r="J33" s="190"/>
      <c r="K33" s="190"/>
      <c r="L33" s="190" t="s">
        <v>245</v>
      </c>
      <c r="M33" s="190"/>
      <c r="N33" s="190"/>
      <c r="O33" s="190"/>
      <c r="P33" s="98" t="s">
        <v>243</v>
      </c>
    </row>
    <row r="34" spans="1:16" ht="12.75" customHeight="1" x14ac:dyDescent="0.25">
      <c r="A34" s="103" t="s">
        <v>188</v>
      </c>
      <c r="B34" s="187" t="s">
        <v>235</v>
      </c>
      <c r="C34" s="188"/>
      <c r="D34" s="188"/>
      <c r="E34" s="188"/>
      <c r="F34" s="188"/>
      <c r="G34" s="189"/>
      <c r="H34" s="190" t="s">
        <v>273</v>
      </c>
      <c r="I34" s="190"/>
      <c r="J34" s="190"/>
      <c r="K34" s="190"/>
      <c r="L34" s="190" t="s">
        <v>273</v>
      </c>
      <c r="M34" s="190"/>
      <c r="N34" s="190"/>
      <c r="O34" s="190"/>
      <c r="P34" s="98" t="s">
        <v>129</v>
      </c>
    </row>
    <row r="35" spans="1:16" ht="12.75" customHeight="1" x14ac:dyDescent="0.25">
      <c r="A35" s="103" t="s">
        <v>247</v>
      </c>
      <c r="B35" s="187" t="s">
        <v>255</v>
      </c>
      <c r="C35" s="188"/>
      <c r="D35" s="188"/>
      <c r="E35" s="188"/>
      <c r="F35" s="188"/>
      <c r="G35" s="189"/>
      <c r="H35" s="190" t="s">
        <v>251</v>
      </c>
      <c r="I35" s="190"/>
      <c r="J35" s="190"/>
      <c r="K35" s="190"/>
      <c r="L35" s="187" t="s">
        <v>245</v>
      </c>
      <c r="M35" s="188"/>
      <c r="N35" s="188"/>
      <c r="O35" s="189"/>
      <c r="P35" s="98" t="s">
        <v>243</v>
      </c>
    </row>
  </sheetData>
  <mergeCells count="52">
    <mergeCell ref="B31:G31"/>
    <mergeCell ref="H31:K31"/>
    <mergeCell ref="L31:O31"/>
    <mergeCell ref="A16:A19"/>
    <mergeCell ref="B16:G19"/>
    <mergeCell ref="B30:G30"/>
    <mergeCell ref="H30:K30"/>
    <mergeCell ref="L30:O30"/>
    <mergeCell ref="A21:G21"/>
    <mergeCell ref="H21:K21"/>
    <mergeCell ref="L21:O21"/>
    <mergeCell ref="B22:G22"/>
    <mergeCell ref="H22:K22"/>
    <mergeCell ref="L22:O22"/>
    <mergeCell ref="B24:G24"/>
    <mergeCell ref="H24:K24"/>
    <mergeCell ref="B1:G1"/>
    <mergeCell ref="B3:G3"/>
    <mergeCell ref="B7:G7"/>
    <mergeCell ref="A11:A14"/>
    <mergeCell ref="B11:G14"/>
    <mergeCell ref="L24:O24"/>
    <mergeCell ref="B23:G23"/>
    <mergeCell ref="H23:K23"/>
    <mergeCell ref="L23:O23"/>
    <mergeCell ref="B25:G25"/>
    <mergeCell ref="H25:K25"/>
    <mergeCell ref="L25:O25"/>
    <mergeCell ref="B26:G26"/>
    <mergeCell ref="H26:K26"/>
    <mergeCell ref="L26:O26"/>
    <mergeCell ref="B29:G29"/>
    <mergeCell ref="H29:K29"/>
    <mergeCell ref="L29:O29"/>
    <mergeCell ref="B27:G27"/>
    <mergeCell ref="H27:K27"/>
    <mergeCell ref="L27:O27"/>
    <mergeCell ref="B28:G28"/>
    <mergeCell ref="H28:K28"/>
    <mergeCell ref="L28:O28"/>
    <mergeCell ref="B32:G32"/>
    <mergeCell ref="H32:K32"/>
    <mergeCell ref="L32:O32"/>
    <mergeCell ref="B33:G33"/>
    <mergeCell ref="H33:K33"/>
    <mergeCell ref="L33:O33"/>
    <mergeCell ref="B34:G34"/>
    <mergeCell ref="H34:K34"/>
    <mergeCell ref="L34:O34"/>
    <mergeCell ref="B35:G35"/>
    <mergeCell ref="H35:K35"/>
    <mergeCell ref="L35:O35"/>
  </mergeCells>
  <phoneticPr fontId="42" type="noConversion"/>
  <conditionalFormatting sqref="B9:B10">
    <cfRule type="cellIs" dxfId="207" priority="49" operator="equal">
      <formula>"Nok"</formula>
    </cfRule>
    <cfRule type="cellIs" dxfId="206" priority="50" operator="equal">
      <formula>"Ok"</formula>
    </cfRule>
  </conditionalFormatting>
  <conditionalFormatting sqref="P23:P25 P29:P30">
    <cfRule type="cellIs" dxfId="205" priority="17" operator="equal">
      <formula>"Nok"</formula>
    </cfRule>
    <cfRule type="cellIs" dxfId="204" priority="18" operator="equal">
      <formula>"Ok"</formula>
    </cfRule>
  </conditionalFormatting>
  <conditionalFormatting sqref="P31:P33">
    <cfRule type="cellIs" dxfId="203" priority="15" operator="equal">
      <formula>"Nok"</formula>
    </cfRule>
    <cfRule type="cellIs" dxfId="202" priority="16" operator="equal">
      <formula>"Ok"</formula>
    </cfRule>
  </conditionalFormatting>
  <conditionalFormatting sqref="P22">
    <cfRule type="cellIs" dxfId="201" priority="13" operator="equal">
      <formula>"Nok"</formula>
    </cfRule>
    <cfRule type="cellIs" dxfId="200" priority="14" operator="equal">
      <formula>"Ok"</formula>
    </cfRule>
  </conditionalFormatting>
  <conditionalFormatting sqref="P27">
    <cfRule type="cellIs" dxfId="199" priority="11" operator="equal">
      <formula>"Nok"</formula>
    </cfRule>
    <cfRule type="cellIs" dxfId="198" priority="12" operator="equal">
      <formula>"Ok"</formula>
    </cfRule>
  </conditionalFormatting>
  <conditionalFormatting sqref="P28">
    <cfRule type="cellIs" dxfId="197" priority="9" operator="equal">
      <formula>"Nok"</formula>
    </cfRule>
    <cfRule type="cellIs" dxfId="196" priority="10" operator="equal">
      <formula>"Ok"</formula>
    </cfRule>
  </conditionalFormatting>
  <conditionalFormatting sqref="P34">
    <cfRule type="cellIs" dxfId="195" priority="7" operator="equal">
      <formula>"Nok"</formula>
    </cfRule>
    <cfRule type="cellIs" dxfId="194" priority="8" operator="equal">
      <formula>"Ok"</formula>
    </cfRule>
  </conditionalFormatting>
  <conditionalFormatting sqref="P35">
    <cfRule type="cellIs" dxfId="193" priority="5" operator="equal">
      <formula>"Nok"</formula>
    </cfRule>
    <cfRule type="cellIs" dxfId="192" priority="6" operator="equal">
      <formula>"Ok"</formula>
    </cfRule>
  </conditionalFormatting>
  <conditionalFormatting sqref="P26">
    <cfRule type="cellIs" dxfId="191" priority="3" operator="equal">
      <formula>"Nok"</formula>
    </cfRule>
    <cfRule type="cellIs" dxfId="190" priority="4" operator="equal">
      <formula>"Ok"</formula>
    </cfRule>
  </conditionalFormatting>
  <dataValidations count="3">
    <dataValidation type="list" allowBlank="1" showInputMessage="1" showErrorMessage="1" sqref="B5" xr:uid="{00000000-0002-0000-0800-000000000000}">
      <formula1>"Nominal, Robustness, Endurance, Qualification"</formula1>
    </dataValidation>
    <dataValidation type="list" allowBlank="1" showInputMessage="1" showErrorMessage="1" sqref="B9" xr:uid="{00000000-0002-0000-0800-000001000000}">
      <formula1>"Ok, Nok, Not run, NA"</formula1>
    </dataValidation>
    <dataValidation type="list" allowBlank="1" showInputMessage="1" showErrorMessage="1" sqref="P22:P35" xr:uid="{00000000-0002-0000-0800-000002000000}">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31751" r:id="rId4">
          <objectPr defaultSize="0" autoPict="0" r:id="rId5">
            <anchor moveWithCells="1">
              <from>
                <xdr:col>7</xdr:col>
                <xdr:colOff>30480</xdr:colOff>
                <xdr:row>2</xdr:row>
                <xdr:rowOff>0</xdr:rowOff>
              </from>
              <to>
                <xdr:col>8</xdr:col>
                <xdr:colOff>533400</xdr:colOff>
                <xdr:row>3</xdr:row>
                <xdr:rowOff>22860</xdr:rowOff>
              </to>
            </anchor>
          </objectPr>
        </oleObject>
      </mc:Choice>
      <mc:Fallback>
        <oleObject progId="Packager Shell Object" shapeId="31751" r:id="rId4"/>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P23"/>
  <sheetViews>
    <sheetView workbookViewId="0">
      <selection activeCell="I35" sqref="I35"/>
    </sheetView>
  </sheetViews>
  <sheetFormatPr defaultColWidth="9.109375" defaultRowHeight="13.2" x14ac:dyDescent="0.25"/>
  <cols>
    <col min="1" max="1" width="20.109375" style="99" customWidth="1"/>
    <col min="2" max="2" width="18.44140625" style="96" customWidth="1"/>
    <col min="3" max="6" width="9.109375" style="96"/>
    <col min="7" max="7" width="10.5546875" style="96" customWidth="1"/>
    <col min="8" max="15" width="9.5546875" style="96" customWidth="1"/>
    <col min="16" max="16384" width="9.109375" style="96"/>
  </cols>
  <sheetData>
    <row r="1" spans="1:15" ht="13.8" thickBot="1" x14ac:dyDescent="0.3">
      <c r="A1" s="100" t="s">
        <v>41</v>
      </c>
      <c r="B1" s="205" t="s">
        <v>173</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9" customHeight="1" thickBot="1" x14ac:dyDescent="0.3">
      <c r="A3" s="101" t="s">
        <v>46</v>
      </c>
      <c r="B3" s="208" t="s">
        <v>172</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181</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50</v>
      </c>
      <c r="B22" s="187" t="s">
        <v>179</v>
      </c>
      <c r="C22" s="188"/>
      <c r="D22" s="188"/>
      <c r="E22" s="188"/>
      <c r="F22" s="188"/>
      <c r="G22" s="189"/>
      <c r="H22" s="190" t="s">
        <v>180</v>
      </c>
      <c r="I22" s="190"/>
      <c r="J22" s="190"/>
      <c r="K22" s="190"/>
      <c r="L22" s="190" t="s">
        <v>180</v>
      </c>
      <c r="M22" s="190"/>
      <c r="N22" s="190"/>
      <c r="O22" s="190"/>
      <c r="P22" s="98" t="s">
        <v>129</v>
      </c>
    </row>
    <row r="23" spans="1:16" x14ac:dyDescent="0.25">
      <c r="A23" s="96"/>
    </row>
  </sheetData>
  <mergeCells count="13">
    <mergeCell ref="A16:A19"/>
    <mergeCell ref="B16:G19"/>
    <mergeCell ref="B1:G1"/>
    <mergeCell ref="B3:G3"/>
    <mergeCell ref="B7:G7"/>
    <mergeCell ref="A11:A14"/>
    <mergeCell ref="B11:G14"/>
    <mergeCell ref="A21:G21"/>
    <mergeCell ref="H21:K21"/>
    <mergeCell ref="L21:O21"/>
    <mergeCell ref="B22:G22"/>
    <mergeCell ref="H22:K22"/>
    <mergeCell ref="L22:O22"/>
  </mergeCells>
  <conditionalFormatting sqref="B9:B10">
    <cfRule type="cellIs" dxfId="189" priority="7" operator="equal">
      <formula>"Nok"</formula>
    </cfRule>
    <cfRule type="cellIs" dxfId="188" priority="8" operator="equal">
      <formula>"Ok"</formula>
    </cfRule>
  </conditionalFormatting>
  <conditionalFormatting sqref="P22">
    <cfRule type="cellIs" dxfId="187" priority="5" operator="equal">
      <formula>"Nok"</formula>
    </cfRule>
    <cfRule type="cellIs" dxfId="186" priority="6" operator="equal">
      <formula>"Ok"</formula>
    </cfRule>
  </conditionalFormatting>
  <dataValidations count="3">
    <dataValidation type="list" allowBlank="1" showInputMessage="1" showErrorMessage="1" sqref="P22" xr:uid="{00000000-0002-0000-0900-000000000000}">
      <formula1>"Ok, Nok, Not run, ,"</formula1>
    </dataValidation>
    <dataValidation type="list" allowBlank="1" showInputMessage="1" showErrorMessage="1" sqref="B9" xr:uid="{00000000-0002-0000-0900-000001000000}">
      <formula1>"Ok, Nok, Not run, NA"</formula1>
    </dataValidation>
    <dataValidation type="list" allowBlank="1" showInputMessage="1" showErrorMessage="1" sqref="B5" xr:uid="{00000000-0002-0000-0900-000002000000}">
      <formula1>"Nominal, Robustness, Endurance, Qualification"</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32775" r:id="rId4">
          <objectPr defaultSize="0" r:id="rId5">
            <anchor moveWithCells="1">
              <from>
                <xdr:col>7</xdr:col>
                <xdr:colOff>7620</xdr:colOff>
                <xdr:row>1</xdr:row>
                <xdr:rowOff>160020</xdr:rowOff>
              </from>
              <to>
                <xdr:col>8</xdr:col>
                <xdr:colOff>518160</xdr:colOff>
                <xdr:row>3</xdr:row>
                <xdr:rowOff>7620</xdr:rowOff>
              </to>
            </anchor>
          </objectPr>
        </oleObject>
      </mc:Choice>
      <mc:Fallback>
        <oleObject progId="Packager Shell Object" shapeId="32775" r:id="rId4"/>
      </mc:Fallback>
    </mc:AlternateContent>
  </oleObjec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P29"/>
  <sheetViews>
    <sheetView workbookViewId="0">
      <selection activeCell="N13" sqref="N13"/>
    </sheetView>
  </sheetViews>
  <sheetFormatPr defaultColWidth="9.109375" defaultRowHeight="13.2" x14ac:dyDescent="0.25"/>
  <cols>
    <col min="1" max="1" width="20.109375" style="99" customWidth="1"/>
    <col min="2" max="2" width="18.44140625" style="96" customWidth="1"/>
    <col min="3" max="6" width="9.109375" style="96"/>
    <col min="7" max="7" width="10.5546875" style="96" customWidth="1"/>
    <col min="8" max="15" width="9.5546875" style="96" customWidth="1"/>
    <col min="16" max="16384" width="9.109375" style="96"/>
  </cols>
  <sheetData>
    <row r="1" spans="1:15" ht="13.8" thickBot="1" x14ac:dyDescent="0.3">
      <c r="A1" s="100" t="s">
        <v>41</v>
      </c>
      <c r="B1" s="205" t="s">
        <v>343</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9" customHeight="1" thickBot="1" x14ac:dyDescent="0.3">
      <c r="A3" s="101" t="s">
        <v>46</v>
      </c>
      <c r="B3" s="208" t="s">
        <v>221</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311</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51.75" customHeight="1" x14ac:dyDescent="0.25">
      <c r="A22" s="103" t="s">
        <v>50</v>
      </c>
      <c r="B22" s="187" t="s">
        <v>212</v>
      </c>
      <c r="C22" s="188"/>
      <c r="D22" s="188"/>
      <c r="E22" s="188"/>
      <c r="F22" s="188"/>
      <c r="G22" s="189"/>
      <c r="H22" s="190" t="s">
        <v>213</v>
      </c>
      <c r="I22" s="190"/>
      <c r="J22" s="190"/>
      <c r="K22" s="190"/>
      <c r="L22" s="190" t="s">
        <v>213</v>
      </c>
      <c r="M22" s="190"/>
      <c r="N22" s="190"/>
      <c r="O22" s="190"/>
      <c r="P22" s="98" t="s">
        <v>129</v>
      </c>
    </row>
    <row r="23" spans="1:16" ht="12.75" customHeight="1" x14ac:dyDescent="0.25">
      <c r="A23" s="103" t="s">
        <v>51</v>
      </c>
      <c r="B23" s="187" t="s">
        <v>139</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256</v>
      </c>
      <c r="C24" s="188"/>
      <c r="D24" s="188"/>
      <c r="E24" s="188"/>
      <c r="F24" s="188"/>
      <c r="G24" s="189"/>
      <c r="H24" s="187" t="s">
        <v>209</v>
      </c>
      <c r="I24" s="188"/>
      <c r="J24" s="188"/>
      <c r="K24" s="189"/>
      <c r="L24" s="187" t="s">
        <v>209</v>
      </c>
      <c r="M24" s="188"/>
      <c r="N24" s="188"/>
      <c r="O24" s="189"/>
      <c r="P24" s="98" t="s">
        <v>129</v>
      </c>
    </row>
    <row r="25" spans="1:16" ht="12.75" customHeight="1" x14ac:dyDescent="0.25">
      <c r="A25" s="103" t="s">
        <v>53</v>
      </c>
      <c r="B25" s="187" t="s">
        <v>259</v>
      </c>
      <c r="C25" s="188"/>
      <c r="D25" s="188"/>
      <c r="E25" s="188"/>
      <c r="F25" s="188"/>
      <c r="G25" s="189"/>
      <c r="H25" s="214" t="s">
        <v>211</v>
      </c>
      <c r="I25" s="215"/>
      <c r="J25" s="215"/>
      <c r="K25" s="216"/>
      <c r="L25" s="214" t="s">
        <v>211</v>
      </c>
      <c r="M25" s="215"/>
      <c r="N25" s="215"/>
      <c r="O25" s="216"/>
      <c r="P25" s="98" t="s">
        <v>129</v>
      </c>
    </row>
    <row r="26" spans="1:16" ht="12.75" customHeight="1" x14ac:dyDescent="0.25">
      <c r="A26" s="103" t="s">
        <v>54</v>
      </c>
      <c r="B26" s="187" t="s">
        <v>203</v>
      </c>
      <c r="C26" s="188"/>
      <c r="D26" s="188"/>
      <c r="E26" s="188"/>
      <c r="F26" s="188"/>
      <c r="G26" s="189"/>
      <c r="H26" s="190" t="s">
        <v>210</v>
      </c>
      <c r="I26" s="190"/>
      <c r="J26" s="190"/>
      <c r="K26" s="190"/>
      <c r="L26" s="190" t="s">
        <v>210</v>
      </c>
      <c r="M26" s="190"/>
      <c r="N26" s="190"/>
      <c r="O26" s="190"/>
      <c r="P26" s="98" t="s">
        <v>129</v>
      </c>
    </row>
    <row r="27" spans="1:16" ht="12.75" customHeight="1" x14ac:dyDescent="0.25">
      <c r="A27" s="103" t="s">
        <v>55</v>
      </c>
      <c r="B27" s="187" t="s">
        <v>259</v>
      </c>
      <c r="C27" s="188"/>
      <c r="D27" s="188"/>
      <c r="E27" s="188"/>
      <c r="F27" s="188"/>
      <c r="G27" s="189"/>
      <c r="H27" s="214" t="s">
        <v>211</v>
      </c>
      <c r="I27" s="215"/>
      <c r="J27" s="215"/>
      <c r="K27" s="216"/>
      <c r="L27" s="214" t="s">
        <v>211</v>
      </c>
      <c r="M27" s="215"/>
      <c r="N27" s="215"/>
      <c r="O27" s="216"/>
      <c r="P27" s="98" t="s">
        <v>129</v>
      </c>
    </row>
    <row r="28" spans="1:16" ht="12.75" customHeight="1" x14ac:dyDescent="0.25">
      <c r="A28" s="103" t="s">
        <v>56</v>
      </c>
      <c r="B28" s="187" t="s">
        <v>141</v>
      </c>
      <c r="C28" s="188"/>
      <c r="D28" s="188"/>
      <c r="E28" s="188"/>
      <c r="F28" s="188"/>
      <c r="G28" s="189"/>
      <c r="H28" s="190" t="s">
        <v>142</v>
      </c>
      <c r="I28" s="190"/>
      <c r="J28" s="190"/>
      <c r="K28" s="190"/>
      <c r="L28" s="190" t="s">
        <v>142</v>
      </c>
      <c r="M28" s="190"/>
      <c r="N28" s="190"/>
      <c r="O28" s="190"/>
      <c r="P28" s="98" t="s">
        <v>129</v>
      </c>
    </row>
    <row r="29" spans="1:16" ht="12.75" customHeight="1" x14ac:dyDescent="0.25">
      <c r="A29" s="103" t="s">
        <v>57</v>
      </c>
      <c r="B29" s="187" t="s">
        <v>259</v>
      </c>
      <c r="C29" s="188"/>
      <c r="D29" s="188"/>
      <c r="E29" s="188"/>
      <c r="F29" s="188"/>
      <c r="G29" s="189"/>
      <c r="H29" s="214" t="s">
        <v>211</v>
      </c>
      <c r="I29" s="215"/>
      <c r="J29" s="215"/>
      <c r="K29" s="216"/>
      <c r="L29" s="214" t="s">
        <v>211</v>
      </c>
      <c r="M29" s="215"/>
      <c r="N29" s="215"/>
      <c r="O29" s="216"/>
      <c r="P29" s="98" t="s">
        <v>129</v>
      </c>
    </row>
  </sheetData>
  <mergeCells count="34">
    <mergeCell ref="B29:G29"/>
    <mergeCell ref="H29:K29"/>
    <mergeCell ref="L29:O29"/>
    <mergeCell ref="B28:G28"/>
    <mergeCell ref="H28:K28"/>
    <mergeCell ref="L28:O28"/>
    <mergeCell ref="B26:G26"/>
    <mergeCell ref="H26:K26"/>
    <mergeCell ref="L26:O26"/>
    <mergeCell ref="B27:G27"/>
    <mergeCell ref="H27:K27"/>
    <mergeCell ref="L27:O27"/>
    <mergeCell ref="B23:G23"/>
    <mergeCell ref="H23:K23"/>
    <mergeCell ref="L23:O23"/>
    <mergeCell ref="B25:G25"/>
    <mergeCell ref="H25:K25"/>
    <mergeCell ref="L25:O25"/>
    <mergeCell ref="B24:G24"/>
    <mergeCell ref="H24:K24"/>
    <mergeCell ref="L24:O24"/>
    <mergeCell ref="B1:G1"/>
    <mergeCell ref="B3:G3"/>
    <mergeCell ref="B7:G7"/>
    <mergeCell ref="A11:A14"/>
    <mergeCell ref="B11:G14"/>
    <mergeCell ref="A16:A19"/>
    <mergeCell ref="B16:G19"/>
    <mergeCell ref="B22:G22"/>
    <mergeCell ref="H22:K22"/>
    <mergeCell ref="L22:O22"/>
    <mergeCell ref="A21:G21"/>
    <mergeCell ref="H21:K21"/>
    <mergeCell ref="L21:O21"/>
  </mergeCells>
  <phoneticPr fontId="43" type="noConversion"/>
  <conditionalFormatting sqref="B9:B10">
    <cfRule type="cellIs" dxfId="185" priority="11" operator="equal">
      <formula>"Nok"</formula>
    </cfRule>
    <cfRule type="cellIs" dxfId="184" priority="12" operator="equal">
      <formula>"Ok"</formula>
    </cfRule>
  </conditionalFormatting>
  <conditionalFormatting sqref="P22:P27">
    <cfRule type="cellIs" dxfId="183" priority="9" operator="equal">
      <formula>"Nok"</formula>
    </cfRule>
    <cfRule type="cellIs" dxfId="182" priority="10" operator="equal">
      <formula>"Ok"</formula>
    </cfRule>
  </conditionalFormatting>
  <conditionalFormatting sqref="P28:P29">
    <cfRule type="cellIs" dxfId="181" priority="7" operator="equal">
      <formula>"Nok"</formula>
    </cfRule>
    <cfRule type="cellIs" dxfId="180" priority="8" operator="equal">
      <formula>"Ok"</formula>
    </cfRule>
  </conditionalFormatting>
  <dataValidations count="3">
    <dataValidation type="list" allowBlank="1" showInputMessage="1" showErrorMessage="1" sqref="P22:P29" xr:uid="{00000000-0002-0000-0A00-000000000000}">
      <formula1>"Ok, Nok, Not run, ,"</formula1>
    </dataValidation>
    <dataValidation type="list" allowBlank="1" showInputMessage="1" showErrorMessage="1" sqref="B9" xr:uid="{00000000-0002-0000-0A00-000001000000}">
      <formula1>"Ok, Nok, Not run, NA"</formula1>
    </dataValidation>
    <dataValidation type="list" allowBlank="1" showInputMessage="1" showErrorMessage="1" sqref="B5" xr:uid="{00000000-0002-0000-0A00-000002000000}">
      <formula1>"Nominal, Robustness, Endurance, Qualification"</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35847" r:id="rId4">
          <objectPr defaultSize="0" r:id="rId5">
            <anchor moveWithCells="1">
              <from>
                <xdr:col>7</xdr:col>
                <xdr:colOff>7620</xdr:colOff>
                <xdr:row>1</xdr:row>
                <xdr:rowOff>144780</xdr:rowOff>
              </from>
              <to>
                <xdr:col>8</xdr:col>
                <xdr:colOff>518160</xdr:colOff>
                <xdr:row>2</xdr:row>
                <xdr:rowOff>487680</xdr:rowOff>
              </to>
            </anchor>
          </objectPr>
        </oleObject>
      </mc:Choice>
      <mc:Fallback>
        <oleObject progId="Packager Shell Object" shapeId="35847" r:id="rId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P29"/>
  <sheetViews>
    <sheetView workbookViewId="0">
      <selection activeCell="B1" sqref="B1:G1"/>
    </sheetView>
  </sheetViews>
  <sheetFormatPr defaultColWidth="9.109375" defaultRowHeight="13.2" x14ac:dyDescent="0.25"/>
  <cols>
    <col min="1" max="1" width="20.109375" style="99" customWidth="1"/>
    <col min="2" max="2" width="18.44140625" style="96" customWidth="1"/>
    <col min="3" max="6" width="9.109375" style="96"/>
    <col min="7" max="7" width="10.5546875" style="96" customWidth="1"/>
    <col min="8" max="15" width="9.5546875" style="96" customWidth="1"/>
    <col min="16" max="16384" width="9.109375" style="96"/>
  </cols>
  <sheetData>
    <row r="1" spans="1:15" ht="13.8" thickBot="1" x14ac:dyDescent="0.3">
      <c r="A1" s="100" t="s">
        <v>41</v>
      </c>
      <c r="B1" s="205" t="s">
        <v>344</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9" customHeight="1" thickBot="1" x14ac:dyDescent="0.3">
      <c r="A3" s="101" t="s">
        <v>46</v>
      </c>
      <c r="B3" s="208" t="s">
        <v>202</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201</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51.75" customHeight="1" x14ac:dyDescent="0.25">
      <c r="A22" s="103" t="s">
        <v>50</v>
      </c>
      <c r="B22" s="187" t="s">
        <v>215</v>
      </c>
      <c r="C22" s="188"/>
      <c r="D22" s="188"/>
      <c r="E22" s="188"/>
      <c r="F22" s="188"/>
      <c r="G22" s="189"/>
      <c r="H22" s="190" t="s">
        <v>214</v>
      </c>
      <c r="I22" s="190"/>
      <c r="J22" s="190"/>
      <c r="K22" s="190"/>
      <c r="L22" s="190" t="s">
        <v>312</v>
      </c>
      <c r="M22" s="190"/>
      <c r="N22" s="190"/>
      <c r="O22" s="190"/>
      <c r="P22" s="98" t="s">
        <v>243</v>
      </c>
    </row>
    <row r="23" spans="1:16" ht="12.75" customHeight="1" x14ac:dyDescent="0.25">
      <c r="A23" s="103" t="s">
        <v>51</v>
      </c>
      <c r="B23" s="187" t="s">
        <v>139</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256</v>
      </c>
      <c r="C24" s="188"/>
      <c r="D24" s="188"/>
      <c r="E24" s="188"/>
      <c r="F24" s="188"/>
      <c r="G24" s="189"/>
      <c r="H24" s="214" t="s">
        <v>209</v>
      </c>
      <c r="I24" s="215"/>
      <c r="J24" s="215"/>
      <c r="K24" s="216"/>
      <c r="L24" s="214" t="s">
        <v>209</v>
      </c>
      <c r="M24" s="215"/>
      <c r="N24" s="215"/>
      <c r="O24" s="216"/>
      <c r="P24" s="98" t="s">
        <v>129</v>
      </c>
    </row>
    <row r="25" spans="1:16" ht="12.75" customHeight="1" x14ac:dyDescent="0.25">
      <c r="A25" s="103" t="s">
        <v>53</v>
      </c>
      <c r="B25" s="187" t="s">
        <v>260</v>
      </c>
      <c r="C25" s="188"/>
      <c r="D25" s="188"/>
      <c r="E25" s="188"/>
      <c r="F25" s="188"/>
      <c r="G25" s="189"/>
      <c r="H25" s="214" t="s">
        <v>216</v>
      </c>
      <c r="I25" s="215"/>
      <c r="J25" s="215"/>
      <c r="K25" s="216"/>
      <c r="L25" s="214" t="s">
        <v>313</v>
      </c>
      <c r="M25" s="215"/>
      <c r="N25" s="215"/>
      <c r="O25" s="216"/>
      <c r="P25" s="98" t="s">
        <v>243</v>
      </c>
    </row>
    <row r="26" spans="1:16" ht="12.75" customHeight="1" x14ac:dyDescent="0.25">
      <c r="A26" s="103" t="s">
        <v>54</v>
      </c>
      <c r="B26" s="187" t="s">
        <v>203</v>
      </c>
      <c r="C26" s="188"/>
      <c r="D26" s="188"/>
      <c r="E26" s="188"/>
      <c r="F26" s="188"/>
      <c r="G26" s="189"/>
      <c r="H26" s="214" t="s">
        <v>210</v>
      </c>
      <c r="I26" s="215"/>
      <c r="J26" s="215"/>
      <c r="K26" s="216"/>
      <c r="L26" s="214" t="s">
        <v>210</v>
      </c>
      <c r="M26" s="215"/>
      <c r="N26" s="215"/>
      <c r="O26" s="216"/>
      <c r="P26" s="98" t="s">
        <v>129</v>
      </c>
    </row>
    <row r="27" spans="1:16" ht="12.75" customHeight="1" x14ac:dyDescent="0.25">
      <c r="A27" s="103" t="s">
        <v>55</v>
      </c>
      <c r="B27" s="187" t="s">
        <v>260</v>
      </c>
      <c r="C27" s="188"/>
      <c r="D27" s="188"/>
      <c r="E27" s="188"/>
      <c r="F27" s="188"/>
      <c r="G27" s="189"/>
      <c r="H27" s="214" t="s">
        <v>216</v>
      </c>
      <c r="I27" s="215"/>
      <c r="J27" s="215"/>
      <c r="K27" s="216"/>
      <c r="L27" s="214" t="s">
        <v>313</v>
      </c>
      <c r="M27" s="215"/>
      <c r="N27" s="215"/>
      <c r="O27" s="216"/>
      <c r="P27" s="98" t="s">
        <v>243</v>
      </c>
    </row>
    <row r="28" spans="1:16" ht="12.75" customHeight="1" x14ac:dyDescent="0.25">
      <c r="A28" s="103" t="s">
        <v>56</v>
      </c>
      <c r="B28" s="187" t="s">
        <v>141</v>
      </c>
      <c r="C28" s="188"/>
      <c r="D28" s="188"/>
      <c r="E28" s="188"/>
      <c r="F28" s="188"/>
      <c r="G28" s="189"/>
      <c r="H28" s="190" t="s">
        <v>142</v>
      </c>
      <c r="I28" s="190"/>
      <c r="J28" s="190"/>
      <c r="K28" s="190"/>
      <c r="L28" s="190" t="s">
        <v>142</v>
      </c>
      <c r="M28" s="190"/>
      <c r="N28" s="190"/>
      <c r="O28" s="190"/>
      <c r="P28" s="98" t="s">
        <v>129</v>
      </c>
    </row>
    <row r="29" spans="1:16" ht="12.75" customHeight="1" x14ac:dyDescent="0.25">
      <c r="A29" s="103" t="s">
        <v>57</v>
      </c>
      <c r="B29" s="187" t="s">
        <v>260</v>
      </c>
      <c r="C29" s="188"/>
      <c r="D29" s="188"/>
      <c r="E29" s="188"/>
      <c r="F29" s="188"/>
      <c r="G29" s="189"/>
      <c r="H29" s="214" t="s">
        <v>216</v>
      </c>
      <c r="I29" s="215"/>
      <c r="J29" s="215"/>
      <c r="K29" s="216"/>
      <c r="L29" s="214" t="s">
        <v>313</v>
      </c>
      <c r="M29" s="215"/>
      <c r="N29" s="215"/>
      <c r="O29" s="216"/>
      <c r="P29" s="98" t="s">
        <v>243</v>
      </c>
    </row>
  </sheetData>
  <mergeCells count="34">
    <mergeCell ref="B27:G27"/>
    <mergeCell ref="H27:K27"/>
    <mergeCell ref="L27:O27"/>
    <mergeCell ref="B28:G28"/>
    <mergeCell ref="H28:K28"/>
    <mergeCell ref="L28:O28"/>
    <mergeCell ref="L24:O24"/>
    <mergeCell ref="B25:G25"/>
    <mergeCell ref="H25:K25"/>
    <mergeCell ref="L25:O25"/>
    <mergeCell ref="B26:G26"/>
    <mergeCell ref="H26:K26"/>
    <mergeCell ref="L26:O26"/>
    <mergeCell ref="B1:G1"/>
    <mergeCell ref="B3:G3"/>
    <mergeCell ref="B7:G7"/>
    <mergeCell ref="A11:A14"/>
    <mergeCell ref="B11:G14"/>
    <mergeCell ref="B29:G29"/>
    <mergeCell ref="H29:K29"/>
    <mergeCell ref="L29:O29"/>
    <mergeCell ref="A16:A19"/>
    <mergeCell ref="B16:G19"/>
    <mergeCell ref="A21:G21"/>
    <mergeCell ref="H21:K21"/>
    <mergeCell ref="L21:O21"/>
    <mergeCell ref="B22:G22"/>
    <mergeCell ref="H22:K22"/>
    <mergeCell ref="L22:O22"/>
    <mergeCell ref="B23:G23"/>
    <mergeCell ref="H23:K23"/>
    <mergeCell ref="L23:O23"/>
    <mergeCell ref="B24:G24"/>
    <mergeCell ref="H24:K24"/>
  </mergeCells>
  <conditionalFormatting sqref="B9:B10">
    <cfRule type="cellIs" dxfId="179" priority="23" operator="equal">
      <formula>"Nok"</formula>
    </cfRule>
    <cfRule type="cellIs" dxfId="178" priority="24" operator="equal">
      <formula>"Ok"</formula>
    </cfRule>
  </conditionalFormatting>
  <conditionalFormatting sqref="P22:P27">
    <cfRule type="cellIs" dxfId="177" priority="3" operator="equal">
      <formula>"Nok"</formula>
    </cfRule>
    <cfRule type="cellIs" dxfId="176" priority="4" operator="equal">
      <formula>"Ok"</formula>
    </cfRule>
  </conditionalFormatting>
  <conditionalFormatting sqref="P28:P29">
    <cfRule type="cellIs" dxfId="175" priority="1" operator="equal">
      <formula>"Nok"</formula>
    </cfRule>
    <cfRule type="cellIs" dxfId="174" priority="2" operator="equal">
      <formula>"Ok"</formula>
    </cfRule>
  </conditionalFormatting>
  <dataValidations count="3">
    <dataValidation type="list" allowBlank="1" showInputMessage="1" showErrorMessage="1" sqref="B5" xr:uid="{00000000-0002-0000-0B00-000000000000}">
      <formula1>"Nominal, Robustness, Endurance, Qualification"</formula1>
    </dataValidation>
    <dataValidation type="list" allowBlank="1" showInputMessage="1" showErrorMessage="1" sqref="B9" xr:uid="{00000000-0002-0000-0B00-000001000000}">
      <formula1>"Ok, Nok, Not run, NA"</formula1>
    </dataValidation>
    <dataValidation type="list" allowBlank="1" showInputMessage="1" showErrorMessage="1" sqref="P22:P29" xr:uid="{00000000-0002-0000-0B00-000002000000}">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36871" r:id="rId4">
          <objectPr defaultSize="0" r:id="rId5">
            <anchor moveWithCells="1">
              <from>
                <xdr:col>7</xdr:col>
                <xdr:colOff>0</xdr:colOff>
                <xdr:row>1</xdr:row>
                <xdr:rowOff>160020</xdr:rowOff>
              </from>
              <to>
                <xdr:col>8</xdr:col>
                <xdr:colOff>502920</xdr:colOff>
                <xdr:row>3</xdr:row>
                <xdr:rowOff>7620</xdr:rowOff>
              </to>
            </anchor>
          </objectPr>
        </oleObject>
      </mc:Choice>
      <mc:Fallback>
        <oleObject progId="Packager Shell Object" shapeId="36871" r:id="rId4"/>
      </mc:Fallback>
    </mc:AlternateContent>
  </oleObjec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A9698-E9DD-4357-A375-59974A016DB7}">
  <sheetPr codeName="Sheet15"/>
  <dimension ref="A1:P24"/>
  <sheetViews>
    <sheetView workbookViewId="0">
      <selection activeCell="G33" sqref="G33"/>
    </sheetView>
  </sheetViews>
  <sheetFormatPr defaultColWidth="9.109375" defaultRowHeight="13.2" x14ac:dyDescent="0.25"/>
  <cols>
    <col min="1" max="1" width="20.109375" style="99" customWidth="1"/>
    <col min="2" max="2" width="18.44140625" style="96" customWidth="1"/>
    <col min="3" max="6" width="9.109375" style="96"/>
    <col min="7" max="7" width="22.88671875" style="96" customWidth="1"/>
    <col min="8" max="15" width="9.5546875" style="96" customWidth="1"/>
    <col min="16" max="16384" width="9.109375" style="96"/>
  </cols>
  <sheetData>
    <row r="1" spans="1:15" ht="13.8" thickBot="1" x14ac:dyDescent="0.3">
      <c r="A1" s="100" t="s">
        <v>41</v>
      </c>
      <c r="B1" s="205" t="s">
        <v>345</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59.25" customHeight="1" thickBot="1" x14ac:dyDescent="0.3">
      <c r="A3" s="101" t="s">
        <v>46</v>
      </c>
      <c r="B3" s="208" t="s">
        <v>264</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316</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51</v>
      </c>
      <c r="B22" s="187" t="s">
        <v>141</v>
      </c>
      <c r="C22" s="188"/>
      <c r="D22" s="188"/>
      <c r="E22" s="188"/>
      <c r="F22" s="188"/>
      <c r="G22" s="189"/>
      <c r="H22" s="190" t="s">
        <v>142</v>
      </c>
      <c r="I22" s="190"/>
      <c r="J22" s="190"/>
      <c r="K22" s="190"/>
      <c r="L22" s="190" t="s">
        <v>142</v>
      </c>
      <c r="M22" s="190"/>
      <c r="N22" s="190"/>
      <c r="O22" s="190"/>
      <c r="P22" s="98" t="s">
        <v>129</v>
      </c>
    </row>
    <row r="23" spans="1:16" ht="12.75" customHeight="1" x14ac:dyDescent="0.25">
      <c r="A23" s="103" t="s">
        <v>52</v>
      </c>
      <c r="B23" s="187" t="s">
        <v>262</v>
      </c>
      <c r="C23" s="188"/>
      <c r="D23" s="188"/>
      <c r="E23" s="188"/>
      <c r="F23" s="188"/>
      <c r="G23" s="189"/>
      <c r="H23" s="214" t="s">
        <v>263</v>
      </c>
      <c r="I23" s="215"/>
      <c r="J23" s="215"/>
      <c r="K23" s="216"/>
      <c r="L23" s="214" t="s">
        <v>263</v>
      </c>
      <c r="M23" s="215"/>
      <c r="N23" s="215"/>
      <c r="O23" s="216"/>
      <c r="P23" s="98" t="s">
        <v>129</v>
      </c>
    </row>
    <row r="24" spans="1:16" ht="38.25" customHeight="1" x14ac:dyDescent="0.25">
      <c r="A24" s="103" t="s">
        <v>53</v>
      </c>
      <c r="B24" s="187" t="s">
        <v>314</v>
      </c>
      <c r="C24" s="188"/>
      <c r="D24" s="188"/>
      <c r="E24" s="188"/>
      <c r="F24" s="188"/>
      <c r="G24" s="189"/>
      <c r="H24" s="190" t="s">
        <v>315</v>
      </c>
      <c r="I24" s="190"/>
      <c r="J24" s="190"/>
      <c r="K24" s="190"/>
      <c r="L24" s="190" t="s">
        <v>315</v>
      </c>
      <c r="M24" s="190"/>
      <c r="N24" s="190"/>
      <c r="O24" s="190"/>
      <c r="P24" s="98" t="s">
        <v>129</v>
      </c>
    </row>
  </sheetData>
  <mergeCells count="19">
    <mergeCell ref="A16:A19"/>
    <mergeCell ref="B16:G19"/>
    <mergeCell ref="B1:G1"/>
    <mergeCell ref="B3:G3"/>
    <mergeCell ref="B7:G7"/>
    <mergeCell ref="A11:A14"/>
    <mergeCell ref="B11:G14"/>
    <mergeCell ref="B24:G24"/>
    <mergeCell ref="H24:K24"/>
    <mergeCell ref="L24:O24"/>
    <mergeCell ref="A21:G21"/>
    <mergeCell ref="H21:K21"/>
    <mergeCell ref="L21:O21"/>
    <mergeCell ref="B23:G23"/>
    <mergeCell ref="H23:K23"/>
    <mergeCell ref="L23:O23"/>
    <mergeCell ref="B22:G22"/>
    <mergeCell ref="H22:K22"/>
    <mergeCell ref="L22:O22"/>
  </mergeCells>
  <phoneticPr fontId="43" type="noConversion"/>
  <conditionalFormatting sqref="B9:B10">
    <cfRule type="cellIs" dxfId="173" priority="9" operator="equal">
      <formula>"Nok"</formula>
    </cfRule>
    <cfRule type="cellIs" dxfId="172" priority="10" operator="equal">
      <formula>"Ok"</formula>
    </cfRule>
  </conditionalFormatting>
  <conditionalFormatting sqref="P22:P23">
    <cfRule type="cellIs" dxfId="171" priority="5" operator="equal">
      <formula>"Nok"</formula>
    </cfRule>
    <cfRule type="cellIs" dxfId="170" priority="6" operator="equal">
      <formula>"Ok"</formula>
    </cfRule>
  </conditionalFormatting>
  <conditionalFormatting sqref="P24">
    <cfRule type="cellIs" dxfId="169" priority="3" operator="equal">
      <formula>"Nok"</formula>
    </cfRule>
    <cfRule type="cellIs" dxfId="168" priority="4" operator="equal">
      <formula>"Ok"</formula>
    </cfRule>
  </conditionalFormatting>
  <dataValidations count="3">
    <dataValidation type="list" allowBlank="1" showInputMessage="1" showErrorMessage="1" sqref="B5" xr:uid="{EF2AA2FD-1312-473D-8806-F845984CE529}">
      <formula1>"Nominal, Robustness, Endurance, Qualification"</formula1>
    </dataValidation>
    <dataValidation type="list" allowBlank="1" showInputMessage="1" showErrorMessage="1" sqref="B9" xr:uid="{8A35AEF9-0410-4CF1-813D-7C0CE90A447D}">
      <formula1>"Ok, Nok, Not run, NA"</formula1>
    </dataValidation>
    <dataValidation type="list" allowBlank="1" showInputMessage="1" showErrorMessage="1" sqref="P22:P24" xr:uid="{26288F43-F232-4D16-B7E6-5A60876D01BB}">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43009" r:id="rId4">
          <objectPr defaultSize="0" autoPict="0" r:id="rId5">
            <anchor moveWithCells="1">
              <from>
                <xdr:col>7</xdr:col>
                <xdr:colOff>7620</xdr:colOff>
                <xdr:row>1</xdr:row>
                <xdr:rowOff>144780</xdr:rowOff>
              </from>
              <to>
                <xdr:col>8</xdr:col>
                <xdr:colOff>518160</xdr:colOff>
                <xdr:row>2</xdr:row>
                <xdr:rowOff>487680</xdr:rowOff>
              </to>
            </anchor>
          </objectPr>
        </oleObject>
      </mc:Choice>
      <mc:Fallback>
        <oleObject progId="Packager Shell Object" shapeId="43009" r:id="rId4"/>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043BE-4BF8-4531-AAA4-36E52653A0B4}">
  <sheetPr codeName="Sheet16"/>
  <dimension ref="A1:P33"/>
  <sheetViews>
    <sheetView workbookViewId="0">
      <selection activeCell="B1" sqref="B1:G1"/>
    </sheetView>
  </sheetViews>
  <sheetFormatPr defaultColWidth="9.109375" defaultRowHeight="13.2" x14ac:dyDescent="0.25"/>
  <cols>
    <col min="1" max="1" width="20.109375" style="99" customWidth="1"/>
    <col min="2" max="2" width="18.44140625" style="96" customWidth="1"/>
    <col min="3" max="6" width="9.109375" style="96"/>
    <col min="7" max="7" width="24" style="96" customWidth="1"/>
    <col min="8" max="15" width="9.5546875" style="96" customWidth="1"/>
    <col min="16" max="16384" width="9.109375" style="96"/>
  </cols>
  <sheetData>
    <row r="1" spans="1:15" ht="13.8" thickBot="1" x14ac:dyDescent="0.3">
      <c r="A1" s="100" t="s">
        <v>41</v>
      </c>
      <c r="B1" s="205" t="s">
        <v>336</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400</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321</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0.5" customHeight="1" x14ac:dyDescent="0.25">
      <c r="A25" s="103" t="s">
        <v>53</v>
      </c>
      <c r="B25" s="187" t="s">
        <v>317</v>
      </c>
      <c r="C25" s="188"/>
      <c r="D25" s="188"/>
      <c r="E25" s="188"/>
      <c r="F25" s="188"/>
      <c r="G25" s="189"/>
      <c r="H25" s="190" t="s">
        <v>318</v>
      </c>
      <c r="I25" s="190"/>
      <c r="J25" s="190"/>
      <c r="K25" s="190"/>
      <c r="L25" s="190" t="s">
        <v>421</v>
      </c>
      <c r="M25" s="190"/>
      <c r="N25" s="190"/>
      <c r="O25" s="190"/>
      <c r="P25" s="98" t="s">
        <v>243</v>
      </c>
    </row>
    <row r="26" spans="1:16" ht="14.25" customHeight="1" x14ac:dyDescent="0.25">
      <c r="A26" s="103" t="s">
        <v>54</v>
      </c>
      <c r="B26" s="187" t="s">
        <v>319</v>
      </c>
      <c r="C26" s="188"/>
      <c r="D26" s="188"/>
      <c r="E26" s="188"/>
      <c r="F26" s="188"/>
      <c r="G26" s="189"/>
      <c r="H26" s="190" t="s">
        <v>320</v>
      </c>
      <c r="I26" s="190"/>
      <c r="J26" s="190"/>
      <c r="K26" s="190"/>
      <c r="L26" s="190" t="s">
        <v>320</v>
      </c>
      <c r="M26" s="190"/>
      <c r="N26" s="190"/>
      <c r="O26" s="190"/>
      <c r="P26" s="98" t="s">
        <v>129</v>
      </c>
    </row>
    <row r="27" spans="1:16" ht="12.75" customHeight="1" x14ac:dyDescent="0.25">
      <c r="A27" s="103" t="s">
        <v>55</v>
      </c>
      <c r="B27" s="187" t="s">
        <v>226</v>
      </c>
      <c r="C27" s="188"/>
      <c r="D27" s="188"/>
      <c r="E27" s="188"/>
      <c r="F27" s="188"/>
      <c r="G27" s="189"/>
      <c r="H27" s="190" t="s">
        <v>153</v>
      </c>
      <c r="I27" s="190"/>
      <c r="J27" s="190"/>
      <c r="K27" s="190"/>
      <c r="L27" s="190" t="s">
        <v>153</v>
      </c>
      <c r="M27" s="190"/>
      <c r="N27" s="190"/>
      <c r="O27" s="190"/>
      <c r="P27" s="98" t="s">
        <v>129</v>
      </c>
    </row>
    <row r="28" spans="1:16" ht="12.75" customHeight="1" x14ac:dyDescent="0.25">
      <c r="A28" s="103" t="s">
        <v>56</v>
      </c>
      <c r="B28" s="187" t="s">
        <v>222</v>
      </c>
      <c r="C28" s="188"/>
      <c r="D28" s="188"/>
      <c r="E28" s="188"/>
      <c r="F28" s="188"/>
      <c r="G28" s="189"/>
      <c r="H28" s="190" t="s">
        <v>140</v>
      </c>
      <c r="I28" s="190"/>
      <c r="J28" s="190"/>
      <c r="K28" s="190"/>
      <c r="L28" s="190" t="s">
        <v>140</v>
      </c>
      <c r="M28" s="190"/>
      <c r="N28" s="190"/>
      <c r="O28" s="190"/>
      <c r="P28" s="98" t="s">
        <v>129</v>
      </c>
    </row>
    <row r="29" spans="1:16" ht="12.75" customHeight="1" x14ac:dyDescent="0.25">
      <c r="A29" s="103" t="s">
        <v>57</v>
      </c>
      <c r="B29" s="187" t="s">
        <v>225</v>
      </c>
      <c r="C29" s="188"/>
      <c r="D29" s="188"/>
      <c r="E29" s="188"/>
      <c r="F29" s="188"/>
      <c r="G29" s="189"/>
      <c r="H29" s="190" t="s">
        <v>142</v>
      </c>
      <c r="I29" s="190"/>
      <c r="J29" s="190"/>
      <c r="K29" s="190"/>
      <c r="L29" s="190" t="s">
        <v>142</v>
      </c>
      <c r="M29" s="190"/>
      <c r="N29" s="190"/>
      <c r="O29" s="190"/>
      <c r="P29" s="98" t="s">
        <v>129</v>
      </c>
    </row>
    <row r="30" spans="1:16" ht="12.75" customHeight="1" x14ac:dyDescent="0.25">
      <c r="A30" s="103" t="s">
        <v>58</v>
      </c>
      <c r="B30" s="187" t="s">
        <v>319</v>
      </c>
      <c r="C30" s="188"/>
      <c r="D30" s="188"/>
      <c r="E30" s="188"/>
      <c r="F30" s="188"/>
      <c r="G30" s="189"/>
      <c r="H30" s="190" t="s">
        <v>320</v>
      </c>
      <c r="I30" s="190"/>
      <c r="J30" s="190"/>
      <c r="K30" s="190"/>
      <c r="L30" s="190" t="s">
        <v>320</v>
      </c>
      <c r="M30" s="190"/>
      <c r="N30" s="190"/>
      <c r="O30" s="190"/>
      <c r="P30" s="98" t="s">
        <v>129</v>
      </c>
    </row>
    <row r="31" spans="1:16" ht="43.5" customHeight="1" x14ac:dyDescent="0.25">
      <c r="A31" s="103" t="s">
        <v>136</v>
      </c>
      <c r="B31" s="187" t="s">
        <v>265</v>
      </c>
      <c r="C31" s="188"/>
      <c r="D31" s="188"/>
      <c r="E31" s="188"/>
      <c r="F31" s="188"/>
      <c r="G31" s="189"/>
      <c r="H31" s="190" t="s">
        <v>261</v>
      </c>
      <c r="I31" s="190"/>
      <c r="J31" s="190"/>
      <c r="K31" s="190"/>
      <c r="L31" s="190" t="s">
        <v>261</v>
      </c>
      <c r="M31" s="190"/>
      <c r="N31" s="190"/>
      <c r="O31" s="190"/>
      <c r="P31" s="98" t="s">
        <v>129</v>
      </c>
    </row>
    <row r="32" spans="1:16" ht="12.75" customHeight="1" x14ac:dyDescent="0.25">
      <c r="A32" s="96"/>
    </row>
    <row r="33" ht="12.75" customHeight="1" x14ac:dyDescent="0.25"/>
  </sheetData>
  <mergeCells count="40">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31:G31"/>
    <mergeCell ref="H31:K31"/>
    <mergeCell ref="L31:O31"/>
    <mergeCell ref="B29:G29"/>
    <mergeCell ref="H29:K29"/>
    <mergeCell ref="L29:O29"/>
    <mergeCell ref="B30:G30"/>
    <mergeCell ref="H30:K30"/>
    <mergeCell ref="L30:O30"/>
  </mergeCells>
  <conditionalFormatting sqref="B9:B10">
    <cfRule type="cellIs" dxfId="167" priority="9" operator="equal">
      <formula>"Nok"</formula>
    </cfRule>
    <cfRule type="cellIs" dxfId="166" priority="10" operator="equal">
      <formula>"Ok"</formula>
    </cfRule>
  </conditionalFormatting>
  <conditionalFormatting sqref="P23:P27">
    <cfRule type="cellIs" dxfId="165" priority="7" operator="equal">
      <formula>"Nok"</formula>
    </cfRule>
    <cfRule type="cellIs" dxfId="164" priority="8" operator="equal">
      <formula>"Ok"</formula>
    </cfRule>
  </conditionalFormatting>
  <conditionalFormatting sqref="P31">
    <cfRule type="cellIs" dxfId="163" priority="5" operator="equal">
      <formula>"Nok"</formula>
    </cfRule>
    <cfRule type="cellIs" dxfId="162" priority="6" operator="equal">
      <formula>"Ok"</formula>
    </cfRule>
  </conditionalFormatting>
  <conditionalFormatting sqref="P28:P30">
    <cfRule type="cellIs" dxfId="161" priority="3" operator="equal">
      <formula>"Nok"</formula>
    </cfRule>
    <cfRule type="cellIs" dxfId="160" priority="4" operator="equal">
      <formula>"Ok"</formula>
    </cfRule>
  </conditionalFormatting>
  <conditionalFormatting sqref="P22">
    <cfRule type="cellIs" dxfId="159" priority="1" operator="equal">
      <formula>"Nok"</formula>
    </cfRule>
    <cfRule type="cellIs" dxfId="158" priority="2" operator="equal">
      <formula>"Ok"</formula>
    </cfRule>
  </conditionalFormatting>
  <dataValidations count="3">
    <dataValidation type="list" allowBlank="1" showInputMessage="1" showErrorMessage="1" sqref="P22:P31" xr:uid="{F0D44D2D-F2B4-4240-8FE6-4E66F9F89D5A}">
      <formula1>"Ok, Nok, Not run, ,"</formula1>
    </dataValidation>
    <dataValidation type="list" allowBlank="1" showInputMessage="1" showErrorMessage="1" sqref="B9" xr:uid="{D76EFD35-AE08-4A69-963B-EDB71949ACC1}">
      <formula1>"Ok, Nok, Not run, NA"</formula1>
    </dataValidation>
    <dataValidation type="list" allowBlank="1" showInputMessage="1" showErrorMessage="1" sqref="B5" xr:uid="{3C0D4810-D002-4A33-88B9-E8D4AB4C1234}">
      <formula1>"Nominal, Robustness, Endurance, Qualification"</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44033" r:id="rId4">
          <objectPr defaultSize="0" autoPict="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44033" r:id="rId4"/>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E2455-54C0-4F4E-97B9-C68588DC7782}">
  <sheetPr codeName="Sheet17"/>
  <dimension ref="A1:P33"/>
  <sheetViews>
    <sheetView workbookViewId="0">
      <selection activeCell="B7" sqref="B7:G7"/>
    </sheetView>
  </sheetViews>
  <sheetFormatPr defaultColWidth="9.109375" defaultRowHeight="13.2" x14ac:dyDescent="0.25"/>
  <cols>
    <col min="1" max="1" width="20.109375" style="99" customWidth="1"/>
    <col min="2" max="2" width="18.44140625" style="96" customWidth="1"/>
    <col min="3" max="6" width="9.109375" style="96"/>
    <col min="7" max="7" width="24" style="96" customWidth="1"/>
    <col min="8" max="15" width="9.5546875" style="96" customWidth="1"/>
    <col min="16" max="16384" width="9.109375" style="96"/>
  </cols>
  <sheetData>
    <row r="1" spans="1:15" ht="13.8" thickBot="1" x14ac:dyDescent="0.3">
      <c r="A1" s="100" t="s">
        <v>41</v>
      </c>
      <c r="B1" s="205" t="s">
        <v>337</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268</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422</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0.5" customHeight="1" x14ac:dyDescent="0.25">
      <c r="A25" s="103" t="s">
        <v>53</v>
      </c>
      <c r="B25" s="187" t="s">
        <v>322</v>
      </c>
      <c r="C25" s="188"/>
      <c r="D25" s="188"/>
      <c r="E25" s="188"/>
      <c r="F25" s="188"/>
      <c r="G25" s="189"/>
      <c r="H25" s="190" t="s">
        <v>323</v>
      </c>
      <c r="I25" s="190"/>
      <c r="J25" s="190"/>
      <c r="K25" s="190"/>
      <c r="L25" s="190" t="s">
        <v>323</v>
      </c>
      <c r="M25" s="190"/>
      <c r="N25" s="190"/>
      <c r="O25" s="190"/>
      <c r="P25" s="98" t="s">
        <v>129</v>
      </c>
    </row>
    <row r="26" spans="1:16" ht="14.25" customHeight="1" x14ac:dyDescent="0.25">
      <c r="A26" s="103" t="s">
        <v>54</v>
      </c>
      <c r="B26" s="187" t="s">
        <v>324</v>
      </c>
      <c r="C26" s="188"/>
      <c r="D26" s="188"/>
      <c r="E26" s="188"/>
      <c r="F26" s="188"/>
      <c r="G26" s="189"/>
      <c r="H26" s="190" t="s">
        <v>325</v>
      </c>
      <c r="I26" s="190"/>
      <c r="J26" s="190"/>
      <c r="K26" s="190"/>
      <c r="L26" s="190" t="s">
        <v>325</v>
      </c>
      <c r="M26" s="190"/>
      <c r="N26" s="190"/>
      <c r="O26" s="190"/>
      <c r="P26" s="98" t="s">
        <v>129</v>
      </c>
    </row>
    <row r="27" spans="1:16" ht="12.75" customHeight="1" x14ac:dyDescent="0.25">
      <c r="A27" s="103" t="s">
        <v>55</v>
      </c>
      <c r="B27" s="187" t="s">
        <v>226</v>
      </c>
      <c r="C27" s="188"/>
      <c r="D27" s="188"/>
      <c r="E27" s="188"/>
      <c r="F27" s="188"/>
      <c r="G27" s="189"/>
      <c r="H27" s="190" t="s">
        <v>153</v>
      </c>
      <c r="I27" s="190"/>
      <c r="J27" s="190"/>
      <c r="K27" s="190"/>
      <c r="L27" s="190" t="s">
        <v>153</v>
      </c>
      <c r="M27" s="190"/>
      <c r="N27" s="190"/>
      <c r="O27" s="190"/>
      <c r="P27" s="98" t="s">
        <v>129</v>
      </c>
    </row>
    <row r="28" spans="1:16" ht="12.75" customHeight="1" x14ac:dyDescent="0.25">
      <c r="A28" s="103" t="s">
        <v>56</v>
      </c>
      <c r="B28" s="187" t="s">
        <v>222</v>
      </c>
      <c r="C28" s="188"/>
      <c r="D28" s="188"/>
      <c r="E28" s="188"/>
      <c r="F28" s="188"/>
      <c r="G28" s="189"/>
      <c r="H28" s="190" t="s">
        <v>140</v>
      </c>
      <c r="I28" s="190"/>
      <c r="J28" s="190"/>
      <c r="K28" s="190"/>
      <c r="L28" s="190" t="s">
        <v>140</v>
      </c>
      <c r="M28" s="190"/>
      <c r="N28" s="190"/>
      <c r="O28" s="190"/>
      <c r="P28" s="98" t="s">
        <v>129</v>
      </c>
    </row>
    <row r="29" spans="1:16" ht="12.75" customHeight="1" x14ac:dyDescent="0.25">
      <c r="A29" s="103" t="s">
        <v>57</v>
      </c>
      <c r="B29" s="187" t="s">
        <v>225</v>
      </c>
      <c r="C29" s="188"/>
      <c r="D29" s="188"/>
      <c r="E29" s="188"/>
      <c r="F29" s="188"/>
      <c r="G29" s="189"/>
      <c r="H29" s="190" t="s">
        <v>142</v>
      </c>
      <c r="I29" s="190"/>
      <c r="J29" s="190"/>
      <c r="K29" s="190"/>
      <c r="L29" s="190" t="s">
        <v>142</v>
      </c>
      <c r="M29" s="190"/>
      <c r="N29" s="190"/>
      <c r="O29" s="190"/>
      <c r="P29" s="98" t="s">
        <v>129</v>
      </c>
    </row>
    <row r="30" spans="1:16" ht="12.75" customHeight="1" x14ac:dyDescent="0.25">
      <c r="A30" s="103" t="s">
        <v>58</v>
      </c>
      <c r="B30" s="187" t="s">
        <v>324</v>
      </c>
      <c r="C30" s="188"/>
      <c r="D30" s="188"/>
      <c r="E30" s="188"/>
      <c r="F30" s="188"/>
      <c r="G30" s="189"/>
      <c r="H30" s="190" t="s">
        <v>325</v>
      </c>
      <c r="I30" s="190"/>
      <c r="J30" s="190"/>
      <c r="K30" s="190"/>
      <c r="L30" s="190" t="s">
        <v>325</v>
      </c>
      <c r="M30" s="190"/>
      <c r="N30" s="190"/>
      <c r="O30" s="190"/>
      <c r="P30" s="98" t="s">
        <v>129</v>
      </c>
    </row>
    <row r="31" spans="1:16" ht="43.5" customHeight="1" x14ac:dyDescent="0.25">
      <c r="A31" s="103" t="s">
        <v>136</v>
      </c>
      <c r="B31" s="187" t="s">
        <v>267</v>
      </c>
      <c r="C31" s="188"/>
      <c r="D31" s="188"/>
      <c r="E31" s="188"/>
      <c r="F31" s="188"/>
      <c r="G31" s="189"/>
      <c r="H31" s="190" t="s">
        <v>266</v>
      </c>
      <c r="I31" s="190"/>
      <c r="J31" s="190"/>
      <c r="K31" s="190"/>
      <c r="L31" s="190" t="s">
        <v>266</v>
      </c>
      <c r="M31" s="190"/>
      <c r="N31" s="190"/>
      <c r="O31" s="190"/>
      <c r="P31" s="98" t="s">
        <v>129</v>
      </c>
    </row>
    <row r="32" spans="1:16" ht="12.75" customHeight="1" x14ac:dyDescent="0.25">
      <c r="A32" s="96"/>
    </row>
    <row r="33" ht="12.75" customHeight="1" x14ac:dyDescent="0.25"/>
  </sheetData>
  <mergeCells count="40">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31:G31"/>
    <mergeCell ref="H31:K31"/>
    <mergeCell ref="L31:O31"/>
    <mergeCell ref="B29:G29"/>
    <mergeCell ref="H29:K29"/>
    <mergeCell ref="L29:O29"/>
    <mergeCell ref="B30:G30"/>
    <mergeCell ref="H30:K30"/>
    <mergeCell ref="L30:O30"/>
  </mergeCells>
  <conditionalFormatting sqref="B9:B10">
    <cfRule type="cellIs" dxfId="157" priority="9" operator="equal">
      <formula>"Nok"</formula>
    </cfRule>
    <cfRule type="cellIs" dxfId="156" priority="10" operator="equal">
      <formula>"Ok"</formula>
    </cfRule>
  </conditionalFormatting>
  <conditionalFormatting sqref="P23:P27">
    <cfRule type="cellIs" dxfId="155" priority="7" operator="equal">
      <formula>"Nok"</formula>
    </cfRule>
    <cfRule type="cellIs" dxfId="154" priority="8" operator="equal">
      <formula>"Ok"</formula>
    </cfRule>
  </conditionalFormatting>
  <conditionalFormatting sqref="P31">
    <cfRule type="cellIs" dxfId="153" priority="5" operator="equal">
      <formula>"Nok"</formula>
    </cfRule>
    <cfRule type="cellIs" dxfId="152" priority="6" operator="equal">
      <formula>"Ok"</formula>
    </cfRule>
  </conditionalFormatting>
  <conditionalFormatting sqref="P28:P30">
    <cfRule type="cellIs" dxfId="151" priority="3" operator="equal">
      <formula>"Nok"</formula>
    </cfRule>
    <cfRule type="cellIs" dxfId="150" priority="4" operator="equal">
      <formula>"Ok"</formula>
    </cfRule>
  </conditionalFormatting>
  <conditionalFormatting sqref="P22">
    <cfRule type="cellIs" dxfId="149" priority="1" operator="equal">
      <formula>"Nok"</formula>
    </cfRule>
    <cfRule type="cellIs" dxfId="148" priority="2" operator="equal">
      <formula>"Ok"</formula>
    </cfRule>
  </conditionalFormatting>
  <dataValidations count="3">
    <dataValidation type="list" allowBlank="1" showInputMessage="1" showErrorMessage="1" sqref="B5" xr:uid="{D2ADD399-C18D-44CA-B83E-5BC43B1FEEE6}">
      <formula1>"Nominal, Robustness, Endurance, Qualification"</formula1>
    </dataValidation>
    <dataValidation type="list" allowBlank="1" showInputMessage="1" showErrorMessage="1" sqref="B9" xr:uid="{759B3DCA-C9CB-46E7-932B-C7AB4FA3E210}">
      <formula1>"Ok, Nok, Not run, NA"</formula1>
    </dataValidation>
    <dataValidation type="list" allowBlank="1" showInputMessage="1" showErrorMessage="1" sqref="P22:P31" xr:uid="{9A7B2F2E-457E-449F-9DE1-5D8CC74C3C7A}">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45057"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45057" r:id="rId4"/>
      </mc:Fallback>
    </mc:AlternateContent>
  </oleObjec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774A5-F063-4B7D-AFD3-AAC40A0FEF4F}">
  <sheetPr codeName="Sheet18"/>
  <dimension ref="A1:P34"/>
  <sheetViews>
    <sheetView workbookViewId="0">
      <selection activeCell="B7" sqref="B7:G7"/>
    </sheetView>
  </sheetViews>
  <sheetFormatPr defaultColWidth="9.109375" defaultRowHeight="13.2" x14ac:dyDescent="0.25"/>
  <cols>
    <col min="1" max="1" width="20.109375" style="99" customWidth="1"/>
    <col min="2" max="2" width="18.44140625" style="96" customWidth="1"/>
    <col min="3" max="6" width="9.109375" style="96"/>
    <col min="7" max="7" width="24" style="96" customWidth="1"/>
    <col min="8" max="15" width="9.5546875" style="96" customWidth="1"/>
    <col min="16" max="16384" width="9.109375" style="96"/>
  </cols>
  <sheetData>
    <row r="1" spans="1:15" ht="13.8" thickBot="1" x14ac:dyDescent="0.3">
      <c r="A1" s="100" t="s">
        <v>41</v>
      </c>
      <c r="B1" s="205" t="s">
        <v>338</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399</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423</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269</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0.5" customHeight="1" x14ac:dyDescent="0.25">
      <c r="A25" s="103" t="s">
        <v>53</v>
      </c>
      <c r="B25" s="187" t="s">
        <v>270</v>
      </c>
      <c r="C25" s="188"/>
      <c r="D25" s="188"/>
      <c r="E25" s="188"/>
      <c r="F25" s="188"/>
      <c r="G25" s="189"/>
      <c r="H25" s="190" t="s">
        <v>258</v>
      </c>
      <c r="I25" s="190"/>
      <c r="J25" s="190"/>
      <c r="K25" s="190"/>
      <c r="L25" s="190" t="s">
        <v>271</v>
      </c>
      <c r="M25" s="190"/>
      <c r="N25" s="190"/>
      <c r="O25" s="190"/>
      <c r="P25" s="98" t="s">
        <v>243</v>
      </c>
    </row>
    <row r="26" spans="1:16" ht="14.25" customHeight="1" x14ac:dyDescent="0.25">
      <c r="A26" s="103" t="s">
        <v>54</v>
      </c>
      <c r="B26" s="187" t="s">
        <v>257</v>
      </c>
      <c r="C26" s="188"/>
      <c r="D26" s="188"/>
      <c r="E26" s="188"/>
      <c r="F26" s="188"/>
      <c r="G26" s="189"/>
      <c r="H26" s="190" t="s">
        <v>272</v>
      </c>
      <c r="I26" s="190"/>
      <c r="J26" s="190"/>
      <c r="K26" s="190"/>
      <c r="L26" s="190" t="s">
        <v>272</v>
      </c>
      <c r="M26" s="190"/>
      <c r="N26" s="190"/>
      <c r="O26" s="190"/>
      <c r="P26" s="98" t="s">
        <v>129</v>
      </c>
    </row>
    <row r="27" spans="1:16" ht="12.75" customHeight="1" x14ac:dyDescent="0.25">
      <c r="A27" s="103" t="s">
        <v>52</v>
      </c>
      <c r="B27" s="187" t="s">
        <v>235</v>
      </c>
      <c r="C27" s="188"/>
      <c r="D27" s="188"/>
      <c r="E27" s="188"/>
      <c r="F27" s="188"/>
      <c r="G27" s="189"/>
      <c r="H27" s="190" t="s">
        <v>273</v>
      </c>
      <c r="I27" s="190"/>
      <c r="J27" s="190"/>
      <c r="K27" s="190"/>
      <c r="L27" s="190" t="s">
        <v>273</v>
      </c>
      <c r="M27" s="190"/>
      <c r="N27" s="190"/>
      <c r="O27" s="190"/>
      <c r="P27" s="98" t="s">
        <v>129</v>
      </c>
    </row>
    <row r="28" spans="1:16" ht="40.5" customHeight="1" x14ac:dyDescent="0.25">
      <c r="A28" s="103" t="s">
        <v>53</v>
      </c>
      <c r="B28" s="187" t="s">
        <v>270</v>
      </c>
      <c r="C28" s="188"/>
      <c r="D28" s="188"/>
      <c r="E28" s="188"/>
      <c r="F28" s="188"/>
      <c r="G28" s="189"/>
      <c r="H28" s="190" t="s">
        <v>258</v>
      </c>
      <c r="I28" s="190"/>
      <c r="J28" s="190"/>
      <c r="K28" s="190"/>
      <c r="L28" s="190" t="s">
        <v>271</v>
      </c>
      <c r="M28" s="190"/>
      <c r="N28" s="190"/>
      <c r="O28" s="190"/>
      <c r="P28" s="98" t="s">
        <v>243</v>
      </c>
    </row>
    <row r="29" spans="1:16" ht="14.25" customHeight="1" x14ac:dyDescent="0.25">
      <c r="A29" s="103" t="s">
        <v>54</v>
      </c>
      <c r="B29" s="187" t="s">
        <v>257</v>
      </c>
      <c r="C29" s="188"/>
      <c r="D29" s="188"/>
      <c r="E29" s="188"/>
      <c r="F29" s="188"/>
      <c r="G29" s="189"/>
      <c r="H29" s="190" t="s">
        <v>272</v>
      </c>
      <c r="I29" s="190"/>
      <c r="J29" s="190"/>
      <c r="K29" s="190"/>
      <c r="L29" s="190" t="s">
        <v>272</v>
      </c>
      <c r="M29" s="190"/>
      <c r="N29" s="190"/>
      <c r="O29" s="190"/>
      <c r="P29" s="98" t="s">
        <v>129</v>
      </c>
    </row>
    <row r="30" spans="1:16" ht="12.75" customHeight="1" x14ac:dyDescent="0.25">
      <c r="A30" s="103" t="s">
        <v>52</v>
      </c>
      <c r="B30" s="187" t="s">
        <v>274</v>
      </c>
      <c r="C30" s="188"/>
      <c r="D30" s="188"/>
      <c r="E30" s="188"/>
      <c r="F30" s="188"/>
      <c r="G30" s="189"/>
      <c r="H30" s="190" t="s">
        <v>242</v>
      </c>
      <c r="I30" s="190"/>
      <c r="J30" s="190"/>
      <c r="K30" s="190"/>
      <c r="L30" s="190" t="s">
        <v>242</v>
      </c>
      <c r="M30" s="190"/>
      <c r="N30" s="190"/>
      <c r="O30" s="190"/>
      <c r="P30" s="98" t="s">
        <v>129</v>
      </c>
    </row>
    <row r="31" spans="1:16" ht="40.5" customHeight="1" x14ac:dyDescent="0.25">
      <c r="A31" s="103" t="s">
        <v>53</v>
      </c>
      <c r="B31" s="187" t="s">
        <v>270</v>
      </c>
      <c r="C31" s="188"/>
      <c r="D31" s="188"/>
      <c r="E31" s="188"/>
      <c r="F31" s="188"/>
      <c r="G31" s="189"/>
      <c r="H31" s="190" t="s">
        <v>258</v>
      </c>
      <c r="I31" s="190"/>
      <c r="J31" s="190"/>
      <c r="K31" s="190"/>
      <c r="L31" s="190" t="s">
        <v>271</v>
      </c>
      <c r="M31" s="190"/>
      <c r="N31" s="190"/>
      <c r="O31" s="190"/>
      <c r="P31" s="98" t="s">
        <v>243</v>
      </c>
    </row>
    <row r="32" spans="1:16" ht="14.25" customHeight="1" x14ac:dyDescent="0.25">
      <c r="A32" s="103" t="s">
        <v>54</v>
      </c>
      <c r="B32" s="187" t="s">
        <v>257</v>
      </c>
      <c r="C32" s="188"/>
      <c r="D32" s="188"/>
      <c r="E32" s="188"/>
      <c r="F32" s="188"/>
      <c r="G32" s="189"/>
      <c r="H32" s="190" t="s">
        <v>272</v>
      </c>
      <c r="I32" s="190"/>
      <c r="J32" s="190"/>
      <c r="K32" s="190"/>
      <c r="L32" s="190" t="s">
        <v>272</v>
      </c>
      <c r="M32" s="190"/>
      <c r="N32" s="190"/>
      <c r="O32" s="190"/>
      <c r="P32" s="98" t="s">
        <v>129</v>
      </c>
    </row>
    <row r="33" spans="1:16" ht="12.75" customHeight="1" x14ac:dyDescent="0.25">
      <c r="A33" s="96"/>
    </row>
    <row r="34" spans="1:16" s="99" customFormat="1" ht="12.75" customHeight="1" x14ac:dyDescent="0.25">
      <c r="B34" s="96"/>
      <c r="C34" s="96"/>
      <c r="D34" s="96"/>
      <c r="E34" s="96"/>
      <c r="F34" s="96"/>
      <c r="G34" s="96"/>
      <c r="H34" s="96"/>
      <c r="I34" s="96"/>
      <c r="J34" s="96"/>
      <c r="K34" s="96"/>
      <c r="L34" s="96"/>
      <c r="M34" s="96"/>
      <c r="N34" s="96"/>
      <c r="O34" s="96"/>
      <c r="P34" s="96"/>
    </row>
  </sheetData>
  <mergeCells count="43">
    <mergeCell ref="A16:A19"/>
    <mergeCell ref="B16:G19"/>
    <mergeCell ref="B32:G32"/>
    <mergeCell ref="H32:K32"/>
    <mergeCell ref="L32:O32"/>
    <mergeCell ref="A21:G21"/>
    <mergeCell ref="H21:K21"/>
    <mergeCell ref="L21:O21"/>
    <mergeCell ref="B22:G22"/>
    <mergeCell ref="H22:K22"/>
    <mergeCell ref="L22:O22"/>
    <mergeCell ref="B23:G23"/>
    <mergeCell ref="H23:K23"/>
    <mergeCell ref="L23:O23"/>
    <mergeCell ref="B24:G24"/>
    <mergeCell ref="H24:K24"/>
    <mergeCell ref="B1:G1"/>
    <mergeCell ref="B3:G3"/>
    <mergeCell ref="B7:G7"/>
    <mergeCell ref="A11:A14"/>
    <mergeCell ref="B11:G14"/>
    <mergeCell ref="L24:O24"/>
    <mergeCell ref="B25:G25"/>
    <mergeCell ref="H25:K25"/>
    <mergeCell ref="L25:O25"/>
    <mergeCell ref="B26:G26"/>
    <mergeCell ref="H26:K26"/>
    <mergeCell ref="L26:O26"/>
    <mergeCell ref="B31:G31"/>
    <mergeCell ref="H31:K31"/>
    <mergeCell ref="L31:O31"/>
    <mergeCell ref="B27:G27"/>
    <mergeCell ref="H27:K27"/>
    <mergeCell ref="L27:O27"/>
    <mergeCell ref="B28:G28"/>
    <mergeCell ref="H28:K28"/>
    <mergeCell ref="L28:O28"/>
    <mergeCell ref="H29:K29"/>
    <mergeCell ref="L29:O29"/>
    <mergeCell ref="B30:G30"/>
    <mergeCell ref="H30:K30"/>
    <mergeCell ref="L30:O30"/>
    <mergeCell ref="B29:G29"/>
  </mergeCells>
  <conditionalFormatting sqref="B9:B10">
    <cfRule type="cellIs" dxfId="147" priority="15" operator="equal">
      <formula>"Nok"</formula>
    </cfRule>
    <cfRule type="cellIs" dxfId="146" priority="16" operator="equal">
      <formula>"Ok"</formula>
    </cfRule>
  </conditionalFormatting>
  <conditionalFormatting sqref="P23:P26">
    <cfRule type="cellIs" dxfId="145" priority="13" operator="equal">
      <formula>"Nok"</formula>
    </cfRule>
    <cfRule type="cellIs" dxfId="144" priority="14" operator="equal">
      <formula>"Ok"</formula>
    </cfRule>
  </conditionalFormatting>
  <conditionalFormatting sqref="P22">
    <cfRule type="cellIs" dxfId="143" priority="7" operator="equal">
      <formula>"Nok"</formula>
    </cfRule>
    <cfRule type="cellIs" dxfId="142" priority="8" operator="equal">
      <formula>"Ok"</formula>
    </cfRule>
  </conditionalFormatting>
  <conditionalFormatting sqref="P27:P29">
    <cfRule type="cellIs" dxfId="141" priority="5" operator="equal">
      <formula>"Nok"</formula>
    </cfRule>
    <cfRule type="cellIs" dxfId="140" priority="6" operator="equal">
      <formula>"Ok"</formula>
    </cfRule>
  </conditionalFormatting>
  <conditionalFormatting sqref="P30:P31">
    <cfRule type="cellIs" dxfId="139" priority="3" operator="equal">
      <formula>"Nok"</formula>
    </cfRule>
    <cfRule type="cellIs" dxfId="138" priority="4" operator="equal">
      <formula>"Ok"</formula>
    </cfRule>
  </conditionalFormatting>
  <conditionalFormatting sqref="P32">
    <cfRule type="cellIs" dxfId="137" priority="1" operator="equal">
      <formula>"Nok"</formula>
    </cfRule>
    <cfRule type="cellIs" dxfId="136" priority="2" operator="equal">
      <formula>"Ok"</formula>
    </cfRule>
  </conditionalFormatting>
  <dataValidations count="3">
    <dataValidation type="list" allowBlank="1" showInputMessage="1" showErrorMessage="1" sqref="B9" xr:uid="{F1B4B807-734A-4A84-8F90-6E1CF9FB2DD6}">
      <formula1>"Ok, Nok, Not run, NA"</formula1>
    </dataValidation>
    <dataValidation type="list" allowBlank="1" showInputMessage="1" showErrorMessage="1" sqref="B5" xr:uid="{6A3FB400-A268-4085-B4EE-7957E9798D44}">
      <formula1>"Nominal, Robustness, Endurance, Qualification"</formula1>
    </dataValidation>
    <dataValidation type="list" allowBlank="1" showInputMessage="1" showErrorMessage="1" sqref="P22:P32" xr:uid="{CC809F37-3F74-4A84-A421-3419568CBACB}">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46081"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46081" r:id="rId4"/>
      </mc:Fallback>
    </mc:AlternateContent>
  </oleObjec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F3D8D-5B2D-4FBB-9B99-BCB5D0300BEC}">
  <sheetPr codeName="Sheet19"/>
  <dimension ref="A1:P34"/>
  <sheetViews>
    <sheetView workbookViewId="0">
      <selection activeCell="B7" sqref="B7:G7"/>
    </sheetView>
  </sheetViews>
  <sheetFormatPr defaultColWidth="9.109375" defaultRowHeight="13.2" x14ac:dyDescent="0.25"/>
  <cols>
    <col min="1" max="1" width="20.109375" style="99" customWidth="1"/>
    <col min="2" max="2" width="18.44140625" style="96" customWidth="1"/>
    <col min="3" max="6" width="9.109375" style="96"/>
    <col min="7" max="7" width="24" style="96" customWidth="1"/>
    <col min="8" max="15" width="9.5546875" style="96" customWidth="1"/>
    <col min="16" max="16384" width="9.109375" style="96"/>
  </cols>
  <sheetData>
    <row r="1" spans="1:15" ht="13.8" thickBot="1" x14ac:dyDescent="0.3">
      <c r="A1" s="100" t="s">
        <v>41</v>
      </c>
      <c r="B1" s="205" t="s">
        <v>346</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281</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424</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280</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0.5" customHeight="1" x14ac:dyDescent="0.25">
      <c r="A25" s="103" t="s">
        <v>53</v>
      </c>
      <c r="B25" s="187" t="s">
        <v>275</v>
      </c>
      <c r="C25" s="188"/>
      <c r="D25" s="188"/>
      <c r="E25" s="188"/>
      <c r="F25" s="188"/>
      <c r="G25" s="189"/>
      <c r="H25" s="190" t="s">
        <v>276</v>
      </c>
      <c r="I25" s="190"/>
      <c r="J25" s="190"/>
      <c r="K25" s="190"/>
      <c r="L25" s="190" t="s">
        <v>271</v>
      </c>
      <c r="M25" s="190"/>
      <c r="N25" s="190"/>
      <c r="O25" s="190"/>
      <c r="P25" s="98" t="s">
        <v>243</v>
      </c>
    </row>
    <row r="26" spans="1:16" ht="14.25" customHeight="1" x14ac:dyDescent="0.25">
      <c r="A26" s="103" t="s">
        <v>54</v>
      </c>
      <c r="B26" s="187" t="s">
        <v>277</v>
      </c>
      <c r="C26" s="188"/>
      <c r="D26" s="188"/>
      <c r="E26" s="188"/>
      <c r="F26" s="188"/>
      <c r="G26" s="189"/>
      <c r="H26" s="190" t="s">
        <v>278</v>
      </c>
      <c r="I26" s="190"/>
      <c r="J26" s="190"/>
      <c r="K26" s="190"/>
      <c r="L26" s="190" t="s">
        <v>278</v>
      </c>
      <c r="M26" s="190"/>
      <c r="N26" s="190"/>
      <c r="O26" s="190"/>
      <c r="P26" s="98" t="s">
        <v>129</v>
      </c>
    </row>
    <row r="27" spans="1:16" ht="12.75" customHeight="1" x14ac:dyDescent="0.25">
      <c r="A27" s="103" t="s">
        <v>52</v>
      </c>
      <c r="B27" s="187" t="s">
        <v>235</v>
      </c>
      <c r="C27" s="188"/>
      <c r="D27" s="188"/>
      <c r="E27" s="188"/>
      <c r="F27" s="188"/>
      <c r="G27" s="189"/>
      <c r="H27" s="190" t="s">
        <v>279</v>
      </c>
      <c r="I27" s="190"/>
      <c r="J27" s="190"/>
      <c r="K27" s="190"/>
      <c r="L27" s="190" t="s">
        <v>279</v>
      </c>
      <c r="M27" s="190"/>
      <c r="N27" s="190"/>
      <c r="O27" s="190"/>
      <c r="P27" s="98" t="s">
        <v>129</v>
      </c>
    </row>
    <row r="28" spans="1:16" ht="40.5" customHeight="1" x14ac:dyDescent="0.25">
      <c r="A28" s="103" t="s">
        <v>53</v>
      </c>
      <c r="B28" s="187" t="s">
        <v>275</v>
      </c>
      <c r="C28" s="188"/>
      <c r="D28" s="188"/>
      <c r="E28" s="188"/>
      <c r="F28" s="188"/>
      <c r="G28" s="189"/>
      <c r="H28" s="190" t="s">
        <v>276</v>
      </c>
      <c r="I28" s="190"/>
      <c r="J28" s="190"/>
      <c r="K28" s="190"/>
      <c r="L28" s="190" t="s">
        <v>271</v>
      </c>
      <c r="M28" s="190"/>
      <c r="N28" s="190"/>
      <c r="O28" s="190"/>
      <c r="P28" s="98" t="s">
        <v>243</v>
      </c>
    </row>
    <row r="29" spans="1:16" ht="14.25" customHeight="1" x14ac:dyDescent="0.25">
      <c r="A29" s="103" t="s">
        <v>54</v>
      </c>
      <c r="B29" s="187" t="s">
        <v>277</v>
      </c>
      <c r="C29" s="188"/>
      <c r="D29" s="188"/>
      <c r="E29" s="188"/>
      <c r="F29" s="188"/>
      <c r="G29" s="189"/>
      <c r="H29" s="190" t="s">
        <v>278</v>
      </c>
      <c r="I29" s="190"/>
      <c r="J29" s="190"/>
      <c r="K29" s="190"/>
      <c r="L29" s="190" t="s">
        <v>278</v>
      </c>
      <c r="M29" s="190"/>
      <c r="N29" s="190"/>
      <c r="O29" s="190"/>
      <c r="P29" s="98" t="s">
        <v>129</v>
      </c>
    </row>
    <row r="30" spans="1:16" ht="12.75" customHeight="1" x14ac:dyDescent="0.25">
      <c r="A30" s="103" t="s">
        <v>52</v>
      </c>
      <c r="B30" s="187" t="s">
        <v>274</v>
      </c>
      <c r="C30" s="188"/>
      <c r="D30" s="188"/>
      <c r="E30" s="188"/>
      <c r="F30" s="188"/>
      <c r="G30" s="189"/>
      <c r="H30" s="190" t="s">
        <v>242</v>
      </c>
      <c r="I30" s="190"/>
      <c r="J30" s="190"/>
      <c r="K30" s="190"/>
      <c r="L30" s="190" t="s">
        <v>242</v>
      </c>
      <c r="M30" s="190"/>
      <c r="N30" s="190"/>
      <c r="O30" s="190"/>
      <c r="P30" s="98" t="s">
        <v>129</v>
      </c>
    </row>
    <row r="31" spans="1:16" ht="40.5" customHeight="1" x14ac:dyDescent="0.25">
      <c r="A31" s="103" t="s">
        <v>53</v>
      </c>
      <c r="B31" s="187" t="s">
        <v>275</v>
      </c>
      <c r="C31" s="188"/>
      <c r="D31" s="188"/>
      <c r="E31" s="188"/>
      <c r="F31" s="188"/>
      <c r="G31" s="189"/>
      <c r="H31" s="190" t="s">
        <v>276</v>
      </c>
      <c r="I31" s="190"/>
      <c r="J31" s="190"/>
      <c r="K31" s="190"/>
      <c r="L31" s="190" t="s">
        <v>271</v>
      </c>
      <c r="M31" s="190"/>
      <c r="N31" s="190"/>
      <c r="O31" s="190"/>
      <c r="P31" s="98" t="s">
        <v>243</v>
      </c>
    </row>
    <row r="32" spans="1:16" ht="14.25" customHeight="1" x14ac:dyDescent="0.25">
      <c r="A32" s="103" t="s">
        <v>54</v>
      </c>
      <c r="B32" s="187" t="s">
        <v>277</v>
      </c>
      <c r="C32" s="188"/>
      <c r="D32" s="188"/>
      <c r="E32" s="188"/>
      <c r="F32" s="188"/>
      <c r="G32" s="189"/>
      <c r="H32" s="190" t="s">
        <v>278</v>
      </c>
      <c r="I32" s="190"/>
      <c r="J32" s="190"/>
      <c r="K32" s="190"/>
      <c r="L32" s="190" t="s">
        <v>278</v>
      </c>
      <c r="M32" s="190"/>
      <c r="N32" s="190"/>
      <c r="O32" s="190"/>
      <c r="P32" s="98" t="s">
        <v>129</v>
      </c>
    </row>
    <row r="33" spans="1:16" ht="12.75" customHeight="1" x14ac:dyDescent="0.25">
      <c r="A33" s="96"/>
    </row>
    <row r="34" spans="1:16" s="99" customFormat="1" ht="12.75" customHeight="1" x14ac:dyDescent="0.25">
      <c r="B34" s="96"/>
      <c r="C34" s="96"/>
      <c r="D34" s="96"/>
      <c r="E34" s="96"/>
      <c r="F34" s="96"/>
      <c r="G34" s="96"/>
      <c r="H34" s="96"/>
      <c r="I34" s="96"/>
      <c r="J34" s="96"/>
      <c r="K34" s="96"/>
      <c r="L34" s="96"/>
      <c r="M34" s="96"/>
      <c r="N34" s="96"/>
      <c r="O34" s="96"/>
      <c r="P34" s="96"/>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35" priority="13" operator="equal">
      <formula>"Nok"</formula>
    </cfRule>
    <cfRule type="cellIs" dxfId="134" priority="14" operator="equal">
      <formula>"Ok"</formula>
    </cfRule>
  </conditionalFormatting>
  <conditionalFormatting sqref="P23:P26">
    <cfRule type="cellIs" dxfId="133" priority="11" operator="equal">
      <formula>"Nok"</formula>
    </cfRule>
    <cfRule type="cellIs" dxfId="132" priority="12" operator="equal">
      <formula>"Ok"</formula>
    </cfRule>
  </conditionalFormatting>
  <conditionalFormatting sqref="P22">
    <cfRule type="cellIs" dxfId="131" priority="7" operator="equal">
      <formula>"Nok"</formula>
    </cfRule>
    <cfRule type="cellIs" dxfId="130" priority="8" operator="equal">
      <formula>"Ok"</formula>
    </cfRule>
  </conditionalFormatting>
  <conditionalFormatting sqref="P27:P29">
    <cfRule type="cellIs" dxfId="129" priority="5" operator="equal">
      <formula>"Nok"</formula>
    </cfRule>
    <cfRule type="cellIs" dxfId="128" priority="6" operator="equal">
      <formula>"Ok"</formula>
    </cfRule>
  </conditionalFormatting>
  <conditionalFormatting sqref="P30:P31">
    <cfRule type="cellIs" dxfId="127" priority="3" operator="equal">
      <formula>"Nok"</formula>
    </cfRule>
    <cfRule type="cellIs" dxfId="126" priority="4" operator="equal">
      <formula>"Ok"</formula>
    </cfRule>
  </conditionalFormatting>
  <conditionalFormatting sqref="P32">
    <cfRule type="cellIs" dxfId="125" priority="1" operator="equal">
      <formula>"Nok"</formula>
    </cfRule>
    <cfRule type="cellIs" dxfId="124" priority="2" operator="equal">
      <formula>"Ok"</formula>
    </cfRule>
  </conditionalFormatting>
  <dataValidations count="3">
    <dataValidation type="list" allowBlank="1" showInputMessage="1" showErrorMessage="1" sqref="P22:P32" xr:uid="{8FB85A65-BBEB-4C09-BB09-5F7EDC239644}">
      <formula1>"Ok, Nok, Not run, ,"</formula1>
    </dataValidation>
    <dataValidation type="list" allowBlank="1" showInputMessage="1" showErrorMessage="1" sqref="B5" xr:uid="{29DF155D-9969-4A84-A7D7-1898C3034A07}">
      <formula1>"Nominal, Robustness, Endurance, Qualification"</formula1>
    </dataValidation>
    <dataValidation type="list" allowBlank="1" showInputMessage="1" showErrorMessage="1" sqref="B9" xr:uid="{66972263-46CE-45FB-9CA2-AE8B8F24C9C0}">
      <formula1>"Ok, Nok, Not run, NA"</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48129"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48129" r:id="rId4"/>
      </mc:Fallback>
    </mc:AlternateContent>
  </oleObjec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D86C5-41A3-45D9-AB6B-97780604888A}">
  <sheetPr codeName="Sheet20"/>
  <dimension ref="A1:P34"/>
  <sheetViews>
    <sheetView workbookViewId="0">
      <selection activeCell="B7" sqref="B7:G7"/>
    </sheetView>
  </sheetViews>
  <sheetFormatPr defaultColWidth="9.109375" defaultRowHeight="13.2" x14ac:dyDescent="0.25"/>
  <cols>
    <col min="1" max="1" width="20.109375" style="99" customWidth="1"/>
    <col min="2" max="2" width="18.44140625" style="96" customWidth="1"/>
    <col min="3" max="6" width="9.109375" style="96"/>
    <col min="7" max="7" width="24" style="96" customWidth="1"/>
    <col min="8" max="15" width="9.5546875" style="96" customWidth="1"/>
    <col min="16" max="16384" width="9.109375" style="96"/>
  </cols>
  <sheetData>
    <row r="1" spans="1:15" ht="13.8" thickBot="1" x14ac:dyDescent="0.3">
      <c r="A1" s="100" t="s">
        <v>41</v>
      </c>
      <c r="B1" s="205" t="s">
        <v>347</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288</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425</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282</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0.5" customHeight="1" x14ac:dyDescent="0.25">
      <c r="A25" s="103" t="s">
        <v>53</v>
      </c>
      <c r="B25" s="187" t="s">
        <v>283</v>
      </c>
      <c r="C25" s="188"/>
      <c r="D25" s="188"/>
      <c r="E25" s="188"/>
      <c r="F25" s="188"/>
      <c r="G25" s="189"/>
      <c r="H25" s="190" t="s">
        <v>284</v>
      </c>
      <c r="I25" s="190"/>
      <c r="J25" s="190"/>
      <c r="K25" s="190"/>
      <c r="L25" s="190" t="s">
        <v>271</v>
      </c>
      <c r="M25" s="190"/>
      <c r="N25" s="190"/>
      <c r="O25" s="190"/>
      <c r="P25" s="98" t="s">
        <v>243</v>
      </c>
    </row>
    <row r="26" spans="1:16" ht="14.25" customHeight="1" x14ac:dyDescent="0.25">
      <c r="A26" s="103" t="s">
        <v>54</v>
      </c>
      <c r="B26" s="187" t="s">
        <v>285</v>
      </c>
      <c r="C26" s="188"/>
      <c r="D26" s="188"/>
      <c r="E26" s="188"/>
      <c r="F26" s="188"/>
      <c r="G26" s="189"/>
      <c r="H26" s="190" t="s">
        <v>286</v>
      </c>
      <c r="I26" s="190"/>
      <c r="J26" s="190"/>
      <c r="K26" s="190"/>
      <c r="L26" s="190" t="s">
        <v>286</v>
      </c>
      <c r="M26" s="190"/>
      <c r="N26" s="190"/>
      <c r="O26" s="190"/>
      <c r="P26" s="98" t="s">
        <v>129</v>
      </c>
    </row>
    <row r="27" spans="1:16" ht="12.75" customHeight="1" x14ac:dyDescent="0.25">
      <c r="A27" s="103" t="s">
        <v>52</v>
      </c>
      <c r="B27" s="187" t="s">
        <v>235</v>
      </c>
      <c r="C27" s="188"/>
      <c r="D27" s="188"/>
      <c r="E27" s="188"/>
      <c r="F27" s="188"/>
      <c r="G27" s="189"/>
      <c r="H27" s="190" t="s">
        <v>287</v>
      </c>
      <c r="I27" s="190"/>
      <c r="J27" s="190"/>
      <c r="K27" s="190"/>
      <c r="L27" s="190" t="s">
        <v>287</v>
      </c>
      <c r="M27" s="190"/>
      <c r="N27" s="190"/>
      <c r="O27" s="190"/>
      <c r="P27" s="98" t="s">
        <v>129</v>
      </c>
    </row>
    <row r="28" spans="1:16" ht="40.5" customHeight="1" x14ac:dyDescent="0.25">
      <c r="A28" s="103" t="s">
        <v>53</v>
      </c>
      <c r="B28" s="187" t="s">
        <v>283</v>
      </c>
      <c r="C28" s="188"/>
      <c r="D28" s="188"/>
      <c r="E28" s="188"/>
      <c r="F28" s="188"/>
      <c r="G28" s="189"/>
      <c r="H28" s="190" t="s">
        <v>284</v>
      </c>
      <c r="I28" s="190"/>
      <c r="J28" s="190"/>
      <c r="K28" s="190"/>
      <c r="L28" s="190" t="s">
        <v>271</v>
      </c>
      <c r="M28" s="190"/>
      <c r="N28" s="190"/>
      <c r="O28" s="190"/>
      <c r="P28" s="98" t="s">
        <v>243</v>
      </c>
    </row>
    <row r="29" spans="1:16" ht="14.25" customHeight="1" x14ac:dyDescent="0.25">
      <c r="A29" s="103" t="s">
        <v>54</v>
      </c>
      <c r="B29" s="187" t="s">
        <v>285</v>
      </c>
      <c r="C29" s="188"/>
      <c r="D29" s="188"/>
      <c r="E29" s="188"/>
      <c r="F29" s="188"/>
      <c r="G29" s="189"/>
      <c r="H29" s="190" t="s">
        <v>286</v>
      </c>
      <c r="I29" s="190"/>
      <c r="J29" s="190"/>
      <c r="K29" s="190"/>
      <c r="L29" s="190" t="s">
        <v>286</v>
      </c>
      <c r="M29" s="190"/>
      <c r="N29" s="190"/>
      <c r="O29" s="190"/>
      <c r="P29" s="98" t="s">
        <v>129</v>
      </c>
    </row>
    <row r="30" spans="1:16" ht="12.75" customHeight="1" x14ac:dyDescent="0.25">
      <c r="A30" s="103" t="s">
        <v>52</v>
      </c>
      <c r="B30" s="187" t="s">
        <v>274</v>
      </c>
      <c r="C30" s="188"/>
      <c r="D30" s="188"/>
      <c r="E30" s="188"/>
      <c r="F30" s="188"/>
      <c r="G30" s="189"/>
      <c r="H30" s="190" t="s">
        <v>242</v>
      </c>
      <c r="I30" s="190"/>
      <c r="J30" s="190"/>
      <c r="K30" s="190"/>
      <c r="L30" s="190" t="s">
        <v>242</v>
      </c>
      <c r="M30" s="190"/>
      <c r="N30" s="190"/>
      <c r="O30" s="190"/>
      <c r="P30" s="98" t="s">
        <v>129</v>
      </c>
    </row>
    <row r="31" spans="1:16" ht="40.5" customHeight="1" x14ac:dyDescent="0.25">
      <c r="A31" s="103" t="s">
        <v>53</v>
      </c>
      <c r="B31" s="187" t="s">
        <v>283</v>
      </c>
      <c r="C31" s="188"/>
      <c r="D31" s="188"/>
      <c r="E31" s="188"/>
      <c r="F31" s="188"/>
      <c r="G31" s="189"/>
      <c r="H31" s="190" t="s">
        <v>284</v>
      </c>
      <c r="I31" s="190"/>
      <c r="J31" s="190"/>
      <c r="K31" s="190"/>
      <c r="L31" s="190" t="s">
        <v>271</v>
      </c>
      <c r="M31" s="190"/>
      <c r="N31" s="190"/>
      <c r="O31" s="190"/>
      <c r="P31" s="98" t="s">
        <v>243</v>
      </c>
    </row>
    <row r="32" spans="1:16" ht="14.25" customHeight="1" x14ac:dyDescent="0.25">
      <c r="A32" s="103" t="s">
        <v>54</v>
      </c>
      <c r="B32" s="187" t="s">
        <v>285</v>
      </c>
      <c r="C32" s="188"/>
      <c r="D32" s="188"/>
      <c r="E32" s="188"/>
      <c r="F32" s="188"/>
      <c r="G32" s="189"/>
      <c r="H32" s="190" t="s">
        <v>286</v>
      </c>
      <c r="I32" s="190"/>
      <c r="J32" s="190"/>
      <c r="K32" s="190"/>
      <c r="L32" s="190" t="s">
        <v>286</v>
      </c>
      <c r="M32" s="190"/>
      <c r="N32" s="190"/>
      <c r="O32" s="190"/>
      <c r="P32" s="98" t="s">
        <v>129</v>
      </c>
    </row>
    <row r="33" spans="1:16" ht="12.75" customHeight="1" x14ac:dyDescent="0.25">
      <c r="A33" s="96"/>
    </row>
    <row r="34" spans="1:16" s="99" customFormat="1" ht="12.75" customHeight="1" x14ac:dyDescent="0.25">
      <c r="B34" s="96"/>
      <c r="C34" s="96"/>
      <c r="D34" s="96"/>
      <c r="E34" s="96"/>
      <c r="F34" s="96"/>
      <c r="G34" s="96"/>
      <c r="H34" s="96"/>
      <c r="I34" s="96"/>
      <c r="J34" s="96"/>
      <c r="K34" s="96"/>
      <c r="L34" s="96"/>
      <c r="M34" s="96"/>
      <c r="N34" s="96"/>
      <c r="O34" s="96"/>
      <c r="P34" s="96"/>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23" priority="13" operator="equal">
      <formula>"Nok"</formula>
    </cfRule>
    <cfRule type="cellIs" dxfId="122" priority="14" operator="equal">
      <formula>"Ok"</formula>
    </cfRule>
  </conditionalFormatting>
  <conditionalFormatting sqref="P23:P26">
    <cfRule type="cellIs" dxfId="121" priority="11" operator="equal">
      <formula>"Nok"</formula>
    </cfRule>
    <cfRule type="cellIs" dxfId="120" priority="12" operator="equal">
      <formula>"Ok"</formula>
    </cfRule>
  </conditionalFormatting>
  <conditionalFormatting sqref="P22">
    <cfRule type="cellIs" dxfId="119" priority="7" operator="equal">
      <formula>"Nok"</formula>
    </cfRule>
    <cfRule type="cellIs" dxfId="118" priority="8" operator="equal">
      <formula>"Ok"</formula>
    </cfRule>
  </conditionalFormatting>
  <conditionalFormatting sqref="P27:P29">
    <cfRule type="cellIs" dxfId="117" priority="5" operator="equal">
      <formula>"Nok"</formula>
    </cfRule>
    <cfRule type="cellIs" dxfId="116" priority="6" operator="equal">
      <formula>"Ok"</formula>
    </cfRule>
  </conditionalFormatting>
  <conditionalFormatting sqref="P30:P31">
    <cfRule type="cellIs" dxfId="115" priority="3" operator="equal">
      <formula>"Nok"</formula>
    </cfRule>
    <cfRule type="cellIs" dxfId="114" priority="4" operator="equal">
      <formula>"Ok"</formula>
    </cfRule>
  </conditionalFormatting>
  <conditionalFormatting sqref="P32">
    <cfRule type="cellIs" dxfId="113" priority="1" operator="equal">
      <formula>"Nok"</formula>
    </cfRule>
    <cfRule type="cellIs" dxfId="112" priority="2" operator="equal">
      <formula>"Ok"</formula>
    </cfRule>
  </conditionalFormatting>
  <dataValidations count="3">
    <dataValidation type="list" allowBlank="1" showInputMessage="1" showErrorMessage="1" sqref="B9" xr:uid="{1DA3D22F-664E-4744-A3D7-95EF6B1D17DA}">
      <formula1>"Ok, Nok, Not run, NA"</formula1>
    </dataValidation>
    <dataValidation type="list" allowBlank="1" showInputMessage="1" showErrorMessage="1" sqref="B5" xr:uid="{F9B4E403-836D-4AA2-BE68-6C411987C7B3}">
      <formula1>"Nominal, Robustness, Endurance, Qualification"</formula1>
    </dataValidation>
    <dataValidation type="list" allowBlank="1" showInputMessage="1" showErrorMessage="1" sqref="P22:P32" xr:uid="{64D971A4-E571-4A1E-AE9C-52FB0D218CE1}">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49153"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49153" r:id="rId4"/>
      </mc:Fallback>
    </mc:AlternateContent>
  </oleObjec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282AA-3A2A-4166-A064-D5EE4E84C09A}">
  <sheetPr codeName="Sheet21"/>
  <dimension ref="A1:P33"/>
  <sheetViews>
    <sheetView workbookViewId="0">
      <selection activeCell="B7" sqref="B7:G7"/>
    </sheetView>
  </sheetViews>
  <sheetFormatPr defaultColWidth="9.109375" defaultRowHeight="13.2" x14ac:dyDescent="0.25"/>
  <cols>
    <col min="1" max="1" width="20.109375" style="99" customWidth="1"/>
    <col min="2" max="2" width="18.44140625" style="96" customWidth="1"/>
    <col min="3" max="6" width="9.109375" style="96"/>
    <col min="7" max="7" width="24" style="96" customWidth="1"/>
    <col min="8" max="15" width="9.5546875" style="96" customWidth="1"/>
    <col min="16" max="16384" width="9.109375" style="96"/>
  </cols>
  <sheetData>
    <row r="1" spans="1:15" ht="13.8" thickBot="1" x14ac:dyDescent="0.3">
      <c r="A1" s="100" t="s">
        <v>41</v>
      </c>
      <c r="B1" s="205" t="s">
        <v>348</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159.75" customHeight="1" thickBot="1" x14ac:dyDescent="0.3">
      <c r="A3" s="101" t="s">
        <v>46</v>
      </c>
      <c r="B3" s="208" t="s">
        <v>295</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426</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294</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4.25" customHeight="1" x14ac:dyDescent="0.25">
      <c r="A25" s="103" t="s">
        <v>53</v>
      </c>
      <c r="B25" s="187" t="s">
        <v>292</v>
      </c>
      <c r="C25" s="188"/>
      <c r="D25" s="188"/>
      <c r="E25" s="188"/>
      <c r="F25" s="188"/>
      <c r="G25" s="189"/>
      <c r="H25" s="190" t="s">
        <v>289</v>
      </c>
      <c r="I25" s="190"/>
      <c r="J25" s="190"/>
      <c r="K25" s="190"/>
      <c r="L25" s="190" t="s">
        <v>271</v>
      </c>
      <c r="M25" s="190"/>
      <c r="N25" s="190"/>
      <c r="O25" s="190"/>
      <c r="P25" s="98" t="s">
        <v>243</v>
      </c>
    </row>
    <row r="26" spans="1:16" ht="14.25" customHeight="1" x14ac:dyDescent="0.25">
      <c r="A26" s="103" t="s">
        <v>54</v>
      </c>
      <c r="B26" s="187" t="s">
        <v>290</v>
      </c>
      <c r="C26" s="188"/>
      <c r="D26" s="188"/>
      <c r="E26" s="188"/>
      <c r="F26" s="188"/>
      <c r="G26" s="189"/>
      <c r="H26" s="190" t="s">
        <v>293</v>
      </c>
      <c r="I26" s="190"/>
      <c r="J26" s="190"/>
      <c r="K26" s="190"/>
      <c r="L26" s="190" t="s">
        <v>293</v>
      </c>
      <c r="M26" s="190"/>
      <c r="N26" s="190"/>
      <c r="O26" s="190"/>
      <c r="P26" s="98" t="s">
        <v>243</v>
      </c>
    </row>
    <row r="27" spans="1:16" ht="12.75" customHeight="1" x14ac:dyDescent="0.25">
      <c r="A27" s="103" t="s">
        <v>52</v>
      </c>
      <c r="B27" s="187" t="s">
        <v>235</v>
      </c>
      <c r="C27" s="188"/>
      <c r="D27" s="188"/>
      <c r="E27" s="188"/>
      <c r="F27" s="188"/>
      <c r="G27" s="189"/>
      <c r="H27" s="190" t="s">
        <v>291</v>
      </c>
      <c r="I27" s="190"/>
      <c r="J27" s="190"/>
      <c r="K27" s="190"/>
      <c r="L27" s="190" t="s">
        <v>291</v>
      </c>
      <c r="M27" s="190"/>
      <c r="N27" s="190"/>
      <c r="O27" s="190"/>
      <c r="P27" s="98" t="s">
        <v>129</v>
      </c>
    </row>
    <row r="28" spans="1:16" ht="40.5" customHeight="1" x14ac:dyDescent="0.25">
      <c r="A28" s="103" t="s">
        <v>53</v>
      </c>
      <c r="B28" s="187" t="s">
        <v>292</v>
      </c>
      <c r="C28" s="188"/>
      <c r="D28" s="188"/>
      <c r="E28" s="188"/>
      <c r="F28" s="188"/>
      <c r="G28" s="189"/>
      <c r="H28" s="190" t="s">
        <v>289</v>
      </c>
      <c r="I28" s="190"/>
      <c r="J28" s="190"/>
      <c r="K28" s="190"/>
      <c r="L28" s="190" t="s">
        <v>271</v>
      </c>
      <c r="M28" s="190"/>
      <c r="N28" s="190"/>
      <c r="O28" s="190"/>
      <c r="P28" s="98" t="s">
        <v>243</v>
      </c>
    </row>
    <row r="29" spans="1:16" ht="14.25" customHeight="1" x14ac:dyDescent="0.25">
      <c r="A29" s="103" t="s">
        <v>54</v>
      </c>
      <c r="B29" s="187" t="s">
        <v>290</v>
      </c>
      <c r="C29" s="188"/>
      <c r="D29" s="188"/>
      <c r="E29" s="188"/>
      <c r="F29" s="188"/>
      <c r="G29" s="189"/>
      <c r="H29" s="190" t="s">
        <v>293</v>
      </c>
      <c r="I29" s="190"/>
      <c r="J29" s="190"/>
      <c r="K29" s="190"/>
      <c r="L29" s="190" t="s">
        <v>293</v>
      </c>
      <c r="M29" s="190"/>
      <c r="N29" s="190"/>
      <c r="O29" s="190"/>
      <c r="P29" s="98" t="s">
        <v>243</v>
      </c>
    </row>
    <row r="30" spans="1:16" ht="12.75" customHeight="1" x14ac:dyDescent="0.25">
      <c r="A30" s="103" t="s">
        <v>52</v>
      </c>
      <c r="B30" s="187" t="s">
        <v>274</v>
      </c>
      <c r="C30" s="188"/>
      <c r="D30" s="188"/>
      <c r="E30" s="188"/>
      <c r="F30" s="188"/>
      <c r="G30" s="189"/>
      <c r="H30" s="190" t="s">
        <v>242</v>
      </c>
      <c r="I30" s="190"/>
      <c r="J30" s="190"/>
      <c r="K30" s="190"/>
      <c r="L30" s="190" t="s">
        <v>242</v>
      </c>
      <c r="M30" s="190"/>
      <c r="N30" s="190"/>
      <c r="O30" s="190"/>
      <c r="P30" s="98" t="s">
        <v>129</v>
      </c>
    </row>
    <row r="31" spans="1:16" ht="40.5" customHeight="1" x14ac:dyDescent="0.25">
      <c r="A31" s="103" t="s">
        <v>53</v>
      </c>
      <c r="B31" s="187" t="s">
        <v>292</v>
      </c>
      <c r="C31" s="188"/>
      <c r="D31" s="188"/>
      <c r="E31" s="188"/>
      <c r="F31" s="188"/>
      <c r="G31" s="189"/>
      <c r="H31" s="190" t="s">
        <v>289</v>
      </c>
      <c r="I31" s="190"/>
      <c r="J31" s="190"/>
      <c r="K31" s="190"/>
      <c r="L31" s="190" t="s">
        <v>271</v>
      </c>
      <c r="M31" s="190"/>
      <c r="N31" s="190"/>
      <c r="O31" s="190"/>
      <c r="P31" s="98" t="s">
        <v>243</v>
      </c>
    </row>
    <row r="32" spans="1:16" ht="12.75" customHeight="1" x14ac:dyDescent="0.25">
      <c r="A32" s="96"/>
    </row>
    <row r="33" spans="2:16" s="99" customFormat="1" ht="12.75" customHeight="1" x14ac:dyDescent="0.25">
      <c r="B33" s="96"/>
      <c r="C33" s="96"/>
      <c r="D33" s="96"/>
      <c r="E33" s="96"/>
      <c r="F33" s="96"/>
      <c r="G33" s="96"/>
      <c r="H33" s="96"/>
      <c r="I33" s="96"/>
      <c r="J33" s="96"/>
      <c r="K33" s="96"/>
      <c r="L33" s="96"/>
      <c r="M33" s="96"/>
      <c r="N33" s="96"/>
      <c r="O33" s="96"/>
      <c r="P33" s="96"/>
    </row>
  </sheetData>
  <mergeCells count="40">
    <mergeCell ref="B31:G31"/>
    <mergeCell ref="H31:K31"/>
    <mergeCell ref="L31:O31"/>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11" priority="11" operator="equal">
      <formula>"Nok"</formula>
    </cfRule>
    <cfRule type="cellIs" dxfId="110" priority="12" operator="equal">
      <formula>"Ok"</formula>
    </cfRule>
  </conditionalFormatting>
  <conditionalFormatting sqref="P23:P26">
    <cfRule type="cellIs" dxfId="109" priority="9" operator="equal">
      <formula>"Nok"</formula>
    </cfRule>
    <cfRule type="cellIs" dxfId="108" priority="10" operator="equal">
      <formula>"Ok"</formula>
    </cfRule>
  </conditionalFormatting>
  <conditionalFormatting sqref="P22">
    <cfRule type="cellIs" dxfId="107" priority="5" operator="equal">
      <formula>"Nok"</formula>
    </cfRule>
    <cfRule type="cellIs" dxfId="106" priority="6" operator="equal">
      <formula>"Ok"</formula>
    </cfRule>
  </conditionalFormatting>
  <conditionalFormatting sqref="P27:P29">
    <cfRule type="cellIs" dxfId="105" priority="3" operator="equal">
      <formula>"Nok"</formula>
    </cfRule>
    <cfRule type="cellIs" dxfId="104" priority="4" operator="equal">
      <formula>"Ok"</formula>
    </cfRule>
  </conditionalFormatting>
  <conditionalFormatting sqref="P30:P31">
    <cfRule type="cellIs" dxfId="103" priority="1" operator="equal">
      <formula>"Nok"</formula>
    </cfRule>
    <cfRule type="cellIs" dxfId="102" priority="2" operator="equal">
      <formula>"Ok"</formula>
    </cfRule>
  </conditionalFormatting>
  <dataValidations count="3">
    <dataValidation type="list" allowBlank="1" showInputMessage="1" showErrorMessage="1" sqref="P22:P31" xr:uid="{31EA8199-4CA9-4938-934A-3370915F53DD}">
      <formula1>"Ok, Nok, Not run, ,"</formula1>
    </dataValidation>
    <dataValidation type="list" allowBlank="1" showInputMessage="1" showErrorMessage="1" sqref="B5" xr:uid="{A4A636E0-FED7-46E3-9FE2-30DDA158EBC0}">
      <formula1>"Nominal, Robustness, Endurance, Qualification"</formula1>
    </dataValidation>
    <dataValidation type="list" allowBlank="1" showInputMessage="1" showErrorMessage="1" sqref="B9" xr:uid="{10D2A638-E28C-4300-B0BF-14E45748B272}">
      <formula1>"Ok, Nok, Not run, NA"</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51201" r:id="rId4">
          <objectPr defaultSize="0" r:id="rId5">
            <anchor moveWithCells="1">
              <from>
                <xdr:col>7</xdr:col>
                <xdr:colOff>22860</xdr:colOff>
                <xdr:row>1</xdr:row>
                <xdr:rowOff>144780</xdr:rowOff>
              </from>
              <to>
                <xdr:col>8</xdr:col>
                <xdr:colOff>525780</xdr:colOff>
                <xdr:row>2</xdr:row>
                <xdr:rowOff>487680</xdr:rowOff>
              </to>
            </anchor>
          </objectPr>
        </oleObject>
      </mc:Choice>
      <mc:Fallback>
        <oleObject progId="Packager Shell Object" shapeId="51201" r:id="rId4"/>
      </mc:Fallback>
    </mc:AlternateContent>
  </oleObjec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19A7C-7A18-46BC-BA73-4EECF7CEFCA7}">
  <sheetPr codeName="Sheet22"/>
  <dimension ref="A1:P34"/>
  <sheetViews>
    <sheetView workbookViewId="0">
      <selection activeCell="B7" sqref="B7:G7"/>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349</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302</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427</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60" customHeight="1" x14ac:dyDescent="0.25">
      <c r="A22" s="103" t="s">
        <v>50</v>
      </c>
      <c r="B22" s="187" t="s">
        <v>301</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4.25" customHeight="1" x14ac:dyDescent="0.25">
      <c r="A25" s="103" t="s">
        <v>53</v>
      </c>
      <c r="B25" s="187" t="s">
        <v>300</v>
      </c>
      <c r="C25" s="188"/>
      <c r="D25" s="188"/>
      <c r="E25" s="188"/>
      <c r="F25" s="188"/>
      <c r="G25" s="189"/>
      <c r="H25" s="190" t="s">
        <v>296</v>
      </c>
      <c r="I25" s="190"/>
      <c r="J25" s="190"/>
      <c r="K25" s="190"/>
      <c r="L25" s="190" t="s">
        <v>271</v>
      </c>
      <c r="M25" s="190"/>
      <c r="N25" s="190"/>
      <c r="O25" s="190"/>
      <c r="P25" s="98" t="s">
        <v>243</v>
      </c>
    </row>
    <row r="26" spans="1:16" ht="14.25" customHeight="1" x14ac:dyDescent="0.25">
      <c r="A26" s="103" t="s">
        <v>54</v>
      </c>
      <c r="B26" s="187" t="s">
        <v>297</v>
      </c>
      <c r="C26" s="188"/>
      <c r="D26" s="188"/>
      <c r="E26" s="188"/>
      <c r="F26" s="188"/>
      <c r="G26" s="189"/>
      <c r="H26" s="190" t="s">
        <v>299</v>
      </c>
      <c r="I26" s="190"/>
      <c r="J26" s="190"/>
      <c r="K26" s="190"/>
      <c r="L26" s="190" t="s">
        <v>299</v>
      </c>
      <c r="M26" s="190"/>
      <c r="N26" s="190"/>
      <c r="O26" s="190"/>
      <c r="P26" s="98" t="s">
        <v>129</v>
      </c>
    </row>
    <row r="27" spans="1:16" ht="12.75" customHeight="1" x14ac:dyDescent="0.25">
      <c r="A27" s="103" t="s">
        <v>52</v>
      </c>
      <c r="B27" s="187" t="s">
        <v>235</v>
      </c>
      <c r="C27" s="188"/>
      <c r="D27" s="188"/>
      <c r="E27" s="188"/>
      <c r="F27" s="188"/>
      <c r="G27" s="189"/>
      <c r="H27" s="190" t="s">
        <v>298</v>
      </c>
      <c r="I27" s="190"/>
      <c r="J27" s="190"/>
      <c r="K27" s="190"/>
      <c r="L27" s="190" t="s">
        <v>298</v>
      </c>
      <c r="M27" s="190"/>
      <c r="N27" s="190"/>
      <c r="O27" s="190"/>
      <c r="P27" s="98" t="s">
        <v>129</v>
      </c>
    </row>
    <row r="28" spans="1:16" ht="40.5" customHeight="1" x14ac:dyDescent="0.25">
      <c r="A28" s="103" t="s">
        <v>53</v>
      </c>
      <c r="B28" s="187" t="s">
        <v>300</v>
      </c>
      <c r="C28" s="188"/>
      <c r="D28" s="188"/>
      <c r="E28" s="188"/>
      <c r="F28" s="188"/>
      <c r="G28" s="189"/>
      <c r="H28" s="190" t="s">
        <v>296</v>
      </c>
      <c r="I28" s="190"/>
      <c r="J28" s="190"/>
      <c r="K28" s="190"/>
      <c r="L28" s="190" t="s">
        <v>271</v>
      </c>
      <c r="M28" s="190"/>
      <c r="N28" s="190"/>
      <c r="O28" s="190"/>
      <c r="P28" s="98" t="s">
        <v>243</v>
      </c>
    </row>
    <row r="29" spans="1:16" ht="14.25" customHeight="1" x14ac:dyDescent="0.25">
      <c r="A29" s="103" t="s">
        <v>54</v>
      </c>
      <c r="B29" s="187" t="s">
        <v>297</v>
      </c>
      <c r="C29" s="188"/>
      <c r="D29" s="188"/>
      <c r="E29" s="188"/>
      <c r="F29" s="188"/>
      <c r="G29" s="189"/>
      <c r="H29" s="190" t="s">
        <v>299</v>
      </c>
      <c r="I29" s="190"/>
      <c r="J29" s="190"/>
      <c r="K29" s="190"/>
      <c r="L29" s="190" t="s">
        <v>299</v>
      </c>
      <c r="M29" s="190"/>
      <c r="N29" s="190"/>
      <c r="O29" s="190"/>
      <c r="P29" s="98" t="s">
        <v>129</v>
      </c>
    </row>
    <row r="30" spans="1:16" ht="12.75" customHeight="1" x14ac:dyDescent="0.25">
      <c r="A30" s="103" t="s">
        <v>52</v>
      </c>
      <c r="B30" s="187" t="s">
        <v>274</v>
      </c>
      <c r="C30" s="188"/>
      <c r="D30" s="188"/>
      <c r="E30" s="188"/>
      <c r="F30" s="188"/>
      <c r="G30" s="189"/>
      <c r="H30" s="190" t="s">
        <v>242</v>
      </c>
      <c r="I30" s="190"/>
      <c r="J30" s="190"/>
      <c r="K30" s="190"/>
      <c r="L30" s="190" t="s">
        <v>242</v>
      </c>
      <c r="M30" s="190"/>
      <c r="N30" s="190"/>
      <c r="O30" s="190"/>
      <c r="P30" s="98" t="s">
        <v>129</v>
      </c>
    </row>
    <row r="31" spans="1:16" ht="40.5" customHeight="1" x14ac:dyDescent="0.25">
      <c r="A31" s="103" t="s">
        <v>53</v>
      </c>
      <c r="B31" s="187" t="s">
        <v>300</v>
      </c>
      <c r="C31" s="188"/>
      <c r="D31" s="188"/>
      <c r="E31" s="188"/>
      <c r="F31" s="188"/>
      <c r="G31" s="189"/>
      <c r="H31" s="190" t="s">
        <v>296</v>
      </c>
      <c r="I31" s="190"/>
      <c r="J31" s="190"/>
      <c r="K31" s="190"/>
      <c r="L31" s="190" t="s">
        <v>271</v>
      </c>
      <c r="M31" s="190"/>
      <c r="N31" s="190"/>
      <c r="O31" s="190"/>
      <c r="P31" s="98" t="s">
        <v>243</v>
      </c>
    </row>
    <row r="32" spans="1:16" ht="14.25" customHeight="1" x14ac:dyDescent="0.25">
      <c r="A32" s="103" t="s">
        <v>54</v>
      </c>
      <c r="B32" s="187" t="s">
        <v>297</v>
      </c>
      <c r="C32" s="188"/>
      <c r="D32" s="188"/>
      <c r="E32" s="188"/>
      <c r="F32" s="188"/>
      <c r="G32" s="189"/>
      <c r="H32" s="190" t="s">
        <v>299</v>
      </c>
      <c r="I32" s="190"/>
      <c r="J32" s="190"/>
      <c r="K32" s="190"/>
      <c r="L32" s="190" t="s">
        <v>299</v>
      </c>
      <c r="M32" s="190"/>
      <c r="N32" s="190"/>
      <c r="O32" s="190"/>
      <c r="P32" s="98" t="s">
        <v>129</v>
      </c>
    </row>
    <row r="33" spans="1:16" ht="12.75" customHeight="1" x14ac:dyDescent="0.25">
      <c r="A33" s="96"/>
    </row>
    <row r="34" spans="1:16" s="99" customFormat="1" ht="12.75" customHeight="1" x14ac:dyDescent="0.25">
      <c r="B34" s="96"/>
      <c r="C34" s="96"/>
      <c r="D34" s="96"/>
      <c r="E34" s="96"/>
      <c r="F34" s="96"/>
      <c r="G34" s="96"/>
      <c r="H34" s="96"/>
      <c r="I34" s="96"/>
      <c r="J34" s="96"/>
      <c r="K34" s="96"/>
      <c r="L34" s="96"/>
      <c r="M34" s="96"/>
      <c r="N34" s="96"/>
      <c r="O34" s="96"/>
      <c r="P34" s="96"/>
    </row>
  </sheetData>
  <mergeCells count="4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01" priority="13" operator="equal">
      <formula>"Nok"</formula>
    </cfRule>
    <cfRule type="cellIs" dxfId="100" priority="14" operator="equal">
      <formula>"Ok"</formula>
    </cfRule>
  </conditionalFormatting>
  <conditionalFormatting sqref="P23:P26">
    <cfRule type="cellIs" dxfId="99" priority="11" operator="equal">
      <formula>"Nok"</formula>
    </cfRule>
    <cfRule type="cellIs" dxfId="98" priority="12" operator="equal">
      <formula>"Ok"</formula>
    </cfRule>
  </conditionalFormatting>
  <conditionalFormatting sqref="P22">
    <cfRule type="cellIs" dxfId="97" priority="7" operator="equal">
      <formula>"Nok"</formula>
    </cfRule>
    <cfRule type="cellIs" dxfId="96" priority="8" operator="equal">
      <formula>"Ok"</formula>
    </cfRule>
  </conditionalFormatting>
  <conditionalFormatting sqref="P27:P29">
    <cfRule type="cellIs" dxfId="95" priority="5" operator="equal">
      <formula>"Nok"</formula>
    </cfRule>
    <cfRule type="cellIs" dxfId="94" priority="6" operator="equal">
      <formula>"Ok"</formula>
    </cfRule>
  </conditionalFormatting>
  <conditionalFormatting sqref="P30:P31">
    <cfRule type="cellIs" dxfId="93" priority="3" operator="equal">
      <formula>"Nok"</formula>
    </cfRule>
    <cfRule type="cellIs" dxfId="92" priority="4" operator="equal">
      <formula>"Ok"</formula>
    </cfRule>
  </conditionalFormatting>
  <conditionalFormatting sqref="P32">
    <cfRule type="cellIs" dxfId="91" priority="1" operator="equal">
      <formula>"Nok"</formula>
    </cfRule>
    <cfRule type="cellIs" dxfId="90" priority="2" operator="equal">
      <formula>"Ok"</formula>
    </cfRule>
  </conditionalFormatting>
  <dataValidations count="3">
    <dataValidation type="list" allowBlank="1" showInputMessage="1" showErrorMessage="1" sqref="B9" xr:uid="{60513E9E-DD04-4897-93E3-5B0AB4299ADF}">
      <formula1>"Ok, Nok, Not run, NA"</formula1>
    </dataValidation>
    <dataValidation type="list" allowBlank="1" showInputMessage="1" showErrorMessage="1" sqref="B5" xr:uid="{B3C9C586-5D2B-4569-A8B9-2BCA2893613C}">
      <formula1>"Nominal, Robustness, Endurance, Qualification"</formula1>
    </dataValidation>
    <dataValidation type="list" allowBlank="1" showInputMessage="1" showErrorMessage="1" sqref="P22:P32" xr:uid="{1C82FDD1-E451-4345-AE5C-1C2302045CE6}">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52225"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52225" r:id="rId4"/>
      </mc:Fallback>
    </mc:AlternateContent>
  </oleObjec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9F24F-B193-46D4-B83F-800440214AAA}">
  <sheetPr codeName="Sheet23"/>
  <dimension ref="A1:P33"/>
  <sheetViews>
    <sheetView workbookViewId="0">
      <selection activeCell="B7" sqref="B7:G7"/>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350</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302</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428</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0.5" customHeight="1" x14ac:dyDescent="0.25">
      <c r="A25" s="103" t="s">
        <v>53</v>
      </c>
      <c r="B25" s="187" t="s">
        <v>353</v>
      </c>
      <c r="C25" s="188"/>
      <c r="D25" s="188"/>
      <c r="E25" s="188"/>
      <c r="F25" s="188"/>
      <c r="G25" s="189"/>
      <c r="H25" s="190" t="s">
        <v>351</v>
      </c>
      <c r="I25" s="190"/>
      <c r="J25" s="190"/>
      <c r="K25" s="190"/>
      <c r="L25" s="190" t="s">
        <v>351</v>
      </c>
      <c r="M25" s="190"/>
      <c r="N25" s="190"/>
      <c r="O25" s="190"/>
      <c r="P25" s="98" t="s">
        <v>129</v>
      </c>
    </row>
    <row r="26" spans="1:16" ht="14.25" customHeight="1" x14ac:dyDescent="0.25">
      <c r="A26" s="103" t="s">
        <v>54</v>
      </c>
      <c r="B26" s="187" t="s">
        <v>352</v>
      </c>
      <c r="C26" s="188"/>
      <c r="D26" s="188"/>
      <c r="E26" s="188"/>
      <c r="F26" s="188"/>
      <c r="G26" s="189"/>
      <c r="H26" s="190" t="s">
        <v>354</v>
      </c>
      <c r="I26" s="190"/>
      <c r="J26" s="190"/>
      <c r="K26" s="190"/>
      <c r="L26" s="190" t="s">
        <v>354</v>
      </c>
      <c r="M26" s="190"/>
      <c r="N26" s="190"/>
      <c r="O26" s="190"/>
      <c r="P26" s="98" t="s">
        <v>129</v>
      </c>
    </row>
    <row r="27" spans="1:16" ht="12.75" customHeight="1" x14ac:dyDescent="0.25">
      <c r="A27" s="103" t="s">
        <v>55</v>
      </c>
      <c r="B27" s="187" t="s">
        <v>226</v>
      </c>
      <c r="C27" s="188"/>
      <c r="D27" s="188"/>
      <c r="E27" s="188"/>
      <c r="F27" s="188"/>
      <c r="G27" s="189"/>
      <c r="H27" s="190" t="s">
        <v>153</v>
      </c>
      <c r="I27" s="190"/>
      <c r="J27" s="190"/>
      <c r="K27" s="190"/>
      <c r="L27" s="190" t="s">
        <v>153</v>
      </c>
      <c r="M27" s="190"/>
      <c r="N27" s="190"/>
      <c r="O27" s="190"/>
      <c r="P27" s="98" t="s">
        <v>129</v>
      </c>
    </row>
    <row r="28" spans="1:16" ht="12.75" customHeight="1" x14ac:dyDescent="0.25">
      <c r="A28" s="103" t="s">
        <v>56</v>
      </c>
      <c r="B28" s="187" t="s">
        <v>222</v>
      </c>
      <c r="C28" s="188"/>
      <c r="D28" s="188"/>
      <c r="E28" s="188"/>
      <c r="F28" s="188"/>
      <c r="G28" s="189"/>
      <c r="H28" s="190" t="s">
        <v>140</v>
      </c>
      <c r="I28" s="190"/>
      <c r="J28" s="190"/>
      <c r="K28" s="190"/>
      <c r="L28" s="190" t="s">
        <v>140</v>
      </c>
      <c r="M28" s="190"/>
      <c r="N28" s="190"/>
      <c r="O28" s="190"/>
      <c r="P28" s="98" t="s">
        <v>129</v>
      </c>
    </row>
    <row r="29" spans="1:16" ht="12.75" customHeight="1" x14ac:dyDescent="0.25">
      <c r="A29" s="103" t="s">
        <v>57</v>
      </c>
      <c r="B29" s="187" t="s">
        <v>225</v>
      </c>
      <c r="C29" s="188"/>
      <c r="D29" s="188"/>
      <c r="E29" s="188"/>
      <c r="F29" s="188"/>
      <c r="G29" s="189"/>
      <c r="H29" s="190" t="s">
        <v>142</v>
      </c>
      <c r="I29" s="190"/>
      <c r="J29" s="190"/>
      <c r="K29" s="190"/>
      <c r="L29" s="190" t="s">
        <v>142</v>
      </c>
      <c r="M29" s="190"/>
      <c r="N29" s="190"/>
      <c r="O29" s="190"/>
      <c r="P29" s="98" t="s">
        <v>129</v>
      </c>
    </row>
    <row r="30" spans="1:16" ht="12.75" customHeight="1" x14ac:dyDescent="0.25">
      <c r="A30" s="103" t="s">
        <v>58</v>
      </c>
      <c r="B30" s="187" t="s">
        <v>352</v>
      </c>
      <c r="C30" s="188"/>
      <c r="D30" s="188"/>
      <c r="E30" s="188"/>
      <c r="F30" s="188"/>
      <c r="G30" s="189"/>
      <c r="H30" s="190" t="s">
        <v>354</v>
      </c>
      <c r="I30" s="190"/>
      <c r="J30" s="190"/>
      <c r="K30" s="190"/>
      <c r="L30" s="190" t="s">
        <v>354</v>
      </c>
      <c r="M30" s="190"/>
      <c r="N30" s="190"/>
      <c r="O30" s="190"/>
      <c r="P30" s="98" t="s">
        <v>129</v>
      </c>
    </row>
    <row r="31" spans="1:16" ht="43.5" customHeight="1" x14ac:dyDescent="0.25">
      <c r="A31" s="103" t="s">
        <v>136</v>
      </c>
      <c r="B31" s="187" t="s">
        <v>267</v>
      </c>
      <c r="C31" s="188"/>
      <c r="D31" s="188"/>
      <c r="E31" s="188"/>
      <c r="F31" s="188"/>
      <c r="G31" s="189"/>
      <c r="H31" s="190" t="s">
        <v>266</v>
      </c>
      <c r="I31" s="190"/>
      <c r="J31" s="190"/>
      <c r="K31" s="190"/>
      <c r="L31" s="190" t="s">
        <v>266</v>
      </c>
      <c r="M31" s="190"/>
      <c r="N31" s="190"/>
      <c r="O31" s="190"/>
      <c r="P31" s="98" t="s">
        <v>129</v>
      </c>
    </row>
    <row r="32" spans="1:16" ht="12.75" customHeight="1" x14ac:dyDescent="0.25">
      <c r="A32" s="96"/>
    </row>
    <row r="33" spans="2:16" s="99" customFormat="1" ht="12.75" customHeight="1" x14ac:dyDescent="0.25">
      <c r="B33" s="96"/>
      <c r="C33" s="96"/>
      <c r="D33" s="96"/>
      <c r="E33" s="96"/>
      <c r="F33" s="96"/>
      <c r="G33" s="96"/>
      <c r="H33" s="96"/>
      <c r="I33" s="96"/>
      <c r="J33" s="96"/>
      <c r="K33" s="96"/>
      <c r="L33" s="96"/>
      <c r="M33" s="96"/>
      <c r="N33" s="96"/>
      <c r="O33" s="96"/>
      <c r="P33" s="96"/>
    </row>
  </sheetData>
  <mergeCells count="40">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31:G31"/>
    <mergeCell ref="H31:K31"/>
    <mergeCell ref="L31:O31"/>
    <mergeCell ref="B29:G29"/>
    <mergeCell ref="H29:K29"/>
    <mergeCell ref="L29:O29"/>
    <mergeCell ref="B30:G30"/>
    <mergeCell ref="H30:K30"/>
    <mergeCell ref="L30:O30"/>
  </mergeCells>
  <conditionalFormatting sqref="B9:B10">
    <cfRule type="cellIs" dxfId="89" priority="21" operator="equal">
      <formula>"Nok"</formula>
    </cfRule>
    <cfRule type="cellIs" dxfId="88" priority="22" operator="equal">
      <formula>"Ok"</formula>
    </cfRule>
  </conditionalFormatting>
  <conditionalFormatting sqref="P23:P27">
    <cfRule type="cellIs" dxfId="87" priority="7" operator="equal">
      <formula>"Nok"</formula>
    </cfRule>
    <cfRule type="cellIs" dxfId="86" priority="8" operator="equal">
      <formula>"Ok"</formula>
    </cfRule>
  </conditionalFormatting>
  <conditionalFormatting sqref="P31">
    <cfRule type="cellIs" dxfId="85" priority="5" operator="equal">
      <formula>"Nok"</formula>
    </cfRule>
    <cfRule type="cellIs" dxfId="84" priority="6" operator="equal">
      <formula>"Ok"</formula>
    </cfRule>
  </conditionalFormatting>
  <conditionalFormatting sqref="P28:P30">
    <cfRule type="cellIs" dxfId="83" priority="3" operator="equal">
      <formula>"Nok"</formula>
    </cfRule>
    <cfRule type="cellIs" dxfId="82" priority="4" operator="equal">
      <formula>"Ok"</formula>
    </cfRule>
  </conditionalFormatting>
  <conditionalFormatting sqref="P22">
    <cfRule type="cellIs" dxfId="81" priority="1" operator="equal">
      <formula>"Nok"</formula>
    </cfRule>
    <cfRule type="cellIs" dxfId="80" priority="2" operator="equal">
      <formula>"Ok"</formula>
    </cfRule>
  </conditionalFormatting>
  <dataValidations count="3">
    <dataValidation type="list" allowBlank="1" showInputMessage="1" showErrorMessage="1" sqref="P22:P31" xr:uid="{CA2C4A41-287D-496F-A07E-A75AE67A98A0}">
      <formula1>"Ok, Nok, Not run, ,"</formula1>
    </dataValidation>
    <dataValidation type="list" allowBlank="1" showInputMessage="1" showErrorMessage="1" sqref="B5" xr:uid="{4C0DC340-1318-4DE4-AA1E-0C08337BBE4A}">
      <formula1>"Nominal, Robustness, Endurance, Qualification"</formula1>
    </dataValidation>
    <dataValidation type="list" allowBlank="1" showInputMessage="1" showErrorMessage="1" sqref="B9" xr:uid="{7FB87A29-CE96-44CB-BC54-B24B2E1AA151}">
      <formula1>"Ok, Nok, Not run, NA"</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56321"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56321" r:id="rId4"/>
      </mc:Fallback>
    </mc:AlternateContent>
  </oleObjec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7E0B-DB2F-4768-B1A1-25ABE3A7BD06}">
  <sheetPr codeName="Sheet24"/>
  <dimension ref="A1:P28"/>
  <sheetViews>
    <sheetView workbookViewId="0">
      <selection activeCell="B1" sqref="B1:G1"/>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396</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382</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375</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50</v>
      </c>
      <c r="B22" s="187" t="s">
        <v>222</v>
      </c>
      <c r="C22" s="188"/>
      <c r="D22" s="188"/>
      <c r="E22" s="188"/>
      <c r="F22" s="188"/>
      <c r="G22" s="189"/>
      <c r="H22" s="190" t="s">
        <v>140</v>
      </c>
      <c r="I22" s="190"/>
      <c r="J22" s="190"/>
      <c r="K22" s="190"/>
      <c r="L22" s="190" t="s">
        <v>140</v>
      </c>
      <c r="M22" s="190"/>
      <c r="N22" s="190"/>
      <c r="O22" s="190"/>
      <c r="P22" s="98" t="s">
        <v>129</v>
      </c>
    </row>
    <row r="23" spans="1:16" ht="12.75" customHeight="1" x14ac:dyDescent="0.25">
      <c r="A23" s="103" t="s">
        <v>51</v>
      </c>
      <c r="B23" s="187" t="s">
        <v>225</v>
      </c>
      <c r="C23" s="188"/>
      <c r="D23" s="188"/>
      <c r="E23" s="188"/>
      <c r="F23" s="188"/>
      <c r="G23" s="189"/>
      <c r="H23" s="190" t="s">
        <v>224</v>
      </c>
      <c r="I23" s="190"/>
      <c r="J23" s="190"/>
      <c r="K23" s="190"/>
      <c r="L23" s="190" t="s">
        <v>224</v>
      </c>
      <c r="M23" s="190"/>
      <c r="N23" s="190"/>
      <c r="O23" s="190"/>
      <c r="P23" s="98" t="s">
        <v>129</v>
      </c>
    </row>
    <row r="24" spans="1:16" ht="29.25" customHeight="1" x14ac:dyDescent="0.25">
      <c r="A24" s="103" t="s">
        <v>52</v>
      </c>
      <c r="B24" s="187" t="s">
        <v>376</v>
      </c>
      <c r="C24" s="188"/>
      <c r="D24" s="188"/>
      <c r="E24" s="188"/>
      <c r="F24" s="188"/>
      <c r="G24" s="189"/>
      <c r="H24" s="190" t="s">
        <v>378</v>
      </c>
      <c r="I24" s="190"/>
      <c r="J24" s="190"/>
      <c r="K24" s="190"/>
      <c r="L24" s="190" t="s">
        <v>378</v>
      </c>
      <c r="M24" s="190"/>
      <c r="N24" s="190"/>
      <c r="O24" s="190"/>
      <c r="P24" s="98" t="s">
        <v>129</v>
      </c>
    </row>
    <row r="25" spans="1:16" ht="29.25" customHeight="1" x14ac:dyDescent="0.25">
      <c r="A25" s="103" t="s">
        <v>53</v>
      </c>
      <c r="B25" s="187" t="s">
        <v>377</v>
      </c>
      <c r="C25" s="188"/>
      <c r="D25" s="188"/>
      <c r="E25" s="188"/>
      <c r="F25" s="188"/>
      <c r="G25" s="189"/>
      <c r="H25" s="190" t="s">
        <v>379</v>
      </c>
      <c r="I25" s="190"/>
      <c r="J25" s="190"/>
      <c r="K25" s="190"/>
      <c r="L25" s="190" t="s">
        <v>380</v>
      </c>
      <c r="M25" s="190"/>
      <c r="N25" s="190"/>
      <c r="O25" s="190"/>
      <c r="P25" s="98" t="s">
        <v>129</v>
      </c>
    </row>
    <row r="26" spans="1:16" ht="29.25" customHeight="1" x14ac:dyDescent="0.25">
      <c r="A26" s="103" t="s">
        <v>54</v>
      </c>
      <c r="B26" s="187" t="s">
        <v>384</v>
      </c>
      <c r="C26" s="188"/>
      <c r="D26" s="188"/>
      <c r="E26" s="188"/>
      <c r="F26" s="188"/>
      <c r="G26" s="189"/>
      <c r="H26" s="190" t="s">
        <v>378</v>
      </c>
      <c r="I26" s="190"/>
      <c r="J26" s="190"/>
      <c r="K26" s="190"/>
      <c r="L26" s="190" t="s">
        <v>381</v>
      </c>
      <c r="M26" s="190"/>
      <c r="N26" s="190"/>
      <c r="O26" s="190"/>
      <c r="P26" s="98" t="s">
        <v>243</v>
      </c>
    </row>
    <row r="27" spans="1:16" ht="12.75" customHeight="1" x14ac:dyDescent="0.25">
      <c r="A27" s="96"/>
    </row>
    <row r="28" spans="1:16" s="99" customFormat="1" ht="12.75" customHeight="1" x14ac:dyDescent="0.25">
      <c r="B28" s="96"/>
      <c r="C28" s="96"/>
      <c r="D28" s="96"/>
      <c r="E28" s="96"/>
      <c r="F28" s="96"/>
      <c r="G28" s="96"/>
      <c r="H28" s="96"/>
      <c r="I28" s="96"/>
      <c r="J28" s="96"/>
      <c r="K28" s="96"/>
      <c r="L28" s="96"/>
      <c r="M28" s="96"/>
      <c r="N28" s="96"/>
      <c r="O28" s="96"/>
      <c r="P28" s="96"/>
    </row>
  </sheetData>
  <mergeCells count="25">
    <mergeCell ref="A11:A14"/>
    <mergeCell ref="B11:G14"/>
    <mergeCell ref="B26:G26"/>
    <mergeCell ref="H26:K26"/>
    <mergeCell ref="L26:O26"/>
    <mergeCell ref="A16:A19"/>
    <mergeCell ref="B16:G19"/>
    <mergeCell ref="B25:G25"/>
    <mergeCell ref="H25:K25"/>
    <mergeCell ref="L25:O25"/>
    <mergeCell ref="A21:G21"/>
    <mergeCell ref="H21:K21"/>
    <mergeCell ref="L21:O21"/>
    <mergeCell ref="B22:G22"/>
    <mergeCell ref="H22:K22"/>
    <mergeCell ref="L22:O22"/>
    <mergeCell ref="L23:O23"/>
    <mergeCell ref="B24:G24"/>
    <mergeCell ref="H24:K24"/>
    <mergeCell ref="L24:O24"/>
    <mergeCell ref="B1:G1"/>
    <mergeCell ref="B3:G3"/>
    <mergeCell ref="B7:G7"/>
    <mergeCell ref="B23:G23"/>
    <mergeCell ref="H23:K23"/>
  </mergeCells>
  <phoneticPr fontId="43" type="noConversion"/>
  <conditionalFormatting sqref="B9:B10">
    <cfRule type="cellIs" dxfId="79" priority="21" operator="equal">
      <formula>"Nok"</formula>
    </cfRule>
    <cfRule type="cellIs" dxfId="78" priority="22" operator="equal">
      <formula>"Ok"</formula>
    </cfRule>
  </conditionalFormatting>
  <conditionalFormatting sqref="P24">
    <cfRule type="cellIs" dxfId="77" priority="19" operator="equal">
      <formula>"Nok"</formula>
    </cfRule>
    <cfRule type="cellIs" dxfId="76" priority="20" operator="equal">
      <formula>"Ok"</formula>
    </cfRule>
  </conditionalFormatting>
  <conditionalFormatting sqref="P22:P23">
    <cfRule type="cellIs" dxfId="75" priority="7" operator="equal">
      <formula>"Nok"</formula>
    </cfRule>
    <cfRule type="cellIs" dxfId="74" priority="8" operator="equal">
      <formula>"Ok"</formula>
    </cfRule>
  </conditionalFormatting>
  <conditionalFormatting sqref="P25">
    <cfRule type="cellIs" dxfId="73" priority="5" operator="equal">
      <formula>"Nok"</formula>
    </cfRule>
    <cfRule type="cellIs" dxfId="72" priority="6" operator="equal">
      <formula>"Ok"</formula>
    </cfRule>
  </conditionalFormatting>
  <conditionalFormatting sqref="P26">
    <cfRule type="cellIs" dxfId="71" priority="1" operator="equal">
      <formula>"Nok"</formula>
    </cfRule>
    <cfRule type="cellIs" dxfId="70" priority="2" operator="equal">
      <formula>"Ok"</formula>
    </cfRule>
  </conditionalFormatting>
  <dataValidations count="3">
    <dataValidation type="list" allowBlank="1" showInputMessage="1" showErrorMessage="1" sqref="B9" xr:uid="{9EF7C6CC-CDF2-4586-BEEE-FF77F616B521}">
      <formula1>"Ok, Nok, Not run, NA"</formula1>
    </dataValidation>
    <dataValidation type="list" allowBlank="1" showInputMessage="1" showErrorMessage="1" sqref="B5" xr:uid="{619A2915-93DF-4E29-8AC8-691572C1E3E1}">
      <formula1>"Nominal, Robustness, Endurance, Qualification"</formula1>
    </dataValidation>
    <dataValidation type="list" allowBlank="1" showInputMessage="1" showErrorMessage="1" sqref="P22:P26" xr:uid="{05584246-7103-4000-9339-0E6F1D0DAE00}">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57345"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57345" r:id="rId4"/>
      </mc:Fallback>
    </mc:AlternateContent>
  </oleObjec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CFA94-CC9F-4F8D-8A5A-45143782316F}">
  <sheetPr codeName="Sheet25"/>
  <dimension ref="A1:P29"/>
  <sheetViews>
    <sheetView workbookViewId="0">
      <selection activeCell="O8" sqref="O8"/>
    </sheetView>
  </sheetViews>
  <sheetFormatPr defaultColWidth="9.109375" defaultRowHeight="13.2" x14ac:dyDescent="0.25"/>
  <cols>
    <col min="1" max="1" width="20.109375" style="99" customWidth="1"/>
    <col min="2" max="2" width="18.44140625" style="96" customWidth="1"/>
    <col min="3" max="6" width="9.109375" style="96"/>
    <col min="7" max="7" width="22.88671875" style="96" customWidth="1"/>
    <col min="8" max="15" width="9.5546875" style="96" customWidth="1"/>
    <col min="16" max="16384" width="9.109375" style="96"/>
  </cols>
  <sheetData>
    <row r="1" spans="1:15" ht="13.8" thickBot="1" x14ac:dyDescent="0.3">
      <c r="A1" s="100" t="s">
        <v>41</v>
      </c>
      <c r="B1" s="205" t="s">
        <v>365</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59.25" customHeight="1" thickBot="1" x14ac:dyDescent="0.3">
      <c r="A3" s="101" t="s">
        <v>46</v>
      </c>
      <c r="B3" s="208" t="s">
        <v>355</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356</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50</v>
      </c>
      <c r="B22" s="187" t="s">
        <v>222</v>
      </c>
      <c r="C22" s="188"/>
      <c r="D22" s="188"/>
      <c r="E22" s="188"/>
      <c r="F22" s="188"/>
      <c r="G22" s="189"/>
      <c r="H22" s="190" t="s">
        <v>140</v>
      </c>
      <c r="I22" s="190"/>
      <c r="J22" s="190"/>
      <c r="K22" s="190"/>
      <c r="L22" s="190" t="s">
        <v>140</v>
      </c>
      <c r="M22" s="190"/>
      <c r="N22" s="190"/>
      <c r="O22" s="190"/>
      <c r="P22" s="98" t="s">
        <v>129</v>
      </c>
    </row>
    <row r="23" spans="1:16" ht="12.75" customHeight="1" x14ac:dyDescent="0.25">
      <c r="A23" s="103" t="s">
        <v>51</v>
      </c>
      <c r="B23" s="187" t="s">
        <v>225</v>
      </c>
      <c r="C23" s="188"/>
      <c r="D23" s="188"/>
      <c r="E23" s="188"/>
      <c r="F23" s="188"/>
      <c r="G23" s="189"/>
      <c r="H23" s="190" t="s">
        <v>224</v>
      </c>
      <c r="I23" s="190"/>
      <c r="J23" s="190"/>
      <c r="K23" s="190"/>
      <c r="L23" s="190" t="s">
        <v>224</v>
      </c>
      <c r="M23" s="190"/>
      <c r="N23" s="190"/>
      <c r="O23" s="190"/>
      <c r="P23" s="98" t="s">
        <v>129</v>
      </c>
    </row>
    <row r="24" spans="1:16" ht="12.75" customHeight="1" x14ac:dyDescent="0.25">
      <c r="A24" s="103" t="s">
        <v>52</v>
      </c>
      <c r="B24" s="187" t="s">
        <v>357</v>
      </c>
      <c r="C24" s="188"/>
      <c r="D24" s="188"/>
      <c r="E24" s="188"/>
      <c r="F24" s="188"/>
      <c r="G24" s="189"/>
      <c r="H24" s="214"/>
      <c r="I24" s="215"/>
      <c r="J24" s="215"/>
      <c r="K24" s="216"/>
      <c r="L24" s="214"/>
      <c r="M24" s="215"/>
      <c r="N24" s="215"/>
      <c r="O24" s="216"/>
      <c r="P24" s="98" t="s">
        <v>129</v>
      </c>
    </row>
    <row r="25" spans="1:16" ht="12.75" customHeight="1" x14ac:dyDescent="0.25">
      <c r="A25" s="103" t="s">
        <v>53</v>
      </c>
      <c r="B25" s="187" t="s">
        <v>358</v>
      </c>
      <c r="C25" s="188"/>
      <c r="D25" s="188"/>
      <c r="E25" s="188"/>
      <c r="F25" s="188"/>
      <c r="G25" s="189"/>
      <c r="H25" s="190" t="s">
        <v>359</v>
      </c>
      <c r="I25" s="190"/>
      <c r="J25" s="190"/>
      <c r="K25" s="190"/>
      <c r="L25" s="190" t="s">
        <v>359</v>
      </c>
      <c r="M25" s="190"/>
      <c r="N25" s="190"/>
      <c r="O25" s="190"/>
      <c r="P25" s="98" t="s">
        <v>129</v>
      </c>
    </row>
    <row r="26" spans="1:16" ht="12.75" customHeight="1" x14ac:dyDescent="0.25">
      <c r="A26" s="103" t="s">
        <v>54</v>
      </c>
      <c r="B26" s="187" t="s">
        <v>360</v>
      </c>
      <c r="C26" s="188"/>
      <c r="D26" s="188"/>
      <c r="E26" s="188"/>
      <c r="F26" s="188"/>
      <c r="G26" s="189"/>
      <c r="H26" s="190" t="s">
        <v>361</v>
      </c>
      <c r="I26" s="190"/>
      <c r="J26" s="190"/>
      <c r="K26" s="190"/>
      <c r="L26" s="190" t="s">
        <v>361</v>
      </c>
      <c r="M26" s="190"/>
      <c r="N26" s="190"/>
      <c r="O26" s="190"/>
      <c r="P26" s="98" t="s">
        <v>129</v>
      </c>
    </row>
    <row r="27" spans="1:16" ht="12.75" customHeight="1" x14ac:dyDescent="0.25">
      <c r="A27" s="103" t="s">
        <v>55</v>
      </c>
      <c r="B27" s="187" t="s">
        <v>225</v>
      </c>
      <c r="C27" s="188"/>
      <c r="D27" s="188"/>
      <c r="E27" s="188"/>
      <c r="F27" s="188"/>
      <c r="G27" s="189"/>
      <c r="H27" s="190" t="s">
        <v>224</v>
      </c>
      <c r="I27" s="190"/>
      <c r="J27" s="190"/>
      <c r="K27" s="190"/>
      <c r="L27" s="190" t="s">
        <v>224</v>
      </c>
      <c r="M27" s="190"/>
      <c r="N27" s="190"/>
      <c r="O27" s="190"/>
      <c r="P27" s="98" t="s">
        <v>129</v>
      </c>
    </row>
    <row r="28" spans="1:16" ht="12.75" customHeight="1" x14ac:dyDescent="0.25">
      <c r="A28" s="103" t="s">
        <v>56</v>
      </c>
      <c r="B28" s="187" t="s">
        <v>362</v>
      </c>
      <c r="C28" s="188"/>
      <c r="D28" s="188"/>
      <c r="E28" s="188"/>
      <c r="F28" s="188"/>
      <c r="G28" s="189"/>
      <c r="H28" s="190" t="s">
        <v>363</v>
      </c>
      <c r="I28" s="190"/>
      <c r="J28" s="190"/>
      <c r="K28" s="190"/>
      <c r="L28" s="190" t="s">
        <v>363</v>
      </c>
      <c r="M28" s="190"/>
      <c r="N28" s="190"/>
      <c r="O28" s="190"/>
      <c r="P28" s="98" t="s">
        <v>129</v>
      </c>
    </row>
    <row r="29" spans="1:16" ht="12.75" customHeight="1" x14ac:dyDescent="0.25">
      <c r="A29" s="103" t="s">
        <v>57</v>
      </c>
      <c r="B29" s="187" t="s">
        <v>364</v>
      </c>
      <c r="C29" s="188"/>
      <c r="D29" s="188"/>
      <c r="E29" s="188"/>
      <c r="F29" s="188"/>
      <c r="G29" s="189"/>
      <c r="H29" s="190" t="s">
        <v>359</v>
      </c>
      <c r="I29" s="190"/>
      <c r="J29" s="190"/>
      <c r="K29" s="190"/>
      <c r="L29" s="190" t="s">
        <v>359</v>
      </c>
      <c r="M29" s="190"/>
      <c r="N29" s="190"/>
      <c r="O29" s="190"/>
      <c r="P29" s="98" t="s">
        <v>129</v>
      </c>
    </row>
  </sheetData>
  <mergeCells count="34">
    <mergeCell ref="B29:G29"/>
    <mergeCell ref="H29:K29"/>
    <mergeCell ref="L29:O29"/>
    <mergeCell ref="B27:G27"/>
    <mergeCell ref="H27:K27"/>
    <mergeCell ref="L27:O27"/>
    <mergeCell ref="B28:G28"/>
    <mergeCell ref="H28:K28"/>
    <mergeCell ref="L28:O28"/>
    <mergeCell ref="B25:G25"/>
    <mergeCell ref="H25:K25"/>
    <mergeCell ref="L25:O25"/>
    <mergeCell ref="B26:G26"/>
    <mergeCell ref="H26:K26"/>
    <mergeCell ref="L26:O26"/>
    <mergeCell ref="B24:G24"/>
    <mergeCell ref="H24:K24"/>
    <mergeCell ref="L24:O24"/>
    <mergeCell ref="A21:G21"/>
    <mergeCell ref="H21:K21"/>
    <mergeCell ref="L21:O21"/>
    <mergeCell ref="B22:G22"/>
    <mergeCell ref="H22:K22"/>
    <mergeCell ref="L22:O22"/>
    <mergeCell ref="B23:G23"/>
    <mergeCell ref="H23:K23"/>
    <mergeCell ref="L23:O23"/>
    <mergeCell ref="A16:A19"/>
    <mergeCell ref="B16:G19"/>
    <mergeCell ref="B1:G1"/>
    <mergeCell ref="B3:G3"/>
    <mergeCell ref="B7:G7"/>
    <mergeCell ref="A11:A14"/>
    <mergeCell ref="B11:G14"/>
  </mergeCells>
  <phoneticPr fontId="43" type="noConversion"/>
  <conditionalFormatting sqref="B9:B10">
    <cfRule type="cellIs" dxfId="69" priority="17" operator="equal">
      <formula>"Nok"</formula>
    </cfRule>
    <cfRule type="cellIs" dxfId="68" priority="18" operator="equal">
      <formula>"Ok"</formula>
    </cfRule>
  </conditionalFormatting>
  <conditionalFormatting sqref="P24">
    <cfRule type="cellIs" dxfId="67" priority="15" operator="equal">
      <formula>"Nok"</formula>
    </cfRule>
    <cfRule type="cellIs" dxfId="66" priority="16" operator="equal">
      <formula>"Ok"</formula>
    </cfRule>
  </conditionalFormatting>
  <conditionalFormatting sqref="P22:P23">
    <cfRule type="cellIs" dxfId="65" priority="11" operator="equal">
      <formula>"Nok"</formula>
    </cfRule>
    <cfRule type="cellIs" dxfId="64" priority="12" operator="equal">
      <formula>"Ok"</formula>
    </cfRule>
  </conditionalFormatting>
  <conditionalFormatting sqref="P25">
    <cfRule type="cellIs" dxfId="63" priority="9" operator="equal">
      <formula>"Nok"</formula>
    </cfRule>
    <cfRule type="cellIs" dxfId="62" priority="10" operator="equal">
      <formula>"Ok"</formula>
    </cfRule>
  </conditionalFormatting>
  <conditionalFormatting sqref="P26">
    <cfRule type="cellIs" dxfId="61" priority="7" operator="equal">
      <formula>"Nok"</formula>
    </cfRule>
    <cfRule type="cellIs" dxfId="60" priority="8" operator="equal">
      <formula>"Ok"</formula>
    </cfRule>
  </conditionalFormatting>
  <conditionalFormatting sqref="P27">
    <cfRule type="cellIs" dxfId="59" priority="5" operator="equal">
      <formula>"Nok"</formula>
    </cfRule>
    <cfRule type="cellIs" dxfId="58" priority="6" operator="equal">
      <formula>"Ok"</formula>
    </cfRule>
  </conditionalFormatting>
  <conditionalFormatting sqref="P28">
    <cfRule type="cellIs" dxfId="57" priority="3" operator="equal">
      <formula>"Nok"</formula>
    </cfRule>
    <cfRule type="cellIs" dxfId="56" priority="4" operator="equal">
      <formula>"Ok"</formula>
    </cfRule>
  </conditionalFormatting>
  <conditionalFormatting sqref="P29">
    <cfRule type="cellIs" dxfId="55" priority="1" operator="equal">
      <formula>"Nok"</formula>
    </cfRule>
    <cfRule type="cellIs" dxfId="54" priority="2" operator="equal">
      <formula>"Ok"</formula>
    </cfRule>
  </conditionalFormatting>
  <dataValidations count="3">
    <dataValidation type="list" allowBlank="1" showInputMessage="1" showErrorMessage="1" sqref="B9" xr:uid="{ED9A091D-003D-4E22-929F-E418C71D7735}">
      <formula1>"Ok, Nok, Not run, NA"</formula1>
    </dataValidation>
    <dataValidation type="list" allowBlank="1" showInputMessage="1" showErrorMessage="1" sqref="B5" xr:uid="{ABB03D95-9C8B-4FD5-A11E-BBDC31C59D28}">
      <formula1>"Nominal, Robustness, Endurance, Qualification"</formula1>
    </dataValidation>
    <dataValidation type="list" allowBlank="1" showInputMessage="1" showErrorMessage="1" sqref="P22:P29" xr:uid="{7A5A96AA-78B1-49C1-9F71-519D4153D2DA}">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60417" r:id="rId4">
          <objectPr defaultSize="0" r:id="rId5">
            <anchor moveWithCells="1">
              <from>
                <xdr:col>7</xdr:col>
                <xdr:colOff>7620</xdr:colOff>
                <xdr:row>1</xdr:row>
                <xdr:rowOff>144780</xdr:rowOff>
              </from>
              <to>
                <xdr:col>8</xdr:col>
                <xdr:colOff>518160</xdr:colOff>
                <xdr:row>2</xdr:row>
                <xdr:rowOff>487680</xdr:rowOff>
              </to>
            </anchor>
          </objectPr>
        </oleObject>
      </mc:Choice>
      <mc:Fallback>
        <oleObject progId="Packager Shell Object" shapeId="60417" r:id="rId4"/>
      </mc:Fallback>
    </mc:AlternateContent>
  </oleObjec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D2E7B-975E-4E4B-A411-DD6F80CD0D35}">
  <sheetPr codeName="Sheet26"/>
  <dimension ref="A1:P33"/>
  <sheetViews>
    <sheetView workbookViewId="0">
      <selection activeCell="M14" sqref="M14"/>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366</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374</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367</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27" customHeight="1" x14ac:dyDescent="0.25">
      <c r="A22" s="103" t="s">
        <v>50</v>
      </c>
      <c r="B22" s="187" t="s">
        <v>223</v>
      </c>
      <c r="C22" s="188"/>
      <c r="D22" s="188"/>
      <c r="E22" s="188"/>
      <c r="F22" s="188"/>
      <c r="G22" s="189"/>
      <c r="H22" s="187"/>
      <c r="I22" s="188"/>
      <c r="J22" s="188"/>
      <c r="K22" s="189"/>
      <c r="L22" s="187"/>
      <c r="M22" s="188"/>
      <c r="N22" s="188"/>
      <c r="O22" s="189"/>
      <c r="P22" s="98"/>
    </row>
    <row r="23" spans="1:16" ht="12.75" customHeight="1" x14ac:dyDescent="0.25">
      <c r="A23" s="103" t="s">
        <v>51</v>
      </c>
      <c r="B23" s="187" t="s">
        <v>222</v>
      </c>
      <c r="C23" s="188"/>
      <c r="D23" s="188"/>
      <c r="E23" s="188"/>
      <c r="F23" s="188"/>
      <c r="G23" s="189"/>
      <c r="H23" s="190" t="s">
        <v>140</v>
      </c>
      <c r="I23" s="190"/>
      <c r="J23" s="190"/>
      <c r="K23" s="190"/>
      <c r="L23" s="190" t="s">
        <v>140</v>
      </c>
      <c r="M23" s="190"/>
      <c r="N23" s="190"/>
      <c r="O23" s="190"/>
      <c r="P23" s="98" t="s">
        <v>129</v>
      </c>
    </row>
    <row r="24" spans="1:16" ht="12.75" customHeight="1" x14ac:dyDescent="0.25">
      <c r="A24" s="103" t="s">
        <v>52</v>
      </c>
      <c r="B24" s="187" t="s">
        <v>225</v>
      </c>
      <c r="C24" s="188"/>
      <c r="D24" s="188"/>
      <c r="E24" s="188"/>
      <c r="F24" s="188"/>
      <c r="G24" s="189"/>
      <c r="H24" s="190" t="s">
        <v>224</v>
      </c>
      <c r="I24" s="190"/>
      <c r="J24" s="190"/>
      <c r="K24" s="190"/>
      <c r="L24" s="190" t="s">
        <v>224</v>
      </c>
      <c r="M24" s="190"/>
      <c r="N24" s="190"/>
      <c r="O24" s="190"/>
      <c r="P24" s="98" t="s">
        <v>129</v>
      </c>
    </row>
    <row r="25" spans="1:16" ht="40.5" customHeight="1" x14ac:dyDescent="0.25">
      <c r="A25" s="103" t="s">
        <v>53</v>
      </c>
      <c r="B25" s="187" t="s">
        <v>370</v>
      </c>
      <c r="C25" s="188"/>
      <c r="D25" s="188"/>
      <c r="E25" s="188"/>
      <c r="F25" s="188"/>
      <c r="G25" s="189"/>
      <c r="H25" s="190" t="s">
        <v>368</v>
      </c>
      <c r="I25" s="190"/>
      <c r="J25" s="190"/>
      <c r="K25" s="190"/>
      <c r="L25" s="190" t="s">
        <v>368</v>
      </c>
      <c r="M25" s="190"/>
      <c r="N25" s="190"/>
      <c r="O25" s="190"/>
      <c r="P25" s="98" t="s">
        <v>129</v>
      </c>
    </row>
    <row r="26" spans="1:16" ht="14.25" customHeight="1" x14ac:dyDescent="0.25">
      <c r="A26" s="103" t="s">
        <v>54</v>
      </c>
      <c r="B26" s="187" t="s">
        <v>369</v>
      </c>
      <c r="C26" s="188"/>
      <c r="D26" s="188"/>
      <c r="E26" s="188"/>
      <c r="F26" s="188"/>
      <c r="G26" s="189"/>
      <c r="H26" s="190" t="s">
        <v>371</v>
      </c>
      <c r="I26" s="190"/>
      <c r="J26" s="190"/>
      <c r="K26" s="190"/>
      <c r="L26" s="190" t="s">
        <v>371</v>
      </c>
      <c r="M26" s="190"/>
      <c r="N26" s="190"/>
      <c r="O26" s="190"/>
      <c r="P26" s="98" t="s">
        <v>129</v>
      </c>
    </row>
    <row r="27" spans="1:16" ht="12.75" customHeight="1" x14ac:dyDescent="0.25">
      <c r="A27" s="103" t="s">
        <v>55</v>
      </c>
      <c r="B27" s="187" t="s">
        <v>226</v>
      </c>
      <c r="C27" s="188"/>
      <c r="D27" s="188"/>
      <c r="E27" s="188"/>
      <c r="F27" s="188"/>
      <c r="G27" s="189"/>
      <c r="H27" s="190" t="s">
        <v>153</v>
      </c>
      <c r="I27" s="190"/>
      <c r="J27" s="190"/>
      <c r="K27" s="190"/>
      <c r="L27" s="190" t="s">
        <v>153</v>
      </c>
      <c r="M27" s="190"/>
      <c r="N27" s="190"/>
      <c r="O27" s="190"/>
      <c r="P27" s="98" t="s">
        <v>129</v>
      </c>
    </row>
    <row r="28" spans="1:16" ht="12.75" customHeight="1" x14ac:dyDescent="0.25">
      <c r="A28" s="103" t="s">
        <v>56</v>
      </c>
      <c r="B28" s="187" t="s">
        <v>222</v>
      </c>
      <c r="C28" s="188"/>
      <c r="D28" s="188"/>
      <c r="E28" s="188"/>
      <c r="F28" s="188"/>
      <c r="G28" s="189"/>
      <c r="H28" s="190" t="s">
        <v>140</v>
      </c>
      <c r="I28" s="190"/>
      <c r="J28" s="190"/>
      <c r="K28" s="190"/>
      <c r="L28" s="190" t="s">
        <v>140</v>
      </c>
      <c r="M28" s="190"/>
      <c r="N28" s="190"/>
      <c r="O28" s="190"/>
      <c r="P28" s="98" t="s">
        <v>129</v>
      </c>
    </row>
    <row r="29" spans="1:16" ht="12.75" customHeight="1" x14ac:dyDescent="0.25">
      <c r="A29" s="103" t="s">
        <v>57</v>
      </c>
      <c r="B29" s="187" t="s">
        <v>225</v>
      </c>
      <c r="C29" s="188"/>
      <c r="D29" s="188"/>
      <c r="E29" s="188"/>
      <c r="F29" s="188"/>
      <c r="G29" s="189"/>
      <c r="H29" s="190" t="s">
        <v>142</v>
      </c>
      <c r="I29" s="190"/>
      <c r="J29" s="190"/>
      <c r="K29" s="190"/>
      <c r="L29" s="190" t="s">
        <v>142</v>
      </c>
      <c r="M29" s="190"/>
      <c r="N29" s="190"/>
      <c r="O29" s="190"/>
      <c r="P29" s="98" t="s">
        <v>129</v>
      </c>
    </row>
    <row r="30" spans="1:16" ht="12.75" customHeight="1" x14ac:dyDescent="0.25">
      <c r="A30" s="103" t="s">
        <v>58</v>
      </c>
      <c r="B30" s="187" t="s">
        <v>369</v>
      </c>
      <c r="C30" s="188"/>
      <c r="D30" s="188"/>
      <c r="E30" s="188"/>
      <c r="F30" s="188"/>
      <c r="G30" s="189"/>
      <c r="H30" s="190" t="s">
        <v>371</v>
      </c>
      <c r="I30" s="190"/>
      <c r="J30" s="190"/>
      <c r="K30" s="190"/>
      <c r="L30" s="190" t="s">
        <v>371</v>
      </c>
      <c r="M30" s="190"/>
      <c r="N30" s="190"/>
      <c r="O30" s="190"/>
      <c r="P30" s="98" t="s">
        <v>129</v>
      </c>
    </row>
    <row r="31" spans="1:16" ht="43.5" customHeight="1" x14ac:dyDescent="0.25">
      <c r="A31" s="103" t="s">
        <v>136</v>
      </c>
      <c r="B31" s="187" t="s">
        <v>372</v>
      </c>
      <c r="C31" s="188"/>
      <c r="D31" s="188"/>
      <c r="E31" s="188"/>
      <c r="F31" s="188"/>
      <c r="G31" s="189"/>
      <c r="H31" s="190" t="s">
        <v>373</v>
      </c>
      <c r="I31" s="190"/>
      <c r="J31" s="190"/>
      <c r="K31" s="190"/>
      <c r="L31" s="190" t="s">
        <v>373</v>
      </c>
      <c r="M31" s="190"/>
      <c r="N31" s="190"/>
      <c r="O31" s="190"/>
      <c r="P31" s="98" t="s">
        <v>129</v>
      </c>
    </row>
    <row r="32" spans="1:16" ht="12.75" customHeight="1" x14ac:dyDescent="0.25">
      <c r="A32" s="96"/>
    </row>
    <row r="33" spans="2:16" s="99" customFormat="1" ht="12.75" customHeight="1" x14ac:dyDescent="0.25">
      <c r="B33" s="96"/>
      <c r="C33" s="96"/>
      <c r="D33" s="96"/>
      <c r="E33" s="96"/>
      <c r="F33" s="96"/>
      <c r="G33" s="96"/>
      <c r="H33" s="96"/>
      <c r="I33" s="96"/>
      <c r="J33" s="96"/>
      <c r="K33" s="96"/>
      <c r="L33" s="96"/>
      <c r="M33" s="96"/>
      <c r="N33" s="96"/>
      <c r="O33" s="96"/>
      <c r="P33" s="96"/>
    </row>
  </sheetData>
  <mergeCells count="40">
    <mergeCell ref="B31:G31"/>
    <mergeCell ref="H31:K31"/>
    <mergeCell ref="L31:O31"/>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53" priority="9" operator="equal">
      <formula>"Nok"</formula>
    </cfRule>
    <cfRule type="cellIs" dxfId="52" priority="10" operator="equal">
      <formula>"Ok"</formula>
    </cfRule>
  </conditionalFormatting>
  <conditionalFormatting sqref="P23:P27">
    <cfRule type="cellIs" dxfId="51" priority="7" operator="equal">
      <formula>"Nok"</formula>
    </cfRule>
    <cfRule type="cellIs" dxfId="50" priority="8" operator="equal">
      <formula>"Ok"</formula>
    </cfRule>
  </conditionalFormatting>
  <conditionalFormatting sqref="P31">
    <cfRule type="cellIs" dxfId="49" priority="5" operator="equal">
      <formula>"Nok"</formula>
    </cfRule>
    <cfRule type="cellIs" dxfId="48" priority="6" operator="equal">
      <formula>"Ok"</formula>
    </cfRule>
  </conditionalFormatting>
  <conditionalFormatting sqref="P28:P30">
    <cfRule type="cellIs" dxfId="47" priority="3" operator="equal">
      <formula>"Nok"</formula>
    </cfRule>
    <cfRule type="cellIs" dxfId="46" priority="4" operator="equal">
      <formula>"Ok"</formula>
    </cfRule>
  </conditionalFormatting>
  <conditionalFormatting sqref="P22">
    <cfRule type="cellIs" dxfId="45" priority="1" operator="equal">
      <formula>"Nok"</formula>
    </cfRule>
    <cfRule type="cellIs" dxfId="44" priority="2" operator="equal">
      <formula>"Ok"</formula>
    </cfRule>
  </conditionalFormatting>
  <dataValidations count="3">
    <dataValidation type="list" allowBlank="1" showInputMessage="1" showErrorMessage="1" sqref="B9" xr:uid="{E9187A05-A084-4E0C-9302-9B06AEA274F2}">
      <formula1>"Ok, Nok, Not run, NA"</formula1>
    </dataValidation>
    <dataValidation type="list" allowBlank="1" showInputMessage="1" showErrorMessage="1" sqref="B5" xr:uid="{C4BCB9E6-0595-4DC1-ADF3-139EF40D5DE7}">
      <formula1>"Nominal, Robustness, Endurance, Qualification"</formula1>
    </dataValidation>
    <dataValidation type="list" allowBlank="1" showInputMessage="1" showErrorMessage="1" sqref="P22:P31" xr:uid="{70D1FDF6-2359-4897-ADF6-8B1EFB6C6336}">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61441"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61441" r:id="rId4"/>
      </mc:Fallback>
    </mc:AlternateContent>
  </oleObjec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7F1AE-A060-4C8E-9B0C-DDC7B64CA106}">
  <sheetPr codeName="Sheet27"/>
  <dimension ref="A1:P30"/>
  <sheetViews>
    <sheetView workbookViewId="0">
      <selection activeCell="B1" sqref="B1:G1"/>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397</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388</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383</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50</v>
      </c>
      <c r="B22" s="187" t="s">
        <v>222</v>
      </c>
      <c r="C22" s="188"/>
      <c r="D22" s="188"/>
      <c r="E22" s="188"/>
      <c r="F22" s="188"/>
      <c r="G22" s="189"/>
      <c r="H22" s="190" t="s">
        <v>140</v>
      </c>
      <c r="I22" s="190"/>
      <c r="J22" s="190"/>
      <c r="K22" s="190"/>
      <c r="L22" s="190" t="s">
        <v>140</v>
      </c>
      <c r="M22" s="190"/>
      <c r="N22" s="190"/>
      <c r="O22" s="190"/>
      <c r="P22" s="98" t="s">
        <v>129</v>
      </c>
    </row>
    <row r="23" spans="1:16" ht="12.75" customHeight="1" x14ac:dyDescent="0.25">
      <c r="A23" s="103" t="s">
        <v>51</v>
      </c>
      <c r="B23" s="187" t="s">
        <v>225</v>
      </c>
      <c r="C23" s="188"/>
      <c r="D23" s="188"/>
      <c r="E23" s="188"/>
      <c r="F23" s="188"/>
      <c r="G23" s="189"/>
      <c r="H23" s="190" t="s">
        <v>224</v>
      </c>
      <c r="I23" s="190"/>
      <c r="J23" s="190"/>
      <c r="K23" s="190"/>
      <c r="L23" s="190" t="s">
        <v>224</v>
      </c>
      <c r="M23" s="190"/>
      <c r="N23" s="190"/>
      <c r="O23" s="190"/>
      <c r="P23" s="98" t="s">
        <v>129</v>
      </c>
    </row>
    <row r="24" spans="1:16" ht="12.75" customHeight="1" x14ac:dyDescent="0.25">
      <c r="A24" s="103" t="s">
        <v>51</v>
      </c>
      <c r="B24" s="187" t="s">
        <v>235</v>
      </c>
      <c r="C24" s="188"/>
      <c r="D24" s="188"/>
      <c r="E24" s="188"/>
      <c r="F24" s="188"/>
      <c r="G24" s="189"/>
      <c r="H24" s="190" t="s">
        <v>273</v>
      </c>
      <c r="I24" s="190"/>
      <c r="J24" s="190"/>
      <c r="K24" s="190"/>
      <c r="L24" s="190" t="s">
        <v>273</v>
      </c>
      <c r="M24" s="190"/>
      <c r="N24" s="190"/>
      <c r="O24" s="190"/>
      <c r="P24" s="98" t="s">
        <v>129</v>
      </c>
    </row>
    <row r="25" spans="1:16" ht="29.25" customHeight="1" x14ac:dyDescent="0.25">
      <c r="A25" s="103" t="s">
        <v>52</v>
      </c>
      <c r="B25" s="187" t="s">
        <v>385</v>
      </c>
      <c r="C25" s="188"/>
      <c r="D25" s="188"/>
      <c r="E25" s="188"/>
      <c r="F25" s="188"/>
      <c r="G25" s="189"/>
      <c r="H25" s="190" t="s">
        <v>378</v>
      </c>
      <c r="I25" s="190"/>
      <c r="J25" s="190"/>
      <c r="K25" s="190"/>
      <c r="L25" s="190" t="s">
        <v>378</v>
      </c>
      <c r="M25" s="190"/>
      <c r="N25" s="190"/>
      <c r="O25" s="190"/>
      <c r="P25" s="98" t="s">
        <v>129</v>
      </c>
    </row>
    <row r="26" spans="1:16" ht="29.25" customHeight="1" x14ac:dyDescent="0.25">
      <c r="A26" s="103" t="s">
        <v>53</v>
      </c>
      <c r="B26" s="187" t="s">
        <v>377</v>
      </c>
      <c r="C26" s="188"/>
      <c r="D26" s="188"/>
      <c r="E26" s="188"/>
      <c r="F26" s="188"/>
      <c r="G26" s="189"/>
      <c r="H26" s="190" t="s">
        <v>379</v>
      </c>
      <c r="I26" s="190"/>
      <c r="J26" s="190"/>
      <c r="K26" s="190"/>
      <c r="L26" s="190" t="s">
        <v>380</v>
      </c>
      <c r="M26" s="190"/>
      <c r="N26" s="190"/>
      <c r="O26" s="190"/>
      <c r="P26" s="98" t="s">
        <v>129</v>
      </c>
    </row>
    <row r="27" spans="1:16" ht="29.25" customHeight="1" x14ac:dyDescent="0.25">
      <c r="A27" s="103" t="s">
        <v>54</v>
      </c>
      <c r="B27" s="187" t="s">
        <v>386</v>
      </c>
      <c r="C27" s="188"/>
      <c r="D27" s="188"/>
      <c r="E27" s="188"/>
      <c r="F27" s="188"/>
      <c r="G27" s="189"/>
      <c r="H27" s="190" t="s">
        <v>389</v>
      </c>
      <c r="I27" s="190"/>
      <c r="J27" s="190"/>
      <c r="K27" s="190"/>
      <c r="L27" s="190" t="s">
        <v>387</v>
      </c>
      <c r="M27" s="190"/>
      <c r="N27" s="190"/>
      <c r="O27" s="190"/>
      <c r="P27" s="98" t="s">
        <v>243</v>
      </c>
    </row>
    <row r="28" spans="1:16" ht="29.25" customHeight="1" x14ac:dyDescent="0.25">
      <c r="A28" s="103" t="s">
        <v>54</v>
      </c>
      <c r="B28" s="187" t="s">
        <v>392</v>
      </c>
      <c r="C28" s="188"/>
      <c r="D28" s="188"/>
      <c r="E28" s="188"/>
      <c r="F28" s="188"/>
      <c r="G28" s="189"/>
      <c r="H28" s="190" t="s">
        <v>378</v>
      </c>
      <c r="I28" s="190"/>
      <c r="J28" s="190"/>
      <c r="K28" s="190"/>
      <c r="L28" s="190" t="s">
        <v>381</v>
      </c>
      <c r="M28" s="190"/>
      <c r="N28" s="190"/>
      <c r="O28" s="190"/>
      <c r="P28" s="98" t="s">
        <v>243</v>
      </c>
    </row>
    <row r="29" spans="1:16" ht="12.75" customHeight="1" x14ac:dyDescent="0.25">
      <c r="A29" s="96"/>
    </row>
    <row r="30" spans="1:16" s="99" customFormat="1" ht="12.75" customHeight="1" x14ac:dyDescent="0.25">
      <c r="B30" s="96"/>
      <c r="C30" s="96"/>
      <c r="D30" s="96"/>
      <c r="E30" s="96"/>
      <c r="F30" s="96"/>
      <c r="G30" s="96"/>
      <c r="H30" s="96"/>
      <c r="I30" s="96"/>
      <c r="J30" s="96"/>
      <c r="K30" s="96"/>
      <c r="L30" s="96"/>
      <c r="M30" s="96"/>
      <c r="N30" s="96"/>
      <c r="O30" s="96"/>
      <c r="P30" s="96"/>
    </row>
  </sheetData>
  <mergeCells count="31">
    <mergeCell ref="B26:G26"/>
    <mergeCell ref="H26:K26"/>
    <mergeCell ref="L26:O26"/>
    <mergeCell ref="B28:G28"/>
    <mergeCell ref="H28:K28"/>
    <mergeCell ref="L28:O28"/>
    <mergeCell ref="B27:G27"/>
    <mergeCell ref="H27:K27"/>
    <mergeCell ref="L27:O27"/>
    <mergeCell ref="B23:G23"/>
    <mergeCell ref="H23:K23"/>
    <mergeCell ref="L23:O23"/>
    <mergeCell ref="B25:G25"/>
    <mergeCell ref="H25:K25"/>
    <mergeCell ref="L25:O25"/>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43" priority="15" operator="equal">
      <formula>"Nok"</formula>
    </cfRule>
    <cfRule type="cellIs" dxfId="42" priority="16" operator="equal">
      <formula>"Ok"</formula>
    </cfRule>
  </conditionalFormatting>
  <conditionalFormatting sqref="P25">
    <cfRule type="cellIs" dxfId="41" priority="13" operator="equal">
      <formula>"Nok"</formula>
    </cfRule>
    <cfRule type="cellIs" dxfId="40" priority="14" operator="equal">
      <formula>"Ok"</formula>
    </cfRule>
  </conditionalFormatting>
  <conditionalFormatting sqref="P22:P23">
    <cfRule type="cellIs" dxfId="39" priority="11" operator="equal">
      <formula>"Nok"</formula>
    </cfRule>
    <cfRule type="cellIs" dxfId="38" priority="12" operator="equal">
      <formula>"Ok"</formula>
    </cfRule>
  </conditionalFormatting>
  <conditionalFormatting sqref="P26">
    <cfRule type="cellIs" dxfId="37" priority="9" operator="equal">
      <formula>"Nok"</formula>
    </cfRule>
    <cfRule type="cellIs" dxfId="36" priority="10" operator="equal">
      <formula>"Ok"</formula>
    </cfRule>
  </conditionalFormatting>
  <conditionalFormatting sqref="P27">
    <cfRule type="cellIs" dxfId="35" priority="5" operator="equal">
      <formula>"Nok"</formula>
    </cfRule>
    <cfRule type="cellIs" dxfId="34" priority="6" operator="equal">
      <formula>"Ok"</formula>
    </cfRule>
  </conditionalFormatting>
  <conditionalFormatting sqref="P24">
    <cfRule type="cellIs" dxfId="33" priority="3" operator="equal">
      <formula>"Nok"</formula>
    </cfRule>
    <cfRule type="cellIs" dxfId="32" priority="4" operator="equal">
      <formula>"Ok"</formula>
    </cfRule>
  </conditionalFormatting>
  <conditionalFormatting sqref="P28">
    <cfRule type="cellIs" dxfId="31" priority="1" operator="equal">
      <formula>"Nok"</formula>
    </cfRule>
    <cfRule type="cellIs" dxfId="30" priority="2" operator="equal">
      <formula>"Ok"</formula>
    </cfRule>
  </conditionalFormatting>
  <dataValidations count="3">
    <dataValidation type="list" allowBlank="1" showInputMessage="1" showErrorMessage="1" sqref="B5" xr:uid="{61149A54-E3E7-49D7-8439-46169540E150}">
      <formula1>"Nominal, Robustness, Endurance, Qualification"</formula1>
    </dataValidation>
    <dataValidation type="list" allowBlank="1" showInputMessage="1" showErrorMessage="1" sqref="B9" xr:uid="{5628820B-D684-4943-94B9-357248AE9498}">
      <formula1>"Ok, Nok, Not run, NA"</formula1>
    </dataValidation>
    <dataValidation type="list" allowBlank="1" showInputMessage="1" showErrorMessage="1" sqref="P22:P28" xr:uid="{AFFB4F2A-BF8E-45F4-BC07-C0052C997F00}">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63489"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63489" r:id="rId4"/>
      </mc:Fallback>
    </mc:AlternateContent>
  </oleObjec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21127-2F02-42C5-9078-8BC8E12D62F3}">
  <sheetPr codeName="Sheet28"/>
  <dimension ref="A1:P30"/>
  <sheetViews>
    <sheetView workbookViewId="0">
      <selection activeCell="B1" sqref="B1:G1"/>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398</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395</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390</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50</v>
      </c>
      <c r="B22" s="187" t="s">
        <v>222</v>
      </c>
      <c r="C22" s="188"/>
      <c r="D22" s="188"/>
      <c r="E22" s="188"/>
      <c r="F22" s="188"/>
      <c r="G22" s="189"/>
      <c r="H22" s="190" t="s">
        <v>140</v>
      </c>
      <c r="I22" s="190"/>
      <c r="J22" s="190"/>
      <c r="K22" s="190"/>
      <c r="L22" s="190" t="s">
        <v>140</v>
      </c>
      <c r="M22" s="190"/>
      <c r="N22" s="190"/>
      <c r="O22" s="190"/>
      <c r="P22" s="98" t="s">
        <v>129</v>
      </c>
    </row>
    <row r="23" spans="1:16" ht="12.75" customHeight="1" x14ac:dyDescent="0.25">
      <c r="A23" s="103" t="s">
        <v>51</v>
      </c>
      <c r="B23" s="187" t="s">
        <v>225</v>
      </c>
      <c r="C23" s="188"/>
      <c r="D23" s="188"/>
      <c r="E23" s="188"/>
      <c r="F23" s="188"/>
      <c r="G23" s="189"/>
      <c r="H23" s="190" t="s">
        <v>224</v>
      </c>
      <c r="I23" s="190"/>
      <c r="J23" s="190"/>
      <c r="K23" s="190"/>
      <c r="L23" s="190" t="s">
        <v>224</v>
      </c>
      <c r="M23" s="190"/>
      <c r="N23" s="190"/>
      <c r="O23" s="190"/>
      <c r="P23" s="98" t="s">
        <v>129</v>
      </c>
    </row>
    <row r="24" spans="1:16" ht="12.75" customHeight="1" x14ac:dyDescent="0.25">
      <c r="A24" s="103" t="s">
        <v>51</v>
      </c>
      <c r="B24" s="187" t="s">
        <v>235</v>
      </c>
      <c r="C24" s="188"/>
      <c r="D24" s="188"/>
      <c r="E24" s="188"/>
      <c r="F24" s="188"/>
      <c r="G24" s="189"/>
      <c r="H24" s="190" t="s">
        <v>273</v>
      </c>
      <c r="I24" s="190"/>
      <c r="J24" s="190"/>
      <c r="K24" s="190"/>
      <c r="L24" s="190" t="s">
        <v>273</v>
      </c>
      <c r="M24" s="190"/>
      <c r="N24" s="190"/>
      <c r="O24" s="190"/>
      <c r="P24" s="98" t="s">
        <v>129</v>
      </c>
    </row>
    <row r="25" spans="1:16" ht="29.25" customHeight="1" x14ac:dyDescent="0.25">
      <c r="A25" s="103" t="s">
        <v>52</v>
      </c>
      <c r="B25" s="187" t="s">
        <v>391</v>
      </c>
      <c r="C25" s="188"/>
      <c r="D25" s="188"/>
      <c r="E25" s="188"/>
      <c r="F25" s="188"/>
      <c r="G25" s="189"/>
      <c r="H25" s="190" t="s">
        <v>378</v>
      </c>
      <c r="I25" s="190"/>
      <c r="J25" s="190"/>
      <c r="K25" s="190"/>
      <c r="L25" s="190" t="s">
        <v>378</v>
      </c>
      <c r="M25" s="190"/>
      <c r="N25" s="190"/>
      <c r="O25" s="190"/>
      <c r="P25" s="98" t="s">
        <v>129</v>
      </c>
    </row>
    <row r="26" spans="1:16" ht="29.25" customHeight="1" x14ac:dyDescent="0.25">
      <c r="A26" s="103" t="s">
        <v>53</v>
      </c>
      <c r="B26" s="187" t="s">
        <v>377</v>
      </c>
      <c r="C26" s="188"/>
      <c r="D26" s="188"/>
      <c r="E26" s="188"/>
      <c r="F26" s="188"/>
      <c r="G26" s="189"/>
      <c r="H26" s="190" t="s">
        <v>379</v>
      </c>
      <c r="I26" s="190"/>
      <c r="J26" s="190"/>
      <c r="K26" s="190"/>
      <c r="L26" s="190" t="s">
        <v>380</v>
      </c>
      <c r="M26" s="190"/>
      <c r="N26" s="190"/>
      <c r="O26" s="190"/>
      <c r="P26" s="98" t="s">
        <v>129</v>
      </c>
    </row>
    <row r="27" spans="1:16" ht="48.75" customHeight="1" x14ac:dyDescent="0.25">
      <c r="A27" s="103" t="s">
        <v>54</v>
      </c>
      <c r="B27" s="187" t="s">
        <v>394</v>
      </c>
      <c r="C27" s="188"/>
      <c r="D27" s="188"/>
      <c r="E27" s="188"/>
      <c r="F27" s="188"/>
      <c r="G27" s="189"/>
      <c r="H27" s="190" t="s">
        <v>378</v>
      </c>
      <c r="I27" s="190"/>
      <c r="J27" s="190"/>
      <c r="K27" s="190"/>
      <c r="L27" s="190" t="s">
        <v>381</v>
      </c>
      <c r="M27" s="190"/>
      <c r="N27" s="190"/>
      <c r="O27" s="190"/>
      <c r="P27" s="98" t="s">
        <v>243</v>
      </c>
    </row>
    <row r="28" spans="1:16" ht="29.25" customHeight="1" x14ac:dyDescent="0.25">
      <c r="A28" s="103" t="s">
        <v>54</v>
      </c>
      <c r="B28" s="187" t="s">
        <v>393</v>
      </c>
      <c r="C28" s="188"/>
      <c r="D28" s="188"/>
      <c r="E28" s="188"/>
      <c r="F28" s="188"/>
      <c r="G28" s="189"/>
      <c r="H28" s="190" t="s">
        <v>389</v>
      </c>
      <c r="I28" s="190"/>
      <c r="J28" s="190"/>
      <c r="K28" s="190"/>
      <c r="L28" s="190" t="s">
        <v>387</v>
      </c>
      <c r="M28" s="190"/>
      <c r="N28" s="190"/>
      <c r="O28" s="190"/>
      <c r="P28" s="98" t="s">
        <v>243</v>
      </c>
    </row>
    <row r="29" spans="1:16" ht="12.75" customHeight="1" x14ac:dyDescent="0.25">
      <c r="A29" s="96"/>
    </row>
    <row r="30" spans="1:16" s="99" customFormat="1" ht="12.75" customHeight="1" x14ac:dyDescent="0.25">
      <c r="B30" s="96"/>
      <c r="C30" s="96"/>
      <c r="D30" s="96"/>
      <c r="E30" s="96"/>
      <c r="F30" s="96"/>
      <c r="G30" s="96"/>
      <c r="H30" s="96"/>
      <c r="I30" s="96"/>
      <c r="J30" s="96"/>
      <c r="K30" s="96"/>
      <c r="L30" s="96"/>
      <c r="M30" s="96"/>
      <c r="N30" s="96"/>
      <c r="O30" s="96"/>
      <c r="P30" s="96"/>
    </row>
  </sheetData>
  <mergeCells count="31">
    <mergeCell ref="B28:G28"/>
    <mergeCell ref="H28:K28"/>
    <mergeCell ref="L28:O28"/>
    <mergeCell ref="B27:G27"/>
    <mergeCell ref="H27:K27"/>
    <mergeCell ref="L27:O27"/>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9" priority="13" operator="equal">
      <formula>"Nok"</formula>
    </cfRule>
    <cfRule type="cellIs" dxfId="28" priority="14" operator="equal">
      <formula>"Ok"</formula>
    </cfRule>
  </conditionalFormatting>
  <conditionalFormatting sqref="P25">
    <cfRule type="cellIs" dxfId="27" priority="11" operator="equal">
      <formula>"Nok"</formula>
    </cfRule>
    <cfRule type="cellIs" dxfId="26" priority="12" operator="equal">
      <formula>"Ok"</formula>
    </cfRule>
  </conditionalFormatting>
  <conditionalFormatting sqref="P22:P23">
    <cfRule type="cellIs" dxfId="25" priority="9" operator="equal">
      <formula>"Nok"</formula>
    </cfRule>
    <cfRule type="cellIs" dxfId="24" priority="10" operator="equal">
      <formula>"Ok"</formula>
    </cfRule>
  </conditionalFormatting>
  <conditionalFormatting sqref="P26">
    <cfRule type="cellIs" dxfId="23" priority="7" operator="equal">
      <formula>"Nok"</formula>
    </cfRule>
    <cfRule type="cellIs" dxfId="22" priority="8" operator="equal">
      <formula>"Ok"</formula>
    </cfRule>
  </conditionalFormatting>
  <conditionalFormatting sqref="P28">
    <cfRule type="cellIs" dxfId="21" priority="5" operator="equal">
      <formula>"Nok"</formula>
    </cfRule>
    <cfRule type="cellIs" dxfId="20" priority="6" operator="equal">
      <formula>"Ok"</formula>
    </cfRule>
  </conditionalFormatting>
  <conditionalFormatting sqref="P24">
    <cfRule type="cellIs" dxfId="19" priority="3" operator="equal">
      <formula>"Nok"</formula>
    </cfRule>
    <cfRule type="cellIs" dxfId="18" priority="4" operator="equal">
      <formula>"Ok"</formula>
    </cfRule>
  </conditionalFormatting>
  <conditionalFormatting sqref="P27:P28">
    <cfRule type="cellIs" dxfId="17" priority="1" operator="equal">
      <formula>"Nok"</formula>
    </cfRule>
    <cfRule type="cellIs" dxfId="16" priority="2" operator="equal">
      <formula>"Ok"</formula>
    </cfRule>
  </conditionalFormatting>
  <dataValidations count="3">
    <dataValidation type="list" allowBlank="1" showInputMessage="1" showErrorMessage="1" sqref="B9" xr:uid="{0CC29A9A-AD9D-48B3-8FD7-1AB4C694C9AF}">
      <formula1>"Ok, Nok, Not run, NA"</formula1>
    </dataValidation>
    <dataValidation type="list" allowBlank="1" showInputMessage="1" showErrorMessage="1" sqref="B5" xr:uid="{45083962-444C-491C-8411-DC9555F435AC}">
      <formula1>"Nominal, Robustness, Endurance, Qualification"</formula1>
    </dataValidation>
    <dataValidation type="list" allowBlank="1" showInputMessage="1" showErrorMessage="1" sqref="P22:P28" xr:uid="{169C21C9-6596-46F8-AFA4-24F5D5C83EAD}">
      <formula1>"Ok, Nok, Not run, ,"</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64513"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64513" r:id="rId4"/>
      </mc:Fallback>
    </mc:AlternateContent>
  </oleObjec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8CC90-FECD-4352-A63A-530EE1C74759}">
  <sheetPr codeName="Sheet29"/>
  <dimension ref="A1:P27"/>
  <sheetViews>
    <sheetView workbookViewId="0">
      <selection activeCell="I17" sqref="I17"/>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403</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395</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402</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129</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t="s">
        <v>50</v>
      </c>
      <c r="B22" s="187" t="s">
        <v>222</v>
      </c>
      <c r="C22" s="188"/>
      <c r="D22" s="188"/>
      <c r="E22" s="188"/>
      <c r="F22" s="188"/>
      <c r="G22" s="189"/>
      <c r="H22" s="190" t="s">
        <v>140</v>
      </c>
      <c r="I22" s="190"/>
      <c r="J22" s="190"/>
      <c r="K22" s="190"/>
      <c r="L22" s="190" t="s">
        <v>140</v>
      </c>
      <c r="M22" s="190"/>
      <c r="N22" s="190"/>
      <c r="O22" s="190"/>
      <c r="P22" s="98" t="s">
        <v>129</v>
      </c>
    </row>
    <row r="23" spans="1:16" ht="12.75" customHeight="1" x14ac:dyDescent="0.25">
      <c r="A23" s="103" t="s">
        <v>51</v>
      </c>
      <c r="B23" s="187" t="s">
        <v>241</v>
      </c>
      <c r="C23" s="188"/>
      <c r="D23" s="188"/>
      <c r="E23" s="188"/>
      <c r="F23" s="188"/>
      <c r="G23" s="189"/>
      <c r="H23" s="190" t="s">
        <v>242</v>
      </c>
      <c r="I23" s="190"/>
      <c r="J23" s="190"/>
      <c r="K23" s="190"/>
      <c r="L23" s="190" t="s">
        <v>242</v>
      </c>
      <c r="M23" s="190"/>
      <c r="N23" s="190"/>
      <c r="O23" s="190"/>
      <c r="P23" s="98" t="s">
        <v>129</v>
      </c>
    </row>
    <row r="24" spans="1:16" ht="12.75" customHeight="1" x14ac:dyDescent="0.25">
      <c r="A24" s="103" t="s">
        <v>51</v>
      </c>
      <c r="B24" s="187" t="s">
        <v>401</v>
      </c>
      <c r="C24" s="188"/>
      <c r="D24" s="188"/>
      <c r="E24" s="188"/>
      <c r="F24" s="188"/>
      <c r="G24" s="189"/>
      <c r="H24" s="190" t="s">
        <v>273</v>
      </c>
      <c r="I24" s="190"/>
      <c r="J24" s="190"/>
      <c r="K24" s="190"/>
      <c r="L24" s="190" t="s">
        <v>273</v>
      </c>
      <c r="M24" s="190"/>
      <c r="N24" s="190"/>
      <c r="O24" s="190"/>
      <c r="P24" s="98" t="s">
        <v>129</v>
      </c>
    </row>
    <row r="25" spans="1:16" ht="12.75" customHeight="1" x14ac:dyDescent="0.25">
      <c r="A25" s="103" t="s">
        <v>51</v>
      </c>
      <c r="B25" s="187" t="s">
        <v>225</v>
      </c>
      <c r="C25" s="188"/>
      <c r="D25" s="188"/>
      <c r="E25" s="188"/>
      <c r="F25" s="188"/>
      <c r="G25" s="189"/>
      <c r="H25" s="190" t="s">
        <v>224</v>
      </c>
      <c r="I25" s="190"/>
      <c r="J25" s="190"/>
      <c r="K25" s="190"/>
      <c r="L25" s="190" t="s">
        <v>224</v>
      </c>
      <c r="M25" s="190"/>
      <c r="N25" s="190"/>
      <c r="O25" s="190"/>
      <c r="P25" s="98" t="s">
        <v>129</v>
      </c>
    </row>
    <row r="26" spans="1:16" ht="12.75" customHeight="1" x14ac:dyDescent="0.25">
      <c r="A26" s="96"/>
    </row>
    <row r="27" spans="1:16" s="99" customFormat="1" ht="12.75" customHeight="1" x14ac:dyDescent="0.25">
      <c r="B27" s="96"/>
      <c r="C27" s="96"/>
      <c r="D27" s="96"/>
      <c r="E27" s="96"/>
      <c r="F27" s="96"/>
      <c r="G27" s="96"/>
      <c r="H27" s="96"/>
      <c r="I27" s="96"/>
      <c r="J27" s="96"/>
      <c r="K27" s="96"/>
      <c r="L27" s="96"/>
      <c r="M27" s="96"/>
      <c r="N27" s="96"/>
      <c r="O27" s="96"/>
      <c r="P27" s="96"/>
    </row>
  </sheetData>
  <mergeCells count="22">
    <mergeCell ref="A16:A19"/>
    <mergeCell ref="B16:G19"/>
    <mergeCell ref="B1:G1"/>
    <mergeCell ref="B3:G3"/>
    <mergeCell ref="B7:G7"/>
    <mergeCell ref="A11:A14"/>
    <mergeCell ref="B11:G14"/>
    <mergeCell ref="B23:G23"/>
    <mergeCell ref="H23:K23"/>
    <mergeCell ref="L23:O23"/>
    <mergeCell ref="A21:G21"/>
    <mergeCell ref="H21:K21"/>
    <mergeCell ref="L21:O21"/>
    <mergeCell ref="B22:G22"/>
    <mergeCell ref="H22:K22"/>
    <mergeCell ref="L22:O22"/>
    <mergeCell ref="B24:G24"/>
    <mergeCell ref="H24:K24"/>
    <mergeCell ref="L24:O24"/>
    <mergeCell ref="B25:G25"/>
    <mergeCell ref="H25:K25"/>
    <mergeCell ref="L25:O25"/>
  </mergeCells>
  <conditionalFormatting sqref="B9:B10">
    <cfRule type="cellIs" dxfId="15" priority="17" operator="equal">
      <formula>"Nok"</formula>
    </cfRule>
    <cfRule type="cellIs" dxfId="14" priority="18" operator="equal">
      <formula>"Ok"</formula>
    </cfRule>
  </conditionalFormatting>
  <conditionalFormatting sqref="P22:P23">
    <cfRule type="cellIs" dxfId="13" priority="13" operator="equal">
      <formula>"Nok"</formula>
    </cfRule>
    <cfRule type="cellIs" dxfId="12" priority="14" operator="equal">
      <formula>"Ok"</formula>
    </cfRule>
  </conditionalFormatting>
  <conditionalFormatting sqref="P24">
    <cfRule type="cellIs" dxfId="11" priority="3" operator="equal">
      <formula>"Nok"</formula>
    </cfRule>
    <cfRule type="cellIs" dxfId="10" priority="4" operator="equal">
      <formula>"Ok"</formula>
    </cfRule>
  </conditionalFormatting>
  <conditionalFormatting sqref="P25">
    <cfRule type="cellIs" dxfId="9" priority="1" operator="equal">
      <formula>"Nok"</formula>
    </cfRule>
    <cfRule type="cellIs" dxfId="8" priority="2" operator="equal">
      <formula>"Ok"</formula>
    </cfRule>
  </conditionalFormatting>
  <dataValidations count="3">
    <dataValidation type="list" allowBlank="1" showInputMessage="1" showErrorMessage="1" sqref="P22:P25" xr:uid="{DB950455-6279-4D2E-9302-37B296265F1B}">
      <formula1>"Ok, Nok, Not run, ,"</formula1>
    </dataValidation>
    <dataValidation type="list" allowBlank="1" showInputMessage="1" showErrorMessage="1" sqref="B5" xr:uid="{B129F922-0E67-443E-B037-1275E8AD7F88}">
      <formula1>"Nominal, Robustness, Endurance, Qualification"</formula1>
    </dataValidation>
    <dataValidation type="list" allowBlank="1" showInputMessage="1" showErrorMessage="1" sqref="B9" xr:uid="{8E285948-B952-4EFA-99FA-096154B22347}">
      <formula1>"Ok, Nok, Not run, NA"</formula1>
    </dataValidation>
  </dataValidations>
  <pageMargins left="0.7" right="0.7" top="0.75" bottom="0.75" header="0.3" footer="0.3"/>
  <pageSetup paperSize="9" orientation="portrait" r:id="rId1"/>
  <headerFooter>
    <oddFooter>&amp;LTBD rev TBD ver TBD&amp;R&amp;P</oddFooter>
  </headerFooter>
  <drawing r:id="rId2"/>
  <legacyDrawing r:id="rId3"/>
  <oleObjects>
    <mc:AlternateContent xmlns:mc="http://schemas.openxmlformats.org/markup-compatibility/2006">
      <mc:Choice Requires="x14">
        <oleObject progId="Packager Shell Object" shapeId="66561" r:id="rId4">
          <objectPr defaultSize="0" r:id="rId5">
            <anchor moveWithCells="1">
              <from>
                <xdr:col>7</xdr:col>
                <xdr:colOff>22860</xdr:colOff>
                <xdr:row>1</xdr:row>
                <xdr:rowOff>144780</xdr:rowOff>
              </from>
              <to>
                <xdr:col>8</xdr:col>
                <xdr:colOff>525780</xdr:colOff>
                <xdr:row>3</xdr:row>
                <xdr:rowOff>0</xdr:rowOff>
              </to>
            </anchor>
          </objectPr>
        </oleObject>
      </mc:Choice>
      <mc:Fallback>
        <oleObject progId="Packager Shell Object" shapeId="66561" r:id="rId4"/>
      </mc:Fallback>
    </mc:AlternateContent>
  </oleObjec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25DF7-92DC-4E71-915E-80DC08166A29}">
  <sheetPr codeName="Sheet30"/>
  <dimension ref="A1:P27"/>
  <sheetViews>
    <sheetView workbookViewId="0">
      <selection activeCell="I10" sqref="I10"/>
    </sheetView>
  </sheetViews>
  <sheetFormatPr defaultColWidth="9.109375" defaultRowHeight="13.2" x14ac:dyDescent="0.25"/>
  <cols>
    <col min="1" max="1" width="20.109375" style="99" customWidth="1"/>
    <col min="2" max="2" width="18.44140625" style="96" customWidth="1"/>
    <col min="3" max="6" width="9.109375" style="96"/>
    <col min="7" max="7" width="26.6640625" style="96" customWidth="1"/>
    <col min="8" max="15" width="9.5546875" style="96" customWidth="1"/>
    <col min="16" max="16384" width="9.109375" style="96"/>
  </cols>
  <sheetData>
    <row r="1" spans="1:15" ht="13.8" thickBot="1" x14ac:dyDescent="0.3">
      <c r="A1" s="100" t="s">
        <v>41</v>
      </c>
      <c r="B1" s="205" t="s">
        <v>411</v>
      </c>
      <c r="C1" s="206"/>
      <c r="D1" s="206"/>
      <c r="E1" s="206"/>
      <c r="F1" s="206"/>
      <c r="G1" s="207"/>
      <c r="H1" s="72"/>
      <c r="I1" s="72"/>
      <c r="J1" s="72"/>
      <c r="K1" s="72"/>
      <c r="L1" s="72"/>
      <c r="M1" s="72"/>
      <c r="N1" s="72"/>
      <c r="O1" s="72"/>
    </row>
    <row r="2" spans="1:15" ht="13.8" thickBot="1" x14ac:dyDescent="0.3">
      <c r="A2" s="70"/>
      <c r="B2" s="71"/>
      <c r="C2" s="71"/>
      <c r="D2" s="72"/>
      <c r="E2" s="72"/>
      <c r="F2" s="72"/>
      <c r="G2" s="72"/>
      <c r="H2" s="72"/>
      <c r="I2" s="72"/>
      <c r="J2" s="72"/>
      <c r="K2" s="72"/>
      <c r="L2" s="72"/>
      <c r="M2" s="72"/>
      <c r="N2" s="72"/>
      <c r="O2" s="72"/>
    </row>
    <row r="3" spans="1:15" ht="38.25" customHeight="1" thickBot="1" x14ac:dyDescent="0.3">
      <c r="A3" s="101" t="s">
        <v>46</v>
      </c>
      <c r="B3" s="208" t="s">
        <v>410</v>
      </c>
      <c r="C3" s="209"/>
      <c r="D3" s="209"/>
      <c r="E3" s="209"/>
      <c r="F3" s="209"/>
      <c r="G3" s="210"/>
      <c r="H3" s="72"/>
      <c r="I3" s="72"/>
      <c r="J3" s="72"/>
      <c r="K3" s="72"/>
      <c r="L3" s="72"/>
      <c r="M3" s="72"/>
      <c r="N3" s="72"/>
      <c r="O3" s="72"/>
    </row>
    <row r="4" spans="1:15" ht="13.8" thickBot="1" x14ac:dyDescent="0.3">
      <c r="A4" s="70"/>
      <c r="B4" s="71"/>
      <c r="C4" s="71"/>
      <c r="D4" s="72"/>
      <c r="E4" s="72"/>
      <c r="F4" s="72"/>
      <c r="G4" s="72"/>
      <c r="H4" s="72"/>
      <c r="I4" s="72"/>
      <c r="J4" s="72"/>
      <c r="K4" s="72"/>
      <c r="L4" s="72"/>
      <c r="M4" s="72"/>
      <c r="N4" s="72"/>
      <c r="O4" s="72"/>
    </row>
    <row r="5" spans="1:15" ht="13.8" thickBot="1" x14ac:dyDescent="0.3">
      <c r="A5" s="100" t="s">
        <v>110</v>
      </c>
      <c r="B5" s="75" t="s">
        <v>128</v>
      </c>
      <c r="C5" s="71"/>
      <c r="D5" s="72"/>
      <c r="E5" s="72"/>
      <c r="F5" s="72"/>
      <c r="G5" s="72"/>
      <c r="H5" s="72"/>
      <c r="I5" s="72"/>
      <c r="J5" s="72"/>
      <c r="K5" s="72"/>
      <c r="L5" s="72"/>
      <c r="M5" s="72"/>
      <c r="N5" s="72"/>
      <c r="O5" s="72"/>
    </row>
    <row r="6" spans="1:15" ht="13.8" thickBot="1" x14ac:dyDescent="0.3">
      <c r="A6" s="70"/>
      <c r="B6" s="71"/>
      <c r="C6" s="71"/>
      <c r="D6" s="72"/>
      <c r="E6" s="72"/>
      <c r="F6" s="72"/>
      <c r="G6" s="72"/>
      <c r="H6" s="72"/>
      <c r="I6" s="72"/>
      <c r="J6" s="72"/>
      <c r="K6" s="72"/>
      <c r="L6" s="72"/>
      <c r="M6" s="72"/>
      <c r="N6" s="72"/>
      <c r="O6" s="72"/>
    </row>
    <row r="7" spans="1:15" ht="13.8" thickBot="1" x14ac:dyDescent="0.3">
      <c r="A7" s="100" t="s">
        <v>42</v>
      </c>
      <c r="B7" s="211" t="s">
        <v>402</v>
      </c>
      <c r="C7" s="212"/>
      <c r="D7" s="212"/>
      <c r="E7" s="212"/>
      <c r="F7" s="212"/>
      <c r="G7" s="213"/>
      <c r="H7" s="72"/>
      <c r="I7" s="72"/>
      <c r="J7" s="72"/>
      <c r="K7" s="72"/>
      <c r="L7" s="72"/>
      <c r="M7" s="72"/>
      <c r="N7" s="72"/>
      <c r="O7" s="72"/>
    </row>
    <row r="8" spans="1:15" ht="13.8" thickBot="1" x14ac:dyDescent="0.3">
      <c r="A8" s="74"/>
      <c r="B8" s="73"/>
      <c r="C8" s="73"/>
      <c r="D8" s="73"/>
      <c r="E8" s="73"/>
      <c r="F8" s="73"/>
      <c r="G8" s="73"/>
      <c r="H8" s="72"/>
      <c r="I8" s="72"/>
      <c r="J8" s="72"/>
      <c r="K8" s="72"/>
      <c r="L8" s="72"/>
      <c r="M8" s="72"/>
      <c r="N8" s="72"/>
      <c r="O8" s="72"/>
    </row>
    <row r="9" spans="1:15" ht="13.8" thickBot="1" x14ac:dyDescent="0.3">
      <c r="A9" s="100" t="s">
        <v>43</v>
      </c>
      <c r="B9" s="104" t="s">
        <v>243</v>
      </c>
      <c r="C9" s="71"/>
      <c r="D9" s="72"/>
      <c r="E9" s="72"/>
      <c r="F9" s="72"/>
      <c r="G9" s="72"/>
      <c r="H9" s="72"/>
      <c r="I9" s="72"/>
      <c r="J9" s="72"/>
      <c r="K9" s="72"/>
      <c r="L9" s="72"/>
      <c r="M9" s="72"/>
      <c r="N9" s="72"/>
      <c r="O9" s="72"/>
    </row>
    <row r="10" spans="1:15" ht="13.8" thickBot="1" x14ac:dyDescent="0.3">
      <c r="A10" s="74"/>
      <c r="B10" s="97"/>
      <c r="C10" s="71"/>
      <c r="D10" s="72"/>
      <c r="E10" s="72"/>
      <c r="F10" s="72"/>
      <c r="G10" s="72"/>
      <c r="H10" s="72"/>
      <c r="I10" s="72"/>
      <c r="J10" s="72"/>
      <c r="K10" s="72"/>
      <c r="L10" s="72"/>
      <c r="M10" s="72"/>
      <c r="N10" s="72"/>
      <c r="O10" s="72"/>
    </row>
    <row r="11" spans="1:15" ht="12" customHeight="1" x14ac:dyDescent="0.25">
      <c r="A11" s="194" t="s">
        <v>112</v>
      </c>
      <c r="B11" s="196" t="s">
        <v>164</v>
      </c>
      <c r="C11" s="197"/>
      <c r="D11" s="197"/>
      <c r="E11" s="197"/>
      <c r="F11" s="197"/>
      <c r="G11" s="198"/>
      <c r="H11" s="72"/>
      <c r="I11" s="72"/>
      <c r="J11" s="72"/>
      <c r="K11" s="72"/>
      <c r="L11" s="72"/>
      <c r="M11" s="72"/>
      <c r="N11" s="72"/>
      <c r="O11" s="72"/>
    </row>
    <row r="12" spans="1:15" x14ac:dyDescent="0.25">
      <c r="A12" s="195"/>
      <c r="B12" s="199"/>
      <c r="C12" s="200"/>
      <c r="D12" s="200"/>
      <c r="E12" s="200"/>
      <c r="F12" s="200"/>
      <c r="G12" s="201"/>
      <c r="H12" s="72"/>
      <c r="I12" s="72"/>
      <c r="J12" s="72"/>
      <c r="K12" s="72"/>
      <c r="L12" s="72"/>
      <c r="M12" s="72"/>
      <c r="N12" s="72"/>
      <c r="O12" s="72"/>
    </row>
    <row r="13" spans="1:15" x14ac:dyDescent="0.25">
      <c r="A13" s="195"/>
      <c r="B13" s="199"/>
      <c r="C13" s="200"/>
      <c r="D13" s="200"/>
      <c r="E13" s="200"/>
      <c r="F13" s="200"/>
      <c r="G13" s="201"/>
      <c r="H13" s="70"/>
      <c r="I13" s="72"/>
      <c r="J13" s="72"/>
      <c r="K13" s="72"/>
      <c r="L13" s="72"/>
      <c r="M13" s="72"/>
      <c r="N13" s="72"/>
      <c r="O13" s="72"/>
    </row>
    <row r="14" spans="1:15" ht="13.8" thickBot="1" x14ac:dyDescent="0.3">
      <c r="A14" s="195"/>
      <c r="B14" s="202"/>
      <c r="C14" s="203"/>
      <c r="D14" s="203"/>
      <c r="E14" s="203"/>
      <c r="F14" s="203"/>
      <c r="G14" s="204"/>
      <c r="H14" s="76"/>
      <c r="I14" s="72"/>
      <c r="J14" s="72"/>
      <c r="K14" s="72"/>
      <c r="L14" s="72"/>
      <c r="M14" s="72"/>
      <c r="N14" s="72"/>
      <c r="O14" s="72"/>
    </row>
    <row r="15" spans="1:15" ht="13.8" thickBot="1" x14ac:dyDescent="0.3">
      <c r="A15" s="70"/>
      <c r="B15" s="70"/>
      <c r="C15" s="70"/>
      <c r="D15" s="70"/>
      <c r="E15" s="70"/>
      <c r="F15" s="70"/>
      <c r="G15" s="70"/>
      <c r="H15" s="76"/>
      <c r="I15" s="72"/>
      <c r="J15" s="72"/>
      <c r="K15" s="72"/>
      <c r="L15" s="72"/>
      <c r="M15" s="72"/>
      <c r="N15" s="72"/>
      <c r="O15" s="72"/>
    </row>
    <row r="16" spans="1:15" x14ac:dyDescent="0.25">
      <c r="A16" s="194" t="s">
        <v>44</v>
      </c>
      <c r="B16" s="196" t="s">
        <v>131</v>
      </c>
      <c r="C16" s="197"/>
      <c r="D16" s="197"/>
      <c r="E16" s="197"/>
      <c r="F16" s="197"/>
      <c r="G16" s="198"/>
      <c r="H16" s="72"/>
      <c r="I16" s="72"/>
      <c r="J16" s="72"/>
      <c r="K16" s="72"/>
      <c r="L16" s="72"/>
      <c r="M16" s="72"/>
      <c r="N16" s="72"/>
      <c r="O16" s="72"/>
    </row>
    <row r="17" spans="1:16" x14ac:dyDescent="0.25">
      <c r="A17" s="195"/>
      <c r="B17" s="199"/>
      <c r="C17" s="200"/>
      <c r="D17" s="200"/>
      <c r="E17" s="200"/>
      <c r="F17" s="200"/>
      <c r="G17" s="201"/>
      <c r="H17" s="72"/>
      <c r="I17" s="72"/>
      <c r="J17" s="72"/>
      <c r="K17" s="72"/>
      <c r="L17" s="72"/>
      <c r="M17" s="72"/>
      <c r="N17" s="72"/>
      <c r="O17" s="72"/>
    </row>
    <row r="18" spans="1:16" x14ac:dyDescent="0.25">
      <c r="A18" s="195"/>
      <c r="B18" s="199"/>
      <c r="C18" s="200"/>
      <c r="D18" s="200"/>
      <c r="E18" s="200"/>
      <c r="F18" s="200"/>
      <c r="G18" s="201"/>
      <c r="H18" s="70"/>
      <c r="I18" s="72"/>
      <c r="J18" s="72"/>
      <c r="K18" s="72"/>
      <c r="L18" s="72"/>
      <c r="M18" s="72"/>
      <c r="N18" s="72"/>
      <c r="O18" s="72"/>
    </row>
    <row r="19" spans="1:16" ht="13.8" thickBot="1" x14ac:dyDescent="0.3">
      <c r="A19" s="195"/>
      <c r="B19" s="202"/>
      <c r="C19" s="203"/>
      <c r="D19" s="203"/>
      <c r="E19" s="203"/>
      <c r="F19" s="203"/>
      <c r="G19" s="204"/>
      <c r="H19" s="76"/>
      <c r="I19" s="72"/>
      <c r="J19" s="72"/>
      <c r="K19" s="72"/>
      <c r="L19" s="72"/>
      <c r="M19" s="72"/>
      <c r="N19" s="72"/>
      <c r="O19" s="72"/>
    </row>
    <row r="20" spans="1:16" ht="13.8" thickBot="1" x14ac:dyDescent="0.3">
      <c r="A20" s="70"/>
      <c r="B20" s="70"/>
      <c r="C20" s="70"/>
      <c r="D20" s="70"/>
      <c r="E20" s="70"/>
      <c r="F20" s="70"/>
      <c r="G20" s="70"/>
      <c r="H20" s="76"/>
      <c r="I20" s="72"/>
      <c r="J20" s="72"/>
      <c r="K20" s="72"/>
      <c r="L20" s="72"/>
      <c r="M20" s="72"/>
      <c r="N20" s="72"/>
      <c r="O20" s="72"/>
    </row>
    <row r="21" spans="1:16" ht="12.75" customHeight="1" x14ac:dyDescent="0.25">
      <c r="A21" s="191" t="s">
        <v>48</v>
      </c>
      <c r="B21" s="192"/>
      <c r="C21" s="192"/>
      <c r="D21" s="192"/>
      <c r="E21" s="192"/>
      <c r="F21" s="192"/>
      <c r="G21" s="193"/>
      <c r="H21" s="191" t="s">
        <v>49</v>
      </c>
      <c r="I21" s="192"/>
      <c r="J21" s="192"/>
      <c r="K21" s="193"/>
      <c r="L21" s="191" t="s">
        <v>60</v>
      </c>
      <c r="M21" s="192"/>
      <c r="N21" s="192"/>
      <c r="O21" s="193"/>
      <c r="P21" s="102" t="s">
        <v>47</v>
      </c>
    </row>
    <row r="22" spans="1:16" ht="12.75" customHeight="1" x14ac:dyDescent="0.25">
      <c r="A22" s="103"/>
      <c r="B22" s="187"/>
      <c r="C22" s="188"/>
      <c r="D22" s="188"/>
      <c r="E22" s="188"/>
      <c r="F22" s="188"/>
      <c r="G22" s="189"/>
      <c r="H22" s="190"/>
      <c r="I22" s="190"/>
      <c r="J22" s="190"/>
      <c r="K22" s="190"/>
      <c r="L22" s="190"/>
      <c r="M22" s="190"/>
      <c r="N22" s="190"/>
      <c r="O22" s="190"/>
      <c r="P22" s="98"/>
    </row>
    <row r="23" spans="1:16" ht="12.75" customHeight="1" x14ac:dyDescent="0.25">
      <c r="A23" s="103"/>
      <c r="B23" s="187"/>
      <c r="C23" s="188"/>
      <c r="D23" s="188"/>
      <c r="E23" s="188"/>
      <c r="F23" s="188"/>
      <c r="G23" s="189"/>
      <c r="H23" s="190"/>
      <c r="I23" s="190"/>
      <c r="J23" s="190"/>
      <c r="K23" s="190"/>
      <c r="L23" s="190"/>
      <c r="M23" s="190"/>
      <c r="N23" s="190"/>
      <c r="O23" s="190"/>
      <c r="P23" s="98"/>
    </row>
    <row r="24" spans="1:16" ht="12.75" customHeight="1" x14ac:dyDescent="0.25">
      <c r="A24" s="103"/>
      <c r="B24" s="187"/>
      <c r="C24" s="188"/>
      <c r="D24" s="188"/>
      <c r="E24" s="188"/>
      <c r="F24" s="188"/>
      <c r="G24" s="189"/>
      <c r="H24" s="190"/>
      <c r="I24" s="190"/>
      <c r="J24" s="190"/>
      <c r="K24" s="190"/>
      <c r="L24" s="190"/>
      <c r="M24" s="190"/>
      <c r="N24" s="190"/>
      <c r="O24" s="190"/>
      <c r="P24" s="98"/>
    </row>
    <row r="25" spans="1:16" ht="12.75" customHeight="1" x14ac:dyDescent="0.25">
      <c r="A25" s="103"/>
      <c r="B25" s="187"/>
      <c r="C25" s="188"/>
      <c r="D25" s="188"/>
      <c r="E25" s="188"/>
      <c r="F25" s="188"/>
      <c r="G25" s="189"/>
      <c r="H25" s="190"/>
      <c r="I25" s="190"/>
      <c r="J25" s="190"/>
      <c r="K25" s="190"/>
      <c r="L25" s="190"/>
      <c r="M25" s="190"/>
      <c r="N25" s="190"/>
      <c r="O25" s="190"/>
      <c r="P25" s="98"/>
    </row>
    <row r="26" spans="1:16" ht="12.75" customHeight="1" x14ac:dyDescent="0.25">
      <c r="A26" s="96"/>
    </row>
    <row r="27" spans="1:16" s="99" customFormat="1" ht="12.75" customHeight="1" x14ac:dyDescent="0.25">
      <c r="B27" s="96"/>
      <c r="C27" s="96"/>
      <c r="D27" s="96"/>
      <c r="E27" s="96"/>
      <c r="F27" s="96"/>
      <c r="G27" s="96"/>
      <c r="H27" s="96"/>
      <c r="I27" s="96"/>
      <c r="J27" s="96"/>
      <c r="K27" s="96"/>
      <c r="L27" s="96"/>
      <c r="M27" s="96"/>
      <c r="N27" s="96"/>
      <c r="O27" s="96"/>
      <c r="P27" s="96"/>
    </row>
  </sheetData>
  <mergeCells count="22">
    <mergeCell ref="B25:G25"/>
    <mergeCell ref="H25:K25"/>
    <mergeCell ref="L25:O25"/>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7" priority="7" operator="equal">
      <formula>"Nok"</formula>
    </cfRule>
    <cfRule type="cellIs" dxfId="6" priority="8" operator="equal">
      <formula>"Ok"</formula>
    </cfRule>
  </conditionalFormatting>
  <conditionalFormatting sqref="P22:P23">
    <cfRule type="cellIs" dxfId="5" priority="5" operator="equal">
      <formula>"Nok"</formula>
    </cfRule>
    <cfRule type="cellIs" dxfId="4" priority="6" operator="equal">
      <formula>"Ok"</formula>
    </cfRule>
  </conditionalFormatting>
  <conditionalFormatting sqref="P24">
    <cfRule type="cellIs" dxfId="3" priority="3" operator="equal">
      <formula>"Nok"</formula>
    </cfRule>
    <cfRule type="cellIs" dxfId="2" priority="4" operator="equal">
      <formula>"Ok"</formula>
    </cfRule>
  </conditionalFormatting>
  <conditionalFormatting sqref="P25">
    <cfRule type="cellIs" dxfId="1" priority="1" operator="equal">
      <formula>"Nok"</formula>
    </cfRule>
    <cfRule type="cellIs" dxfId="0" priority="2" operator="equal">
      <formula>"Ok"</formula>
    </cfRule>
  </conditionalFormatting>
  <dataValidations count="3">
    <dataValidation type="list" allowBlank="1" showInputMessage="1" showErrorMessage="1" sqref="B9" xr:uid="{2FF583E0-C8B7-4A3B-A1A5-5C184EB6DEFA}">
      <formula1>"Ok, Nok, Not run, NA"</formula1>
    </dataValidation>
    <dataValidation type="list" allowBlank="1" showInputMessage="1" showErrorMessage="1" sqref="B5" xr:uid="{125EAA58-C5D8-4287-B3A5-4E213EBAEE8A}">
      <formula1>"Nominal, Robustness, Endurance, Qualification"</formula1>
    </dataValidation>
    <dataValidation type="list" allowBlank="1" showInputMessage="1" showErrorMessage="1" sqref="P22:P25" xr:uid="{4ADC3BAE-0FEE-406A-8B46-008021A41C09}">
      <formula1>"Ok, Nok, Not run, ,"</formula1>
    </dataValidation>
  </dataValidations>
  <pageMargins left="0.7" right="0.7" top="0.75" bottom="0.75" header="0.3" footer="0.3"/>
  <pageSetup paperSize="9" orientation="portrait" r:id="rId1"/>
  <headerFooter>
    <oddFooter>&amp;LTBD rev TBD ver TBD&amp;R&amp;P</oddFooter>
  </headerFooter>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B2:F6"/>
  <sheetViews>
    <sheetView workbookViewId="0">
      <selection activeCell="I38" sqref="I38"/>
    </sheetView>
  </sheetViews>
  <sheetFormatPr defaultColWidth="9.109375" defaultRowHeight="14.4" x14ac:dyDescent="0.3"/>
  <cols>
    <col min="1" max="1" width="4.33203125" style="77" customWidth="1"/>
    <col min="2" max="2" width="24.88671875" style="77" customWidth="1"/>
    <col min="3" max="3" width="4.5546875" style="77" customWidth="1"/>
    <col min="4" max="4" width="4.44140625" style="77" customWidth="1"/>
    <col min="5" max="5" width="29.88671875" style="77" bestFit="1" customWidth="1"/>
    <col min="6" max="6" width="7.6640625" style="77" bestFit="1" customWidth="1"/>
    <col min="7" max="16384" width="9.109375" style="77"/>
  </cols>
  <sheetData>
    <row r="2" spans="2:6" x14ac:dyDescent="0.3">
      <c r="B2" s="78" t="s">
        <v>61</v>
      </c>
      <c r="C2" s="78">
        <f ca="1">COUNTIF('Tests Synthesis'!K3:K47, "Ok")</f>
        <v>11</v>
      </c>
      <c r="E2" s="79" t="s">
        <v>62</v>
      </c>
      <c r="F2" s="80">
        <f ca="1">IF(C6=0,0,C2/C6)</f>
        <v>0.45833333333333331</v>
      </c>
    </row>
    <row r="3" spans="2:6" x14ac:dyDescent="0.3">
      <c r="B3" s="78" t="s">
        <v>63</v>
      </c>
      <c r="C3" s="78">
        <f ca="1">COUNTIF('Tests Synthesis'!K3:K47, "Nok")</f>
        <v>13</v>
      </c>
      <c r="E3" s="79" t="s">
        <v>64</v>
      </c>
      <c r="F3" s="80">
        <f ca="1">IF(C6=0,0,C3/C6)</f>
        <v>0.54166666666666663</v>
      </c>
    </row>
    <row r="4" spans="2:6" x14ac:dyDescent="0.3">
      <c r="B4" s="78" t="s">
        <v>65</v>
      </c>
      <c r="C4" s="78">
        <f ca="1">COUNTIF('Tests Synthesis'!K3:K47, "not run")</f>
        <v>0</v>
      </c>
      <c r="E4" s="78" t="s">
        <v>66</v>
      </c>
      <c r="F4" s="80">
        <f ca="1">IF(C6=0,0,C4/C6)</f>
        <v>0</v>
      </c>
    </row>
    <row r="5" spans="2:6" x14ac:dyDescent="0.3">
      <c r="B5" s="78" t="s">
        <v>117</v>
      </c>
      <c r="C5" s="78">
        <f ca="1">COUNTIF('Tests Synthesis'!K4:K48, "NA")</f>
        <v>0</v>
      </c>
      <c r="E5" s="78" t="s">
        <v>118</v>
      </c>
      <c r="F5" s="80">
        <f>IF(C7=0,0,C5/C7)</f>
        <v>0</v>
      </c>
    </row>
    <row r="6" spans="2:6" x14ac:dyDescent="0.3">
      <c r="B6" s="78" t="s">
        <v>67</v>
      </c>
      <c r="C6" s="78">
        <f ca="1">SUM(C2:C4)</f>
        <v>24</v>
      </c>
    </row>
  </sheetData>
  <pageMargins left="0.7" right="0.7" top="0.75" bottom="0.75" header="0.3" footer="0.3"/>
  <pageSetup paperSize="9" orientation="portrait" r:id="rId1"/>
  <headerFooter>
    <oddFooter>&amp;LTBD rev TBD ver TBD&amp;R&amp;P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12</vt:i4>
      </vt:variant>
    </vt:vector>
  </HeadingPairs>
  <TitlesOfParts>
    <vt:vector size="41" baseType="lpstr">
      <vt:lpstr>FrontPage</vt:lpstr>
      <vt:lpstr>General info</vt:lpstr>
      <vt:lpstr>Guide (help)</vt:lpstr>
      <vt:lpstr>Tests Synthesis</vt:lpstr>
      <vt:lpstr>SW_IT_DIA_001</vt:lpstr>
      <vt:lpstr>SW_IT_DIA_002</vt:lpstr>
      <vt:lpstr>SW_IT_DIA_003</vt:lpstr>
      <vt:lpstr>SW_IT_DIA_004</vt:lpstr>
      <vt:lpstr>SW_IT_DIA_005</vt:lpstr>
      <vt:lpstr>SW_IT_DIA_006</vt:lpstr>
      <vt:lpstr>SW_IT_DIA_007</vt:lpstr>
      <vt:lpstr>SW_IT_DIA_008</vt:lpstr>
      <vt:lpstr>SW_IT_DIA_009</vt:lpstr>
      <vt:lpstr>SW_IT_DIA_010</vt:lpstr>
      <vt:lpstr>SW_IT_DIA_011</vt:lpstr>
      <vt:lpstr>SW_IT_DIA_012</vt:lpstr>
      <vt:lpstr>SW_IT_DIA_013</vt:lpstr>
      <vt:lpstr>SW_IT_DIA_014</vt:lpstr>
      <vt:lpstr>SW_IT_DIA_015</vt:lpstr>
      <vt:lpstr>SW_IT_DIA_016</vt:lpstr>
      <vt:lpstr>SW_IT_DIA_017</vt:lpstr>
      <vt:lpstr>SW_IT_DIA_018</vt:lpstr>
      <vt:lpstr>SW_IT_DIA_019</vt:lpstr>
      <vt:lpstr>SW_IT_DIA_020</vt:lpstr>
      <vt:lpstr>SW_IT_DIA_021</vt:lpstr>
      <vt:lpstr>SW_IT_DIA_022</vt:lpstr>
      <vt:lpstr>SW_IT_DIA_023</vt:lpstr>
      <vt:lpstr>SW_IT_DIA_024</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2022-10-27T14:03:19Z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Victor Popina</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